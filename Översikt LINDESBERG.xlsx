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46184</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46184</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46184</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46184</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46184</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46184</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46184</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46184</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42633-2025</t>
        </is>
      </c>
      <c r="B14" s="1" t="n">
        <v>45905.89554398148</v>
      </c>
      <c r="C14" s="1" t="n">
        <v>46184</v>
      </c>
      <c r="D14" t="inlineStr">
        <is>
          <t>ÖREBRO LÄN</t>
        </is>
      </c>
      <c r="E14" t="inlineStr">
        <is>
          <t>LINDESBERG</t>
        </is>
      </c>
      <c r="F14" t="inlineStr">
        <is>
          <t>Sveaskog</t>
        </is>
      </c>
      <c r="G14" t="n">
        <v>1.4</v>
      </c>
      <c r="H14" t="n">
        <v>1</v>
      </c>
      <c r="I14" t="n">
        <v>1</v>
      </c>
      <c r="J14" t="n">
        <v>4</v>
      </c>
      <c r="K14" t="n">
        <v>0</v>
      </c>
      <c r="L14" t="n">
        <v>1</v>
      </c>
      <c r="M14" t="n">
        <v>0</v>
      </c>
      <c r="N14" t="n">
        <v>0</v>
      </c>
      <c r="O14" t="n">
        <v>5</v>
      </c>
      <c r="P14" t="n">
        <v>1</v>
      </c>
      <c r="Q14" t="n">
        <v>6</v>
      </c>
      <c r="R14" s="2" t="inlineStr">
        <is>
          <t>Brun glada
Kandelabersvamp
Motaggsvamp
Svartvit taggsvamp
Veckticka
Blomkålssvamp</t>
        </is>
      </c>
      <c r="S14">
        <f>HYPERLINK("https://klasma.github.io/Logging_1885/artfynd/A 42633-2025 artfynd.xlsx", "A 42633-2025")</f>
        <v/>
      </c>
      <c r="T14">
        <f>HYPERLINK("https://klasma.github.io/Logging_1885/kartor/A 42633-2025 karta.png", "A 42633-2025")</f>
        <v/>
      </c>
      <c r="V14">
        <f>HYPERLINK("https://klasma.github.io/Logging_1885/klagomål/A 42633-2025 FSC-klagomål.docx", "A 42633-2025")</f>
        <v/>
      </c>
      <c r="W14">
        <f>HYPERLINK("https://klasma.github.io/Logging_1885/klagomålsmail/A 42633-2025 FSC-klagomål mail.docx", "A 42633-2025")</f>
        <v/>
      </c>
      <c r="X14">
        <f>HYPERLINK("https://klasma.github.io/Logging_1885/tillsyn/A 42633-2025 tillsynsbegäran.docx", "A 42633-2025")</f>
        <v/>
      </c>
      <c r="Y14">
        <f>HYPERLINK("https://klasma.github.io/Logging_1885/tillsynsmail/A 42633-2025 tillsynsbegäran mail.docx", "A 42633-2025")</f>
        <v/>
      </c>
      <c r="Z14">
        <f>HYPERLINK("https://klasma.github.io/Logging_1885/fåglar/A 42633-2025 prioriterade fågelarter.docx", "A 42633-2025")</f>
        <v/>
      </c>
    </row>
    <row r="15" ht="15" customHeight="1">
      <c r="A15" t="inlineStr">
        <is>
          <t>A 54241-2025</t>
        </is>
      </c>
      <c r="B15" s="1" t="n">
        <v>45964.63199074074</v>
      </c>
      <c r="C15" s="1" t="n">
        <v>46184</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8195-2026</t>
        </is>
      </c>
      <c r="B16" s="1" t="n">
        <v>46064.43017361111</v>
      </c>
      <c r="C16" s="1" t="n">
        <v>46184</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46184</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43429-2024</t>
        </is>
      </c>
      <c r="B18" s="1" t="n">
        <v>45568.63905092593</v>
      </c>
      <c r="C18" s="1" t="n">
        <v>46184</v>
      </c>
      <c r="D18" t="inlineStr">
        <is>
          <t>ÖREBRO LÄN</t>
        </is>
      </c>
      <c r="E18" t="inlineStr">
        <is>
          <t>LINDESBERG</t>
        </is>
      </c>
      <c r="F18" t="inlineStr">
        <is>
          <t>Sveaskog</t>
        </is>
      </c>
      <c r="G18" t="n">
        <v>9.699999999999999</v>
      </c>
      <c r="H18" t="n">
        <v>3</v>
      </c>
      <c r="I18" t="n">
        <v>2</v>
      </c>
      <c r="J18" t="n">
        <v>1</v>
      </c>
      <c r="K18" t="n">
        <v>1</v>
      </c>
      <c r="L18" t="n">
        <v>0</v>
      </c>
      <c r="M18" t="n">
        <v>0</v>
      </c>
      <c r="N18" t="n">
        <v>0</v>
      </c>
      <c r="O18" t="n">
        <v>2</v>
      </c>
      <c r="P18" t="n">
        <v>1</v>
      </c>
      <c r="Q18" t="n">
        <v>6</v>
      </c>
      <c r="R18" s="2" t="inlineStr">
        <is>
          <t>Lappuggla
Tallriska
Dropptaggsvamp
Tallfingersvamp
Fiskgjuse
Kungsfågel</t>
        </is>
      </c>
      <c r="S18">
        <f>HYPERLINK("https://klasma.github.io/Logging_1885/artfynd/A 43429-2024 artfynd.xlsx", "A 43429-2024")</f>
        <v/>
      </c>
      <c r="T18">
        <f>HYPERLINK("https://klasma.github.io/Logging_1885/kartor/A 43429-2024 karta.png", "A 43429-2024")</f>
        <v/>
      </c>
      <c r="V18">
        <f>HYPERLINK("https://klasma.github.io/Logging_1885/klagomål/A 43429-2024 FSC-klagomål.docx", "A 43429-2024")</f>
        <v/>
      </c>
      <c r="W18">
        <f>HYPERLINK("https://klasma.github.io/Logging_1885/klagomålsmail/A 43429-2024 FSC-klagomål mail.docx", "A 43429-2024")</f>
        <v/>
      </c>
      <c r="X18">
        <f>HYPERLINK("https://klasma.github.io/Logging_1885/tillsyn/A 43429-2024 tillsynsbegäran.docx", "A 43429-2024")</f>
        <v/>
      </c>
      <c r="Y18">
        <f>HYPERLINK("https://klasma.github.io/Logging_1885/tillsynsmail/A 43429-2024 tillsynsbegäran mail.docx", "A 43429-2024")</f>
        <v/>
      </c>
      <c r="Z18">
        <f>HYPERLINK("https://klasma.github.io/Logging_1885/fåglar/A 43429-2024 prioriterade fågelarter.docx", "A 43429-2024")</f>
        <v/>
      </c>
    </row>
    <row r="19" ht="15" customHeight="1">
      <c r="A19" t="inlineStr">
        <is>
          <t>A 8189-2026</t>
        </is>
      </c>
      <c r="B19" s="1" t="n">
        <v>46064.42460648148</v>
      </c>
      <c r="C19" s="1" t="n">
        <v>46184</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46184</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46184</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49945-2025</t>
        </is>
      </c>
      <c r="B22" s="1" t="n">
        <v>45940.69754629629</v>
      </c>
      <c r="C22" s="1" t="n">
        <v>46184</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46184</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46184</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28035-2023</t>
        </is>
      </c>
      <c r="B25" s="1" t="n">
        <v>45099</v>
      </c>
      <c r="C25" s="1" t="n">
        <v>46184</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50989-2023</t>
        </is>
      </c>
      <c r="B26" s="1" t="n">
        <v>45218</v>
      </c>
      <c r="C26" s="1" t="n">
        <v>46184</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54020-2024</t>
        </is>
      </c>
      <c r="B27" s="1" t="n">
        <v>45616.38605324074</v>
      </c>
      <c r="C27" s="1" t="n">
        <v>46184</v>
      </c>
      <c r="D27" t="inlineStr">
        <is>
          <t>ÖREBRO LÄN</t>
        </is>
      </c>
      <c r="E27" t="inlineStr">
        <is>
          <t>LINDESBERG</t>
        </is>
      </c>
      <c r="G27" t="n">
        <v>2.8</v>
      </c>
      <c r="H27" t="n">
        <v>1</v>
      </c>
      <c r="I27" t="n">
        <v>1</v>
      </c>
      <c r="J27" t="n">
        <v>2</v>
      </c>
      <c r="K27" t="n">
        <v>0</v>
      </c>
      <c r="L27" t="n">
        <v>0</v>
      </c>
      <c r="M27" t="n">
        <v>0</v>
      </c>
      <c r="N27" t="n">
        <v>0</v>
      </c>
      <c r="O27" t="n">
        <v>2</v>
      </c>
      <c r="P27" t="n">
        <v>0</v>
      </c>
      <c r="Q27" t="n">
        <v>3</v>
      </c>
      <c r="R27" s="2" t="inlineStr">
        <is>
          <t>Mindre hackspett
Skogsklocka
Kambräken</t>
        </is>
      </c>
      <c r="S27">
        <f>HYPERLINK("https://klasma.github.io/Logging_1885/artfynd/A 54020-2024 artfynd.xlsx", "A 54020-2024")</f>
        <v/>
      </c>
      <c r="T27">
        <f>HYPERLINK("https://klasma.github.io/Logging_1885/kartor/A 54020-2024 karta.png", "A 54020-2024")</f>
        <v/>
      </c>
      <c r="V27">
        <f>HYPERLINK("https://klasma.github.io/Logging_1885/klagomål/A 54020-2024 FSC-klagomål.docx", "A 54020-2024")</f>
        <v/>
      </c>
      <c r="W27">
        <f>HYPERLINK("https://klasma.github.io/Logging_1885/klagomålsmail/A 54020-2024 FSC-klagomål mail.docx", "A 54020-2024")</f>
        <v/>
      </c>
      <c r="X27">
        <f>HYPERLINK("https://klasma.github.io/Logging_1885/tillsyn/A 54020-2024 tillsynsbegäran.docx", "A 54020-2024")</f>
        <v/>
      </c>
      <c r="Y27">
        <f>HYPERLINK("https://klasma.github.io/Logging_1885/tillsynsmail/A 54020-2024 tillsynsbegäran mail.docx", "A 54020-2024")</f>
        <v/>
      </c>
      <c r="Z27">
        <f>HYPERLINK("https://klasma.github.io/Logging_1885/fåglar/A 54020-2024 prioriterade fågelarter.docx", "A 54020-2024")</f>
        <v/>
      </c>
    </row>
    <row r="28" ht="15" customHeight="1">
      <c r="A28" t="inlineStr">
        <is>
          <t>A 20364-2026</t>
        </is>
      </c>
      <c r="B28" s="1" t="n">
        <v>46139.67759259259</v>
      </c>
      <c r="C28" s="1" t="n">
        <v>46184</v>
      </c>
      <c r="D28" t="inlineStr">
        <is>
          <t>ÖREBRO LÄN</t>
        </is>
      </c>
      <c r="E28" t="inlineStr">
        <is>
          <t>LINDESBERG</t>
        </is>
      </c>
      <c r="G28" t="n">
        <v>8.199999999999999</v>
      </c>
      <c r="H28" t="n">
        <v>2</v>
      </c>
      <c r="I28" t="n">
        <v>1</v>
      </c>
      <c r="J28" t="n">
        <v>2</v>
      </c>
      <c r="K28" t="n">
        <v>0</v>
      </c>
      <c r="L28" t="n">
        <v>0</v>
      </c>
      <c r="M28" t="n">
        <v>0</v>
      </c>
      <c r="N28" t="n">
        <v>0</v>
      </c>
      <c r="O28" t="n">
        <v>2</v>
      </c>
      <c r="P28" t="n">
        <v>0</v>
      </c>
      <c r="Q28" t="n">
        <v>3</v>
      </c>
      <c r="R28" s="2" t="inlineStr">
        <is>
          <t>Spillkråka
Tretåig hackspett
Bronshjon</t>
        </is>
      </c>
      <c r="S28">
        <f>HYPERLINK("https://klasma.github.io/Logging_1885/artfynd/A 20364-2026 artfynd.xlsx", "A 20364-2026")</f>
        <v/>
      </c>
      <c r="T28">
        <f>HYPERLINK("https://klasma.github.io/Logging_1885/kartor/A 20364-2026 karta.png", "A 20364-2026")</f>
        <v/>
      </c>
      <c r="V28">
        <f>HYPERLINK("https://klasma.github.io/Logging_1885/klagomål/A 20364-2026 FSC-klagomål.docx", "A 20364-2026")</f>
        <v/>
      </c>
      <c r="W28">
        <f>HYPERLINK("https://klasma.github.io/Logging_1885/klagomålsmail/A 20364-2026 FSC-klagomål mail.docx", "A 20364-2026")</f>
        <v/>
      </c>
      <c r="X28">
        <f>HYPERLINK("https://klasma.github.io/Logging_1885/tillsyn/A 20364-2026 tillsynsbegäran.docx", "A 20364-2026")</f>
        <v/>
      </c>
      <c r="Y28">
        <f>HYPERLINK("https://klasma.github.io/Logging_1885/tillsynsmail/A 20364-2026 tillsynsbegäran mail.docx", "A 20364-2026")</f>
        <v/>
      </c>
      <c r="Z28">
        <f>HYPERLINK("https://klasma.github.io/Logging_1885/fåglar/A 20364-2026 prioriterade fågelarter.docx", "A 20364-2026")</f>
        <v/>
      </c>
    </row>
    <row r="29" ht="15" customHeight="1">
      <c r="A29" t="inlineStr">
        <is>
          <t>A 20744-2026</t>
        </is>
      </c>
      <c r="B29" s="1" t="n">
        <v>46141.58104166666</v>
      </c>
      <c r="C29" s="1" t="n">
        <v>46184</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54332-2021</t>
        </is>
      </c>
      <c r="B30" s="1" t="n">
        <v>44472</v>
      </c>
      <c r="C30" s="1" t="n">
        <v>46184</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46184</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38380-2024</t>
        </is>
      </c>
      <c r="B32" s="1" t="n">
        <v>45546.28121527778</v>
      </c>
      <c r="C32" s="1" t="n">
        <v>46184</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42629-2025</t>
        </is>
      </c>
      <c r="B33" s="1" t="n">
        <v>45905.88938657408</v>
      </c>
      <c r="C33" s="1" t="n">
        <v>46184</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1475-2025</t>
        </is>
      </c>
      <c r="B34" s="1" t="n">
        <v>45670</v>
      </c>
      <c r="C34" s="1" t="n">
        <v>46184</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57319-2025</t>
        </is>
      </c>
      <c r="B35" s="1" t="n">
        <v>45980.01497685185</v>
      </c>
      <c r="C35" s="1" t="n">
        <v>46184</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16103-2026</t>
        </is>
      </c>
      <c r="B36" s="1" t="n">
        <v>46108.59048611111</v>
      </c>
      <c r="C36" s="1" t="n">
        <v>46184</v>
      </c>
      <c r="D36" t="inlineStr">
        <is>
          <t>ÖREBRO LÄN</t>
        </is>
      </c>
      <c r="E36" t="inlineStr">
        <is>
          <t>LINDESBERG</t>
        </is>
      </c>
      <c r="G36" t="n">
        <v>5.5</v>
      </c>
      <c r="H36" t="n">
        <v>1</v>
      </c>
      <c r="I36" t="n">
        <v>0</v>
      </c>
      <c r="J36" t="n">
        <v>2</v>
      </c>
      <c r="K36" t="n">
        <v>0</v>
      </c>
      <c r="L36" t="n">
        <v>0</v>
      </c>
      <c r="M36" t="n">
        <v>0</v>
      </c>
      <c r="N36" t="n">
        <v>0</v>
      </c>
      <c r="O36" t="n">
        <v>2</v>
      </c>
      <c r="P36" t="n">
        <v>0</v>
      </c>
      <c r="Q36" t="n">
        <v>2</v>
      </c>
      <c r="R36" s="2" t="inlineStr">
        <is>
          <t>Garnlav
Spillkråka</t>
        </is>
      </c>
      <c r="S36">
        <f>HYPERLINK("https://klasma.github.io/Logging_1885/artfynd/A 16103-2026 artfynd.xlsx", "A 16103-2026")</f>
        <v/>
      </c>
      <c r="T36">
        <f>HYPERLINK("https://klasma.github.io/Logging_1885/kartor/A 16103-2026 karta.png", "A 16103-2026")</f>
        <v/>
      </c>
      <c r="V36">
        <f>HYPERLINK("https://klasma.github.io/Logging_1885/klagomål/A 16103-2026 FSC-klagomål.docx", "A 16103-2026")</f>
        <v/>
      </c>
      <c r="W36">
        <f>HYPERLINK("https://klasma.github.io/Logging_1885/klagomålsmail/A 16103-2026 FSC-klagomål mail.docx", "A 16103-2026")</f>
        <v/>
      </c>
      <c r="X36">
        <f>HYPERLINK("https://klasma.github.io/Logging_1885/tillsyn/A 16103-2026 tillsynsbegäran.docx", "A 16103-2026")</f>
        <v/>
      </c>
      <c r="Y36">
        <f>HYPERLINK("https://klasma.github.io/Logging_1885/tillsynsmail/A 16103-2026 tillsynsbegäran mail.docx", "A 16103-2026")</f>
        <v/>
      </c>
      <c r="Z36">
        <f>HYPERLINK("https://klasma.github.io/Logging_1885/fåglar/A 16103-2026 prioriterade fågelarter.docx", "A 16103-2026")</f>
        <v/>
      </c>
    </row>
    <row r="37" ht="15" customHeight="1">
      <c r="A37" t="inlineStr">
        <is>
          <t>A 15687-2023</t>
        </is>
      </c>
      <c r="B37" s="1" t="n">
        <v>45021</v>
      </c>
      <c r="C37" s="1" t="n">
        <v>46184</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46184</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21467-2026</t>
        </is>
      </c>
      <c r="B39" s="1" t="n">
        <v>46148.46989583333</v>
      </c>
      <c r="C39" s="1" t="n">
        <v>46184</v>
      </c>
      <c r="D39" t="inlineStr">
        <is>
          <t>ÖREBRO LÄN</t>
        </is>
      </c>
      <c r="E39" t="inlineStr">
        <is>
          <t>LINDESBERG</t>
        </is>
      </c>
      <c r="G39" t="n">
        <v>1.5</v>
      </c>
      <c r="H39" t="n">
        <v>2</v>
      </c>
      <c r="I39" t="n">
        <v>0</v>
      </c>
      <c r="J39" t="n">
        <v>1</v>
      </c>
      <c r="K39" t="n">
        <v>0</v>
      </c>
      <c r="L39" t="n">
        <v>0</v>
      </c>
      <c r="M39" t="n">
        <v>0</v>
      </c>
      <c r="N39" t="n">
        <v>0</v>
      </c>
      <c r="O39" t="n">
        <v>1</v>
      </c>
      <c r="P39" t="n">
        <v>0</v>
      </c>
      <c r="Q39" t="n">
        <v>2</v>
      </c>
      <c r="R39" s="2" t="inlineStr">
        <is>
          <t>Spillkråka
Fläcknycklar</t>
        </is>
      </c>
      <c r="S39">
        <f>HYPERLINK("https://klasma.github.io/Logging_1885/artfynd/A 21467-2026 artfynd.xlsx", "A 21467-2026")</f>
        <v/>
      </c>
      <c r="T39">
        <f>HYPERLINK("https://klasma.github.io/Logging_1885/kartor/A 21467-2026 karta.png", "A 21467-2026")</f>
        <v/>
      </c>
      <c r="U39">
        <f>HYPERLINK("https://klasma.github.io/Logging_1885/knärot/A 21467-2026 karta knärot.png", "A 21467-2026")</f>
        <v/>
      </c>
      <c r="V39">
        <f>HYPERLINK("https://klasma.github.io/Logging_1885/klagomål/A 21467-2026 FSC-klagomål.docx", "A 21467-2026")</f>
        <v/>
      </c>
      <c r="W39">
        <f>HYPERLINK("https://klasma.github.io/Logging_1885/klagomålsmail/A 21467-2026 FSC-klagomål mail.docx", "A 21467-2026")</f>
        <v/>
      </c>
      <c r="X39">
        <f>HYPERLINK("https://klasma.github.io/Logging_1885/tillsyn/A 21467-2026 tillsynsbegäran.docx", "A 21467-2026")</f>
        <v/>
      </c>
      <c r="Y39">
        <f>HYPERLINK("https://klasma.github.io/Logging_1885/tillsynsmail/A 21467-2026 tillsynsbegäran mail.docx", "A 21467-2026")</f>
        <v/>
      </c>
      <c r="Z39">
        <f>HYPERLINK("https://klasma.github.io/Logging_1885/fåglar/A 21467-2026 prioriterade fågelarter.docx", "A 21467-2026")</f>
        <v/>
      </c>
    </row>
    <row r="40" ht="15" customHeight="1">
      <c r="A40" t="inlineStr">
        <is>
          <t>A 25097-2026</t>
        </is>
      </c>
      <c r="B40" s="1" t="n">
        <v>46175.34005787037</v>
      </c>
      <c r="C40" s="1" t="n">
        <v>46184</v>
      </c>
      <c r="D40" t="inlineStr">
        <is>
          <t>ÖREBRO LÄN</t>
        </is>
      </c>
      <c r="E40" t="inlineStr">
        <is>
          <t>LINDESBERG</t>
        </is>
      </c>
      <c r="F40" t="inlineStr">
        <is>
          <t>Sveaskog</t>
        </is>
      </c>
      <c r="G40" t="n">
        <v>23</v>
      </c>
      <c r="H40" t="n">
        <v>1</v>
      </c>
      <c r="I40" t="n">
        <v>1</v>
      </c>
      <c r="J40" t="n">
        <v>0</v>
      </c>
      <c r="K40" t="n">
        <v>0</v>
      </c>
      <c r="L40" t="n">
        <v>0</v>
      </c>
      <c r="M40" t="n">
        <v>0</v>
      </c>
      <c r="N40" t="n">
        <v>0</v>
      </c>
      <c r="O40" t="n">
        <v>0</v>
      </c>
      <c r="P40" t="n">
        <v>0</v>
      </c>
      <c r="Q40" t="n">
        <v>2</v>
      </c>
      <c r="R40" s="2" t="inlineStr">
        <is>
          <t>Korallblylav
Fläcknycklar</t>
        </is>
      </c>
      <c r="S40">
        <f>HYPERLINK("https://klasma.github.io/Logging_1885/artfynd/A 25097-2026 artfynd.xlsx", "A 25097-2026")</f>
        <v/>
      </c>
      <c r="T40">
        <f>HYPERLINK("https://klasma.github.io/Logging_1885/kartor/A 25097-2026 karta.png", "A 25097-2026")</f>
        <v/>
      </c>
      <c r="V40">
        <f>HYPERLINK("https://klasma.github.io/Logging_1885/klagomål/A 25097-2026 FSC-klagomål.docx", "A 25097-2026")</f>
        <v/>
      </c>
      <c r="W40">
        <f>HYPERLINK("https://klasma.github.io/Logging_1885/klagomålsmail/A 25097-2026 FSC-klagomål mail.docx", "A 25097-2026")</f>
        <v/>
      </c>
      <c r="X40">
        <f>HYPERLINK("https://klasma.github.io/Logging_1885/tillsyn/A 25097-2026 tillsynsbegäran.docx", "A 25097-2026")</f>
        <v/>
      </c>
      <c r="Y40">
        <f>HYPERLINK("https://klasma.github.io/Logging_1885/tillsynsmail/A 25097-2026 tillsynsbegäran mail.docx", "A 25097-2026")</f>
        <v/>
      </c>
    </row>
    <row r="41" ht="15" customHeight="1">
      <c r="A41" t="inlineStr">
        <is>
          <t>A 25096-2026</t>
        </is>
      </c>
      <c r="B41" s="1" t="n">
        <v>46175.33916666666</v>
      </c>
      <c r="C41" s="1" t="n">
        <v>46184</v>
      </c>
      <c r="D41" t="inlineStr">
        <is>
          <t>ÖREBRO LÄN</t>
        </is>
      </c>
      <c r="E41" t="inlineStr">
        <is>
          <t>LINDESBERG</t>
        </is>
      </c>
      <c r="F41" t="inlineStr">
        <is>
          <t>Sveaskog</t>
        </is>
      </c>
      <c r="G41" t="n">
        <v>6.7</v>
      </c>
      <c r="H41" t="n">
        <v>1</v>
      </c>
      <c r="I41" t="n">
        <v>0</v>
      </c>
      <c r="J41" t="n">
        <v>1</v>
      </c>
      <c r="K41" t="n">
        <v>0</v>
      </c>
      <c r="L41" t="n">
        <v>0</v>
      </c>
      <c r="M41" t="n">
        <v>0</v>
      </c>
      <c r="N41" t="n">
        <v>0</v>
      </c>
      <c r="O41" t="n">
        <v>1</v>
      </c>
      <c r="P41" t="n">
        <v>0</v>
      </c>
      <c r="Q41" t="n">
        <v>2</v>
      </c>
      <c r="R41" s="2" t="inlineStr">
        <is>
          <t>Lunglav
Revlummer</t>
        </is>
      </c>
      <c r="S41">
        <f>HYPERLINK("https://klasma.github.io/Logging_1885/artfynd/A 25096-2026 artfynd.xlsx", "A 25096-2026")</f>
        <v/>
      </c>
      <c r="T41">
        <f>HYPERLINK("https://klasma.github.io/Logging_1885/kartor/A 25096-2026 karta.png", "A 25096-2026")</f>
        <v/>
      </c>
      <c r="V41">
        <f>HYPERLINK("https://klasma.github.io/Logging_1885/klagomål/A 25096-2026 FSC-klagomål.docx", "A 25096-2026")</f>
        <v/>
      </c>
      <c r="W41">
        <f>HYPERLINK("https://klasma.github.io/Logging_1885/klagomålsmail/A 25096-2026 FSC-klagomål mail.docx", "A 25096-2026")</f>
        <v/>
      </c>
      <c r="X41">
        <f>HYPERLINK("https://klasma.github.io/Logging_1885/tillsyn/A 25096-2026 tillsynsbegäran.docx", "A 25096-2026")</f>
        <v/>
      </c>
      <c r="Y41">
        <f>HYPERLINK("https://klasma.github.io/Logging_1885/tillsynsmail/A 25096-2026 tillsynsbegäran mail.docx", "A 25096-2026")</f>
        <v/>
      </c>
    </row>
    <row r="42" ht="15" customHeight="1">
      <c r="A42" t="inlineStr">
        <is>
          <t>A 51851-2025</t>
        </is>
      </c>
      <c r="B42" s="1" t="n">
        <v>45952.35611111111</v>
      </c>
      <c r="C42" s="1" t="n">
        <v>46184</v>
      </c>
      <c r="D42" t="inlineStr">
        <is>
          <t>ÖREBRO LÄN</t>
        </is>
      </c>
      <c r="E42" t="inlineStr">
        <is>
          <t>LINDESBERG</t>
        </is>
      </c>
      <c r="G42" t="n">
        <v>6.9</v>
      </c>
      <c r="H42" t="n">
        <v>0</v>
      </c>
      <c r="I42" t="n">
        <v>0</v>
      </c>
      <c r="J42" t="n">
        <v>2</v>
      </c>
      <c r="K42" t="n">
        <v>0</v>
      </c>
      <c r="L42" t="n">
        <v>0</v>
      </c>
      <c r="M42" t="n">
        <v>0</v>
      </c>
      <c r="N42" t="n">
        <v>0</v>
      </c>
      <c r="O42" t="n">
        <v>2</v>
      </c>
      <c r="P42" t="n">
        <v>0</v>
      </c>
      <c r="Q42" t="n">
        <v>2</v>
      </c>
      <c r="R42" s="2" t="inlineStr">
        <is>
          <t>Garnlav
Motaggsvamp</t>
        </is>
      </c>
      <c r="S42">
        <f>HYPERLINK("https://klasma.github.io/Logging_1885/artfynd/A 51851-2025 artfynd.xlsx", "A 51851-2025")</f>
        <v/>
      </c>
      <c r="T42">
        <f>HYPERLINK("https://klasma.github.io/Logging_1885/kartor/A 51851-2025 karta.png", "A 51851-2025")</f>
        <v/>
      </c>
      <c r="V42">
        <f>HYPERLINK("https://klasma.github.io/Logging_1885/klagomål/A 51851-2025 FSC-klagomål.docx", "A 51851-2025")</f>
        <v/>
      </c>
      <c r="W42">
        <f>HYPERLINK("https://klasma.github.io/Logging_1885/klagomålsmail/A 51851-2025 FSC-klagomål mail.docx", "A 51851-2025")</f>
        <v/>
      </c>
      <c r="X42">
        <f>HYPERLINK("https://klasma.github.io/Logging_1885/tillsyn/A 51851-2025 tillsynsbegäran.docx", "A 51851-2025")</f>
        <v/>
      </c>
      <c r="Y42">
        <f>HYPERLINK("https://klasma.github.io/Logging_1885/tillsynsmail/A 51851-2025 tillsynsbegäran mail.docx", "A 51851-2025")</f>
        <v/>
      </c>
    </row>
    <row r="43" ht="15" customHeight="1">
      <c r="A43" t="inlineStr">
        <is>
          <t>A 32713-2021</t>
        </is>
      </c>
      <c r="B43" s="1" t="n">
        <v>44375</v>
      </c>
      <c r="C43" s="1" t="n">
        <v>46184</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46184</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46184</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21440-2025</t>
        </is>
      </c>
      <c r="B46" s="1" t="n">
        <v>45782.5300462963</v>
      </c>
      <c r="C46" s="1" t="n">
        <v>46184</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48956-2025</t>
        </is>
      </c>
      <c r="B47" s="1" t="n">
        <v>45937.54982638889</v>
      </c>
      <c r="C47" s="1" t="n">
        <v>46184</v>
      </c>
      <c r="D47" t="inlineStr">
        <is>
          <t>ÖREBRO LÄN</t>
        </is>
      </c>
      <c r="E47" t="inlineStr">
        <is>
          <t>LINDESBERG</t>
        </is>
      </c>
      <c r="F47" t="inlineStr">
        <is>
          <t>Sveaskog</t>
        </is>
      </c>
      <c r="G47" t="n">
        <v>2.7</v>
      </c>
      <c r="H47" t="n">
        <v>1</v>
      </c>
      <c r="I47" t="n">
        <v>0</v>
      </c>
      <c r="J47" t="n">
        <v>0</v>
      </c>
      <c r="K47" t="n">
        <v>0</v>
      </c>
      <c r="L47" t="n">
        <v>0</v>
      </c>
      <c r="M47" t="n">
        <v>0</v>
      </c>
      <c r="N47" t="n">
        <v>0</v>
      </c>
      <c r="O47" t="n">
        <v>0</v>
      </c>
      <c r="P47" t="n">
        <v>0</v>
      </c>
      <c r="Q47" t="n">
        <v>1</v>
      </c>
      <c r="R47" s="2" t="inlineStr">
        <is>
          <t>Mattlummer</t>
        </is>
      </c>
      <c r="S47">
        <f>HYPERLINK("https://klasma.github.io/Logging_1885/artfynd/A 48956-2025 artfynd.xlsx", "A 48956-2025")</f>
        <v/>
      </c>
      <c r="T47">
        <f>HYPERLINK("https://klasma.github.io/Logging_1885/kartor/A 48956-2025 karta.png", "A 48956-2025")</f>
        <v/>
      </c>
      <c r="V47">
        <f>HYPERLINK("https://klasma.github.io/Logging_1885/klagomål/A 48956-2025 FSC-klagomål.docx", "A 48956-2025")</f>
        <v/>
      </c>
      <c r="W47">
        <f>HYPERLINK("https://klasma.github.io/Logging_1885/klagomålsmail/A 48956-2025 FSC-klagomål mail.docx", "A 48956-2025")</f>
        <v/>
      </c>
      <c r="X47">
        <f>HYPERLINK("https://klasma.github.io/Logging_1885/tillsyn/A 48956-2025 tillsynsbegäran.docx", "A 48956-2025")</f>
        <v/>
      </c>
      <c r="Y47">
        <f>HYPERLINK("https://klasma.github.io/Logging_1885/tillsynsmail/A 48956-2025 tillsynsbegäran mail.docx", "A 48956-2025")</f>
        <v/>
      </c>
    </row>
    <row r="48" ht="15" customHeight="1">
      <c r="A48" t="inlineStr">
        <is>
          <t>A 61129-2024</t>
        </is>
      </c>
      <c r="B48" s="1" t="n">
        <v>45645</v>
      </c>
      <c r="C48" s="1" t="n">
        <v>46184</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50777-2025</t>
        </is>
      </c>
      <c r="B49" s="1" t="n">
        <v>45946.45171296296</v>
      </c>
      <c r="C49" s="1" t="n">
        <v>46184</v>
      </c>
      <c r="D49" t="inlineStr">
        <is>
          <t>ÖREBRO LÄN</t>
        </is>
      </c>
      <c r="E49" t="inlineStr">
        <is>
          <t>LINDESBERG</t>
        </is>
      </c>
      <c r="F49" t="inlineStr">
        <is>
          <t>Sveaskog</t>
        </is>
      </c>
      <c r="G49" t="n">
        <v>5.3</v>
      </c>
      <c r="H49" t="n">
        <v>0</v>
      </c>
      <c r="I49" t="n">
        <v>1</v>
      </c>
      <c r="J49" t="n">
        <v>0</v>
      </c>
      <c r="K49" t="n">
        <v>0</v>
      </c>
      <c r="L49" t="n">
        <v>0</v>
      </c>
      <c r="M49" t="n">
        <v>0</v>
      </c>
      <c r="N49" t="n">
        <v>0</v>
      </c>
      <c r="O49" t="n">
        <v>0</v>
      </c>
      <c r="P49" t="n">
        <v>0</v>
      </c>
      <c r="Q49" t="n">
        <v>1</v>
      </c>
      <c r="R49" s="2" t="inlineStr">
        <is>
          <t>Zontaggsvamp</t>
        </is>
      </c>
      <c r="S49">
        <f>HYPERLINK("https://klasma.github.io/Logging_1885/artfynd/A 50777-2025 artfynd.xlsx", "A 50777-2025")</f>
        <v/>
      </c>
      <c r="T49">
        <f>HYPERLINK("https://klasma.github.io/Logging_1885/kartor/A 50777-2025 karta.png", "A 50777-2025")</f>
        <v/>
      </c>
      <c r="V49">
        <f>HYPERLINK("https://klasma.github.io/Logging_1885/klagomål/A 50777-2025 FSC-klagomål.docx", "A 50777-2025")</f>
        <v/>
      </c>
      <c r="W49">
        <f>HYPERLINK("https://klasma.github.io/Logging_1885/klagomålsmail/A 50777-2025 FSC-klagomål mail.docx", "A 50777-2025")</f>
        <v/>
      </c>
      <c r="X49">
        <f>HYPERLINK("https://klasma.github.io/Logging_1885/tillsyn/A 50777-2025 tillsynsbegäran.docx", "A 50777-2025")</f>
        <v/>
      </c>
      <c r="Y49">
        <f>HYPERLINK("https://klasma.github.io/Logging_1885/tillsynsmail/A 50777-2025 tillsynsbegäran mail.docx", "A 50777-2025")</f>
        <v/>
      </c>
    </row>
    <row r="50" ht="15" customHeight="1">
      <c r="A50" t="inlineStr">
        <is>
          <t>A 50766-2025</t>
        </is>
      </c>
      <c r="B50" s="1" t="n">
        <v>45946.44423611111</v>
      </c>
      <c r="C50" s="1" t="n">
        <v>46184</v>
      </c>
      <c r="D50" t="inlineStr">
        <is>
          <t>ÖREBRO LÄN</t>
        </is>
      </c>
      <c r="E50" t="inlineStr">
        <is>
          <t>LINDESBERG</t>
        </is>
      </c>
      <c r="F50" t="inlineStr">
        <is>
          <t>Sveaskog</t>
        </is>
      </c>
      <c r="G50" t="n">
        <v>2.4</v>
      </c>
      <c r="H50" t="n">
        <v>0</v>
      </c>
      <c r="I50" t="n">
        <v>0</v>
      </c>
      <c r="J50" t="n">
        <v>0</v>
      </c>
      <c r="K50" t="n">
        <v>1</v>
      </c>
      <c r="L50" t="n">
        <v>0</v>
      </c>
      <c r="M50" t="n">
        <v>0</v>
      </c>
      <c r="N50" t="n">
        <v>0</v>
      </c>
      <c r="O50" t="n">
        <v>1</v>
      </c>
      <c r="P50" t="n">
        <v>1</v>
      </c>
      <c r="Q50" t="n">
        <v>1</v>
      </c>
      <c r="R50" s="2" t="inlineStr">
        <is>
          <t>Rotfingersvamp</t>
        </is>
      </c>
      <c r="S50">
        <f>HYPERLINK("https://klasma.github.io/Logging_1885/artfynd/A 50766-2025 artfynd.xlsx", "A 50766-2025")</f>
        <v/>
      </c>
      <c r="T50">
        <f>HYPERLINK("https://klasma.github.io/Logging_1885/kartor/A 50766-2025 karta.png", "A 50766-2025")</f>
        <v/>
      </c>
      <c r="V50">
        <f>HYPERLINK("https://klasma.github.io/Logging_1885/klagomål/A 50766-2025 FSC-klagomål.docx", "A 50766-2025")</f>
        <v/>
      </c>
      <c r="W50">
        <f>HYPERLINK("https://klasma.github.io/Logging_1885/klagomålsmail/A 50766-2025 FSC-klagomål mail.docx", "A 50766-2025")</f>
        <v/>
      </c>
      <c r="X50">
        <f>HYPERLINK("https://klasma.github.io/Logging_1885/tillsyn/A 50766-2025 tillsynsbegäran.docx", "A 50766-2025")</f>
        <v/>
      </c>
      <c r="Y50">
        <f>HYPERLINK("https://klasma.github.io/Logging_1885/tillsynsmail/A 50766-2025 tillsynsbegäran mail.docx", "A 50766-2025")</f>
        <v/>
      </c>
    </row>
    <row r="51" ht="15" customHeight="1">
      <c r="A51" t="inlineStr">
        <is>
          <t>A 50768-2025</t>
        </is>
      </c>
      <c r="B51" s="1" t="n">
        <v>45946.44790509259</v>
      </c>
      <c r="C51" s="1" t="n">
        <v>46184</v>
      </c>
      <c r="D51" t="inlineStr">
        <is>
          <t>ÖREBRO LÄN</t>
        </is>
      </c>
      <c r="E51" t="inlineStr">
        <is>
          <t>LINDESBERG</t>
        </is>
      </c>
      <c r="F51" t="inlineStr">
        <is>
          <t>Sveaskog</t>
        </is>
      </c>
      <c r="G51" t="n">
        <v>3.1</v>
      </c>
      <c r="H51" t="n">
        <v>1</v>
      </c>
      <c r="I51" t="n">
        <v>1</v>
      </c>
      <c r="J51" t="n">
        <v>0</v>
      </c>
      <c r="K51" t="n">
        <v>0</v>
      </c>
      <c r="L51" t="n">
        <v>0</v>
      </c>
      <c r="M51" t="n">
        <v>0</v>
      </c>
      <c r="N51" t="n">
        <v>0</v>
      </c>
      <c r="O51" t="n">
        <v>0</v>
      </c>
      <c r="P51" t="n">
        <v>0</v>
      </c>
      <c r="Q51" t="n">
        <v>1</v>
      </c>
      <c r="R51" s="2" t="inlineStr">
        <is>
          <t>Plattlummer</t>
        </is>
      </c>
      <c r="S51">
        <f>HYPERLINK("https://klasma.github.io/Logging_1885/artfynd/A 50768-2025 artfynd.xlsx", "A 50768-2025")</f>
        <v/>
      </c>
      <c r="T51">
        <f>HYPERLINK("https://klasma.github.io/Logging_1885/kartor/A 50768-2025 karta.png", "A 50768-2025")</f>
        <v/>
      </c>
      <c r="V51">
        <f>HYPERLINK("https://klasma.github.io/Logging_1885/klagomål/A 50768-2025 FSC-klagomål.docx", "A 50768-2025")</f>
        <v/>
      </c>
      <c r="W51">
        <f>HYPERLINK("https://klasma.github.io/Logging_1885/klagomålsmail/A 50768-2025 FSC-klagomål mail.docx", "A 50768-2025")</f>
        <v/>
      </c>
      <c r="X51">
        <f>HYPERLINK("https://klasma.github.io/Logging_1885/tillsyn/A 50768-2025 tillsynsbegäran.docx", "A 50768-2025")</f>
        <v/>
      </c>
      <c r="Y51">
        <f>HYPERLINK("https://klasma.github.io/Logging_1885/tillsynsmail/A 50768-2025 tillsynsbegäran mail.docx", "A 50768-2025")</f>
        <v/>
      </c>
    </row>
    <row r="52" ht="15" customHeight="1">
      <c r="A52" t="inlineStr">
        <is>
          <t>A 52337-2025</t>
        </is>
      </c>
      <c r="B52" s="1" t="n">
        <v>45953.69287037037</v>
      </c>
      <c r="C52" s="1" t="n">
        <v>46184</v>
      </c>
      <c r="D52" t="inlineStr">
        <is>
          <t>ÖREBRO LÄN</t>
        </is>
      </c>
      <c r="E52" t="inlineStr">
        <is>
          <t>LINDESBERG</t>
        </is>
      </c>
      <c r="F52" t="inlineStr">
        <is>
          <t>Sveaskog</t>
        </is>
      </c>
      <c r="G52" t="n">
        <v>3.3</v>
      </c>
      <c r="H52" t="n">
        <v>1</v>
      </c>
      <c r="I52" t="n">
        <v>0</v>
      </c>
      <c r="J52" t="n">
        <v>0</v>
      </c>
      <c r="K52" t="n">
        <v>0</v>
      </c>
      <c r="L52" t="n">
        <v>0</v>
      </c>
      <c r="M52" t="n">
        <v>0</v>
      </c>
      <c r="N52" t="n">
        <v>0</v>
      </c>
      <c r="O52" t="n">
        <v>0</v>
      </c>
      <c r="P52" t="n">
        <v>0</v>
      </c>
      <c r="Q52" t="n">
        <v>1</v>
      </c>
      <c r="R52" s="2" t="inlineStr">
        <is>
          <t>Fläcknycklar</t>
        </is>
      </c>
      <c r="S52">
        <f>HYPERLINK("https://klasma.github.io/Logging_1885/artfynd/A 52337-2025 artfynd.xlsx", "A 52337-2025")</f>
        <v/>
      </c>
      <c r="T52">
        <f>HYPERLINK("https://klasma.github.io/Logging_1885/kartor/A 52337-2025 karta.png", "A 52337-2025")</f>
        <v/>
      </c>
      <c r="V52">
        <f>HYPERLINK("https://klasma.github.io/Logging_1885/klagomål/A 52337-2025 FSC-klagomål.docx", "A 52337-2025")</f>
        <v/>
      </c>
      <c r="W52">
        <f>HYPERLINK("https://klasma.github.io/Logging_1885/klagomålsmail/A 52337-2025 FSC-klagomål mail.docx", "A 52337-2025")</f>
        <v/>
      </c>
      <c r="X52">
        <f>HYPERLINK("https://klasma.github.io/Logging_1885/tillsyn/A 52337-2025 tillsynsbegäran.docx", "A 52337-2025")</f>
        <v/>
      </c>
      <c r="Y52">
        <f>HYPERLINK("https://klasma.github.io/Logging_1885/tillsynsmail/A 52337-2025 tillsynsbegäran mail.docx", "A 52337-2025")</f>
        <v/>
      </c>
    </row>
    <row r="53" ht="15" customHeight="1">
      <c r="A53" t="inlineStr">
        <is>
          <t>A 45467-2025</t>
        </is>
      </c>
      <c r="B53" s="1" t="n">
        <v>45922.49990740741</v>
      </c>
      <c r="C53" s="1" t="n">
        <v>46184</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31052-2025</t>
        </is>
      </c>
      <c r="B54" s="1" t="n">
        <v>45832.56153935185</v>
      </c>
      <c r="C54" s="1" t="n">
        <v>46184</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36669-2024</t>
        </is>
      </c>
      <c r="B55" s="1" t="n">
        <v>45537.64484953704</v>
      </c>
      <c r="C55" s="1" t="n">
        <v>46184</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3729-2023</t>
        </is>
      </c>
      <c r="B56" s="1" t="n">
        <v>44949</v>
      </c>
      <c r="C56" s="1" t="n">
        <v>46184</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37834-2025</t>
        </is>
      </c>
      <c r="B57" s="1" t="n">
        <v>45881.42446759259</v>
      </c>
      <c r="C57" s="1" t="n">
        <v>46184</v>
      </c>
      <c r="D57" t="inlineStr">
        <is>
          <t>ÖREBRO LÄN</t>
        </is>
      </c>
      <c r="E57" t="inlineStr">
        <is>
          <t>LINDESBERG</t>
        </is>
      </c>
      <c r="G57" t="n">
        <v>3.1</v>
      </c>
      <c r="H57" t="n">
        <v>0</v>
      </c>
      <c r="I57" t="n">
        <v>0</v>
      </c>
      <c r="J57" t="n">
        <v>1</v>
      </c>
      <c r="K57" t="n">
        <v>0</v>
      </c>
      <c r="L57" t="n">
        <v>0</v>
      </c>
      <c r="M57" t="n">
        <v>0</v>
      </c>
      <c r="N57" t="n">
        <v>0</v>
      </c>
      <c r="O57" t="n">
        <v>1</v>
      </c>
      <c r="P57" t="n">
        <v>0</v>
      </c>
      <c r="Q57" t="n">
        <v>1</v>
      </c>
      <c r="R57" s="2" t="inlineStr">
        <is>
          <t>Svart taggsvamp agg.</t>
        </is>
      </c>
      <c r="S57">
        <f>HYPERLINK("https://klasma.github.io/Logging_1885/artfynd/A 37834-2025 artfynd.xlsx", "A 37834-2025")</f>
        <v/>
      </c>
      <c r="T57">
        <f>HYPERLINK("https://klasma.github.io/Logging_1885/kartor/A 37834-2025 karta.png", "A 37834-2025")</f>
        <v/>
      </c>
      <c r="V57">
        <f>HYPERLINK("https://klasma.github.io/Logging_1885/klagomål/A 37834-2025 FSC-klagomål.docx", "A 37834-2025")</f>
        <v/>
      </c>
      <c r="W57">
        <f>HYPERLINK("https://klasma.github.io/Logging_1885/klagomålsmail/A 37834-2025 FSC-klagomål mail.docx", "A 37834-2025")</f>
        <v/>
      </c>
      <c r="X57">
        <f>HYPERLINK("https://klasma.github.io/Logging_1885/tillsyn/A 37834-2025 tillsynsbegäran.docx", "A 37834-2025")</f>
        <v/>
      </c>
      <c r="Y57">
        <f>HYPERLINK("https://klasma.github.io/Logging_1885/tillsynsmail/A 37834-2025 tillsynsbegäran mail.docx", "A 37834-2025")</f>
        <v/>
      </c>
    </row>
    <row r="58" ht="15" customHeight="1">
      <c r="A58" t="inlineStr">
        <is>
          <t>A 57362-2025</t>
        </is>
      </c>
      <c r="B58" s="1" t="n">
        <v>45980.37108796297</v>
      </c>
      <c r="C58" s="1" t="n">
        <v>46184</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64513-2023</t>
        </is>
      </c>
      <c r="B59" s="1" t="n">
        <v>45281</v>
      </c>
      <c r="C59" s="1" t="n">
        <v>46184</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46184</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67013-2021</t>
        </is>
      </c>
      <c r="B61" s="1" t="n">
        <v>44522</v>
      </c>
      <c r="C61" s="1" t="n">
        <v>46184</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8172-2026</t>
        </is>
      </c>
      <c r="B62" s="1" t="n">
        <v>46064</v>
      </c>
      <c r="C62" s="1" t="n">
        <v>46184</v>
      </c>
      <c r="D62" t="inlineStr">
        <is>
          <t>ÖREBRO LÄN</t>
        </is>
      </c>
      <c r="E62" t="inlineStr">
        <is>
          <t>LINDESBERG</t>
        </is>
      </c>
      <c r="G62" t="n">
        <v>2.9</v>
      </c>
      <c r="H62" t="n">
        <v>0</v>
      </c>
      <c r="I62" t="n">
        <v>0</v>
      </c>
      <c r="J62" t="n">
        <v>0</v>
      </c>
      <c r="K62" t="n">
        <v>0</v>
      </c>
      <c r="L62" t="n">
        <v>1</v>
      </c>
      <c r="M62" t="n">
        <v>0</v>
      </c>
      <c r="N62" t="n">
        <v>0</v>
      </c>
      <c r="O62" t="n">
        <v>1</v>
      </c>
      <c r="P62" t="n">
        <v>1</v>
      </c>
      <c r="Q62" t="n">
        <v>1</v>
      </c>
      <c r="R62" s="2" t="inlineStr">
        <is>
          <t>Bågtuss</t>
        </is>
      </c>
      <c r="S62">
        <f>HYPERLINK("https://klasma.github.io/Logging_1885/artfynd/A 8172-2026 artfynd.xlsx", "A 8172-2026")</f>
        <v/>
      </c>
      <c r="T62">
        <f>HYPERLINK("https://klasma.github.io/Logging_1885/kartor/A 8172-2026 karta.png", "A 8172-2026")</f>
        <v/>
      </c>
      <c r="U62">
        <f>HYPERLINK("https://klasma.github.io/Logging_1885/knärot/A 8172-2026 karta knärot.png", "A 8172-2026")</f>
        <v/>
      </c>
      <c r="V62">
        <f>HYPERLINK("https://klasma.github.io/Logging_1885/klagomål/A 8172-2026 FSC-klagomål.docx", "A 8172-2026")</f>
        <v/>
      </c>
      <c r="W62">
        <f>HYPERLINK("https://klasma.github.io/Logging_1885/klagomålsmail/A 8172-2026 FSC-klagomål mail.docx", "A 8172-2026")</f>
        <v/>
      </c>
      <c r="X62">
        <f>HYPERLINK("https://klasma.github.io/Logging_1885/tillsyn/A 8172-2026 tillsynsbegäran.docx", "A 8172-2026")</f>
        <v/>
      </c>
      <c r="Y62">
        <f>HYPERLINK("https://klasma.github.io/Logging_1885/tillsynsmail/A 8172-2026 tillsynsbegäran mail.docx", "A 8172-2026")</f>
        <v/>
      </c>
    </row>
    <row r="63" ht="15" customHeight="1">
      <c r="A63" t="inlineStr">
        <is>
          <t>A 6192-2025</t>
        </is>
      </c>
      <c r="B63" s="1" t="n">
        <v>45698.46697916667</v>
      </c>
      <c r="C63" s="1" t="n">
        <v>46184</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8175-2026</t>
        </is>
      </c>
      <c r="B64" s="1" t="n">
        <v>46064</v>
      </c>
      <c r="C64" s="1" t="n">
        <v>46184</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Svart trolldruva</t>
        </is>
      </c>
      <c r="S64">
        <f>HYPERLINK("https://klasma.github.io/Logging_1885/artfynd/A 8175-2026 artfynd.xlsx", "A 8175-2026")</f>
        <v/>
      </c>
      <c r="T64">
        <f>HYPERLINK("https://klasma.github.io/Logging_1885/kartor/A 8175-2026 karta.png", "A 8175-2026")</f>
        <v/>
      </c>
      <c r="V64">
        <f>HYPERLINK("https://klasma.github.io/Logging_1885/klagomål/A 8175-2026 FSC-klagomål.docx", "A 8175-2026")</f>
        <v/>
      </c>
      <c r="W64">
        <f>HYPERLINK("https://klasma.github.io/Logging_1885/klagomålsmail/A 8175-2026 FSC-klagomål mail.docx", "A 8175-2026")</f>
        <v/>
      </c>
      <c r="X64">
        <f>HYPERLINK("https://klasma.github.io/Logging_1885/tillsyn/A 8175-2026 tillsynsbegäran.docx", "A 8175-2026")</f>
        <v/>
      </c>
      <c r="Y64">
        <f>HYPERLINK("https://klasma.github.io/Logging_1885/tillsynsmail/A 8175-2026 tillsynsbegäran mail.docx", "A 8175-2026")</f>
        <v/>
      </c>
    </row>
    <row r="65" ht="15" customHeight="1">
      <c r="A65" t="inlineStr">
        <is>
          <t>A 16692-2026</t>
        </is>
      </c>
      <c r="B65" s="1" t="n">
        <v>46112.82201388889</v>
      </c>
      <c r="C65" s="1" t="n">
        <v>46184</v>
      </c>
      <c r="D65" t="inlineStr">
        <is>
          <t>ÖREBRO LÄN</t>
        </is>
      </c>
      <c r="E65" t="inlineStr">
        <is>
          <t>LINDESBERG</t>
        </is>
      </c>
      <c r="G65" t="n">
        <v>4.9</v>
      </c>
      <c r="H65" t="n">
        <v>1</v>
      </c>
      <c r="I65" t="n">
        <v>0</v>
      </c>
      <c r="J65" t="n">
        <v>1</v>
      </c>
      <c r="K65" t="n">
        <v>0</v>
      </c>
      <c r="L65" t="n">
        <v>0</v>
      </c>
      <c r="M65" t="n">
        <v>0</v>
      </c>
      <c r="N65" t="n">
        <v>0</v>
      </c>
      <c r="O65" t="n">
        <v>1</v>
      </c>
      <c r="P65" t="n">
        <v>0</v>
      </c>
      <c r="Q65" t="n">
        <v>1</v>
      </c>
      <c r="R65" s="2" t="inlineStr">
        <is>
          <t>Spillkråka</t>
        </is>
      </c>
      <c r="S65">
        <f>HYPERLINK("https://klasma.github.io/Logging_1885/artfynd/A 16692-2026 artfynd.xlsx", "A 16692-2026")</f>
        <v/>
      </c>
      <c r="T65">
        <f>HYPERLINK("https://klasma.github.io/Logging_1885/kartor/A 16692-2026 karta.png", "A 16692-2026")</f>
        <v/>
      </c>
      <c r="V65">
        <f>HYPERLINK("https://klasma.github.io/Logging_1885/klagomål/A 16692-2026 FSC-klagomål.docx", "A 16692-2026")</f>
        <v/>
      </c>
      <c r="W65">
        <f>HYPERLINK("https://klasma.github.io/Logging_1885/klagomålsmail/A 16692-2026 FSC-klagomål mail.docx", "A 16692-2026")</f>
        <v/>
      </c>
      <c r="X65">
        <f>HYPERLINK("https://klasma.github.io/Logging_1885/tillsyn/A 16692-2026 tillsynsbegäran.docx", "A 16692-2026")</f>
        <v/>
      </c>
      <c r="Y65">
        <f>HYPERLINK("https://klasma.github.io/Logging_1885/tillsynsmail/A 16692-2026 tillsynsbegäran mail.docx", "A 16692-2026")</f>
        <v/>
      </c>
      <c r="Z65">
        <f>HYPERLINK("https://klasma.github.io/Logging_1885/fåglar/A 16692-2026 prioriterade fågelarter.docx", "A 16692-2026")</f>
        <v/>
      </c>
    </row>
    <row r="66" ht="15" customHeight="1">
      <c r="A66" t="inlineStr">
        <is>
          <t>A 16693-2026</t>
        </is>
      </c>
      <c r="B66" s="1" t="n">
        <v>46112.83422453704</v>
      </c>
      <c r="C66" s="1" t="n">
        <v>46184</v>
      </c>
      <c r="D66" t="inlineStr">
        <is>
          <t>ÖREBRO LÄN</t>
        </is>
      </c>
      <c r="E66" t="inlineStr">
        <is>
          <t>LINDESBERG</t>
        </is>
      </c>
      <c r="G66" t="n">
        <v>2.1</v>
      </c>
      <c r="H66" t="n">
        <v>1</v>
      </c>
      <c r="I66" t="n">
        <v>0</v>
      </c>
      <c r="J66" t="n">
        <v>0</v>
      </c>
      <c r="K66" t="n">
        <v>0</v>
      </c>
      <c r="L66" t="n">
        <v>0</v>
      </c>
      <c r="M66" t="n">
        <v>0</v>
      </c>
      <c r="N66" t="n">
        <v>0</v>
      </c>
      <c r="O66" t="n">
        <v>0</v>
      </c>
      <c r="P66" t="n">
        <v>0</v>
      </c>
      <c r="Q66" t="n">
        <v>1</v>
      </c>
      <c r="R66" s="2" t="inlineStr">
        <is>
          <t>Tjäder</t>
        </is>
      </c>
      <c r="S66">
        <f>HYPERLINK("https://klasma.github.io/Logging_1885/artfynd/A 16693-2026 artfynd.xlsx", "A 16693-2026")</f>
        <v/>
      </c>
      <c r="T66">
        <f>HYPERLINK("https://klasma.github.io/Logging_1885/kartor/A 16693-2026 karta.png", "A 16693-2026")</f>
        <v/>
      </c>
      <c r="V66">
        <f>HYPERLINK("https://klasma.github.io/Logging_1885/klagomål/A 16693-2026 FSC-klagomål.docx", "A 16693-2026")</f>
        <v/>
      </c>
      <c r="W66">
        <f>HYPERLINK("https://klasma.github.io/Logging_1885/klagomålsmail/A 16693-2026 FSC-klagomål mail.docx", "A 16693-2026")</f>
        <v/>
      </c>
      <c r="X66">
        <f>HYPERLINK("https://klasma.github.io/Logging_1885/tillsyn/A 16693-2026 tillsynsbegäran.docx", "A 16693-2026")</f>
        <v/>
      </c>
      <c r="Y66">
        <f>HYPERLINK("https://klasma.github.io/Logging_1885/tillsynsmail/A 16693-2026 tillsynsbegäran mail.docx", "A 16693-2026")</f>
        <v/>
      </c>
      <c r="Z66">
        <f>HYPERLINK("https://klasma.github.io/Logging_1885/fåglar/A 16693-2026 prioriterade fågelarter.docx", "A 16693-2026")</f>
        <v/>
      </c>
    </row>
    <row r="67" ht="15" customHeight="1">
      <c r="A67" t="inlineStr">
        <is>
          <t>A 23337-2026</t>
        </is>
      </c>
      <c r="B67" s="1" t="n">
        <v>46162.56237268518</v>
      </c>
      <c r="C67" s="1" t="n">
        <v>46184</v>
      </c>
      <c r="D67" t="inlineStr">
        <is>
          <t>ÖREBRO LÄN</t>
        </is>
      </c>
      <c r="E67" t="inlineStr">
        <is>
          <t>LINDESBERG</t>
        </is>
      </c>
      <c r="F67" t="inlineStr">
        <is>
          <t>Naturvårdsverket</t>
        </is>
      </c>
      <c r="G67" t="n">
        <v>1.4</v>
      </c>
      <c r="H67" t="n">
        <v>1</v>
      </c>
      <c r="I67" t="n">
        <v>0</v>
      </c>
      <c r="J67" t="n">
        <v>1</v>
      </c>
      <c r="K67" t="n">
        <v>0</v>
      </c>
      <c r="L67" t="n">
        <v>0</v>
      </c>
      <c r="M67" t="n">
        <v>0</v>
      </c>
      <c r="N67" t="n">
        <v>0</v>
      </c>
      <c r="O67" t="n">
        <v>1</v>
      </c>
      <c r="P67" t="n">
        <v>0</v>
      </c>
      <c r="Q67" t="n">
        <v>1</v>
      </c>
      <c r="R67" s="2" t="inlineStr">
        <is>
          <t>Spillkråka</t>
        </is>
      </c>
      <c r="S67">
        <f>HYPERLINK("https://klasma.github.io/Logging_1885/artfynd/A 23337-2026 artfynd.xlsx", "A 23337-2026")</f>
        <v/>
      </c>
      <c r="T67">
        <f>HYPERLINK("https://klasma.github.io/Logging_1885/kartor/A 23337-2026 karta.png", "A 23337-2026")</f>
        <v/>
      </c>
      <c r="V67">
        <f>HYPERLINK("https://klasma.github.io/Logging_1885/klagomål/A 23337-2026 FSC-klagomål.docx", "A 23337-2026")</f>
        <v/>
      </c>
      <c r="W67">
        <f>HYPERLINK("https://klasma.github.io/Logging_1885/klagomålsmail/A 23337-2026 FSC-klagomål mail.docx", "A 23337-2026")</f>
        <v/>
      </c>
      <c r="X67">
        <f>HYPERLINK("https://klasma.github.io/Logging_1885/tillsyn/A 23337-2026 tillsynsbegäran.docx", "A 23337-2026")</f>
        <v/>
      </c>
      <c r="Y67">
        <f>HYPERLINK("https://klasma.github.io/Logging_1885/tillsynsmail/A 23337-2026 tillsynsbegäran mail.docx", "A 23337-2026")</f>
        <v/>
      </c>
      <c r="Z67">
        <f>HYPERLINK("https://klasma.github.io/Logging_1885/fåglar/A 23337-2026 prioriterade fågelarter.docx", "A 23337-2026")</f>
        <v/>
      </c>
    </row>
    <row r="68" ht="15" customHeight="1">
      <c r="A68" t="inlineStr">
        <is>
          <t>A 28569-2024</t>
        </is>
      </c>
      <c r="B68" s="1" t="n">
        <v>45478.39592592593</v>
      </c>
      <c r="C68" s="1" t="n">
        <v>46184</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18180-2026</t>
        </is>
      </c>
      <c r="B69" s="1" t="n">
        <v>46125.67597222222</v>
      </c>
      <c r="C69" s="1" t="n">
        <v>46184</v>
      </c>
      <c r="D69" t="inlineStr">
        <is>
          <t>ÖREBRO LÄN</t>
        </is>
      </c>
      <c r="E69" t="inlineStr">
        <is>
          <t>LINDESBERG</t>
        </is>
      </c>
      <c r="F69" t="inlineStr">
        <is>
          <t>Sveaskog</t>
        </is>
      </c>
      <c r="G69" t="n">
        <v>2.1</v>
      </c>
      <c r="H69" t="n">
        <v>0</v>
      </c>
      <c r="I69" t="n">
        <v>1</v>
      </c>
      <c r="J69" t="n">
        <v>0</v>
      </c>
      <c r="K69" t="n">
        <v>0</v>
      </c>
      <c r="L69" t="n">
        <v>0</v>
      </c>
      <c r="M69" t="n">
        <v>0</v>
      </c>
      <c r="N69" t="n">
        <v>0</v>
      </c>
      <c r="O69" t="n">
        <v>0</v>
      </c>
      <c r="P69" t="n">
        <v>0</v>
      </c>
      <c r="Q69" t="n">
        <v>1</v>
      </c>
      <c r="R69" s="2" t="inlineStr">
        <is>
          <t>Dropptaggsvamp</t>
        </is>
      </c>
      <c r="S69">
        <f>HYPERLINK("https://klasma.github.io/Logging_1885/artfynd/A 18180-2026 artfynd.xlsx", "A 18180-2026")</f>
        <v/>
      </c>
      <c r="T69">
        <f>HYPERLINK("https://klasma.github.io/Logging_1885/kartor/A 18180-2026 karta.png", "A 18180-2026")</f>
        <v/>
      </c>
      <c r="V69">
        <f>HYPERLINK("https://klasma.github.io/Logging_1885/klagomål/A 18180-2026 FSC-klagomål.docx", "A 18180-2026")</f>
        <v/>
      </c>
      <c r="W69">
        <f>HYPERLINK("https://klasma.github.io/Logging_1885/klagomålsmail/A 18180-2026 FSC-klagomål mail.docx", "A 18180-2026")</f>
        <v/>
      </c>
      <c r="X69">
        <f>HYPERLINK("https://klasma.github.io/Logging_1885/tillsyn/A 18180-2026 tillsynsbegäran.docx", "A 18180-2026")</f>
        <v/>
      </c>
      <c r="Y69">
        <f>HYPERLINK("https://klasma.github.io/Logging_1885/tillsynsmail/A 18180-2026 tillsynsbegäran mail.docx", "A 18180-2026")</f>
        <v/>
      </c>
    </row>
    <row r="70" ht="15" customHeight="1">
      <c r="A70" t="inlineStr">
        <is>
          <t>A 18178-2026</t>
        </is>
      </c>
      <c r="B70" s="1" t="n">
        <v>46125.67452546296</v>
      </c>
      <c r="C70" s="1" t="n">
        <v>46184</v>
      </c>
      <c r="D70" t="inlineStr">
        <is>
          <t>ÖREBRO LÄN</t>
        </is>
      </c>
      <c r="E70" t="inlineStr">
        <is>
          <t>LINDESBERG</t>
        </is>
      </c>
      <c r="F70" t="inlineStr">
        <is>
          <t>Sveaskog</t>
        </is>
      </c>
      <c r="G70" t="n">
        <v>4.4</v>
      </c>
      <c r="H70" t="n">
        <v>0</v>
      </c>
      <c r="I70" t="n">
        <v>0</v>
      </c>
      <c r="J70" t="n">
        <v>1</v>
      </c>
      <c r="K70" t="n">
        <v>0</v>
      </c>
      <c r="L70" t="n">
        <v>0</v>
      </c>
      <c r="M70" t="n">
        <v>0</v>
      </c>
      <c r="N70" t="n">
        <v>0</v>
      </c>
      <c r="O70" t="n">
        <v>1</v>
      </c>
      <c r="P70" t="n">
        <v>0</v>
      </c>
      <c r="Q70" t="n">
        <v>1</v>
      </c>
      <c r="R70" s="2" t="inlineStr">
        <is>
          <t>Svartvit taggsvamp</t>
        </is>
      </c>
      <c r="S70">
        <f>HYPERLINK("https://klasma.github.io/Logging_1885/artfynd/A 18178-2026 artfynd.xlsx", "A 18178-2026")</f>
        <v/>
      </c>
      <c r="T70">
        <f>HYPERLINK("https://klasma.github.io/Logging_1885/kartor/A 18178-2026 karta.png", "A 18178-2026")</f>
        <v/>
      </c>
      <c r="V70">
        <f>HYPERLINK("https://klasma.github.io/Logging_1885/klagomål/A 18178-2026 FSC-klagomål.docx", "A 18178-2026")</f>
        <v/>
      </c>
      <c r="W70">
        <f>HYPERLINK("https://klasma.github.io/Logging_1885/klagomålsmail/A 18178-2026 FSC-klagomål mail.docx", "A 18178-2026")</f>
        <v/>
      </c>
      <c r="X70">
        <f>HYPERLINK("https://klasma.github.io/Logging_1885/tillsyn/A 18178-2026 tillsynsbegäran.docx", "A 18178-2026")</f>
        <v/>
      </c>
      <c r="Y70">
        <f>HYPERLINK("https://klasma.github.io/Logging_1885/tillsynsmail/A 18178-2026 tillsynsbegäran mail.docx", "A 18178-2026")</f>
        <v/>
      </c>
    </row>
    <row r="71" ht="15" customHeight="1">
      <c r="A71" t="inlineStr">
        <is>
          <t>A 18639-2026</t>
        </is>
      </c>
      <c r="B71" s="1" t="n">
        <v>46128.32203703704</v>
      </c>
      <c r="C71" s="1" t="n">
        <v>46184</v>
      </c>
      <c r="D71" t="inlineStr">
        <is>
          <t>ÖREBRO LÄN</t>
        </is>
      </c>
      <c r="E71" t="inlineStr">
        <is>
          <t>LINDESBERG</t>
        </is>
      </c>
      <c r="F71" t="inlineStr">
        <is>
          <t>Sveaskog</t>
        </is>
      </c>
      <c r="G71" t="n">
        <v>6</v>
      </c>
      <c r="H71" t="n">
        <v>1</v>
      </c>
      <c r="I71" t="n">
        <v>1</v>
      </c>
      <c r="J71" t="n">
        <v>0</v>
      </c>
      <c r="K71" t="n">
        <v>0</v>
      </c>
      <c r="L71" t="n">
        <v>0</v>
      </c>
      <c r="M71" t="n">
        <v>0</v>
      </c>
      <c r="N71" t="n">
        <v>0</v>
      </c>
      <c r="O71" t="n">
        <v>0</v>
      </c>
      <c r="P71" t="n">
        <v>0</v>
      </c>
      <c r="Q71" t="n">
        <v>1</v>
      </c>
      <c r="R71" s="2" t="inlineStr">
        <is>
          <t>Plattlummer</t>
        </is>
      </c>
      <c r="S71">
        <f>HYPERLINK("https://klasma.github.io/Logging_1885/artfynd/A 18639-2026 artfynd.xlsx", "A 18639-2026")</f>
        <v/>
      </c>
      <c r="T71">
        <f>HYPERLINK("https://klasma.github.io/Logging_1885/kartor/A 18639-2026 karta.png", "A 18639-2026")</f>
        <v/>
      </c>
      <c r="V71">
        <f>HYPERLINK("https://klasma.github.io/Logging_1885/klagomål/A 18639-2026 FSC-klagomål.docx", "A 18639-2026")</f>
        <v/>
      </c>
      <c r="W71">
        <f>HYPERLINK("https://klasma.github.io/Logging_1885/klagomålsmail/A 18639-2026 FSC-klagomål mail.docx", "A 18639-2026")</f>
        <v/>
      </c>
      <c r="X71">
        <f>HYPERLINK("https://klasma.github.io/Logging_1885/tillsyn/A 18639-2026 tillsynsbegäran.docx", "A 18639-2026")</f>
        <v/>
      </c>
      <c r="Y71">
        <f>HYPERLINK("https://klasma.github.io/Logging_1885/tillsynsmail/A 18639-2026 tillsynsbegäran mail.docx", "A 18639-2026")</f>
        <v/>
      </c>
    </row>
    <row r="72" ht="15" customHeight="1">
      <c r="A72" t="inlineStr">
        <is>
          <t>A 16791-2024</t>
        </is>
      </c>
      <c r="B72" s="1" t="n">
        <v>45411.42858796296</v>
      </c>
      <c r="C72" s="1" t="n">
        <v>46184</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46184</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70466-2021</t>
        </is>
      </c>
      <c r="B74" s="1" t="n">
        <v>44536</v>
      </c>
      <c r="C74" s="1" t="n">
        <v>46184</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58206-2023</t>
        </is>
      </c>
      <c r="B75" s="1" t="n">
        <v>45250</v>
      </c>
      <c r="C75" s="1" t="n">
        <v>46184</v>
      </c>
      <c r="D75" t="inlineStr">
        <is>
          <t>ÖREBRO LÄN</t>
        </is>
      </c>
      <c r="E75" t="inlineStr">
        <is>
          <t>LINDESBERG</t>
        </is>
      </c>
      <c r="F75" t="inlineStr">
        <is>
          <t>Sveaskog</t>
        </is>
      </c>
      <c r="G75" t="n">
        <v>1.4</v>
      </c>
      <c r="H75" t="n">
        <v>1</v>
      </c>
      <c r="I75" t="n">
        <v>0</v>
      </c>
      <c r="J75" t="n">
        <v>0</v>
      </c>
      <c r="K75" t="n">
        <v>0</v>
      </c>
      <c r="L75" t="n">
        <v>0</v>
      </c>
      <c r="M75" t="n">
        <v>0</v>
      </c>
      <c r="N75" t="n">
        <v>0</v>
      </c>
      <c r="O75" t="n">
        <v>0</v>
      </c>
      <c r="P75" t="n">
        <v>0</v>
      </c>
      <c r="Q75" t="n">
        <v>1</v>
      </c>
      <c r="R75" s="2" t="inlineStr">
        <is>
          <t>Fläcknycklar</t>
        </is>
      </c>
      <c r="S75">
        <f>HYPERLINK("https://klasma.github.io/Logging_1885/artfynd/A 58206-2023 artfynd.xlsx", "A 58206-2023")</f>
        <v/>
      </c>
      <c r="T75">
        <f>HYPERLINK("https://klasma.github.io/Logging_1885/kartor/A 58206-2023 karta.png", "A 58206-2023")</f>
        <v/>
      </c>
      <c r="V75">
        <f>HYPERLINK("https://klasma.github.io/Logging_1885/klagomål/A 58206-2023 FSC-klagomål.docx", "A 58206-2023")</f>
        <v/>
      </c>
      <c r="W75">
        <f>HYPERLINK("https://klasma.github.io/Logging_1885/klagomålsmail/A 58206-2023 FSC-klagomål mail.docx", "A 58206-2023")</f>
        <v/>
      </c>
      <c r="X75">
        <f>HYPERLINK("https://klasma.github.io/Logging_1885/tillsyn/A 58206-2023 tillsynsbegäran.docx", "A 58206-2023")</f>
        <v/>
      </c>
      <c r="Y75">
        <f>HYPERLINK("https://klasma.github.io/Logging_1885/tillsynsmail/A 58206-2023 tillsynsbegäran mail.docx", "A 58206-2023")</f>
        <v/>
      </c>
    </row>
    <row r="76" ht="15" customHeight="1">
      <c r="A76" t="inlineStr">
        <is>
          <t>A 28787-2023</t>
        </is>
      </c>
      <c r="B76" s="1" t="n">
        <v>45104.3483912037</v>
      </c>
      <c r="C76" s="1" t="n">
        <v>46184</v>
      </c>
      <c r="D76" t="inlineStr">
        <is>
          <t>ÖREBRO LÄN</t>
        </is>
      </c>
      <c r="E76" t="inlineStr">
        <is>
          <t>LINDESBERG</t>
        </is>
      </c>
      <c r="F76" t="inlineStr">
        <is>
          <t>Sveaskog</t>
        </is>
      </c>
      <c r="G76" t="n">
        <v>0.5</v>
      </c>
      <c r="H76" t="n">
        <v>1</v>
      </c>
      <c r="I76" t="n">
        <v>0</v>
      </c>
      <c r="J76" t="n">
        <v>0</v>
      </c>
      <c r="K76" t="n">
        <v>0</v>
      </c>
      <c r="L76" t="n">
        <v>0</v>
      </c>
      <c r="M76" t="n">
        <v>0</v>
      </c>
      <c r="N76" t="n">
        <v>0</v>
      </c>
      <c r="O76" t="n">
        <v>0</v>
      </c>
      <c r="P76" t="n">
        <v>0</v>
      </c>
      <c r="Q76" t="n">
        <v>1</v>
      </c>
      <c r="R76" s="2" t="inlineStr">
        <is>
          <t>Fläcknycklar</t>
        </is>
      </c>
      <c r="S76">
        <f>HYPERLINK("https://klasma.github.io/Logging_1885/artfynd/A 28787-2023 artfynd.xlsx", "A 28787-2023")</f>
        <v/>
      </c>
      <c r="T76">
        <f>HYPERLINK("https://klasma.github.io/Logging_1885/kartor/A 28787-2023 karta.png", "A 28787-2023")</f>
        <v/>
      </c>
      <c r="V76">
        <f>HYPERLINK("https://klasma.github.io/Logging_1885/klagomål/A 28787-2023 FSC-klagomål.docx", "A 28787-2023")</f>
        <v/>
      </c>
      <c r="W76">
        <f>HYPERLINK("https://klasma.github.io/Logging_1885/klagomålsmail/A 28787-2023 FSC-klagomål mail.docx", "A 28787-2023")</f>
        <v/>
      </c>
      <c r="X76">
        <f>HYPERLINK("https://klasma.github.io/Logging_1885/tillsyn/A 28787-2023 tillsynsbegäran.docx", "A 28787-2023")</f>
        <v/>
      </c>
      <c r="Y76">
        <f>HYPERLINK("https://klasma.github.io/Logging_1885/tillsynsmail/A 28787-2023 tillsynsbegäran mail.docx", "A 28787-2023")</f>
        <v/>
      </c>
    </row>
    <row r="77" ht="15" customHeight="1">
      <c r="A77" t="inlineStr">
        <is>
          <t>A 56049-2022</t>
        </is>
      </c>
      <c r="B77" s="1" t="n">
        <v>44889.5746875</v>
      </c>
      <c r="C77" s="1" t="n">
        <v>46184</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46184</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46184</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46184</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46184</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46184</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46570-2021</t>
        </is>
      </c>
      <c r="B83" s="1" t="n">
        <v>44445.4953587963</v>
      </c>
      <c r="C83" s="1" t="n">
        <v>46184</v>
      </c>
      <c r="D83" t="inlineStr">
        <is>
          <t>ÖREBRO LÄN</t>
        </is>
      </c>
      <c r="E83" t="inlineStr">
        <is>
          <t>LINDESBERG</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46184</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46184</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46184</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46184</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46184</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46184</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46184</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46184</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46184</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46184</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46184</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46184</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46184</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46184</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46184</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46184</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12522-2022</t>
        </is>
      </c>
      <c r="B100" s="1" t="n">
        <v>44638</v>
      </c>
      <c r="C100" s="1" t="n">
        <v>46184</v>
      </c>
      <c r="D100" t="inlineStr">
        <is>
          <t>ÖREBRO LÄN</t>
        </is>
      </c>
      <c r="E100" t="inlineStr">
        <is>
          <t>LINDESBERG</t>
        </is>
      </c>
      <c r="G100" t="n">
        <v>6.2</v>
      </c>
      <c r="H100" t="n">
        <v>0</v>
      </c>
      <c r="I100" t="n">
        <v>0</v>
      </c>
      <c r="J100" t="n">
        <v>0</v>
      </c>
      <c r="K100" t="n">
        <v>0</v>
      </c>
      <c r="L100" t="n">
        <v>0</v>
      </c>
      <c r="M100" t="n">
        <v>0</v>
      </c>
      <c r="N100" t="n">
        <v>0</v>
      </c>
      <c r="O100" t="n">
        <v>0</v>
      </c>
      <c r="P100" t="n">
        <v>0</v>
      </c>
      <c r="Q100" t="n">
        <v>0</v>
      </c>
      <c r="R100" s="2" t="inlineStr"/>
    </row>
    <row r="101" ht="15" customHeight="1">
      <c r="A101" t="inlineStr">
        <is>
          <t>A 22738-2022</t>
        </is>
      </c>
      <c r="B101" s="1" t="n">
        <v>44714</v>
      </c>
      <c r="C101" s="1" t="n">
        <v>46184</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10821-2022</t>
        </is>
      </c>
      <c r="B102" s="1" t="n">
        <v>44627</v>
      </c>
      <c r="C102" s="1" t="n">
        <v>46184</v>
      </c>
      <c r="D102" t="inlineStr">
        <is>
          <t>ÖREBRO LÄN</t>
        </is>
      </c>
      <c r="E102" t="inlineStr">
        <is>
          <t>LINDESBERG</t>
        </is>
      </c>
      <c r="G102" t="n">
        <v>0.4</v>
      </c>
      <c r="H102" t="n">
        <v>0</v>
      </c>
      <c r="I102" t="n">
        <v>0</v>
      </c>
      <c r="J102" t="n">
        <v>0</v>
      </c>
      <c r="K102" t="n">
        <v>0</v>
      </c>
      <c r="L102" t="n">
        <v>0</v>
      </c>
      <c r="M102" t="n">
        <v>0</v>
      </c>
      <c r="N102" t="n">
        <v>0</v>
      </c>
      <c r="O102" t="n">
        <v>0</v>
      </c>
      <c r="P102" t="n">
        <v>0</v>
      </c>
      <c r="Q102" t="n">
        <v>0</v>
      </c>
      <c r="R102" s="2" t="inlineStr"/>
    </row>
    <row r="103" ht="15" customHeight="1">
      <c r="A103" t="inlineStr">
        <is>
          <t>A 33760-2022</t>
        </is>
      </c>
      <c r="B103" s="1" t="n">
        <v>44790</v>
      </c>
      <c r="C103" s="1" t="n">
        <v>46184</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46184</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46184</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46184</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46184</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46184</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46184</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46184</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46184</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32615-2021</t>
        </is>
      </c>
      <c r="B112" s="1" t="n">
        <v>44375</v>
      </c>
      <c r="C112" s="1" t="n">
        <v>46184</v>
      </c>
      <c r="D112" t="inlineStr">
        <is>
          <t>ÖREBRO LÄN</t>
        </is>
      </c>
      <c r="E112" t="inlineStr">
        <is>
          <t>LINDESBERG</t>
        </is>
      </c>
      <c r="G112" t="n">
        <v>5</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46184</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46184</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46184</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46184</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46184</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46184</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72713-2021</t>
        </is>
      </c>
      <c r="B119" s="1" t="n">
        <v>44546.67978009259</v>
      </c>
      <c r="C119" s="1" t="n">
        <v>46184</v>
      </c>
      <c r="D119" t="inlineStr">
        <is>
          <t>ÖREBRO LÄN</t>
        </is>
      </c>
      <c r="E119" t="inlineStr">
        <is>
          <t>LINDESBERG</t>
        </is>
      </c>
      <c r="G119" t="n">
        <v>0.3</v>
      </c>
      <c r="H119" t="n">
        <v>0</v>
      </c>
      <c r="I119" t="n">
        <v>0</v>
      </c>
      <c r="J119" t="n">
        <v>0</v>
      </c>
      <c r="K119" t="n">
        <v>0</v>
      </c>
      <c r="L119" t="n">
        <v>0</v>
      </c>
      <c r="M119" t="n">
        <v>0</v>
      </c>
      <c r="N119" t="n">
        <v>0</v>
      </c>
      <c r="O119" t="n">
        <v>0</v>
      </c>
      <c r="P119" t="n">
        <v>0</v>
      </c>
      <c r="Q119" t="n">
        <v>0</v>
      </c>
      <c r="R119" s="2" t="inlineStr"/>
    </row>
    <row r="120" ht="15" customHeight="1">
      <c r="A120" t="inlineStr">
        <is>
          <t>A 16424-2022</t>
        </is>
      </c>
      <c r="B120" s="1" t="n">
        <v>44671</v>
      </c>
      <c r="C120" s="1" t="n">
        <v>46184</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46184</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46184</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46184</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46184</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46184</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46184</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46184</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57765-2021</t>
        </is>
      </c>
      <c r="B128" s="1" t="n">
        <v>44484.56523148148</v>
      </c>
      <c r="C128" s="1" t="n">
        <v>46184</v>
      </c>
      <c r="D128" t="inlineStr">
        <is>
          <t>ÖREBRO LÄN</t>
        </is>
      </c>
      <c r="E128" t="inlineStr">
        <is>
          <t>LINDESBERG</t>
        </is>
      </c>
      <c r="G128" t="n">
        <v>3.4</v>
      </c>
      <c r="H128" t="n">
        <v>0</v>
      </c>
      <c r="I128" t="n">
        <v>0</v>
      </c>
      <c r="J128" t="n">
        <v>0</v>
      </c>
      <c r="K128" t="n">
        <v>0</v>
      </c>
      <c r="L128" t="n">
        <v>0</v>
      </c>
      <c r="M128" t="n">
        <v>0</v>
      </c>
      <c r="N128" t="n">
        <v>0</v>
      </c>
      <c r="O128" t="n">
        <v>0</v>
      </c>
      <c r="P128" t="n">
        <v>0</v>
      </c>
      <c r="Q128" t="n">
        <v>0</v>
      </c>
      <c r="R128" s="2" t="inlineStr"/>
    </row>
    <row r="129" ht="15" customHeight="1">
      <c r="A129" t="inlineStr">
        <is>
          <t>A 19612-2022</t>
        </is>
      </c>
      <c r="B129" s="1" t="n">
        <v>44694.29309027778</v>
      </c>
      <c r="C129" s="1" t="n">
        <v>46184</v>
      </c>
      <c r="D129" t="inlineStr">
        <is>
          <t>ÖREBRO LÄN</t>
        </is>
      </c>
      <c r="E129" t="inlineStr">
        <is>
          <t>LINDESBERG</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46184</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46184</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46184</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46184</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46184</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50498-2021</t>
        </is>
      </c>
      <c r="B135" s="1" t="n">
        <v>44459.57613425926</v>
      </c>
      <c r="C135" s="1" t="n">
        <v>46184</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47425-2021</t>
        </is>
      </c>
      <c r="B136" s="1" t="n">
        <v>44447</v>
      </c>
      <c r="C136" s="1" t="n">
        <v>46184</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16123-2022</t>
        </is>
      </c>
      <c r="B137" s="1" t="n">
        <v>44665</v>
      </c>
      <c r="C137" s="1" t="n">
        <v>46184</v>
      </c>
      <c r="D137" t="inlineStr">
        <is>
          <t>ÖREBRO LÄN</t>
        </is>
      </c>
      <c r="E137" t="inlineStr">
        <is>
          <t>LINDESBERG</t>
        </is>
      </c>
      <c r="G137" t="n">
        <v>10.6</v>
      </c>
      <c r="H137" t="n">
        <v>0</v>
      </c>
      <c r="I137" t="n">
        <v>0</v>
      </c>
      <c r="J137" t="n">
        <v>0</v>
      </c>
      <c r="K137" t="n">
        <v>0</v>
      </c>
      <c r="L137" t="n">
        <v>0</v>
      </c>
      <c r="M137" t="n">
        <v>0</v>
      </c>
      <c r="N137" t="n">
        <v>0</v>
      </c>
      <c r="O137" t="n">
        <v>0</v>
      </c>
      <c r="P137" t="n">
        <v>0</v>
      </c>
      <c r="Q137" t="n">
        <v>0</v>
      </c>
      <c r="R137" s="2" t="inlineStr"/>
    </row>
    <row r="138" ht="15" customHeight="1">
      <c r="A138" t="inlineStr">
        <is>
          <t>A 5338-2022</t>
        </is>
      </c>
      <c r="B138" s="1" t="n">
        <v>44594</v>
      </c>
      <c r="C138" s="1" t="n">
        <v>46184</v>
      </c>
      <c r="D138" t="inlineStr">
        <is>
          <t>ÖREBRO LÄN</t>
        </is>
      </c>
      <c r="E138" t="inlineStr">
        <is>
          <t>LINDESBERG</t>
        </is>
      </c>
      <c r="G138" t="n">
        <v>1.3</v>
      </c>
      <c r="H138" t="n">
        <v>0</v>
      </c>
      <c r="I138" t="n">
        <v>0</v>
      </c>
      <c r="J138" t="n">
        <v>0</v>
      </c>
      <c r="K138" t="n">
        <v>0</v>
      </c>
      <c r="L138" t="n">
        <v>0</v>
      </c>
      <c r="M138" t="n">
        <v>0</v>
      </c>
      <c r="N138" t="n">
        <v>0</v>
      </c>
      <c r="O138" t="n">
        <v>0</v>
      </c>
      <c r="P138" t="n">
        <v>0</v>
      </c>
      <c r="Q138" t="n">
        <v>0</v>
      </c>
      <c r="R138" s="2" t="inlineStr"/>
    </row>
    <row r="139" ht="15" customHeight="1">
      <c r="A139" t="inlineStr">
        <is>
          <t>A 43453-2021</t>
        </is>
      </c>
      <c r="B139" s="1" t="n">
        <v>44432.68241898148</v>
      </c>
      <c r="C139" s="1" t="n">
        <v>46184</v>
      </c>
      <c r="D139" t="inlineStr">
        <is>
          <t>ÖREBRO LÄN</t>
        </is>
      </c>
      <c r="E139" t="inlineStr">
        <is>
          <t>LINDESBERG</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43452-2021</t>
        </is>
      </c>
      <c r="B140" s="1" t="n">
        <v>44432</v>
      </c>
      <c r="C140" s="1" t="n">
        <v>46184</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c r="U140">
        <f>HYPERLINK("https://klasma.github.io/Logging_1885/knärot/A 43452-2021 karta knärot.png", "A 43452-2021")</f>
        <v/>
      </c>
      <c r="V140">
        <f>HYPERLINK("https://klasma.github.io/Logging_1885/klagomål/A 43452-2021 FSC-klagomål.docx", "A 43452-2021")</f>
        <v/>
      </c>
      <c r="W140">
        <f>HYPERLINK("https://klasma.github.io/Logging_1885/klagomålsmail/A 43452-2021 FSC-klagomål mail.docx", "A 43452-2021")</f>
        <v/>
      </c>
      <c r="X140">
        <f>HYPERLINK("https://klasma.github.io/Logging_1885/tillsyn/A 43452-2021 tillsynsbegäran.docx", "A 43452-2021")</f>
        <v/>
      </c>
      <c r="Y140">
        <f>HYPERLINK("https://klasma.github.io/Logging_1885/tillsynsmail/A 43452-2021 tillsynsbegäran mail.docx", "A 43452-2021")</f>
        <v/>
      </c>
    </row>
    <row r="141" ht="15" customHeight="1">
      <c r="A141" t="inlineStr">
        <is>
          <t>A 58103-2021</t>
        </is>
      </c>
      <c r="B141" s="1" t="n">
        <v>44487.51556712963</v>
      </c>
      <c r="C141" s="1" t="n">
        <v>46184</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60900-2021</t>
        </is>
      </c>
      <c r="B142" s="1" t="n">
        <v>44497</v>
      </c>
      <c r="C142" s="1" t="n">
        <v>46184</v>
      </c>
      <c r="D142" t="inlineStr">
        <is>
          <t>ÖREBRO LÄN</t>
        </is>
      </c>
      <c r="E142" t="inlineStr">
        <is>
          <t>LINDESBERG</t>
        </is>
      </c>
      <c r="G142" t="n">
        <v>7.3</v>
      </c>
      <c r="H142" t="n">
        <v>0</v>
      </c>
      <c r="I142" t="n">
        <v>0</v>
      </c>
      <c r="J142" t="n">
        <v>0</v>
      </c>
      <c r="K142" t="n">
        <v>0</v>
      </c>
      <c r="L142" t="n">
        <v>0</v>
      </c>
      <c r="M142" t="n">
        <v>0</v>
      </c>
      <c r="N142" t="n">
        <v>0</v>
      </c>
      <c r="O142" t="n">
        <v>0</v>
      </c>
      <c r="P142" t="n">
        <v>0</v>
      </c>
      <c r="Q142" t="n">
        <v>0</v>
      </c>
      <c r="R142" s="2" t="inlineStr"/>
    </row>
    <row r="143" ht="15" customHeight="1">
      <c r="A143" t="inlineStr">
        <is>
          <t>A 50069-2021</t>
        </is>
      </c>
      <c r="B143" s="1" t="n">
        <v>44456</v>
      </c>
      <c r="C143" s="1" t="n">
        <v>46184</v>
      </c>
      <c r="D143" t="inlineStr">
        <is>
          <t>ÖREBRO LÄN</t>
        </is>
      </c>
      <c r="E143" t="inlineStr">
        <is>
          <t>LINDESBERG</t>
        </is>
      </c>
      <c r="G143" t="n">
        <v>14.5</v>
      </c>
      <c r="H143" t="n">
        <v>0</v>
      </c>
      <c r="I143" t="n">
        <v>0</v>
      </c>
      <c r="J143" t="n">
        <v>0</v>
      </c>
      <c r="K143" t="n">
        <v>0</v>
      </c>
      <c r="L143" t="n">
        <v>0</v>
      </c>
      <c r="M143" t="n">
        <v>0</v>
      </c>
      <c r="N143" t="n">
        <v>0</v>
      </c>
      <c r="O143" t="n">
        <v>0</v>
      </c>
      <c r="P143" t="n">
        <v>0</v>
      </c>
      <c r="Q143" t="n">
        <v>0</v>
      </c>
      <c r="R143" s="2" t="inlineStr"/>
    </row>
    <row r="144" ht="15" customHeight="1">
      <c r="A144" t="inlineStr">
        <is>
          <t>A 39773-2022</t>
        </is>
      </c>
      <c r="B144" s="1" t="n">
        <v>44819</v>
      </c>
      <c r="C144" s="1" t="n">
        <v>46184</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52187-2021</t>
        </is>
      </c>
      <c r="B145" s="1" t="n">
        <v>44463</v>
      </c>
      <c r="C145" s="1" t="n">
        <v>46184</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46184</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46184</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46184</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46184</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48154-2021</t>
        </is>
      </c>
      <c r="B150" s="1" t="n">
        <v>44449</v>
      </c>
      <c r="C150" s="1" t="n">
        <v>46184</v>
      </c>
      <c r="D150" t="inlineStr">
        <is>
          <t>ÖREBRO LÄN</t>
        </is>
      </c>
      <c r="E150" t="inlineStr">
        <is>
          <t>LINDESBERG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10277-2022</t>
        </is>
      </c>
      <c r="B151" s="1" t="n">
        <v>44622.69101851852</v>
      </c>
      <c r="C151" s="1" t="n">
        <v>46184</v>
      </c>
      <c r="D151" t="inlineStr">
        <is>
          <t>ÖREBRO LÄN</t>
        </is>
      </c>
      <c r="E151" t="inlineStr">
        <is>
          <t>LINDESBERG</t>
        </is>
      </c>
      <c r="G151" t="n">
        <v>4.2</v>
      </c>
      <c r="H151" t="n">
        <v>0</v>
      </c>
      <c r="I151" t="n">
        <v>0</v>
      </c>
      <c r="J151" t="n">
        <v>0</v>
      </c>
      <c r="K151" t="n">
        <v>0</v>
      </c>
      <c r="L151" t="n">
        <v>0</v>
      </c>
      <c r="M151" t="n">
        <v>0</v>
      </c>
      <c r="N151" t="n">
        <v>0</v>
      </c>
      <c r="O151" t="n">
        <v>0</v>
      </c>
      <c r="P151" t="n">
        <v>0</v>
      </c>
      <c r="Q151" t="n">
        <v>0</v>
      </c>
      <c r="R151" s="2" t="inlineStr"/>
    </row>
    <row r="152" ht="15" customHeight="1">
      <c r="A152" t="inlineStr">
        <is>
          <t>A 59655-2021</t>
        </is>
      </c>
      <c r="B152" s="1" t="n">
        <v>44491</v>
      </c>
      <c r="C152" s="1" t="n">
        <v>46184</v>
      </c>
      <c r="D152" t="inlineStr">
        <is>
          <t>ÖREBRO LÄN</t>
        </is>
      </c>
      <c r="E152" t="inlineStr">
        <is>
          <t>LINDESBERG</t>
        </is>
      </c>
      <c r="G152" t="n">
        <v>7</v>
      </c>
      <c r="H152" t="n">
        <v>0</v>
      </c>
      <c r="I152" t="n">
        <v>0</v>
      </c>
      <c r="J152" t="n">
        <v>0</v>
      </c>
      <c r="K152" t="n">
        <v>0</v>
      </c>
      <c r="L152" t="n">
        <v>0</v>
      </c>
      <c r="M152" t="n">
        <v>0</v>
      </c>
      <c r="N152" t="n">
        <v>0</v>
      </c>
      <c r="O152" t="n">
        <v>0</v>
      </c>
      <c r="P152" t="n">
        <v>0</v>
      </c>
      <c r="Q152" t="n">
        <v>0</v>
      </c>
      <c r="R152" s="2" t="inlineStr"/>
    </row>
    <row r="153" ht="15" customHeight="1">
      <c r="A153" t="inlineStr">
        <is>
          <t>A 52851-2022</t>
        </is>
      </c>
      <c r="B153" s="1" t="n">
        <v>44875.47543981481</v>
      </c>
      <c r="C153" s="1" t="n">
        <v>46184</v>
      </c>
      <c r="D153" t="inlineStr">
        <is>
          <t>ÖREBRO LÄN</t>
        </is>
      </c>
      <c r="E153" t="inlineStr">
        <is>
          <t>LINDESBERG</t>
        </is>
      </c>
      <c r="G153" t="n">
        <v>2.9</v>
      </c>
      <c r="H153" t="n">
        <v>0</v>
      </c>
      <c r="I153" t="n">
        <v>0</v>
      </c>
      <c r="J153" t="n">
        <v>0</v>
      </c>
      <c r="K153" t="n">
        <v>0</v>
      </c>
      <c r="L153" t="n">
        <v>0</v>
      </c>
      <c r="M153" t="n">
        <v>0</v>
      </c>
      <c r="N153" t="n">
        <v>0</v>
      </c>
      <c r="O153" t="n">
        <v>0</v>
      </c>
      <c r="P153" t="n">
        <v>0</v>
      </c>
      <c r="Q153" t="n">
        <v>0</v>
      </c>
      <c r="R153" s="2" t="inlineStr"/>
    </row>
    <row r="154" ht="15" customHeight="1">
      <c r="A154" t="inlineStr">
        <is>
          <t>A 36221-2021</t>
        </is>
      </c>
      <c r="B154" s="1" t="n">
        <v>44389</v>
      </c>
      <c r="C154" s="1" t="n">
        <v>46184</v>
      </c>
      <c r="D154" t="inlineStr">
        <is>
          <t>ÖREBRO LÄN</t>
        </is>
      </c>
      <c r="E154" t="inlineStr">
        <is>
          <t>LINDESBERG</t>
        </is>
      </c>
      <c r="G154" t="n">
        <v>5.9</v>
      </c>
      <c r="H154" t="n">
        <v>0</v>
      </c>
      <c r="I154" t="n">
        <v>0</v>
      </c>
      <c r="J154" t="n">
        <v>0</v>
      </c>
      <c r="K154" t="n">
        <v>0</v>
      </c>
      <c r="L154" t="n">
        <v>0</v>
      </c>
      <c r="M154" t="n">
        <v>0</v>
      </c>
      <c r="N154" t="n">
        <v>0</v>
      </c>
      <c r="O154" t="n">
        <v>0</v>
      </c>
      <c r="P154" t="n">
        <v>0</v>
      </c>
      <c r="Q154" t="n">
        <v>0</v>
      </c>
      <c r="R154" s="2" t="inlineStr"/>
    </row>
    <row r="155" ht="15" customHeight="1">
      <c r="A155" t="inlineStr">
        <is>
          <t>A 68491-2021</t>
        </is>
      </c>
      <c r="B155" s="1" t="n">
        <v>44526</v>
      </c>
      <c r="C155" s="1" t="n">
        <v>46184</v>
      </c>
      <c r="D155" t="inlineStr">
        <is>
          <t>ÖREBRO LÄN</t>
        </is>
      </c>
      <c r="E155" t="inlineStr">
        <is>
          <t>LINDESBERG</t>
        </is>
      </c>
      <c r="G155" t="n">
        <v>1</v>
      </c>
      <c r="H155" t="n">
        <v>0</v>
      </c>
      <c r="I155" t="n">
        <v>0</v>
      </c>
      <c r="J155" t="n">
        <v>0</v>
      </c>
      <c r="K155" t="n">
        <v>0</v>
      </c>
      <c r="L155" t="n">
        <v>0</v>
      </c>
      <c r="M155" t="n">
        <v>0</v>
      </c>
      <c r="N155" t="n">
        <v>0</v>
      </c>
      <c r="O155" t="n">
        <v>0</v>
      </c>
      <c r="P155" t="n">
        <v>0</v>
      </c>
      <c r="Q155" t="n">
        <v>0</v>
      </c>
      <c r="R155" s="2" t="inlineStr"/>
    </row>
    <row r="156" ht="15" customHeight="1">
      <c r="A156" t="inlineStr">
        <is>
          <t>A 56123-2022</t>
        </is>
      </c>
      <c r="B156" s="1" t="n">
        <v>44889.68100694445</v>
      </c>
      <c r="C156" s="1" t="n">
        <v>46184</v>
      </c>
      <c r="D156" t="inlineStr">
        <is>
          <t>ÖREBRO LÄN</t>
        </is>
      </c>
      <c r="E156" t="inlineStr">
        <is>
          <t>LINDESBERG</t>
        </is>
      </c>
      <c r="G156" t="n">
        <v>2.2</v>
      </c>
      <c r="H156" t="n">
        <v>0</v>
      </c>
      <c r="I156" t="n">
        <v>0</v>
      </c>
      <c r="J156" t="n">
        <v>0</v>
      </c>
      <c r="K156" t="n">
        <v>0</v>
      </c>
      <c r="L156" t="n">
        <v>0</v>
      </c>
      <c r="M156" t="n">
        <v>0</v>
      </c>
      <c r="N156" t="n">
        <v>0</v>
      </c>
      <c r="O156" t="n">
        <v>0</v>
      </c>
      <c r="P156" t="n">
        <v>0</v>
      </c>
      <c r="Q156" t="n">
        <v>0</v>
      </c>
      <c r="R156" s="2" t="inlineStr"/>
    </row>
    <row r="157" ht="15" customHeight="1">
      <c r="A157" t="inlineStr">
        <is>
          <t>A 47044-2021</t>
        </is>
      </c>
      <c r="B157" s="1" t="n">
        <v>44446</v>
      </c>
      <c r="C157" s="1" t="n">
        <v>46184</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46184</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46184</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46184</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48365-2021</t>
        </is>
      </c>
      <c r="B161" s="1" t="n">
        <v>44451.78710648148</v>
      </c>
      <c r="C161" s="1" t="n">
        <v>46184</v>
      </c>
      <c r="D161" t="inlineStr">
        <is>
          <t>ÖREBRO LÄN</t>
        </is>
      </c>
      <c r="E161" t="inlineStr">
        <is>
          <t>LINDESBERG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16130-2022</t>
        </is>
      </c>
      <c r="B162" s="1" t="n">
        <v>44665</v>
      </c>
      <c r="C162" s="1" t="n">
        <v>46184</v>
      </c>
      <c r="D162" t="inlineStr">
        <is>
          <t>ÖREBRO LÄN</t>
        </is>
      </c>
      <c r="E162" t="inlineStr">
        <is>
          <t>LINDESBERG</t>
        </is>
      </c>
      <c r="G162" t="n">
        <v>3.5</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46184</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62014-2021</t>
        </is>
      </c>
      <c r="B164" s="1" t="n">
        <v>44502</v>
      </c>
      <c r="C164" s="1" t="n">
        <v>46184</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56681-2021</t>
        </is>
      </c>
      <c r="B165" s="1" t="n">
        <v>44481.34877314815</v>
      </c>
      <c r="C165" s="1" t="n">
        <v>46184</v>
      </c>
      <c r="D165" t="inlineStr">
        <is>
          <t>ÖREBRO LÄN</t>
        </is>
      </c>
      <c r="E165" t="inlineStr">
        <is>
          <t>LINDESBERG</t>
        </is>
      </c>
      <c r="G165" t="n">
        <v>2.6</v>
      </c>
      <c r="H165" t="n">
        <v>0</v>
      </c>
      <c r="I165" t="n">
        <v>0</v>
      </c>
      <c r="J165" t="n">
        <v>0</v>
      </c>
      <c r="K165" t="n">
        <v>0</v>
      </c>
      <c r="L165" t="n">
        <v>0</v>
      </c>
      <c r="M165" t="n">
        <v>0</v>
      </c>
      <c r="N165" t="n">
        <v>0</v>
      </c>
      <c r="O165" t="n">
        <v>0</v>
      </c>
      <c r="P165" t="n">
        <v>0</v>
      </c>
      <c r="Q165" t="n">
        <v>0</v>
      </c>
      <c r="R165" s="2" t="inlineStr"/>
    </row>
    <row r="166" ht="15" customHeight="1">
      <c r="A166" t="inlineStr">
        <is>
          <t>A 59671-2021</t>
        </is>
      </c>
      <c r="B166" s="1" t="n">
        <v>44491</v>
      </c>
      <c r="C166" s="1" t="n">
        <v>46184</v>
      </c>
      <c r="D166" t="inlineStr">
        <is>
          <t>ÖREBRO LÄN</t>
        </is>
      </c>
      <c r="E166" t="inlineStr">
        <is>
          <t>LINDESBERG</t>
        </is>
      </c>
      <c r="G166" t="n">
        <v>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46184</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46184</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46184</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46184</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46184</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46184</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46184</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52153-2022</t>
        </is>
      </c>
      <c r="B174" s="1" t="n">
        <v>44873.47148148148</v>
      </c>
      <c r="C174" s="1" t="n">
        <v>46184</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46184</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46184</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46184</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46184</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46184</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46184</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46184</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46184</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56260-2021</t>
        </is>
      </c>
      <c r="B183" s="1" t="n">
        <v>44479.58512731481</v>
      </c>
      <c r="C183" s="1" t="n">
        <v>46184</v>
      </c>
      <c r="D183" t="inlineStr">
        <is>
          <t>ÖREBRO LÄN</t>
        </is>
      </c>
      <c r="E183" t="inlineStr">
        <is>
          <t>LINDESBERG</t>
        </is>
      </c>
      <c r="G183" t="n">
        <v>1.4</v>
      </c>
      <c r="H183" t="n">
        <v>0</v>
      </c>
      <c r="I183" t="n">
        <v>0</v>
      </c>
      <c r="J183" t="n">
        <v>0</v>
      </c>
      <c r="K183" t="n">
        <v>0</v>
      </c>
      <c r="L183" t="n">
        <v>0</v>
      </c>
      <c r="M183" t="n">
        <v>0</v>
      </c>
      <c r="N183" t="n">
        <v>0</v>
      </c>
      <c r="O183" t="n">
        <v>0</v>
      </c>
      <c r="P183" t="n">
        <v>0</v>
      </c>
      <c r="Q183" t="n">
        <v>0</v>
      </c>
      <c r="R183" s="2" t="inlineStr"/>
    </row>
    <row r="184" ht="15" customHeight="1">
      <c r="A184" t="inlineStr">
        <is>
          <t>A 12073-2022</t>
        </is>
      </c>
      <c r="B184" s="1" t="n">
        <v>44636.46935185185</v>
      </c>
      <c r="C184" s="1" t="n">
        <v>46184</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30122-2021</t>
        </is>
      </c>
      <c r="B185" s="1" t="n">
        <v>44363</v>
      </c>
      <c r="C185" s="1" t="n">
        <v>46184</v>
      </c>
      <c r="D185" t="inlineStr">
        <is>
          <t>ÖREBRO LÄN</t>
        </is>
      </c>
      <c r="E185" t="inlineStr">
        <is>
          <t>LINDESBERG</t>
        </is>
      </c>
      <c r="G185" t="n">
        <v>3.3</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46184</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59006-2021</t>
        </is>
      </c>
      <c r="B187" s="1" t="n">
        <v>44490</v>
      </c>
      <c r="C187" s="1" t="n">
        <v>46184</v>
      </c>
      <c r="D187" t="inlineStr">
        <is>
          <t>ÖREBRO LÄN</t>
        </is>
      </c>
      <c r="E187" t="inlineStr">
        <is>
          <t>LINDESBERG</t>
        </is>
      </c>
      <c r="G187" t="n">
        <v>5.6</v>
      </c>
      <c r="H187" t="n">
        <v>0</v>
      </c>
      <c r="I187" t="n">
        <v>0</v>
      </c>
      <c r="J187" t="n">
        <v>0</v>
      </c>
      <c r="K187" t="n">
        <v>0</v>
      </c>
      <c r="L187" t="n">
        <v>0</v>
      </c>
      <c r="M187" t="n">
        <v>0</v>
      </c>
      <c r="N187" t="n">
        <v>0</v>
      </c>
      <c r="O187" t="n">
        <v>0</v>
      </c>
      <c r="P187" t="n">
        <v>0</v>
      </c>
      <c r="Q187" t="n">
        <v>0</v>
      </c>
      <c r="R187" s="2" t="inlineStr"/>
    </row>
    <row r="188" ht="15" customHeight="1">
      <c r="A188" t="inlineStr">
        <is>
          <t>A 32818-2022</t>
        </is>
      </c>
      <c r="B188" s="1" t="n">
        <v>44784.38697916667</v>
      </c>
      <c r="C188" s="1" t="n">
        <v>46184</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46184</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2406-2024</t>
        </is>
      </c>
      <c r="B190" s="1" t="n">
        <v>45310</v>
      </c>
      <c r="C190" s="1" t="n">
        <v>46184</v>
      </c>
      <c r="D190" t="inlineStr">
        <is>
          <t>ÖREBRO LÄN</t>
        </is>
      </c>
      <c r="E190" t="inlineStr">
        <is>
          <t>LINDESBERG</t>
        </is>
      </c>
      <c r="G190" t="n">
        <v>16.1</v>
      </c>
      <c r="H190" t="n">
        <v>0</v>
      </c>
      <c r="I190" t="n">
        <v>0</v>
      </c>
      <c r="J190" t="n">
        <v>0</v>
      </c>
      <c r="K190" t="n">
        <v>0</v>
      </c>
      <c r="L190" t="n">
        <v>0</v>
      </c>
      <c r="M190" t="n">
        <v>0</v>
      </c>
      <c r="N190" t="n">
        <v>0</v>
      </c>
      <c r="O190" t="n">
        <v>0</v>
      </c>
      <c r="P190" t="n">
        <v>0</v>
      </c>
      <c r="Q190" t="n">
        <v>0</v>
      </c>
      <c r="R190" s="2" t="inlineStr"/>
    </row>
    <row r="191" ht="15" customHeight="1">
      <c r="A191" t="inlineStr">
        <is>
          <t>A 13417-2025</t>
        </is>
      </c>
      <c r="B191" s="1" t="n">
        <v>45736.30940972222</v>
      </c>
      <c r="C191" s="1" t="n">
        <v>46184</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33282-2024</t>
        </is>
      </c>
      <c r="B192" s="1" t="n">
        <v>45518.71482638889</v>
      </c>
      <c r="C192" s="1" t="n">
        <v>46184</v>
      </c>
      <c r="D192" t="inlineStr">
        <is>
          <t>ÖREBRO LÄN</t>
        </is>
      </c>
      <c r="E192" t="inlineStr">
        <is>
          <t>LINDESBERG</t>
        </is>
      </c>
      <c r="G192" t="n">
        <v>7.5</v>
      </c>
      <c r="H192" t="n">
        <v>0</v>
      </c>
      <c r="I192" t="n">
        <v>0</v>
      </c>
      <c r="J192" t="n">
        <v>0</v>
      </c>
      <c r="K192" t="n">
        <v>0</v>
      </c>
      <c r="L192" t="n">
        <v>0</v>
      </c>
      <c r="M192" t="n">
        <v>0</v>
      </c>
      <c r="N192" t="n">
        <v>0</v>
      </c>
      <c r="O192" t="n">
        <v>0</v>
      </c>
      <c r="P192" t="n">
        <v>0</v>
      </c>
      <c r="Q192" t="n">
        <v>0</v>
      </c>
      <c r="R192" s="2" t="inlineStr"/>
    </row>
    <row r="193" ht="15" customHeight="1">
      <c r="A193" t="inlineStr">
        <is>
          <t>A 35230-2024</t>
        </is>
      </c>
      <c r="B193" s="1" t="n">
        <v>45530</v>
      </c>
      <c r="C193" s="1" t="n">
        <v>46184</v>
      </c>
      <c r="D193" t="inlineStr">
        <is>
          <t>ÖREBRO LÄN</t>
        </is>
      </c>
      <c r="E193" t="inlineStr">
        <is>
          <t>LINDESBERG</t>
        </is>
      </c>
      <c r="G193" t="n">
        <v>1.7</v>
      </c>
      <c r="H193" t="n">
        <v>0</v>
      </c>
      <c r="I193" t="n">
        <v>0</v>
      </c>
      <c r="J193" t="n">
        <v>0</v>
      </c>
      <c r="K193" t="n">
        <v>0</v>
      </c>
      <c r="L193" t="n">
        <v>0</v>
      </c>
      <c r="M193" t="n">
        <v>0</v>
      </c>
      <c r="N193" t="n">
        <v>0</v>
      </c>
      <c r="O193" t="n">
        <v>0</v>
      </c>
      <c r="P193" t="n">
        <v>0</v>
      </c>
      <c r="Q193" t="n">
        <v>0</v>
      </c>
      <c r="R193" s="2" t="inlineStr"/>
    </row>
    <row r="194" ht="15" customHeight="1">
      <c r="A194" t="inlineStr">
        <is>
          <t>A 65194-2023</t>
        </is>
      </c>
      <c r="B194" s="1" t="n">
        <v>45289</v>
      </c>
      <c r="C194" s="1" t="n">
        <v>46184</v>
      </c>
      <c r="D194" t="inlineStr">
        <is>
          <t>ÖREBRO LÄN</t>
        </is>
      </c>
      <c r="E194" t="inlineStr">
        <is>
          <t>LINDESBERG</t>
        </is>
      </c>
      <c r="G194" t="n">
        <v>1</v>
      </c>
      <c r="H194" t="n">
        <v>0</v>
      </c>
      <c r="I194" t="n">
        <v>0</v>
      </c>
      <c r="J194" t="n">
        <v>0</v>
      </c>
      <c r="K194" t="n">
        <v>0</v>
      </c>
      <c r="L194" t="n">
        <v>0</v>
      </c>
      <c r="M194" t="n">
        <v>0</v>
      </c>
      <c r="N194" t="n">
        <v>0</v>
      </c>
      <c r="O194" t="n">
        <v>0</v>
      </c>
      <c r="P194" t="n">
        <v>0</v>
      </c>
      <c r="Q194" t="n">
        <v>0</v>
      </c>
      <c r="R194" s="2" t="inlineStr"/>
    </row>
    <row r="195" ht="15" customHeight="1">
      <c r="A195" t="inlineStr">
        <is>
          <t>A 69208-2021</t>
        </is>
      </c>
      <c r="B195" s="1" t="n">
        <v>44531.3575</v>
      </c>
      <c r="C195" s="1" t="n">
        <v>46184</v>
      </c>
      <c r="D195" t="inlineStr">
        <is>
          <t>ÖREBRO LÄN</t>
        </is>
      </c>
      <c r="E195" t="inlineStr">
        <is>
          <t>LINDESBERG</t>
        </is>
      </c>
      <c r="G195" t="n">
        <v>2</v>
      </c>
      <c r="H195" t="n">
        <v>0</v>
      </c>
      <c r="I195" t="n">
        <v>0</v>
      </c>
      <c r="J195" t="n">
        <v>0</v>
      </c>
      <c r="K195" t="n">
        <v>0</v>
      </c>
      <c r="L195" t="n">
        <v>0</v>
      </c>
      <c r="M195" t="n">
        <v>0</v>
      </c>
      <c r="N195" t="n">
        <v>0</v>
      </c>
      <c r="O195" t="n">
        <v>0</v>
      </c>
      <c r="P195" t="n">
        <v>0</v>
      </c>
      <c r="Q195" t="n">
        <v>0</v>
      </c>
      <c r="R195" s="2" t="inlineStr"/>
    </row>
    <row r="196" ht="15" customHeight="1">
      <c r="A196" t="inlineStr">
        <is>
          <t>A 46603-2021</t>
        </is>
      </c>
      <c r="B196" s="1" t="n">
        <v>44445</v>
      </c>
      <c r="C196" s="1" t="n">
        <v>46184</v>
      </c>
      <c r="D196" t="inlineStr">
        <is>
          <t>ÖREBRO LÄN</t>
        </is>
      </c>
      <c r="E196" t="inlineStr">
        <is>
          <t>LINDESBERG</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6962-2023</t>
        </is>
      </c>
      <c r="B197" s="1" t="n">
        <v>44967.60165509259</v>
      </c>
      <c r="C197" s="1" t="n">
        <v>46184</v>
      </c>
      <c r="D197" t="inlineStr">
        <is>
          <t>ÖREBRO LÄN</t>
        </is>
      </c>
      <c r="E197" t="inlineStr">
        <is>
          <t>LINDESBERG</t>
        </is>
      </c>
      <c r="G197" t="n">
        <v>11.4</v>
      </c>
      <c r="H197" t="n">
        <v>0</v>
      </c>
      <c r="I197" t="n">
        <v>0</v>
      </c>
      <c r="J197" t="n">
        <v>0</v>
      </c>
      <c r="K197" t="n">
        <v>0</v>
      </c>
      <c r="L197" t="n">
        <v>0</v>
      </c>
      <c r="M197" t="n">
        <v>0</v>
      </c>
      <c r="N197" t="n">
        <v>0</v>
      </c>
      <c r="O197" t="n">
        <v>0</v>
      </c>
      <c r="P197" t="n">
        <v>0</v>
      </c>
      <c r="Q197" t="n">
        <v>0</v>
      </c>
      <c r="R197" s="2" t="inlineStr"/>
    </row>
    <row r="198" ht="15" customHeight="1">
      <c r="A198" t="inlineStr">
        <is>
          <t>A 36015-2021</t>
        </is>
      </c>
      <c r="B198" s="1" t="n">
        <v>44389</v>
      </c>
      <c r="C198" s="1" t="n">
        <v>46184</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20954-2024</t>
        </is>
      </c>
      <c r="B199" s="1" t="n">
        <v>45439.56605324074</v>
      </c>
      <c r="C199" s="1" t="n">
        <v>46184</v>
      </c>
      <c r="D199" t="inlineStr">
        <is>
          <t>ÖREBRO LÄN</t>
        </is>
      </c>
      <c r="E199" t="inlineStr">
        <is>
          <t>LINDESBERG</t>
        </is>
      </c>
      <c r="G199" t="n">
        <v>0.9</v>
      </c>
      <c r="H199" t="n">
        <v>0</v>
      </c>
      <c r="I199" t="n">
        <v>0</v>
      </c>
      <c r="J199" t="n">
        <v>0</v>
      </c>
      <c r="K199" t="n">
        <v>0</v>
      </c>
      <c r="L199" t="n">
        <v>0</v>
      </c>
      <c r="M199" t="n">
        <v>0</v>
      </c>
      <c r="N199" t="n">
        <v>0</v>
      </c>
      <c r="O199" t="n">
        <v>0</v>
      </c>
      <c r="P199" t="n">
        <v>0</v>
      </c>
      <c r="Q199" t="n">
        <v>0</v>
      </c>
      <c r="R199" s="2" t="inlineStr"/>
    </row>
    <row r="200" ht="15" customHeight="1">
      <c r="A200" t="inlineStr">
        <is>
          <t>A 35739-2024</t>
        </is>
      </c>
      <c r="B200" s="1" t="n">
        <v>45532</v>
      </c>
      <c r="C200" s="1" t="n">
        <v>46184</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29857-2023</t>
        </is>
      </c>
      <c r="B201" s="1" t="n">
        <v>45107</v>
      </c>
      <c r="C201" s="1" t="n">
        <v>46184</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33707-2021</t>
        </is>
      </c>
      <c r="B202" s="1" t="n">
        <v>44378.46403935185</v>
      </c>
      <c r="C202" s="1" t="n">
        <v>46184</v>
      </c>
      <c r="D202" t="inlineStr">
        <is>
          <t>ÖREBRO LÄN</t>
        </is>
      </c>
      <c r="E202" t="inlineStr">
        <is>
          <t>LINDESBERG</t>
        </is>
      </c>
      <c r="G202" t="n">
        <v>2</v>
      </c>
      <c r="H202" t="n">
        <v>0</v>
      </c>
      <c r="I202" t="n">
        <v>0</v>
      </c>
      <c r="J202" t="n">
        <v>0</v>
      </c>
      <c r="K202" t="n">
        <v>0</v>
      </c>
      <c r="L202" t="n">
        <v>0</v>
      </c>
      <c r="M202" t="n">
        <v>0</v>
      </c>
      <c r="N202" t="n">
        <v>0</v>
      </c>
      <c r="O202" t="n">
        <v>0</v>
      </c>
      <c r="P202" t="n">
        <v>0</v>
      </c>
      <c r="Q202" t="n">
        <v>0</v>
      </c>
      <c r="R202" s="2" t="inlineStr"/>
    </row>
    <row r="203" ht="15" customHeight="1">
      <c r="A203" t="inlineStr">
        <is>
          <t>A 8213-2023</t>
        </is>
      </c>
      <c r="B203" s="1" t="n">
        <v>44974.55693287037</v>
      </c>
      <c r="C203" s="1" t="n">
        <v>46184</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16618-2023</t>
        </is>
      </c>
      <c r="B204" s="1" t="n">
        <v>45030</v>
      </c>
      <c r="C204" s="1" t="n">
        <v>46184</v>
      </c>
      <c r="D204" t="inlineStr">
        <is>
          <t>ÖREBRO LÄN</t>
        </is>
      </c>
      <c r="E204" t="inlineStr">
        <is>
          <t>LINDESBERG</t>
        </is>
      </c>
      <c r="F204" t="inlineStr">
        <is>
          <t>Kommuner</t>
        </is>
      </c>
      <c r="G204" t="n">
        <v>4.6</v>
      </c>
      <c r="H204" t="n">
        <v>0</v>
      </c>
      <c r="I204" t="n">
        <v>0</v>
      </c>
      <c r="J204" t="n">
        <v>0</v>
      </c>
      <c r="K204" t="n">
        <v>0</v>
      </c>
      <c r="L204" t="n">
        <v>0</v>
      </c>
      <c r="M204" t="n">
        <v>0</v>
      </c>
      <c r="N204" t="n">
        <v>0</v>
      </c>
      <c r="O204" t="n">
        <v>0</v>
      </c>
      <c r="P204" t="n">
        <v>0</v>
      </c>
      <c r="Q204" t="n">
        <v>0</v>
      </c>
      <c r="R204" s="2" t="inlineStr"/>
    </row>
    <row r="205" ht="15" customHeight="1">
      <c r="A205" t="inlineStr">
        <is>
          <t>A 7120-2025</t>
        </is>
      </c>
      <c r="B205" s="1" t="n">
        <v>45702</v>
      </c>
      <c r="C205" s="1" t="n">
        <v>46184</v>
      </c>
      <c r="D205" t="inlineStr">
        <is>
          <t>ÖREBRO LÄN</t>
        </is>
      </c>
      <c r="E205" t="inlineStr">
        <is>
          <t>LINDESBERG</t>
        </is>
      </c>
      <c r="G205" t="n">
        <v>0.5</v>
      </c>
      <c r="H205" t="n">
        <v>0</v>
      </c>
      <c r="I205" t="n">
        <v>0</v>
      </c>
      <c r="J205" t="n">
        <v>0</v>
      </c>
      <c r="K205" t="n">
        <v>0</v>
      </c>
      <c r="L205" t="n">
        <v>0</v>
      </c>
      <c r="M205" t="n">
        <v>0</v>
      </c>
      <c r="N205" t="n">
        <v>0</v>
      </c>
      <c r="O205" t="n">
        <v>0</v>
      </c>
      <c r="P205" t="n">
        <v>0</v>
      </c>
      <c r="Q205" t="n">
        <v>0</v>
      </c>
      <c r="R205" s="2" t="inlineStr"/>
    </row>
    <row r="206" ht="15" customHeight="1">
      <c r="A206" t="inlineStr">
        <is>
          <t>A 53046-2024</t>
        </is>
      </c>
      <c r="B206" s="1" t="n">
        <v>45611.44960648148</v>
      </c>
      <c r="C206" s="1" t="n">
        <v>46184</v>
      </c>
      <c r="D206" t="inlineStr">
        <is>
          <t>ÖREBRO LÄN</t>
        </is>
      </c>
      <c r="E206" t="inlineStr">
        <is>
          <t>LINDESBERG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195-2022</t>
        </is>
      </c>
      <c r="B207" s="1" t="n">
        <v>44564</v>
      </c>
      <c r="C207" s="1" t="n">
        <v>46184</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51379-2023</t>
        </is>
      </c>
      <c r="B208" s="1" t="n">
        <v>45219</v>
      </c>
      <c r="C208" s="1" t="n">
        <v>46184</v>
      </c>
      <c r="D208" t="inlineStr">
        <is>
          <t>ÖREBRO LÄN</t>
        </is>
      </c>
      <c r="E208" t="inlineStr">
        <is>
          <t>LINDESBERG</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17895-2022</t>
        </is>
      </c>
      <c r="B209" s="1" t="n">
        <v>44683</v>
      </c>
      <c r="C209" s="1" t="n">
        <v>46184</v>
      </c>
      <c r="D209" t="inlineStr">
        <is>
          <t>ÖREBRO LÄN</t>
        </is>
      </c>
      <c r="E209" t="inlineStr">
        <is>
          <t>LINDESBERG</t>
        </is>
      </c>
      <c r="G209" t="n">
        <v>1.3</v>
      </c>
      <c r="H209" t="n">
        <v>0</v>
      </c>
      <c r="I209" t="n">
        <v>0</v>
      </c>
      <c r="J209" t="n">
        <v>0</v>
      </c>
      <c r="K209" t="n">
        <v>0</v>
      </c>
      <c r="L209" t="n">
        <v>0</v>
      </c>
      <c r="M209" t="n">
        <v>0</v>
      </c>
      <c r="N209" t="n">
        <v>0</v>
      </c>
      <c r="O209" t="n">
        <v>0</v>
      </c>
      <c r="P209" t="n">
        <v>0</v>
      </c>
      <c r="Q209" t="n">
        <v>0</v>
      </c>
      <c r="R209" s="2" t="inlineStr"/>
    </row>
    <row r="210" ht="15" customHeight="1">
      <c r="A210" t="inlineStr">
        <is>
          <t>A 16054-2022</t>
        </is>
      </c>
      <c r="B210" s="1" t="n">
        <v>44665</v>
      </c>
      <c r="C210" s="1" t="n">
        <v>46184</v>
      </c>
      <c r="D210" t="inlineStr">
        <is>
          <t>ÖREBRO LÄN</t>
        </is>
      </c>
      <c r="E210" t="inlineStr">
        <is>
          <t>LINDESBERG</t>
        </is>
      </c>
      <c r="G210" t="n">
        <v>6.9</v>
      </c>
      <c r="H210" t="n">
        <v>0</v>
      </c>
      <c r="I210" t="n">
        <v>0</v>
      </c>
      <c r="J210" t="n">
        <v>0</v>
      </c>
      <c r="K210" t="n">
        <v>0</v>
      </c>
      <c r="L210" t="n">
        <v>0</v>
      </c>
      <c r="M210" t="n">
        <v>0</v>
      </c>
      <c r="N210" t="n">
        <v>0</v>
      </c>
      <c r="O210" t="n">
        <v>0</v>
      </c>
      <c r="P210" t="n">
        <v>0</v>
      </c>
      <c r="Q210" t="n">
        <v>0</v>
      </c>
      <c r="R210" s="2" t="inlineStr"/>
    </row>
    <row r="211" ht="15" customHeight="1">
      <c r="A211" t="inlineStr">
        <is>
          <t>A 49544-2023</t>
        </is>
      </c>
      <c r="B211" s="1" t="n">
        <v>45211</v>
      </c>
      <c r="C211" s="1" t="n">
        <v>46184</v>
      </c>
      <c r="D211" t="inlineStr">
        <is>
          <t>ÖREBRO LÄN</t>
        </is>
      </c>
      <c r="E211" t="inlineStr">
        <is>
          <t>LINDESBERG</t>
        </is>
      </c>
      <c r="G211" t="n">
        <v>0.5</v>
      </c>
      <c r="H211" t="n">
        <v>0</v>
      </c>
      <c r="I211" t="n">
        <v>0</v>
      </c>
      <c r="J211" t="n">
        <v>0</v>
      </c>
      <c r="K211" t="n">
        <v>0</v>
      </c>
      <c r="L211" t="n">
        <v>0</v>
      </c>
      <c r="M211" t="n">
        <v>0</v>
      </c>
      <c r="N211" t="n">
        <v>0</v>
      </c>
      <c r="O211" t="n">
        <v>0</v>
      </c>
      <c r="P211" t="n">
        <v>0</v>
      </c>
      <c r="Q211" t="n">
        <v>0</v>
      </c>
      <c r="R211" s="2" t="inlineStr"/>
    </row>
    <row r="212" ht="15" customHeight="1">
      <c r="A212" t="inlineStr">
        <is>
          <t>A 51539-2024</t>
        </is>
      </c>
      <c r="B212" s="1" t="n">
        <v>45604.58837962963</v>
      </c>
      <c r="C212" s="1" t="n">
        <v>46184</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30767-2023</t>
        </is>
      </c>
      <c r="B213" s="1" t="n">
        <v>45112.67952546296</v>
      </c>
      <c r="C213" s="1" t="n">
        <v>46184</v>
      </c>
      <c r="D213" t="inlineStr">
        <is>
          <t>ÖREBRO LÄN</t>
        </is>
      </c>
      <c r="E213" t="inlineStr">
        <is>
          <t>LINDESBERG</t>
        </is>
      </c>
      <c r="G213" t="n">
        <v>3.9</v>
      </c>
      <c r="H213" t="n">
        <v>0</v>
      </c>
      <c r="I213" t="n">
        <v>0</v>
      </c>
      <c r="J213" t="n">
        <v>0</v>
      </c>
      <c r="K213" t="n">
        <v>0</v>
      </c>
      <c r="L213" t="n">
        <v>0</v>
      </c>
      <c r="M213" t="n">
        <v>0</v>
      </c>
      <c r="N213" t="n">
        <v>0</v>
      </c>
      <c r="O213" t="n">
        <v>0</v>
      </c>
      <c r="P213" t="n">
        <v>0</v>
      </c>
      <c r="Q213" t="n">
        <v>0</v>
      </c>
      <c r="R213" s="2" t="inlineStr"/>
    </row>
    <row r="214" ht="15" customHeight="1">
      <c r="A214" t="inlineStr">
        <is>
          <t>A 38509-2025</t>
        </is>
      </c>
      <c r="B214" s="1" t="n">
        <v>45884.38858796296</v>
      </c>
      <c r="C214" s="1" t="n">
        <v>46184</v>
      </c>
      <c r="D214" t="inlineStr">
        <is>
          <t>ÖREBRO LÄN</t>
        </is>
      </c>
      <c r="E214" t="inlineStr">
        <is>
          <t>LINDESBERG</t>
        </is>
      </c>
      <c r="G214" t="n">
        <v>14.9</v>
      </c>
      <c r="H214" t="n">
        <v>0</v>
      </c>
      <c r="I214" t="n">
        <v>0</v>
      </c>
      <c r="J214" t="n">
        <v>0</v>
      </c>
      <c r="K214" t="n">
        <v>0</v>
      </c>
      <c r="L214" t="n">
        <v>0</v>
      </c>
      <c r="M214" t="n">
        <v>0</v>
      </c>
      <c r="N214" t="n">
        <v>0</v>
      </c>
      <c r="O214" t="n">
        <v>0</v>
      </c>
      <c r="P214" t="n">
        <v>0</v>
      </c>
      <c r="Q214" t="n">
        <v>0</v>
      </c>
      <c r="R214" s="2" t="inlineStr"/>
    </row>
    <row r="215" ht="15" customHeight="1">
      <c r="A215" t="inlineStr">
        <is>
          <t>A 23260-2024</t>
        </is>
      </c>
      <c r="B215" s="1" t="n">
        <v>45453.36664351852</v>
      </c>
      <c r="C215" s="1" t="n">
        <v>46184</v>
      </c>
      <c r="D215" t="inlineStr">
        <is>
          <t>ÖREBRO LÄN</t>
        </is>
      </c>
      <c r="E215" t="inlineStr">
        <is>
          <t>LINDESBERG</t>
        </is>
      </c>
      <c r="F215" t="inlineStr">
        <is>
          <t>Sveaskog</t>
        </is>
      </c>
      <c r="G215" t="n">
        <v>0.3</v>
      </c>
      <c r="H215" t="n">
        <v>0</v>
      </c>
      <c r="I215" t="n">
        <v>0</v>
      </c>
      <c r="J215" t="n">
        <v>0</v>
      </c>
      <c r="K215" t="n">
        <v>0</v>
      </c>
      <c r="L215" t="n">
        <v>0</v>
      </c>
      <c r="M215" t="n">
        <v>0</v>
      </c>
      <c r="N215" t="n">
        <v>0</v>
      </c>
      <c r="O215" t="n">
        <v>0</v>
      </c>
      <c r="P215" t="n">
        <v>0</v>
      </c>
      <c r="Q215" t="n">
        <v>0</v>
      </c>
      <c r="R215" s="2" t="inlineStr"/>
    </row>
    <row r="216" ht="15" customHeight="1">
      <c r="A216" t="inlineStr">
        <is>
          <t>A 46607-2021</t>
        </is>
      </c>
      <c r="B216" s="1" t="n">
        <v>44445.55690972223</v>
      </c>
      <c r="C216" s="1" t="n">
        <v>46184</v>
      </c>
      <c r="D216" t="inlineStr">
        <is>
          <t>ÖREBRO LÄN</t>
        </is>
      </c>
      <c r="E216" t="inlineStr">
        <is>
          <t>LINDESBERG</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20930-2025</t>
        </is>
      </c>
      <c r="B217" s="1" t="n">
        <v>45777.42628472222</v>
      </c>
      <c r="C217" s="1" t="n">
        <v>46184</v>
      </c>
      <c r="D217" t="inlineStr">
        <is>
          <t>ÖREBRO LÄN</t>
        </is>
      </c>
      <c r="E217" t="inlineStr">
        <is>
          <t>LINDESBERG</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12795-2025</t>
        </is>
      </c>
      <c r="B218" s="1" t="n">
        <v>45733.60959490741</v>
      </c>
      <c r="C218" s="1" t="n">
        <v>46184</v>
      </c>
      <c r="D218" t="inlineStr">
        <is>
          <t>ÖREBRO LÄN</t>
        </is>
      </c>
      <c r="E218" t="inlineStr">
        <is>
          <t>LINDESBERG</t>
        </is>
      </c>
      <c r="G218" t="n">
        <v>10.8</v>
      </c>
      <c r="H218" t="n">
        <v>0</v>
      </c>
      <c r="I218" t="n">
        <v>0</v>
      </c>
      <c r="J218" t="n">
        <v>0</v>
      </c>
      <c r="K218" t="n">
        <v>0</v>
      </c>
      <c r="L218" t="n">
        <v>0</v>
      </c>
      <c r="M218" t="n">
        <v>0</v>
      </c>
      <c r="N218" t="n">
        <v>0</v>
      </c>
      <c r="O218" t="n">
        <v>0</v>
      </c>
      <c r="P218" t="n">
        <v>0</v>
      </c>
      <c r="Q218" t="n">
        <v>0</v>
      </c>
      <c r="R218" s="2" t="inlineStr"/>
    </row>
    <row r="219" ht="15" customHeight="1">
      <c r="A219" t="inlineStr">
        <is>
          <t>A 20944-2025</t>
        </is>
      </c>
      <c r="B219" s="1" t="n">
        <v>45777</v>
      </c>
      <c r="C219" s="1" t="n">
        <v>46184</v>
      </c>
      <c r="D219" t="inlineStr">
        <is>
          <t>ÖREBRO LÄN</t>
        </is>
      </c>
      <c r="E219" t="inlineStr">
        <is>
          <t>LINDESBERG</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20950-2025</t>
        </is>
      </c>
      <c r="B220" s="1" t="n">
        <v>45777.43878472222</v>
      </c>
      <c r="C220" s="1" t="n">
        <v>46184</v>
      </c>
      <c r="D220" t="inlineStr">
        <is>
          <t>ÖREBRO LÄN</t>
        </is>
      </c>
      <c r="E220" t="inlineStr">
        <is>
          <t>LINDESBERG</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20804-2025</t>
        </is>
      </c>
      <c r="B221" s="1" t="n">
        <v>45776.65518518518</v>
      </c>
      <c r="C221" s="1" t="n">
        <v>46184</v>
      </c>
      <c r="D221" t="inlineStr">
        <is>
          <t>ÖREBRO LÄN</t>
        </is>
      </c>
      <c r="E221" t="inlineStr">
        <is>
          <t>LINDESBERG</t>
        </is>
      </c>
      <c r="G221" t="n">
        <v>3.2</v>
      </c>
      <c r="H221" t="n">
        <v>0</v>
      </c>
      <c r="I221" t="n">
        <v>0</v>
      </c>
      <c r="J221" t="n">
        <v>0</v>
      </c>
      <c r="K221" t="n">
        <v>0</v>
      </c>
      <c r="L221" t="n">
        <v>0</v>
      </c>
      <c r="M221" t="n">
        <v>0</v>
      </c>
      <c r="N221" t="n">
        <v>0</v>
      </c>
      <c r="O221" t="n">
        <v>0</v>
      </c>
      <c r="P221" t="n">
        <v>0</v>
      </c>
      <c r="Q221" t="n">
        <v>0</v>
      </c>
      <c r="R221" s="2" t="inlineStr"/>
    </row>
    <row r="222" ht="15" customHeight="1">
      <c r="A222" t="inlineStr">
        <is>
          <t>A 12692-2024</t>
        </is>
      </c>
      <c r="B222" s="1" t="n">
        <v>45384.43418981481</v>
      </c>
      <c r="C222" s="1" t="n">
        <v>46184</v>
      </c>
      <c r="D222" t="inlineStr">
        <is>
          <t>ÖREBRO LÄN</t>
        </is>
      </c>
      <c r="E222" t="inlineStr">
        <is>
          <t>LINDESBERG</t>
        </is>
      </c>
      <c r="G222" t="n">
        <v>5.2</v>
      </c>
      <c r="H222" t="n">
        <v>0</v>
      </c>
      <c r="I222" t="n">
        <v>0</v>
      </c>
      <c r="J222" t="n">
        <v>0</v>
      </c>
      <c r="K222" t="n">
        <v>0</v>
      </c>
      <c r="L222" t="n">
        <v>0</v>
      </c>
      <c r="M222" t="n">
        <v>0</v>
      </c>
      <c r="N222" t="n">
        <v>0</v>
      </c>
      <c r="O222" t="n">
        <v>0</v>
      </c>
      <c r="P222" t="n">
        <v>0</v>
      </c>
      <c r="Q222" t="n">
        <v>0</v>
      </c>
      <c r="R222" s="2" t="inlineStr"/>
    </row>
    <row r="223" ht="15" customHeight="1">
      <c r="A223" t="inlineStr">
        <is>
          <t>A 61594-2024</t>
        </is>
      </c>
      <c r="B223" s="1" t="n">
        <v>45646.63482638889</v>
      </c>
      <c r="C223" s="1" t="n">
        <v>46184</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34676-2023</t>
        </is>
      </c>
      <c r="B224" s="1" t="n">
        <v>45140</v>
      </c>
      <c r="C224" s="1" t="n">
        <v>46184</v>
      </c>
      <c r="D224" t="inlineStr">
        <is>
          <t>ÖREBRO LÄN</t>
        </is>
      </c>
      <c r="E224" t="inlineStr">
        <is>
          <t>LINDESBERG</t>
        </is>
      </c>
      <c r="G224" t="n">
        <v>2.4</v>
      </c>
      <c r="H224" t="n">
        <v>0</v>
      </c>
      <c r="I224" t="n">
        <v>0</v>
      </c>
      <c r="J224" t="n">
        <v>0</v>
      </c>
      <c r="K224" t="n">
        <v>0</v>
      </c>
      <c r="L224" t="n">
        <v>0</v>
      </c>
      <c r="M224" t="n">
        <v>0</v>
      </c>
      <c r="N224" t="n">
        <v>0</v>
      </c>
      <c r="O224" t="n">
        <v>0</v>
      </c>
      <c r="P224" t="n">
        <v>0</v>
      </c>
      <c r="Q224" t="n">
        <v>0</v>
      </c>
      <c r="R224" s="2" t="inlineStr"/>
    </row>
    <row r="225" ht="15" customHeight="1">
      <c r="A225" t="inlineStr">
        <is>
          <t>A 16447-2025</t>
        </is>
      </c>
      <c r="B225" s="1" t="n">
        <v>45751.50498842593</v>
      </c>
      <c r="C225" s="1" t="n">
        <v>46184</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21812-2025</t>
        </is>
      </c>
      <c r="B226" s="1" t="n">
        <v>45783.71833333333</v>
      </c>
      <c r="C226" s="1" t="n">
        <v>46184</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48620-2025</t>
        </is>
      </c>
      <c r="B227" s="1" t="n">
        <v>45936.49210648148</v>
      </c>
      <c r="C227" s="1" t="n">
        <v>46184</v>
      </c>
      <c r="D227" t="inlineStr">
        <is>
          <t>ÖREBRO LÄN</t>
        </is>
      </c>
      <c r="E227" t="inlineStr">
        <is>
          <t>LINDESBERG</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2569-2023</t>
        </is>
      </c>
      <c r="B228" s="1" t="n">
        <v>44943.73792824074</v>
      </c>
      <c r="C228" s="1" t="n">
        <v>46184</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43195-2024</t>
        </is>
      </c>
      <c r="B229" s="1" t="n">
        <v>45567.68003472222</v>
      </c>
      <c r="C229" s="1" t="n">
        <v>46184</v>
      </c>
      <c r="D229" t="inlineStr">
        <is>
          <t>ÖREBRO LÄN</t>
        </is>
      </c>
      <c r="E229" t="inlineStr">
        <is>
          <t>LINDESBERG</t>
        </is>
      </c>
      <c r="G229" t="n">
        <v>27.8</v>
      </c>
      <c r="H229" t="n">
        <v>0</v>
      </c>
      <c r="I229" t="n">
        <v>0</v>
      </c>
      <c r="J229" t="n">
        <v>0</v>
      </c>
      <c r="K229" t="n">
        <v>0</v>
      </c>
      <c r="L229" t="n">
        <v>0</v>
      </c>
      <c r="M229" t="n">
        <v>0</v>
      </c>
      <c r="N229" t="n">
        <v>0</v>
      </c>
      <c r="O229" t="n">
        <v>0</v>
      </c>
      <c r="P229" t="n">
        <v>0</v>
      </c>
      <c r="Q229" t="n">
        <v>0</v>
      </c>
      <c r="R229" s="2" t="inlineStr"/>
    </row>
    <row r="230" ht="15" customHeight="1">
      <c r="A230" t="inlineStr">
        <is>
          <t>A 19960-2023</t>
        </is>
      </c>
      <c r="B230" s="1" t="n">
        <v>45054</v>
      </c>
      <c r="C230" s="1" t="n">
        <v>46184</v>
      </c>
      <c r="D230" t="inlineStr">
        <is>
          <t>ÖREBRO LÄN</t>
        </is>
      </c>
      <c r="E230" t="inlineStr">
        <is>
          <t>LINDESBERG</t>
        </is>
      </c>
      <c r="G230" t="n">
        <v>6.2</v>
      </c>
      <c r="H230" t="n">
        <v>0</v>
      </c>
      <c r="I230" t="n">
        <v>0</v>
      </c>
      <c r="J230" t="n">
        <v>0</v>
      </c>
      <c r="K230" t="n">
        <v>0</v>
      </c>
      <c r="L230" t="n">
        <v>0</v>
      </c>
      <c r="M230" t="n">
        <v>0</v>
      </c>
      <c r="N230" t="n">
        <v>0</v>
      </c>
      <c r="O230" t="n">
        <v>0</v>
      </c>
      <c r="P230" t="n">
        <v>0</v>
      </c>
      <c r="Q230" t="n">
        <v>0</v>
      </c>
      <c r="R230" s="2" t="inlineStr"/>
    </row>
    <row r="231" ht="15" customHeight="1">
      <c r="A231" t="inlineStr">
        <is>
          <t>A 31861-2024</t>
        </is>
      </c>
      <c r="B231" s="1" t="n">
        <v>45509.73383101852</v>
      </c>
      <c r="C231" s="1" t="n">
        <v>46184</v>
      </c>
      <c r="D231" t="inlineStr">
        <is>
          <t>ÖREBRO LÄN</t>
        </is>
      </c>
      <c r="E231" t="inlineStr">
        <is>
          <t>LINDESBERG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46647-2024</t>
        </is>
      </c>
      <c r="B232" s="1" t="n">
        <v>45583</v>
      </c>
      <c r="C232" s="1" t="n">
        <v>46184</v>
      </c>
      <c r="D232" t="inlineStr">
        <is>
          <t>ÖREBRO LÄN</t>
        </is>
      </c>
      <c r="E232" t="inlineStr">
        <is>
          <t>LINDESBERG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24583-2024</t>
        </is>
      </c>
      <c r="B233" s="1" t="n">
        <v>45460.46358796296</v>
      </c>
      <c r="C233" s="1" t="n">
        <v>46184</v>
      </c>
      <c r="D233" t="inlineStr">
        <is>
          <t>ÖREBRO LÄN</t>
        </is>
      </c>
      <c r="E233" t="inlineStr">
        <is>
          <t>LINDESBERG</t>
        </is>
      </c>
      <c r="G233" t="n">
        <v>13.7</v>
      </c>
      <c r="H233" t="n">
        <v>0</v>
      </c>
      <c r="I233" t="n">
        <v>0</v>
      </c>
      <c r="J233" t="n">
        <v>0</v>
      </c>
      <c r="K233" t="n">
        <v>0</v>
      </c>
      <c r="L233" t="n">
        <v>0</v>
      </c>
      <c r="M233" t="n">
        <v>0</v>
      </c>
      <c r="N233" t="n">
        <v>0</v>
      </c>
      <c r="O233" t="n">
        <v>0</v>
      </c>
      <c r="P233" t="n">
        <v>0</v>
      </c>
      <c r="Q233" t="n">
        <v>0</v>
      </c>
      <c r="R233" s="2" t="inlineStr"/>
    </row>
    <row r="234" ht="15" customHeight="1">
      <c r="A234" t="inlineStr">
        <is>
          <t>A 48618-2025</t>
        </is>
      </c>
      <c r="B234" s="1" t="n">
        <v>45936.49026620371</v>
      </c>
      <c r="C234" s="1" t="n">
        <v>46184</v>
      </c>
      <c r="D234" t="inlineStr">
        <is>
          <t>ÖREBRO LÄN</t>
        </is>
      </c>
      <c r="E234" t="inlineStr">
        <is>
          <t>LINDESBERG</t>
        </is>
      </c>
      <c r="F234" t="inlineStr">
        <is>
          <t>Sveaskog</t>
        </is>
      </c>
      <c r="G234" t="n">
        <v>4.2</v>
      </c>
      <c r="H234" t="n">
        <v>0</v>
      </c>
      <c r="I234" t="n">
        <v>0</v>
      </c>
      <c r="J234" t="n">
        <v>0</v>
      </c>
      <c r="K234" t="n">
        <v>0</v>
      </c>
      <c r="L234" t="n">
        <v>0</v>
      </c>
      <c r="M234" t="n">
        <v>0</v>
      </c>
      <c r="N234" t="n">
        <v>0</v>
      </c>
      <c r="O234" t="n">
        <v>0</v>
      </c>
      <c r="P234" t="n">
        <v>0</v>
      </c>
      <c r="Q234" t="n">
        <v>0</v>
      </c>
      <c r="R234" s="2" t="inlineStr"/>
    </row>
    <row r="235" ht="15" customHeight="1">
      <c r="A235" t="inlineStr">
        <is>
          <t>A 43247-2023</t>
        </is>
      </c>
      <c r="B235" s="1" t="n">
        <v>45183.48666666666</v>
      </c>
      <c r="C235" s="1" t="n">
        <v>46184</v>
      </c>
      <c r="D235" t="inlineStr">
        <is>
          <t>ÖREBRO LÄN</t>
        </is>
      </c>
      <c r="E235" t="inlineStr">
        <is>
          <t>LINDESBERG</t>
        </is>
      </c>
      <c r="G235" t="n">
        <v>3</v>
      </c>
      <c r="H235" t="n">
        <v>0</v>
      </c>
      <c r="I235" t="n">
        <v>0</v>
      </c>
      <c r="J235" t="n">
        <v>0</v>
      </c>
      <c r="K235" t="n">
        <v>0</v>
      </c>
      <c r="L235" t="n">
        <v>0</v>
      </c>
      <c r="M235" t="n">
        <v>0</v>
      </c>
      <c r="N235" t="n">
        <v>0</v>
      </c>
      <c r="O235" t="n">
        <v>0</v>
      </c>
      <c r="P235" t="n">
        <v>0</v>
      </c>
      <c r="Q235" t="n">
        <v>0</v>
      </c>
      <c r="R235" s="2" t="inlineStr"/>
    </row>
    <row r="236" ht="15" customHeight="1">
      <c r="A236" t="inlineStr">
        <is>
          <t>A 48867-2025</t>
        </is>
      </c>
      <c r="B236" s="1" t="n">
        <v>45937.4484837963</v>
      </c>
      <c r="C236" s="1" t="n">
        <v>46184</v>
      </c>
      <c r="D236" t="inlineStr">
        <is>
          <t>ÖREBRO LÄN</t>
        </is>
      </c>
      <c r="E236" t="inlineStr">
        <is>
          <t>LINDESBERG</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37507-2023</t>
        </is>
      </c>
      <c r="B237" s="1" t="n">
        <v>45158.41768518519</v>
      </c>
      <c r="C237" s="1" t="n">
        <v>46184</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43532-2024</t>
        </is>
      </c>
      <c r="B238" s="1" t="n">
        <v>45569.3533912037</v>
      </c>
      <c r="C238" s="1" t="n">
        <v>46184</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59282-2023</t>
        </is>
      </c>
      <c r="B239" s="1" t="n">
        <v>45253</v>
      </c>
      <c r="C239" s="1" t="n">
        <v>46184</v>
      </c>
      <c r="D239" t="inlineStr">
        <is>
          <t>ÖREBRO LÄN</t>
        </is>
      </c>
      <c r="E239" t="inlineStr">
        <is>
          <t>LINDESBERG</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47601-2023</t>
        </is>
      </c>
      <c r="B240" s="1" t="n">
        <v>45203.45681712963</v>
      </c>
      <c r="C240" s="1" t="n">
        <v>46184</v>
      </c>
      <c r="D240" t="inlineStr">
        <is>
          <t>ÖREBRO LÄN</t>
        </is>
      </c>
      <c r="E240" t="inlineStr">
        <is>
          <t>LINDESBERG</t>
        </is>
      </c>
      <c r="G240" t="n">
        <v>37.6</v>
      </c>
      <c r="H240" t="n">
        <v>0</v>
      </c>
      <c r="I240" t="n">
        <v>0</v>
      </c>
      <c r="J240" t="n">
        <v>0</v>
      </c>
      <c r="K240" t="n">
        <v>0</v>
      </c>
      <c r="L240" t="n">
        <v>0</v>
      </c>
      <c r="M240" t="n">
        <v>0</v>
      </c>
      <c r="N240" t="n">
        <v>0</v>
      </c>
      <c r="O240" t="n">
        <v>0</v>
      </c>
      <c r="P240" t="n">
        <v>0</v>
      </c>
      <c r="Q240" t="n">
        <v>0</v>
      </c>
      <c r="R240" s="2" t="inlineStr"/>
    </row>
    <row r="241" ht="15" customHeight="1">
      <c r="A241" t="inlineStr">
        <is>
          <t>A 49133-2025</t>
        </is>
      </c>
      <c r="B241" s="1" t="n">
        <v>45937.92319444445</v>
      </c>
      <c r="C241" s="1" t="n">
        <v>46184</v>
      </c>
      <c r="D241" t="inlineStr">
        <is>
          <t>ÖREBRO LÄN</t>
        </is>
      </c>
      <c r="E241" t="inlineStr">
        <is>
          <t>LINDESBERG</t>
        </is>
      </c>
      <c r="G241" t="n">
        <v>5</v>
      </c>
      <c r="H241" t="n">
        <v>0</v>
      </c>
      <c r="I241" t="n">
        <v>0</v>
      </c>
      <c r="J241" t="n">
        <v>0</v>
      </c>
      <c r="K241" t="n">
        <v>0</v>
      </c>
      <c r="L241" t="n">
        <v>0</v>
      </c>
      <c r="M241" t="n">
        <v>0</v>
      </c>
      <c r="N241" t="n">
        <v>0</v>
      </c>
      <c r="O241" t="n">
        <v>0</v>
      </c>
      <c r="P241" t="n">
        <v>0</v>
      </c>
      <c r="Q241" t="n">
        <v>0</v>
      </c>
      <c r="R241" s="2" t="inlineStr"/>
    </row>
    <row r="242" ht="15" customHeight="1">
      <c r="A242" t="inlineStr">
        <is>
          <t>A 22078-2025</t>
        </is>
      </c>
      <c r="B242" s="1" t="n">
        <v>45785.4253125</v>
      </c>
      <c r="C242" s="1" t="n">
        <v>46184</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53355-2023</t>
        </is>
      </c>
      <c r="B243" s="1" t="n">
        <v>45229.66430555555</v>
      </c>
      <c r="C243" s="1" t="n">
        <v>46184</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62308-2023</t>
        </is>
      </c>
      <c r="B244" s="1" t="n">
        <v>45267.69052083333</v>
      </c>
      <c r="C244" s="1" t="n">
        <v>46184</v>
      </c>
      <c r="D244" t="inlineStr">
        <is>
          <t>ÖREBRO LÄN</t>
        </is>
      </c>
      <c r="E244" t="inlineStr">
        <is>
          <t>LINDESBERG</t>
        </is>
      </c>
      <c r="F244" t="inlineStr">
        <is>
          <t>Naturvårdsverket</t>
        </is>
      </c>
      <c r="G244" t="n">
        <v>3.1</v>
      </c>
      <c r="H244" t="n">
        <v>0</v>
      </c>
      <c r="I244" t="n">
        <v>0</v>
      </c>
      <c r="J244" t="n">
        <v>0</v>
      </c>
      <c r="K244" t="n">
        <v>0</v>
      </c>
      <c r="L244" t="n">
        <v>0</v>
      </c>
      <c r="M244" t="n">
        <v>0</v>
      </c>
      <c r="N244" t="n">
        <v>0</v>
      </c>
      <c r="O244" t="n">
        <v>0</v>
      </c>
      <c r="P244" t="n">
        <v>0</v>
      </c>
      <c r="Q244" t="n">
        <v>0</v>
      </c>
      <c r="R244" s="2" t="inlineStr"/>
    </row>
    <row r="245" ht="15" customHeight="1">
      <c r="A245" t="inlineStr">
        <is>
          <t>A 27702-2025</t>
        </is>
      </c>
      <c r="B245" s="1" t="n">
        <v>45813</v>
      </c>
      <c r="C245" s="1" t="n">
        <v>46184</v>
      </c>
      <c r="D245" t="inlineStr">
        <is>
          <t>ÖREBRO LÄN</t>
        </is>
      </c>
      <c r="E245" t="inlineStr">
        <is>
          <t>LINDESBERG</t>
        </is>
      </c>
      <c r="G245" t="n">
        <v>1.4</v>
      </c>
      <c r="H245" t="n">
        <v>0</v>
      </c>
      <c r="I245" t="n">
        <v>0</v>
      </c>
      <c r="J245" t="n">
        <v>0</v>
      </c>
      <c r="K245" t="n">
        <v>0</v>
      </c>
      <c r="L245" t="n">
        <v>0</v>
      </c>
      <c r="M245" t="n">
        <v>0</v>
      </c>
      <c r="N245" t="n">
        <v>0</v>
      </c>
      <c r="O245" t="n">
        <v>0</v>
      </c>
      <c r="P245" t="n">
        <v>0</v>
      </c>
      <c r="Q245" t="n">
        <v>0</v>
      </c>
      <c r="R245" s="2" t="inlineStr"/>
    </row>
    <row r="246" ht="15" customHeight="1">
      <c r="A246" t="inlineStr">
        <is>
          <t>A 48993-2025</t>
        </is>
      </c>
      <c r="B246" s="1" t="n">
        <v>45937.58590277778</v>
      </c>
      <c r="C246" s="1" t="n">
        <v>46184</v>
      </c>
      <c r="D246" t="inlineStr">
        <is>
          <t>ÖREBRO LÄN</t>
        </is>
      </c>
      <c r="E246" t="inlineStr">
        <is>
          <t>LINDESBERG</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36680-2024</t>
        </is>
      </c>
      <c r="B247" s="1" t="n">
        <v>45537.65305555556</v>
      </c>
      <c r="C247" s="1" t="n">
        <v>46184</v>
      </c>
      <c r="D247" t="inlineStr">
        <is>
          <t>ÖREBRO LÄN</t>
        </is>
      </c>
      <c r="E247" t="inlineStr">
        <is>
          <t>LINDESBERG</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49183-2025</t>
        </is>
      </c>
      <c r="B248" s="1" t="n">
        <v>45938.39741898148</v>
      </c>
      <c r="C248" s="1" t="n">
        <v>46184</v>
      </c>
      <c r="D248" t="inlineStr">
        <is>
          <t>ÖREBRO LÄN</t>
        </is>
      </c>
      <c r="E248" t="inlineStr">
        <is>
          <t>LINDESBERG</t>
        </is>
      </c>
      <c r="G248" t="n">
        <v>4.4</v>
      </c>
      <c r="H248" t="n">
        <v>0</v>
      </c>
      <c r="I248" t="n">
        <v>0</v>
      </c>
      <c r="J248" t="n">
        <v>0</v>
      </c>
      <c r="K248" t="n">
        <v>0</v>
      </c>
      <c r="L248" t="n">
        <v>0</v>
      </c>
      <c r="M248" t="n">
        <v>0</v>
      </c>
      <c r="N248" t="n">
        <v>0</v>
      </c>
      <c r="O248" t="n">
        <v>0</v>
      </c>
      <c r="P248" t="n">
        <v>0</v>
      </c>
      <c r="Q248" t="n">
        <v>0</v>
      </c>
      <c r="R248" s="2" t="inlineStr"/>
    </row>
    <row r="249" ht="15" customHeight="1">
      <c r="A249" t="inlineStr">
        <is>
          <t>A 38861-2025</t>
        </is>
      </c>
      <c r="B249" s="1" t="n">
        <v>45887.56101851852</v>
      </c>
      <c r="C249" s="1" t="n">
        <v>46184</v>
      </c>
      <c r="D249" t="inlineStr">
        <is>
          <t>ÖREBRO LÄN</t>
        </is>
      </c>
      <c r="E249" t="inlineStr">
        <is>
          <t>LINDESBERG</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49707-2025</t>
        </is>
      </c>
      <c r="B250" s="1" t="n">
        <v>45939.67951388889</v>
      </c>
      <c r="C250" s="1" t="n">
        <v>46184</v>
      </c>
      <c r="D250" t="inlineStr">
        <is>
          <t>ÖREBRO LÄN</t>
        </is>
      </c>
      <c r="E250" t="inlineStr">
        <is>
          <t>LINDESBERG</t>
        </is>
      </c>
      <c r="F250" t="inlineStr">
        <is>
          <t>Kommuner</t>
        </is>
      </c>
      <c r="G250" t="n">
        <v>0.6</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46184</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39429-2025</t>
        </is>
      </c>
      <c r="B252" s="1" t="n">
        <v>45889.67577546297</v>
      </c>
      <c r="C252" s="1" t="n">
        <v>46184</v>
      </c>
      <c r="D252" t="inlineStr">
        <is>
          <t>ÖREBRO LÄN</t>
        </is>
      </c>
      <c r="E252" t="inlineStr">
        <is>
          <t>LINDESBERG</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28776-2023</t>
        </is>
      </c>
      <c r="B253" s="1" t="n">
        <v>45104.34107638889</v>
      </c>
      <c r="C253" s="1" t="n">
        <v>46184</v>
      </c>
      <c r="D253" t="inlineStr">
        <is>
          <t>ÖREBRO LÄN</t>
        </is>
      </c>
      <c r="E253" t="inlineStr">
        <is>
          <t>LINDESBERG</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39421-2025</t>
        </is>
      </c>
      <c r="B254" s="1" t="n">
        <v>45889.66935185185</v>
      </c>
      <c r="C254" s="1" t="n">
        <v>46184</v>
      </c>
      <c r="D254" t="inlineStr">
        <is>
          <t>ÖREBRO LÄN</t>
        </is>
      </c>
      <c r="E254" t="inlineStr">
        <is>
          <t>LINDESBERG</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39424-2025</t>
        </is>
      </c>
      <c r="B255" s="1" t="n">
        <v>45889.67290509259</v>
      </c>
      <c r="C255" s="1" t="n">
        <v>46184</v>
      </c>
      <c r="D255" t="inlineStr">
        <is>
          <t>ÖREBRO LÄN</t>
        </is>
      </c>
      <c r="E255" t="inlineStr">
        <is>
          <t>LINDESBERG</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53189-2023</t>
        </is>
      </c>
      <c r="B256" s="1" t="n">
        <v>45194</v>
      </c>
      <c r="C256" s="1" t="n">
        <v>46184</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46184</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46184</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29938-2024</t>
        </is>
      </c>
      <c r="B259" s="1" t="n">
        <v>45488.41480324074</v>
      </c>
      <c r="C259" s="1" t="n">
        <v>46184</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47535-2022</t>
        </is>
      </c>
      <c r="B260" s="1" t="n">
        <v>44853.79818287037</v>
      </c>
      <c r="C260" s="1" t="n">
        <v>46184</v>
      </c>
      <c r="D260" t="inlineStr">
        <is>
          <t>ÖREBRO LÄN</t>
        </is>
      </c>
      <c r="E260" t="inlineStr">
        <is>
          <t>LINDESBERG</t>
        </is>
      </c>
      <c r="G260" t="n">
        <v>3</v>
      </c>
      <c r="H260" t="n">
        <v>0</v>
      </c>
      <c r="I260" t="n">
        <v>0</v>
      </c>
      <c r="J260" t="n">
        <v>0</v>
      </c>
      <c r="K260" t="n">
        <v>0</v>
      </c>
      <c r="L260" t="n">
        <v>0</v>
      </c>
      <c r="M260" t="n">
        <v>0</v>
      </c>
      <c r="N260" t="n">
        <v>0</v>
      </c>
      <c r="O260" t="n">
        <v>0</v>
      </c>
      <c r="P260" t="n">
        <v>0</v>
      </c>
      <c r="Q260" t="n">
        <v>0</v>
      </c>
      <c r="R260" s="2" t="inlineStr"/>
    </row>
    <row r="261" ht="15" customHeight="1">
      <c r="A261" t="inlineStr">
        <is>
          <t>A 59641-2024</t>
        </is>
      </c>
      <c r="B261" s="1" t="n">
        <v>45639.30934027778</v>
      </c>
      <c r="C261" s="1" t="n">
        <v>46184</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43433-2024</t>
        </is>
      </c>
      <c r="B262" s="1" t="n">
        <v>45568.64523148148</v>
      </c>
      <c r="C262" s="1" t="n">
        <v>46184</v>
      </c>
      <c r="D262" t="inlineStr">
        <is>
          <t>ÖREBRO LÄN</t>
        </is>
      </c>
      <c r="E262" t="inlineStr">
        <is>
          <t>LINDESBERG</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42707-2023</t>
        </is>
      </c>
      <c r="B263" s="1" t="n">
        <v>45181</v>
      </c>
      <c r="C263" s="1" t="n">
        <v>46184</v>
      </c>
      <c r="D263" t="inlineStr">
        <is>
          <t>ÖREBRO LÄN</t>
        </is>
      </c>
      <c r="E263" t="inlineStr">
        <is>
          <t>LINDESBERG</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17779-2024</t>
        </is>
      </c>
      <c r="B264" s="1" t="n">
        <v>45418.66800925926</v>
      </c>
      <c r="C264" s="1" t="n">
        <v>46184</v>
      </c>
      <c r="D264" t="inlineStr">
        <is>
          <t>ÖREBRO LÄN</t>
        </is>
      </c>
      <c r="E264" t="inlineStr">
        <is>
          <t>LINDESBERG</t>
        </is>
      </c>
      <c r="G264" t="n">
        <v>3.7</v>
      </c>
      <c r="H264" t="n">
        <v>0</v>
      </c>
      <c r="I264" t="n">
        <v>0</v>
      </c>
      <c r="J264" t="n">
        <v>0</v>
      </c>
      <c r="K264" t="n">
        <v>0</v>
      </c>
      <c r="L264" t="n">
        <v>0</v>
      </c>
      <c r="M264" t="n">
        <v>0</v>
      </c>
      <c r="N264" t="n">
        <v>0</v>
      </c>
      <c r="O264" t="n">
        <v>0</v>
      </c>
      <c r="P264" t="n">
        <v>0</v>
      </c>
      <c r="Q264" t="n">
        <v>0</v>
      </c>
      <c r="R264" s="2" t="inlineStr"/>
    </row>
    <row r="265" ht="15" customHeight="1">
      <c r="A265" t="inlineStr">
        <is>
          <t>A 40347-2025</t>
        </is>
      </c>
      <c r="B265" s="1" t="n">
        <v>45895.4790625</v>
      </c>
      <c r="C265" s="1" t="n">
        <v>46184</v>
      </c>
      <c r="D265" t="inlineStr">
        <is>
          <t>ÖREBRO LÄN</t>
        </is>
      </c>
      <c r="E265" t="inlineStr">
        <is>
          <t>LINDESBERG</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40346-2025</t>
        </is>
      </c>
      <c r="B266" s="1" t="n">
        <v>45895.47704861111</v>
      </c>
      <c r="C266" s="1" t="n">
        <v>46184</v>
      </c>
      <c r="D266" t="inlineStr">
        <is>
          <t>ÖREBRO LÄN</t>
        </is>
      </c>
      <c r="E266" t="inlineStr">
        <is>
          <t>LINDESBERG</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54793-2024</t>
        </is>
      </c>
      <c r="B267" s="1" t="n">
        <v>45618</v>
      </c>
      <c r="C267" s="1" t="n">
        <v>46184</v>
      </c>
      <c r="D267" t="inlineStr">
        <is>
          <t>ÖREBRO LÄN</t>
        </is>
      </c>
      <c r="E267" t="inlineStr">
        <is>
          <t>LINDESBERG</t>
        </is>
      </c>
      <c r="G267" t="n">
        <v>3</v>
      </c>
      <c r="H267" t="n">
        <v>0</v>
      </c>
      <c r="I267" t="n">
        <v>0</v>
      </c>
      <c r="J267" t="n">
        <v>0</v>
      </c>
      <c r="K267" t="n">
        <v>0</v>
      </c>
      <c r="L267" t="n">
        <v>0</v>
      </c>
      <c r="M267" t="n">
        <v>0</v>
      </c>
      <c r="N267" t="n">
        <v>0</v>
      </c>
      <c r="O267" t="n">
        <v>0</v>
      </c>
      <c r="P267" t="n">
        <v>0</v>
      </c>
      <c r="Q267" t="n">
        <v>0</v>
      </c>
      <c r="R267" s="2" t="inlineStr"/>
    </row>
    <row r="268" ht="15" customHeight="1">
      <c r="A268" t="inlineStr">
        <is>
          <t>A 1400-2025</t>
        </is>
      </c>
      <c r="B268" s="1" t="n">
        <v>45667</v>
      </c>
      <c r="C268" s="1" t="n">
        <v>46184</v>
      </c>
      <c r="D268" t="inlineStr">
        <is>
          <t>ÖREBRO LÄN</t>
        </is>
      </c>
      <c r="E268" t="inlineStr">
        <is>
          <t>LINDESBERG</t>
        </is>
      </c>
      <c r="F268" t="inlineStr">
        <is>
          <t>Allmännings- och besparingsskogar</t>
        </is>
      </c>
      <c r="G268" t="n">
        <v>11.3</v>
      </c>
      <c r="H268" t="n">
        <v>0</v>
      </c>
      <c r="I268" t="n">
        <v>0</v>
      </c>
      <c r="J268" t="n">
        <v>0</v>
      </c>
      <c r="K268" t="n">
        <v>0</v>
      </c>
      <c r="L268" t="n">
        <v>0</v>
      </c>
      <c r="M268" t="n">
        <v>0</v>
      </c>
      <c r="N268" t="n">
        <v>0</v>
      </c>
      <c r="O268" t="n">
        <v>0</v>
      </c>
      <c r="P268" t="n">
        <v>0</v>
      </c>
      <c r="Q268" t="n">
        <v>0</v>
      </c>
      <c r="R268" s="2" t="inlineStr"/>
    </row>
    <row r="269" ht="15" customHeight="1">
      <c r="A269" t="inlineStr">
        <is>
          <t>A 40357-2025</t>
        </is>
      </c>
      <c r="B269" s="1" t="n">
        <v>45895.48927083334</v>
      </c>
      <c r="C269" s="1" t="n">
        <v>46184</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49946-2025</t>
        </is>
      </c>
      <c r="B270" s="1" t="n">
        <v>45940.69862268519</v>
      </c>
      <c r="C270" s="1" t="n">
        <v>46184</v>
      </c>
      <c r="D270" t="inlineStr">
        <is>
          <t>ÖREBRO LÄN</t>
        </is>
      </c>
      <c r="E270" t="inlineStr">
        <is>
          <t>LINDESBERG</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21202-2024</t>
        </is>
      </c>
      <c r="B271" s="1" t="n">
        <v>45440.5433912037</v>
      </c>
      <c r="C271" s="1" t="n">
        <v>46184</v>
      </c>
      <c r="D271" t="inlineStr">
        <is>
          <t>ÖREBRO LÄN</t>
        </is>
      </c>
      <c r="E271" t="inlineStr">
        <is>
          <t>LINDESBERG</t>
        </is>
      </c>
      <c r="G271" t="n">
        <v>4</v>
      </c>
      <c r="H271" t="n">
        <v>0</v>
      </c>
      <c r="I271" t="n">
        <v>0</v>
      </c>
      <c r="J271" t="n">
        <v>0</v>
      </c>
      <c r="K271" t="n">
        <v>0</v>
      </c>
      <c r="L271" t="n">
        <v>0</v>
      </c>
      <c r="M271" t="n">
        <v>0</v>
      </c>
      <c r="N271" t="n">
        <v>0</v>
      </c>
      <c r="O271" t="n">
        <v>0</v>
      </c>
      <c r="P271" t="n">
        <v>0</v>
      </c>
      <c r="Q271" t="n">
        <v>0</v>
      </c>
      <c r="R271" s="2" t="inlineStr"/>
    </row>
    <row r="272" ht="15" customHeight="1">
      <c r="A272" t="inlineStr">
        <is>
          <t>A 23102-2023</t>
        </is>
      </c>
      <c r="B272" s="1" t="n">
        <v>45075.44152777778</v>
      </c>
      <c r="C272" s="1" t="n">
        <v>46184</v>
      </c>
      <c r="D272" t="inlineStr">
        <is>
          <t>ÖREBRO LÄN</t>
        </is>
      </c>
      <c r="E272" t="inlineStr">
        <is>
          <t>LINDESBERG</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2414-2024</t>
        </is>
      </c>
      <c r="B273" s="1" t="n">
        <v>45310.87931712963</v>
      </c>
      <c r="C273" s="1" t="n">
        <v>46184</v>
      </c>
      <c r="D273" t="inlineStr">
        <is>
          <t>ÖREBRO LÄN</t>
        </is>
      </c>
      <c r="E273" t="inlineStr">
        <is>
          <t>LINDESBERG</t>
        </is>
      </c>
      <c r="G273" t="n">
        <v>7.2</v>
      </c>
      <c r="H273" t="n">
        <v>0</v>
      </c>
      <c r="I273" t="n">
        <v>0</v>
      </c>
      <c r="J273" t="n">
        <v>0</v>
      </c>
      <c r="K273" t="n">
        <v>0</v>
      </c>
      <c r="L273" t="n">
        <v>0</v>
      </c>
      <c r="M273" t="n">
        <v>0</v>
      </c>
      <c r="N273" t="n">
        <v>0</v>
      </c>
      <c r="O273" t="n">
        <v>0</v>
      </c>
      <c r="P273" t="n">
        <v>0</v>
      </c>
      <c r="Q273" t="n">
        <v>0</v>
      </c>
      <c r="R273" s="2" t="inlineStr"/>
    </row>
    <row r="274" ht="15" customHeight="1">
      <c r="A274" t="inlineStr">
        <is>
          <t>A 49943-2025</t>
        </is>
      </c>
      <c r="B274" s="1" t="n">
        <v>45940.69521990741</v>
      </c>
      <c r="C274" s="1" t="n">
        <v>46184</v>
      </c>
      <c r="D274" t="inlineStr">
        <is>
          <t>ÖREBRO LÄN</t>
        </is>
      </c>
      <c r="E274" t="inlineStr">
        <is>
          <t>LINDESBERG</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1490-2024</t>
        </is>
      </c>
      <c r="B275" s="1" t="n">
        <v>45305</v>
      </c>
      <c r="C275" s="1" t="n">
        <v>46184</v>
      </c>
      <c r="D275" t="inlineStr">
        <is>
          <t>ÖREBRO LÄN</t>
        </is>
      </c>
      <c r="E275" t="inlineStr">
        <is>
          <t>LINDESBERG</t>
        </is>
      </c>
      <c r="G275" t="n">
        <v>17.6</v>
      </c>
      <c r="H275" t="n">
        <v>0</v>
      </c>
      <c r="I275" t="n">
        <v>0</v>
      </c>
      <c r="J275" t="n">
        <v>0</v>
      </c>
      <c r="K275" t="n">
        <v>0</v>
      </c>
      <c r="L275" t="n">
        <v>0</v>
      </c>
      <c r="M275" t="n">
        <v>0</v>
      </c>
      <c r="N275" t="n">
        <v>0</v>
      </c>
      <c r="O275" t="n">
        <v>0</v>
      </c>
      <c r="P275" t="n">
        <v>0</v>
      </c>
      <c r="Q275" t="n">
        <v>0</v>
      </c>
      <c r="R275" s="2" t="inlineStr"/>
    </row>
    <row r="276" ht="15" customHeight="1">
      <c r="A276" t="inlineStr">
        <is>
          <t>A 49944-2025</t>
        </is>
      </c>
      <c r="B276" s="1" t="n">
        <v>45940.69643518519</v>
      </c>
      <c r="C276" s="1" t="n">
        <v>46184</v>
      </c>
      <c r="D276" t="inlineStr">
        <is>
          <t>ÖREBRO LÄN</t>
        </is>
      </c>
      <c r="E276" t="inlineStr">
        <is>
          <t>LINDESBERG</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49947-2025</t>
        </is>
      </c>
      <c r="B277" s="1" t="n">
        <v>45940.70018518518</v>
      </c>
      <c r="C277" s="1" t="n">
        <v>46184</v>
      </c>
      <c r="D277" t="inlineStr">
        <is>
          <t>ÖREBRO LÄN</t>
        </is>
      </c>
      <c r="E277" t="inlineStr">
        <is>
          <t>LINDESBERG</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50072-2025</t>
        </is>
      </c>
      <c r="B278" s="1" t="n">
        <v>45943.45966435185</v>
      </c>
      <c r="C278" s="1" t="n">
        <v>46184</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50086-2025</t>
        </is>
      </c>
      <c r="B279" s="1" t="n">
        <v>45943.47649305555</v>
      </c>
      <c r="C279" s="1" t="n">
        <v>46184</v>
      </c>
      <c r="D279" t="inlineStr">
        <is>
          <t>ÖREBRO LÄN</t>
        </is>
      </c>
      <c r="E279" t="inlineStr">
        <is>
          <t>LINDESBERG</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27434-2023</t>
        </is>
      </c>
      <c r="B280" s="1" t="n">
        <v>45097.38688657407</v>
      </c>
      <c r="C280" s="1" t="n">
        <v>46184</v>
      </c>
      <c r="D280" t="inlineStr">
        <is>
          <t>ÖREBRO LÄN</t>
        </is>
      </c>
      <c r="E280" t="inlineStr">
        <is>
          <t>LINDESBERG</t>
        </is>
      </c>
      <c r="G280" t="n">
        <v>10.7</v>
      </c>
      <c r="H280" t="n">
        <v>0</v>
      </c>
      <c r="I280" t="n">
        <v>0</v>
      </c>
      <c r="J280" t="n">
        <v>0</v>
      </c>
      <c r="K280" t="n">
        <v>0</v>
      </c>
      <c r="L280" t="n">
        <v>0</v>
      </c>
      <c r="M280" t="n">
        <v>0</v>
      </c>
      <c r="N280" t="n">
        <v>0</v>
      </c>
      <c r="O280" t="n">
        <v>0</v>
      </c>
      <c r="P280" t="n">
        <v>0</v>
      </c>
      <c r="Q280" t="n">
        <v>0</v>
      </c>
      <c r="R280" s="2" t="inlineStr"/>
    </row>
    <row r="281" ht="15" customHeight="1">
      <c r="A281" t="inlineStr">
        <is>
          <t>A 23844-2025</t>
        </is>
      </c>
      <c r="B281" s="1" t="n">
        <v>45793.62422453704</v>
      </c>
      <c r="C281" s="1" t="n">
        <v>46184</v>
      </c>
      <c r="D281" t="inlineStr">
        <is>
          <t>ÖREBRO LÄN</t>
        </is>
      </c>
      <c r="E281" t="inlineStr">
        <is>
          <t>LINDESBERG</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24186-2024</t>
        </is>
      </c>
      <c r="B282" s="1" t="n">
        <v>45456.90869212963</v>
      </c>
      <c r="C282" s="1" t="n">
        <v>46184</v>
      </c>
      <c r="D282" t="inlineStr">
        <is>
          <t>ÖREBRO LÄN</t>
        </is>
      </c>
      <c r="E282" t="inlineStr">
        <is>
          <t>LINDESBERG</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50073-2025</t>
        </is>
      </c>
      <c r="B283" s="1" t="n">
        <v>45943.4603125</v>
      </c>
      <c r="C283" s="1" t="n">
        <v>46184</v>
      </c>
      <c r="D283" t="inlineStr">
        <is>
          <t>ÖREBRO LÄN</t>
        </is>
      </c>
      <c r="E283" t="inlineStr">
        <is>
          <t>LINDESBERG</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7201-2024</t>
        </is>
      </c>
      <c r="B284" s="1" t="n">
        <v>45344.6027662037</v>
      </c>
      <c r="C284" s="1" t="n">
        <v>46184</v>
      </c>
      <c r="D284" t="inlineStr">
        <is>
          <t>ÖREBRO LÄN</t>
        </is>
      </c>
      <c r="E284" t="inlineStr">
        <is>
          <t>LINDESBERG</t>
        </is>
      </c>
      <c r="G284" t="n">
        <v>4.7</v>
      </c>
      <c r="H284" t="n">
        <v>0</v>
      </c>
      <c r="I284" t="n">
        <v>0</v>
      </c>
      <c r="J284" t="n">
        <v>0</v>
      </c>
      <c r="K284" t="n">
        <v>0</v>
      </c>
      <c r="L284" t="n">
        <v>0</v>
      </c>
      <c r="M284" t="n">
        <v>0</v>
      </c>
      <c r="N284" t="n">
        <v>0</v>
      </c>
      <c r="O284" t="n">
        <v>0</v>
      </c>
      <c r="P284" t="n">
        <v>0</v>
      </c>
      <c r="Q284" t="n">
        <v>0</v>
      </c>
      <c r="R284" s="2" t="inlineStr"/>
    </row>
    <row r="285" ht="15" customHeight="1">
      <c r="A285" t="inlineStr">
        <is>
          <t>A 5080-2024</t>
        </is>
      </c>
      <c r="B285" s="1" t="n">
        <v>45330</v>
      </c>
      <c r="C285" s="1" t="n">
        <v>46184</v>
      </c>
      <c r="D285" t="inlineStr">
        <is>
          <t>ÖREBRO LÄN</t>
        </is>
      </c>
      <c r="E285" t="inlineStr">
        <is>
          <t>LINDESBERG</t>
        </is>
      </c>
      <c r="G285" t="n">
        <v>1.5</v>
      </c>
      <c r="H285" t="n">
        <v>0</v>
      </c>
      <c r="I285" t="n">
        <v>0</v>
      </c>
      <c r="J285" t="n">
        <v>0</v>
      </c>
      <c r="K285" t="n">
        <v>0</v>
      </c>
      <c r="L285" t="n">
        <v>0</v>
      </c>
      <c r="M285" t="n">
        <v>0</v>
      </c>
      <c r="N285" t="n">
        <v>0</v>
      </c>
      <c r="O285" t="n">
        <v>0</v>
      </c>
      <c r="P285" t="n">
        <v>0</v>
      </c>
      <c r="Q285" t="n">
        <v>0</v>
      </c>
      <c r="R285" s="2" t="inlineStr"/>
    </row>
    <row r="286" ht="15" customHeight="1">
      <c r="A286" t="inlineStr">
        <is>
          <t>A 23932-2025</t>
        </is>
      </c>
      <c r="B286" s="1" t="n">
        <v>45795.70912037037</v>
      </c>
      <c r="C286" s="1" t="n">
        <v>46184</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37125-2023</t>
        </is>
      </c>
      <c r="B287" s="1" t="n">
        <v>45155.5653125</v>
      </c>
      <c r="C287" s="1" t="n">
        <v>46184</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15899-2025</t>
        </is>
      </c>
      <c r="B288" s="1" t="n">
        <v>45749.42258101852</v>
      </c>
      <c r="C288" s="1" t="n">
        <v>46184</v>
      </c>
      <c r="D288" t="inlineStr">
        <is>
          <t>ÖREBRO LÄN</t>
        </is>
      </c>
      <c r="E288" t="inlineStr">
        <is>
          <t>LINDESBERG</t>
        </is>
      </c>
      <c r="G288" t="n">
        <v>6.6</v>
      </c>
      <c r="H288" t="n">
        <v>0</v>
      </c>
      <c r="I288" t="n">
        <v>0</v>
      </c>
      <c r="J288" t="n">
        <v>0</v>
      </c>
      <c r="K288" t="n">
        <v>0</v>
      </c>
      <c r="L288" t="n">
        <v>0</v>
      </c>
      <c r="M288" t="n">
        <v>0</v>
      </c>
      <c r="N288" t="n">
        <v>0</v>
      </c>
      <c r="O288" t="n">
        <v>0</v>
      </c>
      <c r="P288" t="n">
        <v>0</v>
      </c>
      <c r="Q288" t="n">
        <v>0</v>
      </c>
      <c r="R288" s="2" t="inlineStr"/>
    </row>
    <row r="289" ht="15" customHeight="1">
      <c r="A289" t="inlineStr">
        <is>
          <t>A 57944-2023</t>
        </is>
      </c>
      <c r="B289" s="1" t="n">
        <v>45244</v>
      </c>
      <c r="C289" s="1" t="n">
        <v>46184</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41889-2025</t>
        </is>
      </c>
      <c r="B290" s="1" t="n">
        <v>45903.37475694445</v>
      </c>
      <c r="C290" s="1" t="n">
        <v>46184</v>
      </c>
      <c r="D290" t="inlineStr">
        <is>
          <t>ÖREBRO LÄN</t>
        </is>
      </c>
      <c r="E290" t="inlineStr">
        <is>
          <t>LINDESBERG</t>
        </is>
      </c>
      <c r="F290" t="inlineStr">
        <is>
          <t>Sveaskog</t>
        </is>
      </c>
      <c r="G290" t="n">
        <v>7.7</v>
      </c>
      <c r="H290" t="n">
        <v>0</v>
      </c>
      <c r="I290" t="n">
        <v>0</v>
      </c>
      <c r="J290" t="n">
        <v>0</v>
      </c>
      <c r="K290" t="n">
        <v>0</v>
      </c>
      <c r="L290" t="n">
        <v>0</v>
      </c>
      <c r="M290" t="n">
        <v>0</v>
      </c>
      <c r="N290" t="n">
        <v>0</v>
      </c>
      <c r="O290" t="n">
        <v>0</v>
      </c>
      <c r="P290" t="n">
        <v>0</v>
      </c>
      <c r="Q290" t="n">
        <v>0</v>
      </c>
      <c r="R290" s="2" t="inlineStr"/>
    </row>
    <row r="291" ht="15" customHeight="1">
      <c r="A291" t="inlineStr">
        <is>
          <t>A 52284-2024</t>
        </is>
      </c>
      <c r="B291" s="1" t="n">
        <v>45608</v>
      </c>
      <c r="C291" s="1" t="n">
        <v>46184</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15895-2025</t>
        </is>
      </c>
      <c r="B292" s="1" t="n">
        <v>45749</v>
      </c>
      <c r="C292" s="1" t="n">
        <v>46184</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24017-2025</t>
        </is>
      </c>
      <c r="B293" s="1" t="n">
        <v>45796.44885416667</v>
      </c>
      <c r="C293" s="1" t="n">
        <v>46184</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24107-2025</t>
        </is>
      </c>
      <c r="B294" s="1" t="n">
        <v>45796</v>
      </c>
      <c r="C294" s="1" t="n">
        <v>46184</v>
      </c>
      <c r="D294" t="inlineStr">
        <is>
          <t>ÖREBRO LÄN</t>
        </is>
      </c>
      <c r="E294" t="inlineStr">
        <is>
          <t>LINDESBERG</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24011-2025</t>
        </is>
      </c>
      <c r="B295" s="1" t="n">
        <v>45796</v>
      </c>
      <c r="C295" s="1" t="n">
        <v>46184</v>
      </c>
      <c r="D295" t="inlineStr">
        <is>
          <t>ÖREBRO LÄN</t>
        </is>
      </c>
      <c r="E295" t="inlineStr">
        <is>
          <t>LINDESBERG</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24020-2025</t>
        </is>
      </c>
      <c r="B296" s="1" t="n">
        <v>45796.45054398148</v>
      </c>
      <c r="C296" s="1" t="n">
        <v>46184</v>
      </c>
      <c r="D296" t="inlineStr">
        <is>
          <t>ÖREBRO LÄN</t>
        </is>
      </c>
      <c r="E296" t="inlineStr">
        <is>
          <t>LINDESBERG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24043-2024</t>
        </is>
      </c>
      <c r="B297" s="1" t="n">
        <v>45456.48927083334</v>
      </c>
      <c r="C297" s="1" t="n">
        <v>46184</v>
      </c>
      <c r="D297" t="inlineStr">
        <is>
          <t>ÖREBRO LÄN</t>
        </is>
      </c>
      <c r="E297" t="inlineStr">
        <is>
          <t>LINDESBERG</t>
        </is>
      </c>
      <c r="G297" t="n">
        <v>6.2</v>
      </c>
      <c r="H297" t="n">
        <v>0</v>
      </c>
      <c r="I297" t="n">
        <v>0</v>
      </c>
      <c r="J297" t="n">
        <v>0</v>
      </c>
      <c r="K297" t="n">
        <v>0</v>
      </c>
      <c r="L297" t="n">
        <v>0</v>
      </c>
      <c r="M297" t="n">
        <v>0</v>
      </c>
      <c r="N297" t="n">
        <v>0</v>
      </c>
      <c r="O297" t="n">
        <v>0</v>
      </c>
      <c r="P297" t="n">
        <v>0</v>
      </c>
      <c r="Q297" t="n">
        <v>0</v>
      </c>
      <c r="R297" s="2" t="inlineStr"/>
    </row>
    <row r="298" ht="15" customHeight="1">
      <c r="A298" t="inlineStr">
        <is>
          <t>A 56561-2023</t>
        </is>
      </c>
      <c r="B298" s="1" t="n">
        <v>45243</v>
      </c>
      <c r="C298" s="1" t="n">
        <v>46184</v>
      </c>
      <c r="D298" t="inlineStr">
        <is>
          <t>ÖREBRO LÄN</t>
        </is>
      </c>
      <c r="E298" t="inlineStr">
        <is>
          <t>LINDESBERG</t>
        </is>
      </c>
      <c r="G298" t="n">
        <v>1.9</v>
      </c>
      <c r="H298" t="n">
        <v>0</v>
      </c>
      <c r="I298" t="n">
        <v>0</v>
      </c>
      <c r="J298" t="n">
        <v>0</v>
      </c>
      <c r="K298" t="n">
        <v>0</v>
      </c>
      <c r="L298" t="n">
        <v>0</v>
      </c>
      <c r="M298" t="n">
        <v>0</v>
      </c>
      <c r="N298" t="n">
        <v>0</v>
      </c>
      <c r="O298" t="n">
        <v>0</v>
      </c>
      <c r="P298" t="n">
        <v>0</v>
      </c>
      <c r="Q298" t="n">
        <v>0</v>
      </c>
      <c r="R298" s="2" t="inlineStr"/>
    </row>
    <row r="299" ht="15" customHeight="1">
      <c r="A299" t="inlineStr">
        <is>
          <t>A 52930-2024</t>
        </is>
      </c>
      <c r="B299" s="1" t="n">
        <v>45610.7466087963</v>
      </c>
      <c r="C299" s="1" t="n">
        <v>46184</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56579-2023</t>
        </is>
      </c>
      <c r="B300" s="1" t="n">
        <v>45243.62420138889</v>
      </c>
      <c r="C300" s="1" t="n">
        <v>46184</v>
      </c>
      <c r="D300" t="inlineStr">
        <is>
          <t>ÖREBRO LÄN</t>
        </is>
      </c>
      <c r="E300" t="inlineStr">
        <is>
          <t>LINDESBERG</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56582-2023</t>
        </is>
      </c>
      <c r="B301" s="1" t="n">
        <v>45243</v>
      </c>
      <c r="C301" s="1" t="n">
        <v>46184</v>
      </c>
      <c r="D301" t="inlineStr">
        <is>
          <t>ÖREBRO LÄN</t>
        </is>
      </c>
      <c r="E301" t="inlineStr">
        <is>
          <t>LINDESBERG</t>
        </is>
      </c>
      <c r="F301" t="inlineStr">
        <is>
          <t>Naturvårdsverket</t>
        </is>
      </c>
      <c r="G301" t="n">
        <v>2.3</v>
      </c>
      <c r="H301" t="n">
        <v>0</v>
      </c>
      <c r="I301" t="n">
        <v>0</v>
      </c>
      <c r="J301" t="n">
        <v>0</v>
      </c>
      <c r="K301" t="n">
        <v>0</v>
      </c>
      <c r="L301" t="n">
        <v>0</v>
      </c>
      <c r="M301" t="n">
        <v>0</v>
      </c>
      <c r="N301" t="n">
        <v>0</v>
      </c>
      <c r="O301" t="n">
        <v>0</v>
      </c>
      <c r="P301" t="n">
        <v>0</v>
      </c>
      <c r="Q301" t="n">
        <v>0</v>
      </c>
      <c r="R301" s="2" t="inlineStr"/>
    </row>
    <row r="302" ht="15" customHeight="1">
      <c r="A302" t="inlineStr">
        <is>
          <t>A 41947-2023</t>
        </is>
      </c>
      <c r="B302" s="1" t="n">
        <v>45177.31795138889</v>
      </c>
      <c r="C302" s="1" t="n">
        <v>46184</v>
      </c>
      <c r="D302" t="inlineStr">
        <is>
          <t>ÖREBRO LÄN</t>
        </is>
      </c>
      <c r="E302" t="inlineStr">
        <is>
          <t>LINDESBERG</t>
        </is>
      </c>
      <c r="F302" t="inlineStr">
        <is>
          <t>Kyrkan</t>
        </is>
      </c>
      <c r="G302" t="n">
        <v>0.7</v>
      </c>
      <c r="H302" t="n">
        <v>0</v>
      </c>
      <c r="I302" t="n">
        <v>0</v>
      </c>
      <c r="J302" t="n">
        <v>0</v>
      </c>
      <c r="K302" t="n">
        <v>0</v>
      </c>
      <c r="L302" t="n">
        <v>0</v>
      </c>
      <c r="M302" t="n">
        <v>0</v>
      </c>
      <c r="N302" t="n">
        <v>0</v>
      </c>
      <c r="O302" t="n">
        <v>0</v>
      </c>
      <c r="P302" t="n">
        <v>0</v>
      </c>
      <c r="Q302" t="n">
        <v>0</v>
      </c>
      <c r="R302" s="2" t="inlineStr"/>
    </row>
    <row r="303" ht="15" customHeight="1">
      <c r="A303" t="inlineStr">
        <is>
          <t>A 37738-2024</t>
        </is>
      </c>
      <c r="B303" s="1" t="n">
        <v>45541.66916666667</v>
      </c>
      <c r="C303" s="1" t="n">
        <v>46184</v>
      </c>
      <c r="D303" t="inlineStr">
        <is>
          <t>ÖREBRO LÄN</t>
        </is>
      </c>
      <c r="E303" t="inlineStr">
        <is>
          <t>LINDESBERG</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51172-2025</t>
        </is>
      </c>
      <c r="B304" s="1" t="n">
        <v>45947.60508101852</v>
      </c>
      <c r="C304" s="1" t="n">
        <v>46184</v>
      </c>
      <c r="D304" t="inlineStr">
        <is>
          <t>ÖREBRO LÄN</t>
        </is>
      </c>
      <c r="E304" t="inlineStr">
        <is>
          <t>LINDESBERG</t>
        </is>
      </c>
      <c r="F304" t="inlineStr">
        <is>
          <t>Kyrkan</t>
        </is>
      </c>
      <c r="G304" t="n">
        <v>0.9</v>
      </c>
      <c r="H304" t="n">
        <v>0</v>
      </c>
      <c r="I304" t="n">
        <v>0</v>
      </c>
      <c r="J304" t="n">
        <v>0</v>
      </c>
      <c r="K304" t="n">
        <v>0</v>
      </c>
      <c r="L304" t="n">
        <v>0</v>
      </c>
      <c r="M304" t="n">
        <v>0</v>
      </c>
      <c r="N304" t="n">
        <v>0</v>
      </c>
      <c r="O304" t="n">
        <v>0</v>
      </c>
      <c r="P304" t="n">
        <v>0</v>
      </c>
      <c r="Q304" t="n">
        <v>0</v>
      </c>
      <c r="R304" s="2" t="inlineStr"/>
    </row>
    <row r="305" ht="15" customHeight="1">
      <c r="A305" t="inlineStr">
        <is>
          <t>A 50933-2025</t>
        </is>
      </c>
      <c r="B305" s="1" t="n">
        <v>45946.68859953704</v>
      </c>
      <c r="C305" s="1" t="n">
        <v>46184</v>
      </c>
      <c r="D305" t="inlineStr">
        <is>
          <t>ÖREBRO LÄN</t>
        </is>
      </c>
      <c r="E305" t="inlineStr">
        <is>
          <t>LINDESBERG</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50765-2025</t>
        </is>
      </c>
      <c r="B306" s="1" t="n">
        <v>45946.44216435185</v>
      </c>
      <c r="C306" s="1" t="n">
        <v>46184</v>
      </c>
      <c r="D306" t="inlineStr">
        <is>
          <t>ÖREBRO LÄN</t>
        </is>
      </c>
      <c r="E306" t="inlineStr">
        <is>
          <t>LINDESBERG</t>
        </is>
      </c>
      <c r="F306" t="inlineStr">
        <is>
          <t>Sveaskog</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42630-2025</t>
        </is>
      </c>
      <c r="B307" s="1" t="n">
        <v>45905.89143518519</v>
      </c>
      <c r="C307" s="1" t="n">
        <v>46184</v>
      </c>
      <c r="D307" t="inlineStr">
        <is>
          <t>ÖREBRO LÄN</t>
        </is>
      </c>
      <c r="E307" t="inlineStr">
        <is>
          <t>LINDESBERG</t>
        </is>
      </c>
      <c r="F307" t="inlineStr">
        <is>
          <t>Sveaskog</t>
        </is>
      </c>
      <c r="G307" t="n">
        <v>9.9</v>
      </c>
      <c r="H307" t="n">
        <v>0</v>
      </c>
      <c r="I307" t="n">
        <v>0</v>
      </c>
      <c r="J307" t="n">
        <v>0</v>
      </c>
      <c r="K307" t="n">
        <v>0</v>
      </c>
      <c r="L307" t="n">
        <v>0</v>
      </c>
      <c r="M307" t="n">
        <v>0</v>
      </c>
      <c r="N307" t="n">
        <v>0</v>
      </c>
      <c r="O307" t="n">
        <v>0</v>
      </c>
      <c r="P307" t="n">
        <v>0</v>
      </c>
      <c r="Q307" t="n">
        <v>0</v>
      </c>
      <c r="R307" s="2" t="inlineStr"/>
    </row>
    <row r="308" ht="15" customHeight="1">
      <c r="A308" t="inlineStr">
        <is>
          <t>A 51030-2025</t>
        </is>
      </c>
      <c r="B308" s="1" t="n">
        <v>45947.40105324074</v>
      </c>
      <c r="C308" s="1" t="n">
        <v>46184</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50936-2025</t>
        </is>
      </c>
      <c r="B309" s="1" t="n">
        <v>45946.69616898148</v>
      </c>
      <c r="C309" s="1" t="n">
        <v>46184</v>
      </c>
      <c r="D309" t="inlineStr">
        <is>
          <t>ÖREBRO LÄN</t>
        </is>
      </c>
      <c r="E309" t="inlineStr">
        <is>
          <t>LINDESBERG</t>
        </is>
      </c>
      <c r="G309" t="n">
        <v>2.9</v>
      </c>
      <c r="H309" t="n">
        <v>0</v>
      </c>
      <c r="I309" t="n">
        <v>0</v>
      </c>
      <c r="J309" t="n">
        <v>0</v>
      </c>
      <c r="K309" t="n">
        <v>0</v>
      </c>
      <c r="L309" t="n">
        <v>0</v>
      </c>
      <c r="M309" t="n">
        <v>0</v>
      </c>
      <c r="N309" t="n">
        <v>0</v>
      </c>
      <c r="O309" t="n">
        <v>0</v>
      </c>
      <c r="P309" t="n">
        <v>0</v>
      </c>
      <c r="Q309" t="n">
        <v>0</v>
      </c>
      <c r="R309" s="2" t="inlineStr"/>
    </row>
    <row r="310" ht="15" customHeight="1">
      <c r="A310" t="inlineStr">
        <is>
          <t>A 42631-2025</t>
        </is>
      </c>
      <c r="B310" s="1" t="n">
        <v>45905.89236111111</v>
      </c>
      <c r="C310" s="1" t="n">
        <v>46184</v>
      </c>
      <c r="D310" t="inlineStr">
        <is>
          <t>ÖREBRO LÄN</t>
        </is>
      </c>
      <c r="E310" t="inlineStr">
        <is>
          <t>LINDESBERG</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15933-2025</t>
        </is>
      </c>
      <c r="B311" s="1" t="n">
        <v>45749.47251157407</v>
      </c>
      <c r="C311" s="1" t="n">
        <v>46184</v>
      </c>
      <c r="D311" t="inlineStr">
        <is>
          <t>ÖREBRO LÄN</t>
        </is>
      </c>
      <c r="E311" t="inlineStr">
        <is>
          <t>LINDESBERG</t>
        </is>
      </c>
      <c r="G311" t="n">
        <v>6.1</v>
      </c>
      <c r="H311" t="n">
        <v>0</v>
      </c>
      <c r="I311" t="n">
        <v>0</v>
      </c>
      <c r="J311" t="n">
        <v>0</v>
      </c>
      <c r="K311" t="n">
        <v>0</v>
      </c>
      <c r="L311" t="n">
        <v>0</v>
      </c>
      <c r="M311" t="n">
        <v>0</v>
      </c>
      <c r="N311" t="n">
        <v>0</v>
      </c>
      <c r="O311" t="n">
        <v>0</v>
      </c>
      <c r="P311" t="n">
        <v>0</v>
      </c>
      <c r="Q311" t="n">
        <v>0</v>
      </c>
      <c r="R311" s="2" t="inlineStr"/>
    </row>
    <row r="312" ht="15" customHeight="1">
      <c r="A312" t="inlineStr">
        <is>
          <t>A 48231-2024</t>
        </is>
      </c>
      <c r="B312" s="1" t="n">
        <v>45590.37590277778</v>
      </c>
      <c r="C312" s="1" t="n">
        <v>46184</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62968-2023</t>
        </is>
      </c>
      <c r="B313" s="1" t="n">
        <v>45272.57385416667</v>
      </c>
      <c r="C313" s="1" t="n">
        <v>46184</v>
      </c>
      <c r="D313" t="inlineStr">
        <is>
          <t>ÖREBRO LÄN</t>
        </is>
      </c>
      <c r="E313" t="inlineStr">
        <is>
          <t>LINDESBERG</t>
        </is>
      </c>
      <c r="G313" t="n">
        <v>0.6</v>
      </c>
      <c r="H313" t="n">
        <v>0</v>
      </c>
      <c r="I313" t="n">
        <v>0</v>
      </c>
      <c r="J313" t="n">
        <v>0</v>
      </c>
      <c r="K313" t="n">
        <v>0</v>
      </c>
      <c r="L313" t="n">
        <v>0</v>
      </c>
      <c r="M313" t="n">
        <v>0</v>
      </c>
      <c r="N313" t="n">
        <v>0</v>
      </c>
      <c r="O313" t="n">
        <v>0</v>
      </c>
      <c r="P313" t="n">
        <v>0</v>
      </c>
      <c r="Q313" t="n">
        <v>0</v>
      </c>
      <c r="R313" s="2" t="inlineStr"/>
    </row>
    <row r="314" ht="15" customHeight="1">
      <c r="A314" t="inlineStr">
        <is>
          <t>A 37843-2025</t>
        </is>
      </c>
      <c r="B314" s="1" t="n">
        <v>45881.43759259259</v>
      </c>
      <c r="C314" s="1" t="n">
        <v>46184</v>
      </c>
      <c r="D314" t="inlineStr">
        <is>
          <t>ÖREBRO LÄN</t>
        </is>
      </c>
      <c r="E314" t="inlineStr">
        <is>
          <t>LINDESBERG</t>
        </is>
      </c>
      <c r="G314" t="n">
        <v>5.2</v>
      </c>
      <c r="H314" t="n">
        <v>0</v>
      </c>
      <c r="I314" t="n">
        <v>0</v>
      </c>
      <c r="J314" t="n">
        <v>0</v>
      </c>
      <c r="K314" t="n">
        <v>0</v>
      </c>
      <c r="L314" t="n">
        <v>0</v>
      </c>
      <c r="M314" t="n">
        <v>0</v>
      </c>
      <c r="N314" t="n">
        <v>0</v>
      </c>
      <c r="O314" t="n">
        <v>0</v>
      </c>
      <c r="P314" t="n">
        <v>0</v>
      </c>
      <c r="Q314" t="n">
        <v>0</v>
      </c>
      <c r="R314" s="2" t="inlineStr"/>
    </row>
    <row r="315" ht="15" customHeight="1">
      <c r="A315" t="inlineStr">
        <is>
          <t>A 25842-2025</t>
        </is>
      </c>
      <c r="B315" s="1" t="n">
        <v>45804.45474537037</v>
      </c>
      <c r="C315" s="1" t="n">
        <v>46184</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43847-2025</t>
        </is>
      </c>
      <c r="B316" s="1" t="n">
        <v>45912.63751157407</v>
      </c>
      <c r="C316" s="1" t="n">
        <v>46184</v>
      </c>
      <c r="D316" t="inlineStr">
        <is>
          <t>ÖREBRO LÄN</t>
        </is>
      </c>
      <c r="E316" t="inlineStr">
        <is>
          <t>LINDESBERG</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52117-2025</t>
        </is>
      </c>
      <c r="B317" s="1" t="n">
        <v>45952.70765046297</v>
      </c>
      <c r="C317" s="1" t="n">
        <v>46184</v>
      </c>
      <c r="D317" t="inlineStr">
        <is>
          <t>ÖREBRO LÄN</t>
        </is>
      </c>
      <c r="E317" t="inlineStr">
        <is>
          <t>LINDESBERG</t>
        </is>
      </c>
      <c r="G317" t="n">
        <v>4.6</v>
      </c>
      <c r="H317" t="n">
        <v>0</v>
      </c>
      <c r="I317" t="n">
        <v>0</v>
      </c>
      <c r="J317" t="n">
        <v>0</v>
      </c>
      <c r="K317" t="n">
        <v>0</v>
      </c>
      <c r="L317" t="n">
        <v>0</v>
      </c>
      <c r="M317" t="n">
        <v>0</v>
      </c>
      <c r="N317" t="n">
        <v>0</v>
      </c>
      <c r="O317" t="n">
        <v>0</v>
      </c>
      <c r="P317" t="n">
        <v>0</v>
      </c>
      <c r="Q317" t="n">
        <v>0</v>
      </c>
      <c r="R317" s="2" t="inlineStr"/>
    </row>
    <row r="318" ht="15" customHeight="1">
      <c r="A318" t="inlineStr">
        <is>
          <t>A 52103-2025</t>
        </is>
      </c>
      <c r="B318" s="1" t="n">
        <v>45952.68439814815</v>
      </c>
      <c r="C318" s="1" t="n">
        <v>46184</v>
      </c>
      <c r="D318" t="inlineStr">
        <is>
          <t>ÖREBRO LÄN</t>
        </is>
      </c>
      <c r="E318" t="inlineStr">
        <is>
          <t>LINDESBERG</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15936-2025</t>
        </is>
      </c>
      <c r="B319" s="1" t="n">
        <v>45749.4737962963</v>
      </c>
      <c r="C319" s="1" t="n">
        <v>46184</v>
      </c>
      <c r="D319" t="inlineStr">
        <is>
          <t>ÖREBRO LÄN</t>
        </is>
      </c>
      <c r="E319" t="inlineStr">
        <is>
          <t>LINDESBERG</t>
        </is>
      </c>
      <c r="G319" t="n">
        <v>22.3</v>
      </c>
      <c r="H319" t="n">
        <v>0</v>
      </c>
      <c r="I319" t="n">
        <v>0</v>
      </c>
      <c r="J319" t="n">
        <v>0</v>
      </c>
      <c r="K319" t="n">
        <v>0</v>
      </c>
      <c r="L319" t="n">
        <v>0</v>
      </c>
      <c r="M319" t="n">
        <v>0</v>
      </c>
      <c r="N319" t="n">
        <v>0</v>
      </c>
      <c r="O319" t="n">
        <v>0</v>
      </c>
      <c r="P319" t="n">
        <v>0</v>
      </c>
      <c r="Q319" t="n">
        <v>0</v>
      </c>
      <c r="R319" s="2" t="inlineStr"/>
    </row>
    <row r="320" ht="15" customHeight="1">
      <c r="A320" t="inlineStr">
        <is>
          <t>A 10564-2023</t>
        </is>
      </c>
      <c r="B320" s="1" t="n">
        <v>44988</v>
      </c>
      <c r="C320" s="1" t="n">
        <v>46184</v>
      </c>
      <c r="D320" t="inlineStr">
        <is>
          <t>ÖREBRO LÄN</t>
        </is>
      </c>
      <c r="E320" t="inlineStr">
        <is>
          <t>LINDESBERG</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30830-2024</t>
        </is>
      </c>
      <c r="B321" s="1" t="n">
        <v>45497</v>
      </c>
      <c r="C321" s="1" t="n">
        <v>46184</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52104-2025</t>
        </is>
      </c>
      <c r="B322" s="1" t="n">
        <v>45952.68524305556</v>
      </c>
      <c r="C322" s="1" t="n">
        <v>46184</v>
      </c>
      <c r="D322" t="inlineStr">
        <is>
          <t>ÖREBRO LÄN</t>
        </is>
      </c>
      <c r="E322" t="inlineStr">
        <is>
          <t>LINDESBERG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36291-2022</t>
        </is>
      </c>
      <c r="B323" s="1" t="n">
        <v>44803.64361111111</v>
      </c>
      <c r="C323" s="1" t="n">
        <v>46184</v>
      </c>
      <c r="D323" t="inlineStr">
        <is>
          <t>ÖREBRO LÄN</t>
        </is>
      </c>
      <c r="E323" t="inlineStr">
        <is>
          <t>LINDESBERG</t>
        </is>
      </c>
      <c r="G323" t="n">
        <v>3.8</v>
      </c>
      <c r="H323" t="n">
        <v>0</v>
      </c>
      <c r="I323" t="n">
        <v>0</v>
      </c>
      <c r="J323" t="n">
        <v>0</v>
      </c>
      <c r="K323" t="n">
        <v>0</v>
      </c>
      <c r="L323" t="n">
        <v>0</v>
      </c>
      <c r="M323" t="n">
        <v>0</v>
      </c>
      <c r="N323" t="n">
        <v>0</v>
      </c>
      <c r="O323" t="n">
        <v>0</v>
      </c>
      <c r="P323" t="n">
        <v>0</v>
      </c>
      <c r="Q323" t="n">
        <v>0</v>
      </c>
      <c r="R323" s="2" t="inlineStr"/>
    </row>
    <row r="324" ht="15" customHeight="1">
      <c r="A324" t="inlineStr">
        <is>
          <t>A 27296-2025</t>
        </is>
      </c>
      <c r="B324" s="1" t="n">
        <v>45812.56952546296</v>
      </c>
      <c r="C324" s="1" t="n">
        <v>46184</v>
      </c>
      <c r="D324" t="inlineStr">
        <is>
          <t>ÖREBRO LÄN</t>
        </is>
      </c>
      <c r="E324" t="inlineStr">
        <is>
          <t>LINDESBERG</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10836-2024</t>
        </is>
      </c>
      <c r="B325" s="1" t="n">
        <v>45369</v>
      </c>
      <c r="C325" s="1" t="n">
        <v>46184</v>
      </c>
      <c r="D325" t="inlineStr">
        <is>
          <t>ÖREBRO LÄN</t>
        </is>
      </c>
      <c r="E325" t="inlineStr">
        <is>
          <t>LINDESBERG</t>
        </is>
      </c>
      <c r="G325" t="n">
        <v>2.8</v>
      </c>
      <c r="H325" t="n">
        <v>0</v>
      </c>
      <c r="I325" t="n">
        <v>0</v>
      </c>
      <c r="J325" t="n">
        <v>0</v>
      </c>
      <c r="K325" t="n">
        <v>0</v>
      </c>
      <c r="L325" t="n">
        <v>0</v>
      </c>
      <c r="M325" t="n">
        <v>0</v>
      </c>
      <c r="N325" t="n">
        <v>0</v>
      </c>
      <c r="O325" t="n">
        <v>0</v>
      </c>
      <c r="P325" t="n">
        <v>0</v>
      </c>
      <c r="Q325" t="n">
        <v>0</v>
      </c>
      <c r="R325" s="2" t="inlineStr"/>
    </row>
    <row r="326" ht="15" customHeight="1">
      <c r="A326" t="inlineStr">
        <is>
          <t>A 28040-2025</t>
        </is>
      </c>
      <c r="B326" s="1" t="n">
        <v>45817.6455324074</v>
      </c>
      <c r="C326" s="1" t="n">
        <v>46184</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33716-2021</t>
        </is>
      </c>
      <c r="B327" s="1" t="n">
        <v>44378.46857638889</v>
      </c>
      <c r="C327" s="1" t="n">
        <v>46184</v>
      </c>
      <c r="D327" t="inlineStr">
        <is>
          <t>ÖREBRO LÄN</t>
        </is>
      </c>
      <c r="E327" t="inlineStr">
        <is>
          <t>LINDESBERG</t>
        </is>
      </c>
      <c r="G327" t="n">
        <v>4.6</v>
      </c>
      <c r="H327" t="n">
        <v>0</v>
      </c>
      <c r="I327" t="n">
        <v>0</v>
      </c>
      <c r="J327" t="n">
        <v>0</v>
      </c>
      <c r="K327" t="n">
        <v>0</v>
      </c>
      <c r="L327" t="n">
        <v>0</v>
      </c>
      <c r="M327" t="n">
        <v>0</v>
      </c>
      <c r="N327" t="n">
        <v>0</v>
      </c>
      <c r="O327" t="n">
        <v>0</v>
      </c>
      <c r="P327" t="n">
        <v>0</v>
      </c>
      <c r="Q327" t="n">
        <v>0</v>
      </c>
      <c r="R327" s="2" t="inlineStr"/>
    </row>
    <row r="328" ht="15" customHeight="1">
      <c r="A328" t="inlineStr">
        <is>
          <t>A 46404-2025</t>
        </is>
      </c>
      <c r="B328" s="1" t="n">
        <v>45925.56173611111</v>
      </c>
      <c r="C328" s="1" t="n">
        <v>46184</v>
      </c>
      <c r="D328" t="inlineStr">
        <is>
          <t>ÖREBRO LÄN</t>
        </is>
      </c>
      <c r="E328" t="inlineStr">
        <is>
          <t>LINDESBERG</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23536-2023</t>
        </is>
      </c>
      <c r="B329" s="1" t="n">
        <v>45077</v>
      </c>
      <c r="C329" s="1" t="n">
        <v>46184</v>
      </c>
      <c r="D329" t="inlineStr">
        <is>
          <t>ÖREBRO LÄN</t>
        </is>
      </c>
      <c r="E329" t="inlineStr">
        <is>
          <t>LINDESBERG</t>
        </is>
      </c>
      <c r="F329" t="inlineStr">
        <is>
          <t>Kyrkan</t>
        </is>
      </c>
      <c r="G329" t="n">
        <v>0.5</v>
      </c>
      <c r="H329" t="n">
        <v>0</v>
      </c>
      <c r="I329" t="n">
        <v>0</v>
      </c>
      <c r="J329" t="n">
        <v>0</v>
      </c>
      <c r="K329" t="n">
        <v>0</v>
      </c>
      <c r="L329" t="n">
        <v>0</v>
      </c>
      <c r="M329" t="n">
        <v>0</v>
      </c>
      <c r="N329" t="n">
        <v>0</v>
      </c>
      <c r="O329" t="n">
        <v>0</v>
      </c>
      <c r="P329" t="n">
        <v>0</v>
      </c>
      <c r="Q329" t="n">
        <v>0</v>
      </c>
      <c r="R329" s="2" t="inlineStr"/>
    </row>
    <row r="330" ht="15" customHeight="1">
      <c r="A330" t="inlineStr">
        <is>
          <t>A 46484-2025</t>
        </is>
      </c>
      <c r="B330" s="1" t="n">
        <v>45925.70290509259</v>
      </c>
      <c r="C330" s="1" t="n">
        <v>46184</v>
      </c>
      <c r="D330" t="inlineStr">
        <is>
          <t>ÖREBRO LÄN</t>
        </is>
      </c>
      <c r="E330" t="inlineStr">
        <is>
          <t>LINDESBERG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38552-2023</t>
        </is>
      </c>
      <c r="B331" s="1" t="n">
        <v>45162.5978125</v>
      </c>
      <c r="C331" s="1" t="n">
        <v>46184</v>
      </c>
      <c r="D331" t="inlineStr">
        <is>
          <t>ÖREBRO LÄN</t>
        </is>
      </c>
      <c r="E331" t="inlineStr">
        <is>
          <t>LINDESBERG</t>
        </is>
      </c>
      <c r="G331" t="n">
        <v>10.4</v>
      </c>
      <c r="H331" t="n">
        <v>0</v>
      </c>
      <c r="I331" t="n">
        <v>0</v>
      </c>
      <c r="J331" t="n">
        <v>0</v>
      </c>
      <c r="K331" t="n">
        <v>0</v>
      </c>
      <c r="L331" t="n">
        <v>0</v>
      </c>
      <c r="M331" t="n">
        <v>0</v>
      </c>
      <c r="N331" t="n">
        <v>0</v>
      </c>
      <c r="O331" t="n">
        <v>0</v>
      </c>
      <c r="P331" t="n">
        <v>0</v>
      </c>
      <c r="Q331" t="n">
        <v>0</v>
      </c>
      <c r="R331" s="2" t="inlineStr"/>
    </row>
    <row r="332" ht="15" customHeight="1">
      <c r="A332" t="inlineStr">
        <is>
          <t>A 19914-2024</t>
        </is>
      </c>
      <c r="B332" s="1" t="n">
        <v>45433.58099537037</v>
      </c>
      <c r="C332" s="1" t="n">
        <v>46184</v>
      </c>
      <c r="D332" t="inlineStr">
        <is>
          <t>ÖREBRO LÄN</t>
        </is>
      </c>
      <c r="E332" t="inlineStr">
        <is>
          <t>LINDESBERG</t>
        </is>
      </c>
      <c r="G332" t="n">
        <v>1.1</v>
      </c>
      <c r="H332" t="n">
        <v>0</v>
      </c>
      <c r="I332" t="n">
        <v>0</v>
      </c>
      <c r="J332" t="n">
        <v>0</v>
      </c>
      <c r="K332" t="n">
        <v>0</v>
      </c>
      <c r="L332" t="n">
        <v>0</v>
      </c>
      <c r="M332" t="n">
        <v>0</v>
      </c>
      <c r="N332" t="n">
        <v>0</v>
      </c>
      <c r="O332" t="n">
        <v>0</v>
      </c>
      <c r="P332" t="n">
        <v>0</v>
      </c>
      <c r="Q332" t="n">
        <v>0</v>
      </c>
      <c r="R332" s="2" t="inlineStr"/>
    </row>
    <row r="333" ht="15" customHeight="1">
      <c r="A333" t="inlineStr">
        <is>
          <t>A 55631-2022</t>
        </is>
      </c>
      <c r="B333" s="1" t="n">
        <v>44888.4577662037</v>
      </c>
      <c r="C333" s="1" t="n">
        <v>46184</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265-2023</t>
        </is>
      </c>
      <c r="B334" s="1" t="n">
        <v>44928</v>
      </c>
      <c r="C334" s="1" t="n">
        <v>46184</v>
      </c>
      <c r="D334" t="inlineStr">
        <is>
          <t>ÖREBRO LÄN</t>
        </is>
      </c>
      <c r="E334" t="inlineStr">
        <is>
          <t>LINDESBERG</t>
        </is>
      </c>
      <c r="G334" t="n">
        <v>2.4</v>
      </c>
      <c r="H334" t="n">
        <v>0</v>
      </c>
      <c r="I334" t="n">
        <v>0</v>
      </c>
      <c r="J334" t="n">
        <v>0</v>
      </c>
      <c r="K334" t="n">
        <v>0</v>
      </c>
      <c r="L334" t="n">
        <v>0</v>
      </c>
      <c r="M334" t="n">
        <v>0</v>
      </c>
      <c r="N334" t="n">
        <v>0</v>
      </c>
      <c r="O334" t="n">
        <v>0</v>
      </c>
      <c r="P334" t="n">
        <v>0</v>
      </c>
      <c r="Q334" t="n">
        <v>0</v>
      </c>
      <c r="R334" s="2" t="inlineStr"/>
    </row>
    <row r="335" ht="15" customHeight="1">
      <c r="A335" t="inlineStr">
        <is>
          <t>A 28991-2025</t>
        </is>
      </c>
      <c r="B335" s="1" t="n">
        <v>45821.37199074074</v>
      </c>
      <c r="C335" s="1" t="n">
        <v>46184</v>
      </c>
      <c r="D335" t="inlineStr">
        <is>
          <t>ÖREBRO LÄN</t>
        </is>
      </c>
      <c r="E335" t="inlineStr">
        <is>
          <t>LINDESBERG</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60115-2022</t>
        </is>
      </c>
      <c r="B336" s="1" t="n">
        <v>44902</v>
      </c>
      <c r="C336" s="1" t="n">
        <v>46184</v>
      </c>
      <c r="D336" t="inlineStr">
        <is>
          <t>ÖREBRO LÄN</t>
        </is>
      </c>
      <c r="E336" t="inlineStr">
        <is>
          <t>LINDESBERG</t>
        </is>
      </c>
      <c r="G336" t="n">
        <v>0.5</v>
      </c>
      <c r="H336" t="n">
        <v>0</v>
      </c>
      <c r="I336" t="n">
        <v>0</v>
      </c>
      <c r="J336" t="n">
        <v>0</v>
      </c>
      <c r="K336" t="n">
        <v>0</v>
      </c>
      <c r="L336" t="n">
        <v>0</v>
      </c>
      <c r="M336" t="n">
        <v>0</v>
      </c>
      <c r="N336" t="n">
        <v>0</v>
      </c>
      <c r="O336" t="n">
        <v>0</v>
      </c>
      <c r="P336" t="n">
        <v>0</v>
      </c>
      <c r="Q336" t="n">
        <v>0</v>
      </c>
      <c r="R336" s="2" t="inlineStr"/>
    </row>
    <row r="337" ht="15" customHeight="1">
      <c r="A337" t="inlineStr">
        <is>
          <t>A 52401-2025</t>
        </is>
      </c>
      <c r="B337" s="1" t="n">
        <v>45954.35075231481</v>
      </c>
      <c r="C337" s="1" t="n">
        <v>46184</v>
      </c>
      <c r="D337" t="inlineStr">
        <is>
          <t>ÖREBRO LÄN</t>
        </is>
      </c>
      <c r="E337" t="inlineStr">
        <is>
          <t>LINDESBERG</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52402-2025</t>
        </is>
      </c>
      <c r="B338" s="1" t="n">
        <v>45954.35387731482</v>
      </c>
      <c r="C338" s="1" t="n">
        <v>46184</v>
      </c>
      <c r="D338" t="inlineStr">
        <is>
          <t>ÖREBRO LÄN</t>
        </is>
      </c>
      <c r="E338" t="inlineStr">
        <is>
          <t>LINDESBERG</t>
        </is>
      </c>
      <c r="F338" t="inlineStr">
        <is>
          <t>Sveaskog</t>
        </is>
      </c>
      <c r="G338" t="n">
        <v>2.1</v>
      </c>
      <c r="H338" t="n">
        <v>0</v>
      </c>
      <c r="I338" t="n">
        <v>0</v>
      </c>
      <c r="J338" t="n">
        <v>0</v>
      </c>
      <c r="K338" t="n">
        <v>0</v>
      </c>
      <c r="L338" t="n">
        <v>0</v>
      </c>
      <c r="M338" t="n">
        <v>0</v>
      </c>
      <c r="N338" t="n">
        <v>0</v>
      </c>
      <c r="O338" t="n">
        <v>0</v>
      </c>
      <c r="P338" t="n">
        <v>0</v>
      </c>
      <c r="Q338" t="n">
        <v>0</v>
      </c>
      <c r="R338" s="2" t="inlineStr"/>
    </row>
    <row r="339" ht="15" customHeight="1">
      <c r="A339" t="inlineStr">
        <is>
          <t>A 29975-2023</t>
        </is>
      </c>
      <c r="B339" s="1" t="n">
        <v>45108.7553587963</v>
      </c>
      <c r="C339" s="1" t="n">
        <v>46184</v>
      </c>
      <c r="D339" t="inlineStr">
        <is>
          <t>ÖREBRO LÄN</t>
        </is>
      </c>
      <c r="E339" t="inlineStr">
        <is>
          <t>LINDESBERG</t>
        </is>
      </c>
      <c r="G339" t="n">
        <v>6.4</v>
      </c>
      <c r="H339" t="n">
        <v>0</v>
      </c>
      <c r="I339" t="n">
        <v>0</v>
      </c>
      <c r="J339" t="n">
        <v>0</v>
      </c>
      <c r="K339" t="n">
        <v>0</v>
      </c>
      <c r="L339" t="n">
        <v>0</v>
      </c>
      <c r="M339" t="n">
        <v>0</v>
      </c>
      <c r="N339" t="n">
        <v>0</v>
      </c>
      <c r="O339" t="n">
        <v>0</v>
      </c>
      <c r="P339" t="n">
        <v>0</v>
      </c>
      <c r="Q339" t="n">
        <v>0</v>
      </c>
      <c r="R339" s="2" t="inlineStr"/>
    </row>
    <row r="340" ht="15" customHeight="1">
      <c r="A340" t="inlineStr">
        <is>
          <t>A 47678-2025</t>
        </is>
      </c>
      <c r="B340" s="1" t="n">
        <v>45931.57967592592</v>
      </c>
      <c r="C340" s="1" t="n">
        <v>46184</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30341-2025</t>
        </is>
      </c>
      <c r="B341" s="1" t="n">
        <v>45827.51862268519</v>
      </c>
      <c r="C341" s="1" t="n">
        <v>46184</v>
      </c>
      <c r="D341" t="inlineStr">
        <is>
          <t>ÖREBRO LÄN</t>
        </is>
      </c>
      <c r="E341" t="inlineStr">
        <is>
          <t>LINDESBERG</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47676-2025</t>
        </is>
      </c>
      <c r="B342" s="1" t="n">
        <v>45931.57756944445</v>
      </c>
      <c r="C342" s="1" t="n">
        <v>46184</v>
      </c>
      <c r="D342" t="inlineStr">
        <is>
          <t>ÖREBRO LÄN</t>
        </is>
      </c>
      <c r="E342" t="inlineStr">
        <is>
          <t>LINDESBERG</t>
        </is>
      </c>
      <c r="G342" t="n">
        <v>0.8</v>
      </c>
      <c r="H342" t="n">
        <v>0</v>
      </c>
      <c r="I342" t="n">
        <v>0</v>
      </c>
      <c r="J342" t="n">
        <v>0</v>
      </c>
      <c r="K342" t="n">
        <v>0</v>
      </c>
      <c r="L342" t="n">
        <v>0</v>
      </c>
      <c r="M342" t="n">
        <v>0</v>
      </c>
      <c r="N342" t="n">
        <v>0</v>
      </c>
      <c r="O342" t="n">
        <v>0</v>
      </c>
      <c r="P342" t="n">
        <v>0</v>
      </c>
      <c r="Q342" t="n">
        <v>0</v>
      </c>
      <c r="R342" s="2" t="inlineStr"/>
    </row>
    <row r="343" ht="15" customHeight="1">
      <c r="A343" t="inlineStr">
        <is>
          <t>A 30340-2025</t>
        </is>
      </c>
      <c r="B343" s="1" t="n">
        <v>45827.51753472222</v>
      </c>
      <c r="C343" s="1" t="n">
        <v>46184</v>
      </c>
      <c r="D343" t="inlineStr">
        <is>
          <t>ÖREBRO LÄN</t>
        </is>
      </c>
      <c r="E343" t="inlineStr">
        <is>
          <t>LINDESBERG</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30339-2025</t>
        </is>
      </c>
      <c r="B344" s="1" t="n">
        <v>45827.51628472222</v>
      </c>
      <c r="C344" s="1" t="n">
        <v>46184</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40905-2023</t>
        </is>
      </c>
      <c r="B345" s="1" t="n">
        <v>45173.39315972223</v>
      </c>
      <c r="C345" s="1" t="n">
        <v>46184</v>
      </c>
      <c r="D345" t="inlineStr">
        <is>
          <t>ÖREBRO LÄN</t>
        </is>
      </c>
      <c r="E345" t="inlineStr">
        <is>
          <t>LINDESBERG</t>
        </is>
      </c>
      <c r="G345" t="n">
        <v>0.5</v>
      </c>
      <c r="H345" t="n">
        <v>0</v>
      </c>
      <c r="I345" t="n">
        <v>0</v>
      </c>
      <c r="J345" t="n">
        <v>0</v>
      </c>
      <c r="K345" t="n">
        <v>0</v>
      </c>
      <c r="L345" t="n">
        <v>0</v>
      </c>
      <c r="M345" t="n">
        <v>0</v>
      </c>
      <c r="N345" t="n">
        <v>0</v>
      </c>
      <c r="O345" t="n">
        <v>0</v>
      </c>
      <c r="P345" t="n">
        <v>0</v>
      </c>
      <c r="Q345" t="n">
        <v>0</v>
      </c>
      <c r="R345" s="2" t="inlineStr"/>
    </row>
    <row r="346" ht="15" customHeight="1">
      <c r="A346" t="inlineStr">
        <is>
          <t>A 34029-2024</t>
        </is>
      </c>
      <c r="B346" s="1" t="n">
        <v>45523</v>
      </c>
      <c r="C346" s="1" t="n">
        <v>46184</v>
      </c>
      <c r="D346" t="inlineStr">
        <is>
          <t>ÖREBRO LÄN</t>
        </is>
      </c>
      <c r="E346" t="inlineStr">
        <is>
          <t>LINDESBERG</t>
        </is>
      </c>
      <c r="G346" t="n">
        <v>1.9</v>
      </c>
      <c r="H346" t="n">
        <v>0</v>
      </c>
      <c r="I346" t="n">
        <v>0</v>
      </c>
      <c r="J346" t="n">
        <v>0</v>
      </c>
      <c r="K346" t="n">
        <v>0</v>
      </c>
      <c r="L346" t="n">
        <v>0</v>
      </c>
      <c r="M346" t="n">
        <v>0</v>
      </c>
      <c r="N346" t="n">
        <v>0</v>
      </c>
      <c r="O346" t="n">
        <v>0</v>
      </c>
      <c r="P346" t="n">
        <v>0</v>
      </c>
      <c r="Q346" t="n">
        <v>0</v>
      </c>
      <c r="R346" s="2" t="inlineStr"/>
    </row>
    <row r="347" ht="15" customHeight="1">
      <c r="A347" t="inlineStr">
        <is>
          <t>A 31018-2025</t>
        </is>
      </c>
      <c r="B347" s="1" t="n">
        <v>45832.51255787037</v>
      </c>
      <c r="C347" s="1" t="n">
        <v>46184</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40085-2023</t>
        </is>
      </c>
      <c r="B348" s="1" t="n">
        <v>45168.92155092592</v>
      </c>
      <c r="C348" s="1" t="n">
        <v>46184</v>
      </c>
      <c r="D348" t="inlineStr">
        <is>
          <t>ÖREBRO LÄN</t>
        </is>
      </c>
      <c r="E348" t="inlineStr">
        <is>
          <t>LINDESBERG</t>
        </is>
      </c>
      <c r="G348" t="n">
        <v>6.1</v>
      </c>
      <c r="H348" t="n">
        <v>0</v>
      </c>
      <c r="I348" t="n">
        <v>0</v>
      </c>
      <c r="J348" t="n">
        <v>0</v>
      </c>
      <c r="K348" t="n">
        <v>0</v>
      </c>
      <c r="L348" t="n">
        <v>0</v>
      </c>
      <c r="M348" t="n">
        <v>0</v>
      </c>
      <c r="N348" t="n">
        <v>0</v>
      </c>
      <c r="O348" t="n">
        <v>0</v>
      </c>
      <c r="P348" t="n">
        <v>0</v>
      </c>
      <c r="Q348" t="n">
        <v>0</v>
      </c>
      <c r="R348" s="2" t="inlineStr"/>
    </row>
    <row r="349" ht="15" customHeight="1">
      <c r="A349" t="inlineStr">
        <is>
          <t>A 40117-2023</t>
        </is>
      </c>
      <c r="B349" s="1" t="n">
        <v>45168.94197916667</v>
      </c>
      <c r="C349" s="1" t="n">
        <v>46184</v>
      </c>
      <c r="D349" t="inlineStr">
        <is>
          <t>ÖREBRO LÄN</t>
        </is>
      </c>
      <c r="E349" t="inlineStr">
        <is>
          <t>LINDESBERG</t>
        </is>
      </c>
      <c r="G349" t="n">
        <v>2.3</v>
      </c>
      <c r="H349" t="n">
        <v>0</v>
      </c>
      <c r="I349" t="n">
        <v>0</v>
      </c>
      <c r="J349" t="n">
        <v>0</v>
      </c>
      <c r="K349" t="n">
        <v>0</v>
      </c>
      <c r="L349" t="n">
        <v>0</v>
      </c>
      <c r="M349" t="n">
        <v>0</v>
      </c>
      <c r="N349" t="n">
        <v>0</v>
      </c>
      <c r="O349" t="n">
        <v>0</v>
      </c>
      <c r="P349" t="n">
        <v>0</v>
      </c>
      <c r="Q349" t="n">
        <v>0</v>
      </c>
      <c r="R349" s="2" t="inlineStr"/>
    </row>
    <row r="350" ht="15" customHeight="1">
      <c r="A350" t="inlineStr">
        <is>
          <t>A 31085-2025</t>
        </is>
      </c>
      <c r="B350" s="1" t="n">
        <v>45832.5902662037</v>
      </c>
      <c r="C350" s="1" t="n">
        <v>46184</v>
      </c>
      <c r="D350" t="inlineStr">
        <is>
          <t>ÖREBRO LÄN</t>
        </is>
      </c>
      <c r="E350" t="inlineStr">
        <is>
          <t>LINDESBERG</t>
        </is>
      </c>
      <c r="F350" t="inlineStr">
        <is>
          <t>Sveaskog</t>
        </is>
      </c>
      <c r="G350" t="n">
        <v>0.3</v>
      </c>
      <c r="H350" t="n">
        <v>0</v>
      </c>
      <c r="I350" t="n">
        <v>0</v>
      </c>
      <c r="J350" t="n">
        <v>0</v>
      </c>
      <c r="K350" t="n">
        <v>0</v>
      </c>
      <c r="L350" t="n">
        <v>0</v>
      </c>
      <c r="M350" t="n">
        <v>0</v>
      </c>
      <c r="N350" t="n">
        <v>0</v>
      </c>
      <c r="O350" t="n">
        <v>0</v>
      </c>
      <c r="P350" t="n">
        <v>0</v>
      </c>
      <c r="Q350" t="n">
        <v>0</v>
      </c>
      <c r="R350" s="2" t="inlineStr"/>
    </row>
    <row r="351" ht="15" customHeight="1">
      <c r="A351" t="inlineStr">
        <is>
          <t>A 31003-2025</t>
        </is>
      </c>
      <c r="B351" s="1" t="n">
        <v>45832.49579861111</v>
      </c>
      <c r="C351" s="1" t="n">
        <v>46184</v>
      </c>
      <c r="D351" t="inlineStr">
        <is>
          <t>ÖREBRO LÄN</t>
        </is>
      </c>
      <c r="E351" t="inlineStr">
        <is>
          <t>LINDESBERG</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31014-2025</t>
        </is>
      </c>
      <c r="B352" s="1" t="n">
        <v>45832.51028935185</v>
      </c>
      <c r="C352" s="1" t="n">
        <v>46184</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21390-2024</t>
        </is>
      </c>
      <c r="B353" s="1" t="n">
        <v>45441.30899305556</v>
      </c>
      <c r="C353" s="1" t="n">
        <v>46184</v>
      </c>
      <c r="D353" t="inlineStr">
        <is>
          <t>ÖREBRO LÄN</t>
        </is>
      </c>
      <c r="E353" t="inlineStr">
        <is>
          <t>LINDESBERG</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21392-2024</t>
        </is>
      </c>
      <c r="B354" s="1" t="n">
        <v>45441.30998842593</v>
      </c>
      <c r="C354" s="1" t="n">
        <v>46184</v>
      </c>
      <c r="D354" t="inlineStr">
        <is>
          <t>ÖREBRO LÄN</t>
        </is>
      </c>
      <c r="E354" t="inlineStr">
        <is>
          <t>LINDESBERG</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9966-2023</t>
        </is>
      </c>
      <c r="B355" s="1" t="n">
        <v>44979</v>
      </c>
      <c r="C355" s="1" t="n">
        <v>46184</v>
      </c>
      <c r="D355" t="inlineStr">
        <is>
          <t>ÖREBRO LÄN</t>
        </is>
      </c>
      <c r="E355" t="inlineStr">
        <is>
          <t>LINDESBERG</t>
        </is>
      </c>
      <c r="G355" t="n">
        <v>4.1</v>
      </c>
      <c r="H355" t="n">
        <v>0</v>
      </c>
      <c r="I355" t="n">
        <v>0</v>
      </c>
      <c r="J355" t="n">
        <v>0</v>
      </c>
      <c r="K355" t="n">
        <v>0</v>
      </c>
      <c r="L355" t="n">
        <v>0</v>
      </c>
      <c r="M355" t="n">
        <v>0</v>
      </c>
      <c r="N355" t="n">
        <v>0</v>
      </c>
      <c r="O355" t="n">
        <v>0</v>
      </c>
      <c r="P355" t="n">
        <v>0</v>
      </c>
      <c r="Q355" t="n">
        <v>0</v>
      </c>
      <c r="R355" s="2" t="inlineStr"/>
    </row>
    <row r="356" ht="15" customHeight="1">
      <c r="A356" t="inlineStr">
        <is>
          <t>A 32284-2025</t>
        </is>
      </c>
      <c r="B356" s="1" t="n">
        <v>45835.68443287037</v>
      </c>
      <c r="C356" s="1" t="n">
        <v>46184</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60941-2024</t>
        </is>
      </c>
      <c r="B357" s="1" t="n">
        <v>45645.3712037037</v>
      </c>
      <c r="C357" s="1" t="n">
        <v>46184</v>
      </c>
      <c r="D357" t="inlineStr">
        <is>
          <t>ÖREBRO LÄN</t>
        </is>
      </c>
      <c r="E357" t="inlineStr">
        <is>
          <t>LINDESBERG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54249-2025</t>
        </is>
      </c>
      <c r="B358" s="1" t="n">
        <v>45964.64599537037</v>
      </c>
      <c r="C358" s="1" t="n">
        <v>46184</v>
      </c>
      <c r="D358" t="inlineStr">
        <is>
          <t>ÖREBRO LÄN</t>
        </is>
      </c>
      <c r="E358" t="inlineStr">
        <is>
          <t>LINDESBERG</t>
        </is>
      </c>
      <c r="F358" t="inlineStr">
        <is>
          <t>Sveaskog</t>
        </is>
      </c>
      <c r="G358" t="n">
        <v>5.2</v>
      </c>
      <c r="H358" t="n">
        <v>0</v>
      </c>
      <c r="I358" t="n">
        <v>0</v>
      </c>
      <c r="J358" t="n">
        <v>0</v>
      </c>
      <c r="K358" t="n">
        <v>0</v>
      </c>
      <c r="L358" t="n">
        <v>0</v>
      </c>
      <c r="M358" t="n">
        <v>0</v>
      </c>
      <c r="N358" t="n">
        <v>0</v>
      </c>
      <c r="O358" t="n">
        <v>0</v>
      </c>
      <c r="P358" t="n">
        <v>0</v>
      </c>
      <c r="Q358" t="n">
        <v>0</v>
      </c>
      <c r="R358" s="2" t="inlineStr"/>
    </row>
    <row r="359" ht="15" customHeight="1">
      <c r="A359" t="inlineStr">
        <is>
          <t>A 54070-2025</t>
        </is>
      </c>
      <c r="B359" s="1" t="n">
        <v>45964.34680555556</v>
      </c>
      <c r="C359" s="1" t="n">
        <v>46184</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32727-2024</t>
        </is>
      </c>
      <c r="B360" s="1" t="n">
        <v>45516.4221412037</v>
      </c>
      <c r="C360" s="1" t="n">
        <v>46184</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54072-2025</t>
        </is>
      </c>
      <c r="B361" s="1" t="n">
        <v>45964.3550925926</v>
      </c>
      <c r="C361" s="1" t="n">
        <v>46184</v>
      </c>
      <c r="D361" t="inlineStr">
        <is>
          <t>ÖREBRO LÄN</t>
        </is>
      </c>
      <c r="E361" t="inlineStr">
        <is>
          <t>LINDESBERG</t>
        </is>
      </c>
      <c r="G361" t="n">
        <v>1.3</v>
      </c>
      <c r="H361" t="n">
        <v>0</v>
      </c>
      <c r="I361" t="n">
        <v>0</v>
      </c>
      <c r="J361" t="n">
        <v>0</v>
      </c>
      <c r="K361" t="n">
        <v>0</v>
      </c>
      <c r="L361" t="n">
        <v>0</v>
      </c>
      <c r="M361" t="n">
        <v>0</v>
      </c>
      <c r="N361" t="n">
        <v>0</v>
      </c>
      <c r="O361" t="n">
        <v>0</v>
      </c>
      <c r="P361" t="n">
        <v>0</v>
      </c>
      <c r="Q361" t="n">
        <v>0</v>
      </c>
      <c r="R361" s="2" t="inlineStr"/>
    </row>
    <row r="362" ht="15" customHeight="1">
      <c r="A362" t="inlineStr">
        <is>
          <t>A 56507-2021</t>
        </is>
      </c>
      <c r="B362" s="1" t="n">
        <v>44480.58034722223</v>
      </c>
      <c r="C362" s="1" t="n">
        <v>46184</v>
      </c>
      <c r="D362" t="inlineStr">
        <is>
          <t>ÖREBRO LÄN</t>
        </is>
      </c>
      <c r="E362" t="inlineStr">
        <is>
          <t>LINDESBERG</t>
        </is>
      </c>
      <c r="G362" t="n">
        <v>2.3</v>
      </c>
      <c r="H362" t="n">
        <v>0</v>
      </c>
      <c r="I362" t="n">
        <v>0</v>
      </c>
      <c r="J362" t="n">
        <v>0</v>
      </c>
      <c r="K362" t="n">
        <v>0</v>
      </c>
      <c r="L362" t="n">
        <v>0</v>
      </c>
      <c r="M362" t="n">
        <v>0</v>
      </c>
      <c r="N362" t="n">
        <v>0</v>
      </c>
      <c r="O362" t="n">
        <v>0</v>
      </c>
      <c r="P362" t="n">
        <v>0</v>
      </c>
      <c r="Q362" t="n">
        <v>0</v>
      </c>
      <c r="R362" s="2" t="inlineStr"/>
    </row>
    <row r="363" ht="15" customHeight="1">
      <c r="A363" t="inlineStr">
        <is>
          <t>A 54250-2025</t>
        </is>
      </c>
      <c r="B363" s="1" t="n">
        <v>45964.64709490741</v>
      </c>
      <c r="C363" s="1" t="n">
        <v>46184</v>
      </c>
      <c r="D363" t="inlineStr">
        <is>
          <t>ÖREBRO LÄN</t>
        </is>
      </c>
      <c r="E363" t="inlineStr">
        <is>
          <t>LINDESBERG</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54251-2025</t>
        </is>
      </c>
      <c r="B364" s="1" t="n">
        <v>45964.64778935185</v>
      </c>
      <c r="C364" s="1" t="n">
        <v>46184</v>
      </c>
      <c r="D364" t="inlineStr">
        <is>
          <t>ÖREBRO LÄN</t>
        </is>
      </c>
      <c r="E364" t="inlineStr">
        <is>
          <t>LINDESBERG</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34104-2025</t>
        </is>
      </c>
      <c r="B365" s="1" t="n">
        <v>45845.49216435185</v>
      </c>
      <c r="C365" s="1" t="n">
        <v>46184</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33574-2024</t>
        </is>
      </c>
      <c r="B366" s="1" t="n">
        <v>45520.32887731482</v>
      </c>
      <c r="C366" s="1" t="n">
        <v>46184</v>
      </c>
      <c r="D366" t="inlineStr">
        <is>
          <t>ÖREBRO LÄN</t>
        </is>
      </c>
      <c r="E366" t="inlineStr">
        <is>
          <t>LINDESBERG</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34097-2025</t>
        </is>
      </c>
      <c r="B367" s="1" t="n">
        <v>45845.4855787037</v>
      </c>
      <c r="C367" s="1" t="n">
        <v>46184</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47069-2023</t>
        </is>
      </c>
      <c r="B368" s="1" t="n">
        <v>45201</v>
      </c>
      <c r="C368" s="1" t="n">
        <v>46184</v>
      </c>
      <c r="D368" t="inlineStr">
        <is>
          <t>ÖREBRO LÄN</t>
        </is>
      </c>
      <c r="E368" t="inlineStr">
        <is>
          <t>LINDESBERG</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47074-2023</t>
        </is>
      </c>
      <c r="B369" s="1" t="n">
        <v>45201.60283564815</v>
      </c>
      <c r="C369" s="1" t="n">
        <v>46184</v>
      </c>
      <c r="D369" t="inlineStr">
        <is>
          <t>ÖREBRO LÄN</t>
        </is>
      </c>
      <c r="E369" t="inlineStr">
        <is>
          <t>LINDESBERG</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4997-2024</t>
        </is>
      </c>
      <c r="B370" s="1" t="n">
        <v>45329</v>
      </c>
      <c r="C370" s="1" t="n">
        <v>46184</v>
      </c>
      <c r="D370" t="inlineStr">
        <is>
          <t>ÖREBRO LÄN</t>
        </is>
      </c>
      <c r="E370" t="inlineStr">
        <is>
          <t>LINDESBERG</t>
        </is>
      </c>
      <c r="F370" t="inlineStr">
        <is>
          <t>BillerudKorsnäs AB</t>
        </is>
      </c>
      <c r="G370" t="n">
        <v>3</v>
      </c>
      <c r="H370" t="n">
        <v>0</v>
      </c>
      <c r="I370" t="n">
        <v>0</v>
      </c>
      <c r="J370" t="n">
        <v>0</v>
      </c>
      <c r="K370" t="n">
        <v>0</v>
      </c>
      <c r="L370" t="n">
        <v>0</v>
      </c>
      <c r="M370" t="n">
        <v>0</v>
      </c>
      <c r="N370" t="n">
        <v>0</v>
      </c>
      <c r="O370" t="n">
        <v>0</v>
      </c>
      <c r="P370" t="n">
        <v>0</v>
      </c>
      <c r="Q370" t="n">
        <v>0</v>
      </c>
      <c r="R370" s="2" t="inlineStr"/>
    </row>
    <row r="371" ht="15" customHeight="1">
      <c r="A371" t="inlineStr">
        <is>
          <t>A 33284-2024</t>
        </is>
      </c>
      <c r="B371" s="1" t="n">
        <v>45518.71721064814</v>
      </c>
      <c r="C371" s="1" t="n">
        <v>46184</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38696-2024</t>
        </is>
      </c>
      <c r="B372" s="1" t="n">
        <v>45547.36590277778</v>
      </c>
      <c r="C372" s="1" t="n">
        <v>46184</v>
      </c>
      <c r="D372" t="inlineStr">
        <is>
          <t>ÖREBRO LÄN</t>
        </is>
      </c>
      <c r="E372" t="inlineStr">
        <is>
          <t>LINDESBERG</t>
        </is>
      </c>
      <c r="G372" t="n">
        <v>2</v>
      </c>
      <c r="H372" t="n">
        <v>0</v>
      </c>
      <c r="I372" t="n">
        <v>0</v>
      </c>
      <c r="J372" t="n">
        <v>0</v>
      </c>
      <c r="K372" t="n">
        <v>0</v>
      </c>
      <c r="L372" t="n">
        <v>0</v>
      </c>
      <c r="M372" t="n">
        <v>0</v>
      </c>
      <c r="N372" t="n">
        <v>0</v>
      </c>
      <c r="O372" t="n">
        <v>0</v>
      </c>
      <c r="P372" t="n">
        <v>0</v>
      </c>
      <c r="Q372" t="n">
        <v>0</v>
      </c>
      <c r="R372" s="2" t="inlineStr"/>
    </row>
    <row r="373" ht="15" customHeight="1">
      <c r="A373" t="inlineStr">
        <is>
          <t>A 19219-2023</t>
        </is>
      </c>
      <c r="B373" s="1" t="n">
        <v>45048</v>
      </c>
      <c r="C373" s="1" t="n">
        <v>46184</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1742-2022</t>
        </is>
      </c>
      <c r="B374" s="1" t="n">
        <v>44574.50425925926</v>
      </c>
      <c r="C374" s="1" t="n">
        <v>46184</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24916-2022</t>
        </is>
      </c>
      <c r="B375" s="1" t="n">
        <v>44728</v>
      </c>
      <c r="C375" s="1" t="n">
        <v>46184</v>
      </c>
      <c r="D375" t="inlineStr">
        <is>
          <t>ÖREBRO LÄN</t>
        </is>
      </c>
      <c r="E375" t="inlineStr">
        <is>
          <t>LINDESBERG</t>
        </is>
      </c>
      <c r="G375" t="n">
        <v>8.1</v>
      </c>
      <c r="H375" t="n">
        <v>0</v>
      </c>
      <c r="I375" t="n">
        <v>0</v>
      </c>
      <c r="J375" t="n">
        <v>0</v>
      </c>
      <c r="K375" t="n">
        <v>0</v>
      </c>
      <c r="L375" t="n">
        <v>0</v>
      </c>
      <c r="M375" t="n">
        <v>0</v>
      </c>
      <c r="N375" t="n">
        <v>0</v>
      </c>
      <c r="O375" t="n">
        <v>0</v>
      </c>
      <c r="P375" t="n">
        <v>0</v>
      </c>
      <c r="Q375" t="n">
        <v>0</v>
      </c>
      <c r="R375" s="2" t="inlineStr"/>
    </row>
    <row r="376" ht="15" customHeight="1">
      <c r="A376" t="inlineStr">
        <is>
          <t>A 5677-2025</t>
        </is>
      </c>
      <c r="B376" s="1" t="n">
        <v>45694</v>
      </c>
      <c r="C376" s="1" t="n">
        <v>46184</v>
      </c>
      <c r="D376" t="inlineStr">
        <is>
          <t>ÖREBRO LÄN</t>
        </is>
      </c>
      <c r="E376" t="inlineStr">
        <is>
          <t>LINDESBERG</t>
        </is>
      </c>
      <c r="G376" t="n">
        <v>1.6</v>
      </c>
      <c r="H376" t="n">
        <v>0</v>
      </c>
      <c r="I376" t="n">
        <v>0</v>
      </c>
      <c r="J376" t="n">
        <v>0</v>
      </c>
      <c r="K376" t="n">
        <v>0</v>
      </c>
      <c r="L376" t="n">
        <v>0</v>
      </c>
      <c r="M376" t="n">
        <v>0</v>
      </c>
      <c r="N376" t="n">
        <v>0</v>
      </c>
      <c r="O376" t="n">
        <v>0</v>
      </c>
      <c r="P376" t="n">
        <v>0</v>
      </c>
      <c r="Q376" t="n">
        <v>0</v>
      </c>
      <c r="R376" s="2" t="inlineStr"/>
    </row>
    <row r="377" ht="15" customHeight="1">
      <c r="A377" t="inlineStr">
        <is>
          <t>A 55255-2025</t>
        </is>
      </c>
      <c r="B377" s="1" t="n">
        <v>45968.63695601852</v>
      </c>
      <c r="C377" s="1" t="n">
        <v>46184</v>
      </c>
      <c r="D377" t="inlineStr">
        <is>
          <t>ÖREBRO LÄN</t>
        </is>
      </c>
      <c r="E377" t="inlineStr">
        <is>
          <t>LINDESBERG</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1681-2025</t>
        </is>
      </c>
      <c r="B378" s="1" t="n">
        <v>45670.69458333333</v>
      </c>
      <c r="C378" s="1" t="n">
        <v>46184</v>
      </c>
      <c r="D378" t="inlineStr">
        <is>
          <t>ÖREBRO LÄN</t>
        </is>
      </c>
      <c r="E378" t="inlineStr">
        <is>
          <t>LINDESBERG</t>
        </is>
      </c>
      <c r="G378" t="n">
        <v>1.9</v>
      </c>
      <c r="H378" t="n">
        <v>0</v>
      </c>
      <c r="I378" t="n">
        <v>0</v>
      </c>
      <c r="J378" t="n">
        <v>0</v>
      </c>
      <c r="K378" t="n">
        <v>0</v>
      </c>
      <c r="L378" t="n">
        <v>0</v>
      </c>
      <c r="M378" t="n">
        <v>0</v>
      </c>
      <c r="N378" t="n">
        <v>0</v>
      </c>
      <c r="O378" t="n">
        <v>0</v>
      </c>
      <c r="P378" t="n">
        <v>0</v>
      </c>
      <c r="Q378" t="n">
        <v>0</v>
      </c>
      <c r="R378" s="2" t="inlineStr"/>
    </row>
    <row r="379" ht="15" customHeight="1">
      <c r="A379" t="inlineStr">
        <is>
          <t>A 52928-2024</t>
        </is>
      </c>
      <c r="B379" s="1" t="n">
        <v>45610</v>
      </c>
      <c r="C379" s="1" t="n">
        <v>46184</v>
      </c>
      <c r="D379" t="inlineStr">
        <is>
          <t>ÖREBRO LÄN</t>
        </is>
      </c>
      <c r="E379" t="inlineStr">
        <is>
          <t>LINDESBERG</t>
        </is>
      </c>
      <c r="G379" t="n">
        <v>8.6</v>
      </c>
      <c r="H379" t="n">
        <v>0</v>
      </c>
      <c r="I379" t="n">
        <v>0</v>
      </c>
      <c r="J379" t="n">
        <v>0</v>
      </c>
      <c r="K379" t="n">
        <v>0</v>
      </c>
      <c r="L379" t="n">
        <v>0</v>
      </c>
      <c r="M379" t="n">
        <v>0</v>
      </c>
      <c r="N379" t="n">
        <v>0</v>
      </c>
      <c r="O379" t="n">
        <v>0</v>
      </c>
      <c r="P379" t="n">
        <v>0</v>
      </c>
      <c r="Q379" t="n">
        <v>0</v>
      </c>
      <c r="R379" s="2" t="inlineStr"/>
    </row>
    <row r="380" ht="15" customHeight="1">
      <c r="A380" t="inlineStr">
        <is>
          <t>A 55490-2025</t>
        </is>
      </c>
      <c r="B380" s="1" t="n">
        <v>45971.57659722222</v>
      </c>
      <c r="C380" s="1" t="n">
        <v>46184</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73500-2021</t>
        </is>
      </c>
      <c r="B381" s="1" t="n">
        <v>44551</v>
      </c>
      <c r="C381" s="1" t="n">
        <v>46184</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16864-2022</t>
        </is>
      </c>
      <c r="B382" s="1" t="n">
        <v>44675</v>
      </c>
      <c r="C382" s="1" t="n">
        <v>46184</v>
      </c>
      <c r="D382" t="inlineStr">
        <is>
          <t>ÖREBRO LÄN</t>
        </is>
      </c>
      <c r="E382" t="inlineStr">
        <is>
          <t>LINDESBERG</t>
        </is>
      </c>
      <c r="F382" t="inlineStr">
        <is>
          <t>Kyrkan</t>
        </is>
      </c>
      <c r="G382" t="n">
        <v>1.7</v>
      </c>
      <c r="H382" t="n">
        <v>0</v>
      </c>
      <c r="I382" t="n">
        <v>0</v>
      </c>
      <c r="J382" t="n">
        <v>0</v>
      </c>
      <c r="K382" t="n">
        <v>0</v>
      </c>
      <c r="L382" t="n">
        <v>0</v>
      </c>
      <c r="M382" t="n">
        <v>0</v>
      </c>
      <c r="N382" t="n">
        <v>0</v>
      </c>
      <c r="O382" t="n">
        <v>0</v>
      </c>
      <c r="P382" t="n">
        <v>0</v>
      </c>
      <c r="Q382" t="n">
        <v>0</v>
      </c>
      <c r="R382" s="2" t="inlineStr"/>
    </row>
    <row r="383" ht="15" customHeight="1">
      <c r="A383" t="inlineStr">
        <is>
          <t>A 47304-2024</t>
        </is>
      </c>
      <c r="B383" s="1" t="n">
        <v>45587</v>
      </c>
      <c r="C383" s="1" t="n">
        <v>46184</v>
      </c>
      <c r="D383" t="inlineStr">
        <is>
          <t>ÖREBRO LÄN</t>
        </is>
      </c>
      <c r="E383" t="inlineStr">
        <is>
          <t>LINDESBERG</t>
        </is>
      </c>
      <c r="G383" t="n">
        <v>1</v>
      </c>
      <c r="H383" t="n">
        <v>0</v>
      </c>
      <c r="I383" t="n">
        <v>0</v>
      </c>
      <c r="J383" t="n">
        <v>0</v>
      </c>
      <c r="K383" t="n">
        <v>0</v>
      </c>
      <c r="L383" t="n">
        <v>0</v>
      </c>
      <c r="M383" t="n">
        <v>0</v>
      </c>
      <c r="N383" t="n">
        <v>0</v>
      </c>
      <c r="O383" t="n">
        <v>0</v>
      </c>
      <c r="P383" t="n">
        <v>0</v>
      </c>
      <c r="Q383" t="n">
        <v>0</v>
      </c>
      <c r="R383" s="2" t="inlineStr"/>
    </row>
    <row r="384" ht="15" customHeight="1">
      <c r="A384" t="inlineStr">
        <is>
          <t>A 36253-2024</t>
        </is>
      </c>
      <c r="B384" s="1" t="n">
        <v>45534.54032407407</v>
      </c>
      <c r="C384" s="1" t="n">
        <v>46184</v>
      </c>
      <c r="D384" t="inlineStr">
        <is>
          <t>ÖREBRO LÄN</t>
        </is>
      </c>
      <c r="E384" t="inlineStr">
        <is>
          <t>LINDESBERG</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30514-2025</t>
        </is>
      </c>
      <c r="B385" s="1" t="n">
        <v>45831</v>
      </c>
      <c r="C385" s="1" t="n">
        <v>46184</v>
      </c>
      <c r="D385" t="inlineStr">
        <is>
          <t>ÖREBRO LÄN</t>
        </is>
      </c>
      <c r="E385" t="inlineStr">
        <is>
          <t>LINDESBERG</t>
        </is>
      </c>
      <c r="G385" t="n">
        <v>1.6</v>
      </c>
      <c r="H385" t="n">
        <v>0</v>
      </c>
      <c r="I385" t="n">
        <v>0</v>
      </c>
      <c r="J385" t="n">
        <v>0</v>
      </c>
      <c r="K385" t="n">
        <v>0</v>
      </c>
      <c r="L385" t="n">
        <v>0</v>
      </c>
      <c r="M385" t="n">
        <v>0</v>
      </c>
      <c r="N385" t="n">
        <v>0</v>
      </c>
      <c r="O385" t="n">
        <v>0</v>
      </c>
      <c r="P385" t="n">
        <v>0</v>
      </c>
      <c r="Q385" t="n">
        <v>0</v>
      </c>
      <c r="R385" s="2" t="inlineStr"/>
    </row>
    <row r="386" ht="15" customHeight="1">
      <c r="A386" t="inlineStr">
        <is>
          <t>A 45173-2024</t>
        </is>
      </c>
      <c r="B386" s="1" t="n">
        <v>45575.65721064815</v>
      </c>
      <c r="C386" s="1" t="n">
        <v>46184</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56306-2025</t>
        </is>
      </c>
      <c r="B387" s="1" t="n">
        <v>45974.61217592593</v>
      </c>
      <c r="C387" s="1" t="n">
        <v>46184</v>
      </c>
      <c r="D387" t="inlineStr">
        <is>
          <t>ÖREBRO LÄN</t>
        </is>
      </c>
      <c r="E387" t="inlineStr">
        <is>
          <t>LINDESBERG</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30512-2025</t>
        </is>
      </c>
      <c r="B388" s="1" t="n">
        <v>45831</v>
      </c>
      <c r="C388" s="1" t="n">
        <v>46184</v>
      </c>
      <c r="D388" t="inlineStr">
        <is>
          <t>ÖREBRO LÄN</t>
        </is>
      </c>
      <c r="E388" t="inlineStr">
        <is>
          <t>LINDESBERG</t>
        </is>
      </c>
      <c r="G388" t="n">
        <v>4.5</v>
      </c>
      <c r="H388" t="n">
        <v>0</v>
      </c>
      <c r="I388" t="n">
        <v>0</v>
      </c>
      <c r="J388" t="n">
        <v>0</v>
      </c>
      <c r="K388" t="n">
        <v>0</v>
      </c>
      <c r="L388" t="n">
        <v>0</v>
      </c>
      <c r="M388" t="n">
        <v>0</v>
      </c>
      <c r="N388" t="n">
        <v>0</v>
      </c>
      <c r="O388" t="n">
        <v>0</v>
      </c>
      <c r="P388" t="n">
        <v>0</v>
      </c>
      <c r="Q388" t="n">
        <v>0</v>
      </c>
      <c r="R388" s="2" t="inlineStr"/>
    </row>
    <row r="389" ht="15" customHeight="1">
      <c r="A389" t="inlineStr">
        <is>
          <t>A 56308-2025</t>
        </is>
      </c>
      <c r="B389" s="1" t="n">
        <v>45974.61344907407</v>
      </c>
      <c r="C389" s="1" t="n">
        <v>46184</v>
      </c>
      <c r="D389" t="inlineStr">
        <is>
          <t>ÖREBRO LÄN</t>
        </is>
      </c>
      <c r="E389" t="inlineStr">
        <is>
          <t>LINDESBERG</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56232-2025</t>
        </is>
      </c>
      <c r="B390" s="1" t="n">
        <v>45974.53239583333</v>
      </c>
      <c r="C390" s="1" t="n">
        <v>46184</v>
      </c>
      <c r="D390" t="inlineStr">
        <is>
          <t>ÖREBRO LÄN</t>
        </is>
      </c>
      <c r="E390" t="inlineStr">
        <is>
          <t>LINDESBERG</t>
        </is>
      </c>
      <c r="G390" t="n">
        <v>3.2</v>
      </c>
      <c r="H390" t="n">
        <v>0</v>
      </c>
      <c r="I390" t="n">
        <v>0</v>
      </c>
      <c r="J390" t="n">
        <v>0</v>
      </c>
      <c r="K390" t="n">
        <v>0</v>
      </c>
      <c r="L390" t="n">
        <v>0</v>
      </c>
      <c r="M390" t="n">
        <v>0</v>
      </c>
      <c r="N390" t="n">
        <v>0</v>
      </c>
      <c r="O390" t="n">
        <v>0</v>
      </c>
      <c r="P390" t="n">
        <v>0</v>
      </c>
      <c r="Q390" t="n">
        <v>0</v>
      </c>
      <c r="R390" s="2" t="inlineStr"/>
    </row>
    <row r="391" ht="15" customHeight="1">
      <c r="A391" t="inlineStr">
        <is>
          <t>A 11953-2024</t>
        </is>
      </c>
      <c r="B391" s="1" t="n">
        <v>45376.70292824074</v>
      </c>
      <c r="C391" s="1" t="n">
        <v>46184</v>
      </c>
      <c r="D391" t="inlineStr">
        <is>
          <t>ÖREBRO LÄN</t>
        </is>
      </c>
      <c r="E391" t="inlineStr">
        <is>
          <t>LINDESBERG</t>
        </is>
      </c>
      <c r="G391" t="n">
        <v>5.7</v>
      </c>
      <c r="H391" t="n">
        <v>0</v>
      </c>
      <c r="I391" t="n">
        <v>0</v>
      </c>
      <c r="J391" t="n">
        <v>0</v>
      </c>
      <c r="K391" t="n">
        <v>0</v>
      </c>
      <c r="L391" t="n">
        <v>0</v>
      </c>
      <c r="M391" t="n">
        <v>0</v>
      </c>
      <c r="N391" t="n">
        <v>0</v>
      </c>
      <c r="O391" t="n">
        <v>0</v>
      </c>
      <c r="P391" t="n">
        <v>0</v>
      </c>
      <c r="Q391" t="n">
        <v>0</v>
      </c>
      <c r="R391" s="2" t="inlineStr"/>
    </row>
    <row r="392" ht="15" customHeight="1">
      <c r="A392" t="inlineStr">
        <is>
          <t>A 50170-2022</t>
        </is>
      </c>
      <c r="B392" s="1" t="n">
        <v>44865.600625</v>
      </c>
      <c r="C392" s="1" t="n">
        <v>46184</v>
      </c>
      <c r="D392" t="inlineStr">
        <is>
          <t>ÖREBRO LÄN</t>
        </is>
      </c>
      <c r="E392" t="inlineStr">
        <is>
          <t>LINDESBERG</t>
        </is>
      </c>
      <c r="G392" t="n">
        <v>2.1</v>
      </c>
      <c r="H392" t="n">
        <v>0</v>
      </c>
      <c r="I392" t="n">
        <v>0</v>
      </c>
      <c r="J392" t="n">
        <v>0</v>
      </c>
      <c r="K392" t="n">
        <v>0</v>
      </c>
      <c r="L392" t="n">
        <v>0</v>
      </c>
      <c r="M392" t="n">
        <v>0</v>
      </c>
      <c r="N392" t="n">
        <v>0</v>
      </c>
      <c r="O392" t="n">
        <v>0</v>
      </c>
      <c r="P392" t="n">
        <v>0</v>
      </c>
      <c r="Q392" t="n">
        <v>0</v>
      </c>
      <c r="R392" s="2" t="inlineStr"/>
    </row>
    <row r="393" ht="15" customHeight="1">
      <c r="A393" t="inlineStr">
        <is>
          <t>A 56226-2025</t>
        </is>
      </c>
      <c r="B393" s="1" t="n">
        <v>45974.51283564815</v>
      </c>
      <c r="C393" s="1" t="n">
        <v>46184</v>
      </c>
      <c r="D393" t="inlineStr">
        <is>
          <t>ÖREBRO LÄN</t>
        </is>
      </c>
      <c r="E393" t="inlineStr">
        <is>
          <t>LINDESBERG</t>
        </is>
      </c>
      <c r="G393" t="n">
        <v>1.8</v>
      </c>
      <c r="H393" t="n">
        <v>0</v>
      </c>
      <c r="I393" t="n">
        <v>0</v>
      </c>
      <c r="J393" t="n">
        <v>0</v>
      </c>
      <c r="K393" t="n">
        <v>0</v>
      </c>
      <c r="L393" t="n">
        <v>0</v>
      </c>
      <c r="M393" t="n">
        <v>0</v>
      </c>
      <c r="N393" t="n">
        <v>0</v>
      </c>
      <c r="O393" t="n">
        <v>0</v>
      </c>
      <c r="P393" t="n">
        <v>0</v>
      </c>
      <c r="Q393" t="n">
        <v>0</v>
      </c>
      <c r="R393" s="2" t="inlineStr"/>
    </row>
    <row r="394" ht="15" customHeight="1">
      <c r="A394" t="inlineStr">
        <is>
          <t>A 28469-2023</t>
        </is>
      </c>
      <c r="B394" s="1" t="n">
        <v>45103</v>
      </c>
      <c r="C394" s="1" t="n">
        <v>46184</v>
      </c>
      <c r="D394" t="inlineStr">
        <is>
          <t>ÖREBRO LÄN</t>
        </is>
      </c>
      <c r="E394" t="inlineStr">
        <is>
          <t>LINDESBERG</t>
        </is>
      </c>
      <c r="G394" t="n">
        <v>0.3</v>
      </c>
      <c r="H394" t="n">
        <v>0</v>
      </c>
      <c r="I394" t="n">
        <v>0</v>
      </c>
      <c r="J394" t="n">
        <v>0</v>
      </c>
      <c r="K394" t="n">
        <v>0</v>
      </c>
      <c r="L394" t="n">
        <v>0</v>
      </c>
      <c r="M394" t="n">
        <v>0</v>
      </c>
      <c r="N394" t="n">
        <v>0</v>
      </c>
      <c r="O394" t="n">
        <v>0</v>
      </c>
      <c r="P394" t="n">
        <v>0</v>
      </c>
      <c r="Q394" t="n">
        <v>0</v>
      </c>
      <c r="R394" s="2" t="inlineStr"/>
    </row>
    <row r="395" ht="15" customHeight="1">
      <c r="A395" t="inlineStr">
        <is>
          <t>A 36859-2025</t>
        </is>
      </c>
      <c r="B395" s="1" t="n">
        <v>45874.40503472222</v>
      </c>
      <c r="C395" s="1" t="n">
        <v>46184</v>
      </c>
      <c r="D395" t="inlineStr">
        <is>
          <t>ÖREBRO LÄN</t>
        </is>
      </c>
      <c r="E395" t="inlineStr">
        <is>
          <t>LINDESBERG</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72706-2021</t>
        </is>
      </c>
      <c r="B396" s="1" t="n">
        <v>44546.67222222222</v>
      </c>
      <c r="C396" s="1" t="n">
        <v>46184</v>
      </c>
      <c r="D396" t="inlineStr">
        <is>
          <t>ÖREBRO LÄN</t>
        </is>
      </c>
      <c r="E396" t="inlineStr">
        <is>
          <t>LINDESBERG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37497-2025</t>
        </is>
      </c>
      <c r="B397" s="1" t="n">
        <v>45877.64431712963</v>
      </c>
      <c r="C397" s="1" t="n">
        <v>46184</v>
      </c>
      <c r="D397" t="inlineStr">
        <is>
          <t>ÖREBRO LÄN</t>
        </is>
      </c>
      <c r="E397" t="inlineStr">
        <is>
          <t>LINDESBERG</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45481-2023</t>
        </is>
      </c>
      <c r="B398" s="1" t="n">
        <v>45194</v>
      </c>
      <c r="C398" s="1" t="n">
        <v>46184</v>
      </c>
      <c r="D398" t="inlineStr">
        <is>
          <t>ÖREBRO LÄN</t>
        </is>
      </c>
      <c r="E398" t="inlineStr">
        <is>
          <t>LINDESBERG</t>
        </is>
      </c>
      <c r="G398" t="n">
        <v>2.1</v>
      </c>
      <c r="H398" t="n">
        <v>0</v>
      </c>
      <c r="I398" t="n">
        <v>0</v>
      </c>
      <c r="J398" t="n">
        <v>0</v>
      </c>
      <c r="K398" t="n">
        <v>0</v>
      </c>
      <c r="L398" t="n">
        <v>0</v>
      </c>
      <c r="M398" t="n">
        <v>0</v>
      </c>
      <c r="N398" t="n">
        <v>0</v>
      </c>
      <c r="O398" t="n">
        <v>0</v>
      </c>
      <c r="P398" t="n">
        <v>0</v>
      </c>
      <c r="Q398" t="n">
        <v>0</v>
      </c>
      <c r="R398" s="2" t="inlineStr"/>
    </row>
    <row r="399" ht="15" customHeight="1">
      <c r="A399" t="inlineStr">
        <is>
          <t>A 59766-2022</t>
        </is>
      </c>
      <c r="B399" s="1" t="n">
        <v>44908.49152777778</v>
      </c>
      <c r="C399" s="1" t="n">
        <v>46184</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27013-2024</t>
        </is>
      </c>
      <c r="B400" s="1" t="n">
        <v>45471.40384259259</v>
      </c>
      <c r="C400" s="1" t="n">
        <v>46184</v>
      </c>
      <c r="D400" t="inlineStr">
        <is>
          <t>ÖREBRO LÄN</t>
        </is>
      </c>
      <c r="E400" t="inlineStr">
        <is>
          <t>LINDESBERG</t>
        </is>
      </c>
      <c r="G400" t="n">
        <v>5.2</v>
      </c>
      <c r="H400" t="n">
        <v>0</v>
      </c>
      <c r="I400" t="n">
        <v>0</v>
      </c>
      <c r="J400" t="n">
        <v>0</v>
      </c>
      <c r="K400" t="n">
        <v>0</v>
      </c>
      <c r="L400" t="n">
        <v>0</v>
      </c>
      <c r="M400" t="n">
        <v>0</v>
      </c>
      <c r="N400" t="n">
        <v>0</v>
      </c>
      <c r="O400" t="n">
        <v>0</v>
      </c>
      <c r="P400" t="n">
        <v>0</v>
      </c>
      <c r="Q400" t="n">
        <v>0</v>
      </c>
      <c r="R400" s="2" t="inlineStr"/>
    </row>
    <row r="401" ht="15" customHeight="1">
      <c r="A401" t="inlineStr">
        <is>
          <t>A 37301-2025</t>
        </is>
      </c>
      <c r="B401" s="1" t="n">
        <v>45876.59166666667</v>
      </c>
      <c r="C401" s="1" t="n">
        <v>46184</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37837-2025</t>
        </is>
      </c>
      <c r="B402" s="1" t="n">
        <v>45881.42791666667</v>
      </c>
      <c r="C402" s="1" t="n">
        <v>46184</v>
      </c>
      <c r="D402" t="inlineStr">
        <is>
          <t>ÖREBRO LÄN</t>
        </is>
      </c>
      <c r="E402" t="inlineStr">
        <is>
          <t>LINDESBERG</t>
        </is>
      </c>
      <c r="G402" t="n">
        <v>1.3</v>
      </c>
      <c r="H402" t="n">
        <v>0</v>
      </c>
      <c r="I402" t="n">
        <v>0</v>
      </c>
      <c r="J402" t="n">
        <v>0</v>
      </c>
      <c r="K402" t="n">
        <v>0</v>
      </c>
      <c r="L402" t="n">
        <v>0</v>
      </c>
      <c r="M402" t="n">
        <v>0</v>
      </c>
      <c r="N402" t="n">
        <v>0</v>
      </c>
      <c r="O402" t="n">
        <v>0</v>
      </c>
      <c r="P402" t="n">
        <v>0</v>
      </c>
      <c r="Q402" t="n">
        <v>0</v>
      </c>
      <c r="R402" s="2" t="inlineStr"/>
    </row>
    <row r="403" ht="15" customHeight="1">
      <c r="A403" t="inlineStr">
        <is>
          <t>A 37602-2025</t>
        </is>
      </c>
      <c r="B403" s="1" t="n">
        <v>45880</v>
      </c>
      <c r="C403" s="1" t="n">
        <v>46184</v>
      </c>
      <c r="D403" t="inlineStr">
        <is>
          <t>ÖREBRO LÄN</t>
        </is>
      </c>
      <c r="E403" t="inlineStr">
        <is>
          <t>LINDESBERG</t>
        </is>
      </c>
      <c r="G403" t="n">
        <v>1</v>
      </c>
      <c r="H403" t="n">
        <v>0</v>
      </c>
      <c r="I403" t="n">
        <v>0</v>
      </c>
      <c r="J403" t="n">
        <v>0</v>
      </c>
      <c r="K403" t="n">
        <v>0</v>
      </c>
      <c r="L403" t="n">
        <v>0</v>
      </c>
      <c r="M403" t="n">
        <v>0</v>
      </c>
      <c r="N403" t="n">
        <v>0</v>
      </c>
      <c r="O403" t="n">
        <v>0</v>
      </c>
      <c r="P403" t="n">
        <v>0</v>
      </c>
      <c r="Q403" t="n">
        <v>0</v>
      </c>
      <c r="R403" s="2" t="inlineStr"/>
    </row>
    <row r="404" ht="15" customHeight="1">
      <c r="A404" t="inlineStr">
        <is>
          <t>A 37625-2025</t>
        </is>
      </c>
      <c r="B404" s="1" t="n">
        <v>45880.46056712963</v>
      </c>
      <c r="C404" s="1" t="n">
        <v>46184</v>
      </c>
      <c r="D404" t="inlineStr">
        <is>
          <t>ÖREBRO LÄN</t>
        </is>
      </c>
      <c r="E404" t="inlineStr">
        <is>
          <t>LINDESBERG</t>
        </is>
      </c>
      <c r="G404" t="n">
        <v>12.5</v>
      </c>
      <c r="H404" t="n">
        <v>0</v>
      </c>
      <c r="I404" t="n">
        <v>0</v>
      </c>
      <c r="J404" t="n">
        <v>0</v>
      </c>
      <c r="K404" t="n">
        <v>0</v>
      </c>
      <c r="L404" t="n">
        <v>0</v>
      </c>
      <c r="M404" t="n">
        <v>0</v>
      </c>
      <c r="N404" t="n">
        <v>0</v>
      </c>
      <c r="O404" t="n">
        <v>0</v>
      </c>
      <c r="P404" t="n">
        <v>0</v>
      </c>
      <c r="Q404" t="n">
        <v>0</v>
      </c>
      <c r="R404" s="2" t="inlineStr"/>
    </row>
    <row r="405" ht="15" customHeight="1">
      <c r="A405" t="inlineStr">
        <is>
          <t>A 57299-2025</t>
        </is>
      </c>
      <c r="B405" s="1" t="n">
        <v>45979.81347222222</v>
      </c>
      <c r="C405" s="1" t="n">
        <v>46184</v>
      </c>
      <c r="D405" t="inlineStr">
        <is>
          <t>ÖREBRO LÄN</t>
        </is>
      </c>
      <c r="E405" t="inlineStr">
        <is>
          <t>LINDESBERG</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57317-2025</t>
        </is>
      </c>
      <c r="B406" s="1" t="n">
        <v>45980.01226851852</v>
      </c>
      <c r="C406" s="1" t="n">
        <v>46184</v>
      </c>
      <c r="D406" t="inlineStr">
        <is>
          <t>ÖREBRO LÄN</t>
        </is>
      </c>
      <c r="E406" t="inlineStr">
        <is>
          <t>LINDESBERG</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37553-2025</t>
        </is>
      </c>
      <c r="B407" s="1" t="n">
        <v>45880.3172337963</v>
      </c>
      <c r="C407" s="1" t="n">
        <v>46184</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27134-2024</t>
        </is>
      </c>
      <c r="B408" s="1" t="n">
        <v>45471.52878472222</v>
      </c>
      <c r="C408" s="1" t="n">
        <v>46184</v>
      </c>
      <c r="D408" t="inlineStr">
        <is>
          <t>ÖREBRO LÄN</t>
        </is>
      </c>
      <c r="E408" t="inlineStr">
        <is>
          <t>LINDESBERG</t>
        </is>
      </c>
      <c r="G408" t="n">
        <v>0.7</v>
      </c>
      <c r="H408" t="n">
        <v>0</v>
      </c>
      <c r="I408" t="n">
        <v>0</v>
      </c>
      <c r="J408" t="n">
        <v>0</v>
      </c>
      <c r="K408" t="n">
        <v>0</v>
      </c>
      <c r="L408" t="n">
        <v>0</v>
      </c>
      <c r="M408" t="n">
        <v>0</v>
      </c>
      <c r="N408" t="n">
        <v>0</v>
      </c>
      <c r="O408" t="n">
        <v>0</v>
      </c>
      <c r="P408" t="n">
        <v>0</v>
      </c>
      <c r="Q408" t="n">
        <v>0</v>
      </c>
      <c r="R408" s="2" t="inlineStr"/>
    </row>
    <row r="409" ht="15" customHeight="1">
      <c r="A409" t="inlineStr">
        <is>
          <t>A 57300-2025</t>
        </is>
      </c>
      <c r="B409" s="1" t="n">
        <v>45979.81403935186</v>
      </c>
      <c r="C409" s="1" t="n">
        <v>46184</v>
      </c>
      <c r="D409" t="inlineStr">
        <is>
          <t>ÖREBRO LÄN</t>
        </is>
      </c>
      <c r="E409" t="inlineStr">
        <is>
          <t>LINDESBERG</t>
        </is>
      </c>
      <c r="F409" t="inlineStr">
        <is>
          <t>Sveaskog</t>
        </is>
      </c>
      <c r="G409" t="n">
        <v>4.9</v>
      </c>
      <c r="H409" t="n">
        <v>0</v>
      </c>
      <c r="I409" t="n">
        <v>0</v>
      </c>
      <c r="J409" t="n">
        <v>0</v>
      </c>
      <c r="K409" t="n">
        <v>0</v>
      </c>
      <c r="L409" t="n">
        <v>0</v>
      </c>
      <c r="M409" t="n">
        <v>0</v>
      </c>
      <c r="N409" t="n">
        <v>0</v>
      </c>
      <c r="O409" t="n">
        <v>0</v>
      </c>
      <c r="P409" t="n">
        <v>0</v>
      </c>
      <c r="Q409" t="n">
        <v>0</v>
      </c>
      <c r="R409" s="2" t="inlineStr"/>
    </row>
    <row r="410" ht="15" customHeight="1">
      <c r="A410" t="inlineStr">
        <is>
          <t>A 36121-2023</t>
        </is>
      </c>
      <c r="B410" s="1" t="n">
        <v>45148</v>
      </c>
      <c r="C410" s="1" t="n">
        <v>46184</v>
      </c>
      <c r="D410" t="inlineStr">
        <is>
          <t>ÖREBRO LÄN</t>
        </is>
      </c>
      <c r="E410" t="inlineStr">
        <is>
          <t>LINDESBERG</t>
        </is>
      </c>
      <c r="G410" t="n">
        <v>7.1</v>
      </c>
      <c r="H410" t="n">
        <v>0</v>
      </c>
      <c r="I410" t="n">
        <v>0</v>
      </c>
      <c r="J410" t="n">
        <v>0</v>
      </c>
      <c r="K410" t="n">
        <v>0</v>
      </c>
      <c r="L410" t="n">
        <v>0</v>
      </c>
      <c r="M410" t="n">
        <v>0</v>
      </c>
      <c r="N410" t="n">
        <v>0</v>
      </c>
      <c r="O410" t="n">
        <v>0</v>
      </c>
      <c r="P410" t="n">
        <v>0</v>
      </c>
      <c r="Q410" t="n">
        <v>0</v>
      </c>
      <c r="R410" s="2" t="inlineStr"/>
    </row>
    <row r="411" ht="15" customHeight="1">
      <c r="A411" t="inlineStr">
        <is>
          <t>A 36280-2023</t>
        </is>
      </c>
      <c r="B411" s="1" t="n">
        <v>45152.34586805556</v>
      </c>
      <c r="C411" s="1" t="n">
        <v>46184</v>
      </c>
      <c r="D411" t="inlineStr">
        <is>
          <t>ÖREBRO LÄN</t>
        </is>
      </c>
      <c r="E411" t="inlineStr">
        <is>
          <t>LINDESBERG</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57359-2025</t>
        </is>
      </c>
      <c r="B412" s="1" t="n">
        <v>45980.36866898148</v>
      </c>
      <c r="C412" s="1" t="n">
        <v>46184</v>
      </c>
      <c r="D412" t="inlineStr">
        <is>
          <t>ÖREBRO LÄN</t>
        </is>
      </c>
      <c r="E412" t="inlineStr">
        <is>
          <t>LINDESBERG</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57361-2025</t>
        </is>
      </c>
      <c r="B413" s="1" t="n">
        <v>45980.36988425926</v>
      </c>
      <c r="C413" s="1" t="n">
        <v>46184</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57313-2025</t>
        </is>
      </c>
      <c r="B414" s="1" t="n">
        <v>45979.97458333334</v>
      </c>
      <c r="C414" s="1" t="n">
        <v>46184</v>
      </c>
      <c r="D414" t="inlineStr">
        <is>
          <t>ÖREBRO LÄN</t>
        </is>
      </c>
      <c r="E414" t="inlineStr">
        <is>
          <t>LINDESBERG</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57314-2025</t>
        </is>
      </c>
      <c r="B415" s="1" t="n">
        <v>45980.00710648148</v>
      </c>
      <c r="C415" s="1" t="n">
        <v>46184</v>
      </c>
      <c r="D415" t="inlineStr">
        <is>
          <t>ÖREBRO LÄN</t>
        </is>
      </c>
      <c r="E415" t="inlineStr">
        <is>
          <t>LINDESBERG</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44449-2023</t>
        </is>
      </c>
      <c r="B416" s="1" t="n">
        <v>45189.38135416667</v>
      </c>
      <c r="C416" s="1" t="n">
        <v>46184</v>
      </c>
      <c r="D416" t="inlineStr">
        <is>
          <t>ÖREBRO LÄN</t>
        </is>
      </c>
      <c r="E416" t="inlineStr">
        <is>
          <t>LINDESBERG</t>
        </is>
      </c>
      <c r="G416" t="n">
        <v>13.7</v>
      </c>
      <c r="H416" t="n">
        <v>0</v>
      </c>
      <c r="I416" t="n">
        <v>0</v>
      </c>
      <c r="J416" t="n">
        <v>0</v>
      </c>
      <c r="K416" t="n">
        <v>0</v>
      </c>
      <c r="L416" t="n">
        <v>0</v>
      </c>
      <c r="M416" t="n">
        <v>0</v>
      </c>
      <c r="N416" t="n">
        <v>0</v>
      </c>
      <c r="O416" t="n">
        <v>0</v>
      </c>
      <c r="P416" t="n">
        <v>0</v>
      </c>
      <c r="Q416" t="n">
        <v>0</v>
      </c>
      <c r="R416" s="2" t="inlineStr"/>
    </row>
    <row r="417" ht="15" customHeight="1">
      <c r="A417" t="inlineStr">
        <is>
          <t>A 57315-2025</t>
        </is>
      </c>
      <c r="B417" s="1" t="n">
        <v>45980.00753472222</v>
      </c>
      <c r="C417" s="1" t="n">
        <v>46184</v>
      </c>
      <c r="D417" t="inlineStr">
        <is>
          <t>ÖREBRO LÄN</t>
        </is>
      </c>
      <c r="E417" t="inlineStr">
        <is>
          <t>LINDESBERG</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57316-2025</t>
        </is>
      </c>
      <c r="B418" s="1" t="n">
        <v>45980.0115625</v>
      </c>
      <c r="C418" s="1" t="n">
        <v>46184</v>
      </c>
      <c r="D418" t="inlineStr">
        <is>
          <t>ÖREBRO LÄN</t>
        </is>
      </c>
      <c r="E418" t="inlineStr">
        <is>
          <t>LINDESBERG</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57320-2025</t>
        </is>
      </c>
      <c r="B419" s="1" t="n">
        <v>45980.01553240741</v>
      </c>
      <c r="C419" s="1" t="n">
        <v>46184</v>
      </c>
      <c r="D419" t="inlineStr">
        <is>
          <t>ÖREBRO LÄN</t>
        </is>
      </c>
      <c r="E419" t="inlineStr">
        <is>
          <t>LINDESBERG</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57363-2025</t>
        </is>
      </c>
      <c r="B420" s="1" t="n">
        <v>45980.3716087963</v>
      </c>
      <c r="C420" s="1" t="n">
        <v>46184</v>
      </c>
      <c r="D420" t="inlineStr">
        <is>
          <t>ÖREBRO LÄN</t>
        </is>
      </c>
      <c r="E420" t="inlineStr">
        <is>
          <t>LINDESBERG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2103-2022</t>
        </is>
      </c>
      <c r="B421" s="1" t="n">
        <v>44577.81121527778</v>
      </c>
      <c r="C421" s="1" t="n">
        <v>46184</v>
      </c>
      <c r="D421" t="inlineStr">
        <is>
          <t>ÖREBRO LÄN</t>
        </is>
      </c>
      <c r="E421" t="inlineStr">
        <is>
          <t>LINDESBERG</t>
        </is>
      </c>
      <c r="G421" t="n">
        <v>1.4</v>
      </c>
      <c r="H421" t="n">
        <v>0</v>
      </c>
      <c r="I421" t="n">
        <v>0</v>
      </c>
      <c r="J421" t="n">
        <v>0</v>
      </c>
      <c r="K421" t="n">
        <v>0</v>
      </c>
      <c r="L421" t="n">
        <v>0</v>
      </c>
      <c r="M421" t="n">
        <v>0</v>
      </c>
      <c r="N421" t="n">
        <v>0</v>
      </c>
      <c r="O421" t="n">
        <v>0</v>
      </c>
      <c r="P421" t="n">
        <v>0</v>
      </c>
      <c r="Q421" t="n">
        <v>0</v>
      </c>
      <c r="R421" s="2" t="inlineStr"/>
    </row>
    <row r="422" ht="15" customHeight="1">
      <c r="A422" t="inlineStr">
        <is>
          <t>A 33424-2024</t>
        </is>
      </c>
      <c r="B422" s="1" t="n">
        <v>45519.51627314815</v>
      </c>
      <c r="C422" s="1" t="n">
        <v>46184</v>
      </c>
      <c r="D422" t="inlineStr">
        <is>
          <t>ÖREBRO LÄN</t>
        </is>
      </c>
      <c r="E422" t="inlineStr">
        <is>
          <t>LINDESBERG</t>
        </is>
      </c>
      <c r="F422" t="inlineStr">
        <is>
          <t>Sveaskog</t>
        </is>
      </c>
      <c r="G422" t="n">
        <v>0.1</v>
      </c>
      <c r="H422" t="n">
        <v>0</v>
      </c>
      <c r="I422" t="n">
        <v>0</v>
      </c>
      <c r="J422" t="n">
        <v>0</v>
      </c>
      <c r="K422" t="n">
        <v>0</v>
      </c>
      <c r="L422" t="n">
        <v>0</v>
      </c>
      <c r="M422" t="n">
        <v>0</v>
      </c>
      <c r="N422" t="n">
        <v>0</v>
      </c>
      <c r="O422" t="n">
        <v>0</v>
      </c>
      <c r="P422" t="n">
        <v>0</v>
      </c>
      <c r="Q422" t="n">
        <v>0</v>
      </c>
      <c r="R422" s="2" t="inlineStr"/>
    </row>
    <row r="423" ht="15" customHeight="1">
      <c r="A423" t="inlineStr">
        <is>
          <t>A 57911-2022</t>
        </is>
      </c>
      <c r="B423" s="1" t="n">
        <v>44900.36149305556</v>
      </c>
      <c r="C423" s="1" t="n">
        <v>46184</v>
      </c>
      <c r="D423" t="inlineStr">
        <is>
          <t>ÖREBRO LÄN</t>
        </is>
      </c>
      <c r="E423" t="inlineStr">
        <is>
          <t>LINDESBERG</t>
        </is>
      </c>
      <c r="G423" t="n">
        <v>4.9</v>
      </c>
      <c r="H423" t="n">
        <v>0</v>
      </c>
      <c r="I423" t="n">
        <v>0</v>
      </c>
      <c r="J423" t="n">
        <v>0</v>
      </c>
      <c r="K423" t="n">
        <v>0</v>
      </c>
      <c r="L423" t="n">
        <v>0</v>
      </c>
      <c r="M423" t="n">
        <v>0</v>
      </c>
      <c r="N423" t="n">
        <v>0</v>
      </c>
      <c r="O423" t="n">
        <v>0</v>
      </c>
      <c r="P423" t="n">
        <v>0</v>
      </c>
      <c r="Q423" t="n">
        <v>0</v>
      </c>
      <c r="R423" s="2" t="inlineStr"/>
    </row>
    <row r="424" ht="15" customHeight="1">
      <c r="A424" t="inlineStr">
        <is>
          <t>A 28032-2023</t>
        </is>
      </c>
      <c r="B424" s="1" t="n">
        <v>45099</v>
      </c>
      <c r="C424" s="1" t="n">
        <v>46184</v>
      </c>
      <c r="D424" t="inlineStr">
        <is>
          <t>ÖREBRO LÄN</t>
        </is>
      </c>
      <c r="E424" t="inlineStr">
        <is>
          <t>LINDESBERG</t>
        </is>
      </c>
      <c r="F424" t="inlineStr">
        <is>
          <t>Kyrkan</t>
        </is>
      </c>
      <c r="G424" t="n">
        <v>0.7</v>
      </c>
      <c r="H424" t="n">
        <v>0</v>
      </c>
      <c r="I424" t="n">
        <v>0</v>
      </c>
      <c r="J424" t="n">
        <v>0</v>
      </c>
      <c r="K424" t="n">
        <v>0</v>
      </c>
      <c r="L424" t="n">
        <v>0</v>
      </c>
      <c r="M424" t="n">
        <v>0</v>
      </c>
      <c r="N424" t="n">
        <v>0</v>
      </c>
      <c r="O424" t="n">
        <v>0</v>
      </c>
      <c r="P424" t="n">
        <v>0</v>
      </c>
      <c r="Q424" t="n">
        <v>0</v>
      </c>
      <c r="R424" s="2" t="inlineStr"/>
    </row>
    <row r="425" ht="15" customHeight="1">
      <c r="A425" t="inlineStr">
        <is>
          <t>A 62608-2021</t>
        </is>
      </c>
      <c r="B425" s="1" t="n">
        <v>44503</v>
      </c>
      <c r="C425" s="1" t="n">
        <v>46184</v>
      </c>
      <c r="D425" t="inlineStr">
        <is>
          <t>ÖREBRO LÄN</t>
        </is>
      </c>
      <c r="E425" t="inlineStr">
        <is>
          <t>LINDESBERG</t>
        </is>
      </c>
      <c r="G425" t="n">
        <v>1.4</v>
      </c>
      <c r="H425" t="n">
        <v>0</v>
      </c>
      <c r="I425" t="n">
        <v>0</v>
      </c>
      <c r="J425" t="n">
        <v>0</v>
      </c>
      <c r="K425" t="n">
        <v>0</v>
      </c>
      <c r="L425" t="n">
        <v>0</v>
      </c>
      <c r="M425" t="n">
        <v>0</v>
      </c>
      <c r="N425" t="n">
        <v>0</v>
      </c>
      <c r="O425" t="n">
        <v>0</v>
      </c>
      <c r="P425" t="n">
        <v>0</v>
      </c>
      <c r="Q425" t="n">
        <v>0</v>
      </c>
      <c r="R425" s="2" t="inlineStr"/>
    </row>
    <row r="426" ht="15" customHeight="1">
      <c r="A426" t="inlineStr">
        <is>
          <t>A 73860-2021</t>
        </is>
      </c>
      <c r="B426" s="1" t="n">
        <v>44553.35407407407</v>
      </c>
      <c r="C426" s="1" t="n">
        <v>46184</v>
      </c>
      <c r="D426" t="inlineStr">
        <is>
          <t>ÖREBRO LÄN</t>
        </is>
      </c>
      <c r="E426" t="inlineStr">
        <is>
          <t>LINDESBERG</t>
        </is>
      </c>
      <c r="G426" t="n">
        <v>12.7</v>
      </c>
      <c r="H426" t="n">
        <v>0</v>
      </c>
      <c r="I426" t="n">
        <v>0</v>
      </c>
      <c r="J426" t="n">
        <v>0</v>
      </c>
      <c r="K426" t="n">
        <v>0</v>
      </c>
      <c r="L426" t="n">
        <v>0</v>
      </c>
      <c r="M426" t="n">
        <v>0</v>
      </c>
      <c r="N426" t="n">
        <v>0</v>
      </c>
      <c r="O426" t="n">
        <v>0</v>
      </c>
      <c r="P426" t="n">
        <v>0</v>
      </c>
      <c r="Q426" t="n">
        <v>0</v>
      </c>
      <c r="R426" s="2" t="inlineStr"/>
    </row>
    <row r="427" ht="15" customHeight="1">
      <c r="A427" t="inlineStr">
        <is>
          <t>A 38534-2025</t>
        </is>
      </c>
      <c r="B427" s="1" t="n">
        <v>45884</v>
      </c>
      <c r="C427" s="1" t="n">
        <v>46184</v>
      </c>
      <c r="D427" t="inlineStr">
        <is>
          <t>ÖREBRO LÄN</t>
        </is>
      </c>
      <c r="E427" t="inlineStr">
        <is>
          <t>LINDESBERG</t>
        </is>
      </c>
      <c r="G427" t="n">
        <v>4.9</v>
      </c>
      <c r="H427" t="n">
        <v>0</v>
      </c>
      <c r="I427" t="n">
        <v>0</v>
      </c>
      <c r="J427" t="n">
        <v>0</v>
      </c>
      <c r="K427" t="n">
        <v>0</v>
      </c>
      <c r="L427" t="n">
        <v>0</v>
      </c>
      <c r="M427" t="n">
        <v>0</v>
      </c>
      <c r="N427" t="n">
        <v>0</v>
      </c>
      <c r="O427" t="n">
        <v>0</v>
      </c>
      <c r="P427" t="n">
        <v>0</v>
      </c>
      <c r="Q427" t="n">
        <v>0</v>
      </c>
      <c r="R427" s="2" t="inlineStr"/>
    </row>
    <row r="428" ht="15" customHeight="1">
      <c r="A428" t="inlineStr">
        <is>
          <t>A 3803-2023</t>
        </is>
      </c>
      <c r="B428" s="1" t="n">
        <v>44951.5830324074</v>
      </c>
      <c r="C428" s="1" t="n">
        <v>46184</v>
      </c>
      <c r="D428" t="inlineStr">
        <is>
          <t>ÖREBRO LÄN</t>
        </is>
      </c>
      <c r="E428" t="inlineStr">
        <is>
          <t>LINDESBERG</t>
        </is>
      </c>
      <c r="G428" t="n">
        <v>0.9</v>
      </c>
      <c r="H428" t="n">
        <v>0</v>
      </c>
      <c r="I428" t="n">
        <v>0</v>
      </c>
      <c r="J428" t="n">
        <v>0</v>
      </c>
      <c r="K428" t="n">
        <v>0</v>
      </c>
      <c r="L428" t="n">
        <v>0</v>
      </c>
      <c r="M428" t="n">
        <v>0</v>
      </c>
      <c r="N428" t="n">
        <v>0</v>
      </c>
      <c r="O428" t="n">
        <v>0</v>
      </c>
      <c r="P428" t="n">
        <v>0</v>
      </c>
      <c r="Q428" t="n">
        <v>0</v>
      </c>
      <c r="R428" s="2" t="inlineStr"/>
    </row>
    <row r="429" ht="15" customHeight="1">
      <c r="A429" t="inlineStr">
        <is>
          <t>A 33507-2023</t>
        </is>
      </c>
      <c r="B429" s="1" t="n">
        <v>45131</v>
      </c>
      <c r="C429" s="1" t="n">
        <v>46184</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24030-2023</t>
        </is>
      </c>
      <c r="B430" s="1" t="n">
        <v>45078.82620370371</v>
      </c>
      <c r="C430" s="1" t="n">
        <v>46184</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21986-2023</t>
        </is>
      </c>
      <c r="B431" s="1" t="n">
        <v>45068</v>
      </c>
      <c r="C431" s="1" t="n">
        <v>46184</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44010-2023</t>
        </is>
      </c>
      <c r="B432" s="1" t="n">
        <v>45188</v>
      </c>
      <c r="C432" s="1" t="n">
        <v>46184</v>
      </c>
      <c r="D432" t="inlineStr">
        <is>
          <t>ÖREBRO LÄN</t>
        </is>
      </c>
      <c r="E432" t="inlineStr">
        <is>
          <t>LINDESBERG</t>
        </is>
      </c>
      <c r="G432" t="n">
        <v>2.3</v>
      </c>
      <c r="H432" t="n">
        <v>0</v>
      </c>
      <c r="I432" t="n">
        <v>0</v>
      </c>
      <c r="J432" t="n">
        <v>0</v>
      </c>
      <c r="K432" t="n">
        <v>0</v>
      </c>
      <c r="L432" t="n">
        <v>0</v>
      </c>
      <c r="M432" t="n">
        <v>0</v>
      </c>
      <c r="N432" t="n">
        <v>0</v>
      </c>
      <c r="O432" t="n">
        <v>0</v>
      </c>
      <c r="P432" t="n">
        <v>0</v>
      </c>
      <c r="Q432" t="n">
        <v>0</v>
      </c>
      <c r="R432" s="2" t="inlineStr"/>
    </row>
    <row r="433" ht="15" customHeight="1">
      <c r="A433" t="inlineStr">
        <is>
          <t>A 50986-2023</t>
        </is>
      </c>
      <c r="B433" s="1" t="n">
        <v>45218</v>
      </c>
      <c r="C433" s="1" t="n">
        <v>46184</v>
      </c>
      <c r="D433" t="inlineStr">
        <is>
          <t>ÖREBRO LÄN</t>
        </is>
      </c>
      <c r="E433" t="inlineStr">
        <is>
          <t>LINDESBERG</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61969-2023</t>
        </is>
      </c>
      <c r="B434" s="1" t="n">
        <v>45266.58394675926</v>
      </c>
      <c r="C434" s="1" t="n">
        <v>46184</v>
      </c>
      <c r="D434" t="inlineStr">
        <is>
          <t>ÖREBRO LÄN</t>
        </is>
      </c>
      <c r="E434" t="inlineStr">
        <is>
          <t>LINDESBERG</t>
        </is>
      </c>
      <c r="G434" t="n">
        <v>10.5</v>
      </c>
      <c r="H434" t="n">
        <v>0</v>
      </c>
      <c r="I434" t="n">
        <v>0</v>
      </c>
      <c r="J434" t="n">
        <v>0</v>
      </c>
      <c r="K434" t="n">
        <v>0</v>
      </c>
      <c r="L434" t="n">
        <v>0</v>
      </c>
      <c r="M434" t="n">
        <v>0</v>
      </c>
      <c r="N434" t="n">
        <v>0</v>
      </c>
      <c r="O434" t="n">
        <v>0</v>
      </c>
      <c r="P434" t="n">
        <v>0</v>
      </c>
      <c r="Q434" t="n">
        <v>0</v>
      </c>
      <c r="R434" s="2" t="inlineStr"/>
    </row>
    <row r="435" ht="15" customHeight="1">
      <c r="A435" t="inlineStr">
        <is>
          <t>A 40450-2023</t>
        </is>
      </c>
      <c r="B435" s="1" t="n">
        <v>45170</v>
      </c>
      <c r="C435" s="1" t="n">
        <v>46184</v>
      </c>
      <c r="D435" t="inlineStr">
        <is>
          <t>ÖREBRO LÄN</t>
        </is>
      </c>
      <c r="E435" t="inlineStr">
        <is>
          <t>LINDESBERG</t>
        </is>
      </c>
      <c r="F435" t="inlineStr">
        <is>
          <t>Kyrkan</t>
        </is>
      </c>
      <c r="G435" t="n">
        <v>4.3</v>
      </c>
      <c r="H435" t="n">
        <v>0</v>
      </c>
      <c r="I435" t="n">
        <v>0</v>
      </c>
      <c r="J435" t="n">
        <v>0</v>
      </c>
      <c r="K435" t="n">
        <v>0</v>
      </c>
      <c r="L435" t="n">
        <v>0</v>
      </c>
      <c r="M435" t="n">
        <v>0</v>
      </c>
      <c r="N435" t="n">
        <v>0</v>
      </c>
      <c r="O435" t="n">
        <v>0</v>
      </c>
      <c r="P435" t="n">
        <v>0</v>
      </c>
      <c r="Q435" t="n">
        <v>0</v>
      </c>
      <c r="R435" s="2" t="inlineStr"/>
    </row>
    <row r="436" ht="15" customHeight="1">
      <c r="A436" t="inlineStr">
        <is>
          <t>A 53062-2023</t>
        </is>
      </c>
      <c r="B436" s="1" t="n">
        <v>45227.31859953704</v>
      </c>
      <c r="C436" s="1" t="n">
        <v>46184</v>
      </c>
      <c r="D436" t="inlineStr">
        <is>
          <t>ÖREBRO LÄN</t>
        </is>
      </c>
      <c r="E436" t="inlineStr">
        <is>
          <t>LINDESBERG</t>
        </is>
      </c>
      <c r="G436" t="n">
        <v>3.1</v>
      </c>
      <c r="H436" t="n">
        <v>0</v>
      </c>
      <c r="I436" t="n">
        <v>0</v>
      </c>
      <c r="J436" t="n">
        <v>0</v>
      </c>
      <c r="K436" t="n">
        <v>0</v>
      </c>
      <c r="L436" t="n">
        <v>0</v>
      </c>
      <c r="M436" t="n">
        <v>0</v>
      </c>
      <c r="N436" t="n">
        <v>0</v>
      </c>
      <c r="O436" t="n">
        <v>0</v>
      </c>
      <c r="P436" t="n">
        <v>0</v>
      </c>
      <c r="Q436" t="n">
        <v>0</v>
      </c>
      <c r="R436" s="2" t="inlineStr"/>
    </row>
    <row r="437" ht="15" customHeight="1">
      <c r="A437" t="inlineStr">
        <is>
          <t>A 12739-2024</t>
        </is>
      </c>
      <c r="B437" s="1" t="n">
        <v>45384</v>
      </c>
      <c r="C437" s="1" t="n">
        <v>46184</v>
      </c>
      <c r="D437" t="inlineStr">
        <is>
          <t>ÖREBRO LÄN</t>
        </is>
      </c>
      <c r="E437" t="inlineStr">
        <is>
          <t>LINDESBERG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60400-2025</t>
        </is>
      </c>
      <c r="B438" s="1" t="n">
        <v>45995</v>
      </c>
      <c r="C438" s="1" t="n">
        <v>46184</v>
      </c>
      <c r="D438" t="inlineStr">
        <is>
          <t>ÖREBRO LÄN</t>
        </is>
      </c>
      <c r="E438" t="inlineStr">
        <is>
          <t>LINDESBERG</t>
        </is>
      </c>
      <c r="G438" t="n">
        <v>11.2</v>
      </c>
      <c r="H438" t="n">
        <v>0</v>
      </c>
      <c r="I438" t="n">
        <v>0</v>
      </c>
      <c r="J438" t="n">
        <v>0</v>
      </c>
      <c r="K438" t="n">
        <v>0</v>
      </c>
      <c r="L438" t="n">
        <v>0</v>
      </c>
      <c r="M438" t="n">
        <v>0</v>
      </c>
      <c r="N438" t="n">
        <v>0</v>
      </c>
      <c r="O438" t="n">
        <v>0</v>
      </c>
      <c r="P438" t="n">
        <v>0</v>
      </c>
      <c r="Q438" t="n">
        <v>0</v>
      </c>
      <c r="R438" s="2" t="inlineStr"/>
    </row>
    <row r="439" ht="15" customHeight="1">
      <c r="A439" t="inlineStr">
        <is>
          <t>A 60450-2025</t>
        </is>
      </c>
      <c r="B439" s="1" t="n">
        <v>45995</v>
      </c>
      <c r="C439" s="1" t="n">
        <v>46184</v>
      </c>
      <c r="D439" t="inlineStr">
        <is>
          <t>ÖREBRO LÄN</t>
        </is>
      </c>
      <c r="E439" t="inlineStr">
        <is>
          <t>LINDESBERG</t>
        </is>
      </c>
      <c r="G439" t="n">
        <v>4.1</v>
      </c>
      <c r="H439" t="n">
        <v>0</v>
      </c>
      <c r="I439" t="n">
        <v>0</v>
      </c>
      <c r="J439" t="n">
        <v>0</v>
      </c>
      <c r="K439" t="n">
        <v>0</v>
      </c>
      <c r="L439" t="n">
        <v>0</v>
      </c>
      <c r="M439" t="n">
        <v>0</v>
      </c>
      <c r="N439" t="n">
        <v>0</v>
      </c>
      <c r="O439" t="n">
        <v>0</v>
      </c>
      <c r="P439" t="n">
        <v>0</v>
      </c>
      <c r="Q439" t="n">
        <v>0</v>
      </c>
      <c r="R439" s="2" t="inlineStr"/>
    </row>
    <row r="440" ht="15" customHeight="1">
      <c r="A440" t="inlineStr">
        <is>
          <t>A 26093-2023</t>
        </is>
      </c>
      <c r="B440" s="1" t="n">
        <v>45091.39362268519</v>
      </c>
      <c r="C440" s="1" t="n">
        <v>46184</v>
      </c>
      <c r="D440" t="inlineStr">
        <is>
          <t>ÖREBRO LÄN</t>
        </is>
      </c>
      <c r="E440" t="inlineStr">
        <is>
          <t>LINDESBERG</t>
        </is>
      </c>
      <c r="G440" t="n">
        <v>0.4</v>
      </c>
      <c r="H440" t="n">
        <v>0</v>
      </c>
      <c r="I440" t="n">
        <v>0</v>
      </c>
      <c r="J440" t="n">
        <v>0</v>
      </c>
      <c r="K440" t="n">
        <v>0</v>
      </c>
      <c r="L440" t="n">
        <v>0</v>
      </c>
      <c r="M440" t="n">
        <v>0</v>
      </c>
      <c r="N440" t="n">
        <v>0</v>
      </c>
      <c r="O440" t="n">
        <v>0</v>
      </c>
      <c r="P440" t="n">
        <v>0</v>
      </c>
      <c r="Q440" t="n">
        <v>0</v>
      </c>
      <c r="R440" s="2" t="inlineStr"/>
    </row>
    <row r="441" ht="15" customHeight="1">
      <c r="A441" t="inlineStr">
        <is>
          <t>A 47066-2023</t>
        </is>
      </c>
      <c r="B441" s="1" t="n">
        <v>45201</v>
      </c>
      <c r="C441" s="1" t="n">
        <v>46184</v>
      </c>
      <c r="D441" t="inlineStr">
        <is>
          <t>ÖREBRO LÄN</t>
        </is>
      </c>
      <c r="E441" t="inlineStr">
        <is>
          <t>LINDESBERG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36773-2024</t>
        </is>
      </c>
      <c r="B442" s="1" t="n">
        <v>45538</v>
      </c>
      <c r="C442" s="1" t="n">
        <v>46184</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59804-2023</t>
        </is>
      </c>
      <c r="B443" s="1" t="n">
        <v>45257.48188657407</v>
      </c>
      <c r="C443" s="1" t="n">
        <v>46184</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61761-2025</t>
        </is>
      </c>
      <c r="B444" s="1" t="n">
        <v>46002.62465277778</v>
      </c>
      <c r="C444" s="1" t="n">
        <v>46184</v>
      </c>
      <c r="D444" t="inlineStr">
        <is>
          <t>ÖREBRO LÄN</t>
        </is>
      </c>
      <c r="E444" t="inlineStr">
        <is>
          <t>LINDESBERG</t>
        </is>
      </c>
      <c r="G444" t="n">
        <v>3.8</v>
      </c>
      <c r="H444" t="n">
        <v>0</v>
      </c>
      <c r="I444" t="n">
        <v>0</v>
      </c>
      <c r="J444" t="n">
        <v>0</v>
      </c>
      <c r="K444" t="n">
        <v>0</v>
      </c>
      <c r="L444" t="n">
        <v>0</v>
      </c>
      <c r="M444" t="n">
        <v>0</v>
      </c>
      <c r="N444" t="n">
        <v>0</v>
      </c>
      <c r="O444" t="n">
        <v>0</v>
      </c>
      <c r="P444" t="n">
        <v>0</v>
      </c>
      <c r="Q444" t="n">
        <v>0</v>
      </c>
      <c r="R444" s="2" t="inlineStr"/>
    </row>
    <row r="445" ht="15" customHeight="1">
      <c r="A445" t="inlineStr">
        <is>
          <t>A 61691-2023</t>
        </is>
      </c>
      <c r="B445" s="1" t="n">
        <v>45265.64142361111</v>
      </c>
      <c r="C445" s="1" t="n">
        <v>46184</v>
      </c>
      <c r="D445" t="inlineStr">
        <is>
          <t>ÖREBRO LÄN</t>
        </is>
      </c>
      <c r="E445" t="inlineStr">
        <is>
          <t>LINDESBERG</t>
        </is>
      </c>
      <c r="G445" t="n">
        <v>2.6</v>
      </c>
      <c r="H445" t="n">
        <v>0</v>
      </c>
      <c r="I445" t="n">
        <v>0</v>
      </c>
      <c r="J445" t="n">
        <v>0</v>
      </c>
      <c r="K445" t="n">
        <v>0</v>
      </c>
      <c r="L445" t="n">
        <v>0</v>
      </c>
      <c r="M445" t="n">
        <v>0</v>
      </c>
      <c r="N445" t="n">
        <v>0</v>
      </c>
      <c r="O445" t="n">
        <v>0</v>
      </c>
      <c r="P445" t="n">
        <v>0</v>
      </c>
      <c r="Q445" t="n">
        <v>0</v>
      </c>
      <c r="R445" s="2" t="inlineStr"/>
    </row>
    <row r="446" ht="15" customHeight="1">
      <c r="A446" t="inlineStr">
        <is>
          <t>A 61745-2025</t>
        </is>
      </c>
      <c r="B446" s="1" t="n">
        <v>46002.60324074074</v>
      </c>
      <c r="C446" s="1" t="n">
        <v>46184</v>
      </c>
      <c r="D446" t="inlineStr">
        <is>
          <t>ÖREBRO LÄN</t>
        </is>
      </c>
      <c r="E446" t="inlineStr">
        <is>
          <t>LINDESBERG</t>
        </is>
      </c>
      <c r="G446" t="n">
        <v>1.8</v>
      </c>
      <c r="H446" t="n">
        <v>0</v>
      </c>
      <c r="I446" t="n">
        <v>0</v>
      </c>
      <c r="J446" t="n">
        <v>0</v>
      </c>
      <c r="K446" t="n">
        <v>0</v>
      </c>
      <c r="L446" t="n">
        <v>0</v>
      </c>
      <c r="M446" t="n">
        <v>0</v>
      </c>
      <c r="N446" t="n">
        <v>0</v>
      </c>
      <c r="O446" t="n">
        <v>0</v>
      </c>
      <c r="P446" t="n">
        <v>0</v>
      </c>
      <c r="Q446" t="n">
        <v>0</v>
      </c>
      <c r="R446" s="2" t="inlineStr"/>
    </row>
    <row r="447" ht="15" customHeight="1">
      <c r="A447" t="inlineStr">
        <is>
          <t>A 43081-2021</t>
        </is>
      </c>
      <c r="B447" s="1" t="n">
        <v>44431</v>
      </c>
      <c r="C447" s="1" t="n">
        <v>46184</v>
      </c>
      <c r="D447" t="inlineStr">
        <is>
          <t>ÖREBRO LÄN</t>
        </is>
      </c>
      <c r="E447" t="inlineStr">
        <is>
          <t>LINDESBERG</t>
        </is>
      </c>
      <c r="G447" t="n">
        <v>0.5</v>
      </c>
      <c r="H447" t="n">
        <v>0</v>
      </c>
      <c r="I447" t="n">
        <v>0</v>
      </c>
      <c r="J447" t="n">
        <v>0</v>
      </c>
      <c r="K447" t="n">
        <v>0</v>
      </c>
      <c r="L447" t="n">
        <v>0</v>
      </c>
      <c r="M447" t="n">
        <v>0</v>
      </c>
      <c r="N447" t="n">
        <v>0</v>
      </c>
      <c r="O447" t="n">
        <v>0</v>
      </c>
      <c r="P447" t="n">
        <v>0</v>
      </c>
      <c r="Q447" t="n">
        <v>0</v>
      </c>
      <c r="R447" s="2" t="inlineStr"/>
    </row>
    <row r="448" ht="15" customHeight="1">
      <c r="A448" t="inlineStr">
        <is>
          <t>A 61758-2025</t>
        </is>
      </c>
      <c r="B448" s="1" t="n">
        <v>46002.61762731482</v>
      </c>
      <c r="C448" s="1" t="n">
        <v>46184</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32002-2023</t>
        </is>
      </c>
      <c r="B449" s="1" t="n">
        <v>45119.46452546296</v>
      </c>
      <c r="C449" s="1" t="n">
        <v>46184</v>
      </c>
      <c r="D449" t="inlineStr">
        <is>
          <t>ÖREBRO LÄN</t>
        </is>
      </c>
      <c r="E449" t="inlineStr">
        <is>
          <t>LINDESBERG</t>
        </is>
      </c>
      <c r="F449" t="inlineStr">
        <is>
          <t>Kyrkan</t>
        </is>
      </c>
      <c r="G449" t="n">
        <v>0.6</v>
      </c>
      <c r="H449" t="n">
        <v>0</v>
      </c>
      <c r="I449" t="n">
        <v>0</v>
      </c>
      <c r="J449" t="n">
        <v>0</v>
      </c>
      <c r="K449" t="n">
        <v>0</v>
      </c>
      <c r="L449" t="n">
        <v>0</v>
      </c>
      <c r="M449" t="n">
        <v>0</v>
      </c>
      <c r="N449" t="n">
        <v>0</v>
      </c>
      <c r="O449" t="n">
        <v>0</v>
      </c>
      <c r="P449" t="n">
        <v>0</v>
      </c>
      <c r="Q449" t="n">
        <v>0</v>
      </c>
      <c r="R449" s="2" t="inlineStr"/>
    </row>
    <row r="450" ht="15" customHeight="1">
      <c r="A450" t="inlineStr">
        <is>
          <t>A 58050-2025</t>
        </is>
      </c>
      <c r="B450" s="1" t="n">
        <v>45982</v>
      </c>
      <c r="C450" s="1" t="n">
        <v>46184</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58056-2025</t>
        </is>
      </c>
      <c r="B451" s="1" t="n">
        <v>45982</v>
      </c>
      <c r="C451" s="1" t="n">
        <v>46184</v>
      </c>
      <c r="D451" t="inlineStr">
        <is>
          <t>ÖREBRO LÄN</t>
        </is>
      </c>
      <c r="E451" t="inlineStr">
        <is>
          <t>LINDESBERG</t>
        </is>
      </c>
      <c r="G451" t="n">
        <v>0.9</v>
      </c>
      <c r="H451" t="n">
        <v>0</v>
      </c>
      <c r="I451" t="n">
        <v>0</v>
      </c>
      <c r="J451" t="n">
        <v>0</v>
      </c>
      <c r="K451" t="n">
        <v>0</v>
      </c>
      <c r="L451" t="n">
        <v>0</v>
      </c>
      <c r="M451" t="n">
        <v>0</v>
      </c>
      <c r="N451" t="n">
        <v>0</v>
      </c>
      <c r="O451" t="n">
        <v>0</v>
      </c>
      <c r="P451" t="n">
        <v>0</v>
      </c>
      <c r="Q451" t="n">
        <v>0</v>
      </c>
      <c r="R451" s="2" t="inlineStr"/>
    </row>
    <row r="452" ht="15" customHeight="1">
      <c r="A452" t="inlineStr">
        <is>
          <t>A 7661-2024</t>
        </is>
      </c>
      <c r="B452" s="1" t="n">
        <v>45348</v>
      </c>
      <c r="C452" s="1" t="n">
        <v>46184</v>
      </c>
      <c r="D452" t="inlineStr">
        <is>
          <t>ÖREBRO LÄN</t>
        </is>
      </c>
      <c r="E452" t="inlineStr">
        <is>
          <t>LINDESBERG</t>
        </is>
      </c>
      <c r="G452" t="n">
        <v>4.1</v>
      </c>
      <c r="H452" t="n">
        <v>0</v>
      </c>
      <c r="I452" t="n">
        <v>0</v>
      </c>
      <c r="J452" t="n">
        <v>0</v>
      </c>
      <c r="K452" t="n">
        <v>0</v>
      </c>
      <c r="L452" t="n">
        <v>0</v>
      </c>
      <c r="M452" t="n">
        <v>0</v>
      </c>
      <c r="N452" t="n">
        <v>0</v>
      </c>
      <c r="O452" t="n">
        <v>0</v>
      </c>
      <c r="P452" t="n">
        <v>0</v>
      </c>
      <c r="Q452" t="n">
        <v>0</v>
      </c>
      <c r="R452" s="2" t="inlineStr"/>
    </row>
    <row r="453" ht="15" customHeight="1">
      <c r="A453" t="inlineStr">
        <is>
          <t>A 12278-2025</t>
        </is>
      </c>
      <c r="B453" s="1" t="n">
        <v>45729.65171296296</v>
      </c>
      <c r="C453" s="1" t="n">
        <v>46184</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34237-2023</t>
        </is>
      </c>
      <c r="B454" s="1" t="n">
        <v>45138</v>
      </c>
      <c r="C454" s="1" t="n">
        <v>46184</v>
      </c>
      <c r="D454" t="inlineStr">
        <is>
          <t>ÖREBRO LÄN</t>
        </is>
      </c>
      <c r="E454" t="inlineStr">
        <is>
          <t>LINDESBERG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29942-2024</t>
        </is>
      </c>
      <c r="B455" s="1" t="n">
        <v>45488.42258101852</v>
      </c>
      <c r="C455" s="1" t="n">
        <v>46184</v>
      </c>
      <c r="D455" t="inlineStr">
        <is>
          <t>ÖREBRO LÄN</t>
        </is>
      </c>
      <c r="E455" t="inlineStr">
        <is>
          <t>LINDESBERG</t>
        </is>
      </c>
      <c r="G455" t="n">
        <v>2.4</v>
      </c>
      <c r="H455" t="n">
        <v>0</v>
      </c>
      <c r="I455" t="n">
        <v>0</v>
      </c>
      <c r="J455" t="n">
        <v>0</v>
      </c>
      <c r="K455" t="n">
        <v>0</v>
      </c>
      <c r="L455" t="n">
        <v>0</v>
      </c>
      <c r="M455" t="n">
        <v>0</v>
      </c>
      <c r="N455" t="n">
        <v>0</v>
      </c>
      <c r="O455" t="n">
        <v>0</v>
      </c>
      <c r="P455" t="n">
        <v>0</v>
      </c>
      <c r="Q455" t="n">
        <v>0</v>
      </c>
      <c r="R455" s="2" t="inlineStr"/>
    </row>
    <row r="456" ht="15" customHeight="1">
      <c r="A456" t="inlineStr">
        <is>
          <t>A 63083-2025</t>
        </is>
      </c>
      <c r="B456" s="1" t="n">
        <v>46009.67175925926</v>
      </c>
      <c r="C456" s="1" t="n">
        <v>46184</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3294-2024</t>
        </is>
      </c>
      <c r="B457" s="1" t="n">
        <v>45316</v>
      </c>
      <c r="C457" s="1" t="n">
        <v>46184</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14185-2024</t>
        </is>
      </c>
      <c r="B458" s="1" t="n">
        <v>45393.3562962963</v>
      </c>
      <c r="C458" s="1" t="n">
        <v>46184</v>
      </c>
      <c r="D458" t="inlineStr">
        <is>
          <t>ÖREBRO LÄN</t>
        </is>
      </c>
      <c r="E458" t="inlineStr">
        <is>
          <t>LINDESBERG</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14190-2024</t>
        </is>
      </c>
      <c r="B459" s="1" t="n">
        <v>45393.36060185185</v>
      </c>
      <c r="C459" s="1" t="n">
        <v>46184</v>
      </c>
      <c r="D459" t="inlineStr">
        <is>
          <t>ÖREBRO LÄN</t>
        </is>
      </c>
      <c r="E459" t="inlineStr">
        <is>
          <t>LINDESBERG</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63526-2025</t>
        </is>
      </c>
      <c r="B460" s="1" t="n">
        <v>46013</v>
      </c>
      <c r="C460" s="1" t="n">
        <v>46184</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51656-2023</t>
        </is>
      </c>
      <c r="B461" s="1" t="n">
        <v>45222</v>
      </c>
      <c r="C461" s="1" t="n">
        <v>46184</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3732-2023</t>
        </is>
      </c>
      <c r="B462" s="1" t="n">
        <v>44949</v>
      </c>
      <c r="C462" s="1" t="n">
        <v>46184</v>
      </c>
      <c r="D462" t="inlineStr">
        <is>
          <t>ÖREBRO LÄN</t>
        </is>
      </c>
      <c r="E462" t="inlineStr">
        <is>
          <t>LINDESBERG</t>
        </is>
      </c>
      <c r="G462" t="n">
        <v>3.3</v>
      </c>
      <c r="H462" t="n">
        <v>0</v>
      </c>
      <c r="I462" t="n">
        <v>0</v>
      </c>
      <c r="J462" t="n">
        <v>0</v>
      </c>
      <c r="K462" t="n">
        <v>0</v>
      </c>
      <c r="L462" t="n">
        <v>0</v>
      </c>
      <c r="M462" t="n">
        <v>0</v>
      </c>
      <c r="N462" t="n">
        <v>0</v>
      </c>
      <c r="O462" t="n">
        <v>0</v>
      </c>
      <c r="P462" t="n">
        <v>0</v>
      </c>
      <c r="Q462" t="n">
        <v>0</v>
      </c>
      <c r="R462" s="2" t="inlineStr"/>
    </row>
    <row r="463" ht="15" customHeight="1">
      <c r="A463" t="inlineStr">
        <is>
          <t>A 57069-2022</t>
        </is>
      </c>
      <c r="B463" s="1" t="n">
        <v>44895</v>
      </c>
      <c r="C463" s="1" t="n">
        <v>46184</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4067-2024</t>
        </is>
      </c>
      <c r="B464" s="1" t="n">
        <v>45323</v>
      </c>
      <c r="C464" s="1" t="n">
        <v>46184</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10823-2023</t>
        </is>
      </c>
      <c r="B465" s="1" t="n">
        <v>44990</v>
      </c>
      <c r="C465" s="1" t="n">
        <v>46184</v>
      </c>
      <c r="D465" t="inlineStr">
        <is>
          <t>ÖREBRO LÄN</t>
        </is>
      </c>
      <c r="E465" t="inlineStr">
        <is>
          <t>LINDESBERG</t>
        </is>
      </c>
      <c r="G465" t="n">
        <v>1.8</v>
      </c>
      <c r="H465" t="n">
        <v>0</v>
      </c>
      <c r="I465" t="n">
        <v>0</v>
      </c>
      <c r="J465" t="n">
        <v>0</v>
      </c>
      <c r="K465" t="n">
        <v>0</v>
      </c>
      <c r="L465" t="n">
        <v>0</v>
      </c>
      <c r="M465" t="n">
        <v>0</v>
      </c>
      <c r="N465" t="n">
        <v>0</v>
      </c>
      <c r="O465" t="n">
        <v>0</v>
      </c>
      <c r="P465" t="n">
        <v>0</v>
      </c>
      <c r="Q465" t="n">
        <v>0</v>
      </c>
      <c r="R465" s="2" t="inlineStr"/>
    </row>
    <row r="466" ht="15" customHeight="1">
      <c r="A466" t="inlineStr">
        <is>
          <t>A 8902-2024</t>
        </is>
      </c>
      <c r="B466" s="1" t="n">
        <v>45357.34521990741</v>
      </c>
      <c r="C466" s="1" t="n">
        <v>46184</v>
      </c>
      <c r="D466" t="inlineStr">
        <is>
          <t>ÖREBRO LÄN</t>
        </is>
      </c>
      <c r="E466" t="inlineStr">
        <is>
          <t>LINDESBERG</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40305-2024</t>
        </is>
      </c>
      <c r="B467" s="1" t="n">
        <v>45554.71863425926</v>
      </c>
      <c r="C467" s="1" t="n">
        <v>46184</v>
      </c>
      <c r="D467" t="inlineStr">
        <is>
          <t>ÖREBRO LÄN</t>
        </is>
      </c>
      <c r="E467" t="inlineStr">
        <is>
          <t>LINDESBERG</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19436-2025</t>
        </is>
      </c>
      <c r="B468" s="1" t="n">
        <v>45769.98449074074</v>
      </c>
      <c r="C468" s="1" t="n">
        <v>46184</v>
      </c>
      <c r="D468" t="inlineStr">
        <is>
          <t>ÖREBRO LÄN</t>
        </is>
      </c>
      <c r="E468" t="inlineStr">
        <is>
          <t>LINDESBERG</t>
        </is>
      </c>
      <c r="G468" t="n">
        <v>1.2</v>
      </c>
      <c r="H468" t="n">
        <v>0</v>
      </c>
      <c r="I468" t="n">
        <v>0</v>
      </c>
      <c r="J468" t="n">
        <v>0</v>
      </c>
      <c r="K468" t="n">
        <v>0</v>
      </c>
      <c r="L468" t="n">
        <v>0</v>
      </c>
      <c r="M468" t="n">
        <v>0</v>
      </c>
      <c r="N468" t="n">
        <v>0</v>
      </c>
      <c r="O468" t="n">
        <v>0</v>
      </c>
      <c r="P468" t="n">
        <v>0</v>
      </c>
      <c r="Q468" t="n">
        <v>0</v>
      </c>
      <c r="R468" s="2" t="inlineStr"/>
    </row>
    <row r="469" ht="15" customHeight="1">
      <c r="A469" t="inlineStr">
        <is>
          <t>A 22829-2023</t>
        </is>
      </c>
      <c r="B469" s="1" t="n">
        <v>45072.42776620371</v>
      </c>
      <c r="C469" s="1" t="n">
        <v>46184</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28463-2024</t>
        </is>
      </c>
      <c r="B470" s="1" t="n">
        <v>45477.70315972222</v>
      </c>
      <c r="C470" s="1" t="n">
        <v>46184</v>
      </c>
      <c r="D470" t="inlineStr">
        <is>
          <t>ÖREBRO LÄN</t>
        </is>
      </c>
      <c r="E470" t="inlineStr">
        <is>
          <t>LINDESBERG</t>
        </is>
      </c>
      <c r="G470" t="n">
        <v>6.3</v>
      </c>
      <c r="H470" t="n">
        <v>0</v>
      </c>
      <c r="I470" t="n">
        <v>0</v>
      </c>
      <c r="J470" t="n">
        <v>0</v>
      </c>
      <c r="K470" t="n">
        <v>0</v>
      </c>
      <c r="L470" t="n">
        <v>0</v>
      </c>
      <c r="M470" t="n">
        <v>0</v>
      </c>
      <c r="N470" t="n">
        <v>0</v>
      </c>
      <c r="O470" t="n">
        <v>0</v>
      </c>
      <c r="P470" t="n">
        <v>0</v>
      </c>
      <c r="Q470" t="n">
        <v>0</v>
      </c>
      <c r="R470" s="2" t="inlineStr"/>
    </row>
    <row r="471" ht="15" customHeight="1">
      <c r="A471" t="inlineStr">
        <is>
          <t>A 610-2026</t>
        </is>
      </c>
      <c r="B471" s="1" t="n">
        <v>46029</v>
      </c>
      <c r="C471" s="1" t="n">
        <v>46184</v>
      </c>
      <c r="D471" t="inlineStr">
        <is>
          <t>ÖREBRO LÄN</t>
        </is>
      </c>
      <c r="E471" t="inlineStr">
        <is>
          <t>LINDESBERG</t>
        </is>
      </c>
      <c r="G471" t="n">
        <v>0.8</v>
      </c>
      <c r="H471" t="n">
        <v>0</v>
      </c>
      <c r="I471" t="n">
        <v>0</v>
      </c>
      <c r="J471" t="n">
        <v>0</v>
      </c>
      <c r="K471" t="n">
        <v>0</v>
      </c>
      <c r="L471" t="n">
        <v>0</v>
      </c>
      <c r="M471" t="n">
        <v>0</v>
      </c>
      <c r="N471" t="n">
        <v>0</v>
      </c>
      <c r="O471" t="n">
        <v>0</v>
      </c>
      <c r="P471" t="n">
        <v>0</v>
      </c>
      <c r="Q471" t="n">
        <v>0</v>
      </c>
      <c r="R471" s="2" t="inlineStr"/>
    </row>
    <row r="472" ht="15" customHeight="1">
      <c r="A472" t="inlineStr">
        <is>
          <t>A 15822-2024</t>
        </is>
      </c>
      <c r="B472" s="1" t="n">
        <v>45404.68190972223</v>
      </c>
      <c r="C472" s="1" t="n">
        <v>46184</v>
      </c>
      <c r="D472" t="inlineStr">
        <is>
          <t>ÖREBRO LÄN</t>
        </is>
      </c>
      <c r="E472" t="inlineStr">
        <is>
          <t>LINDESBERG</t>
        </is>
      </c>
      <c r="F472" t="inlineStr">
        <is>
          <t>Sveaskog</t>
        </is>
      </c>
      <c r="G472" t="n">
        <v>6.7</v>
      </c>
      <c r="H472" t="n">
        <v>0</v>
      </c>
      <c r="I472" t="n">
        <v>0</v>
      </c>
      <c r="J472" t="n">
        <v>0</v>
      </c>
      <c r="K472" t="n">
        <v>0</v>
      </c>
      <c r="L472" t="n">
        <v>0</v>
      </c>
      <c r="M472" t="n">
        <v>0</v>
      </c>
      <c r="N472" t="n">
        <v>0</v>
      </c>
      <c r="O472" t="n">
        <v>0</v>
      </c>
      <c r="P472" t="n">
        <v>0</v>
      </c>
      <c r="Q472" t="n">
        <v>0</v>
      </c>
      <c r="R472" s="2" t="inlineStr"/>
    </row>
    <row r="473" ht="15" customHeight="1">
      <c r="A473" t="inlineStr">
        <is>
          <t>A 2107-2022</t>
        </is>
      </c>
      <c r="B473" s="1" t="n">
        <v>44577.83484953704</v>
      </c>
      <c r="C473" s="1" t="n">
        <v>46184</v>
      </c>
      <c r="D473" t="inlineStr">
        <is>
          <t>ÖREBRO LÄN</t>
        </is>
      </c>
      <c r="E473" t="inlineStr">
        <is>
          <t>LINDESBERG</t>
        </is>
      </c>
      <c r="G473" t="n">
        <v>2.9</v>
      </c>
      <c r="H473" t="n">
        <v>0</v>
      </c>
      <c r="I473" t="n">
        <v>0</v>
      </c>
      <c r="J473" t="n">
        <v>0</v>
      </c>
      <c r="K473" t="n">
        <v>0</v>
      </c>
      <c r="L473" t="n">
        <v>0</v>
      </c>
      <c r="M473" t="n">
        <v>0</v>
      </c>
      <c r="N473" t="n">
        <v>0</v>
      </c>
      <c r="O473" t="n">
        <v>0</v>
      </c>
      <c r="P473" t="n">
        <v>0</v>
      </c>
      <c r="Q473" t="n">
        <v>0</v>
      </c>
      <c r="R473" s="2" t="inlineStr"/>
    </row>
    <row r="474" ht="15" customHeight="1">
      <c r="A474" t="inlineStr">
        <is>
          <t>A 23607-2023</t>
        </is>
      </c>
      <c r="B474" s="1" t="n">
        <v>45077</v>
      </c>
      <c r="C474" s="1" t="n">
        <v>46184</v>
      </c>
      <c r="D474" t="inlineStr">
        <is>
          <t>ÖREBRO LÄN</t>
        </is>
      </c>
      <c r="E474" t="inlineStr">
        <is>
          <t>LINDESBERG</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911-2026</t>
        </is>
      </c>
      <c r="B475" s="1" t="n">
        <v>46030.47725694445</v>
      </c>
      <c r="C475" s="1" t="n">
        <v>46184</v>
      </c>
      <c r="D475" t="inlineStr">
        <is>
          <t>ÖREBRO LÄN</t>
        </is>
      </c>
      <c r="E475" t="inlineStr">
        <is>
          <t>LINDESBERG</t>
        </is>
      </c>
      <c r="G475" t="n">
        <v>1.6</v>
      </c>
      <c r="H475" t="n">
        <v>0</v>
      </c>
      <c r="I475" t="n">
        <v>0</v>
      </c>
      <c r="J475" t="n">
        <v>0</v>
      </c>
      <c r="K475" t="n">
        <v>0</v>
      </c>
      <c r="L475" t="n">
        <v>0</v>
      </c>
      <c r="M475" t="n">
        <v>0</v>
      </c>
      <c r="N475" t="n">
        <v>0</v>
      </c>
      <c r="O475" t="n">
        <v>0</v>
      </c>
      <c r="P475" t="n">
        <v>0</v>
      </c>
      <c r="Q475" t="n">
        <v>0</v>
      </c>
      <c r="R475" s="2" t="inlineStr"/>
    </row>
    <row r="476" ht="15" customHeight="1">
      <c r="A476" t="inlineStr">
        <is>
          <t>A 2556-2026</t>
        </is>
      </c>
      <c r="B476" s="1" t="n">
        <v>46035</v>
      </c>
      <c r="C476" s="1" t="n">
        <v>46184</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46219-2022</t>
        </is>
      </c>
      <c r="B477" s="1" t="n">
        <v>44846</v>
      </c>
      <c r="C477" s="1" t="n">
        <v>46184</v>
      </c>
      <c r="D477" t="inlineStr">
        <is>
          <t>ÖREBRO LÄN</t>
        </is>
      </c>
      <c r="E477" t="inlineStr">
        <is>
          <t>LINDESBERG</t>
        </is>
      </c>
      <c r="G477" t="n">
        <v>6</v>
      </c>
      <c r="H477" t="n">
        <v>0</v>
      </c>
      <c r="I477" t="n">
        <v>0</v>
      </c>
      <c r="J477" t="n">
        <v>0</v>
      </c>
      <c r="K477" t="n">
        <v>0</v>
      </c>
      <c r="L477" t="n">
        <v>0</v>
      </c>
      <c r="M477" t="n">
        <v>0</v>
      </c>
      <c r="N477" t="n">
        <v>0</v>
      </c>
      <c r="O477" t="n">
        <v>0</v>
      </c>
      <c r="P477" t="n">
        <v>0</v>
      </c>
      <c r="Q477" t="n">
        <v>0</v>
      </c>
      <c r="R477" s="2" t="inlineStr"/>
    </row>
    <row r="478" ht="15" customHeight="1">
      <c r="A478" t="inlineStr">
        <is>
          <t>A 1749-2026</t>
        </is>
      </c>
      <c r="B478" s="1" t="n">
        <v>46034.65601851852</v>
      </c>
      <c r="C478" s="1" t="n">
        <v>46184</v>
      </c>
      <c r="D478" t="inlineStr">
        <is>
          <t>ÖREBRO LÄN</t>
        </is>
      </c>
      <c r="E478" t="inlineStr">
        <is>
          <t>LINDESBERG</t>
        </is>
      </c>
      <c r="G478" t="n">
        <v>2.2</v>
      </c>
      <c r="H478" t="n">
        <v>0</v>
      </c>
      <c r="I478" t="n">
        <v>0</v>
      </c>
      <c r="J478" t="n">
        <v>0</v>
      </c>
      <c r="K478" t="n">
        <v>0</v>
      </c>
      <c r="L478" t="n">
        <v>0</v>
      </c>
      <c r="M478" t="n">
        <v>0</v>
      </c>
      <c r="N478" t="n">
        <v>0</v>
      </c>
      <c r="O478" t="n">
        <v>0</v>
      </c>
      <c r="P478" t="n">
        <v>0</v>
      </c>
      <c r="Q478" t="n">
        <v>0</v>
      </c>
      <c r="R478" s="2" t="inlineStr"/>
    </row>
    <row r="479" ht="15" customHeight="1">
      <c r="A479" t="inlineStr">
        <is>
          <t>A 5358-2022</t>
        </is>
      </c>
      <c r="B479" s="1" t="n">
        <v>44594.84091435185</v>
      </c>
      <c r="C479" s="1" t="n">
        <v>46184</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60943-2024</t>
        </is>
      </c>
      <c r="B480" s="1" t="n">
        <v>45645.3737962963</v>
      </c>
      <c r="C480" s="1" t="n">
        <v>46184</v>
      </c>
      <c r="D480" t="inlineStr">
        <is>
          <t>ÖREBRO LÄN</t>
        </is>
      </c>
      <c r="E480" t="inlineStr">
        <is>
          <t>LINDESBERG</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41948-2023</t>
        </is>
      </c>
      <c r="B481" s="1" t="n">
        <v>45177.33091435185</v>
      </c>
      <c r="C481" s="1" t="n">
        <v>46184</v>
      </c>
      <c r="D481" t="inlineStr">
        <is>
          <t>ÖREBRO LÄN</t>
        </is>
      </c>
      <c r="E481" t="inlineStr">
        <is>
          <t>LINDESBERG</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2704-2026</t>
        </is>
      </c>
      <c r="B482" s="1" t="n">
        <v>46037.69133101852</v>
      </c>
      <c r="C482" s="1" t="n">
        <v>46184</v>
      </c>
      <c r="D482" t="inlineStr">
        <is>
          <t>ÖREBRO LÄN</t>
        </is>
      </c>
      <c r="E482" t="inlineStr">
        <is>
          <t>LINDESBERG</t>
        </is>
      </c>
      <c r="G482" t="n">
        <v>1.9</v>
      </c>
      <c r="H482" t="n">
        <v>0</v>
      </c>
      <c r="I482" t="n">
        <v>0</v>
      </c>
      <c r="J482" t="n">
        <v>0</v>
      </c>
      <c r="K482" t="n">
        <v>0</v>
      </c>
      <c r="L482" t="n">
        <v>0</v>
      </c>
      <c r="M482" t="n">
        <v>0</v>
      </c>
      <c r="N482" t="n">
        <v>0</v>
      </c>
      <c r="O482" t="n">
        <v>0</v>
      </c>
      <c r="P482" t="n">
        <v>0</v>
      </c>
      <c r="Q482" t="n">
        <v>0</v>
      </c>
      <c r="R482" s="2" t="inlineStr"/>
    </row>
    <row r="483" ht="15" customHeight="1">
      <c r="A483" t="inlineStr">
        <is>
          <t>A 3315-2026</t>
        </is>
      </c>
      <c r="B483" s="1" t="n">
        <v>46041.68443287037</v>
      </c>
      <c r="C483" s="1" t="n">
        <v>46184</v>
      </c>
      <c r="D483" t="inlineStr">
        <is>
          <t>ÖREBRO LÄN</t>
        </is>
      </c>
      <c r="E483" t="inlineStr">
        <is>
          <t>LINDESBERG</t>
        </is>
      </c>
      <c r="G483" t="n">
        <v>7.6</v>
      </c>
      <c r="H483" t="n">
        <v>0</v>
      </c>
      <c r="I483" t="n">
        <v>0</v>
      </c>
      <c r="J483" t="n">
        <v>0</v>
      </c>
      <c r="K483" t="n">
        <v>0</v>
      </c>
      <c r="L483" t="n">
        <v>0</v>
      </c>
      <c r="M483" t="n">
        <v>0</v>
      </c>
      <c r="N483" t="n">
        <v>0</v>
      </c>
      <c r="O483" t="n">
        <v>0</v>
      </c>
      <c r="P483" t="n">
        <v>0</v>
      </c>
      <c r="Q483" t="n">
        <v>0</v>
      </c>
      <c r="R483" s="2" t="inlineStr"/>
    </row>
    <row r="484" ht="15" customHeight="1">
      <c r="A484" t="inlineStr">
        <is>
          <t>A 2969-2026</t>
        </is>
      </c>
      <c r="B484" s="1" t="n">
        <v>46038.61912037037</v>
      </c>
      <c r="C484" s="1" t="n">
        <v>46184</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2902-2026</t>
        </is>
      </c>
      <c r="B485" s="1" t="n">
        <v>46038.55849537037</v>
      </c>
      <c r="C485" s="1" t="n">
        <v>46184</v>
      </c>
      <c r="D485" t="inlineStr">
        <is>
          <t>ÖREBRO LÄN</t>
        </is>
      </c>
      <c r="E485" t="inlineStr">
        <is>
          <t>LINDESBERG</t>
        </is>
      </c>
      <c r="G485" t="n">
        <v>2.1</v>
      </c>
      <c r="H485" t="n">
        <v>0</v>
      </c>
      <c r="I485" t="n">
        <v>0</v>
      </c>
      <c r="J485" t="n">
        <v>0</v>
      </c>
      <c r="K485" t="n">
        <v>0</v>
      </c>
      <c r="L485" t="n">
        <v>0</v>
      </c>
      <c r="M485" t="n">
        <v>0</v>
      </c>
      <c r="N485" t="n">
        <v>0</v>
      </c>
      <c r="O485" t="n">
        <v>0</v>
      </c>
      <c r="P485" t="n">
        <v>0</v>
      </c>
      <c r="Q485" t="n">
        <v>0</v>
      </c>
      <c r="R485" s="2" t="inlineStr"/>
    </row>
    <row r="486" ht="15" customHeight="1">
      <c r="A486" t="inlineStr">
        <is>
          <t>A 2929-2026</t>
        </is>
      </c>
      <c r="B486" s="1" t="n">
        <v>46038.58241898148</v>
      </c>
      <c r="C486" s="1" t="n">
        <v>46184</v>
      </c>
      <c r="D486" t="inlineStr">
        <is>
          <t>ÖREBRO LÄN</t>
        </is>
      </c>
      <c r="E486" t="inlineStr">
        <is>
          <t>LINDESBERG</t>
        </is>
      </c>
      <c r="G486" t="n">
        <v>1.8</v>
      </c>
      <c r="H486" t="n">
        <v>0</v>
      </c>
      <c r="I486" t="n">
        <v>0</v>
      </c>
      <c r="J486" t="n">
        <v>0</v>
      </c>
      <c r="K486" t="n">
        <v>0</v>
      </c>
      <c r="L486" t="n">
        <v>0</v>
      </c>
      <c r="M486" t="n">
        <v>0</v>
      </c>
      <c r="N486" t="n">
        <v>0</v>
      </c>
      <c r="O486" t="n">
        <v>0</v>
      </c>
      <c r="P486" t="n">
        <v>0</v>
      </c>
      <c r="Q486" t="n">
        <v>0</v>
      </c>
      <c r="R486" s="2" t="inlineStr"/>
    </row>
    <row r="487" ht="15" customHeight="1">
      <c r="A487" t="inlineStr">
        <is>
          <t>A 61597-2023</t>
        </is>
      </c>
      <c r="B487" s="1" t="n">
        <v>45265.49225694445</v>
      </c>
      <c r="C487" s="1" t="n">
        <v>46184</v>
      </c>
      <c r="D487" t="inlineStr">
        <is>
          <t>ÖREBRO LÄN</t>
        </is>
      </c>
      <c r="E487" t="inlineStr">
        <is>
          <t>LINDESBERG</t>
        </is>
      </c>
      <c r="G487" t="n">
        <v>10.3</v>
      </c>
      <c r="H487" t="n">
        <v>0</v>
      </c>
      <c r="I487" t="n">
        <v>0</v>
      </c>
      <c r="J487" t="n">
        <v>0</v>
      </c>
      <c r="K487" t="n">
        <v>0</v>
      </c>
      <c r="L487" t="n">
        <v>0</v>
      </c>
      <c r="M487" t="n">
        <v>0</v>
      </c>
      <c r="N487" t="n">
        <v>0</v>
      </c>
      <c r="O487" t="n">
        <v>0</v>
      </c>
      <c r="P487" t="n">
        <v>0</v>
      </c>
      <c r="Q487" t="n">
        <v>0</v>
      </c>
      <c r="R487" s="2" t="inlineStr"/>
    </row>
    <row r="488" ht="15" customHeight="1">
      <c r="A488" t="inlineStr">
        <is>
          <t>A 2949-2026</t>
        </is>
      </c>
      <c r="B488" s="1" t="n">
        <v>46038.59640046296</v>
      </c>
      <c r="C488" s="1" t="n">
        <v>46184</v>
      </c>
      <c r="D488" t="inlineStr">
        <is>
          <t>ÖREBRO LÄN</t>
        </is>
      </c>
      <c r="E488" t="inlineStr">
        <is>
          <t>LINDESBERG</t>
        </is>
      </c>
      <c r="G488" t="n">
        <v>4</v>
      </c>
      <c r="H488" t="n">
        <v>0</v>
      </c>
      <c r="I488" t="n">
        <v>0</v>
      </c>
      <c r="J488" t="n">
        <v>0</v>
      </c>
      <c r="K488" t="n">
        <v>0</v>
      </c>
      <c r="L488" t="n">
        <v>0</v>
      </c>
      <c r="M488" t="n">
        <v>0</v>
      </c>
      <c r="N488" t="n">
        <v>0</v>
      </c>
      <c r="O488" t="n">
        <v>0</v>
      </c>
      <c r="P488" t="n">
        <v>0</v>
      </c>
      <c r="Q488" t="n">
        <v>0</v>
      </c>
      <c r="R488" s="2" t="inlineStr"/>
    </row>
    <row r="489" ht="15" customHeight="1">
      <c r="A489" t="inlineStr">
        <is>
          <t>A 2859-2026</t>
        </is>
      </c>
      <c r="B489" s="1" t="n">
        <v>46038.49269675926</v>
      </c>
      <c r="C489" s="1" t="n">
        <v>46184</v>
      </c>
      <c r="D489" t="inlineStr">
        <is>
          <t>ÖREBRO LÄN</t>
        </is>
      </c>
      <c r="E489" t="inlineStr">
        <is>
          <t>LINDESBERG</t>
        </is>
      </c>
      <c r="G489" t="n">
        <v>2.1</v>
      </c>
      <c r="H489" t="n">
        <v>0</v>
      </c>
      <c r="I489" t="n">
        <v>0</v>
      </c>
      <c r="J489" t="n">
        <v>0</v>
      </c>
      <c r="K489" t="n">
        <v>0</v>
      </c>
      <c r="L489" t="n">
        <v>0</v>
      </c>
      <c r="M489" t="n">
        <v>0</v>
      </c>
      <c r="N489" t="n">
        <v>0</v>
      </c>
      <c r="O489" t="n">
        <v>0</v>
      </c>
      <c r="P489" t="n">
        <v>0</v>
      </c>
      <c r="Q489" t="n">
        <v>0</v>
      </c>
      <c r="R489" s="2" t="inlineStr"/>
    </row>
    <row r="490" ht="15" customHeight="1">
      <c r="A490" t="inlineStr">
        <is>
          <t>A 2958-2026</t>
        </is>
      </c>
      <c r="B490" s="1" t="n">
        <v>46038.61067129629</v>
      </c>
      <c r="C490" s="1" t="n">
        <v>46184</v>
      </c>
      <c r="D490" t="inlineStr">
        <is>
          <t>ÖREBRO LÄN</t>
        </is>
      </c>
      <c r="E490" t="inlineStr">
        <is>
          <t>LINDESBERG</t>
        </is>
      </c>
      <c r="G490" t="n">
        <v>5.8</v>
      </c>
      <c r="H490" t="n">
        <v>0</v>
      </c>
      <c r="I490" t="n">
        <v>0</v>
      </c>
      <c r="J490" t="n">
        <v>0</v>
      </c>
      <c r="K490" t="n">
        <v>0</v>
      </c>
      <c r="L490" t="n">
        <v>0</v>
      </c>
      <c r="M490" t="n">
        <v>0</v>
      </c>
      <c r="N490" t="n">
        <v>0</v>
      </c>
      <c r="O490" t="n">
        <v>0</v>
      </c>
      <c r="P490" t="n">
        <v>0</v>
      </c>
      <c r="Q490" t="n">
        <v>0</v>
      </c>
      <c r="R490" s="2" t="inlineStr"/>
    </row>
    <row r="491" ht="15" customHeight="1">
      <c r="A491" t="inlineStr">
        <is>
          <t>A 3660-2026</t>
        </is>
      </c>
      <c r="B491" s="1" t="n">
        <v>46043.38744212963</v>
      </c>
      <c r="C491" s="1" t="n">
        <v>46184</v>
      </c>
      <c r="D491" t="inlineStr">
        <is>
          <t>ÖREBRO LÄN</t>
        </is>
      </c>
      <c r="E491" t="inlineStr">
        <is>
          <t>LINDESBERG</t>
        </is>
      </c>
      <c r="G491" t="n">
        <v>3.4</v>
      </c>
      <c r="H491" t="n">
        <v>0</v>
      </c>
      <c r="I491" t="n">
        <v>0</v>
      </c>
      <c r="J491" t="n">
        <v>0</v>
      </c>
      <c r="K491" t="n">
        <v>0</v>
      </c>
      <c r="L491" t="n">
        <v>0</v>
      </c>
      <c r="M491" t="n">
        <v>0</v>
      </c>
      <c r="N491" t="n">
        <v>0</v>
      </c>
      <c r="O491" t="n">
        <v>0</v>
      </c>
      <c r="P491" t="n">
        <v>0</v>
      </c>
      <c r="Q491" t="n">
        <v>0</v>
      </c>
      <c r="R491" s="2" t="inlineStr"/>
    </row>
    <row r="492" ht="15" customHeight="1">
      <c r="A492" t="inlineStr">
        <is>
          <t>A 41582-2021</t>
        </is>
      </c>
      <c r="B492" s="1" t="n">
        <v>44425.40297453704</v>
      </c>
      <c r="C492" s="1" t="n">
        <v>46184</v>
      </c>
      <c r="D492" t="inlineStr">
        <is>
          <t>ÖREBRO LÄN</t>
        </is>
      </c>
      <c r="E492" t="inlineStr">
        <is>
          <t>LINDESBERG</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3659-2026</t>
        </is>
      </c>
      <c r="B493" s="1" t="n">
        <v>46043</v>
      </c>
      <c r="C493" s="1" t="n">
        <v>46184</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48265-2021</t>
        </is>
      </c>
      <c r="B494" s="1" t="n">
        <v>44449</v>
      </c>
      <c r="C494" s="1" t="n">
        <v>46184</v>
      </c>
      <c r="D494" t="inlineStr">
        <is>
          <t>ÖREBRO LÄN</t>
        </is>
      </c>
      <c r="E494" t="inlineStr">
        <is>
          <t>LINDESBERG</t>
        </is>
      </c>
      <c r="G494" t="n">
        <v>23.7</v>
      </c>
      <c r="H494" t="n">
        <v>0</v>
      </c>
      <c r="I494" t="n">
        <v>0</v>
      </c>
      <c r="J494" t="n">
        <v>0</v>
      </c>
      <c r="K494" t="n">
        <v>0</v>
      </c>
      <c r="L494" t="n">
        <v>0</v>
      </c>
      <c r="M494" t="n">
        <v>0</v>
      </c>
      <c r="N494" t="n">
        <v>0</v>
      </c>
      <c r="O494" t="n">
        <v>0</v>
      </c>
      <c r="P494" t="n">
        <v>0</v>
      </c>
      <c r="Q494" t="n">
        <v>0</v>
      </c>
      <c r="R494" s="2" t="inlineStr"/>
    </row>
    <row r="495" ht="15" customHeight="1">
      <c r="A495" t="inlineStr">
        <is>
          <t>A 67016-2021</t>
        </is>
      </c>
      <c r="B495" s="1" t="n">
        <v>44522</v>
      </c>
      <c r="C495" s="1" t="n">
        <v>46184</v>
      </c>
      <c r="D495" t="inlineStr">
        <is>
          <t>ÖREBRO LÄN</t>
        </is>
      </c>
      <c r="E495" t="inlineStr">
        <is>
          <t>LINDESBERG</t>
        </is>
      </c>
      <c r="G495" t="n">
        <v>8</v>
      </c>
      <c r="H495" t="n">
        <v>0</v>
      </c>
      <c r="I495" t="n">
        <v>0</v>
      </c>
      <c r="J495" t="n">
        <v>0</v>
      </c>
      <c r="K495" t="n">
        <v>0</v>
      </c>
      <c r="L495" t="n">
        <v>0</v>
      </c>
      <c r="M495" t="n">
        <v>0</v>
      </c>
      <c r="N495" t="n">
        <v>0</v>
      </c>
      <c r="O495" t="n">
        <v>0</v>
      </c>
      <c r="P495" t="n">
        <v>0</v>
      </c>
      <c r="Q495" t="n">
        <v>0</v>
      </c>
      <c r="R495" s="2" t="inlineStr"/>
    </row>
    <row r="496" ht="15" customHeight="1">
      <c r="A496" t="inlineStr">
        <is>
          <t>A 7026-2024</t>
        </is>
      </c>
      <c r="B496" s="1" t="n">
        <v>45343.58587962963</v>
      </c>
      <c r="C496" s="1" t="n">
        <v>46184</v>
      </c>
      <c r="D496" t="inlineStr">
        <is>
          <t>ÖREBRO LÄN</t>
        </is>
      </c>
      <c r="E496" t="inlineStr">
        <is>
          <t>LINDESBERG</t>
        </is>
      </c>
      <c r="G496" t="n">
        <v>2.4</v>
      </c>
      <c r="H496" t="n">
        <v>0</v>
      </c>
      <c r="I496" t="n">
        <v>0</v>
      </c>
      <c r="J496" t="n">
        <v>0</v>
      </c>
      <c r="K496" t="n">
        <v>0</v>
      </c>
      <c r="L496" t="n">
        <v>0</v>
      </c>
      <c r="M496" t="n">
        <v>0</v>
      </c>
      <c r="N496" t="n">
        <v>0</v>
      </c>
      <c r="O496" t="n">
        <v>0</v>
      </c>
      <c r="P496" t="n">
        <v>0</v>
      </c>
      <c r="Q496" t="n">
        <v>0</v>
      </c>
      <c r="R496" s="2" t="inlineStr"/>
    </row>
    <row r="497" ht="15" customHeight="1">
      <c r="A497" t="inlineStr">
        <is>
          <t>A 4013-2025</t>
        </is>
      </c>
      <c r="B497" s="1" t="n">
        <v>45684.5790162037</v>
      </c>
      <c r="C497" s="1" t="n">
        <v>46184</v>
      </c>
      <c r="D497" t="inlineStr">
        <is>
          <t>ÖREBRO LÄN</t>
        </is>
      </c>
      <c r="E497" t="inlineStr">
        <is>
          <t>LINDESBERG</t>
        </is>
      </c>
      <c r="G497" t="n">
        <v>0.9</v>
      </c>
      <c r="H497" t="n">
        <v>0</v>
      </c>
      <c r="I497" t="n">
        <v>0</v>
      </c>
      <c r="J497" t="n">
        <v>0</v>
      </c>
      <c r="K497" t="n">
        <v>0</v>
      </c>
      <c r="L497" t="n">
        <v>0</v>
      </c>
      <c r="M497" t="n">
        <v>0</v>
      </c>
      <c r="N497" t="n">
        <v>0</v>
      </c>
      <c r="O497" t="n">
        <v>0</v>
      </c>
      <c r="P497" t="n">
        <v>0</v>
      </c>
      <c r="Q497" t="n">
        <v>0</v>
      </c>
      <c r="R497" s="2" t="inlineStr"/>
    </row>
    <row r="498" ht="15" customHeight="1">
      <c r="A498" t="inlineStr">
        <is>
          <t>A 33978-2023</t>
        </is>
      </c>
      <c r="B498" s="1" t="n">
        <v>45134.68158564815</v>
      </c>
      <c r="C498" s="1" t="n">
        <v>46184</v>
      </c>
      <c r="D498" t="inlineStr">
        <is>
          <t>ÖREBRO LÄN</t>
        </is>
      </c>
      <c r="E498" t="inlineStr">
        <is>
          <t>LINDESBERG</t>
        </is>
      </c>
      <c r="G498" t="n">
        <v>4.1</v>
      </c>
      <c r="H498" t="n">
        <v>0</v>
      </c>
      <c r="I498" t="n">
        <v>0</v>
      </c>
      <c r="J498" t="n">
        <v>0</v>
      </c>
      <c r="K498" t="n">
        <v>0</v>
      </c>
      <c r="L498" t="n">
        <v>0</v>
      </c>
      <c r="M498" t="n">
        <v>0</v>
      </c>
      <c r="N498" t="n">
        <v>0</v>
      </c>
      <c r="O498" t="n">
        <v>0</v>
      </c>
      <c r="P498" t="n">
        <v>0</v>
      </c>
      <c r="Q498" t="n">
        <v>0</v>
      </c>
      <c r="R498" s="2" t="inlineStr"/>
    </row>
    <row r="499" ht="15" customHeight="1">
      <c r="A499" t="inlineStr">
        <is>
          <t>A 55272-2023</t>
        </is>
      </c>
      <c r="B499" s="1" t="n">
        <v>45237.67819444444</v>
      </c>
      <c r="C499" s="1" t="n">
        <v>46184</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3951-2026</t>
        </is>
      </c>
      <c r="B500" s="1" t="n">
        <v>46044</v>
      </c>
      <c r="C500" s="1" t="n">
        <v>46184</v>
      </c>
      <c r="D500" t="inlineStr">
        <is>
          <t>ÖREBRO LÄN</t>
        </is>
      </c>
      <c r="E500" t="inlineStr">
        <is>
          <t>LINDESBERG</t>
        </is>
      </c>
      <c r="G500" t="n">
        <v>0.6</v>
      </c>
      <c r="H500" t="n">
        <v>0</v>
      </c>
      <c r="I500" t="n">
        <v>0</v>
      </c>
      <c r="J500" t="n">
        <v>0</v>
      </c>
      <c r="K500" t="n">
        <v>0</v>
      </c>
      <c r="L500" t="n">
        <v>0</v>
      </c>
      <c r="M500" t="n">
        <v>0</v>
      </c>
      <c r="N500" t="n">
        <v>0</v>
      </c>
      <c r="O500" t="n">
        <v>0</v>
      </c>
      <c r="P500" t="n">
        <v>0</v>
      </c>
      <c r="Q500" t="n">
        <v>0</v>
      </c>
      <c r="R500" s="2" t="inlineStr"/>
    </row>
    <row r="501" ht="15" customHeight="1">
      <c r="A501" t="inlineStr">
        <is>
          <t>A 12307-2025</t>
        </is>
      </c>
      <c r="B501" s="1" t="n">
        <v>45729.76231481481</v>
      </c>
      <c r="C501" s="1" t="n">
        <v>46184</v>
      </c>
      <c r="D501" t="inlineStr">
        <is>
          <t>ÖREBRO LÄN</t>
        </is>
      </c>
      <c r="E501" t="inlineStr">
        <is>
          <t>LINDESBERG</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8834-2023</t>
        </is>
      </c>
      <c r="B502" s="1" t="n">
        <v>44978</v>
      </c>
      <c r="C502" s="1" t="n">
        <v>46184</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51071-2022</t>
        </is>
      </c>
      <c r="B503" s="1" t="n">
        <v>44868.36924768519</v>
      </c>
      <c r="C503" s="1" t="n">
        <v>46184</v>
      </c>
      <c r="D503" t="inlineStr">
        <is>
          <t>ÖREBRO LÄN</t>
        </is>
      </c>
      <c r="E503" t="inlineStr">
        <is>
          <t>LINDESBERG</t>
        </is>
      </c>
      <c r="F503" t="inlineStr">
        <is>
          <t>Sveaskog</t>
        </is>
      </c>
      <c r="G503" t="n">
        <v>1.8</v>
      </c>
      <c r="H503" t="n">
        <v>0</v>
      </c>
      <c r="I503" t="n">
        <v>0</v>
      </c>
      <c r="J503" t="n">
        <v>0</v>
      </c>
      <c r="K503" t="n">
        <v>0</v>
      </c>
      <c r="L503" t="n">
        <v>0</v>
      </c>
      <c r="M503" t="n">
        <v>0</v>
      </c>
      <c r="N503" t="n">
        <v>0</v>
      </c>
      <c r="O503" t="n">
        <v>0</v>
      </c>
      <c r="P503" t="n">
        <v>0</v>
      </c>
      <c r="Q503" t="n">
        <v>0</v>
      </c>
      <c r="R503" s="2" t="inlineStr"/>
    </row>
    <row r="504" ht="15" customHeight="1">
      <c r="A504" t="inlineStr">
        <is>
          <t>A 60926-2024</t>
        </is>
      </c>
      <c r="B504" s="1" t="n">
        <v>45645</v>
      </c>
      <c r="C504" s="1" t="n">
        <v>46184</v>
      </c>
      <c r="D504" t="inlineStr">
        <is>
          <t>ÖREBRO LÄN</t>
        </is>
      </c>
      <c r="E504" t="inlineStr">
        <is>
          <t>LINDESBERG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35229-2024</t>
        </is>
      </c>
      <c r="B505" s="1" t="n">
        <v>45530</v>
      </c>
      <c r="C505" s="1" t="n">
        <v>46184</v>
      </c>
      <c r="D505" t="inlineStr">
        <is>
          <t>ÖREBRO LÄN</t>
        </is>
      </c>
      <c r="E505" t="inlineStr">
        <is>
          <t>LINDESBERG</t>
        </is>
      </c>
      <c r="G505" t="n">
        <v>0.8</v>
      </c>
      <c r="H505" t="n">
        <v>0</v>
      </c>
      <c r="I505" t="n">
        <v>0</v>
      </c>
      <c r="J505" t="n">
        <v>0</v>
      </c>
      <c r="K505" t="n">
        <v>0</v>
      </c>
      <c r="L505" t="n">
        <v>0</v>
      </c>
      <c r="M505" t="n">
        <v>0</v>
      </c>
      <c r="N505" t="n">
        <v>0</v>
      </c>
      <c r="O505" t="n">
        <v>0</v>
      </c>
      <c r="P505" t="n">
        <v>0</v>
      </c>
      <c r="Q505" t="n">
        <v>0</v>
      </c>
      <c r="R505" s="2" t="inlineStr"/>
    </row>
    <row r="506" ht="15" customHeight="1">
      <c r="A506" t="inlineStr">
        <is>
          <t>A 10822-2023</t>
        </is>
      </c>
      <c r="B506" s="1" t="n">
        <v>44990</v>
      </c>
      <c r="C506" s="1" t="n">
        <v>46184</v>
      </c>
      <c r="D506" t="inlineStr">
        <is>
          <t>ÖREBRO LÄN</t>
        </is>
      </c>
      <c r="E506" t="inlineStr">
        <is>
          <t>LINDESBERG</t>
        </is>
      </c>
      <c r="G506" t="n">
        <v>1.3</v>
      </c>
      <c r="H506" t="n">
        <v>0</v>
      </c>
      <c r="I506" t="n">
        <v>0</v>
      </c>
      <c r="J506" t="n">
        <v>0</v>
      </c>
      <c r="K506" t="n">
        <v>0</v>
      </c>
      <c r="L506" t="n">
        <v>0</v>
      </c>
      <c r="M506" t="n">
        <v>0</v>
      </c>
      <c r="N506" t="n">
        <v>0</v>
      </c>
      <c r="O506" t="n">
        <v>0</v>
      </c>
      <c r="P506" t="n">
        <v>0</v>
      </c>
      <c r="Q506" t="n">
        <v>0</v>
      </c>
      <c r="R506" s="2" t="inlineStr"/>
    </row>
    <row r="507" ht="15" customHeight="1">
      <c r="A507" t="inlineStr">
        <is>
          <t>A 3233-2023</t>
        </is>
      </c>
      <c r="B507" s="1" t="n">
        <v>44946</v>
      </c>
      <c r="C507" s="1" t="n">
        <v>46184</v>
      </c>
      <c r="D507" t="inlineStr">
        <is>
          <t>ÖREBRO LÄN</t>
        </is>
      </c>
      <c r="E507" t="inlineStr">
        <is>
          <t>LINDESBERG</t>
        </is>
      </c>
      <c r="G507" t="n">
        <v>3</v>
      </c>
      <c r="H507" t="n">
        <v>0</v>
      </c>
      <c r="I507" t="n">
        <v>0</v>
      </c>
      <c r="J507" t="n">
        <v>0</v>
      </c>
      <c r="K507" t="n">
        <v>0</v>
      </c>
      <c r="L507" t="n">
        <v>0</v>
      </c>
      <c r="M507" t="n">
        <v>0</v>
      </c>
      <c r="N507" t="n">
        <v>0</v>
      </c>
      <c r="O507" t="n">
        <v>0</v>
      </c>
      <c r="P507" t="n">
        <v>0</v>
      </c>
      <c r="Q507" t="n">
        <v>0</v>
      </c>
      <c r="R507" s="2" t="inlineStr"/>
    </row>
    <row r="508" ht="15" customHeight="1">
      <c r="A508" t="inlineStr">
        <is>
          <t>A 15325-2024</t>
        </is>
      </c>
      <c r="B508" s="1" t="n">
        <v>45400.6709837963</v>
      </c>
      <c r="C508" s="1" t="n">
        <v>46184</v>
      </c>
      <c r="D508" t="inlineStr">
        <is>
          <t>ÖREBRO LÄN</t>
        </is>
      </c>
      <c r="E508" t="inlineStr">
        <is>
          <t>LINDESBERG</t>
        </is>
      </c>
      <c r="F508" t="inlineStr">
        <is>
          <t>Sveaskog</t>
        </is>
      </c>
      <c r="G508" t="n">
        <v>0.3</v>
      </c>
      <c r="H508" t="n">
        <v>0</v>
      </c>
      <c r="I508" t="n">
        <v>0</v>
      </c>
      <c r="J508" t="n">
        <v>0</v>
      </c>
      <c r="K508" t="n">
        <v>0</v>
      </c>
      <c r="L508" t="n">
        <v>0</v>
      </c>
      <c r="M508" t="n">
        <v>0</v>
      </c>
      <c r="N508" t="n">
        <v>0</v>
      </c>
      <c r="O508" t="n">
        <v>0</v>
      </c>
      <c r="P508" t="n">
        <v>0</v>
      </c>
      <c r="Q508" t="n">
        <v>0</v>
      </c>
      <c r="R508" s="2" t="inlineStr"/>
    </row>
    <row r="509" ht="15" customHeight="1">
      <c r="A509" t="inlineStr">
        <is>
          <t>A 40970-2023</t>
        </is>
      </c>
      <c r="B509" s="1" t="n">
        <v>45173</v>
      </c>
      <c r="C509" s="1" t="n">
        <v>46184</v>
      </c>
      <c r="D509" t="inlineStr">
        <is>
          <t>ÖREBRO LÄN</t>
        </is>
      </c>
      <c r="E509" t="inlineStr">
        <is>
          <t>LINDESBERG</t>
        </is>
      </c>
      <c r="G509" t="n">
        <v>2.1</v>
      </c>
      <c r="H509" t="n">
        <v>0</v>
      </c>
      <c r="I509" t="n">
        <v>0</v>
      </c>
      <c r="J509" t="n">
        <v>0</v>
      </c>
      <c r="K509" t="n">
        <v>0</v>
      </c>
      <c r="L509" t="n">
        <v>0</v>
      </c>
      <c r="M509" t="n">
        <v>0</v>
      </c>
      <c r="N509" t="n">
        <v>0</v>
      </c>
      <c r="O509" t="n">
        <v>0</v>
      </c>
      <c r="P509" t="n">
        <v>0</v>
      </c>
      <c r="Q509" t="n">
        <v>0</v>
      </c>
      <c r="R509" s="2" t="inlineStr"/>
    </row>
    <row r="510" ht="15" customHeight="1">
      <c r="A510" t="inlineStr">
        <is>
          <t>A 5235-2026</t>
        </is>
      </c>
      <c r="B510" s="1" t="n">
        <v>46049.84017361111</v>
      </c>
      <c r="C510" s="1" t="n">
        <v>46184</v>
      </c>
      <c r="D510" t="inlineStr">
        <is>
          <t>ÖREBRO LÄN</t>
        </is>
      </c>
      <c r="E510" t="inlineStr">
        <is>
          <t>LINDESBERG</t>
        </is>
      </c>
      <c r="G510" t="n">
        <v>4.8</v>
      </c>
      <c r="H510" t="n">
        <v>0</v>
      </c>
      <c r="I510" t="n">
        <v>0</v>
      </c>
      <c r="J510" t="n">
        <v>0</v>
      </c>
      <c r="K510" t="n">
        <v>0</v>
      </c>
      <c r="L510" t="n">
        <v>0</v>
      </c>
      <c r="M510" t="n">
        <v>0</v>
      </c>
      <c r="N510" t="n">
        <v>0</v>
      </c>
      <c r="O510" t="n">
        <v>0</v>
      </c>
      <c r="P510" t="n">
        <v>0</v>
      </c>
      <c r="Q510" t="n">
        <v>0</v>
      </c>
      <c r="R510" s="2" t="inlineStr"/>
    </row>
    <row r="511" ht="15" customHeight="1">
      <c r="A511" t="inlineStr">
        <is>
          <t>A 5715-2026</t>
        </is>
      </c>
      <c r="B511" s="1" t="n">
        <v>46051.53563657407</v>
      </c>
      <c r="C511" s="1" t="n">
        <v>46184</v>
      </c>
      <c r="D511" t="inlineStr">
        <is>
          <t>ÖREBRO LÄN</t>
        </is>
      </c>
      <c r="E511" t="inlineStr">
        <is>
          <t>LINDESBERG</t>
        </is>
      </c>
      <c r="G511" t="n">
        <v>0.7</v>
      </c>
      <c r="H511" t="n">
        <v>0</v>
      </c>
      <c r="I511" t="n">
        <v>0</v>
      </c>
      <c r="J511" t="n">
        <v>0</v>
      </c>
      <c r="K511" t="n">
        <v>0</v>
      </c>
      <c r="L511" t="n">
        <v>0</v>
      </c>
      <c r="M511" t="n">
        <v>0</v>
      </c>
      <c r="N511" t="n">
        <v>0</v>
      </c>
      <c r="O511" t="n">
        <v>0</v>
      </c>
      <c r="P511" t="n">
        <v>0</v>
      </c>
      <c r="Q511" t="n">
        <v>0</v>
      </c>
      <c r="R511" s="2" t="inlineStr"/>
    </row>
    <row r="512" ht="15" customHeight="1">
      <c r="A512" t="inlineStr">
        <is>
          <t>A 58662-2022</t>
        </is>
      </c>
      <c r="B512" s="1" t="n">
        <v>44902</v>
      </c>
      <c r="C512" s="1" t="n">
        <v>46184</v>
      </c>
      <c r="D512" t="inlineStr">
        <is>
          <t>ÖREBRO LÄN</t>
        </is>
      </c>
      <c r="E512" t="inlineStr">
        <is>
          <t>LINDESBERG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6616-2026</t>
        </is>
      </c>
      <c r="B513" s="1" t="n">
        <v>46056.49075231481</v>
      </c>
      <c r="C513" s="1" t="n">
        <v>46184</v>
      </c>
      <c r="D513" t="inlineStr">
        <is>
          <t>ÖREBRO LÄN</t>
        </is>
      </c>
      <c r="E513" t="inlineStr">
        <is>
          <t>LINDESBERG</t>
        </is>
      </c>
      <c r="G513" t="n">
        <v>9</v>
      </c>
      <c r="H513" t="n">
        <v>0</v>
      </c>
      <c r="I513" t="n">
        <v>0</v>
      </c>
      <c r="J513" t="n">
        <v>0</v>
      </c>
      <c r="K513" t="n">
        <v>0</v>
      </c>
      <c r="L513" t="n">
        <v>0</v>
      </c>
      <c r="M513" t="n">
        <v>0</v>
      </c>
      <c r="N513" t="n">
        <v>0</v>
      </c>
      <c r="O513" t="n">
        <v>0</v>
      </c>
      <c r="P513" t="n">
        <v>0</v>
      </c>
      <c r="Q513" t="n">
        <v>0</v>
      </c>
      <c r="R513" s="2" t="inlineStr"/>
    </row>
    <row r="514" ht="15" customHeight="1">
      <c r="A514" t="inlineStr">
        <is>
          <t>A 6989-2026</t>
        </is>
      </c>
      <c r="B514" s="1" t="n">
        <v>46057.60342592592</v>
      </c>
      <c r="C514" s="1" t="n">
        <v>46184</v>
      </c>
      <c r="D514" t="inlineStr">
        <is>
          <t>ÖREBRO LÄN</t>
        </is>
      </c>
      <c r="E514" t="inlineStr">
        <is>
          <t>LINDESBERG</t>
        </is>
      </c>
      <c r="G514" t="n">
        <v>2</v>
      </c>
      <c r="H514" t="n">
        <v>0</v>
      </c>
      <c r="I514" t="n">
        <v>0</v>
      </c>
      <c r="J514" t="n">
        <v>0</v>
      </c>
      <c r="K514" t="n">
        <v>0</v>
      </c>
      <c r="L514" t="n">
        <v>0</v>
      </c>
      <c r="M514" t="n">
        <v>0</v>
      </c>
      <c r="N514" t="n">
        <v>0</v>
      </c>
      <c r="O514" t="n">
        <v>0</v>
      </c>
      <c r="P514" t="n">
        <v>0</v>
      </c>
      <c r="Q514" t="n">
        <v>0</v>
      </c>
      <c r="R514" s="2" t="inlineStr"/>
    </row>
    <row r="515" ht="15" customHeight="1">
      <c r="A515" t="inlineStr">
        <is>
          <t>A 28031-2023</t>
        </is>
      </c>
      <c r="B515" s="1" t="n">
        <v>45099.27354166667</v>
      </c>
      <c r="C515" s="1" t="n">
        <v>46184</v>
      </c>
      <c r="D515" t="inlineStr">
        <is>
          <t>ÖREBRO LÄN</t>
        </is>
      </c>
      <c r="E515" t="inlineStr">
        <is>
          <t>LINDESBERG</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6524-2026</t>
        </is>
      </c>
      <c r="B516" s="1" t="n">
        <v>46056.40425925926</v>
      </c>
      <c r="C516" s="1" t="n">
        <v>46184</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4310-2025</t>
        </is>
      </c>
      <c r="B517" s="1" t="n">
        <v>45685</v>
      </c>
      <c r="C517" s="1" t="n">
        <v>46184</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47110-2024</t>
        </is>
      </c>
      <c r="B518" s="1" t="n">
        <v>45586.55451388889</v>
      </c>
      <c r="C518" s="1" t="n">
        <v>46184</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7202-2026</t>
        </is>
      </c>
      <c r="B519" s="1" t="n">
        <v>46058.52864583334</v>
      </c>
      <c r="C519" s="1" t="n">
        <v>46184</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27440-2023</t>
        </is>
      </c>
      <c r="B520" s="1" t="n">
        <v>45097.39893518519</v>
      </c>
      <c r="C520" s="1" t="n">
        <v>46184</v>
      </c>
      <c r="D520" t="inlineStr">
        <is>
          <t>ÖREBRO LÄN</t>
        </is>
      </c>
      <c r="E520" t="inlineStr">
        <is>
          <t>LINDESBERG</t>
        </is>
      </c>
      <c r="G520" t="n">
        <v>6.6</v>
      </c>
      <c r="H520" t="n">
        <v>0</v>
      </c>
      <c r="I520" t="n">
        <v>0</v>
      </c>
      <c r="J520" t="n">
        <v>0</v>
      </c>
      <c r="K520" t="n">
        <v>0</v>
      </c>
      <c r="L520" t="n">
        <v>0</v>
      </c>
      <c r="M520" t="n">
        <v>0</v>
      </c>
      <c r="N520" t="n">
        <v>0</v>
      </c>
      <c r="O520" t="n">
        <v>0</v>
      </c>
      <c r="P520" t="n">
        <v>0</v>
      </c>
      <c r="Q520" t="n">
        <v>0</v>
      </c>
      <c r="R520" s="2" t="inlineStr"/>
    </row>
    <row r="521" ht="15" customHeight="1">
      <c r="A521" t="inlineStr">
        <is>
          <t>A 7069-2026</t>
        </is>
      </c>
      <c r="B521" s="1" t="n">
        <v>46058.30956018518</v>
      </c>
      <c r="C521" s="1" t="n">
        <v>46184</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39137-2024</t>
        </is>
      </c>
      <c r="B522" s="1" t="n">
        <v>45548</v>
      </c>
      <c r="C522" s="1" t="n">
        <v>46184</v>
      </c>
      <c r="D522" t="inlineStr">
        <is>
          <t>ÖREBRO LÄN</t>
        </is>
      </c>
      <c r="E522" t="inlineStr">
        <is>
          <t>LINDESBERG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39152-2024</t>
        </is>
      </c>
      <c r="B523" s="1" t="n">
        <v>45548</v>
      </c>
      <c r="C523" s="1" t="n">
        <v>46184</v>
      </c>
      <c r="D523" t="inlineStr">
        <is>
          <t>ÖREBRO LÄN</t>
        </is>
      </c>
      <c r="E523" t="inlineStr">
        <is>
          <t>LINDESBERG</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21245-2024</t>
        </is>
      </c>
      <c r="B524" s="1" t="n">
        <v>45440</v>
      </c>
      <c r="C524" s="1" t="n">
        <v>46184</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61601-2024</t>
        </is>
      </c>
      <c r="B525" s="1" t="n">
        <v>45646.63839120371</v>
      </c>
      <c r="C525" s="1" t="n">
        <v>46184</v>
      </c>
      <c r="D525" t="inlineStr">
        <is>
          <t>ÖREBRO LÄN</t>
        </is>
      </c>
      <c r="E525" t="inlineStr">
        <is>
          <t>LINDESBERG</t>
        </is>
      </c>
      <c r="G525" t="n">
        <v>0.5</v>
      </c>
      <c r="H525" t="n">
        <v>0</v>
      </c>
      <c r="I525" t="n">
        <v>0</v>
      </c>
      <c r="J525" t="n">
        <v>0</v>
      </c>
      <c r="K525" t="n">
        <v>0</v>
      </c>
      <c r="L525" t="n">
        <v>0</v>
      </c>
      <c r="M525" t="n">
        <v>0</v>
      </c>
      <c r="N525" t="n">
        <v>0</v>
      </c>
      <c r="O525" t="n">
        <v>0</v>
      </c>
      <c r="P525" t="n">
        <v>0</v>
      </c>
      <c r="Q525" t="n">
        <v>0</v>
      </c>
      <c r="R525" s="2" t="inlineStr"/>
    </row>
    <row r="526" ht="15" customHeight="1">
      <c r="A526" t="inlineStr">
        <is>
          <t>A 6604-2024</t>
        </is>
      </c>
      <c r="B526" s="1" t="n">
        <v>45341.56577546296</v>
      </c>
      <c r="C526" s="1" t="n">
        <v>46184</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42410-2024</t>
        </is>
      </c>
      <c r="B527" s="1" t="n">
        <v>45565</v>
      </c>
      <c r="C527" s="1" t="n">
        <v>46184</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9140-2025</t>
        </is>
      </c>
      <c r="B528" s="1" t="n">
        <v>45714.31533564815</v>
      </c>
      <c r="C528" s="1" t="n">
        <v>46184</v>
      </c>
      <c r="D528" t="inlineStr">
        <is>
          <t>ÖREBRO LÄN</t>
        </is>
      </c>
      <c r="E528" t="inlineStr">
        <is>
          <t>LINDESBERG</t>
        </is>
      </c>
      <c r="G528" t="n">
        <v>0.8</v>
      </c>
      <c r="H528" t="n">
        <v>0</v>
      </c>
      <c r="I528" t="n">
        <v>0</v>
      </c>
      <c r="J528" t="n">
        <v>0</v>
      </c>
      <c r="K528" t="n">
        <v>0</v>
      </c>
      <c r="L528" t="n">
        <v>0</v>
      </c>
      <c r="M528" t="n">
        <v>0</v>
      </c>
      <c r="N528" t="n">
        <v>0</v>
      </c>
      <c r="O528" t="n">
        <v>0</v>
      </c>
      <c r="P528" t="n">
        <v>0</v>
      </c>
      <c r="Q528" t="n">
        <v>0</v>
      </c>
      <c r="R528" s="2" t="inlineStr"/>
    </row>
    <row r="529" ht="15" customHeight="1">
      <c r="A529" t="inlineStr">
        <is>
          <t>A 8139-2023</t>
        </is>
      </c>
      <c r="B529" s="1" t="n">
        <v>44970</v>
      </c>
      <c r="C529" s="1" t="n">
        <v>46184</v>
      </c>
      <c r="D529" t="inlineStr">
        <is>
          <t>ÖREBRO LÄN</t>
        </is>
      </c>
      <c r="E529" t="inlineStr">
        <is>
          <t>LINDESBERG</t>
        </is>
      </c>
      <c r="G529" t="n">
        <v>3.6</v>
      </c>
      <c r="H529" t="n">
        <v>0</v>
      </c>
      <c r="I529" t="n">
        <v>0</v>
      </c>
      <c r="J529" t="n">
        <v>0</v>
      </c>
      <c r="K529" t="n">
        <v>0</v>
      </c>
      <c r="L529" t="n">
        <v>0</v>
      </c>
      <c r="M529" t="n">
        <v>0</v>
      </c>
      <c r="N529" t="n">
        <v>0</v>
      </c>
      <c r="O529" t="n">
        <v>0</v>
      </c>
      <c r="P529" t="n">
        <v>0</v>
      </c>
      <c r="Q529" t="n">
        <v>0</v>
      </c>
      <c r="R529" s="2" t="inlineStr"/>
    </row>
    <row r="530" ht="15" customHeight="1">
      <c r="A530" t="inlineStr">
        <is>
          <t>A 53168-2023</t>
        </is>
      </c>
      <c r="B530" s="1" t="n">
        <v>45229</v>
      </c>
      <c r="C530" s="1" t="n">
        <v>46184</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9432-2026</t>
        </is>
      </c>
      <c r="B531" s="1" t="n">
        <v>46071.45568287037</v>
      </c>
      <c r="C531" s="1" t="n">
        <v>46184</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36748-2024</t>
        </is>
      </c>
      <c r="B532" s="1" t="n">
        <v>45538.34460648148</v>
      </c>
      <c r="C532" s="1" t="n">
        <v>46184</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9577-2026</t>
        </is>
      </c>
      <c r="B533" s="1" t="n">
        <v>46071.67334490741</v>
      </c>
      <c r="C533" s="1" t="n">
        <v>46184</v>
      </c>
      <c r="D533" t="inlineStr">
        <is>
          <t>ÖREBRO LÄN</t>
        </is>
      </c>
      <c r="E533" t="inlineStr">
        <is>
          <t>LINDESBERG</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64427-2021</t>
        </is>
      </c>
      <c r="B534" s="1" t="n">
        <v>44511</v>
      </c>
      <c r="C534" s="1" t="n">
        <v>46184</v>
      </c>
      <c r="D534" t="inlineStr">
        <is>
          <t>ÖREBRO LÄN</t>
        </is>
      </c>
      <c r="E534" t="inlineStr">
        <is>
          <t>LINDESBERG</t>
        </is>
      </c>
      <c r="G534" t="n">
        <v>2.2</v>
      </c>
      <c r="H534" t="n">
        <v>0</v>
      </c>
      <c r="I534" t="n">
        <v>0</v>
      </c>
      <c r="J534" t="n">
        <v>0</v>
      </c>
      <c r="K534" t="n">
        <v>0</v>
      </c>
      <c r="L534" t="n">
        <v>0</v>
      </c>
      <c r="M534" t="n">
        <v>0</v>
      </c>
      <c r="N534" t="n">
        <v>0</v>
      </c>
      <c r="O534" t="n">
        <v>0</v>
      </c>
      <c r="P534" t="n">
        <v>0</v>
      </c>
      <c r="Q534" t="n">
        <v>0</v>
      </c>
      <c r="R534" s="2" t="inlineStr"/>
    </row>
    <row r="535" ht="15" customHeight="1">
      <c r="A535" t="inlineStr">
        <is>
          <t>A 53352-2023</t>
        </is>
      </c>
      <c r="B535" s="1" t="n">
        <v>45229.66262731481</v>
      </c>
      <c r="C535" s="1" t="n">
        <v>46184</v>
      </c>
      <c r="D535" t="inlineStr">
        <is>
          <t>ÖREBRO LÄN</t>
        </is>
      </c>
      <c r="E535" t="inlineStr">
        <is>
          <t>LINDESBERG</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6727-2022</t>
        </is>
      </c>
      <c r="B536" s="1" t="n">
        <v>44602.45490740741</v>
      </c>
      <c r="C536" s="1" t="n">
        <v>46184</v>
      </c>
      <c r="D536" t="inlineStr">
        <is>
          <t>ÖREBRO LÄN</t>
        </is>
      </c>
      <c r="E536" t="inlineStr">
        <is>
          <t>LINDESBERG</t>
        </is>
      </c>
      <c r="G536" t="n">
        <v>0.8</v>
      </c>
      <c r="H536" t="n">
        <v>0</v>
      </c>
      <c r="I536" t="n">
        <v>0</v>
      </c>
      <c r="J536" t="n">
        <v>0</v>
      </c>
      <c r="K536" t="n">
        <v>0</v>
      </c>
      <c r="L536" t="n">
        <v>0</v>
      </c>
      <c r="M536" t="n">
        <v>0</v>
      </c>
      <c r="N536" t="n">
        <v>0</v>
      </c>
      <c r="O536" t="n">
        <v>0</v>
      </c>
      <c r="P536" t="n">
        <v>0</v>
      </c>
      <c r="Q536" t="n">
        <v>0</v>
      </c>
      <c r="R536" s="2" t="inlineStr"/>
    </row>
    <row r="537" ht="15" customHeight="1">
      <c r="A537" t="inlineStr">
        <is>
          <t>A 25012-2023</t>
        </is>
      </c>
      <c r="B537" s="1" t="n">
        <v>45085</v>
      </c>
      <c r="C537" s="1" t="n">
        <v>46184</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13969-2025</t>
        </is>
      </c>
      <c r="B538" s="1" t="n">
        <v>45738.43714120371</v>
      </c>
      <c r="C538" s="1" t="n">
        <v>46184</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53366-2023</t>
        </is>
      </c>
      <c r="B539" s="1" t="n">
        <v>45229</v>
      </c>
      <c r="C539" s="1" t="n">
        <v>46184</v>
      </c>
      <c r="D539" t="inlineStr">
        <is>
          <t>ÖREBRO LÄN</t>
        </is>
      </c>
      <c r="E539" t="inlineStr">
        <is>
          <t>LINDESBERG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42430-2024</t>
        </is>
      </c>
      <c r="B540" s="1" t="n">
        <v>45565.40700231482</v>
      </c>
      <c r="C540" s="1" t="n">
        <v>46184</v>
      </c>
      <c r="D540" t="inlineStr">
        <is>
          <t>ÖREBRO LÄN</t>
        </is>
      </c>
      <c r="E540" t="inlineStr">
        <is>
          <t>LINDESBERG</t>
        </is>
      </c>
      <c r="G540" t="n">
        <v>4</v>
      </c>
      <c r="H540" t="n">
        <v>0</v>
      </c>
      <c r="I540" t="n">
        <v>0</v>
      </c>
      <c r="J540" t="n">
        <v>0</v>
      </c>
      <c r="K540" t="n">
        <v>0</v>
      </c>
      <c r="L540" t="n">
        <v>0</v>
      </c>
      <c r="M540" t="n">
        <v>0</v>
      </c>
      <c r="N540" t="n">
        <v>0</v>
      </c>
      <c r="O540" t="n">
        <v>0</v>
      </c>
      <c r="P540" t="n">
        <v>0</v>
      </c>
      <c r="Q540" t="n">
        <v>0</v>
      </c>
      <c r="R540" s="2" t="inlineStr"/>
    </row>
    <row r="541" ht="15" customHeight="1">
      <c r="A541" t="inlineStr">
        <is>
          <t>A 1354-2024</t>
        </is>
      </c>
      <c r="B541" s="1" t="n">
        <v>45303</v>
      </c>
      <c r="C541" s="1" t="n">
        <v>46184</v>
      </c>
      <c r="D541" t="inlineStr">
        <is>
          <t>ÖREBRO LÄN</t>
        </is>
      </c>
      <c r="E541" t="inlineStr">
        <is>
          <t>LINDESBERG</t>
        </is>
      </c>
      <c r="G541" t="n">
        <v>2.1</v>
      </c>
      <c r="H541" t="n">
        <v>0</v>
      </c>
      <c r="I541" t="n">
        <v>0</v>
      </c>
      <c r="J541" t="n">
        <v>0</v>
      </c>
      <c r="K541" t="n">
        <v>0</v>
      </c>
      <c r="L541" t="n">
        <v>0</v>
      </c>
      <c r="M541" t="n">
        <v>0</v>
      </c>
      <c r="N541" t="n">
        <v>0</v>
      </c>
      <c r="O541" t="n">
        <v>0</v>
      </c>
      <c r="P541" t="n">
        <v>0</v>
      </c>
      <c r="Q541" t="n">
        <v>0</v>
      </c>
      <c r="R541" s="2" t="inlineStr"/>
    </row>
    <row r="542" ht="15" customHeight="1">
      <c r="A542" t="inlineStr">
        <is>
          <t>A 27001-2024</t>
        </is>
      </c>
      <c r="B542" s="1" t="n">
        <v>45471.38995370371</v>
      </c>
      <c r="C542" s="1" t="n">
        <v>46184</v>
      </c>
      <c r="D542" t="inlineStr">
        <is>
          <t>ÖREBRO LÄN</t>
        </is>
      </c>
      <c r="E542" t="inlineStr">
        <is>
          <t>LINDESBERG</t>
        </is>
      </c>
      <c r="G542" t="n">
        <v>2.8</v>
      </c>
      <c r="H542" t="n">
        <v>0</v>
      </c>
      <c r="I542" t="n">
        <v>0</v>
      </c>
      <c r="J542" t="n">
        <v>0</v>
      </c>
      <c r="K542" t="n">
        <v>0</v>
      </c>
      <c r="L542" t="n">
        <v>0</v>
      </c>
      <c r="M542" t="n">
        <v>0</v>
      </c>
      <c r="N542" t="n">
        <v>0</v>
      </c>
      <c r="O542" t="n">
        <v>0</v>
      </c>
      <c r="P542" t="n">
        <v>0</v>
      </c>
      <c r="Q542" t="n">
        <v>0</v>
      </c>
      <c r="R542" s="2" t="inlineStr"/>
    </row>
    <row r="543" ht="15" customHeight="1">
      <c r="A543" t="inlineStr">
        <is>
          <t>A 26067-2022</t>
        </is>
      </c>
      <c r="B543" s="1" t="n">
        <v>44734.64337962963</v>
      </c>
      <c r="C543" s="1" t="n">
        <v>46184</v>
      </c>
      <c r="D543" t="inlineStr">
        <is>
          <t>ÖREBRO LÄN</t>
        </is>
      </c>
      <c r="E543" t="inlineStr">
        <is>
          <t>LINDESBERG</t>
        </is>
      </c>
      <c r="G543" t="n">
        <v>3.1</v>
      </c>
      <c r="H543" t="n">
        <v>0</v>
      </c>
      <c r="I543" t="n">
        <v>0</v>
      </c>
      <c r="J543" t="n">
        <v>0</v>
      </c>
      <c r="K543" t="n">
        <v>0</v>
      </c>
      <c r="L543" t="n">
        <v>0</v>
      </c>
      <c r="M543" t="n">
        <v>0</v>
      </c>
      <c r="N543" t="n">
        <v>0</v>
      </c>
      <c r="O543" t="n">
        <v>0</v>
      </c>
      <c r="P543" t="n">
        <v>0</v>
      </c>
      <c r="Q543" t="n">
        <v>0</v>
      </c>
      <c r="R543" s="2" t="inlineStr"/>
    </row>
    <row r="544" ht="15" customHeight="1">
      <c r="A544" t="inlineStr">
        <is>
          <t>A 59395-2022</t>
        </is>
      </c>
      <c r="B544" s="1" t="n">
        <v>44906.73321759259</v>
      </c>
      <c r="C544" s="1" t="n">
        <v>46184</v>
      </c>
      <c r="D544" t="inlineStr">
        <is>
          <t>ÖREBRO LÄN</t>
        </is>
      </c>
      <c r="E544" t="inlineStr">
        <is>
          <t>LINDESBERG</t>
        </is>
      </c>
      <c r="G544" t="n">
        <v>4.3</v>
      </c>
      <c r="H544" t="n">
        <v>0</v>
      </c>
      <c r="I544" t="n">
        <v>0</v>
      </c>
      <c r="J544" t="n">
        <v>0</v>
      </c>
      <c r="K544" t="n">
        <v>0</v>
      </c>
      <c r="L544" t="n">
        <v>0</v>
      </c>
      <c r="M544" t="n">
        <v>0</v>
      </c>
      <c r="N544" t="n">
        <v>0</v>
      </c>
      <c r="O544" t="n">
        <v>0</v>
      </c>
      <c r="P544" t="n">
        <v>0</v>
      </c>
      <c r="Q544" t="n">
        <v>0</v>
      </c>
      <c r="R544" s="2" t="inlineStr"/>
    </row>
    <row r="545" ht="15" customHeight="1">
      <c r="A545" t="inlineStr">
        <is>
          <t>A 19043-2023</t>
        </is>
      </c>
      <c r="B545" s="1" t="n">
        <v>45047.7181712963</v>
      </c>
      <c r="C545" s="1" t="n">
        <v>46184</v>
      </c>
      <c r="D545" t="inlineStr">
        <is>
          <t>ÖREBRO LÄN</t>
        </is>
      </c>
      <c r="E545" t="inlineStr">
        <is>
          <t>LINDESBERG</t>
        </is>
      </c>
      <c r="G545" t="n">
        <v>2.6</v>
      </c>
      <c r="H545" t="n">
        <v>0</v>
      </c>
      <c r="I545" t="n">
        <v>0</v>
      </c>
      <c r="J545" t="n">
        <v>0</v>
      </c>
      <c r="K545" t="n">
        <v>0</v>
      </c>
      <c r="L545" t="n">
        <v>0</v>
      </c>
      <c r="M545" t="n">
        <v>0</v>
      </c>
      <c r="N545" t="n">
        <v>0</v>
      </c>
      <c r="O545" t="n">
        <v>0</v>
      </c>
      <c r="P545" t="n">
        <v>0</v>
      </c>
      <c r="Q545" t="n">
        <v>0</v>
      </c>
      <c r="R545" s="2" t="inlineStr"/>
    </row>
    <row r="546" ht="15" customHeight="1">
      <c r="A546" t="inlineStr">
        <is>
          <t>A 41343-2021</t>
        </is>
      </c>
      <c r="B546" s="1" t="n">
        <v>44424.61709490741</v>
      </c>
      <c r="C546" s="1" t="n">
        <v>46184</v>
      </c>
      <c r="D546" t="inlineStr">
        <is>
          <t>ÖREBRO LÄN</t>
        </is>
      </c>
      <c r="E546" t="inlineStr">
        <is>
          <t>LINDESBERG</t>
        </is>
      </c>
      <c r="G546" t="n">
        <v>8.9</v>
      </c>
      <c r="H546" t="n">
        <v>0</v>
      </c>
      <c r="I546" t="n">
        <v>0</v>
      </c>
      <c r="J546" t="n">
        <v>0</v>
      </c>
      <c r="K546" t="n">
        <v>0</v>
      </c>
      <c r="L546" t="n">
        <v>0</v>
      </c>
      <c r="M546" t="n">
        <v>0</v>
      </c>
      <c r="N546" t="n">
        <v>0</v>
      </c>
      <c r="O546" t="n">
        <v>0</v>
      </c>
      <c r="P546" t="n">
        <v>0</v>
      </c>
      <c r="Q546" t="n">
        <v>0</v>
      </c>
      <c r="R546" s="2" t="inlineStr"/>
    </row>
    <row r="547" ht="15" customHeight="1">
      <c r="A547" t="inlineStr">
        <is>
          <t>A 43416-2024</t>
        </is>
      </c>
      <c r="B547" s="1" t="n">
        <v>45568.62625</v>
      </c>
      <c r="C547" s="1" t="n">
        <v>46184</v>
      </c>
      <c r="D547" t="inlineStr">
        <is>
          <t>ÖREBRO LÄN</t>
        </is>
      </c>
      <c r="E547" t="inlineStr">
        <is>
          <t>LINDESBERG</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10654-2023</t>
        </is>
      </c>
      <c r="B548" s="1" t="n">
        <v>44984</v>
      </c>
      <c r="C548" s="1" t="n">
        <v>46184</v>
      </c>
      <c r="D548" t="inlineStr">
        <is>
          <t>ÖREBRO LÄN</t>
        </is>
      </c>
      <c r="E548" t="inlineStr">
        <is>
          <t>LINDESBERG</t>
        </is>
      </c>
      <c r="G548" t="n">
        <v>1.2</v>
      </c>
      <c r="H548" t="n">
        <v>0</v>
      </c>
      <c r="I548" t="n">
        <v>0</v>
      </c>
      <c r="J548" t="n">
        <v>0</v>
      </c>
      <c r="K548" t="n">
        <v>0</v>
      </c>
      <c r="L548" t="n">
        <v>0</v>
      </c>
      <c r="M548" t="n">
        <v>0</v>
      </c>
      <c r="N548" t="n">
        <v>0</v>
      </c>
      <c r="O548" t="n">
        <v>0</v>
      </c>
      <c r="P548" t="n">
        <v>0</v>
      </c>
      <c r="Q548" t="n">
        <v>0</v>
      </c>
      <c r="R548" s="2" t="inlineStr"/>
    </row>
    <row r="549" ht="15" customHeight="1">
      <c r="A549" t="inlineStr">
        <is>
          <t>A 63125-2023</t>
        </is>
      </c>
      <c r="B549" s="1" t="n">
        <v>45273</v>
      </c>
      <c r="C549" s="1" t="n">
        <v>46184</v>
      </c>
      <c r="D549" t="inlineStr">
        <is>
          <t>ÖREBRO LÄN</t>
        </is>
      </c>
      <c r="E549" t="inlineStr">
        <is>
          <t>LINDESBERG</t>
        </is>
      </c>
      <c r="G549" t="n">
        <v>1.7</v>
      </c>
      <c r="H549" t="n">
        <v>0</v>
      </c>
      <c r="I549" t="n">
        <v>0</v>
      </c>
      <c r="J549" t="n">
        <v>0</v>
      </c>
      <c r="K549" t="n">
        <v>0</v>
      </c>
      <c r="L549" t="n">
        <v>0</v>
      </c>
      <c r="M549" t="n">
        <v>0</v>
      </c>
      <c r="N549" t="n">
        <v>0</v>
      </c>
      <c r="O549" t="n">
        <v>0</v>
      </c>
      <c r="P549" t="n">
        <v>0</v>
      </c>
      <c r="Q549" t="n">
        <v>0</v>
      </c>
      <c r="R549" s="2" t="inlineStr"/>
    </row>
    <row r="550" ht="15" customHeight="1">
      <c r="A550" t="inlineStr">
        <is>
          <t>A 20387-2026</t>
        </is>
      </c>
      <c r="B550" s="1" t="n">
        <v>46139.71047453704</v>
      </c>
      <c r="C550" s="1" t="n">
        <v>46184</v>
      </c>
      <c r="D550" t="inlineStr">
        <is>
          <t>ÖREBRO LÄN</t>
        </is>
      </c>
      <c r="E550" t="inlineStr">
        <is>
          <t>LINDESBERG</t>
        </is>
      </c>
      <c r="G550" t="n">
        <v>1.2</v>
      </c>
      <c r="H550" t="n">
        <v>0</v>
      </c>
      <c r="I550" t="n">
        <v>0</v>
      </c>
      <c r="J550" t="n">
        <v>0</v>
      </c>
      <c r="K550" t="n">
        <v>0</v>
      </c>
      <c r="L550" t="n">
        <v>0</v>
      </c>
      <c r="M550" t="n">
        <v>0</v>
      </c>
      <c r="N550" t="n">
        <v>0</v>
      </c>
      <c r="O550" t="n">
        <v>0</v>
      </c>
      <c r="P550" t="n">
        <v>0</v>
      </c>
      <c r="Q550" t="n">
        <v>0</v>
      </c>
      <c r="R550" s="2" t="inlineStr"/>
    </row>
    <row r="551" ht="15" customHeight="1">
      <c r="A551" t="inlineStr">
        <is>
          <t>A 14454-2024</t>
        </is>
      </c>
      <c r="B551" s="1" t="n">
        <v>45394.51289351852</v>
      </c>
      <c r="C551" s="1" t="n">
        <v>46184</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54860-2024</t>
        </is>
      </c>
      <c r="B552" s="1" t="n">
        <v>45618.59219907408</v>
      </c>
      <c r="C552" s="1" t="n">
        <v>46184</v>
      </c>
      <c r="D552" t="inlineStr">
        <is>
          <t>ÖREBRO LÄN</t>
        </is>
      </c>
      <c r="E552" t="inlineStr">
        <is>
          <t>LINDESBERG</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20970-2026</t>
        </is>
      </c>
      <c r="B553" s="1" t="n">
        <v>46142.56342592592</v>
      </c>
      <c r="C553" s="1" t="n">
        <v>46184</v>
      </c>
      <c r="D553" t="inlineStr">
        <is>
          <t>ÖREBRO LÄN</t>
        </is>
      </c>
      <c r="E553" t="inlineStr">
        <is>
          <t>LINDESBERG</t>
        </is>
      </c>
      <c r="F553" t="inlineStr">
        <is>
          <t>Naturvårdsverket</t>
        </is>
      </c>
      <c r="G553" t="n">
        <v>5</v>
      </c>
      <c r="H553" t="n">
        <v>0</v>
      </c>
      <c r="I553" t="n">
        <v>0</v>
      </c>
      <c r="J553" t="n">
        <v>0</v>
      </c>
      <c r="K553" t="n">
        <v>0</v>
      </c>
      <c r="L553" t="n">
        <v>0</v>
      </c>
      <c r="M553" t="n">
        <v>0</v>
      </c>
      <c r="N553" t="n">
        <v>0</v>
      </c>
      <c r="O553" t="n">
        <v>0</v>
      </c>
      <c r="P553" t="n">
        <v>0</v>
      </c>
      <c r="Q553" t="n">
        <v>0</v>
      </c>
      <c r="R553" s="2" t="inlineStr"/>
    </row>
    <row r="554" ht="15" customHeight="1">
      <c r="A554" t="inlineStr">
        <is>
          <t>A 14034-2026</t>
        </is>
      </c>
      <c r="B554" s="1" t="n">
        <v>46098.79559027778</v>
      </c>
      <c r="C554" s="1" t="n">
        <v>46184</v>
      </c>
      <c r="D554" t="inlineStr">
        <is>
          <t>ÖREBRO LÄN</t>
        </is>
      </c>
      <c r="E554" t="inlineStr">
        <is>
          <t>LINDESBERG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20971-2026</t>
        </is>
      </c>
      <c r="B555" s="1" t="n">
        <v>46142.56399305556</v>
      </c>
      <c r="C555" s="1" t="n">
        <v>46184</v>
      </c>
      <c r="D555" t="inlineStr">
        <is>
          <t>ÖREBRO LÄN</t>
        </is>
      </c>
      <c r="E555" t="inlineStr">
        <is>
          <t>LINDESBERG</t>
        </is>
      </c>
      <c r="F555" t="inlineStr">
        <is>
          <t>Naturvårdsverket</t>
        </is>
      </c>
      <c r="G555" t="n">
        <v>4.5</v>
      </c>
      <c r="H555" t="n">
        <v>0</v>
      </c>
      <c r="I555" t="n">
        <v>0</v>
      </c>
      <c r="J555" t="n">
        <v>0</v>
      </c>
      <c r="K555" t="n">
        <v>0</v>
      </c>
      <c r="L555" t="n">
        <v>0</v>
      </c>
      <c r="M555" t="n">
        <v>0</v>
      </c>
      <c r="N555" t="n">
        <v>0</v>
      </c>
      <c r="O555" t="n">
        <v>0</v>
      </c>
      <c r="P555" t="n">
        <v>0</v>
      </c>
      <c r="Q555" t="n">
        <v>0</v>
      </c>
      <c r="R555" s="2" t="inlineStr"/>
    </row>
    <row r="556" ht="15" customHeight="1">
      <c r="A556" t="inlineStr">
        <is>
          <t>A 15050-2026</t>
        </is>
      </c>
      <c r="B556" s="1" t="n">
        <v>46104.67331018519</v>
      </c>
      <c r="C556" s="1" t="n">
        <v>46184</v>
      </c>
      <c r="D556" t="inlineStr">
        <is>
          <t>ÖREBRO LÄN</t>
        </is>
      </c>
      <c r="E556" t="inlineStr">
        <is>
          <t>LINDESBERG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14680-2026</t>
        </is>
      </c>
      <c r="B557" s="1" t="n">
        <v>46101.48212962963</v>
      </c>
      <c r="C557" s="1" t="n">
        <v>46184</v>
      </c>
      <c r="D557" t="inlineStr">
        <is>
          <t>ÖREBRO LÄN</t>
        </is>
      </c>
      <c r="E557" t="inlineStr">
        <is>
          <t>LINDESBERG</t>
        </is>
      </c>
      <c r="G557" t="n">
        <v>1</v>
      </c>
      <c r="H557" t="n">
        <v>0</v>
      </c>
      <c r="I557" t="n">
        <v>0</v>
      </c>
      <c r="J557" t="n">
        <v>0</v>
      </c>
      <c r="K557" t="n">
        <v>0</v>
      </c>
      <c r="L557" t="n">
        <v>0</v>
      </c>
      <c r="M557" t="n">
        <v>0</v>
      </c>
      <c r="N557" t="n">
        <v>0</v>
      </c>
      <c r="O557" t="n">
        <v>0</v>
      </c>
      <c r="P557" t="n">
        <v>0</v>
      </c>
      <c r="Q557" t="n">
        <v>0</v>
      </c>
      <c r="R557" s="2" t="inlineStr"/>
    </row>
    <row r="558" ht="15" customHeight="1">
      <c r="A558" t="inlineStr">
        <is>
          <t>A 8612-2024</t>
        </is>
      </c>
      <c r="B558" s="1" t="n">
        <v>45355.70009259259</v>
      </c>
      <c r="C558" s="1" t="n">
        <v>46184</v>
      </c>
      <c r="D558" t="inlineStr">
        <is>
          <t>ÖREBRO LÄN</t>
        </is>
      </c>
      <c r="E558" t="inlineStr">
        <is>
          <t>LINDESBERG</t>
        </is>
      </c>
      <c r="G558" t="n">
        <v>4.5</v>
      </c>
      <c r="H558" t="n">
        <v>0</v>
      </c>
      <c r="I558" t="n">
        <v>0</v>
      </c>
      <c r="J558" t="n">
        <v>0</v>
      </c>
      <c r="K558" t="n">
        <v>0</v>
      </c>
      <c r="L558" t="n">
        <v>0</v>
      </c>
      <c r="M558" t="n">
        <v>0</v>
      </c>
      <c r="N558" t="n">
        <v>0</v>
      </c>
      <c r="O558" t="n">
        <v>0</v>
      </c>
      <c r="P558" t="n">
        <v>0</v>
      </c>
      <c r="Q558" t="n">
        <v>0</v>
      </c>
      <c r="R558" s="2" t="inlineStr"/>
    </row>
    <row r="559" ht="15" customHeight="1">
      <c r="A559" t="inlineStr">
        <is>
          <t>A 7126-2025</t>
        </is>
      </c>
      <c r="B559" s="1" t="n">
        <v>45702</v>
      </c>
      <c r="C559" s="1" t="n">
        <v>46184</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21084-2026</t>
        </is>
      </c>
      <c r="B560" s="1" t="n">
        <v>46146.43534722222</v>
      </c>
      <c r="C560" s="1" t="n">
        <v>46184</v>
      </c>
      <c r="D560" t="inlineStr">
        <is>
          <t>ÖREBRO LÄN</t>
        </is>
      </c>
      <c r="E560" t="inlineStr">
        <is>
          <t>LINDESBERG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9961-2023</t>
        </is>
      </c>
      <c r="B561" s="1" t="n">
        <v>44979</v>
      </c>
      <c r="C561" s="1" t="n">
        <v>46184</v>
      </c>
      <c r="D561" t="inlineStr">
        <is>
          <t>ÖREBRO LÄN</t>
        </is>
      </c>
      <c r="E561" t="inlineStr">
        <is>
          <t>LINDESBERG</t>
        </is>
      </c>
      <c r="G561" t="n">
        <v>4.8</v>
      </c>
      <c r="H561" t="n">
        <v>0</v>
      </c>
      <c r="I561" t="n">
        <v>0</v>
      </c>
      <c r="J561" t="n">
        <v>0</v>
      </c>
      <c r="K561" t="n">
        <v>0</v>
      </c>
      <c r="L561" t="n">
        <v>0</v>
      </c>
      <c r="M561" t="n">
        <v>0</v>
      </c>
      <c r="N561" t="n">
        <v>0</v>
      </c>
      <c r="O561" t="n">
        <v>0</v>
      </c>
      <c r="P561" t="n">
        <v>0</v>
      </c>
      <c r="Q561" t="n">
        <v>0</v>
      </c>
      <c r="R561" s="2" t="inlineStr"/>
    </row>
    <row r="562" ht="15" customHeight="1">
      <c r="A562" t="inlineStr">
        <is>
          <t>A 5047-2023</t>
        </is>
      </c>
      <c r="B562" s="1" t="n">
        <v>44958.58982638889</v>
      </c>
      <c r="C562" s="1" t="n">
        <v>46184</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18590-2023</t>
        </is>
      </c>
      <c r="B563" s="1" t="n">
        <v>45043.40300925926</v>
      </c>
      <c r="C563" s="1" t="n">
        <v>46184</v>
      </c>
      <c r="D563" t="inlineStr">
        <is>
          <t>ÖREBRO LÄN</t>
        </is>
      </c>
      <c r="E563" t="inlineStr">
        <is>
          <t>LINDESBERG</t>
        </is>
      </c>
      <c r="G563" t="n">
        <v>2.4</v>
      </c>
      <c r="H563" t="n">
        <v>0</v>
      </c>
      <c r="I563" t="n">
        <v>0</v>
      </c>
      <c r="J563" t="n">
        <v>0</v>
      </c>
      <c r="K563" t="n">
        <v>0</v>
      </c>
      <c r="L563" t="n">
        <v>0</v>
      </c>
      <c r="M563" t="n">
        <v>0</v>
      </c>
      <c r="N563" t="n">
        <v>0</v>
      </c>
      <c r="O563" t="n">
        <v>0</v>
      </c>
      <c r="P563" t="n">
        <v>0</v>
      </c>
      <c r="Q563" t="n">
        <v>0</v>
      </c>
      <c r="R563" s="2" t="inlineStr"/>
    </row>
    <row r="564" ht="15" customHeight="1">
      <c r="A564" t="inlineStr">
        <is>
          <t>A 5784-2025</t>
        </is>
      </c>
      <c r="B564" s="1" t="n">
        <v>45694</v>
      </c>
      <c r="C564" s="1" t="n">
        <v>46184</v>
      </c>
      <c r="D564" t="inlineStr">
        <is>
          <t>ÖREBRO LÄN</t>
        </is>
      </c>
      <c r="E564" t="inlineStr">
        <is>
          <t>LINDESBERG</t>
        </is>
      </c>
      <c r="F564" t="inlineStr">
        <is>
          <t>Allmännings- och besparingsskogar</t>
        </is>
      </c>
      <c r="G564" t="n">
        <v>1.6</v>
      </c>
      <c r="H564" t="n">
        <v>0</v>
      </c>
      <c r="I564" t="n">
        <v>0</v>
      </c>
      <c r="J564" t="n">
        <v>0</v>
      </c>
      <c r="K564" t="n">
        <v>0</v>
      </c>
      <c r="L564" t="n">
        <v>0</v>
      </c>
      <c r="M564" t="n">
        <v>0</v>
      </c>
      <c r="N564" t="n">
        <v>0</v>
      </c>
      <c r="O564" t="n">
        <v>0</v>
      </c>
      <c r="P564" t="n">
        <v>0</v>
      </c>
      <c r="Q564" t="n">
        <v>0</v>
      </c>
      <c r="R564" s="2" t="inlineStr"/>
    </row>
    <row r="565" ht="15" customHeight="1">
      <c r="A565" t="inlineStr">
        <is>
          <t>A 16448-2025</t>
        </is>
      </c>
      <c r="B565" s="1" t="n">
        <v>45751.5056712963</v>
      </c>
      <c r="C565" s="1" t="n">
        <v>46184</v>
      </c>
      <c r="D565" t="inlineStr">
        <is>
          <t>ÖREBRO LÄN</t>
        </is>
      </c>
      <c r="E565" t="inlineStr">
        <is>
          <t>LINDESBERG</t>
        </is>
      </c>
      <c r="G565" t="n">
        <v>20.1</v>
      </c>
      <c r="H565" t="n">
        <v>0</v>
      </c>
      <c r="I565" t="n">
        <v>0</v>
      </c>
      <c r="J565" t="n">
        <v>0</v>
      </c>
      <c r="K565" t="n">
        <v>0</v>
      </c>
      <c r="L565" t="n">
        <v>0</v>
      </c>
      <c r="M565" t="n">
        <v>0</v>
      </c>
      <c r="N565" t="n">
        <v>0</v>
      </c>
      <c r="O565" t="n">
        <v>0</v>
      </c>
      <c r="P565" t="n">
        <v>0</v>
      </c>
      <c r="Q565" t="n">
        <v>0</v>
      </c>
      <c r="R565" s="2" t="inlineStr"/>
    </row>
    <row r="566" ht="15" customHeight="1">
      <c r="A566" t="inlineStr">
        <is>
          <t>A 54432-2023</t>
        </is>
      </c>
      <c r="B566" s="1" t="n">
        <v>45233.42121527778</v>
      </c>
      <c r="C566" s="1" t="n">
        <v>46184</v>
      </c>
      <c r="D566" t="inlineStr">
        <is>
          <t>ÖREBRO LÄN</t>
        </is>
      </c>
      <c r="E566" t="inlineStr">
        <is>
          <t>LINDESBERG</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16092-2026</t>
        </is>
      </c>
      <c r="B567" s="1" t="n">
        <v>46108</v>
      </c>
      <c r="C567" s="1" t="n">
        <v>46184</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21796-2026</t>
        </is>
      </c>
      <c r="B568" s="1" t="n">
        <v>46150.42483796296</v>
      </c>
      <c r="C568" s="1" t="n">
        <v>46184</v>
      </c>
      <c r="D568" t="inlineStr">
        <is>
          <t>ÖREBRO LÄN</t>
        </is>
      </c>
      <c r="E568" t="inlineStr">
        <is>
          <t>LINDESBERG</t>
        </is>
      </c>
      <c r="F568" t="inlineStr">
        <is>
          <t>Naturvårdsverket</t>
        </is>
      </c>
      <c r="G568" t="n">
        <v>5.1</v>
      </c>
      <c r="H568" t="n">
        <v>0</v>
      </c>
      <c r="I568" t="n">
        <v>0</v>
      </c>
      <c r="J568" t="n">
        <v>0</v>
      </c>
      <c r="K568" t="n">
        <v>0</v>
      </c>
      <c r="L568" t="n">
        <v>0</v>
      </c>
      <c r="M568" t="n">
        <v>0</v>
      </c>
      <c r="N568" t="n">
        <v>0</v>
      </c>
      <c r="O568" t="n">
        <v>0</v>
      </c>
      <c r="P568" t="n">
        <v>0</v>
      </c>
      <c r="Q568" t="n">
        <v>0</v>
      </c>
      <c r="R568" s="2" t="inlineStr"/>
    </row>
    <row r="569" ht="15" customHeight="1">
      <c r="A569" t="inlineStr">
        <is>
          <t>A 9436-2023</t>
        </is>
      </c>
      <c r="B569" s="1" t="n">
        <v>44981</v>
      </c>
      <c r="C569" s="1" t="n">
        <v>46184</v>
      </c>
      <c r="D569" t="inlineStr">
        <is>
          <t>ÖREBRO LÄN</t>
        </is>
      </c>
      <c r="E569" t="inlineStr">
        <is>
          <t>LINDESBERG</t>
        </is>
      </c>
      <c r="G569" t="n">
        <v>2.8</v>
      </c>
      <c r="H569" t="n">
        <v>0</v>
      </c>
      <c r="I569" t="n">
        <v>0</v>
      </c>
      <c r="J569" t="n">
        <v>0</v>
      </c>
      <c r="K569" t="n">
        <v>0</v>
      </c>
      <c r="L569" t="n">
        <v>0</v>
      </c>
      <c r="M569" t="n">
        <v>0</v>
      </c>
      <c r="N569" t="n">
        <v>0</v>
      </c>
      <c r="O569" t="n">
        <v>0</v>
      </c>
      <c r="P569" t="n">
        <v>0</v>
      </c>
      <c r="Q569" t="n">
        <v>0</v>
      </c>
      <c r="R569" s="2" t="inlineStr"/>
    </row>
    <row r="570" ht="15" customHeight="1">
      <c r="A570" t="inlineStr">
        <is>
          <t>A 16090-2026</t>
        </is>
      </c>
      <c r="B570" s="1" t="n">
        <v>46108</v>
      </c>
      <c r="C570" s="1" t="n">
        <v>46184</v>
      </c>
      <c r="D570" t="inlineStr">
        <is>
          <t>ÖREBRO LÄN</t>
        </is>
      </c>
      <c r="E570" t="inlineStr">
        <is>
          <t>LINDESBERG</t>
        </is>
      </c>
      <c r="G570" t="n">
        <v>4</v>
      </c>
      <c r="H570" t="n">
        <v>0</v>
      </c>
      <c r="I570" t="n">
        <v>0</v>
      </c>
      <c r="J570" t="n">
        <v>0</v>
      </c>
      <c r="K570" t="n">
        <v>0</v>
      </c>
      <c r="L570" t="n">
        <v>0</v>
      </c>
      <c r="M570" t="n">
        <v>0</v>
      </c>
      <c r="N570" t="n">
        <v>0</v>
      </c>
      <c r="O570" t="n">
        <v>0</v>
      </c>
      <c r="P570" t="n">
        <v>0</v>
      </c>
      <c r="Q570" t="n">
        <v>0</v>
      </c>
      <c r="R570" s="2" t="inlineStr"/>
    </row>
    <row r="571" ht="15" customHeight="1">
      <c r="A571" t="inlineStr">
        <is>
          <t>A 16094-2026</t>
        </is>
      </c>
      <c r="B571" s="1" t="n">
        <v>46108</v>
      </c>
      <c r="C571" s="1" t="n">
        <v>46184</v>
      </c>
      <c r="D571" t="inlineStr">
        <is>
          <t>ÖREBRO LÄN</t>
        </is>
      </c>
      <c r="E571" t="inlineStr">
        <is>
          <t>LINDESBERG</t>
        </is>
      </c>
      <c r="G571" t="n">
        <v>3.9</v>
      </c>
      <c r="H571" t="n">
        <v>0</v>
      </c>
      <c r="I571" t="n">
        <v>0</v>
      </c>
      <c r="J571" t="n">
        <v>0</v>
      </c>
      <c r="K571" t="n">
        <v>0</v>
      </c>
      <c r="L571" t="n">
        <v>0</v>
      </c>
      <c r="M571" t="n">
        <v>0</v>
      </c>
      <c r="N571" t="n">
        <v>0</v>
      </c>
      <c r="O571" t="n">
        <v>0</v>
      </c>
      <c r="P571" t="n">
        <v>0</v>
      </c>
      <c r="Q571" t="n">
        <v>0</v>
      </c>
      <c r="R571" s="2" t="inlineStr"/>
    </row>
    <row r="572" ht="15" customHeight="1">
      <c r="A572" t="inlineStr">
        <is>
          <t>A 36747-2024</t>
        </is>
      </c>
      <c r="B572" s="1" t="n">
        <v>45538.34193287037</v>
      </c>
      <c r="C572" s="1" t="n">
        <v>46184</v>
      </c>
      <c r="D572" t="inlineStr">
        <is>
          <t>ÖREBRO LÄN</t>
        </is>
      </c>
      <c r="E572" t="inlineStr">
        <is>
          <t>LINDESBERG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13305-2023</t>
        </is>
      </c>
      <c r="B573" s="1" t="n">
        <v>45005.35967592592</v>
      </c>
      <c r="C573" s="1" t="n">
        <v>46184</v>
      </c>
      <c r="D573" t="inlineStr">
        <is>
          <t>ÖREBRO LÄN</t>
        </is>
      </c>
      <c r="E573" t="inlineStr">
        <is>
          <t>LINDESBERG</t>
        </is>
      </c>
      <c r="G573" t="n">
        <v>5.5</v>
      </c>
      <c r="H573" t="n">
        <v>0</v>
      </c>
      <c r="I573" t="n">
        <v>0</v>
      </c>
      <c r="J573" t="n">
        <v>0</v>
      </c>
      <c r="K573" t="n">
        <v>0</v>
      </c>
      <c r="L573" t="n">
        <v>0</v>
      </c>
      <c r="M573" t="n">
        <v>0</v>
      </c>
      <c r="N573" t="n">
        <v>0</v>
      </c>
      <c r="O573" t="n">
        <v>0</v>
      </c>
      <c r="P573" t="n">
        <v>0</v>
      </c>
      <c r="Q573" t="n">
        <v>0</v>
      </c>
      <c r="R573" s="2" t="inlineStr"/>
    </row>
    <row r="574" ht="15" customHeight="1">
      <c r="A574" t="inlineStr">
        <is>
          <t>A 13368-2023</t>
        </is>
      </c>
      <c r="B574" s="1" t="n">
        <v>45005.47820601852</v>
      </c>
      <c r="C574" s="1" t="n">
        <v>46184</v>
      </c>
      <c r="D574" t="inlineStr">
        <is>
          <t>ÖREBRO LÄN</t>
        </is>
      </c>
      <c r="E574" t="inlineStr">
        <is>
          <t>LINDESBERG</t>
        </is>
      </c>
      <c r="F574" t="inlineStr">
        <is>
          <t>Kommuner</t>
        </is>
      </c>
      <c r="G574" t="n">
        <v>0.7</v>
      </c>
      <c r="H574" t="n">
        <v>0</v>
      </c>
      <c r="I574" t="n">
        <v>0</v>
      </c>
      <c r="J574" t="n">
        <v>0</v>
      </c>
      <c r="K574" t="n">
        <v>0</v>
      </c>
      <c r="L574" t="n">
        <v>0</v>
      </c>
      <c r="M574" t="n">
        <v>0</v>
      </c>
      <c r="N574" t="n">
        <v>0</v>
      </c>
      <c r="O574" t="n">
        <v>0</v>
      </c>
      <c r="P574" t="n">
        <v>0</v>
      </c>
      <c r="Q574" t="n">
        <v>0</v>
      </c>
      <c r="R574" s="2" t="inlineStr"/>
    </row>
    <row r="575" ht="15" customHeight="1">
      <c r="A575" t="inlineStr">
        <is>
          <t>A 56912-2024</t>
        </is>
      </c>
      <c r="B575" s="1" t="n">
        <v>45628.59233796296</v>
      </c>
      <c r="C575" s="1" t="n">
        <v>46184</v>
      </c>
      <c r="D575" t="inlineStr">
        <is>
          <t>ÖREBRO LÄN</t>
        </is>
      </c>
      <c r="E575" t="inlineStr">
        <is>
          <t>LINDESBERG</t>
        </is>
      </c>
      <c r="G575" t="n">
        <v>1</v>
      </c>
      <c r="H575" t="n">
        <v>0</v>
      </c>
      <c r="I575" t="n">
        <v>0</v>
      </c>
      <c r="J575" t="n">
        <v>0</v>
      </c>
      <c r="K575" t="n">
        <v>0</v>
      </c>
      <c r="L575" t="n">
        <v>0</v>
      </c>
      <c r="M575" t="n">
        <v>0</v>
      </c>
      <c r="N575" t="n">
        <v>0</v>
      </c>
      <c r="O575" t="n">
        <v>0</v>
      </c>
      <c r="P575" t="n">
        <v>0</v>
      </c>
      <c r="Q575" t="n">
        <v>0</v>
      </c>
      <c r="R575" s="2" t="inlineStr"/>
    </row>
    <row r="576" ht="15" customHeight="1">
      <c r="A576" t="inlineStr">
        <is>
          <t>A 15750-2024</t>
        </is>
      </c>
      <c r="B576" s="1" t="n">
        <v>45404.55601851852</v>
      </c>
      <c r="C576" s="1" t="n">
        <v>46184</v>
      </c>
      <c r="D576" t="inlineStr">
        <is>
          <t>ÖREBRO LÄN</t>
        </is>
      </c>
      <c r="E576" t="inlineStr">
        <is>
          <t>LINDESBERG</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72698-2021</t>
        </is>
      </c>
      <c r="B577" s="1" t="n">
        <v>44546.6679050926</v>
      </c>
      <c r="C577" s="1" t="n">
        <v>46184</v>
      </c>
      <c r="D577" t="inlineStr">
        <is>
          <t>ÖREBRO LÄN</t>
        </is>
      </c>
      <c r="E577" t="inlineStr">
        <is>
          <t>LINDESBERG</t>
        </is>
      </c>
      <c r="G577" t="n">
        <v>1.6</v>
      </c>
      <c r="H577" t="n">
        <v>0</v>
      </c>
      <c r="I577" t="n">
        <v>0</v>
      </c>
      <c r="J577" t="n">
        <v>0</v>
      </c>
      <c r="K577" t="n">
        <v>0</v>
      </c>
      <c r="L577" t="n">
        <v>0</v>
      </c>
      <c r="M577" t="n">
        <v>0</v>
      </c>
      <c r="N577" t="n">
        <v>0</v>
      </c>
      <c r="O577" t="n">
        <v>0</v>
      </c>
      <c r="P577" t="n">
        <v>0</v>
      </c>
      <c r="Q577" t="n">
        <v>0</v>
      </c>
      <c r="R577" s="2" t="inlineStr"/>
    </row>
    <row r="578" ht="15" customHeight="1">
      <c r="A578" t="inlineStr">
        <is>
          <t>A 21871-2026</t>
        </is>
      </c>
      <c r="B578" s="1" t="n">
        <v>46150.58001157407</v>
      </c>
      <c r="C578" s="1" t="n">
        <v>46184</v>
      </c>
      <c r="D578" t="inlineStr">
        <is>
          <t>ÖREBRO LÄN</t>
        </is>
      </c>
      <c r="E578" t="inlineStr">
        <is>
          <t>LINDESBERG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19110-2025</t>
        </is>
      </c>
      <c r="B579" s="1" t="n">
        <v>45768.49947916667</v>
      </c>
      <c r="C579" s="1" t="n">
        <v>46184</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row>
    <row r="580" ht="15" customHeight="1">
      <c r="A580" t="inlineStr">
        <is>
          <t>A 46678-2023</t>
        </is>
      </c>
      <c r="B580" s="1" t="n">
        <v>45194</v>
      </c>
      <c r="C580" s="1" t="n">
        <v>46184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23579-2022</t>
        </is>
      </c>
      <c r="B581" s="1" t="n">
        <v>44721.52627314815</v>
      </c>
      <c r="C581" s="1" t="n">
        <v>46184</v>
      </c>
      <c r="D581" t="inlineStr">
        <is>
          <t>ÖREBRO LÄN</t>
        </is>
      </c>
      <c r="E581" t="inlineStr">
        <is>
          <t>LINDESBERG</t>
        </is>
      </c>
      <c r="G581" t="n">
        <v>0.7</v>
      </c>
      <c r="H581" t="n">
        <v>0</v>
      </c>
      <c r="I581" t="n">
        <v>0</v>
      </c>
      <c r="J581" t="n">
        <v>0</v>
      </c>
      <c r="K581" t="n">
        <v>0</v>
      </c>
      <c r="L581" t="n">
        <v>0</v>
      </c>
      <c r="M581" t="n">
        <v>0</v>
      </c>
      <c r="N581" t="n">
        <v>0</v>
      </c>
      <c r="O581" t="n">
        <v>0</v>
      </c>
      <c r="P581" t="n">
        <v>0</v>
      </c>
      <c r="Q581" t="n">
        <v>0</v>
      </c>
      <c r="R581" s="2" t="inlineStr"/>
    </row>
    <row r="582" ht="15" customHeight="1">
      <c r="A582" t="inlineStr">
        <is>
          <t>A 53054-2022</t>
        </is>
      </c>
      <c r="B582" s="1" t="n">
        <v>44876.35706018518</v>
      </c>
      <c r="C582" s="1" t="n">
        <v>46184</v>
      </c>
      <c r="D582" t="inlineStr">
        <is>
          <t>ÖREBRO LÄN</t>
        </is>
      </c>
      <c r="E582" t="inlineStr">
        <is>
          <t>LINDESBERG</t>
        </is>
      </c>
      <c r="F582" t="inlineStr">
        <is>
          <t>Sveaskog</t>
        </is>
      </c>
      <c r="G582" t="n">
        <v>2.6</v>
      </c>
      <c r="H582" t="n">
        <v>0</v>
      </c>
      <c r="I582" t="n">
        <v>0</v>
      </c>
      <c r="J582" t="n">
        <v>0</v>
      </c>
      <c r="K582" t="n">
        <v>0</v>
      </c>
      <c r="L582" t="n">
        <v>0</v>
      </c>
      <c r="M582" t="n">
        <v>0</v>
      </c>
      <c r="N582" t="n">
        <v>0</v>
      </c>
      <c r="O582" t="n">
        <v>0</v>
      </c>
      <c r="P582" t="n">
        <v>0</v>
      </c>
      <c r="Q582" t="n">
        <v>0</v>
      </c>
      <c r="R582" s="2" t="inlineStr"/>
    </row>
    <row r="583" ht="15" customHeight="1">
      <c r="A583" t="inlineStr">
        <is>
          <t>A 20467-2023</t>
        </is>
      </c>
      <c r="B583" s="1" t="n">
        <v>45057</v>
      </c>
      <c r="C583" s="1" t="n">
        <v>46184</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35140-2023</t>
        </is>
      </c>
      <c r="B584" s="1" t="n">
        <v>45145</v>
      </c>
      <c r="C584" s="1" t="n">
        <v>46184</v>
      </c>
      <c r="D584" t="inlineStr">
        <is>
          <t>ÖREBRO LÄN</t>
        </is>
      </c>
      <c r="E584" t="inlineStr">
        <is>
          <t>LINDESBERG</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38762-2021</t>
        </is>
      </c>
      <c r="B585" s="1" t="n">
        <v>44410.61837962963</v>
      </c>
      <c r="C585" s="1" t="n">
        <v>46184</v>
      </c>
      <c r="D585" t="inlineStr">
        <is>
          <t>ÖREBRO LÄN</t>
        </is>
      </c>
      <c r="E585" t="inlineStr">
        <is>
          <t>LINDESBERG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39419-2023</t>
        </is>
      </c>
      <c r="B586" s="1" t="n">
        <v>45166.68493055556</v>
      </c>
      <c r="C586" s="1" t="n">
        <v>46184</v>
      </c>
      <c r="D586" t="inlineStr">
        <is>
          <t>ÖREBRO LÄN</t>
        </is>
      </c>
      <c r="E586" t="inlineStr">
        <is>
          <t>LINDESBERG</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6470-2024</t>
        </is>
      </c>
      <c r="B587" s="1" t="n">
        <v>45338</v>
      </c>
      <c r="C587" s="1" t="n">
        <v>46184</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45978-2021</t>
        </is>
      </c>
      <c r="B588" s="1" t="n">
        <v>44441.70047453704</v>
      </c>
      <c r="C588" s="1" t="n">
        <v>46184</v>
      </c>
      <c r="D588" t="inlineStr">
        <is>
          <t>ÖREBRO LÄN</t>
        </is>
      </c>
      <c r="E588" t="inlineStr">
        <is>
          <t>LINDESBERG</t>
        </is>
      </c>
      <c r="G588" t="n">
        <v>4.4</v>
      </c>
      <c r="H588" t="n">
        <v>0</v>
      </c>
      <c r="I588" t="n">
        <v>0</v>
      </c>
      <c r="J588" t="n">
        <v>0</v>
      </c>
      <c r="K588" t="n">
        <v>0</v>
      </c>
      <c r="L588" t="n">
        <v>0</v>
      </c>
      <c r="M588" t="n">
        <v>0</v>
      </c>
      <c r="N588" t="n">
        <v>0</v>
      </c>
      <c r="O588" t="n">
        <v>0</v>
      </c>
      <c r="P588" t="n">
        <v>0</v>
      </c>
      <c r="Q588" t="n">
        <v>0</v>
      </c>
      <c r="R588" s="2" t="inlineStr"/>
    </row>
    <row r="589" ht="15" customHeight="1">
      <c r="A589" t="inlineStr">
        <is>
          <t>A 17010-2026</t>
        </is>
      </c>
      <c r="B589" s="1" t="n">
        <v>46114</v>
      </c>
      <c r="C589" s="1" t="n">
        <v>46184</v>
      </c>
      <c r="D589" t="inlineStr">
        <is>
          <t>ÖREBRO LÄN</t>
        </is>
      </c>
      <c r="E589" t="inlineStr">
        <is>
          <t>LINDESBERG</t>
        </is>
      </c>
      <c r="G589" t="n">
        <v>3.7</v>
      </c>
      <c r="H589" t="n">
        <v>0</v>
      </c>
      <c r="I589" t="n">
        <v>0</v>
      </c>
      <c r="J589" t="n">
        <v>0</v>
      </c>
      <c r="K589" t="n">
        <v>0</v>
      </c>
      <c r="L589" t="n">
        <v>0</v>
      </c>
      <c r="M589" t="n">
        <v>0</v>
      </c>
      <c r="N589" t="n">
        <v>0</v>
      </c>
      <c r="O589" t="n">
        <v>0</v>
      </c>
      <c r="P589" t="n">
        <v>0</v>
      </c>
      <c r="Q589" t="n">
        <v>0</v>
      </c>
      <c r="R589" s="2" t="inlineStr"/>
    </row>
    <row r="590" ht="15" customHeight="1">
      <c r="A590" t="inlineStr">
        <is>
          <t>A 11218-2025</t>
        </is>
      </c>
      <c r="B590" s="1" t="n">
        <v>45726.33763888889</v>
      </c>
      <c r="C590" s="1" t="n">
        <v>46184</v>
      </c>
      <c r="D590" t="inlineStr">
        <is>
          <t>ÖREBRO LÄN</t>
        </is>
      </c>
      <c r="E590" t="inlineStr">
        <is>
          <t>LINDESBERG</t>
        </is>
      </c>
      <c r="G590" t="n">
        <v>0.4</v>
      </c>
      <c r="H590" t="n">
        <v>0</v>
      </c>
      <c r="I590" t="n">
        <v>0</v>
      </c>
      <c r="J590" t="n">
        <v>0</v>
      </c>
      <c r="K590" t="n">
        <v>0</v>
      </c>
      <c r="L590" t="n">
        <v>0</v>
      </c>
      <c r="M590" t="n">
        <v>0</v>
      </c>
      <c r="N590" t="n">
        <v>0</v>
      </c>
      <c r="O590" t="n">
        <v>0</v>
      </c>
      <c r="P590" t="n">
        <v>0</v>
      </c>
      <c r="Q590" t="n">
        <v>0</v>
      </c>
      <c r="R590" s="2" t="inlineStr"/>
    </row>
    <row r="591" ht="15" customHeight="1">
      <c r="A591" t="inlineStr">
        <is>
          <t>A 11220-2025</t>
        </is>
      </c>
      <c r="B591" s="1" t="n">
        <v>45726.34090277777</v>
      </c>
      <c r="C591" s="1" t="n">
        <v>46184</v>
      </c>
      <c r="D591" t="inlineStr">
        <is>
          <t>ÖREBRO LÄN</t>
        </is>
      </c>
      <c r="E591" t="inlineStr">
        <is>
          <t>LINDESBERG</t>
        </is>
      </c>
      <c r="G591" t="n">
        <v>1</v>
      </c>
      <c r="H591" t="n">
        <v>0</v>
      </c>
      <c r="I591" t="n">
        <v>0</v>
      </c>
      <c r="J591" t="n">
        <v>0</v>
      </c>
      <c r="K591" t="n">
        <v>0</v>
      </c>
      <c r="L591" t="n">
        <v>0</v>
      </c>
      <c r="M591" t="n">
        <v>0</v>
      </c>
      <c r="N591" t="n">
        <v>0</v>
      </c>
      <c r="O591" t="n">
        <v>0</v>
      </c>
      <c r="P591" t="n">
        <v>0</v>
      </c>
      <c r="Q591" t="n">
        <v>0</v>
      </c>
      <c r="R591" s="2" t="inlineStr"/>
    </row>
    <row r="592" ht="15" customHeight="1">
      <c r="A592" t="inlineStr">
        <is>
          <t>A 16812-2026</t>
        </is>
      </c>
      <c r="B592" s="1" t="n">
        <v>46113.49563657407</v>
      </c>
      <c r="C592" s="1" t="n">
        <v>46184</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37616-2023</t>
        </is>
      </c>
      <c r="B593" s="1" t="n">
        <v>45159.44525462963</v>
      </c>
      <c r="C593" s="1" t="n">
        <v>46184</v>
      </c>
      <c r="D593" t="inlineStr">
        <is>
          <t>ÖREBRO LÄN</t>
        </is>
      </c>
      <c r="E593" t="inlineStr">
        <is>
          <t>LINDESBERG</t>
        </is>
      </c>
      <c r="G593" t="n">
        <v>5.3</v>
      </c>
      <c r="H593" t="n">
        <v>0</v>
      </c>
      <c r="I593" t="n">
        <v>0</v>
      </c>
      <c r="J593" t="n">
        <v>0</v>
      </c>
      <c r="K593" t="n">
        <v>0</v>
      </c>
      <c r="L593" t="n">
        <v>0</v>
      </c>
      <c r="M593" t="n">
        <v>0</v>
      </c>
      <c r="N593" t="n">
        <v>0</v>
      </c>
      <c r="O593" t="n">
        <v>0</v>
      </c>
      <c r="P593" t="n">
        <v>0</v>
      </c>
      <c r="Q593" t="n">
        <v>0</v>
      </c>
      <c r="R593" s="2" t="inlineStr"/>
    </row>
    <row r="594" ht="15" customHeight="1">
      <c r="A594" t="inlineStr">
        <is>
          <t>A 28562-2023</t>
        </is>
      </c>
      <c r="B594" s="1" t="n">
        <v>45103.53614583334</v>
      </c>
      <c r="C594" s="1" t="n">
        <v>46184</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17013-2026</t>
        </is>
      </c>
      <c r="B595" s="1" t="n">
        <v>46114</v>
      </c>
      <c r="C595" s="1" t="n">
        <v>46184</v>
      </c>
      <c r="D595" t="inlineStr">
        <is>
          <t>ÖREBRO LÄN</t>
        </is>
      </c>
      <c r="E595" t="inlineStr">
        <is>
          <t>LINDESBERG</t>
        </is>
      </c>
      <c r="G595" t="n">
        <v>1.3</v>
      </c>
      <c r="H595" t="n">
        <v>0</v>
      </c>
      <c r="I595" t="n">
        <v>0</v>
      </c>
      <c r="J595" t="n">
        <v>0</v>
      </c>
      <c r="K595" t="n">
        <v>0</v>
      </c>
      <c r="L595" t="n">
        <v>0</v>
      </c>
      <c r="M595" t="n">
        <v>0</v>
      </c>
      <c r="N595" t="n">
        <v>0</v>
      </c>
      <c r="O595" t="n">
        <v>0</v>
      </c>
      <c r="P595" t="n">
        <v>0</v>
      </c>
      <c r="Q595" t="n">
        <v>0</v>
      </c>
      <c r="R595" s="2" t="inlineStr"/>
    </row>
    <row r="596" ht="15" customHeight="1">
      <c r="A596" t="inlineStr">
        <is>
          <t>A 3026-2026</t>
        </is>
      </c>
      <c r="B596" s="1" t="n">
        <v>46038</v>
      </c>
      <c r="C596" s="1" t="n">
        <v>46184</v>
      </c>
      <c r="D596" t="inlineStr">
        <is>
          <t>ÖREBRO LÄN</t>
        </is>
      </c>
      <c r="E596" t="inlineStr">
        <is>
          <t>LINDESBERG</t>
        </is>
      </c>
      <c r="G596" t="n">
        <v>10.3</v>
      </c>
      <c r="H596" t="n">
        <v>0</v>
      </c>
      <c r="I596" t="n">
        <v>0</v>
      </c>
      <c r="J596" t="n">
        <v>0</v>
      </c>
      <c r="K596" t="n">
        <v>0</v>
      </c>
      <c r="L596" t="n">
        <v>0</v>
      </c>
      <c r="M596" t="n">
        <v>0</v>
      </c>
      <c r="N596" t="n">
        <v>0</v>
      </c>
      <c r="O596" t="n">
        <v>0</v>
      </c>
      <c r="P596" t="n">
        <v>0</v>
      </c>
      <c r="Q596" t="n">
        <v>0</v>
      </c>
      <c r="R596" s="2" t="inlineStr"/>
    </row>
    <row r="597" ht="15" customHeight="1">
      <c r="A597" t="inlineStr">
        <is>
          <t>A 21016-2023</t>
        </is>
      </c>
      <c r="B597" s="1" t="n">
        <v>45061.53414351852</v>
      </c>
      <c r="C597" s="1" t="n">
        <v>46184</v>
      </c>
      <c r="D597" t="inlineStr">
        <is>
          <t>ÖREBRO LÄN</t>
        </is>
      </c>
      <c r="E597" t="inlineStr">
        <is>
          <t>LINDESBERG</t>
        </is>
      </c>
      <c r="G597" t="n">
        <v>8.1</v>
      </c>
      <c r="H597" t="n">
        <v>0</v>
      </c>
      <c r="I597" t="n">
        <v>0</v>
      </c>
      <c r="J597" t="n">
        <v>0</v>
      </c>
      <c r="K597" t="n">
        <v>0</v>
      </c>
      <c r="L597" t="n">
        <v>0</v>
      </c>
      <c r="M597" t="n">
        <v>0</v>
      </c>
      <c r="N597" t="n">
        <v>0</v>
      </c>
      <c r="O597" t="n">
        <v>0</v>
      </c>
      <c r="P597" t="n">
        <v>0</v>
      </c>
      <c r="Q597" t="n">
        <v>0</v>
      </c>
      <c r="R597" s="2" t="inlineStr"/>
    </row>
    <row r="598" ht="15" customHeight="1">
      <c r="A598" t="inlineStr">
        <is>
          <t>A 64084-2023</t>
        </is>
      </c>
      <c r="B598" s="1" t="n">
        <v>45279</v>
      </c>
      <c r="C598" s="1" t="n">
        <v>46184</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33886-2024</t>
        </is>
      </c>
      <c r="B599" s="1" t="n">
        <v>45523.31621527778</v>
      </c>
      <c r="C599" s="1" t="n">
        <v>46184</v>
      </c>
      <c r="D599" t="inlineStr">
        <is>
          <t>ÖREBRO LÄN</t>
        </is>
      </c>
      <c r="E599" t="inlineStr">
        <is>
          <t>LINDESBERG</t>
        </is>
      </c>
      <c r="G599" t="n">
        <v>1.3</v>
      </c>
      <c r="H599" t="n">
        <v>0</v>
      </c>
      <c r="I599" t="n">
        <v>0</v>
      </c>
      <c r="J599" t="n">
        <v>0</v>
      </c>
      <c r="K599" t="n">
        <v>0</v>
      </c>
      <c r="L599" t="n">
        <v>0</v>
      </c>
      <c r="M599" t="n">
        <v>0</v>
      </c>
      <c r="N599" t="n">
        <v>0</v>
      </c>
      <c r="O599" t="n">
        <v>0</v>
      </c>
      <c r="P599" t="n">
        <v>0</v>
      </c>
      <c r="Q599" t="n">
        <v>0</v>
      </c>
      <c r="R599" s="2" t="inlineStr"/>
    </row>
    <row r="600" ht="15" customHeight="1">
      <c r="A600" t="inlineStr">
        <is>
          <t>A 43046-2022</t>
        </is>
      </c>
      <c r="B600" s="1" t="n">
        <v>44833</v>
      </c>
      <c r="C600" s="1" t="n">
        <v>46184</v>
      </c>
      <c r="D600" t="inlineStr">
        <is>
          <t>ÖREBRO LÄN</t>
        </is>
      </c>
      <c r="E600" t="inlineStr">
        <is>
          <t>LINDESBERG</t>
        </is>
      </c>
      <c r="G600" t="n">
        <v>0.9</v>
      </c>
      <c r="H600" t="n">
        <v>0</v>
      </c>
      <c r="I600" t="n">
        <v>0</v>
      </c>
      <c r="J600" t="n">
        <v>0</v>
      </c>
      <c r="K600" t="n">
        <v>0</v>
      </c>
      <c r="L600" t="n">
        <v>0</v>
      </c>
      <c r="M600" t="n">
        <v>0</v>
      </c>
      <c r="N600" t="n">
        <v>0</v>
      </c>
      <c r="O600" t="n">
        <v>0</v>
      </c>
      <c r="P600" t="n">
        <v>0</v>
      </c>
      <c r="Q600" t="n">
        <v>0</v>
      </c>
      <c r="R600" s="2" t="inlineStr"/>
    </row>
    <row r="601" ht="15" customHeight="1">
      <c r="A601" t="inlineStr">
        <is>
          <t>A 62866-2023</t>
        </is>
      </c>
      <c r="B601" s="1" t="n">
        <v>45272.36168981482</v>
      </c>
      <c r="C601" s="1" t="n">
        <v>46184</v>
      </c>
      <c r="D601" t="inlineStr">
        <is>
          <t>ÖREBRO LÄN</t>
        </is>
      </c>
      <c r="E601" t="inlineStr">
        <is>
          <t>LINDESBERG</t>
        </is>
      </c>
      <c r="G601" t="n">
        <v>14.5</v>
      </c>
      <c r="H601" t="n">
        <v>0</v>
      </c>
      <c r="I601" t="n">
        <v>0</v>
      </c>
      <c r="J601" t="n">
        <v>0</v>
      </c>
      <c r="K601" t="n">
        <v>0</v>
      </c>
      <c r="L601" t="n">
        <v>0</v>
      </c>
      <c r="M601" t="n">
        <v>0</v>
      </c>
      <c r="N601" t="n">
        <v>0</v>
      </c>
      <c r="O601" t="n">
        <v>0</v>
      </c>
      <c r="P601" t="n">
        <v>0</v>
      </c>
      <c r="Q601" t="n">
        <v>0</v>
      </c>
      <c r="R601" s="2" t="inlineStr"/>
    </row>
    <row r="602" ht="15" customHeight="1">
      <c r="A602" t="inlineStr">
        <is>
          <t>A 22745-2026</t>
        </is>
      </c>
      <c r="B602" s="1" t="n">
        <v>46157.4291087963</v>
      </c>
      <c r="C602" s="1" t="n">
        <v>46184</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22752-2026</t>
        </is>
      </c>
      <c r="B603" s="1" t="n">
        <v>46157.44695601852</v>
      </c>
      <c r="C603" s="1" t="n">
        <v>46184</v>
      </c>
      <c r="D603" t="inlineStr">
        <is>
          <t>ÖREBRO LÄN</t>
        </is>
      </c>
      <c r="E603" t="inlineStr">
        <is>
          <t>LINDESBERG</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22748-2026</t>
        </is>
      </c>
      <c r="B604" s="1" t="n">
        <v>46157.43287037037</v>
      </c>
      <c r="C604" s="1" t="n">
        <v>46184</v>
      </c>
      <c r="D604" t="inlineStr">
        <is>
          <t>ÖREBRO LÄN</t>
        </is>
      </c>
      <c r="E604" t="inlineStr">
        <is>
          <t>LINDESBERG</t>
        </is>
      </c>
      <c r="G604" t="n">
        <v>3.1</v>
      </c>
      <c r="H604" t="n">
        <v>0</v>
      </c>
      <c r="I604" t="n">
        <v>0</v>
      </c>
      <c r="J604" t="n">
        <v>0</v>
      </c>
      <c r="K604" t="n">
        <v>0</v>
      </c>
      <c r="L604" t="n">
        <v>0</v>
      </c>
      <c r="M604" t="n">
        <v>0</v>
      </c>
      <c r="N604" t="n">
        <v>0</v>
      </c>
      <c r="O604" t="n">
        <v>0</v>
      </c>
      <c r="P604" t="n">
        <v>0</v>
      </c>
      <c r="Q604" t="n">
        <v>0</v>
      </c>
      <c r="R604" s="2" t="inlineStr"/>
    </row>
    <row r="605" ht="15" customHeight="1">
      <c r="A605" t="inlineStr">
        <is>
          <t>A 6-2023</t>
        </is>
      </c>
      <c r="B605" s="1" t="n">
        <v>44927.72487268518</v>
      </c>
      <c r="C605" s="1" t="n">
        <v>46184</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22747-2026</t>
        </is>
      </c>
      <c r="B606" s="1" t="n">
        <v>46157.43127314815</v>
      </c>
      <c r="C606" s="1" t="n">
        <v>46184</v>
      </c>
      <c r="D606" t="inlineStr">
        <is>
          <t>ÖREBRO LÄN</t>
        </is>
      </c>
      <c r="E606" t="inlineStr">
        <is>
          <t>LINDESBERG</t>
        </is>
      </c>
      <c r="G606" t="n">
        <v>4.4</v>
      </c>
      <c r="H606" t="n">
        <v>0</v>
      </c>
      <c r="I606" t="n">
        <v>0</v>
      </c>
      <c r="J606" t="n">
        <v>0</v>
      </c>
      <c r="K606" t="n">
        <v>0</v>
      </c>
      <c r="L606" t="n">
        <v>0</v>
      </c>
      <c r="M606" t="n">
        <v>0</v>
      </c>
      <c r="N606" t="n">
        <v>0</v>
      </c>
      <c r="O606" t="n">
        <v>0</v>
      </c>
      <c r="P606" t="n">
        <v>0</v>
      </c>
      <c r="Q606" t="n">
        <v>0</v>
      </c>
      <c r="R606" s="2" t="inlineStr"/>
    </row>
    <row r="607" ht="15" customHeight="1">
      <c r="A607" t="inlineStr">
        <is>
          <t>A 17158-2026</t>
        </is>
      </c>
      <c r="B607" s="1" t="n">
        <v>46115.55826388889</v>
      </c>
      <c r="C607" s="1" t="n">
        <v>46184</v>
      </c>
      <c r="D607" t="inlineStr">
        <is>
          <t>ÖREBRO LÄN</t>
        </is>
      </c>
      <c r="E607" t="inlineStr">
        <is>
          <t>LINDESBERG</t>
        </is>
      </c>
      <c r="G607" t="n">
        <v>7.8</v>
      </c>
      <c r="H607" t="n">
        <v>0</v>
      </c>
      <c r="I607" t="n">
        <v>0</v>
      </c>
      <c r="J607" t="n">
        <v>0</v>
      </c>
      <c r="K607" t="n">
        <v>0</v>
      </c>
      <c r="L607" t="n">
        <v>0</v>
      </c>
      <c r="M607" t="n">
        <v>0</v>
      </c>
      <c r="N607" t="n">
        <v>0</v>
      </c>
      <c r="O607" t="n">
        <v>0</v>
      </c>
      <c r="P607" t="n">
        <v>0</v>
      </c>
      <c r="Q607" t="n">
        <v>0</v>
      </c>
      <c r="R607" s="2" t="inlineStr"/>
    </row>
    <row r="608" ht="15" customHeight="1">
      <c r="A608" t="inlineStr">
        <is>
          <t>A 63508-2023</t>
        </is>
      </c>
      <c r="B608" s="1" t="n">
        <v>45274</v>
      </c>
      <c r="C608" s="1" t="n">
        <v>46184</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22861-2026</t>
        </is>
      </c>
      <c r="B609" s="1" t="n">
        <v>46160.4221412037</v>
      </c>
      <c r="C609" s="1" t="n">
        <v>46184</v>
      </c>
      <c r="D609" t="inlineStr">
        <is>
          <t>ÖREBRO LÄN</t>
        </is>
      </c>
      <c r="E609" t="inlineStr">
        <is>
          <t>LINDESBERG</t>
        </is>
      </c>
      <c r="G609" t="n">
        <v>2.3</v>
      </c>
      <c r="H609" t="n">
        <v>0</v>
      </c>
      <c r="I609" t="n">
        <v>0</v>
      </c>
      <c r="J609" t="n">
        <v>0</v>
      </c>
      <c r="K609" t="n">
        <v>0</v>
      </c>
      <c r="L609" t="n">
        <v>0</v>
      </c>
      <c r="M609" t="n">
        <v>0</v>
      </c>
      <c r="N609" t="n">
        <v>0</v>
      </c>
      <c r="O609" t="n">
        <v>0</v>
      </c>
      <c r="P609" t="n">
        <v>0</v>
      </c>
      <c r="Q609" t="n">
        <v>0</v>
      </c>
      <c r="R609" s="2" t="inlineStr"/>
    </row>
    <row r="610" ht="15" customHeight="1">
      <c r="A610" t="inlineStr">
        <is>
          <t>A 22862-2026</t>
        </is>
      </c>
      <c r="B610" s="1" t="n">
        <v>46160.42400462963</v>
      </c>
      <c r="C610" s="1" t="n">
        <v>46184</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17154-2026</t>
        </is>
      </c>
      <c r="B611" s="1" t="n">
        <v>46115.49298611111</v>
      </c>
      <c r="C611" s="1" t="n">
        <v>46184</v>
      </c>
      <c r="D611" t="inlineStr">
        <is>
          <t>ÖREBRO LÄN</t>
        </is>
      </c>
      <c r="E611" t="inlineStr">
        <is>
          <t>LINDESBERG</t>
        </is>
      </c>
      <c r="G611" t="n">
        <v>1</v>
      </c>
      <c r="H611" t="n">
        <v>0</v>
      </c>
      <c r="I611" t="n">
        <v>0</v>
      </c>
      <c r="J611" t="n">
        <v>0</v>
      </c>
      <c r="K611" t="n">
        <v>0</v>
      </c>
      <c r="L611" t="n">
        <v>0</v>
      </c>
      <c r="M611" t="n">
        <v>0</v>
      </c>
      <c r="N611" t="n">
        <v>0</v>
      </c>
      <c r="O611" t="n">
        <v>0</v>
      </c>
      <c r="P611" t="n">
        <v>0</v>
      </c>
      <c r="Q611" t="n">
        <v>0</v>
      </c>
      <c r="R611" s="2" t="inlineStr"/>
    </row>
    <row r="612" ht="15" customHeight="1">
      <c r="A612" t="inlineStr">
        <is>
          <t>A 17157-2026</t>
        </is>
      </c>
      <c r="B612" s="1" t="n">
        <v>46115.52068287037</v>
      </c>
      <c r="C612" s="1" t="n">
        <v>46184</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17159-2026</t>
        </is>
      </c>
      <c r="B613" s="1" t="n">
        <v>46115.57298611111</v>
      </c>
      <c r="C613" s="1" t="n">
        <v>46184</v>
      </c>
      <c r="D613" t="inlineStr">
        <is>
          <t>ÖREBRO LÄN</t>
        </is>
      </c>
      <c r="E613" t="inlineStr">
        <is>
          <t>LINDESBERG</t>
        </is>
      </c>
      <c r="G613" t="n">
        <v>1.5</v>
      </c>
      <c r="H613" t="n">
        <v>0</v>
      </c>
      <c r="I613" t="n">
        <v>0</v>
      </c>
      <c r="J613" t="n">
        <v>0</v>
      </c>
      <c r="K613" t="n">
        <v>0</v>
      </c>
      <c r="L613" t="n">
        <v>0</v>
      </c>
      <c r="M613" t="n">
        <v>0</v>
      </c>
      <c r="N613" t="n">
        <v>0</v>
      </c>
      <c r="O613" t="n">
        <v>0</v>
      </c>
      <c r="P613" t="n">
        <v>0</v>
      </c>
      <c r="Q613" t="n">
        <v>0</v>
      </c>
      <c r="R613" s="2" t="inlineStr"/>
    </row>
    <row r="614" ht="15" customHeight="1">
      <c r="A614" t="inlineStr">
        <is>
          <t>A 17155-2026</t>
        </is>
      </c>
      <c r="B614" s="1" t="n">
        <v>46115.50295138889</v>
      </c>
      <c r="C614" s="1" t="n">
        <v>46184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17156-2026</t>
        </is>
      </c>
      <c r="B615" s="1" t="n">
        <v>46115.51194444444</v>
      </c>
      <c r="C615" s="1" t="n">
        <v>46184</v>
      </c>
      <c r="D615" t="inlineStr">
        <is>
          <t>ÖREBRO LÄN</t>
        </is>
      </c>
      <c r="E615" t="inlineStr">
        <is>
          <t>LINDESBERG</t>
        </is>
      </c>
      <c r="G615" t="n">
        <v>2.2</v>
      </c>
      <c r="H615" t="n">
        <v>0</v>
      </c>
      <c r="I615" t="n">
        <v>0</v>
      </c>
      <c r="J615" t="n">
        <v>0</v>
      </c>
      <c r="K615" t="n">
        <v>0</v>
      </c>
      <c r="L615" t="n">
        <v>0</v>
      </c>
      <c r="M615" t="n">
        <v>0</v>
      </c>
      <c r="N615" t="n">
        <v>0</v>
      </c>
      <c r="O615" t="n">
        <v>0</v>
      </c>
      <c r="P615" t="n">
        <v>0</v>
      </c>
      <c r="Q615" t="n">
        <v>0</v>
      </c>
      <c r="R615" s="2" t="inlineStr"/>
    </row>
    <row r="616" ht="15" customHeight="1">
      <c r="A616" t="inlineStr">
        <is>
          <t>A 17161-2026</t>
        </is>
      </c>
      <c r="B616" s="1" t="n">
        <v>46115.59534722222</v>
      </c>
      <c r="C616" s="1" t="n">
        <v>46184</v>
      </c>
      <c r="D616" t="inlineStr">
        <is>
          <t>ÖREBRO LÄN</t>
        </is>
      </c>
      <c r="E616" t="inlineStr">
        <is>
          <t>LINDESBERG</t>
        </is>
      </c>
      <c r="G616" t="n">
        <v>3.3</v>
      </c>
      <c r="H616" t="n">
        <v>0</v>
      </c>
      <c r="I616" t="n">
        <v>0</v>
      </c>
      <c r="J616" t="n">
        <v>0</v>
      </c>
      <c r="K616" t="n">
        <v>0</v>
      </c>
      <c r="L616" t="n">
        <v>0</v>
      </c>
      <c r="M616" t="n">
        <v>0</v>
      </c>
      <c r="N616" t="n">
        <v>0</v>
      </c>
      <c r="O616" t="n">
        <v>0</v>
      </c>
      <c r="P616" t="n">
        <v>0</v>
      </c>
      <c r="Q616" t="n">
        <v>0</v>
      </c>
      <c r="R616" s="2" t="inlineStr"/>
    </row>
    <row r="617" ht="15" customHeight="1">
      <c r="A617" t="inlineStr">
        <is>
          <t>A 17162-2026</t>
        </is>
      </c>
      <c r="B617" s="1" t="n">
        <v>46115.60453703703</v>
      </c>
      <c r="C617" s="1" t="n">
        <v>46184</v>
      </c>
      <c r="D617" t="inlineStr">
        <is>
          <t>ÖREBRO LÄN</t>
        </is>
      </c>
      <c r="E617" t="inlineStr">
        <is>
          <t>LINDESBERG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36136-2023</t>
        </is>
      </c>
      <c r="B618" s="1" t="n">
        <v>45149</v>
      </c>
      <c r="C618" s="1" t="n">
        <v>46184</v>
      </c>
      <c r="D618" t="inlineStr">
        <is>
          <t>ÖREBRO LÄN</t>
        </is>
      </c>
      <c r="E618" t="inlineStr">
        <is>
          <t>LINDESBERG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23187-2026</t>
        </is>
      </c>
      <c r="B619" s="1" t="n">
        <v>46161.69637731482</v>
      </c>
      <c r="C619" s="1" t="n">
        <v>46184</v>
      </c>
      <c r="D619" t="inlineStr">
        <is>
          <t>ÖREBRO LÄN</t>
        </is>
      </c>
      <c r="E619" t="inlineStr">
        <is>
          <t>LINDESBERG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34025-2024</t>
        </is>
      </c>
      <c r="B620" s="1" t="n">
        <v>45523.58565972222</v>
      </c>
      <c r="C620" s="1" t="n">
        <v>46184</v>
      </c>
      <c r="D620" t="inlineStr">
        <is>
          <t>ÖREBRO LÄN</t>
        </is>
      </c>
      <c r="E620" t="inlineStr">
        <is>
          <t>LINDESBERG</t>
        </is>
      </c>
      <c r="G620" t="n">
        <v>1.3</v>
      </c>
      <c r="H620" t="n">
        <v>0</v>
      </c>
      <c r="I620" t="n">
        <v>0</v>
      </c>
      <c r="J620" t="n">
        <v>0</v>
      </c>
      <c r="K620" t="n">
        <v>0</v>
      </c>
      <c r="L620" t="n">
        <v>0</v>
      </c>
      <c r="M620" t="n">
        <v>0</v>
      </c>
      <c r="N620" t="n">
        <v>0</v>
      </c>
      <c r="O620" t="n">
        <v>0</v>
      </c>
      <c r="P620" t="n">
        <v>0</v>
      </c>
      <c r="Q620" t="n">
        <v>0</v>
      </c>
      <c r="R620" s="2" t="inlineStr"/>
    </row>
    <row r="621" ht="15" customHeight="1">
      <c r="A621" t="inlineStr">
        <is>
          <t>A 19077-2025</t>
        </is>
      </c>
      <c r="B621" s="1" t="n">
        <v>45766.33309027777</v>
      </c>
      <c r="C621" s="1" t="n">
        <v>46184</v>
      </c>
      <c r="D621" t="inlineStr">
        <is>
          <t>ÖREBRO LÄN</t>
        </is>
      </c>
      <c r="E621" t="inlineStr">
        <is>
          <t>LINDESBERG</t>
        </is>
      </c>
      <c r="G621" t="n">
        <v>0</v>
      </c>
      <c r="H621" t="n">
        <v>0</v>
      </c>
      <c r="I621" t="n">
        <v>0</v>
      </c>
      <c r="J621" t="n">
        <v>0</v>
      </c>
      <c r="K621" t="n">
        <v>0</v>
      </c>
      <c r="L621" t="n">
        <v>0</v>
      </c>
      <c r="M621" t="n">
        <v>0</v>
      </c>
      <c r="N621" t="n">
        <v>0</v>
      </c>
      <c r="O621" t="n">
        <v>0</v>
      </c>
      <c r="P621" t="n">
        <v>0</v>
      </c>
      <c r="Q621" t="n">
        <v>0</v>
      </c>
      <c r="R621" s="2" t="inlineStr"/>
    </row>
    <row r="622" ht="15" customHeight="1">
      <c r="A622" t="inlineStr">
        <is>
          <t>A 23174-2026</t>
        </is>
      </c>
      <c r="B622" s="1" t="n">
        <v>46161.67359953704</v>
      </c>
      <c r="C622" s="1" t="n">
        <v>46184</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23393-2026</t>
        </is>
      </c>
      <c r="B623" s="1" t="n">
        <v>46162.67203703704</v>
      </c>
      <c r="C623" s="1" t="n">
        <v>46184</v>
      </c>
      <c r="D623" t="inlineStr">
        <is>
          <t>ÖREBRO LÄN</t>
        </is>
      </c>
      <c r="E623" t="inlineStr">
        <is>
          <t>LINDESBERG</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23181-2026</t>
        </is>
      </c>
      <c r="B624" s="1" t="n">
        <v>46161.68100694445</v>
      </c>
      <c r="C624" s="1" t="n">
        <v>46184</v>
      </c>
      <c r="D624" t="inlineStr">
        <is>
          <t>ÖREBRO LÄN</t>
        </is>
      </c>
      <c r="E624" t="inlineStr">
        <is>
          <t>LINDESBERG</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23184-2026</t>
        </is>
      </c>
      <c r="B625" s="1" t="n">
        <v>46161.68303240741</v>
      </c>
      <c r="C625" s="1" t="n">
        <v>46184</v>
      </c>
      <c r="D625" t="inlineStr">
        <is>
          <t>ÖREBRO LÄN</t>
        </is>
      </c>
      <c r="E625" t="inlineStr">
        <is>
          <t>LINDESBERG</t>
        </is>
      </c>
      <c r="F625" t="inlineStr">
        <is>
          <t>Sveaskog</t>
        </is>
      </c>
      <c r="G625" t="n">
        <v>0.5</v>
      </c>
      <c r="H625" t="n">
        <v>0</v>
      </c>
      <c r="I625" t="n">
        <v>0</v>
      </c>
      <c r="J625" t="n">
        <v>0</v>
      </c>
      <c r="K625" t="n">
        <v>0</v>
      </c>
      <c r="L625" t="n">
        <v>0</v>
      </c>
      <c r="M625" t="n">
        <v>0</v>
      </c>
      <c r="N625" t="n">
        <v>0</v>
      </c>
      <c r="O625" t="n">
        <v>0</v>
      </c>
      <c r="P625" t="n">
        <v>0</v>
      </c>
      <c r="Q625" t="n">
        <v>0</v>
      </c>
      <c r="R625" s="2" t="inlineStr"/>
    </row>
    <row r="626" ht="15" customHeight="1">
      <c r="A626" t="inlineStr">
        <is>
          <t>A 13884-2023</t>
        </is>
      </c>
      <c r="B626" s="1" t="n">
        <v>45007</v>
      </c>
      <c r="C626" s="1" t="n">
        <v>46184</v>
      </c>
      <c r="D626" t="inlineStr">
        <is>
          <t>ÖREBRO LÄN</t>
        </is>
      </c>
      <c r="E626" t="inlineStr">
        <is>
          <t>LINDESBERG</t>
        </is>
      </c>
      <c r="F626" t="inlineStr">
        <is>
          <t>Kommuner</t>
        </is>
      </c>
      <c r="G626" t="n">
        <v>7.7</v>
      </c>
      <c r="H626" t="n">
        <v>0</v>
      </c>
      <c r="I626" t="n">
        <v>0</v>
      </c>
      <c r="J626" t="n">
        <v>0</v>
      </c>
      <c r="K626" t="n">
        <v>0</v>
      </c>
      <c r="L626" t="n">
        <v>0</v>
      </c>
      <c r="M626" t="n">
        <v>0</v>
      </c>
      <c r="N626" t="n">
        <v>0</v>
      </c>
      <c r="O626" t="n">
        <v>0</v>
      </c>
      <c r="P626" t="n">
        <v>0</v>
      </c>
      <c r="Q626" t="n">
        <v>0</v>
      </c>
      <c r="R626" s="2" t="inlineStr"/>
    </row>
    <row r="627" ht="15" customHeight="1">
      <c r="A627" t="inlineStr">
        <is>
          <t>A 50275-2024</t>
        </is>
      </c>
      <c r="B627" s="1" t="n">
        <v>45600.60071759259</v>
      </c>
      <c r="C627" s="1" t="n">
        <v>46184</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17463-2023</t>
        </is>
      </c>
      <c r="B628" s="1" t="n">
        <v>45036</v>
      </c>
      <c r="C628" s="1" t="n">
        <v>46184</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23190-2026</t>
        </is>
      </c>
      <c r="B629" s="1" t="n">
        <v>46161.6995949074</v>
      </c>
      <c r="C629" s="1" t="n">
        <v>46184</v>
      </c>
      <c r="D629" t="inlineStr">
        <is>
          <t>ÖREBRO LÄN</t>
        </is>
      </c>
      <c r="E629" t="inlineStr">
        <is>
          <t>LINDESBERG</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23191-2026</t>
        </is>
      </c>
      <c r="B630" s="1" t="n">
        <v>46161.70207175926</v>
      </c>
      <c r="C630" s="1" t="n">
        <v>46184</v>
      </c>
      <c r="D630" t="inlineStr">
        <is>
          <t>ÖREBRO LÄN</t>
        </is>
      </c>
      <c r="E630" t="inlineStr">
        <is>
          <t>LINDESBERG</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23338-2026</t>
        </is>
      </c>
      <c r="B631" s="1" t="n">
        <v>46162.56407407407</v>
      </c>
      <c r="C631" s="1" t="n">
        <v>46184</v>
      </c>
      <c r="D631" t="inlineStr">
        <is>
          <t>ÖREBRO LÄN</t>
        </is>
      </c>
      <c r="E631" t="inlineStr">
        <is>
          <t>LINDESBERG</t>
        </is>
      </c>
      <c r="F631" t="inlineStr">
        <is>
          <t>Naturvårdsverket</t>
        </is>
      </c>
      <c r="G631" t="n">
        <v>2.2</v>
      </c>
      <c r="H631" t="n">
        <v>0</v>
      </c>
      <c r="I631" t="n">
        <v>0</v>
      </c>
      <c r="J631" t="n">
        <v>0</v>
      </c>
      <c r="K631" t="n">
        <v>0</v>
      </c>
      <c r="L631" t="n">
        <v>0</v>
      </c>
      <c r="M631" t="n">
        <v>0</v>
      </c>
      <c r="N631" t="n">
        <v>0</v>
      </c>
      <c r="O631" t="n">
        <v>0</v>
      </c>
      <c r="P631" t="n">
        <v>0</v>
      </c>
      <c r="Q631" t="n">
        <v>0</v>
      </c>
      <c r="R631" s="2" t="inlineStr"/>
    </row>
    <row r="632" ht="15" customHeight="1">
      <c r="A632" t="inlineStr">
        <is>
          <t>A 23173-2026</t>
        </is>
      </c>
      <c r="B632" s="1" t="n">
        <v>46161.67074074074</v>
      </c>
      <c r="C632" s="1" t="n">
        <v>46184</v>
      </c>
      <c r="D632" t="inlineStr">
        <is>
          <t>ÖREBRO LÄN</t>
        </is>
      </c>
      <c r="E632" t="inlineStr">
        <is>
          <t>LINDESBERG</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36001-2021</t>
        </is>
      </c>
      <c r="B633" s="1" t="n">
        <v>44389</v>
      </c>
      <c r="C633" s="1" t="n">
        <v>46184</v>
      </c>
      <c r="D633" t="inlineStr">
        <is>
          <t>ÖREBRO LÄN</t>
        </is>
      </c>
      <c r="E633" t="inlineStr">
        <is>
          <t>LINDESBERG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33280-2024</t>
        </is>
      </c>
      <c r="B634" s="1" t="n">
        <v>45518.71048611111</v>
      </c>
      <c r="C634" s="1" t="n">
        <v>46184</v>
      </c>
      <c r="D634" t="inlineStr">
        <is>
          <t>ÖREBRO LÄN</t>
        </is>
      </c>
      <c r="E634" t="inlineStr">
        <is>
          <t>LINDESBERG</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33281-2024</t>
        </is>
      </c>
      <c r="B635" s="1" t="n">
        <v>45518.71202546296</v>
      </c>
      <c r="C635" s="1" t="n">
        <v>46184</v>
      </c>
      <c r="D635" t="inlineStr">
        <is>
          <t>ÖREBRO LÄN</t>
        </is>
      </c>
      <c r="E635" t="inlineStr">
        <is>
          <t>LINDESBERG</t>
        </is>
      </c>
      <c r="G635" t="n">
        <v>2</v>
      </c>
      <c r="H635" t="n">
        <v>0</v>
      </c>
      <c r="I635" t="n">
        <v>0</v>
      </c>
      <c r="J635" t="n">
        <v>0</v>
      </c>
      <c r="K635" t="n">
        <v>0</v>
      </c>
      <c r="L635" t="n">
        <v>0</v>
      </c>
      <c r="M635" t="n">
        <v>0</v>
      </c>
      <c r="N635" t="n">
        <v>0</v>
      </c>
      <c r="O635" t="n">
        <v>0</v>
      </c>
      <c r="P635" t="n">
        <v>0</v>
      </c>
      <c r="Q635" t="n">
        <v>0</v>
      </c>
      <c r="R635" s="2" t="inlineStr"/>
    </row>
    <row r="636" ht="15" customHeight="1">
      <c r="A636" t="inlineStr">
        <is>
          <t>A 33283-2024</t>
        </is>
      </c>
      <c r="B636" s="1" t="n">
        <v>45518.71591435185</v>
      </c>
      <c r="C636" s="1" t="n">
        <v>46184</v>
      </c>
      <c r="D636" t="inlineStr">
        <is>
          <t>ÖREBRO LÄN</t>
        </is>
      </c>
      <c r="E636" t="inlineStr">
        <is>
          <t>LINDESBERG</t>
        </is>
      </c>
      <c r="G636" t="n">
        <v>3.9</v>
      </c>
      <c r="H636" t="n">
        <v>0</v>
      </c>
      <c r="I636" t="n">
        <v>0</v>
      </c>
      <c r="J636" t="n">
        <v>0</v>
      </c>
      <c r="K636" t="n">
        <v>0</v>
      </c>
      <c r="L636" t="n">
        <v>0</v>
      </c>
      <c r="M636" t="n">
        <v>0</v>
      </c>
      <c r="N636" t="n">
        <v>0</v>
      </c>
      <c r="O636" t="n">
        <v>0</v>
      </c>
      <c r="P636" t="n">
        <v>0</v>
      </c>
      <c r="Q636" t="n">
        <v>0</v>
      </c>
      <c r="R636" s="2" t="inlineStr"/>
    </row>
    <row r="637" ht="15" customHeight="1">
      <c r="A637" t="inlineStr">
        <is>
          <t>A 23180-2026</t>
        </is>
      </c>
      <c r="B637" s="1" t="n">
        <v>46161.67895833333</v>
      </c>
      <c r="C637" s="1" t="n">
        <v>46184</v>
      </c>
      <c r="D637" t="inlineStr">
        <is>
          <t>ÖREBRO LÄN</t>
        </is>
      </c>
      <c r="E637" t="inlineStr">
        <is>
          <t>LINDESBERG</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23175-2026</t>
        </is>
      </c>
      <c r="B638" s="1" t="n">
        <v>46161.6755787037</v>
      </c>
      <c r="C638" s="1" t="n">
        <v>46184</v>
      </c>
      <c r="D638" t="inlineStr">
        <is>
          <t>ÖREBRO LÄN</t>
        </is>
      </c>
      <c r="E638" t="inlineStr">
        <is>
          <t>LINDESBERG</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23177-2026</t>
        </is>
      </c>
      <c r="B639" s="1" t="n">
        <v>46161.67731481481</v>
      </c>
      <c r="C639" s="1" t="n">
        <v>46184</v>
      </c>
      <c r="D639" t="inlineStr">
        <is>
          <t>ÖREBRO LÄN</t>
        </is>
      </c>
      <c r="E639" t="inlineStr">
        <is>
          <t>LINDESBERG</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39140-2024</t>
        </is>
      </c>
      <c r="B640" s="1" t="n">
        <v>45548</v>
      </c>
      <c r="C640" s="1" t="n">
        <v>46184</v>
      </c>
      <c r="D640" t="inlineStr">
        <is>
          <t>ÖREBRO LÄN</t>
        </is>
      </c>
      <c r="E640" t="inlineStr">
        <is>
          <t>LINDESBERG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23188-2026</t>
        </is>
      </c>
      <c r="B641" s="1" t="n">
        <v>46161.69788194444</v>
      </c>
      <c r="C641" s="1" t="n">
        <v>46184</v>
      </c>
      <c r="D641" t="inlineStr">
        <is>
          <t>ÖREBRO LÄN</t>
        </is>
      </c>
      <c r="E641" t="inlineStr">
        <is>
          <t>LINDESBERG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17663-2026</t>
        </is>
      </c>
      <c r="B642" s="1" t="n">
        <v>46121.57420138889</v>
      </c>
      <c r="C642" s="1" t="n">
        <v>46184</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32928-2023</t>
        </is>
      </c>
      <c r="B643" s="1" t="n">
        <v>45125.41458333333</v>
      </c>
      <c r="C643" s="1" t="n">
        <v>46184</v>
      </c>
      <c r="D643" t="inlineStr">
        <is>
          <t>ÖREBRO LÄN</t>
        </is>
      </c>
      <c r="E643" t="inlineStr">
        <is>
          <t>LINDESBERG</t>
        </is>
      </c>
      <c r="G643" t="n">
        <v>4.8</v>
      </c>
      <c r="H643" t="n">
        <v>0</v>
      </c>
      <c r="I643" t="n">
        <v>0</v>
      </c>
      <c r="J643" t="n">
        <v>0</v>
      </c>
      <c r="K643" t="n">
        <v>0</v>
      </c>
      <c r="L643" t="n">
        <v>0</v>
      </c>
      <c r="M643" t="n">
        <v>0</v>
      </c>
      <c r="N643" t="n">
        <v>0</v>
      </c>
      <c r="O643" t="n">
        <v>0</v>
      </c>
      <c r="P643" t="n">
        <v>0</v>
      </c>
      <c r="Q643" t="n">
        <v>0</v>
      </c>
      <c r="R643" s="2" t="inlineStr"/>
    </row>
    <row r="644" ht="15" customHeight="1">
      <c r="A644" t="inlineStr">
        <is>
          <t>A 32994-2023</t>
        </is>
      </c>
      <c r="B644" s="1" t="n">
        <v>45113</v>
      </c>
      <c r="C644" s="1" t="n">
        <v>46184</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45062-2022</t>
        </is>
      </c>
      <c r="B645" s="1" t="n">
        <v>44841</v>
      </c>
      <c r="C645" s="1" t="n">
        <v>46184</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21012-2023</t>
        </is>
      </c>
      <c r="B646" s="1" t="n">
        <v>45061.52474537037</v>
      </c>
      <c r="C646" s="1" t="n">
        <v>46184</v>
      </c>
      <c r="D646" t="inlineStr">
        <is>
          <t>ÖREBRO LÄN</t>
        </is>
      </c>
      <c r="E646" t="inlineStr">
        <is>
          <t>LINDESBERG</t>
        </is>
      </c>
      <c r="G646" t="n">
        <v>0.5</v>
      </c>
      <c r="H646" t="n">
        <v>0</v>
      </c>
      <c r="I646" t="n">
        <v>0</v>
      </c>
      <c r="J646" t="n">
        <v>0</v>
      </c>
      <c r="K646" t="n">
        <v>0</v>
      </c>
      <c r="L646" t="n">
        <v>0</v>
      </c>
      <c r="M646" t="n">
        <v>0</v>
      </c>
      <c r="N646" t="n">
        <v>0</v>
      </c>
      <c r="O646" t="n">
        <v>0</v>
      </c>
      <c r="P646" t="n">
        <v>0</v>
      </c>
      <c r="Q646" t="n">
        <v>0</v>
      </c>
      <c r="R646" s="2" t="inlineStr"/>
    </row>
    <row r="647" ht="15" customHeight="1">
      <c r="A647" t="inlineStr">
        <is>
          <t>A 23910-2026</t>
        </is>
      </c>
      <c r="B647" s="1" t="n">
        <v>46167.49278935185</v>
      </c>
      <c r="C647" s="1" t="n">
        <v>46184</v>
      </c>
      <c r="D647" t="inlineStr">
        <is>
          <t>ÖREBRO LÄN</t>
        </is>
      </c>
      <c r="E647" t="inlineStr">
        <is>
          <t>LINDESBERG</t>
        </is>
      </c>
      <c r="F647" t="inlineStr">
        <is>
          <t>Naturvårdsverket</t>
        </is>
      </c>
      <c r="G647" t="n">
        <v>2.7</v>
      </c>
      <c r="H647" t="n">
        <v>0</v>
      </c>
      <c r="I647" t="n">
        <v>0</v>
      </c>
      <c r="J647" t="n">
        <v>0</v>
      </c>
      <c r="K647" t="n">
        <v>0</v>
      </c>
      <c r="L647" t="n">
        <v>0</v>
      </c>
      <c r="M647" t="n">
        <v>0</v>
      </c>
      <c r="N647" t="n">
        <v>0</v>
      </c>
      <c r="O647" t="n">
        <v>0</v>
      </c>
      <c r="P647" t="n">
        <v>0</v>
      </c>
      <c r="Q647" t="n">
        <v>0</v>
      </c>
      <c r="R647" s="2" t="inlineStr"/>
    </row>
    <row r="648" ht="15" customHeight="1">
      <c r="A648" t="inlineStr">
        <is>
          <t>A 40456-2023</t>
        </is>
      </c>
      <c r="B648" s="1" t="n">
        <v>45170</v>
      </c>
      <c r="C648" s="1" t="n">
        <v>46184</v>
      </c>
      <c r="D648" t="inlineStr">
        <is>
          <t>ÖREBRO LÄN</t>
        </is>
      </c>
      <c r="E648" t="inlineStr">
        <is>
          <t>LINDESBERG</t>
        </is>
      </c>
      <c r="F648" t="inlineStr">
        <is>
          <t>Kyrkan</t>
        </is>
      </c>
      <c r="G648" t="n">
        <v>0.6</v>
      </c>
      <c r="H648" t="n">
        <v>0</v>
      </c>
      <c r="I648" t="n">
        <v>0</v>
      </c>
      <c r="J648" t="n">
        <v>0</v>
      </c>
      <c r="K648" t="n">
        <v>0</v>
      </c>
      <c r="L648" t="n">
        <v>0</v>
      </c>
      <c r="M648" t="n">
        <v>0</v>
      </c>
      <c r="N648" t="n">
        <v>0</v>
      </c>
      <c r="O648" t="n">
        <v>0</v>
      </c>
      <c r="P648" t="n">
        <v>0</v>
      </c>
      <c r="Q648" t="n">
        <v>0</v>
      </c>
      <c r="R648" s="2" t="inlineStr"/>
    </row>
    <row r="649" ht="15" customHeight="1">
      <c r="A649" t="inlineStr">
        <is>
          <t>A 18220-2026</t>
        </is>
      </c>
      <c r="B649" s="1" t="n">
        <v>46126.30818287037</v>
      </c>
      <c r="C649" s="1" t="n">
        <v>46184</v>
      </c>
      <c r="D649" t="inlineStr">
        <is>
          <t>ÖREBRO LÄN</t>
        </is>
      </c>
      <c r="E649" t="inlineStr">
        <is>
          <t>LINDESBERG</t>
        </is>
      </c>
      <c r="G649" t="n">
        <v>5.7</v>
      </c>
      <c r="H649" t="n">
        <v>0</v>
      </c>
      <c r="I649" t="n">
        <v>0</v>
      </c>
      <c r="J649" t="n">
        <v>0</v>
      </c>
      <c r="K649" t="n">
        <v>0</v>
      </c>
      <c r="L649" t="n">
        <v>0</v>
      </c>
      <c r="M649" t="n">
        <v>0</v>
      </c>
      <c r="N649" t="n">
        <v>0</v>
      </c>
      <c r="O649" t="n">
        <v>0</v>
      </c>
      <c r="P649" t="n">
        <v>0</v>
      </c>
      <c r="Q649" t="n">
        <v>0</v>
      </c>
      <c r="R649" s="2" t="inlineStr"/>
    </row>
    <row r="650" ht="15" customHeight="1">
      <c r="A650" t="inlineStr">
        <is>
          <t>A 42282-2024</t>
        </is>
      </c>
      <c r="B650" s="1" t="n">
        <v>45562.61158564815</v>
      </c>
      <c r="C650" s="1" t="n">
        <v>46184</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32262-2021</t>
        </is>
      </c>
      <c r="B651" s="1" t="n">
        <v>44371.47609953704</v>
      </c>
      <c r="C651" s="1" t="n">
        <v>46184</v>
      </c>
      <c r="D651" t="inlineStr">
        <is>
          <t>ÖREBRO LÄN</t>
        </is>
      </c>
      <c r="E651" t="inlineStr">
        <is>
          <t>LINDESBERG</t>
        </is>
      </c>
      <c r="G651" t="n">
        <v>0.9</v>
      </c>
      <c r="H651" t="n">
        <v>0</v>
      </c>
      <c r="I651" t="n">
        <v>0</v>
      </c>
      <c r="J651" t="n">
        <v>0</v>
      </c>
      <c r="K651" t="n">
        <v>0</v>
      </c>
      <c r="L651" t="n">
        <v>0</v>
      </c>
      <c r="M651" t="n">
        <v>0</v>
      </c>
      <c r="N651" t="n">
        <v>0</v>
      </c>
      <c r="O651" t="n">
        <v>0</v>
      </c>
      <c r="P651" t="n">
        <v>0</v>
      </c>
      <c r="Q651" t="n">
        <v>0</v>
      </c>
      <c r="R651" s="2" t="inlineStr"/>
    </row>
    <row r="652" ht="15" customHeight="1">
      <c r="A652" t="inlineStr">
        <is>
          <t>A 27576-2024</t>
        </is>
      </c>
      <c r="B652" s="1" t="n">
        <v>45474.65005787037</v>
      </c>
      <c r="C652" s="1" t="n">
        <v>46184</v>
      </c>
      <c r="D652" t="inlineStr">
        <is>
          <t>ÖREBRO LÄN</t>
        </is>
      </c>
      <c r="E652" t="inlineStr">
        <is>
          <t>LINDESBERG</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32099-2024</t>
        </is>
      </c>
      <c r="B653" s="1" t="n">
        <v>45511.40297453704</v>
      </c>
      <c r="C653" s="1" t="n">
        <v>46184</v>
      </c>
      <c r="D653" t="inlineStr">
        <is>
          <t>ÖREBRO LÄN</t>
        </is>
      </c>
      <c r="E653" t="inlineStr">
        <is>
          <t>LINDESBERG</t>
        </is>
      </c>
      <c r="G653" t="n">
        <v>2.3</v>
      </c>
      <c r="H653" t="n">
        <v>0</v>
      </c>
      <c r="I653" t="n">
        <v>0</v>
      </c>
      <c r="J653" t="n">
        <v>0</v>
      </c>
      <c r="K653" t="n">
        <v>0</v>
      </c>
      <c r="L653" t="n">
        <v>0</v>
      </c>
      <c r="M653" t="n">
        <v>0</v>
      </c>
      <c r="N653" t="n">
        <v>0</v>
      </c>
      <c r="O653" t="n">
        <v>0</v>
      </c>
      <c r="P653" t="n">
        <v>0</v>
      </c>
      <c r="Q653" t="n">
        <v>0</v>
      </c>
      <c r="R653" s="2" t="inlineStr"/>
    </row>
    <row r="654" ht="15" customHeight="1">
      <c r="A654" t="inlineStr">
        <is>
          <t>A 8836-2023</t>
        </is>
      </c>
      <c r="B654" s="1" t="n">
        <v>44978</v>
      </c>
      <c r="C654" s="1" t="n">
        <v>46184</v>
      </c>
      <c r="D654" t="inlineStr">
        <is>
          <t>ÖREBRO LÄN</t>
        </is>
      </c>
      <c r="E654" t="inlineStr">
        <is>
          <t>LINDESBERG</t>
        </is>
      </c>
      <c r="G654" t="n">
        <v>1</v>
      </c>
      <c r="H654" t="n">
        <v>0</v>
      </c>
      <c r="I654" t="n">
        <v>0</v>
      </c>
      <c r="J654" t="n">
        <v>0</v>
      </c>
      <c r="K654" t="n">
        <v>0</v>
      </c>
      <c r="L654" t="n">
        <v>0</v>
      </c>
      <c r="M654" t="n">
        <v>0</v>
      </c>
      <c r="N654" t="n">
        <v>0</v>
      </c>
      <c r="O654" t="n">
        <v>0</v>
      </c>
      <c r="P654" t="n">
        <v>0</v>
      </c>
      <c r="Q654" t="n">
        <v>0</v>
      </c>
      <c r="R654" s="2" t="inlineStr"/>
    </row>
    <row r="655" ht="15" customHeight="1">
      <c r="A655" t="inlineStr">
        <is>
          <t>A 23912-2026</t>
        </is>
      </c>
      <c r="B655" s="1" t="n">
        <v>46167.49552083333</v>
      </c>
      <c r="C655" s="1" t="n">
        <v>46184</v>
      </c>
      <c r="D655" t="inlineStr">
        <is>
          <t>ÖREBRO LÄN</t>
        </is>
      </c>
      <c r="E655" t="inlineStr">
        <is>
          <t>LINDESBERG</t>
        </is>
      </c>
      <c r="F655" t="inlineStr">
        <is>
          <t>Naturvårdsverket</t>
        </is>
      </c>
      <c r="G655" t="n">
        <v>5.5</v>
      </c>
      <c r="H655" t="n">
        <v>0</v>
      </c>
      <c r="I655" t="n">
        <v>0</v>
      </c>
      <c r="J655" t="n">
        <v>0</v>
      </c>
      <c r="K655" t="n">
        <v>0</v>
      </c>
      <c r="L655" t="n">
        <v>0</v>
      </c>
      <c r="M655" t="n">
        <v>0</v>
      </c>
      <c r="N655" t="n">
        <v>0</v>
      </c>
      <c r="O655" t="n">
        <v>0</v>
      </c>
      <c r="P655" t="n">
        <v>0</v>
      </c>
      <c r="Q655" t="n">
        <v>0</v>
      </c>
      <c r="R655" s="2" t="inlineStr"/>
    </row>
    <row r="656" ht="15" customHeight="1">
      <c r="A656" t="inlineStr">
        <is>
          <t>A 5772-2023</t>
        </is>
      </c>
      <c r="B656" s="1" t="n">
        <v>44963.37709490741</v>
      </c>
      <c r="C656" s="1" t="n">
        <v>46184</v>
      </c>
      <c r="D656" t="inlineStr">
        <is>
          <t>ÖREBRO LÄN</t>
        </is>
      </c>
      <c r="E656" t="inlineStr">
        <is>
          <t>LINDESBERG</t>
        </is>
      </c>
      <c r="G656" t="n">
        <v>3</v>
      </c>
      <c r="H656" t="n">
        <v>0</v>
      </c>
      <c r="I656" t="n">
        <v>0</v>
      </c>
      <c r="J656" t="n">
        <v>0</v>
      </c>
      <c r="K656" t="n">
        <v>0</v>
      </c>
      <c r="L656" t="n">
        <v>0</v>
      </c>
      <c r="M656" t="n">
        <v>0</v>
      </c>
      <c r="N656" t="n">
        <v>0</v>
      </c>
      <c r="O656" t="n">
        <v>0</v>
      </c>
      <c r="P656" t="n">
        <v>0</v>
      </c>
      <c r="Q656" t="n">
        <v>0</v>
      </c>
      <c r="R656" s="2" t="inlineStr"/>
    </row>
    <row r="657" ht="15" customHeight="1">
      <c r="A657" t="inlineStr">
        <is>
          <t>A 23914-2026</t>
        </is>
      </c>
      <c r="B657" s="1" t="n">
        <v>46167.50077546296</v>
      </c>
      <c r="C657" s="1" t="n">
        <v>46184</v>
      </c>
      <c r="D657" t="inlineStr">
        <is>
          <t>ÖREBRO LÄN</t>
        </is>
      </c>
      <c r="E657" t="inlineStr">
        <is>
          <t>LINDESBERG</t>
        </is>
      </c>
      <c r="F657" t="inlineStr">
        <is>
          <t>Naturvårdsverket</t>
        </is>
      </c>
      <c r="G657" t="n">
        <v>3</v>
      </c>
      <c r="H657" t="n">
        <v>0</v>
      </c>
      <c r="I657" t="n">
        <v>0</v>
      </c>
      <c r="J657" t="n">
        <v>0</v>
      </c>
      <c r="K657" t="n">
        <v>0</v>
      </c>
      <c r="L657" t="n">
        <v>0</v>
      </c>
      <c r="M657" t="n">
        <v>0</v>
      </c>
      <c r="N657" t="n">
        <v>0</v>
      </c>
      <c r="O657" t="n">
        <v>0</v>
      </c>
      <c r="P657" t="n">
        <v>0</v>
      </c>
      <c r="Q657" t="n">
        <v>0</v>
      </c>
      <c r="R657" s="2" t="inlineStr"/>
    </row>
    <row r="658" ht="15" customHeight="1">
      <c r="A658" t="inlineStr">
        <is>
          <t>A 18061-2026</t>
        </is>
      </c>
      <c r="B658" s="1" t="n">
        <v>46125.46030092592</v>
      </c>
      <c r="C658" s="1" t="n">
        <v>46184</v>
      </c>
      <c r="D658" t="inlineStr">
        <is>
          <t>ÖREBRO LÄN</t>
        </is>
      </c>
      <c r="E658" t="inlineStr">
        <is>
          <t>LINDESBERG</t>
        </is>
      </c>
      <c r="G658" t="n">
        <v>0.7</v>
      </c>
      <c r="H658" t="n">
        <v>0</v>
      </c>
      <c r="I658" t="n">
        <v>0</v>
      </c>
      <c r="J658" t="n">
        <v>0</v>
      </c>
      <c r="K658" t="n">
        <v>0</v>
      </c>
      <c r="L658" t="n">
        <v>0</v>
      </c>
      <c r="M658" t="n">
        <v>0</v>
      </c>
      <c r="N658" t="n">
        <v>0</v>
      </c>
      <c r="O658" t="n">
        <v>0</v>
      </c>
      <c r="P658" t="n">
        <v>0</v>
      </c>
      <c r="Q658" t="n">
        <v>0</v>
      </c>
      <c r="R658" s="2" t="inlineStr"/>
    </row>
    <row r="659" ht="15" customHeight="1">
      <c r="A659" t="inlineStr">
        <is>
          <t>A 36024-2021</t>
        </is>
      </c>
      <c r="B659" s="1" t="n">
        <v>44389</v>
      </c>
      <c r="C659" s="1" t="n">
        <v>46184</v>
      </c>
      <c r="D659" t="inlineStr">
        <is>
          <t>ÖREBRO LÄN</t>
        </is>
      </c>
      <c r="E659" t="inlineStr">
        <is>
          <t>LINDESBERG</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18636-2026</t>
        </is>
      </c>
      <c r="B660" s="1" t="n">
        <v>46128.31521990741</v>
      </c>
      <c r="C660" s="1" t="n">
        <v>46184</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13472-2023</t>
        </is>
      </c>
      <c r="B661" s="1" t="n">
        <v>45005</v>
      </c>
      <c r="C661" s="1" t="n">
        <v>46184</v>
      </c>
      <c r="D661" t="inlineStr">
        <is>
          <t>ÖREBRO LÄN</t>
        </is>
      </c>
      <c r="E661" t="inlineStr">
        <is>
          <t>LINDESBERG</t>
        </is>
      </c>
      <c r="G661" t="n">
        <v>2.5</v>
      </c>
      <c r="H661" t="n">
        <v>0</v>
      </c>
      <c r="I661" t="n">
        <v>0</v>
      </c>
      <c r="J661" t="n">
        <v>0</v>
      </c>
      <c r="K661" t="n">
        <v>0</v>
      </c>
      <c r="L661" t="n">
        <v>0</v>
      </c>
      <c r="M661" t="n">
        <v>0</v>
      </c>
      <c r="N661" t="n">
        <v>0</v>
      </c>
      <c r="O661" t="n">
        <v>0</v>
      </c>
      <c r="P661" t="n">
        <v>0</v>
      </c>
      <c r="Q661" t="n">
        <v>0</v>
      </c>
      <c r="R661" s="2" t="inlineStr"/>
    </row>
    <row r="662" ht="15" customHeight="1">
      <c r="A662" t="inlineStr">
        <is>
          <t>A 18640-2026</t>
        </is>
      </c>
      <c r="B662" s="1" t="n">
        <v>46128.32461805556</v>
      </c>
      <c r="C662" s="1" t="n">
        <v>46184</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17087-2023</t>
        </is>
      </c>
      <c r="B663" s="1" t="n">
        <v>45034.5174537037</v>
      </c>
      <c r="C663" s="1" t="n">
        <v>46184</v>
      </c>
      <c r="D663" t="inlineStr">
        <is>
          <t>ÖREBRO LÄN</t>
        </is>
      </c>
      <c r="E663" t="inlineStr">
        <is>
          <t>LINDESBERG</t>
        </is>
      </c>
      <c r="G663" t="n">
        <v>2.7</v>
      </c>
      <c r="H663" t="n">
        <v>0</v>
      </c>
      <c r="I663" t="n">
        <v>0</v>
      </c>
      <c r="J663" t="n">
        <v>0</v>
      </c>
      <c r="K663" t="n">
        <v>0</v>
      </c>
      <c r="L663" t="n">
        <v>0</v>
      </c>
      <c r="M663" t="n">
        <v>0</v>
      </c>
      <c r="N663" t="n">
        <v>0</v>
      </c>
      <c r="O663" t="n">
        <v>0</v>
      </c>
      <c r="P663" t="n">
        <v>0</v>
      </c>
      <c r="Q663" t="n">
        <v>0</v>
      </c>
      <c r="R663" s="2" t="inlineStr"/>
    </row>
    <row r="664" ht="15" customHeight="1">
      <c r="A664" t="inlineStr">
        <is>
          <t>A 18634-2026</t>
        </is>
      </c>
      <c r="B664" s="1" t="n">
        <v>46128.31271990741</v>
      </c>
      <c r="C664" s="1" t="n">
        <v>46184</v>
      </c>
      <c r="D664" t="inlineStr">
        <is>
          <t>ÖREBRO LÄN</t>
        </is>
      </c>
      <c r="E664" t="inlineStr">
        <is>
          <t>LINDESBERG</t>
        </is>
      </c>
      <c r="F664" t="inlineStr">
        <is>
          <t>Sveaskog</t>
        </is>
      </c>
      <c r="G664" t="n">
        <v>11.7</v>
      </c>
      <c r="H664" t="n">
        <v>0</v>
      </c>
      <c r="I664" t="n">
        <v>0</v>
      </c>
      <c r="J664" t="n">
        <v>0</v>
      </c>
      <c r="K664" t="n">
        <v>0</v>
      </c>
      <c r="L664" t="n">
        <v>0</v>
      </c>
      <c r="M664" t="n">
        <v>0</v>
      </c>
      <c r="N664" t="n">
        <v>0</v>
      </c>
      <c r="O664" t="n">
        <v>0</v>
      </c>
      <c r="P664" t="n">
        <v>0</v>
      </c>
      <c r="Q664" t="n">
        <v>0</v>
      </c>
      <c r="R664" s="2" t="inlineStr"/>
    </row>
    <row r="665" ht="15" customHeight="1">
      <c r="A665" t="inlineStr">
        <is>
          <t>A 46484-2024</t>
        </is>
      </c>
      <c r="B665" s="1" t="n">
        <v>45582.57542824074</v>
      </c>
      <c r="C665" s="1" t="n">
        <v>46184</v>
      </c>
      <c r="D665" t="inlineStr">
        <is>
          <t>ÖREBRO LÄN</t>
        </is>
      </c>
      <c r="E665" t="inlineStr">
        <is>
          <t>LINDESBERG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41576-2021</t>
        </is>
      </c>
      <c r="B666" s="1" t="n">
        <v>44425</v>
      </c>
      <c r="C666" s="1" t="n">
        <v>46184</v>
      </c>
      <c r="D666" t="inlineStr">
        <is>
          <t>ÖREBRO LÄN</t>
        </is>
      </c>
      <c r="E666" t="inlineStr">
        <is>
          <t>LINDESBERG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24565-2026</t>
        </is>
      </c>
      <c r="B667" s="1" t="n">
        <v>46170.61527777778</v>
      </c>
      <c r="C667" s="1" t="n">
        <v>46184</v>
      </c>
      <c r="D667" t="inlineStr">
        <is>
          <t>ÖREBRO LÄN</t>
        </is>
      </c>
      <c r="E667" t="inlineStr">
        <is>
          <t>LINDESBERG</t>
        </is>
      </c>
      <c r="F667" t="inlineStr">
        <is>
          <t>Kommuner</t>
        </is>
      </c>
      <c r="G667" t="n">
        <v>2.6</v>
      </c>
      <c r="H667" t="n">
        <v>0</v>
      </c>
      <c r="I667" t="n">
        <v>0</v>
      </c>
      <c r="J667" t="n">
        <v>0</v>
      </c>
      <c r="K667" t="n">
        <v>0</v>
      </c>
      <c r="L667" t="n">
        <v>0</v>
      </c>
      <c r="M667" t="n">
        <v>0</v>
      </c>
      <c r="N667" t="n">
        <v>0</v>
      </c>
      <c r="O667" t="n">
        <v>0</v>
      </c>
      <c r="P667" t="n">
        <v>0</v>
      </c>
      <c r="Q667" t="n">
        <v>0</v>
      </c>
      <c r="R667" s="2" t="inlineStr"/>
    </row>
    <row r="668" ht="15" customHeight="1">
      <c r="A668" t="inlineStr">
        <is>
          <t>A 18637-2026</t>
        </is>
      </c>
      <c r="B668" s="1" t="n">
        <v>46128.31604166667</v>
      </c>
      <c r="C668" s="1" t="n">
        <v>46184</v>
      </c>
      <c r="D668" t="inlineStr">
        <is>
          <t>ÖREBRO LÄN</t>
        </is>
      </c>
      <c r="E668" t="inlineStr">
        <is>
          <t>LINDESBERG</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24601-2026</t>
        </is>
      </c>
      <c r="B669" s="1" t="n">
        <v>46170.86826388889</v>
      </c>
      <c r="C669" s="1" t="n">
        <v>46184</v>
      </c>
      <c r="D669" t="inlineStr">
        <is>
          <t>ÖREBRO LÄN</t>
        </is>
      </c>
      <c r="E669" t="inlineStr">
        <is>
          <t>LINDESBERG</t>
        </is>
      </c>
      <c r="G669" t="n">
        <v>2.7</v>
      </c>
      <c r="H669" t="n">
        <v>0</v>
      </c>
      <c r="I669" t="n">
        <v>0</v>
      </c>
      <c r="J669" t="n">
        <v>0</v>
      </c>
      <c r="K669" t="n">
        <v>0</v>
      </c>
      <c r="L669" t="n">
        <v>0</v>
      </c>
      <c r="M669" t="n">
        <v>0</v>
      </c>
      <c r="N669" t="n">
        <v>0</v>
      </c>
      <c r="O669" t="n">
        <v>0</v>
      </c>
      <c r="P669" t="n">
        <v>0</v>
      </c>
      <c r="Q669" t="n">
        <v>0</v>
      </c>
      <c r="R669" s="2" t="inlineStr"/>
    </row>
    <row r="670" ht="15" customHeight="1">
      <c r="A670" t="inlineStr">
        <is>
          <t>A 58741-2024</t>
        </is>
      </c>
      <c r="B670" s="1" t="n">
        <v>45635.69581018519</v>
      </c>
      <c r="C670" s="1" t="n">
        <v>46184</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24600-2026</t>
        </is>
      </c>
      <c r="B671" s="1" t="n">
        <v>46170.85934027778</v>
      </c>
      <c r="C671" s="1" t="n">
        <v>46184</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24638-2026</t>
        </is>
      </c>
      <c r="B672" s="1" t="n">
        <v>46171.40025462963</v>
      </c>
      <c r="C672" s="1" t="n">
        <v>46184</v>
      </c>
      <c r="D672" t="inlineStr">
        <is>
          <t>ÖREBRO LÄN</t>
        </is>
      </c>
      <c r="E672" t="inlineStr">
        <is>
          <t>LINDESBERG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26967-2022</t>
        </is>
      </c>
      <c r="B673" s="1" t="n">
        <v>44740.66997685185</v>
      </c>
      <c r="C673" s="1" t="n">
        <v>46184</v>
      </c>
      <c r="D673" t="inlineStr">
        <is>
          <t>ÖREBRO LÄN</t>
        </is>
      </c>
      <c r="E673" t="inlineStr">
        <is>
          <t>LINDESBERG</t>
        </is>
      </c>
      <c r="G673" t="n">
        <v>1.6</v>
      </c>
      <c r="H673" t="n">
        <v>0</v>
      </c>
      <c r="I673" t="n">
        <v>0</v>
      </c>
      <c r="J673" t="n">
        <v>0</v>
      </c>
      <c r="K673" t="n">
        <v>0</v>
      </c>
      <c r="L673" t="n">
        <v>0</v>
      </c>
      <c r="M673" t="n">
        <v>0</v>
      </c>
      <c r="N673" t="n">
        <v>0</v>
      </c>
      <c r="O673" t="n">
        <v>0</v>
      </c>
      <c r="P673" t="n">
        <v>0</v>
      </c>
      <c r="Q673" t="n">
        <v>0</v>
      </c>
      <c r="R673" s="2" t="inlineStr"/>
    </row>
    <row r="674" ht="15" customHeight="1">
      <c r="A674" t="inlineStr">
        <is>
          <t>A 43066-2021</t>
        </is>
      </c>
      <c r="B674" s="1" t="n">
        <v>44431</v>
      </c>
      <c r="C674" s="1" t="n">
        <v>46184</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45428-2023</t>
        </is>
      </c>
      <c r="B675" s="1" t="n">
        <v>45194</v>
      </c>
      <c r="C675" s="1" t="n">
        <v>46184</v>
      </c>
      <c r="D675" t="inlineStr">
        <is>
          <t>ÖREBRO LÄN</t>
        </is>
      </c>
      <c r="E675" t="inlineStr">
        <is>
          <t>LINDESBERG</t>
        </is>
      </c>
      <c r="G675" t="n">
        <v>7.7</v>
      </c>
      <c r="H675" t="n">
        <v>0</v>
      </c>
      <c r="I675" t="n">
        <v>0</v>
      </c>
      <c r="J675" t="n">
        <v>0</v>
      </c>
      <c r="K675" t="n">
        <v>0</v>
      </c>
      <c r="L675" t="n">
        <v>0</v>
      </c>
      <c r="M675" t="n">
        <v>0</v>
      </c>
      <c r="N675" t="n">
        <v>0</v>
      </c>
      <c r="O675" t="n">
        <v>0</v>
      </c>
      <c r="P675" t="n">
        <v>0</v>
      </c>
      <c r="Q675" t="n">
        <v>0</v>
      </c>
      <c r="R675" s="2" t="inlineStr"/>
    </row>
    <row r="676" ht="15" customHeight="1">
      <c r="A676" t="inlineStr">
        <is>
          <t>A 53897-2024</t>
        </is>
      </c>
      <c r="B676" s="1" t="n">
        <v>45615.69570601852</v>
      </c>
      <c r="C676" s="1" t="n">
        <v>46184</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25117-2026</t>
        </is>
      </c>
      <c r="B677" s="1" t="n">
        <v>46175.369375</v>
      </c>
      <c r="C677" s="1" t="n">
        <v>46184</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24975-2026</t>
        </is>
      </c>
      <c r="B678" s="1" t="n">
        <v>46174.58402777778</v>
      </c>
      <c r="C678" s="1" t="n">
        <v>46184</v>
      </c>
      <c r="D678" t="inlineStr">
        <is>
          <t>ÖREBRO LÄN</t>
        </is>
      </c>
      <c r="E678" t="inlineStr">
        <is>
          <t>LINDESBERG</t>
        </is>
      </c>
      <c r="G678" t="n">
        <v>1.3</v>
      </c>
      <c r="H678" t="n">
        <v>0</v>
      </c>
      <c r="I678" t="n">
        <v>0</v>
      </c>
      <c r="J678" t="n">
        <v>0</v>
      </c>
      <c r="K678" t="n">
        <v>0</v>
      </c>
      <c r="L678" t="n">
        <v>0</v>
      </c>
      <c r="M678" t="n">
        <v>0</v>
      </c>
      <c r="N678" t="n">
        <v>0</v>
      </c>
      <c r="O678" t="n">
        <v>0</v>
      </c>
      <c r="P678" t="n">
        <v>0</v>
      </c>
      <c r="Q678" t="n">
        <v>0</v>
      </c>
      <c r="R678" s="2" t="inlineStr"/>
    </row>
    <row r="679" ht="15" customHeight="1">
      <c r="A679" t="inlineStr">
        <is>
          <t>A 56907-2024</t>
        </is>
      </c>
      <c r="B679" s="1" t="n">
        <v>45628.58975694444</v>
      </c>
      <c r="C679" s="1" t="n">
        <v>46184</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19260-2026</t>
        </is>
      </c>
      <c r="B680" s="1" t="n">
        <v>46132.70711805556</v>
      </c>
      <c r="C680" s="1" t="n">
        <v>46184</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19292-2026</t>
        </is>
      </c>
      <c r="B681" s="1" t="n">
        <v>46133.32493055556</v>
      </c>
      <c r="C681" s="1" t="n">
        <v>46184</v>
      </c>
      <c r="D681" t="inlineStr">
        <is>
          <t>ÖREBRO LÄN</t>
        </is>
      </c>
      <c r="E681" t="inlineStr">
        <is>
          <t>LINDESBERG</t>
        </is>
      </c>
      <c r="G681" t="n">
        <v>0.4</v>
      </c>
      <c r="H681" t="n">
        <v>0</v>
      </c>
      <c r="I681" t="n">
        <v>0</v>
      </c>
      <c r="J681" t="n">
        <v>0</v>
      </c>
      <c r="K681" t="n">
        <v>0</v>
      </c>
      <c r="L681" t="n">
        <v>0</v>
      </c>
      <c r="M681" t="n">
        <v>0</v>
      </c>
      <c r="N681" t="n">
        <v>0</v>
      </c>
      <c r="O681" t="n">
        <v>0</v>
      </c>
      <c r="P681" t="n">
        <v>0</v>
      </c>
      <c r="Q681" t="n">
        <v>0</v>
      </c>
      <c r="R681" s="2" t="inlineStr"/>
    </row>
    <row r="682" ht="15" customHeight="1">
      <c r="A682" t="inlineStr">
        <is>
          <t>A 17242-2025</t>
        </is>
      </c>
      <c r="B682" s="1" t="n">
        <v>45756.49009259259</v>
      </c>
      <c r="C682" s="1" t="n">
        <v>46184</v>
      </c>
      <c r="D682" t="inlineStr">
        <is>
          <t>ÖREBRO LÄN</t>
        </is>
      </c>
      <c r="E682" t="inlineStr">
        <is>
          <t>LINDESBERG</t>
        </is>
      </c>
      <c r="G682" t="n">
        <v>7.3</v>
      </c>
      <c r="H682" t="n">
        <v>0</v>
      </c>
      <c r="I682" t="n">
        <v>0</v>
      </c>
      <c r="J682" t="n">
        <v>0</v>
      </c>
      <c r="K682" t="n">
        <v>0</v>
      </c>
      <c r="L682" t="n">
        <v>0</v>
      </c>
      <c r="M682" t="n">
        <v>0</v>
      </c>
      <c r="N682" t="n">
        <v>0</v>
      </c>
      <c r="O682" t="n">
        <v>0</v>
      </c>
      <c r="P682" t="n">
        <v>0</v>
      </c>
      <c r="Q682" t="n">
        <v>0</v>
      </c>
      <c r="R682" s="2" t="inlineStr"/>
    </row>
    <row r="683" ht="15" customHeight="1">
      <c r="A683" t="inlineStr">
        <is>
          <t>A 25116-2026</t>
        </is>
      </c>
      <c r="B683" s="1" t="n">
        <v>46175.36806712963</v>
      </c>
      <c r="C683" s="1" t="n">
        <v>46184</v>
      </c>
      <c r="D683" t="inlineStr">
        <is>
          <t>ÖREBRO LÄN</t>
        </is>
      </c>
      <c r="E683" t="inlineStr">
        <is>
          <t>LINDESBERG</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25023-2026</t>
        </is>
      </c>
      <c r="B684" s="1" t="n">
        <v>46174.63037037037</v>
      </c>
      <c r="C684" s="1" t="n">
        <v>46184</v>
      </c>
      <c r="D684" t="inlineStr">
        <is>
          <t>ÖREBRO LÄN</t>
        </is>
      </c>
      <c r="E684" t="inlineStr">
        <is>
          <t>LINDESBERG</t>
        </is>
      </c>
      <c r="F684" t="inlineStr">
        <is>
          <t>Kommuner</t>
        </is>
      </c>
      <c r="G684" t="n">
        <v>2.3</v>
      </c>
      <c r="H684" t="n">
        <v>0</v>
      </c>
      <c r="I684" t="n">
        <v>0</v>
      </c>
      <c r="J684" t="n">
        <v>0</v>
      </c>
      <c r="K684" t="n">
        <v>0</v>
      </c>
      <c r="L684" t="n">
        <v>0</v>
      </c>
      <c r="M684" t="n">
        <v>0</v>
      </c>
      <c r="N684" t="n">
        <v>0</v>
      </c>
      <c r="O684" t="n">
        <v>0</v>
      </c>
      <c r="P684" t="n">
        <v>0</v>
      </c>
      <c r="Q684" t="n">
        <v>0</v>
      </c>
      <c r="R684" s="2" t="inlineStr"/>
    </row>
    <row r="685" ht="15" customHeight="1">
      <c r="A685" t="inlineStr">
        <is>
          <t>A 24958-2026</t>
        </is>
      </c>
      <c r="B685" s="1" t="n">
        <v>46174.57133101852</v>
      </c>
      <c r="C685" s="1" t="n">
        <v>46184</v>
      </c>
      <c r="D685" t="inlineStr">
        <is>
          <t>ÖREBRO LÄN</t>
        </is>
      </c>
      <c r="E685" t="inlineStr">
        <is>
          <t>LINDESBERG</t>
        </is>
      </c>
      <c r="G685" t="n">
        <v>4.1</v>
      </c>
      <c r="H685" t="n">
        <v>0</v>
      </c>
      <c r="I685" t="n">
        <v>0</v>
      </c>
      <c r="J685" t="n">
        <v>0</v>
      </c>
      <c r="K685" t="n">
        <v>0</v>
      </c>
      <c r="L685" t="n">
        <v>0</v>
      </c>
      <c r="M685" t="n">
        <v>0</v>
      </c>
      <c r="N685" t="n">
        <v>0</v>
      </c>
      <c r="O685" t="n">
        <v>0</v>
      </c>
      <c r="P685" t="n">
        <v>0</v>
      </c>
      <c r="Q685" t="n">
        <v>0</v>
      </c>
      <c r="R685" s="2" t="inlineStr"/>
    </row>
    <row r="686" ht="15" customHeight="1">
      <c r="A686" t="inlineStr">
        <is>
          <t>A 24970-2026</t>
        </is>
      </c>
      <c r="B686" s="1" t="n">
        <v>46174.5781712963</v>
      </c>
      <c r="C686" s="1" t="n">
        <v>46184</v>
      </c>
      <c r="D686" t="inlineStr">
        <is>
          <t>ÖREBRO LÄN</t>
        </is>
      </c>
      <c r="E686" t="inlineStr">
        <is>
          <t>LINDESBERG</t>
        </is>
      </c>
      <c r="G686" t="n">
        <v>3.3</v>
      </c>
      <c r="H686" t="n">
        <v>0</v>
      </c>
      <c r="I686" t="n">
        <v>0</v>
      </c>
      <c r="J686" t="n">
        <v>0</v>
      </c>
      <c r="K686" t="n">
        <v>0</v>
      </c>
      <c r="L686" t="n">
        <v>0</v>
      </c>
      <c r="M686" t="n">
        <v>0</v>
      </c>
      <c r="N686" t="n">
        <v>0</v>
      </c>
      <c r="O686" t="n">
        <v>0</v>
      </c>
      <c r="P686" t="n">
        <v>0</v>
      </c>
      <c r="Q686" t="n">
        <v>0</v>
      </c>
      <c r="R686" s="2" t="inlineStr"/>
    </row>
    <row r="687" ht="15" customHeight="1">
      <c r="A687" t="inlineStr">
        <is>
          <t>A 24977-2026</t>
        </is>
      </c>
      <c r="B687" s="1" t="n">
        <v>46174.59148148148</v>
      </c>
      <c r="C687" s="1" t="n">
        <v>46184</v>
      </c>
      <c r="D687" t="inlineStr">
        <is>
          <t>ÖREBRO LÄN</t>
        </is>
      </c>
      <c r="E687" t="inlineStr">
        <is>
          <t>LINDESBERG</t>
        </is>
      </c>
      <c r="G687" t="n">
        <v>11.3</v>
      </c>
      <c r="H687" t="n">
        <v>0</v>
      </c>
      <c r="I687" t="n">
        <v>0</v>
      </c>
      <c r="J687" t="n">
        <v>0</v>
      </c>
      <c r="K687" t="n">
        <v>0</v>
      </c>
      <c r="L687" t="n">
        <v>0</v>
      </c>
      <c r="M687" t="n">
        <v>0</v>
      </c>
      <c r="N687" t="n">
        <v>0</v>
      </c>
      <c r="O687" t="n">
        <v>0</v>
      </c>
      <c r="P687" t="n">
        <v>0</v>
      </c>
      <c r="Q687" t="n">
        <v>0</v>
      </c>
      <c r="R687" s="2" t="inlineStr"/>
    </row>
    <row r="688" ht="15" customHeight="1">
      <c r="A688" t="inlineStr">
        <is>
          <t>A 7119-2025</t>
        </is>
      </c>
      <c r="B688" s="1" t="n">
        <v>45702</v>
      </c>
      <c r="C688" s="1" t="n">
        <v>46184</v>
      </c>
      <c r="D688" t="inlineStr">
        <is>
          <t>ÖREBRO LÄN</t>
        </is>
      </c>
      <c r="E688" t="inlineStr">
        <is>
          <t>LINDESBERG</t>
        </is>
      </c>
      <c r="G688" t="n">
        <v>0.9</v>
      </c>
      <c r="H688" t="n">
        <v>0</v>
      </c>
      <c r="I688" t="n">
        <v>0</v>
      </c>
      <c r="J688" t="n">
        <v>0</v>
      </c>
      <c r="K688" t="n">
        <v>0</v>
      </c>
      <c r="L688" t="n">
        <v>0</v>
      </c>
      <c r="M688" t="n">
        <v>0</v>
      </c>
      <c r="N688" t="n">
        <v>0</v>
      </c>
      <c r="O688" t="n">
        <v>0</v>
      </c>
      <c r="P688" t="n">
        <v>0</v>
      </c>
      <c r="Q688" t="n">
        <v>0</v>
      </c>
      <c r="R688" s="2" t="inlineStr"/>
    </row>
    <row r="689" ht="15" customHeight="1">
      <c r="A689" t="inlineStr">
        <is>
          <t>A 45060-2024</t>
        </is>
      </c>
      <c r="B689" s="1" t="n">
        <v>45575.55570601852</v>
      </c>
      <c r="C689" s="1" t="n">
        <v>46184</v>
      </c>
      <c r="D689" t="inlineStr">
        <is>
          <t>ÖREBRO LÄN</t>
        </is>
      </c>
      <c r="E689" t="inlineStr">
        <is>
          <t>LINDESBERG</t>
        </is>
      </c>
      <c r="F689" t="inlineStr">
        <is>
          <t>Sveaskog</t>
        </is>
      </c>
      <c r="G689" t="n">
        <v>4.6</v>
      </c>
      <c r="H689" t="n">
        <v>0</v>
      </c>
      <c r="I689" t="n">
        <v>0</v>
      </c>
      <c r="J689" t="n">
        <v>0</v>
      </c>
      <c r="K689" t="n">
        <v>0</v>
      </c>
      <c r="L689" t="n">
        <v>0</v>
      </c>
      <c r="M689" t="n">
        <v>0</v>
      </c>
      <c r="N689" t="n">
        <v>0</v>
      </c>
      <c r="O689" t="n">
        <v>0</v>
      </c>
      <c r="P689" t="n">
        <v>0</v>
      </c>
      <c r="Q689" t="n">
        <v>0</v>
      </c>
      <c r="R689" s="2" t="inlineStr"/>
    </row>
    <row r="690" ht="15" customHeight="1">
      <c r="A690" t="inlineStr">
        <is>
          <t>A 50972-2023</t>
        </is>
      </c>
      <c r="B690" s="1" t="n">
        <v>45218</v>
      </c>
      <c r="C690" s="1" t="n">
        <v>46184</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50225-2021</t>
        </is>
      </c>
      <c r="B691" s="1" t="n">
        <v>44457</v>
      </c>
      <c r="C691" s="1" t="n">
        <v>46184</v>
      </c>
      <c r="D691" t="inlineStr">
        <is>
          <t>ÖREBRO LÄN</t>
        </is>
      </c>
      <c r="E691" t="inlineStr">
        <is>
          <t>LINDESBERG</t>
        </is>
      </c>
      <c r="G691" t="n">
        <v>2.5</v>
      </c>
      <c r="H691" t="n">
        <v>0</v>
      </c>
      <c r="I691" t="n">
        <v>0</v>
      </c>
      <c r="J691" t="n">
        <v>0</v>
      </c>
      <c r="K691" t="n">
        <v>0</v>
      </c>
      <c r="L691" t="n">
        <v>0</v>
      </c>
      <c r="M691" t="n">
        <v>0</v>
      </c>
      <c r="N691" t="n">
        <v>0</v>
      </c>
      <c r="O691" t="n">
        <v>0</v>
      </c>
      <c r="P691" t="n">
        <v>0</v>
      </c>
      <c r="Q691" t="n">
        <v>0</v>
      </c>
      <c r="R691" s="2" t="inlineStr"/>
    </row>
    <row r="692" ht="15" customHeight="1">
      <c r="A692" t="inlineStr">
        <is>
          <t>A 48244-2024</t>
        </is>
      </c>
      <c r="B692" s="1" t="n">
        <v>45590.39471064815</v>
      </c>
      <c r="C692" s="1" t="n">
        <v>46184</v>
      </c>
      <c r="D692" t="inlineStr">
        <is>
          <t>ÖREBRO LÄN</t>
        </is>
      </c>
      <c r="E692" t="inlineStr">
        <is>
          <t>LINDESBERG</t>
        </is>
      </c>
      <c r="G692" t="n">
        <v>1.1</v>
      </c>
      <c r="H692" t="n">
        <v>0</v>
      </c>
      <c r="I692" t="n">
        <v>0</v>
      </c>
      <c r="J692" t="n">
        <v>0</v>
      </c>
      <c r="K692" t="n">
        <v>0</v>
      </c>
      <c r="L692" t="n">
        <v>0</v>
      </c>
      <c r="M692" t="n">
        <v>0</v>
      </c>
      <c r="N692" t="n">
        <v>0</v>
      </c>
      <c r="O692" t="n">
        <v>0</v>
      </c>
      <c r="P692" t="n">
        <v>0</v>
      </c>
      <c r="Q692" t="n">
        <v>0</v>
      </c>
      <c r="R692" s="2" t="inlineStr"/>
    </row>
    <row r="693" ht="15" customHeight="1">
      <c r="A693" t="inlineStr">
        <is>
          <t>A 20210-2024</t>
        </is>
      </c>
      <c r="B693" s="1" t="n">
        <v>45434.65854166666</v>
      </c>
      <c r="C693" s="1" t="n">
        <v>46184</v>
      </c>
      <c r="D693" t="inlineStr">
        <is>
          <t>ÖREBRO LÄN</t>
        </is>
      </c>
      <c r="E693" t="inlineStr">
        <is>
          <t>LINDESBERG</t>
        </is>
      </c>
      <c r="G693" t="n">
        <v>5.5</v>
      </c>
      <c r="H693" t="n">
        <v>0</v>
      </c>
      <c r="I693" t="n">
        <v>0</v>
      </c>
      <c r="J693" t="n">
        <v>0</v>
      </c>
      <c r="K693" t="n">
        <v>0</v>
      </c>
      <c r="L693" t="n">
        <v>0</v>
      </c>
      <c r="M693" t="n">
        <v>0</v>
      </c>
      <c r="N693" t="n">
        <v>0</v>
      </c>
      <c r="O693" t="n">
        <v>0</v>
      </c>
      <c r="P693" t="n">
        <v>0</v>
      </c>
      <c r="Q693" t="n">
        <v>0</v>
      </c>
      <c r="R693" s="2" t="inlineStr"/>
    </row>
    <row r="694" ht="15" customHeight="1">
      <c r="A694" t="inlineStr">
        <is>
          <t>A 24352-2023</t>
        </is>
      </c>
      <c r="B694" s="1" t="n">
        <v>45082.31421296296</v>
      </c>
      <c r="C694" s="1" t="n">
        <v>46184</v>
      </c>
      <c r="D694" t="inlineStr">
        <is>
          <t>ÖREBRO LÄN</t>
        </is>
      </c>
      <c r="E694" t="inlineStr">
        <is>
          <t>LINDESBERG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23245-2025</t>
        </is>
      </c>
      <c r="B695" s="1" t="n">
        <v>45791.50862268519</v>
      </c>
      <c r="C695" s="1" t="n">
        <v>46184</v>
      </c>
      <c r="D695" t="inlineStr">
        <is>
          <t>ÖREBRO LÄN</t>
        </is>
      </c>
      <c r="E695" t="inlineStr">
        <is>
          <t>LINDESBERG</t>
        </is>
      </c>
      <c r="G695" t="n">
        <v>6.8</v>
      </c>
      <c r="H695" t="n">
        <v>0</v>
      </c>
      <c r="I695" t="n">
        <v>0</v>
      </c>
      <c r="J695" t="n">
        <v>0</v>
      </c>
      <c r="K695" t="n">
        <v>0</v>
      </c>
      <c r="L695" t="n">
        <v>0</v>
      </c>
      <c r="M695" t="n">
        <v>0</v>
      </c>
      <c r="N695" t="n">
        <v>0</v>
      </c>
      <c r="O695" t="n">
        <v>0</v>
      </c>
      <c r="P695" t="n">
        <v>0</v>
      </c>
      <c r="Q695" t="n">
        <v>0</v>
      </c>
      <c r="R695" s="2" t="inlineStr"/>
    </row>
    <row r="696" ht="15" customHeight="1">
      <c r="A696" t="inlineStr">
        <is>
          <t>A 22824-2023</t>
        </is>
      </c>
      <c r="B696" s="1" t="n">
        <v>45072</v>
      </c>
      <c r="C696" s="1" t="n">
        <v>46184</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32504-2025</t>
        </is>
      </c>
      <c r="B697" s="1" t="n">
        <v>45838.46456018519</v>
      </c>
      <c r="C697" s="1" t="n">
        <v>46184</v>
      </c>
      <c r="D697" t="inlineStr">
        <is>
          <t>ÖREBRO LÄN</t>
        </is>
      </c>
      <c r="E697" t="inlineStr">
        <is>
          <t>LINDESBERG</t>
        </is>
      </c>
      <c r="F697" t="inlineStr">
        <is>
          <t>Sveaskog</t>
        </is>
      </c>
      <c r="G697" t="n">
        <v>16.9</v>
      </c>
      <c r="H697" t="n">
        <v>0</v>
      </c>
      <c r="I697" t="n">
        <v>0</v>
      </c>
      <c r="J697" t="n">
        <v>0</v>
      </c>
      <c r="K697" t="n">
        <v>0</v>
      </c>
      <c r="L697" t="n">
        <v>0</v>
      </c>
      <c r="M697" t="n">
        <v>0</v>
      </c>
      <c r="N697" t="n">
        <v>0</v>
      </c>
      <c r="O697" t="n">
        <v>0</v>
      </c>
      <c r="P697" t="n">
        <v>0</v>
      </c>
      <c r="Q697" t="n">
        <v>0</v>
      </c>
      <c r="R697" s="2" t="inlineStr"/>
    </row>
    <row r="698" ht="15" customHeight="1">
      <c r="A698" t="inlineStr">
        <is>
          <t>A 36509-2024</t>
        </is>
      </c>
      <c r="B698" s="1" t="n">
        <v>45537.42240740741</v>
      </c>
      <c r="C698" s="1" t="n">
        <v>46184</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33428-2024</t>
        </is>
      </c>
      <c r="B699" s="1" t="n">
        <v>45519.52319444445</v>
      </c>
      <c r="C699" s="1" t="n">
        <v>46184</v>
      </c>
      <c r="D699" t="inlineStr">
        <is>
          <t>ÖREBRO LÄN</t>
        </is>
      </c>
      <c r="E699" t="inlineStr">
        <is>
          <t>LINDESBERG</t>
        </is>
      </c>
      <c r="F699" t="inlineStr">
        <is>
          <t>Sveaskog</t>
        </is>
      </c>
      <c r="G699" t="n">
        <v>0.2</v>
      </c>
      <c r="H699" t="n">
        <v>0</v>
      </c>
      <c r="I699" t="n">
        <v>0</v>
      </c>
      <c r="J699" t="n">
        <v>0</v>
      </c>
      <c r="K699" t="n">
        <v>0</v>
      </c>
      <c r="L699" t="n">
        <v>0</v>
      </c>
      <c r="M699" t="n">
        <v>0</v>
      </c>
      <c r="N699" t="n">
        <v>0</v>
      </c>
      <c r="O699" t="n">
        <v>0</v>
      </c>
      <c r="P699" t="n">
        <v>0</v>
      </c>
      <c r="Q699" t="n">
        <v>0</v>
      </c>
      <c r="R699" s="2" t="inlineStr"/>
    </row>
    <row r="700" ht="15" customHeight="1">
      <c r="A700" t="inlineStr">
        <is>
          <t>A 48061-2025</t>
        </is>
      </c>
      <c r="B700" s="1" t="n">
        <v>45932.68006944445</v>
      </c>
      <c r="C700" s="1" t="n">
        <v>46184</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17104-2024</t>
        </is>
      </c>
      <c r="B701" s="1" t="n">
        <v>45412.54541666667</v>
      </c>
      <c r="C701" s="1" t="n">
        <v>46184</v>
      </c>
      <c r="D701" t="inlineStr">
        <is>
          <t>ÖREBRO LÄN</t>
        </is>
      </c>
      <c r="E701" t="inlineStr">
        <is>
          <t>LINDESBERG</t>
        </is>
      </c>
      <c r="G701" t="n">
        <v>2.2</v>
      </c>
      <c r="H701" t="n">
        <v>0</v>
      </c>
      <c r="I701" t="n">
        <v>0</v>
      </c>
      <c r="J701" t="n">
        <v>0</v>
      </c>
      <c r="K701" t="n">
        <v>0</v>
      </c>
      <c r="L701" t="n">
        <v>0</v>
      </c>
      <c r="M701" t="n">
        <v>0</v>
      </c>
      <c r="N701" t="n">
        <v>0</v>
      </c>
      <c r="O701" t="n">
        <v>0</v>
      </c>
      <c r="P701" t="n">
        <v>0</v>
      </c>
      <c r="Q701" t="n">
        <v>0</v>
      </c>
      <c r="R701" s="2" t="inlineStr"/>
    </row>
    <row r="702" ht="15" customHeight="1">
      <c r="A702" t="inlineStr">
        <is>
          <t>A 13350-2024</t>
        </is>
      </c>
      <c r="B702" s="1" t="n">
        <v>45387.24732638889</v>
      </c>
      <c r="C702" s="1" t="n">
        <v>46184</v>
      </c>
      <c r="D702" t="inlineStr">
        <is>
          <t>ÖREBRO LÄN</t>
        </is>
      </c>
      <c r="E702" t="inlineStr">
        <is>
          <t>LINDESBERG</t>
        </is>
      </c>
      <c r="G702" t="n">
        <v>4.1</v>
      </c>
      <c r="H702" t="n">
        <v>0</v>
      </c>
      <c r="I702" t="n">
        <v>0</v>
      </c>
      <c r="J702" t="n">
        <v>0</v>
      </c>
      <c r="K702" t="n">
        <v>0</v>
      </c>
      <c r="L702" t="n">
        <v>0</v>
      </c>
      <c r="M702" t="n">
        <v>0</v>
      </c>
      <c r="N702" t="n">
        <v>0</v>
      </c>
      <c r="O702" t="n">
        <v>0</v>
      </c>
      <c r="P702" t="n">
        <v>0</v>
      </c>
      <c r="Q702" t="n">
        <v>0</v>
      </c>
      <c r="R702" s="2" t="inlineStr"/>
    </row>
    <row r="703" ht="15" customHeight="1">
      <c r="A703" t="inlineStr">
        <is>
          <t>A 13351-2024</t>
        </is>
      </c>
      <c r="B703" s="1" t="n">
        <v>45387.2521875</v>
      </c>
      <c r="C703" s="1" t="n">
        <v>46184</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40755-2022</t>
        </is>
      </c>
      <c r="B704" s="1" t="n">
        <v>44820</v>
      </c>
      <c r="C704" s="1" t="n">
        <v>46184</v>
      </c>
      <c r="D704" t="inlineStr">
        <is>
          <t>ÖREBRO LÄN</t>
        </is>
      </c>
      <c r="E704" t="inlineStr">
        <is>
          <t>LINDESBERG</t>
        </is>
      </c>
      <c r="G704" t="n">
        <v>3.8</v>
      </c>
      <c r="H704" t="n">
        <v>0</v>
      </c>
      <c r="I704" t="n">
        <v>0</v>
      </c>
      <c r="J704" t="n">
        <v>0</v>
      </c>
      <c r="K704" t="n">
        <v>0</v>
      </c>
      <c r="L704" t="n">
        <v>0</v>
      </c>
      <c r="M704" t="n">
        <v>0</v>
      </c>
      <c r="N704" t="n">
        <v>0</v>
      </c>
      <c r="O704" t="n">
        <v>0</v>
      </c>
      <c r="P704" t="n">
        <v>0</v>
      </c>
      <c r="Q704" t="n">
        <v>0</v>
      </c>
      <c r="R704" s="2" t="inlineStr"/>
    </row>
    <row r="705" ht="15" customHeight="1">
      <c r="A705" t="inlineStr">
        <is>
          <t>A 34434-2023</t>
        </is>
      </c>
      <c r="B705" s="1" t="n">
        <v>45139.63480324074</v>
      </c>
      <c r="C705" s="1" t="n">
        <v>46184</v>
      </c>
      <c r="D705" t="inlineStr">
        <is>
          <t>ÖREBRO LÄN</t>
        </is>
      </c>
      <c r="E705" t="inlineStr">
        <is>
          <t>LINDESBERG</t>
        </is>
      </c>
      <c r="F705" t="inlineStr">
        <is>
          <t>Kyrkan</t>
        </is>
      </c>
      <c r="G705" t="n">
        <v>1.7</v>
      </c>
      <c r="H705" t="n">
        <v>0</v>
      </c>
      <c r="I705" t="n">
        <v>0</v>
      </c>
      <c r="J705" t="n">
        <v>0</v>
      </c>
      <c r="K705" t="n">
        <v>0</v>
      </c>
      <c r="L705" t="n">
        <v>0</v>
      </c>
      <c r="M705" t="n">
        <v>0</v>
      </c>
      <c r="N705" t="n">
        <v>0</v>
      </c>
      <c r="O705" t="n">
        <v>0</v>
      </c>
      <c r="P705" t="n">
        <v>0</v>
      </c>
      <c r="Q705" t="n">
        <v>0</v>
      </c>
      <c r="R705" s="2" t="inlineStr"/>
    </row>
    <row r="706" ht="15" customHeight="1">
      <c r="A706" t="inlineStr">
        <is>
          <t>A 36754-2024</t>
        </is>
      </c>
      <c r="B706" s="1" t="n">
        <v>45538.34796296297</v>
      </c>
      <c r="C706" s="1" t="n">
        <v>46184</v>
      </c>
      <c r="D706" t="inlineStr">
        <is>
          <t>ÖREBRO LÄN</t>
        </is>
      </c>
      <c r="E706" t="inlineStr">
        <is>
          <t>LINDESBERG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34838-2023</t>
        </is>
      </c>
      <c r="B707" s="1" t="n">
        <v>45141.76530092592</v>
      </c>
      <c r="C707" s="1" t="n">
        <v>46184</v>
      </c>
      <c r="D707" t="inlineStr">
        <is>
          <t>ÖREBRO LÄN</t>
        </is>
      </c>
      <c r="E707" t="inlineStr">
        <is>
          <t>LINDESBERG</t>
        </is>
      </c>
      <c r="G707" t="n">
        <v>3</v>
      </c>
      <c r="H707" t="n">
        <v>0</v>
      </c>
      <c r="I707" t="n">
        <v>0</v>
      </c>
      <c r="J707" t="n">
        <v>0</v>
      </c>
      <c r="K707" t="n">
        <v>0</v>
      </c>
      <c r="L707" t="n">
        <v>0</v>
      </c>
      <c r="M707" t="n">
        <v>0</v>
      </c>
      <c r="N707" t="n">
        <v>0</v>
      </c>
      <c r="O707" t="n">
        <v>0</v>
      </c>
      <c r="P707" t="n">
        <v>0</v>
      </c>
      <c r="Q707" t="n">
        <v>0</v>
      </c>
      <c r="R707" s="2" t="inlineStr"/>
    </row>
    <row r="708" ht="15" customHeight="1">
      <c r="A708" t="inlineStr">
        <is>
          <t>A 31221-2025</t>
        </is>
      </c>
      <c r="B708" s="1" t="n">
        <v>45832.76491898148</v>
      </c>
      <c r="C708" s="1" t="n">
        <v>46184</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15324-2024</t>
        </is>
      </c>
      <c r="B709" s="1" t="n">
        <v>45400.66995370371</v>
      </c>
      <c r="C709" s="1" t="n">
        <v>46184</v>
      </c>
      <c r="D709" t="inlineStr">
        <is>
          <t>ÖREBRO LÄN</t>
        </is>
      </c>
      <c r="E709" t="inlineStr">
        <is>
          <t>LINDESBERG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36170-2021</t>
        </is>
      </c>
      <c r="B710" s="1" t="n">
        <v>44389</v>
      </c>
      <c r="C710" s="1" t="n">
        <v>46184</v>
      </c>
      <c r="D710" t="inlineStr">
        <is>
          <t>ÖREBRO LÄN</t>
        </is>
      </c>
      <c r="E710" t="inlineStr">
        <is>
          <t>LINDESBERG</t>
        </is>
      </c>
      <c r="G710" t="n">
        <v>0.4</v>
      </c>
      <c r="H710" t="n">
        <v>0</v>
      </c>
      <c r="I710" t="n">
        <v>0</v>
      </c>
      <c r="J710" t="n">
        <v>0</v>
      </c>
      <c r="K710" t="n">
        <v>0</v>
      </c>
      <c r="L710" t="n">
        <v>0</v>
      </c>
      <c r="M710" t="n">
        <v>0</v>
      </c>
      <c r="N710" t="n">
        <v>0</v>
      </c>
      <c r="O710" t="n">
        <v>0</v>
      </c>
      <c r="P710" t="n">
        <v>0</v>
      </c>
      <c r="Q710" t="n">
        <v>0</v>
      </c>
      <c r="R710" s="2" t="inlineStr"/>
    </row>
    <row r="711" ht="15" customHeight="1">
      <c r="A711" t="inlineStr">
        <is>
          <t>A 53510-2024</t>
        </is>
      </c>
      <c r="B711" s="1" t="n">
        <v>45614.5968287037</v>
      </c>
      <c r="C711" s="1" t="n">
        <v>46184</v>
      </c>
      <c r="D711" t="inlineStr">
        <is>
          <t>ÖREBRO LÄN</t>
        </is>
      </c>
      <c r="E711" t="inlineStr">
        <is>
          <t>LINDESBERG</t>
        </is>
      </c>
      <c r="G711" t="n">
        <v>1</v>
      </c>
      <c r="H711" t="n">
        <v>0</v>
      </c>
      <c r="I711" t="n">
        <v>0</v>
      </c>
      <c r="J711" t="n">
        <v>0</v>
      </c>
      <c r="K711" t="n">
        <v>0</v>
      </c>
      <c r="L711" t="n">
        <v>0</v>
      </c>
      <c r="M711" t="n">
        <v>0</v>
      </c>
      <c r="N711" t="n">
        <v>0</v>
      </c>
      <c r="O711" t="n">
        <v>0</v>
      </c>
      <c r="P711" t="n">
        <v>0</v>
      </c>
      <c r="Q711" t="n">
        <v>0</v>
      </c>
      <c r="R711" s="2" t="inlineStr"/>
    </row>
    <row r="712" ht="15" customHeight="1">
      <c r="A712" t="inlineStr">
        <is>
          <t>A 7180-2023</t>
        </is>
      </c>
      <c r="B712" s="1" t="n">
        <v>44970.51849537037</v>
      </c>
      <c r="C712" s="1" t="n">
        <v>46184</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46675-2023</t>
        </is>
      </c>
      <c r="B713" s="1" t="n">
        <v>45194</v>
      </c>
      <c r="C713" s="1" t="n">
        <v>46184</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50964-2023</t>
        </is>
      </c>
      <c r="B714" s="1" t="n">
        <v>45218.488125</v>
      </c>
      <c r="C714" s="1" t="n">
        <v>46184</v>
      </c>
      <c r="D714" t="inlineStr">
        <is>
          <t>ÖREBRO LÄN</t>
        </is>
      </c>
      <c r="E714" t="inlineStr">
        <is>
          <t>LINDESBERG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50619-2022</t>
        </is>
      </c>
      <c r="B715" s="1" t="n">
        <v>44866.79668981482</v>
      </c>
      <c r="C715" s="1" t="n">
        <v>46184</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36893-2024</t>
        </is>
      </c>
      <c r="B716" s="1" t="n">
        <v>45538</v>
      </c>
      <c r="C716" s="1" t="n">
        <v>46184</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10111-2022</t>
        </is>
      </c>
      <c r="B717" s="1" t="n">
        <v>44621.85737268518</v>
      </c>
      <c r="C717" s="1" t="n">
        <v>46184</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52098-2025</t>
        </is>
      </c>
      <c r="B718" s="1" t="n">
        <v>45952.68001157408</v>
      </c>
      <c r="C718" s="1" t="n">
        <v>46184</v>
      </c>
      <c r="D718" t="inlineStr">
        <is>
          <t>ÖREBRO LÄN</t>
        </is>
      </c>
      <c r="E718" t="inlineStr">
        <is>
          <t>LINDESBERG</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14231-2023</t>
        </is>
      </c>
      <c r="B719" s="1" t="n">
        <v>45009.64217592592</v>
      </c>
      <c r="C719" s="1" t="n">
        <v>46184</v>
      </c>
      <c r="D719" t="inlineStr">
        <is>
          <t>ÖREBRO LÄN</t>
        </is>
      </c>
      <c r="E719" t="inlineStr">
        <is>
          <t>LINDESBERG</t>
        </is>
      </c>
      <c r="G719" t="n">
        <v>4.3</v>
      </c>
      <c r="H719" t="n">
        <v>0</v>
      </c>
      <c r="I719" t="n">
        <v>0</v>
      </c>
      <c r="J719" t="n">
        <v>0</v>
      </c>
      <c r="K719" t="n">
        <v>0</v>
      </c>
      <c r="L719" t="n">
        <v>0</v>
      </c>
      <c r="M719" t="n">
        <v>0</v>
      </c>
      <c r="N719" t="n">
        <v>0</v>
      </c>
      <c r="O719" t="n">
        <v>0</v>
      </c>
      <c r="P719" t="n">
        <v>0</v>
      </c>
      <c r="Q719" t="n">
        <v>0</v>
      </c>
      <c r="R719" s="2" t="inlineStr"/>
    </row>
    <row r="720" ht="15" customHeight="1">
      <c r="A720" t="inlineStr">
        <is>
          <t>A 484-2022</t>
        </is>
      </c>
      <c r="B720" s="1" t="n">
        <v>44566</v>
      </c>
      <c r="C720" s="1" t="n">
        <v>46184</v>
      </c>
      <c r="D720" t="inlineStr">
        <is>
          <t>ÖREBRO LÄN</t>
        </is>
      </c>
      <c r="E720" t="inlineStr">
        <is>
          <t>LINDESBERG</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60492-2024</t>
        </is>
      </c>
      <c r="B721" s="1" t="n">
        <v>45642</v>
      </c>
      <c r="C721" s="1" t="n">
        <v>46184</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1395-2025</t>
        </is>
      </c>
      <c r="B722" s="1" t="n">
        <v>45667</v>
      </c>
      <c r="C722" s="1" t="n">
        <v>46184</v>
      </c>
      <c r="D722" t="inlineStr">
        <is>
          <t>ÖREBRO LÄN</t>
        </is>
      </c>
      <c r="E722" t="inlineStr">
        <is>
          <t>LINDESBERG</t>
        </is>
      </c>
      <c r="G722" t="n">
        <v>4.6</v>
      </c>
      <c r="H722" t="n">
        <v>0</v>
      </c>
      <c r="I722" t="n">
        <v>0</v>
      </c>
      <c r="J722" t="n">
        <v>0</v>
      </c>
      <c r="K722" t="n">
        <v>0</v>
      </c>
      <c r="L722" t="n">
        <v>0</v>
      </c>
      <c r="M722" t="n">
        <v>0</v>
      </c>
      <c r="N722" t="n">
        <v>0</v>
      </c>
      <c r="O722" t="n">
        <v>0</v>
      </c>
      <c r="P722" t="n">
        <v>0</v>
      </c>
      <c r="Q722" t="n">
        <v>0</v>
      </c>
      <c r="R722" s="2" t="inlineStr"/>
    </row>
    <row r="723" ht="15" customHeight="1">
      <c r="A723" t="inlineStr">
        <is>
          <t>A 1405-2025</t>
        </is>
      </c>
      <c r="B723" s="1" t="n">
        <v>45667</v>
      </c>
      <c r="C723" s="1" t="n">
        <v>46184</v>
      </c>
      <c r="D723" t="inlineStr">
        <is>
          <t>ÖREBRO LÄN</t>
        </is>
      </c>
      <c r="E723" t="inlineStr">
        <is>
          <t>LINDESBERG</t>
        </is>
      </c>
      <c r="F723" t="inlineStr">
        <is>
          <t>Allmännings- och besparingsskogar</t>
        </is>
      </c>
      <c r="G723" t="n">
        <v>3.1</v>
      </c>
      <c r="H723" t="n">
        <v>0</v>
      </c>
      <c r="I723" t="n">
        <v>0</v>
      </c>
      <c r="J723" t="n">
        <v>0</v>
      </c>
      <c r="K723" t="n">
        <v>0</v>
      </c>
      <c r="L723" t="n">
        <v>0</v>
      </c>
      <c r="M723" t="n">
        <v>0</v>
      </c>
      <c r="N723" t="n">
        <v>0</v>
      </c>
      <c r="O723" t="n">
        <v>0</v>
      </c>
      <c r="P723" t="n">
        <v>0</v>
      </c>
      <c r="Q723" t="n">
        <v>0</v>
      </c>
      <c r="R723" s="2" t="inlineStr"/>
    </row>
    <row r="724" ht="15" customHeight="1">
      <c r="A724" t="inlineStr">
        <is>
          <t>A 45078-2024</t>
        </is>
      </c>
      <c r="B724" s="1" t="n">
        <v>45575.57104166667</v>
      </c>
      <c r="C724" s="1" t="n">
        <v>46184</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6723-2022</t>
        </is>
      </c>
      <c r="B725" s="1" t="n">
        <v>44602.45162037037</v>
      </c>
      <c r="C725" s="1" t="n">
        <v>46184</v>
      </c>
      <c r="D725" t="inlineStr">
        <is>
          <t>ÖREBRO LÄN</t>
        </is>
      </c>
      <c r="E725" t="inlineStr">
        <is>
          <t>LINDESBERG</t>
        </is>
      </c>
      <c r="G725" t="n">
        <v>4.2</v>
      </c>
      <c r="H725" t="n">
        <v>0</v>
      </c>
      <c r="I725" t="n">
        <v>0</v>
      </c>
      <c r="J725" t="n">
        <v>0</v>
      </c>
      <c r="K725" t="n">
        <v>0</v>
      </c>
      <c r="L725" t="n">
        <v>0</v>
      </c>
      <c r="M725" t="n">
        <v>0</v>
      </c>
      <c r="N725" t="n">
        <v>0</v>
      </c>
      <c r="O725" t="n">
        <v>0</v>
      </c>
      <c r="P725" t="n">
        <v>0</v>
      </c>
      <c r="Q725" t="n">
        <v>0</v>
      </c>
      <c r="R725" s="2" t="inlineStr"/>
    </row>
    <row r="726" ht="15" customHeight="1">
      <c r="A726" t="inlineStr">
        <is>
          <t>A 28470-2023</t>
        </is>
      </c>
      <c r="B726" s="1" t="n">
        <v>45103</v>
      </c>
      <c r="C726" s="1" t="n">
        <v>46184</v>
      </c>
      <c r="D726" t="inlineStr">
        <is>
          <t>ÖREBRO LÄN</t>
        </is>
      </c>
      <c r="E726" t="inlineStr">
        <is>
          <t>LINDESBERG</t>
        </is>
      </c>
      <c r="G726" t="n">
        <v>6.7</v>
      </c>
      <c r="H726" t="n">
        <v>0</v>
      </c>
      <c r="I726" t="n">
        <v>0</v>
      </c>
      <c r="J726" t="n">
        <v>0</v>
      </c>
      <c r="K726" t="n">
        <v>0</v>
      </c>
      <c r="L726" t="n">
        <v>0</v>
      </c>
      <c r="M726" t="n">
        <v>0</v>
      </c>
      <c r="N726" t="n">
        <v>0</v>
      </c>
      <c r="O726" t="n">
        <v>0</v>
      </c>
      <c r="P726" t="n">
        <v>0</v>
      </c>
      <c r="Q726" t="n">
        <v>0</v>
      </c>
      <c r="R726" s="2" t="inlineStr"/>
    </row>
    <row r="727" ht="15" customHeight="1">
      <c r="A727" t="inlineStr">
        <is>
          <t>A 32097-2024</t>
        </is>
      </c>
      <c r="B727" s="1" t="n">
        <v>45511.39445601852</v>
      </c>
      <c r="C727" s="1" t="n">
        <v>46184</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26340-2022</t>
        </is>
      </c>
      <c r="B728" s="1" t="n">
        <v>44735.62539351852</v>
      </c>
      <c r="C728" s="1" t="n">
        <v>46184</v>
      </c>
      <c r="D728" t="inlineStr">
        <is>
          <t>ÖREBRO LÄN</t>
        </is>
      </c>
      <c r="E728" t="inlineStr">
        <is>
          <t>LINDESBERG</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31215-2025</t>
        </is>
      </c>
      <c r="B729" s="1" t="n">
        <v>45832.74418981482</v>
      </c>
      <c r="C729" s="1" t="n">
        <v>46184</v>
      </c>
      <c r="D729" t="inlineStr">
        <is>
          <t>ÖREBRO LÄN</t>
        </is>
      </c>
      <c r="E729" t="inlineStr">
        <is>
          <t>LINDESBERG</t>
        </is>
      </c>
      <c r="F729" t="inlineStr">
        <is>
          <t>Sveaskog</t>
        </is>
      </c>
      <c r="G729" t="n">
        <v>4</v>
      </c>
      <c r="H729" t="n">
        <v>0</v>
      </c>
      <c r="I729" t="n">
        <v>0</v>
      </c>
      <c r="J729" t="n">
        <v>0</v>
      </c>
      <c r="K729" t="n">
        <v>0</v>
      </c>
      <c r="L729" t="n">
        <v>0</v>
      </c>
      <c r="M729" t="n">
        <v>0</v>
      </c>
      <c r="N729" t="n">
        <v>0</v>
      </c>
      <c r="O729" t="n">
        <v>0</v>
      </c>
      <c r="P729" t="n">
        <v>0</v>
      </c>
      <c r="Q729" t="n">
        <v>0</v>
      </c>
      <c r="R729" s="2" t="inlineStr"/>
    </row>
    <row r="730" ht="15" customHeight="1">
      <c r="A730" t="inlineStr">
        <is>
          <t>A 30534-2023</t>
        </is>
      </c>
      <c r="B730" s="1" t="n">
        <v>45111</v>
      </c>
      <c r="C730" s="1" t="n">
        <v>46184</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26778-2023</t>
        </is>
      </c>
      <c r="B731" s="1" t="n">
        <v>45093.48221064815</v>
      </c>
      <c r="C731" s="1" t="n">
        <v>46184</v>
      </c>
      <c r="D731" t="inlineStr">
        <is>
          <t>ÖREBRO LÄN</t>
        </is>
      </c>
      <c r="E731" t="inlineStr">
        <is>
          <t>LINDESBERG</t>
        </is>
      </c>
      <c r="G731" t="n">
        <v>7.5</v>
      </c>
      <c r="H731" t="n">
        <v>0</v>
      </c>
      <c r="I731" t="n">
        <v>0</v>
      </c>
      <c r="J731" t="n">
        <v>0</v>
      </c>
      <c r="K731" t="n">
        <v>0</v>
      </c>
      <c r="L731" t="n">
        <v>0</v>
      </c>
      <c r="M731" t="n">
        <v>0</v>
      </c>
      <c r="N731" t="n">
        <v>0</v>
      </c>
      <c r="O731" t="n">
        <v>0</v>
      </c>
      <c r="P731" t="n">
        <v>0</v>
      </c>
      <c r="Q731" t="n">
        <v>0</v>
      </c>
      <c r="R731" s="2" t="inlineStr"/>
    </row>
    <row r="732" ht="15" customHeight="1">
      <c r="A732" t="inlineStr">
        <is>
          <t>A 54705-2022</t>
        </is>
      </c>
      <c r="B732" s="1" t="n">
        <v>44883</v>
      </c>
      <c r="C732" s="1" t="n">
        <v>46184</v>
      </c>
      <c r="D732" t="inlineStr">
        <is>
          <t>ÖREBRO LÄN</t>
        </is>
      </c>
      <c r="E732" t="inlineStr">
        <is>
          <t>LINDESBERG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59631-2023</t>
        </is>
      </c>
      <c r="B733" s="1" t="n">
        <v>45254.68105324074</v>
      </c>
      <c r="C733" s="1" t="n">
        <v>46184</v>
      </c>
      <c r="D733" t="inlineStr">
        <is>
          <t>ÖREBRO LÄN</t>
        </is>
      </c>
      <c r="E733" t="inlineStr">
        <is>
          <t>LINDESBERG</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34539-2024</t>
        </is>
      </c>
      <c r="B734" s="1" t="n">
        <v>45525.7374537037</v>
      </c>
      <c r="C734" s="1" t="n">
        <v>46184</v>
      </c>
      <c r="D734" t="inlineStr">
        <is>
          <t>ÖREBRO LÄN</t>
        </is>
      </c>
      <c r="E734" t="inlineStr">
        <is>
          <t>LINDESBERG</t>
        </is>
      </c>
      <c r="G734" t="n">
        <v>5.4</v>
      </c>
      <c r="H734" t="n">
        <v>0</v>
      </c>
      <c r="I734" t="n">
        <v>0</v>
      </c>
      <c r="J734" t="n">
        <v>0</v>
      </c>
      <c r="K734" t="n">
        <v>0</v>
      </c>
      <c r="L734" t="n">
        <v>0</v>
      </c>
      <c r="M734" t="n">
        <v>0</v>
      </c>
      <c r="N734" t="n">
        <v>0</v>
      </c>
      <c r="O734" t="n">
        <v>0</v>
      </c>
      <c r="P734" t="n">
        <v>0</v>
      </c>
      <c r="Q734" t="n">
        <v>0</v>
      </c>
      <c r="R734" s="2" t="inlineStr"/>
    </row>
    <row r="735" ht="15" customHeight="1">
      <c r="A735" t="inlineStr">
        <is>
          <t>A 29500-2023</t>
        </is>
      </c>
      <c r="B735" s="1" t="n">
        <v>45106</v>
      </c>
      <c r="C735" s="1" t="n">
        <v>46184</v>
      </c>
      <c r="D735" t="inlineStr">
        <is>
          <t>ÖREBRO LÄN</t>
        </is>
      </c>
      <c r="E735" t="inlineStr">
        <is>
          <t>LINDESBERG</t>
        </is>
      </c>
      <c r="G735" t="n">
        <v>1.6</v>
      </c>
      <c r="H735" t="n">
        <v>0</v>
      </c>
      <c r="I735" t="n">
        <v>0</v>
      </c>
      <c r="J735" t="n">
        <v>0</v>
      </c>
      <c r="K735" t="n">
        <v>0</v>
      </c>
      <c r="L735" t="n">
        <v>0</v>
      </c>
      <c r="M735" t="n">
        <v>0</v>
      </c>
      <c r="N735" t="n">
        <v>0</v>
      </c>
      <c r="O735" t="n">
        <v>0</v>
      </c>
      <c r="P735" t="n">
        <v>0</v>
      </c>
      <c r="Q735" t="n">
        <v>0</v>
      </c>
      <c r="R735" s="2" t="inlineStr"/>
    </row>
    <row r="736" ht="15" customHeight="1">
      <c r="A736" t="inlineStr">
        <is>
          <t>A 41951-2023</t>
        </is>
      </c>
      <c r="B736" s="1" t="n">
        <v>45177.33991898148</v>
      </c>
      <c r="C736" s="1" t="n">
        <v>46184</v>
      </c>
      <c r="D736" t="inlineStr">
        <is>
          <t>ÖREBRO LÄN</t>
        </is>
      </c>
      <c r="E736" t="inlineStr">
        <is>
          <t>LINDESBERG</t>
        </is>
      </c>
      <c r="F736" t="inlineStr">
        <is>
          <t>Kyrkan</t>
        </is>
      </c>
      <c r="G736" t="n">
        <v>3.3</v>
      </c>
      <c r="H736" t="n">
        <v>0</v>
      </c>
      <c r="I736" t="n">
        <v>0</v>
      </c>
      <c r="J736" t="n">
        <v>0</v>
      </c>
      <c r="K736" t="n">
        <v>0</v>
      </c>
      <c r="L736" t="n">
        <v>0</v>
      </c>
      <c r="M736" t="n">
        <v>0</v>
      </c>
      <c r="N736" t="n">
        <v>0</v>
      </c>
      <c r="O736" t="n">
        <v>0</v>
      </c>
      <c r="P736" t="n">
        <v>0</v>
      </c>
      <c r="Q736" t="n">
        <v>0</v>
      </c>
      <c r="R736" s="2" t="inlineStr"/>
    </row>
    <row r="737" ht="15" customHeight="1">
      <c r="A737" t="inlineStr">
        <is>
          <t>A 58603-2023</t>
        </is>
      </c>
      <c r="B737" s="1" t="n">
        <v>45251</v>
      </c>
      <c r="C737" s="1" t="n">
        <v>46184</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34093-2022</t>
        </is>
      </c>
      <c r="B738" s="1" t="n">
        <v>44791</v>
      </c>
      <c r="C738" s="1" t="n">
        <v>46184</v>
      </c>
      <c r="D738" t="inlineStr">
        <is>
          <t>ÖREBRO LÄN</t>
        </is>
      </c>
      <c r="E738" t="inlineStr">
        <is>
          <t>LINDESBERG</t>
        </is>
      </c>
      <c r="G738" t="n">
        <v>3.3</v>
      </c>
      <c r="H738" t="n">
        <v>0</v>
      </c>
      <c r="I738" t="n">
        <v>0</v>
      </c>
      <c r="J738" t="n">
        <v>0</v>
      </c>
      <c r="K738" t="n">
        <v>0</v>
      </c>
      <c r="L738" t="n">
        <v>0</v>
      </c>
      <c r="M738" t="n">
        <v>0</v>
      </c>
      <c r="N738" t="n">
        <v>0</v>
      </c>
      <c r="O738" t="n">
        <v>0</v>
      </c>
      <c r="P738" t="n">
        <v>0</v>
      </c>
      <c r="Q738" t="n">
        <v>0</v>
      </c>
      <c r="R738" s="2" t="inlineStr"/>
    </row>
    <row r="739" ht="15" customHeight="1">
      <c r="A739" t="inlineStr">
        <is>
          <t>A 44067-2025</t>
        </is>
      </c>
      <c r="B739" s="1" t="n">
        <v>45915.54439814815</v>
      </c>
      <c r="C739" s="1" t="n">
        <v>46184</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41353-2024</t>
        </is>
      </c>
      <c r="B740" s="1" t="n">
        <v>45559</v>
      </c>
      <c r="C740" s="1" t="n">
        <v>46184</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14187-2024</t>
        </is>
      </c>
      <c r="B741" s="1" t="n">
        <v>45393.35787037037</v>
      </c>
      <c r="C741" s="1" t="n">
        <v>46184</v>
      </c>
      <c r="D741" t="inlineStr">
        <is>
          <t>ÖREBRO LÄN</t>
        </is>
      </c>
      <c r="E741" t="inlineStr">
        <is>
          <t>LINDESBERG</t>
        </is>
      </c>
      <c r="F741" t="inlineStr">
        <is>
          <t>Sveaskog</t>
        </is>
      </c>
      <c r="G741" t="n">
        <v>0.3</v>
      </c>
      <c r="H741" t="n">
        <v>0</v>
      </c>
      <c r="I741" t="n">
        <v>0</v>
      </c>
      <c r="J741" t="n">
        <v>0</v>
      </c>
      <c r="K741" t="n">
        <v>0</v>
      </c>
      <c r="L741" t="n">
        <v>0</v>
      </c>
      <c r="M741" t="n">
        <v>0</v>
      </c>
      <c r="N741" t="n">
        <v>0</v>
      </c>
      <c r="O741" t="n">
        <v>0</v>
      </c>
      <c r="P741" t="n">
        <v>0</v>
      </c>
      <c r="Q741" t="n">
        <v>0</v>
      </c>
      <c r="R741" s="2" t="inlineStr"/>
    </row>
    <row r="742" ht="15" customHeight="1">
      <c r="A742" t="inlineStr">
        <is>
          <t>A 18418-2025</t>
        </is>
      </c>
      <c r="B742" s="1" t="n">
        <v>45762.61817129629</v>
      </c>
      <c r="C742" s="1" t="n">
        <v>46184</v>
      </c>
      <c r="D742" t="inlineStr">
        <is>
          <t>ÖREBRO LÄN</t>
        </is>
      </c>
      <c r="E742" t="inlineStr">
        <is>
          <t>LINDESBERG</t>
        </is>
      </c>
      <c r="G742" t="n">
        <v>2.3</v>
      </c>
      <c r="H742" t="n">
        <v>0</v>
      </c>
      <c r="I742" t="n">
        <v>0</v>
      </c>
      <c r="J742" t="n">
        <v>0</v>
      </c>
      <c r="K742" t="n">
        <v>0</v>
      </c>
      <c r="L742" t="n">
        <v>0</v>
      </c>
      <c r="M742" t="n">
        <v>0</v>
      </c>
      <c r="N742" t="n">
        <v>0</v>
      </c>
      <c r="O742" t="n">
        <v>0</v>
      </c>
      <c r="P742" t="n">
        <v>0</v>
      </c>
      <c r="Q742" t="n">
        <v>0</v>
      </c>
      <c r="R742" s="2" t="inlineStr"/>
    </row>
    <row r="743" ht="15" customHeight="1">
      <c r="A743" t="inlineStr">
        <is>
          <t>A 29849-2023</t>
        </is>
      </c>
      <c r="B743" s="1" t="n">
        <v>45107</v>
      </c>
      <c r="C743" s="1" t="n">
        <v>46184</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60105-2022</t>
        </is>
      </c>
      <c r="B744" s="1" t="n">
        <v>44902</v>
      </c>
      <c r="C744" s="1" t="n">
        <v>46184</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33427-2024</t>
        </is>
      </c>
      <c r="B745" s="1" t="n">
        <v>45519.52232638889</v>
      </c>
      <c r="C745" s="1" t="n">
        <v>46184</v>
      </c>
      <c r="D745" t="inlineStr">
        <is>
          <t>ÖREBRO LÄN</t>
        </is>
      </c>
      <c r="E745" t="inlineStr">
        <is>
          <t>LINDESBERG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29894-2023</t>
        </is>
      </c>
      <c r="B746" s="1" t="n">
        <v>45107</v>
      </c>
      <c r="C746" s="1" t="n">
        <v>46184</v>
      </c>
      <c r="D746" t="inlineStr">
        <is>
          <t>ÖREBRO LÄN</t>
        </is>
      </c>
      <c r="E746" t="inlineStr">
        <is>
          <t>LINDESBERG</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40306-2022</t>
        </is>
      </c>
      <c r="B747" s="1" t="n">
        <v>44822</v>
      </c>
      <c r="C747" s="1" t="n">
        <v>46184</v>
      </c>
      <c r="D747" t="inlineStr">
        <is>
          <t>ÖREBRO LÄN</t>
        </is>
      </c>
      <c r="E747" t="inlineStr">
        <is>
          <t>LINDESBERG</t>
        </is>
      </c>
      <c r="G747" t="n">
        <v>11</v>
      </c>
      <c r="H747" t="n">
        <v>0</v>
      </c>
      <c r="I747" t="n">
        <v>0</v>
      </c>
      <c r="J747" t="n">
        <v>0</v>
      </c>
      <c r="K747" t="n">
        <v>0</v>
      </c>
      <c r="L747" t="n">
        <v>0</v>
      </c>
      <c r="M747" t="n">
        <v>0</v>
      </c>
      <c r="N747" t="n">
        <v>0</v>
      </c>
      <c r="O747" t="n">
        <v>0</v>
      </c>
      <c r="P747" t="n">
        <v>0</v>
      </c>
      <c r="Q747" t="n">
        <v>0</v>
      </c>
      <c r="R747" s="2" t="inlineStr"/>
    </row>
    <row r="748" ht="15" customHeight="1">
      <c r="A748" t="inlineStr">
        <is>
          <t>A 63668-2023</t>
        </is>
      </c>
      <c r="B748" s="1" t="n">
        <v>45274</v>
      </c>
      <c r="C748" s="1" t="n">
        <v>46184</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44675-2021</t>
        </is>
      </c>
      <c r="B749" s="1" t="n">
        <v>44438</v>
      </c>
      <c r="C749" s="1" t="n">
        <v>46184</v>
      </c>
      <c r="D749" t="inlineStr">
        <is>
          <t>ÖREBRO LÄN</t>
        </is>
      </c>
      <c r="E749" t="inlineStr">
        <is>
          <t>LINDESBERG</t>
        </is>
      </c>
      <c r="F749" t="inlineStr">
        <is>
          <t>Sveaskog</t>
        </is>
      </c>
      <c r="G749" t="n">
        <v>2.1</v>
      </c>
      <c r="H749" t="n">
        <v>0</v>
      </c>
      <c r="I749" t="n">
        <v>0</v>
      </c>
      <c r="J749" t="n">
        <v>0</v>
      </c>
      <c r="K749" t="n">
        <v>0</v>
      </c>
      <c r="L749" t="n">
        <v>0</v>
      </c>
      <c r="M749" t="n">
        <v>0</v>
      </c>
      <c r="N749" t="n">
        <v>0</v>
      </c>
      <c r="O749" t="n">
        <v>0</v>
      </c>
      <c r="P749" t="n">
        <v>0</v>
      </c>
      <c r="Q749" t="n">
        <v>0</v>
      </c>
      <c r="R749" s="2" t="inlineStr"/>
    </row>
    <row r="750" ht="15" customHeight="1">
      <c r="A750" t="inlineStr">
        <is>
          <t>A 59633-2023</t>
        </is>
      </c>
      <c r="B750" s="1" t="n">
        <v>45254</v>
      </c>
      <c r="C750" s="1" t="n">
        <v>46184</v>
      </c>
      <c r="D750" t="inlineStr">
        <is>
          <t>ÖREBRO LÄN</t>
        </is>
      </c>
      <c r="E750" t="inlineStr">
        <is>
          <t>LINDESBERG</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13416-2025</t>
        </is>
      </c>
      <c r="B751" s="1" t="n">
        <v>45736.308125</v>
      </c>
      <c r="C751" s="1" t="n">
        <v>46184</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27051-2023</t>
        </is>
      </c>
      <c r="B752" s="1" t="n">
        <v>45095</v>
      </c>
      <c r="C752" s="1" t="n">
        <v>46184</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4603-2024</t>
        </is>
      </c>
      <c r="B753" s="1" t="n">
        <v>45328</v>
      </c>
      <c r="C753" s="1" t="n">
        <v>46184</v>
      </c>
      <c r="D753" t="inlineStr">
        <is>
          <t>ÖREBRO LÄN</t>
        </is>
      </c>
      <c r="E753" t="inlineStr">
        <is>
          <t>LINDESBERG</t>
        </is>
      </c>
      <c r="F753" t="inlineStr">
        <is>
          <t>BillerudKorsnäs AB</t>
        </is>
      </c>
      <c r="G753" t="n">
        <v>4.3</v>
      </c>
      <c r="H753" t="n">
        <v>0</v>
      </c>
      <c r="I753" t="n">
        <v>0</v>
      </c>
      <c r="J753" t="n">
        <v>0</v>
      </c>
      <c r="K753" t="n">
        <v>0</v>
      </c>
      <c r="L753" t="n">
        <v>0</v>
      </c>
      <c r="M753" t="n">
        <v>0</v>
      </c>
      <c r="N753" t="n">
        <v>0</v>
      </c>
      <c r="O753" t="n">
        <v>0</v>
      </c>
      <c r="P753" t="n">
        <v>0</v>
      </c>
      <c r="Q753" t="n">
        <v>0</v>
      </c>
      <c r="R753" s="2" t="inlineStr"/>
    </row>
    <row r="754" ht="15" customHeight="1">
      <c r="A754" t="inlineStr">
        <is>
          <t>A 43801-2024</t>
        </is>
      </c>
      <c r="B754" s="1" t="n">
        <v>45571.71736111111</v>
      </c>
      <c r="C754" s="1" t="n">
        <v>46184</v>
      </c>
      <c r="D754" t="inlineStr">
        <is>
          <t>ÖREBRO LÄN</t>
        </is>
      </c>
      <c r="E754" t="inlineStr">
        <is>
          <t>LINDESBERG</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45072-2024</t>
        </is>
      </c>
      <c r="B755" s="1" t="n">
        <v>45575.56686342593</v>
      </c>
      <c r="C755" s="1" t="n">
        <v>46184</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45075-2024</t>
        </is>
      </c>
      <c r="B756" s="1" t="n">
        <v>45575.56820601852</v>
      </c>
      <c r="C756" s="1" t="n">
        <v>46184</v>
      </c>
      <c r="D756" t="inlineStr">
        <is>
          <t>ÖREBRO LÄN</t>
        </is>
      </c>
      <c r="E756" t="inlineStr">
        <is>
          <t>LINDESBERG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59052-2023</t>
        </is>
      </c>
      <c r="B757" s="1" t="n">
        <v>45252.78021990741</v>
      </c>
      <c r="C757" s="1" t="n">
        <v>46184</v>
      </c>
      <c r="D757" t="inlineStr">
        <is>
          <t>ÖREBRO LÄN</t>
        </is>
      </c>
      <c r="E757" t="inlineStr">
        <is>
          <t>LINDESBERG</t>
        </is>
      </c>
      <c r="G757" t="n">
        <v>4.2</v>
      </c>
      <c r="H757" t="n">
        <v>0</v>
      </c>
      <c r="I757" t="n">
        <v>0</v>
      </c>
      <c r="J757" t="n">
        <v>0</v>
      </c>
      <c r="K757" t="n">
        <v>0</v>
      </c>
      <c r="L757" t="n">
        <v>0</v>
      </c>
      <c r="M757" t="n">
        <v>0</v>
      </c>
      <c r="N757" t="n">
        <v>0</v>
      </c>
      <c r="O757" t="n">
        <v>0</v>
      </c>
      <c r="P757" t="n">
        <v>0</v>
      </c>
      <c r="Q757" t="n">
        <v>0</v>
      </c>
      <c r="R757" s="2" t="inlineStr"/>
    </row>
    <row r="758" ht="15" customHeight="1">
      <c r="A758" t="inlineStr">
        <is>
          <t>A 61405-2022</t>
        </is>
      </c>
      <c r="B758" s="1" t="n">
        <v>44916</v>
      </c>
      <c r="C758" s="1" t="n">
        <v>46184</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40563-2023</t>
        </is>
      </c>
      <c r="B759" s="1" t="n">
        <v>45170.45921296296</v>
      </c>
      <c r="C759" s="1" t="n">
        <v>46184</v>
      </c>
      <c r="D759" t="inlineStr">
        <is>
          <t>ÖREBRO LÄN</t>
        </is>
      </c>
      <c r="E759" t="inlineStr">
        <is>
          <t>LINDESBERG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38613-2024</t>
        </is>
      </c>
      <c r="B760" s="1" t="n">
        <v>45546.68743055555</v>
      </c>
      <c r="C760" s="1" t="n">
        <v>46184</v>
      </c>
      <c r="D760" t="inlineStr">
        <is>
          <t>ÖREBRO LÄN</t>
        </is>
      </c>
      <c r="E760" t="inlineStr">
        <is>
          <t>LINDESBERG</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49358-2023</t>
        </is>
      </c>
      <c r="B761" s="1" t="n">
        <v>45211</v>
      </c>
      <c r="C761" s="1" t="n">
        <v>46184</v>
      </c>
      <c r="D761" t="inlineStr">
        <is>
          <t>ÖREBRO LÄN</t>
        </is>
      </c>
      <c r="E761" t="inlineStr">
        <is>
          <t>LINDESBERG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72331-2021</t>
        </is>
      </c>
      <c r="B762" s="1" t="n">
        <v>44544</v>
      </c>
      <c r="C762" s="1" t="n">
        <v>46184</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54663-2021</t>
        </is>
      </c>
      <c r="B763" s="1" t="n">
        <v>44473.6343287037</v>
      </c>
      <c r="C763" s="1" t="n">
        <v>46184</v>
      </c>
      <c r="D763" t="inlineStr">
        <is>
          <t>ÖREBRO LÄN</t>
        </is>
      </c>
      <c r="E763" t="inlineStr">
        <is>
          <t>LINDESBERG</t>
        </is>
      </c>
      <c r="G763" t="n">
        <v>1.2</v>
      </c>
      <c r="H763" t="n">
        <v>0</v>
      </c>
      <c r="I763" t="n">
        <v>0</v>
      </c>
      <c r="J763" t="n">
        <v>0</v>
      </c>
      <c r="K763" t="n">
        <v>0</v>
      </c>
      <c r="L763" t="n">
        <v>0</v>
      </c>
      <c r="M763" t="n">
        <v>0</v>
      </c>
      <c r="N763" t="n">
        <v>0</v>
      </c>
      <c r="O763" t="n">
        <v>0</v>
      </c>
      <c r="P763" t="n">
        <v>0</v>
      </c>
      <c r="Q763" t="n">
        <v>0</v>
      </c>
      <c r="R763" s="2" t="inlineStr"/>
    </row>
    <row r="764" ht="15" customHeight="1">
      <c r="A764" t="inlineStr">
        <is>
          <t>A 57795-2021</t>
        </is>
      </c>
      <c r="B764" s="1" t="n">
        <v>44484</v>
      </c>
      <c r="C764" s="1" t="n">
        <v>46184</v>
      </c>
      <c r="D764" t="inlineStr">
        <is>
          <t>ÖREBRO LÄN</t>
        </is>
      </c>
      <c r="E764" t="inlineStr">
        <is>
          <t>LINDESBERG</t>
        </is>
      </c>
      <c r="G764" t="n">
        <v>39.4</v>
      </c>
      <c r="H764" t="n">
        <v>0</v>
      </c>
      <c r="I764" t="n">
        <v>0</v>
      </c>
      <c r="J764" t="n">
        <v>0</v>
      </c>
      <c r="K764" t="n">
        <v>0</v>
      </c>
      <c r="L764" t="n">
        <v>0</v>
      </c>
      <c r="M764" t="n">
        <v>0</v>
      </c>
      <c r="N764" t="n">
        <v>0</v>
      </c>
      <c r="O764" t="n">
        <v>0</v>
      </c>
      <c r="P764" t="n">
        <v>0</v>
      </c>
      <c r="Q764" t="n">
        <v>0</v>
      </c>
      <c r="R764" s="2" t="inlineStr"/>
    </row>
    <row r="765" ht="15" customHeight="1">
      <c r="A765" t="inlineStr">
        <is>
          <t>A 27031-2024</t>
        </is>
      </c>
      <c r="B765" s="1" t="n">
        <v>45471.42659722222</v>
      </c>
      <c r="C765" s="1" t="n">
        <v>46184</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27130-2024</t>
        </is>
      </c>
      <c r="B766" s="1" t="n">
        <v>45471.52072916667</v>
      </c>
      <c r="C766" s="1" t="n">
        <v>46184</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6161-2025</t>
        </is>
      </c>
      <c r="B767" s="1" t="n">
        <v>45698</v>
      </c>
      <c r="C767" s="1" t="n">
        <v>46184</v>
      </c>
      <c r="D767" t="inlineStr">
        <is>
          <t>ÖREBRO LÄN</t>
        </is>
      </c>
      <c r="E767" t="inlineStr">
        <is>
          <t>LINDESBERG</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6165-2025</t>
        </is>
      </c>
      <c r="B768" s="1" t="n">
        <v>45698</v>
      </c>
      <c r="C768" s="1" t="n">
        <v>46184</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44664-2023</t>
        </is>
      </c>
      <c r="B769" s="1" t="n">
        <v>45189</v>
      </c>
      <c r="C769" s="1" t="n">
        <v>46184</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11366-2024</t>
        </is>
      </c>
      <c r="B770" s="1" t="n">
        <v>45372.40246527778</v>
      </c>
      <c r="C770" s="1" t="n">
        <v>46184</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24270-2023</t>
        </is>
      </c>
      <c r="B771" s="1" t="n">
        <v>45079</v>
      </c>
      <c r="C771" s="1" t="n">
        <v>46184</v>
      </c>
      <c r="D771" t="inlineStr">
        <is>
          <t>ÖREBRO LÄN</t>
        </is>
      </c>
      <c r="E771" t="inlineStr">
        <is>
          <t>LINDESBERG</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24271-2023</t>
        </is>
      </c>
      <c r="B772" s="1" t="n">
        <v>45079</v>
      </c>
      <c r="C772" s="1" t="n">
        <v>46184</v>
      </c>
      <c r="D772" t="inlineStr">
        <is>
          <t>ÖREBRO LÄN</t>
        </is>
      </c>
      <c r="E772" t="inlineStr">
        <is>
          <t>LINDESBERG</t>
        </is>
      </c>
      <c r="F772" t="inlineStr">
        <is>
          <t>Sveaskog</t>
        </is>
      </c>
      <c r="G772" t="n">
        <v>0.4</v>
      </c>
      <c r="H772" t="n">
        <v>0</v>
      </c>
      <c r="I772" t="n">
        <v>0</v>
      </c>
      <c r="J772" t="n">
        <v>0</v>
      </c>
      <c r="K772" t="n">
        <v>0</v>
      </c>
      <c r="L772" t="n">
        <v>0</v>
      </c>
      <c r="M772" t="n">
        <v>0</v>
      </c>
      <c r="N772" t="n">
        <v>0</v>
      </c>
      <c r="O772" t="n">
        <v>0</v>
      </c>
      <c r="P772" t="n">
        <v>0</v>
      </c>
      <c r="Q772" t="n">
        <v>0</v>
      </c>
      <c r="R772" s="2" t="inlineStr"/>
    </row>
    <row r="773" ht="15" customHeight="1">
      <c r="A773" t="inlineStr">
        <is>
          <t>A 25046-2024</t>
        </is>
      </c>
      <c r="B773" s="1" t="n">
        <v>45462</v>
      </c>
      <c r="C773" s="1" t="n">
        <v>46184</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45038-2024</t>
        </is>
      </c>
      <c r="B774" s="1" t="n">
        <v>45575.53331018519</v>
      </c>
      <c r="C774" s="1" t="n">
        <v>46184</v>
      </c>
      <c r="D774" t="inlineStr">
        <is>
          <t>ÖREBRO LÄN</t>
        </is>
      </c>
      <c r="E774" t="inlineStr">
        <is>
          <t>LINDESBERG</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21468-2024</t>
        </is>
      </c>
      <c r="B775" s="1" t="n">
        <v>45441.48670138889</v>
      </c>
      <c r="C775" s="1" t="n">
        <v>46184</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40038-2024</t>
        </is>
      </c>
      <c r="B776" s="1" t="n">
        <v>45553</v>
      </c>
      <c r="C776" s="1" t="n">
        <v>46184</v>
      </c>
      <c r="D776" t="inlineStr">
        <is>
          <t>ÖREBRO LÄN</t>
        </is>
      </c>
      <c r="E776" t="inlineStr">
        <is>
          <t>LINDESBERG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12276-2025</t>
        </is>
      </c>
      <c r="B777" s="1" t="n">
        <v>45729.65061342593</v>
      </c>
      <c r="C777" s="1" t="n">
        <v>46184</v>
      </c>
      <c r="D777" t="inlineStr">
        <is>
          <t>ÖREBRO LÄN</t>
        </is>
      </c>
      <c r="E777" t="inlineStr">
        <is>
          <t>LINDESBERG</t>
        </is>
      </c>
      <c r="G777" t="n">
        <v>7.6</v>
      </c>
      <c r="H777" t="n">
        <v>0</v>
      </c>
      <c r="I777" t="n">
        <v>0</v>
      </c>
      <c r="J777" t="n">
        <v>0</v>
      </c>
      <c r="K777" t="n">
        <v>0</v>
      </c>
      <c r="L777" t="n">
        <v>0</v>
      </c>
      <c r="M777" t="n">
        <v>0</v>
      </c>
      <c r="N777" t="n">
        <v>0</v>
      </c>
      <c r="O777" t="n">
        <v>0</v>
      </c>
      <c r="P777" t="n">
        <v>0</v>
      </c>
      <c r="Q777" t="n">
        <v>0</v>
      </c>
      <c r="R777" s="2" t="inlineStr"/>
    </row>
    <row r="778" ht="15" customHeight="1">
      <c r="A778" t="inlineStr">
        <is>
          <t>A 14028-2023</t>
        </is>
      </c>
      <c r="B778" s="1" t="n">
        <v>45008</v>
      </c>
      <c r="C778" s="1" t="n">
        <v>46184</v>
      </c>
      <c r="D778" t="inlineStr">
        <is>
          <t>ÖREBRO LÄN</t>
        </is>
      </c>
      <c r="E778" t="inlineStr">
        <is>
          <t>LINDESBERG</t>
        </is>
      </c>
      <c r="F778" t="inlineStr">
        <is>
          <t>Kyrkan</t>
        </is>
      </c>
      <c r="G778" t="n">
        <v>1.1</v>
      </c>
      <c r="H778" t="n">
        <v>0</v>
      </c>
      <c r="I778" t="n">
        <v>0</v>
      </c>
      <c r="J778" t="n">
        <v>0</v>
      </c>
      <c r="K778" t="n">
        <v>0</v>
      </c>
      <c r="L778" t="n">
        <v>0</v>
      </c>
      <c r="M778" t="n">
        <v>0</v>
      </c>
      <c r="N778" t="n">
        <v>0</v>
      </c>
      <c r="O778" t="n">
        <v>0</v>
      </c>
      <c r="P778" t="n">
        <v>0</v>
      </c>
      <c r="Q778" t="n">
        <v>0</v>
      </c>
      <c r="R778" s="2" t="inlineStr"/>
    </row>
    <row r="779" ht="15" customHeight="1">
      <c r="A779" t="inlineStr">
        <is>
          <t>A 31024-2023</t>
        </is>
      </c>
      <c r="B779" s="1" t="n">
        <v>45113</v>
      </c>
      <c r="C779" s="1" t="n">
        <v>46184</v>
      </c>
      <c r="D779" t="inlineStr">
        <is>
          <t>ÖREBRO LÄN</t>
        </is>
      </c>
      <c r="E779" t="inlineStr">
        <is>
          <t>LINDESBERG</t>
        </is>
      </c>
      <c r="G779" t="n">
        <v>5.1</v>
      </c>
      <c r="H779" t="n">
        <v>0</v>
      </c>
      <c r="I779" t="n">
        <v>0</v>
      </c>
      <c r="J779" t="n">
        <v>0</v>
      </c>
      <c r="K779" t="n">
        <v>0</v>
      </c>
      <c r="L779" t="n">
        <v>0</v>
      </c>
      <c r="M779" t="n">
        <v>0</v>
      </c>
      <c r="N779" t="n">
        <v>0</v>
      </c>
      <c r="O779" t="n">
        <v>0</v>
      </c>
      <c r="P779" t="n">
        <v>0</v>
      </c>
      <c r="Q779" t="n">
        <v>0</v>
      </c>
      <c r="R779" s="2" t="inlineStr"/>
    </row>
    <row r="780" ht="15" customHeight="1">
      <c r="A780" t="inlineStr">
        <is>
          <t>A 27052-2023</t>
        </is>
      </c>
      <c r="B780" s="1" t="n">
        <v>45095</v>
      </c>
      <c r="C780" s="1" t="n">
        <v>46184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12053-2024</t>
        </is>
      </c>
      <c r="B781" s="1" t="n">
        <v>45377.48265046296</v>
      </c>
      <c r="C781" s="1" t="n">
        <v>46184</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626-2025</t>
        </is>
      </c>
      <c r="B782" s="1" t="n">
        <v>45664</v>
      </c>
      <c r="C782" s="1" t="n">
        <v>46184</v>
      </c>
      <c r="D782" t="inlineStr">
        <is>
          <t>ÖREBRO LÄN</t>
        </is>
      </c>
      <c r="E782" t="inlineStr">
        <is>
          <t>LINDESBERG</t>
        </is>
      </c>
      <c r="G782" t="n">
        <v>0.5</v>
      </c>
      <c r="H782" t="n">
        <v>0</v>
      </c>
      <c r="I782" t="n">
        <v>0</v>
      </c>
      <c r="J782" t="n">
        <v>0</v>
      </c>
      <c r="K782" t="n">
        <v>0</v>
      </c>
      <c r="L782" t="n">
        <v>0</v>
      </c>
      <c r="M782" t="n">
        <v>0</v>
      </c>
      <c r="N782" t="n">
        <v>0</v>
      </c>
      <c r="O782" t="n">
        <v>0</v>
      </c>
      <c r="P782" t="n">
        <v>0</v>
      </c>
      <c r="Q782" t="n">
        <v>0</v>
      </c>
      <c r="R782" s="2" t="inlineStr"/>
    </row>
    <row r="783" ht="15" customHeight="1">
      <c r="A783" t="inlineStr">
        <is>
          <t>A 63686-2023</t>
        </is>
      </c>
      <c r="B783" s="1" t="n">
        <v>45274</v>
      </c>
      <c r="C783" s="1" t="n">
        <v>46184</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64365-2023</t>
        </is>
      </c>
      <c r="B784" s="1" t="n">
        <v>45280</v>
      </c>
      <c r="C784" s="1" t="n">
        <v>46184</v>
      </c>
      <c r="D784" t="inlineStr">
        <is>
          <t>ÖREBRO LÄN</t>
        </is>
      </c>
      <c r="E784" t="inlineStr">
        <is>
          <t>LINDESBERG</t>
        </is>
      </c>
      <c r="F784" t="inlineStr">
        <is>
          <t>Kyrkan</t>
        </is>
      </c>
      <c r="G784" t="n">
        <v>1.4</v>
      </c>
      <c r="H784" t="n">
        <v>0</v>
      </c>
      <c r="I784" t="n">
        <v>0</v>
      </c>
      <c r="J784" t="n">
        <v>0</v>
      </c>
      <c r="K784" t="n">
        <v>0</v>
      </c>
      <c r="L784" t="n">
        <v>0</v>
      </c>
      <c r="M784" t="n">
        <v>0</v>
      </c>
      <c r="N784" t="n">
        <v>0</v>
      </c>
      <c r="O784" t="n">
        <v>0</v>
      </c>
      <c r="P784" t="n">
        <v>0</v>
      </c>
      <c r="Q784" t="n">
        <v>0</v>
      </c>
      <c r="R784" s="2" t="inlineStr"/>
    </row>
    <row r="785" ht="15" customHeight="1">
      <c r="A785" t="inlineStr">
        <is>
          <t>A 56217-2022</t>
        </is>
      </c>
      <c r="B785" s="1" t="n">
        <v>44890.46174768519</v>
      </c>
      <c r="C785" s="1" t="n">
        <v>46184</v>
      </c>
      <c r="D785" t="inlineStr">
        <is>
          <t>ÖREBRO LÄN</t>
        </is>
      </c>
      <c r="E785" t="inlineStr">
        <is>
          <t>LINDESBERG</t>
        </is>
      </c>
      <c r="G785" t="n">
        <v>6.9</v>
      </c>
      <c r="H785" t="n">
        <v>0</v>
      </c>
      <c r="I785" t="n">
        <v>0</v>
      </c>
      <c r="J785" t="n">
        <v>0</v>
      </c>
      <c r="K785" t="n">
        <v>0</v>
      </c>
      <c r="L785" t="n">
        <v>0</v>
      </c>
      <c r="M785" t="n">
        <v>0</v>
      </c>
      <c r="N785" t="n">
        <v>0</v>
      </c>
      <c r="O785" t="n">
        <v>0</v>
      </c>
      <c r="P785" t="n">
        <v>0</v>
      </c>
      <c r="Q785" t="n">
        <v>0</v>
      </c>
      <c r="R785" s="2" t="inlineStr"/>
    </row>
    <row r="786" ht="15" customHeight="1">
      <c r="A786" t="inlineStr">
        <is>
          <t>A 5550-2024</t>
        </is>
      </c>
      <c r="B786" s="1" t="n">
        <v>45334</v>
      </c>
      <c r="C786" s="1" t="n">
        <v>46184</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32829-2024</t>
        </is>
      </c>
      <c r="B787" s="1" t="n">
        <v>45516.59447916667</v>
      </c>
      <c r="C787" s="1" t="n">
        <v>46184</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29350-2022</t>
        </is>
      </c>
      <c r="B788" s="1" t="n">
        <v>44753</v>
      </c>
      <c r="C788" s="1" t="n">
        <v>46184</v>
      </c>
      <c r="D788" t="inlineStr">
        <is>
          <t>ÖREBRO LÄN</t>
        </is>
      </c>
      <c r="E788" t="inlineStr">
        <is>
          <t>LINDESBERG</t>
        </is>
      </c>
      <c r="G788" t="n">
        <v>7.7</v>
      </c>
      <c r="H788" t="n">
        <v>0</v>
      </c>
      <c r="I788" t="n">
        <v>0</v>
      </c>
      <c r="J788" t="n">
        <v>0</v>
      </c>
      <c r="K788" t="n">
        <v>0</v>
      </c>
      <c r="L788" t="n">
        <v>0</v>
      </c>
      <c r="M788" t="n">
        <v>0</v>
      </c>
      <c r="N788" t="n">
        <v>0</v>
      </c>
      <c r="O788" t="n">
        <v>0</v>
      </c>
      <c r="P788" t="n">
        <v>0</v>
      </c>
      <c r="Q788" t="n">
        <v>0</v>
      </c>
      <c r="R788" s="2" t="inlineStr"/>
    </row>
    <row r="789" ht="15" customHeight="1">
      <c r="A789" t="inlineStr">
        <is>
          <t>A 58710-2023</t>
        </is>
      </c>
      <c r="B789" s="1" t="n">
        <v>45251.696875</v>
      </c>
      <c r="C789" s="1" t="n">
        <v>46184</v>
      </c>
      <c r="D789" t="inlineStr">
        <is>
          <t>ÖREBRO LÄN</t>
        </is>
      </c>
      <c r="E789" t="inlineStr">
        <is>
          <t>LINDESBERG</t>
        </is>
      </c>
      <c r="G789" t="n">
        <v>6.3</v>
      </c>
      <c r="H789" t="n">
        <v>0</v>
      </c>
      <c r="I789" t="n">
        <v>0</v>
      </c>
      <c r="J789" t="n">
        <v>0</v>
      </c>
      <c r="K789" t="n">
        <v>0</v>
      </c>
      <c r="L789" t="n">
        <v>0</v>
      </c>
      <c r="M789" t="n">
        <v>0</v>
      </c>
      <c r="N789" t="n">
        <v>0</v>
      </c>
      <c r="O789" t="n">
        <v>0</v>
      </c>
      <c r="P789" t="n">
        <v>0</v>
      </c>
      <c r="Q789" t="n">
        <v>0</v>
      </c>
      <c r="R789" s="2" t="inlineStr"/>
    </row>
    <row r="790" ht="15" customHeight="1">
      <c r="A790" t="inlineStr">
        <is>
          <t>A 60449-2024</t>
        </is>
      </c>
      <c r="B790" s="1" t="n">
        <v>45643</v>
      </c>
      <c r="C790" s="1" t="n">
        <v>46184</v>
      </c>
      <c r="D790" t="inlineStr">
        <is>
          <t>ÖREBRO LÄN</t>
        </is>
      </c>
      <c r="E790" t="inlineStr">
        <is>
          <t>LINDESBERG</t>
        </is>
      </c>
      <c r="G790" t="n">
        <v>1.2</v>
      </c>
      <c r="H790" t="n">
        <v>0</v>
      </c>
      <c r="I790" t="n">
        <v>0</v>
      </c>
      <c r="J790" t="n">
        <v>0</v>
      </c>
      <c r="K790" t="n">
        <v>0</v>
      </c>
      <c r="L790" t="n">
        <v>0</v>
      </c>
      <c r="M790" t="n">
        <v>0</v>
      </c>
      <c r="N790" t="n">
        <v>0</v>
      </c>
      <c r="O790" t="n">
        <v>0</v>
      </c>
      <c r="P790" t="n">
        <v>0</v>
      </c>
      <c r="Q790" t="n">
        <v>0</v>
      </c>
      <c r="R790" s="2" t="inlineStr"/>
    </row>
    <row r="791" ht="15" customHeight="1">
      <c r="A791" t="inlineStr">
        <is>
          <t>A 43529-2024</t>
        </is>
      </c>
      <c r="B791" s="1" t="n">
        <v>45569.35209490741</v>
      </c>
      <c r="C791" s="1" t="n">
        <v>46184</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54864-2024</t>
        </is>
      </c>
      <c r="B792" s="1" t="n">
        <v>45618.59456018519</v>
      </c>
      <c r="C792" s="1" t="n">
        <v>46184</v>
      </c>
      <c r="D792" t="inlineStr">
        <is>
          <t>ÖREBRO LÄN</t>
        </is>
      </c>
      <c r="E792" t="inlineStr">
        <is>
          <t>LINDESBERG</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32009-2023</t>
        </is>
      </c>
      <c r="B793" s="1" t="n">
        <v>45119</v>
      </c>
      <c r="C793" s="1" t="n">
        <v>46184</v>
      </c>
      <c r="D793" t="inlineStr">
        <is>
          <t>ÖREBRO LÄN</t>
        </is>
      </c>
      <c r="E793" t="inlineStr">
        <is>
          <t>LINDESBERG</t>
        </is>
      </c>
      <c r="F793" t="inlineStr">
        <is>
          <t>Kyrkan</t>
        </is>
      </c>
      <c r="G793" t="n">
        <v>0.8</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44946.54424768518</v>
      </c>
      <c r="C794" s="1" t="n">
        <v>46184</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37432-2022</t>
        </is>
      </c>
      <c r="B795" s="1" t="n">
        <v>44809</v>
      </c>
      <c r="C795" s="1" t="n">
        <v>46184</v>
      </c>
      <c r="D795" t="inlineStr">
        <is>
          <t>ÖREBRO LÄN</t>
        </is>
      </c>
      <c r="E795" t="inlineStr">
        <is>
          <t>LINDESBERG</t>
        </is>
      </c>
      <c r="G795" t="n">
        <v>3.6</v>
      </c>
      <c r="H795" t="n">
        <v>0</v>
      </c>
      <c r="I795" t="n">
        <v>0</v>
      </c>
      <c r="J795" t="n">
        <v>0</v>
      </c>
      <c r="K795" t="n">
        <v>0</v>
      </c>
      <c r="L795" t="n">
        <v>0</v>
      </c>
      <c r="M795" t="n">
        <v>0</v>
      </c>
      <c r="N795" t="n">
        <v>0</v>
      </c>
      <c r="O795" t="n">
        <v>0</v>
      </c>
      <c r="P795" t="n">
        <v>0</v>
      </c>
      <c r="Q795" t="n">
        <v>0</v>
      </c>
      <c r="R795" s="2" t="inlineStr"/>
    </row>
    <row r="796">
      <c r="A796" t="inlineStr">
        <is>
          <t>A 61202-2023</t>
        </is>
      </c>
      <c r="B796" s="1" t="n">
        <v>45264.38084490741</v>
      </c>
      <c r="C796" s="1" t="n">
        <v>46184</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2026-06-11T09:21:11Z</dcterms:created>
  <dcterms:modified xmlns:dcterms="http://purl.org/dc/terms/" xmlns:xsi="http://www.w3.org/2001/XMLSchema-instance" xsi:type="dcterms:W3CDTF">2026-06-11T09:21:11Z</dcterms:modified>
</cp:coreProperties>
</file>