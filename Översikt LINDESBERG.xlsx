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46220</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46220</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46220</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46220</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HYPERLINK("https://klasma.github.io/Logging_1885/knärot/A 42636-2025 karta knärot.png", "A 42636-2025")</f>
        <v/>
      </c>
      <c r="Y13">
        <f>HYPERLINK("https://klasma.github.io/Logging_1885/klagomål/A 42636-2025 FSC-klagomål.docx", "A 42636-2025")</f>
        <v/>
      </c>
      <c r="Z13">
        <f>HYPERLINK("https://klasma.github.io/Logging_1885/klagomålsmail/A 42636-2025 FSC-klagomål mail.docx", "A 42636-2025")</f>
        <v/>
      </c>
      <c r="AA13">
        <f>HYPERLINK("https://klasma.github.io/Logging_1885/tillsyn/A 42636-2025 tillsynsbegäran.docx", "A 42636-2025")</f>
        <v/>
      </c>
      <c r="AB13">
        <f>HYPERLINK("https://klasma.github.io/Logging_1885/tillsynsmail/A 42636-2025 tillsynsbegäran mail.docx", "A 42636-2025")</f>
        <v/>
      </c>
      <c r="AC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46220</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s="2" t="inlineStr">
        <is>
          <t>Ask
Grönsångare
Järnsparv
Rödgul trumpetsvamp
Svart trolldruva
Tvåblad
Västlig hakmossa
Vätteros
Spillkråka
Kungsfågel
Svartvit flugsnappare</t>
        </is>
      </c>
      <c r="V14">
        <f>HYPERLINK("https://klasma.github.io/Logging_1885/artfynd/A 8195-2026 artfynd.xlsx", "A 8195-2026")</f>
        <v/>
      </c>
      <c r="W14">
        <f>HYPERLINK("https://klasma.github.io/Logging_1885/kartor/A 8195-2026 karta.png", "A 8195-2026")</f>
        <v/>
      </c>
      <c r="Y14">
        <f>HYPERLINK("https://klasma.github.io/Logging_1885/klagomål/A 8195-2026 FSC-klagomål.docx", "A 8195-2026")</f>
        <v/>
      </c>
      <c r="Z14">
        <f>HYPERLINK("https://klasma.github.io/Logging_1885/klagomålsmail/A 8195-2026 FSC-klagomål mail.docx", "A 8195-2026")</f>
        <v/>
      </c>
      <c r="AA14">
        <f>HYPERLINK("https://klasma.github.io/Logging_1885/tillsyn/A 8195-2026 tillsynsbegäran.docx", "A 8195-2026")</f>
        <v/>
      </c>
      <c r="AB14">
        <f>HYPERLINK("https://klasma.github.io/Logging_1885/tillsynsmail/A 8195-2026 tillsynsbegäran mail.docx", "A 8195-2026")</f>
        <v/>
      </c>
      <c r="AC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46220</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s="2" t="inlineStr">
        <is>
          <t>Grönsångare
Järnsparv
Svart trolldruva
Thomsons trägnagare
Tibast
Tvåblad
Ormbär
Grönsiska
Kungsfågel
Svartvit flugsnappare
Ärtsångare</t>
        </is>
      </c>
      <c r="V15">
        <f>HYPERLINK("https://klasma.github.io/Logging_1885/artfynd/A 8186-2026 artfynd.xlsx", "A 8186-2026")</f>
        <v/>
      </c>
      <c r="W15">
        <f>HYPERLINK("https://klasma.github.io/Logging_1885/kartor/A 8186-2026 karta.png", "A 8186-2026")</f>
        <v/>
      </c>
      <c r="Y15">
        <f>HYPERLINK("https://klasma.github.io/Logging_1885/klagomål/A 8186-2026 FSC-klagomål.docx", "A 8186-2026")</f>
        <v/>
      </c>
      <c r="Z15">
        <f>HYPERLINK("https://klasma.github.io/Logging_1885/klagomålsmail/A 8186-2026 FSC-klagomål mail.docx", "A 8186-2026")</f>
        <v/>
      </c>
      <c r="AA15">
        <f>HYPERLINK("https://klasma.github.io/Logging_1885/tillsyn/A 8186-2026 tillsynsbegäran.docx", "A 8186-2026")</f>
        <v/>
      </c>
      <c r="AB15">
        <f>HYPERLINK("https://klasma.github.io/Logging_1885/tillsynsmail/A 8186-2026 tillsynsbegäran mail.docx", "A 8186-2026")</f>
        <v/>
      </c>
      <c r="AC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46220</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s="2" t="inlineStr">
        <is>
          <t>Knärot
Dropptaggsvamp
Fjällig taggsvamp s.str.
Motaggsvamp
Sotvaxskivling
Svartvit taggsvamp
Korallrot
Sotriska
Vedticka
Fläcknycklar
Revlummer</t>
        </is>
      </c>
      <c r="V16">
        <f>HYPERLINK("https://klasma.github.io/Logging_1885/artfynd/A 34293-2023 artfynd.xlsx", "A 34293-2023")</f>
        <v/>
      </c>
      <c r="W16">
        <f>HYPERLINK("https://klasma.github.io/Logging_1885/kartor/A 34293-2023 karta.png", "A 34293-2023")</f>
        <v/>
      </c>
      <c r="X16">
        <f>HYPERLINK("https://klasma.github.io/Logging_1885/knärot/A 34293-2023 karta knärot.png", "A 34293-2023")</f>
        <v/>
      </c>
      <c r="Y16">
        <f>HYPERLINK("https://klasma.github.io/Logging_1885/klagomål/A 34293-2023 FSC-klagomål.docx", "A 34293-2023")</f>
        <v/>
      </c>
      <c r="Z16">
        <f>HYPERLINK("https://klasma.github.io/Logging_1885/klagomålsmail/A 34293-2023 FSC-klagomål mail.docx", "A 34293-2023")</f>
        <v/>
      </c>
      <c r="AA16">
        <f>HYPERLINK("https://klasma.github.io/Logging_1885/tillsyn/A 34293-2023 tillsynsbegäran.docx", "A 34293-2023")</f>
        <v/>
      </c>
      <c r="AB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46220</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s="2" t="inlineStr">
        <is>
          <t>Dropptaggsvamp
Motaggsvamp
Talltita
Ullticka
Blomkålssvamp
Grovticka
Gullgröppa
Mindre märgborre
Vedticka
Spillkråka
Kungsfågel</t>
        </is>
      </c>
      <c r="V17">
        <f>HYPERLINK("https://klasma.github.io/Logging_1885/artfynd/A 55016-2025 artfynd.xlsx", "A 55016-2025")</f>
        <v/>
      </c>
      <c r="W17">
        <f>HYPERLINK("https://klasma.github.io/Logging_1885/kartor/A 55016-2025 karta.png", "A 55016-2025")</f>
        <v/>
      </c>
      <c r="Y17">
        <f>HYPERLINK("https://klasma.github.io/Logging_1885/klagomål/A 55016-2025 FSC-klagomål.docx", "A 55016-2025")</f>
        <v/>
      </c>
      <c r="Z17">
        <f>HYPERLINK("https://klasma.github.io/Logging_1885/klagomålsmail/A 55016-2025 FSC-klagomål mail.docx", "A 55016-2025")</f>
        <v/>
      </c>
      <c r="AA17">
        <f>HYPERLINK("https://klasma.github.io/Logging_1885/tillsyn/A 55016-2025 tillsynsbegäran.docx", "A 55016-2025")</f>
        <v/>
      </c>
      <c r="AB17">
        <f>HYPERLINK("https://klasma.github.io/Logging_1885/tillsynsmail/A 55016-2025 tillsynsbegäran mail.docx", "A 55016-2025")</f>
        <v/>
      </c>
      <c r="AC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46220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s="2" t="inlineStr">
        <is>
          <t>Grönsångare
Sädesärla
Tretåig hackspett
Ullticka
Bronshjon
Spillkråka
Tofsmes
Grönsiska
Fläcknycklar</t>
        </is>
      </c>
      <c r="V20">
        <f>HYPERLINK("https://klasma.github.io/Logging_1885/artfynd/A 19260-2026 artfynd.xlsx", "A 19260-2026")</f>
        <v/>
      </c>
      <c r="W20">
        <f>HYPERLINK("https://klasma.github.io/Logging_1885/kartor/A 19260-2026 karta.png", "A 19260-2026")</f>
        <v/>
      </c>
      <c r="Y20">
        <f>HYPERLINK("https://klasma.github.io/Logging_1885/klagomål/A 19260-2026 FSC-klagomål.docx", "A 19260-2026")</f>
        <v/>
      </c>
      <c r="Z20">
        <f>HYPERLINK("https://klasma.github.io/Logging_1885/klagomålsmail/A 19260-2026 FSC-klagomål mail.docx", "A 19260-2026")</f>
        <v/>
      </c>
      <c r="AA20">
        <f>HYPERLINK("https://klasma.github.io/Logging_1885/tillsyn/A 19260-2026 tillsynsbegäran.docx", "A 19260-2026")</f>
        <v/>
      </c>
      <c r="AB20">
        <f>HYPERLINK("https://klasma.github.io/Logging_1885/tillsynsmail/A 19260-2026 tillsynsbegäran mail.docx", "A 19260-2026")</f>
        <v/>
      </c>
      <c r="AC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46220</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s="2" t="inlineStr">
        <is>
          <t>Knärot
Svart skogssnigel
Älg
Björksplintborre
Bronshjon
Thomsons trägnagare
Spillkråka
Tjäder
Fläcknycklar</t>
        </is>
      </c>
      <c r="V21">
        <f>HYPERLINK("https://klasma.github.io/Logging_1885/artfynd/A 24977-2026 artfynd.xlsx", "A 24977-2026")</f>
        <v/>
      </c>
      <c r="W21">
        <f>HYPERLINK("https://klasma.github.io/Logging_1885/kartor/A 24977-2026 karta.png", "A 24977-2026")</f>
        <v/>
      </c>
      <c r="X21">
        <f>HYPERLINK("https://klasma.github.io/Logging_1885/knärot/A 24977-2026 karta knärot.png", "A 24977-2026")</f>
        <v/>
      </c>
      <c r="Y21">
        <f>HYPERLINK("https://klasma.github.io/Logging_1885/klagomål/A 24977-2026 FSC-klagomål.docx", "A 24977-2026")</f>
        <v/>
      </c>
      <c r="Z21">
        <f>HYPERLINK("https://klasma.github.io/Logging_1885/klagomålsmail/A 24977-2026 FSC-klagomål mail.docx", "A 24977-2026")</f>
        <v/>
      </c>
      <c r="AA21">
        <f>HYPERLINK("https://klasma.github.io/Logging_1885/tillsyn/A 24977-2026 tillsynsbegäran.docx", "A 24977-2026")</f>
        <v/>
      </c>
      <c r="AB21">
        <f>HYPERLINK("https://klasma.github.io/Logging_1885/tillsynsmail/A 24977-2026 tillsynsbegäran mail.docx", "A 24977-2026")</f>
        <v/>
      </c>
      <c r="AC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46220</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s="2" t="inlineStr">
        <is>
          <t>Knärot
Dropptaggsvamp
Fjällig taggsvamp s.str.
Motaggsvamp
Svartvit taggsvamp
Sotriska
Vedticka
Järpe</t>
        </is>
      </c>
      <c r="V22">
        <f>HYPERLINK("https://klasma.github.io/Logging_1885/artfynd/A 34292-2023 artfynd.xlsx", "A 34292-2023")</f>
        <v/>
      </c>
      <c r="W22">
        <f>HYPERLINK("https://klasma.github.io/Logging_1885/kartor/A 34292-2023 karta.png", "A 34292-2023")</f>
        <v/>
      </c>
      <c r="X22">
        <f>HYPERLINK("https://klasma.github.io/Logging_1885/knärot/A 34292-2023 karta knärot.png", "A 34292-2023")</f>
        <v/>
      </c>
      <c r="Y22">
        <f>HYPERLINK("https://klasma.github.io/Logging_1885/klagomål/A 34292-2023 FSC-klagomål.docx", "A 34292-2023")</f>
        <v/>
      </c>
      <c r="Z22">
        <f>HYPERLINK("https://klasma.github.io/Logging_1885/klagomålsmail/A 34292-2023 FSC-klagomål mail.docx", "A 34292-2023")</f>
        <v/>
      </c>
      <c r="AA22">
        <f>HYPERLINK("https://klasma.github.io/Logging_1885/tillsyn/A 34292-2023 tillsynsbegäran.docx", "A 34292-2023")</f>
        <v/>
      </c>
      <c r="AB22">
        <f>HYPERLINK("https://klasma.github.io/Logging_1885/tillsynsmail/A 34292-2023 tillsynsbegäran mail.docx", "A 34292-2023")</f>
        <v/>
      </c>
      <c r="AC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46220</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s="2" t="inlineStr">
        <is>
          <t>Knärot
Gulsparv
Järnsparv
Blåsippa
Grönsiska
Kungsfågel
Trädlärka
Revlummer</t>
        </is>
      </c>
      <c r="V23">
        <f>HYPERLINK("https://klasma.github.io/Logging_1885/artfynd/A 26749-2025 artfynd.xlsx", "A 26749-2025")</f>
        <v/>
      </c>
      <c r="W23">
        <f>HYPERLINK("https://klasma.github.io/Logging_1885/kartor/A 26749-2025 karta.png", "A 26749-2025")</f>
        <v/>
      </c>
      <c r="X23">
        <f>HYPERLINK("https://klasma.github.io/Logging_1885/knärot/A 26749-2025 karta knärot.png", "A 26749-2025")</f>
        <v/>
      </c>
      <c r="Y23">
        <f>HYPERLINK("https://klasma.github.io/Logging_1885/klagomål/A 26749-2025 FSC-klagomål.docx", "A 26749-2025")</f>
        <v/>
      </c>
      <c r="Z23">
        <f>HYPERLINK("https://klasma.github.io/Logging_1885/klagomålsmail/A 26749-2025 FSC-klagomål mail.docx", "A 26749-2025")</f>
        <v/>
      </c>
      <c r="AA23">
        <f>HYPERLINK("https://klasma.github.io/Logging_1885/tillsyn/A 26749-2025 tillsynsbegäran.docx", "A 26749-2025")</f>
        <v/>
      </c>
      <c r="AB23">
        <f>HYPERLINK("https://klasma.github.io/Logging_1885/tillsynsmail/A 26749-2025 tillsynsbegäran mail.docx", "A 26749-2025")</f>
        <v/>
      </c>
      <c r="AC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46220</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s="2" t="inlineStr">
        <is>
          <t>Bågtuss
Knärot
Fjällig taggsvamp s.str.
Persiljespindling
Olivspindling
Skogsknipprot
Svavelriska
Kopparödla</t>
        </is>
      </c>
      <c r="V24">
        <f>HYPERLINK("https://klasma.github.io/Logging_1885/artfynd/A 8172-2026 artfynd.xlsx", "A 8172-2026")</f>
        <v/>
      </c>
      <c r="W24">
        <f>HYPERLINK("https://klasma.github.io/Logging_1885/kartor/A 8172-2026 karta.png", "A 8172-2026")</f>
        <v/>
      </c>
      <c r="X24">
        <f>HYPERLINK("https://klasma.github.io/Logging_1885/knärot/A 8172-2026 karta knärot.png", "A 8172-2026")</f>
        <v/>
      </c>
      <c r="Y24">
        <f>HYPERLINK("https://klasma.github.io/Logging_1885/klagomål/A 8172-2026 FSC-klagomål.docx", "A 8172-2026")</f>
        <v/>
      </c>
      <c r="Z24">
        <f>HYPERLINK("https://klasma.github.io/Logging_1885/klagomålsmail/A 8172-2026 FSC-klagomål mail.docx", "A 8172-2026")</f>
        <v/>
      </c>
      <c r="AA24">
        <f>HYPERLINK("https://klasma.github.io/Logging_1885/tillsyn/A 8172-2026 tillsynsbegäran.docx", "A 8172-2026")</f>
        <v/>
      </c>
      <c r="AB24">
        <f>HYPERLINK("https://klasma.github.io/Logging_1885/tillsynsmail/A 8172-2026 tillsynsbegäran mail.docx", "A 8172-2026")</f>
        <v/>
      </c>
    </row>
    <row r="25" ht="15" customHeight="1">
      <c r="A25" t="inlineStr">
        <is>
          <t>A 38385-2021</t>
        </is>
      </c>
      <c r="B25" t="inlineStr">
        <is>
          <t>avverkningsanmälan</t>
        </is>
      </c>
      <c r="C25" t="inlineStr">
        <is>
          <t>Föryngringsavverkning</t>
        </is>
      </c>
      <c r="D25" s="1" t="n">
        <v>44406</v>
      </c>
      <c r="E25" s="1" t="n">
        <v>46220</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46220</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s="2" t="inlineStr">
        <is>
          <t>Grönsångare
Svart trolldruva
Tibast
Tvåblad
Ormbär
Spillkråka
Kungsfågel</t>
        </is>
      </c>
      <c r="V26">
        <f>HYPERLINK("https://klasma.github.io/Logging_1885/artfynd/A 8189-2026 artfynd.xlsx", "A 8189-2026")</f>
        <v/>
      </c>
      <c r="W26">
        <f>HYPERLINK("https://klasma.github.io/Logging_1885/kartor/A 8189-2026 karta.png", "A 8189-2026")</f>
        <v/>
      </c>
      <c r="Y26">
        <f>HYPERLINK("https://klasma.github.io/Logging_1885/klagomål/A 8189-2026 FSC-klagomål.docx", "A 8189-2026")</f>
        <v/>
      </c>
      <c r="Z26">
        <f>HYPERLINK("https://klasma.github.io/Logging_1885/klagomålsmail/A 8189-2026 FSC-klagomål mail.docx", "A 8189-2026")</f>
        <v/>
      </c>
      <c r="AA26">
        <f>HYPERLINK("https://klasma.github.io/Logging_1885/tillsyn/A 8189-2026 tillsynsbegäran.docx", "A 8189-2026")</f>
        <v/>
      </c>
      <c r="AB26">
        <f>HYPERLINK("https://klasma.github.io/Logging_1885/tillsynsmail/A 8189-2026 tillsynsbegäran mail.docx", "A 8189-2026")</f>
        <v/>
      </c>
      <c r="AC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46220</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s="2" t="inlineStr">
        <is>
          <t>Talltita
Älg
Björksplintborre
Spillkråka
Tjäder
Tofsmes
Revlummer</t>
        </is>
      </c>
      <c r="V27">
        <f>HYPERLINK("https://klasma.github.io/Logging_1885/artfynd/A 27725-2026 artfynd.xlsx", "A 27725-2026")</f>
        <v/>
      </c>
      <c r="W27">
        <f>HYPERLINK("https://klasma.github.io/Logging_1885/kartor/A 27725-2026 karta.png", "A 27725-2026")</f>
        <v/>
      </c>
      <c r="Y27">
        <f>HYPERLINK("https://klasma.github.io/Logging_1885/klagomål/A 27725-2026 FSC-klagomål.docx", "A 27725-2026")</f>
        <v/>
      </c>
      <c r="Z27">
        <f>HYPERLINK("https://klasma.github.io/Logging_1885/klagomålsmail/A 27725-2026 FSC-klagomål mail.docx", "A 27725-2026")</f>
        <v/>
      </c>
      <c r="AA27">
        <f>HYPERLINK("https://klasma.github.io/Logging_1885/tillsyn/A 27725-2026 tillsynsbegäran.docx", "A 27725-2026")</f>
        <v/>
      </c>
      <c r="AB27">
        <f>HYPERLINK("https://klasma.github.io/Logging_1885/tillsynsmail/A 27725-2026 tillsynsbegäran mail.docx", "A 27725-2026")</f>
        <v/>
      </c>
      <c r="AC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46220</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s="2" t="inlineStr">
        <is>
          <t>Lunglav
Talltita
Tretåig hackspett
Spillkråka
Tjäder
Vanlig padda
Fläcknycklar</t>
        </is>
      </c>
      <c r="V28">
        <f>HYPERLINK("https://klasma.github.io/Logging_1885/artfynd/A 27727-2026 artfynd.xlsx", "A 27727-2026")</f>
        <v/>
      </c>
      <c r="W28">
        <f>HYPERLINK("https://klasma.github.io/Logging_1885/kartor/A 27727-2026 karta.png", "A 27727-2026")</f>
        <v/>
      </c>
      <c r="Y28">
        <f>HYPERLINK("https://klasma.github.io/Logging_1885/klagomål/A 27727-2026 FSC-klagomål.docx", "A 27727-2026")</f>
        <v/>
      </c>
      <c r="Z28">
        <f>HYPERLINK("https://klasma.github.io/Logging_1885/klagomålsmail/A 27727-2026 FSC-klagomål mail.docx", "A 27727-2026")</f>
        <v/>
      </c>
      <c r="AA28">
        <f>HYPERLINK("https://klasma.github.io/Logging_1885/tillsyn/A 27727-2026 tillsynsbegäran.docx", "A 27727-2026")</f>
        <v/>
      </c>
      <c r="AB28">
        <f>HYPERLINK("https://klasma.github.io/Logging_1885/tillsynsmail/A 27727-2026 tillsynsbegäran mail.docx", "A 27727-2026")</f>
        <v/>
      </c>
      <c r="AC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46220</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s="2" t="inlineStr">
        <is>
          <t>Knärot
Grönsångare
Ullticka
Bronshjon
Spillkråka
Grönsiska
Fläcknycklar</t>
        </is>
      </c>
      <c r="V29">
        <f>HYPERLINK("https://klasma.github.io/Logging_1885/artfynd/A 21467-2026 artfynd.xlsx", "A 21467-2026")</f>
        <v/>
      </c>
      <c r="W29">
        <f>HYPERLINK("https://klasma.github.io/Logging_1885/kartor/A 21467-2026 karta.png", "A 21467-2026")</f>
        <v/>
      </c>
      <c r="X29">
        <f>HYPERLINK("https://klasma.github.io/Logging_1885/knärot/A 21467-2026 karta knärot.png", "A 21467-2026")</f>
        <v/>
      </c>
      <c r="Y29">
        <f>HYPERLINK("https://klasma.github.io/Logging_1885/klagomål/A 21467-2026 FSC-klagomål.docx", "A 21467-2026")</f>
        <v/>
      </c>
      <c r="Z29">
        <f>HYPERLINK("https://klasma.github.io/Logging_1885/klagomålsmail/A 21467-2026 FSC-klagomål mail.docx", "A 21467-2026")</f>
        <v/>
      </c>
      <c r="AA29">
        <f>HYPERLINK("https://klasma.github.io/Logging_1885/tillsyn/A 21467-2026 tillsynsbegäran.docx", "A 21467-2026")</f>
        <v/>
      </c>
      <c r="AB29">
        <f>HYPERLINK("https://klasma.github.io/Logging_1885/tillsynsmail/A 21467-2026 tillsynsbegäran mail.docx", "A 21467-2026")</f>
        <v/>
      </c>
      <c r="AC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46220</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s="2" t="inlineStr">
        <is>
          <t>Dropptaggsvamp
Talltita
Bronshjon
Thomsons trägnagare
Vågbandad barkbock
Tjäder
Fläcknycklar</t>
        </is>
      </c>
      <c r="V30">
        <f>HYPERLINK("https://klasma.github.io/Logging_1885/artfynd/A 24958-2026 artfynd.xlsx", "A 24958-2026")</f>
        <v/>
      </c>
      <c r="W30">
        <f>HYPERLINK("https://klasma.github.io/Logging_1885/kartor/A 24958-2026 karta.png", "A 24958-2026")</f>
        <v/>
      </c>
      <c r="Y30">
        <f>HYPERLINK("https://klasma.github.io/Logging_1885/klagomål/A 24958-2026 FSC-klagomål.docx", "A 24958-2026")</f>
        <v/>
      </c>
      <c r="Z30">
        <f>HYPERLINK("https://klasma.github.io/Logging_1885/klagomålsmail/A 24958-2026 FSC-klagomål mail.docx", "A 24958-2026")</f>
        <v/>
      </c>
      <c r="AA30">
        <f>HYPERLINK("https://klasma.github.io/Logging_1885/tillsyn/A 24958-2026 tillsynsbegäran.docx", "A 24958-2026")</f>
        <v/>
      </c>
      <c r="AB30">
        <f>HYPERLINK("https://klasma.github.io/Logging_1885/tillsynsmail/A 24958-2026 tillsynsbegäran mail.docx", "A 24958-2026")</f>
        <v/>
      </c>
      <c r="AC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46220</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Y31">
        <f>HYPERLINK("https://klasma.github.io/Logging_1885/klagomål/A 42633-2025 FSC-klagomål.docx", "A 42633-2025")</f>
        <v/>
      </c>
      <c r="Z31">
        <f>HYPERLINK("https://klasma.github.io/Logging_1885/klagomålsmail/A 42633-2025 FSC-klagomål mail.docx", "A 42633-2025")</f>
        <v/>
      </c>
      <c r="AA31">
        <f>HYPERLINK("https://klasma.github.io/Logging_1885/tillsyn/A 42633-2025 tillsynsbegäran.docx", "A 42633-2025")</f>
        <v/>
      </c>
      <c r="AB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46220</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s="2" t="inlineStr">
        <is>
          <t>Knärot
Talltita
Ullticka
Grönpyrola
Spillkråka
Kungsfågel</t>
        </is>
      </c>
      <c r="V32">
        <f>HYPERLINK("https://klasma.github.io/Logging_1885/artfynd/A 54241-2025 artfynd.xlsx", "A 54241-2025")</f>
        <v/>
      </c>
      <c r="W32">
        <f>HYPERLINK("https://klasma.github.io/Logging_1885/kartor/A 54241-2025 karta.png", "A 54241-2025")</f>
        <v/>
      </c>
      <c r="X32">
        <f>HYPERLINK("https://klasma.github.io/Logging_1885/knärot/A 54241-2025 karta knärot.png", "A 54241-2025")</f>
        <v/>
      </c>
      <c r="Y32">
        <f>HYPERLINK("https://klasma.github.io/Logging_1885/klagomål/A 54241-2025 FSC-klagomål.docx", "A 54241-2025")</f>
        <v/>
      </c>
      <c r="Z32">
        <f>HYPERLINK("https://klasma.github.io/Logging_1885/klagomålsmail/A 54241-2025 FSC-klagomål mail.docx", "A 54241-2025")</f>
        <v/>
      </c>
      <c r="AA32">
        <f>HYPERLINK("https://klasma.github.io/Logging_1885/tillsyn/A 54241-2025 tillsynsbegäran.docx", "A 54241-2025")</f>
        <v/>
      </c>
      <c r="AB32">
        <f>HYPERLINK("https://klasma.github.io/Logging_1885/tillsynsmail/A 54241-2025 tillsynsbegäran mail.docx", "A 54241-2025")</f>
        <v/>
      </c>
      <c r="AC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46220</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46220</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s="2" t="inlineStr">
        <is>
          <t>Rödgul trumpetsvamp
Svavelriska
Tibast
Trådticka
Tvåblad
Revlummer</t>
        </is>
      </c>
      <c r="V34">
        <f>HYPERLINK("https://klasma.github.io/Logging_1885/artfynd/A 15687-2023 artfynd.xlsx", "A 15687-2023")</f>
        <v/>
      </c>
      <c r="W34">
        <f>HYPERLINK("https://klasma.github.io/Logging_1885/kartor/A 15687-2023 karta.png", "A 15687-2023")</f>
        <v/>
      </c>
      <c r="Y34">
        <f>HYPERLINK("https://klasma.github.io/Logging_1885/klagomål/A 15687-2023 FSC-klagomål.docx", "A 15687-2023")</f>
        <v/>
      </c>
      <c r="Z34">
        <f>HYPERLINK("https://klasma.github.io/Logging_1885/klagomålsmail/A 15687-2023 FSC-klagomål mail.docx", "A 15687-2023")</f>
        <v/>
      </c>
      <c r="AA34">
        <f>HYPERLINK("https://klasma.github.io/Logging_1885/tillsyn/A 15687-2023 tillsynsbegäran.docx", "A 15687-2023")</f>
        <v/>
      </c>
      <c r="AB34">
        <f>HYPERLINK("https://klasma.github.io/Logging_1885/tillsynsmail/A 15687-2023 tillsynsbegäran mail.docx", "A 15687-2023")</f>
        <v/>
      </c>
    </row>
    <row r="35" ht="15" customHeight="1">
      <c r="A35" t="inlineStr">
        <is>
          <t>A 27733-2026</t>
        </is>
      </c>
      <c r="B35" t="inlineStr">
        <is>
          <t>avverkningsanmälan</t>
        </is>
      </c>
      <c r="C35" t="inlineStr">
        <is>
          <t>Föryngringsavverkning</t>
        </is>
      </c>
      <c r="D35" s="1" t="n">
        <v>46191</v>
      </c>
      <c r="E35" s="1" t="n">
        <v>46220</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s="2" t="inlineStr">
        <is>
          <t>Liljekonvalj
Spillkråka
Tjäder
Tofsmes
Vanlig groda
Fläcknycklar</t>
        </is>
      </c>
      <c r="V35">
        <f>HYPERLINK("https://klasma.github.io/Logging_1885/artfynd/A 27733-2026 artfynd.xlsx", "A 27733-2026")</f>
        <v/>
      </c>
      <c r="W35">
        <f>HYPERLINK("https://klasma.github.io/Logging_1885/kartor/A 27733-2026 karta.png", "A 27733-2026")</f>
        <v/>
      </c>
      <c r="Y35">
        <f>HYPERLINK("https://klasma.github.io/Logging_1885/klagomål/A 27733-2026 FSC-klagomål.docx", "A 27733-2026")</f>
        <v/>
      </c>
      <c r="Z35">
        <f>HYPERLINK("https://klasma.github.io/Logging_1885/klagomålsmail/A 27733-2026 FSC-klagomål mail.docx", "A 27733-2026")</f>
        <v/>
      </c>
      <c r="AA35">
        <f>HYPERLINK("https://klasma.github.io/Logging_1885/tillsyn/A 27733-2026 tillsynsbegäran.docx", "A 27733-2026")</f>
        <v/>
      </c>
      <c r="AB35">
        <f>HYPERLINK("https://klasma.github.io/Logging_1885/tillsynsmail/A 27733-2026 tillsynsbegäran mail.docx", "A 27733-2026")</f>
        <v/>
      </c>
      <c r="AC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46220</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s="2" t="inlineStr">
        <is>
          <t>Tretåig hackspett
Björksplintborre
Spillkråka
Tjäder
Fläcknycklar
Revlummer</t>
        </is>
      </c>
      <c r="V36">
        <f>HYPERLINK("https://klasma.github.io/Logging_1885/artfynd/A 27732-2026 artfynd.xlsx", "A 27732-2026")</f>
        <v/>
      </c>
      <c r="W36">
        <f>HYPERLINK("https://klasma.github.io/Logging_1885/kartor/A 27732-2026 karta.png", "A 27732-2026")</f>
        <v/>
      </c>
      <c r="Y36">
        <f>HYPERLINK("https://klasma.github.io/Logging_1885/klagomål/A 27732-2026 FSC-klagomål.docx", "A 27732-2026")</f>
        <v/>
      </c>
      <c r="Z36">
        <f>HYPERLINK("https://klasma.github.io/Logging_1885/klagomålsmail/A 27732-2026 FSC-klagomål mail.docx", "A 27732-2026")</f>
        <v/>
      </c>
      <c r="AA36">
        <f>HYPERLINK("https://klasma.github.io/Logging_1885/tillsyn/A 27732-2026 tillsynsbegäran.docx", "A 27732-2026")</f>
        <v/>
      </c>
      <c r="AB36">
        <f>HYPERLINK("https://klasma.github.io/Logging_1885/tillsynsmail/A 27732-2026 tillsynsbegäran mail.docx", "A 27732-2026")</f>
        <v/>
      </c>
      <c r="AC36">
        <f>HYPERLINK("https://klasma.github.io/Logging_1885/fåglar/A 27732-2026 prioriterade fågelarter.docx", "A 27732-2026")</f>
        <v/>
      </c>
    </row>
    <row r="37" ht="15" customHeight="1">
      <c r="A37" t="inlineStr">
        <is>
          <t>A 28033-2023</t>
        </is>
      </c>
      <c r="B37" t="inlineStr">
        <is>
          <t>avverkningsanmälan</t>
        </is>
      </c>
      <c r="C37" t="inlineStr">
        <is>
          <t>Föryngringsavverkning</t>
        </is>
      </c>
      <c r="D37" s="1" t="n">
        <v>45099</v>
      </c>
      <c r="E37" s="1" t="n">
        <v>46220</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s="2" t="inlineStr">
        <is>
          <t>Ask
Asknätfjäril
Skogsalm
Svart trolldruva
Tibast
Blåsippa</t>
        </is>
      </c>
      <c r="V37">
        <f>HYPERLINK("https://klasma.github.io/Logging_1885/artfynd/A 28033-2023 artfynd.xlsx", "A 28033-2023")</f>
        <v/>
      </c>
      <c r="W37">
        <f>HYPERLINK("https://klasma.github.io/Logging_1885/kartor/A 28033-2023 karta.png", "A 28033-2023")</f>
        <v/>
      </c>
      <c r="Y37">
        <f>HYPERLINK("https://klasma.github.io/Logging_1885/klagomål/A 28033-2023 FSC-klagomål.docx", "A 28033-2023")</f>
        <v/>
      </c>
      <c r="Z37">
        <f>HYPERLINK("https://klasma.github.io/Logging_1885/klagomålsmail/A 28033-2023 FSC-klagomål mail.docx", "A 28033-2023")</f>
        <v/>
      </c>
      <c r="AA37">
        <f>HYPERLINK("https://klasma.github.io/Logging_1885/tillsyn/A 28033-2023 tillsynsbegäran.docx", "A 28033-2023")</f>
        <v/>
      </c>
      <c r="AB37">
        <f>HYPERLINK("https://klasma.github.io/Logging_1885/tillsynsmail/A 28033-2023 tillsynsbegäran mail.docx", "A 28033-2023")</f>
        <v/>
      </c>
    </row>
    <row r="38" ht="15" customHeight="1">
      <c r="A38" t="inlineStr">
        <is>
          <t>S 6242-2022</t>
        </is>
      </c>
      <c r="B38" t="inlineStr">
        <is>
          <t>samrådsanmälan</t>
        </is>
      </c>
      <c r="C38" t="inlineStr">
        <is>
          <t>Annan skogsbruksåtgärd</t>
        </is>
      </c>
      <c r="D38" s="1" t="n">
        <v>44867</v>
      </c>
      <c r="E38" s="1" t="n">
        <v>46220</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s="2" t="inlineStr">
        <is>
          <t>Grangråticka
Fjällig taggsvamp s.str.
Tallticka
Svart trolldruva
Trådticka
Blåsippa</t>
        </is>
      </c>
      <c r="V38">
        <f>HYPERLINK("https://klasma.github.io/Logging_1885/artfynd/S 6242-2022 artfynd.xlsx", "S 6242-2022")</f>
        <v/>
      </c>
      <c r="W38">
        <f>HYPERLINK("https://klasma.github.io/Logging_1885/kartor/S 6242-2022 karta.png", "S 6242-2022")</f>
        <v/>
      </c>
      <c r="Y38">
        <f>HYPERLINK("https://klasma.github.io/Logging_1885/klagomål/S 6242-2022 FSC-klagomål.docx", "S 6242-2022")</f>
        <v/>
      </c>
      <c r="Z38">
        <f>HYPERLINK("https://klasma.github.io/Logging_1885/klagomålsmail/S 6242-2022 FSC-klagomål mail.docx", "S 6242-2022")</f>
        <v/>
      </c>
      <c r="AA38">
        <f>HYPERLINK("https://klasma.github.io/Logging_1885/tillsyn/S 6242-2022 tillsynsbegäran.docx", "S 6242-2022")</f>
        <v/>
      </c>
      <c r="AB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46220</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s="2" t="inlineStr">
        <is>
          <t>Kandelabersvamp
Motaggsvamp
Sotvaxskivling
Svartvit taggsvamp
Veckticka
Blomkålssvamp</t>
        </is>
      </c>
      <c r="V39">
        <f>HYPERLINK("https://klasma.github.io/Logging_1885/artfynd/S 2512-2025 artfynd.xlsx", "S 2512-2025")</f>
        <v/>
      </c>
      <c r="W39">
        <f>HYPERLINK("https://klasma.github.io/Logging_1885/kartor/S 2512-2025 karta.png", "S 2512-2025")</f>
        <v/>
      </c>
      <c r="Y39">
        <f>HYPERLINK("https://klasma.github.io/Logging_1885/klagomål/S 2512-2025 FSC-klagomål.docx", "S 2512-2025")</f>
        <v/>
      </c>
      <c r="Z39">
        <f>HYPERLINK("https://klasma.github.io/Logging_1885/klagomålsmail/S 2512-2025 FSC-klagomål mail.docx", "S 2512-2025")</f>
        <v/>
      </c>
      <c r="AA39">
        <f>HYPERLINK("https://klasma.github.io/Logging_1885/tillsyn/S 2512-2025 tillsynsbegäran.docx", "S 2512-2025")</f>
        <v/>
      </c>
      <c r="AB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46220</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s="2" t="inlineStr">
        <is>
          <t>Knärot
Dropptaggsvamp
Orange taggsvamp
Svart taggsvamp
Grovticka
Blåsippa</t>
        </is>
      </c>
      <c r="V40">
        <f>HYPERLINK("https://klasma.github.io/Logging_1885/artfynd/S 2339-2025 artfynd.xlsx", "S 2339-2025")</f>
        <v/>
      </c>
      <c r="W40">
        <f>HYPERLINK("https://klasma.github.io/Logging_1885/kartor/S 2339-2025 karta.png", "S 2339-2025")</f>
        <v/>
      </c>
      <c r="X40">
        <f>HYPERLINK("https://klasma.github.io/Logging_1885/knärot/S 2339-2025 karta knärot.png", "S 2339-2025")</f>
        <v/>
      </c>
      <c r="Y40">
        <f>HYPERLINK("https://klasma.github.io/Logging_1885/klagomål/S 2339-2025 FSC-klagomål.docx", "S 2339-2025")</f>
        <v/>
      </c>
      <c r="Z40">
        <f>HYPERLINK("https://klasma.github.io/Logging_1885/klagomålsmail/S 2339-2025 FSC-klagomål mail.docx", "S 2339-2025")</f>
        <v/>
      </c>
      <c r="AA40">
        <f>HYPERLINK("https://klasma.github.io/Logging_1885/tillsyn/S 2339-2025 tillsynsbegäran.docx", "S 2339-2025")</f>
        <v/>
      </c>
      <c r="AB40">
        <f>HYPERLINK("https://klasma.github.io/Logging_1885/tillsynsmail/S 2339-2025 tillsynsbegäran mail.docx", "S 2339-2025")</f>
        <v/>
      </c>
    </row>
    <row r="41" ht="15" customHeight="1">
      <c r="A41" t="inlineStr">
        <is>
          <t>A 28035-2023</t>
        </is>
      </c>
      <c r="B41" t="inlineStr">
        <is>
          <t>avverkningsanmälan</t>
        </is>
      </c>
      <c r="C41" t="inlineStr">
        <is>
          <t>Föryngringsavverkning</t>
        </is>
      </c>
      <c r="D41" s="1" t="n">
        <v>45099</v>
      </c>
      <c r="E41" s="1" t="n">
        <v>46220</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s="2" t="inlineStr">
        <is>
          <t>Ask
Asknätfjäril
Tibast
Blåsippa
Gullviva</t>
        </is>
      </c>
      <c r="V41">
        <f>HYPERLINK("https://klasma.github.io/Logging_1885/artfynd/A 28035-2023 artfynd.xlsx", "A 28035-2023")</f>
        <v/>
      </c>
      <c r="W41">
        <f>HYPERLINK("https://klasma.github.io/Logging_1885/kartor/A 28035-2023 karta.png", "A 28035-2023")</f>
        <v/>
      </c>
      <c r="Y41">
        <f>HYPERLINK("https://klasma.github.io/Logging_1885/klagomål/A 28035-2023 FSC-klagomål.docx", "A 28035-2023")</f>
        <v/>
      </c>
      <c r="Z41">
        <f>HYPERLINK("https://klasma.github.io/Logging_1885/klagomålsmail/A 28035-2023 FSC-klagomål mail.docx", "A 28035-2023")</f>
        <v/>
      </c>
      <c r="AA41">
        <f>HYPERLINK("https://klasma.github.io/Logging_1885/tillsyn/A 28035-2023 tillsynsbegäran.docx", "A 28035-2023")</f>
        <v/>
      </c>
      <c r="AB41">
        <f>HYPERLINK("https://klasma.github.io/Logging_1885/tillsynsmail/A 28035-2023 tillsynsbegäran mail.docx", "A 28035-2023")</f>
        <v/>
      </c>
    </row>
    <row r="42" ht="15" customHeight="1">
      <c r="A42" t="inlineStr">
        <is>
          <t>A 49945-2025</t>
        </is>
      </c>
      <c r="B42" t="inlineStr">
        <is>
          <t>avverkningsanmälan</t>
        </is>
      </c>
      <c r="C42" t="inlineStr">
        <is>
          <t>Föryngringsavverkning</t>
        </is>
      </c>
      <c r="D42" s="1" t="n">
        <v>45940</v>
      </c>
      <c r="E42" s="1" t="n">
        <v>46220</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s="2" t="inlineStr">
        <is>
          <t>Motaggsvamp
Toppvaxing
Vanlig rörsvepemossa
Zontaggsvamp
Mattlummer</t>
        </is>
      </c>
      <c r="V42">
        <f>HYPERLINK("https://klasma.github.io/Logging_1885/artfynd/A 49945-2025 artfynd.xlsx", "A 49945-2025")</f>
        <v/>
      </c>
      <c r="W42">
        <f>HYPERLINK("https://klasma.github.io/Logging_1885/kartor/A 49945-2025 karta.png", "A 49945-2025")</f>
        <v/>
      </c>
      <c r="Y42">
        <f>HYPERLINK("https://klasma.github.io/Logging_1885/klagomål/A 49945-2025 FSC-klagomål.docx", "A 49945-2025")</f>
        <v/>
      </c>
      <c r="Z42">
        <f>HYPERLINK("https://klasma.github.io/Logging_1885/klagomålsmail/A 49945-2025 FSC-klagomål mail.docx", "A 49945-2025")</f>
        <v/>
      </c>
      <c r="AA42">
        <f>HYPERLINK("https://klasma.github.io/Logging_1885/tillsyn/A 49945-2025 tillsynsbegäran.docx", "A 49945-2025")</f>
        <v/>
      </c>
      <c r="AB42">
        <f>HYPERLINK("https://klasma.github.io/Logging_1885/tillsynsmail/A 49945-2025 tillsynsbegäran mail.docx", "A 49945-2025")</f>
        <v/>
      </c>
    </row>
    <row r="43" ht="15" customHeight="1">
      <c r="A43" t="inlineStr">
        <is>
          <t>A 54332-2021</t>
        </is>
      </c>
      <c r="B43" t="inlineStr">
        <is>
          <t>avverkningsanmälan</t>
        </is>
      </c>
      <c r="C43" t="inlineStr">
        <is>
          <t>Föryngringsavverkning</t>
        </is>
      </c>
      <c r="D43" s="1" t="n">
        <v>44472</v>
      </c>
      <c r="E43" s="1" t="n">
        <v>46220</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s="2" t="inlineStr">
        <is>
          <t>Asknätfjäril
Blek fingersvamp
Spillkråka
Svartvit flugsnappare</t>
        </is>
      </c>
      <c r="V43">
        <f>HYPERLINK("https://klasma.github.io/Logging_1885/artfynd/A 54332-2021 artfynd.xlsx", "A 54332-2021")</f>
        <v/>
      </c>
      <c r="W43">
        <f>HYPERLINK("https://klasma.github.io/Logging_1885/kartor/A 54332-2021 karta.png", "A 54332-2021")</f>
        <v/>
      </c>
      <c r="Y43">
        <f>HYPERLINK("https://klasma.github.io/Logging_1885/klagomål/A 54332-2021 FSC-klagomål.docx", "A 54332-2021")</f>
        <v/>
      </c>
      <c r="Z43">
        <f>HYPERLINK("https://klasma.github.io/Logging_1885/klagomålsmail/A 54332-2021 FSC-klagomål mail.docx", "A 54332-2021")</f>
        <v/>
      </c>
      <c r="AA43">
        <f>HYPERLINK("https://klasma.github.io/Logging_1885/tillsyn/A 54332-2021 tillsynsbegäran.docx", "A 54332-2021")</f>
        <v/>
      </c>
      <c r="AB43">
        <f>HYPERLINK("https://klasma.github.io/Logging_1885/tillsynsmail/A 54332-2021 tillsynsbegäran mail.docx", "A 54332-2021")</f>
        <v/>
      </c>
      <c r="AC43">
        <f>HYPERLINK("https://klasma.github.io/Logging_1885/fåglar/A 54332-2021 prioriterade fågelarter.docx", "A 54332-2021")</f>
        <v/>
      </c>
    </row>
    <row r="44" ht="15" customHeight="1">
      <c r="A44" t="inlineStr">
        <is>
          <t>A 48618-2025</t>
        </is>
      </c>
      <c r="B44" t="inlineStr">
        <is>
          <t>avverkningsanmälan</t>
        </is>
      </c>
      <c r="C44" t="inlineStr">
        <is>
          <t>Föryngringsavverkning</t>
        </is>
      </c>
      <c r="D44" s="1" t="n">
        <v>45936</v>
      </c>
      <c r="E44" s="1" t="n">
        <v>46220</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s="2" t="inlineStr">
        <is>
          <t>Dropptaggsvamp
Motaggsvamp
Vedskivlav
Spillkråka</t>
        </is>
      </c>
      <c r="V44">
        <f>HYPERLINK("https://klasma.github.io/Logging_1885/artfynd/A 48618-2025 artfynd.xlsx", "A 48618-2025")</f>
        <v/>
      </c>
      <c r="W44">
        <f>HYPERLINK("https://klasma.github.io/Logging_1885/kartor/A 48618-2025 karta.png", "A 48618-2025")</f>
        <v/>
      </c>
      <c r="Y44">
        <f>HYPERLINK("https://klasma.github.io/Logging_1885/klagomål/A 48618-2025 FSC-klagomål.docx", "A 48618-2025")</f>
        <v/>
      </c>
      <c r="Z44">
        <f>HYPERLINK("https://klasma.github.io/Logging_1885/klagomålsmail/A 48618-2025 FSC-klagomål mail.docx", "A 48618-2025")</f>
        <v/>
      </c>
      <c r="AA44">
        <f>HYPERLINK("https://klasma.github.io/Logging_1885/tillsyn/A 48618-2025 tillsynsbegäran.docx", "A 48618-2025")</f>
        <v/>
      </c>
      <c r="AB44">
        <f>HYPERLINK("https://klasma.github.io/Logging_1885/tillsynsmail/A 48618-2025 tillsynsbegäran mail.docx", "A 48618-2025")</f>
        <v/>
      </c>
      <c r="AC44">
        <f>HYPERLINK("https://klasma.github.io/Logging_1885/fåglar/A 48618-2025 prioriterade fågelarter.docx", "A 48618-2025")</f>
        <v/>
      </c>
    </row>
    <row r="45" ht="15" customHeight="1">
      <c r="A45" t="inlineStr">
        <is>
          <t>A 25012-2023</t>
        </is>
      </c>
      <c r="B45" t="inlineStr">
        <is>
          <t>avverkningsanmälan</t>
        </is>
      </c>
      <c r="C45" t="inlineStr">
        <is>
          <t>Föryngringsavverkning</t>
        </is>
      </c>
      <c r="D45" s="1" t="n">
        <v>45085</v>
      </c>
      <c r="E45" s="1" t="n">
        <v>46220</v>
      </c>
      <c r="F45" t="inlineStr">
        <is>
          <t>ÖREBRO LÄN</t>
        </is>
      </c>
      <c r="G45" t="inlineStr">
        <is>
          <t>LINDESBERG</t>
        </is>
      </c>
      <c r="I45" t="n">
        <v>1.1</v>
      </c>
      <c r="J45" t="n">
        <v>1</v>
      </c>
      <c r="K45" t="n">
        <v>2</v>
      </c>
      <c r="L45" t="n">
        <v>2</v>
      </c>
      <c r="M45" t="n">
        <v>0</v>
      </c>
      <c r="N45" t="n">
        <v>0</v>
      </c>
      <c r="O45" t="n">
        <v>0</v>
      </c>
      <c r="P45" t="n">
        <v>0</v>
      </c>
      <c r="Q45" t="n">
        <v>2</v>
      </c>
      <c r="R45" t="n">
        <v>0</v>
      </c>
      <c r="S45" t="n">
        <v>4</v>
      </c>
      <c r="T45" t="n">
        <v>4</v>
      </c>
      <c r="U45" s="2" t="inlineStr">
        <is>
          <t>Dofttaggsvamp
Jungfrulin
Kamjordstjärna
Tvåblad</t>
        </is>
      </c>
      <c r="V45">
        <f>HYPERLINK("https://klasma.github.io/Logging_1885/artfynd/A 25012-2023 artfynd.xlsx", "A 25012-2023")</f>
        <v/>
      </c>
      <c r="W45">
        <f>HYPERLINK("https://klasma.github.io/Logging_1885/kartor/A 25012-2023 karta.png", "A 25012-2023")</f>
        <v/>
      </c>
      <c r="Y45">
        <f>HYPERLINK("https://klasma.github.io/Logging_1885/klagomål/A 25012-2023 FSC-klagomål.docx", "A 25012-2023")</f>
        <v/>
      </c>
      <c r="Z45">
        <f>HYPERLINK("https://klasma.github.io/Logging_1885/klagomålsmail/A 25012-2023 FSC-klagomål mail.docx", "A 25012-2023")</f>
        <v/>
      </c>
      <c r="AA45">
        <f>HYPERLINK("https://klasma.github.io/Logging_1885/tillsyn/A 25012-2023 tillsynsbegäran.docx", "A 25012-2023")</f>
        <v/>
      </c>
      <c r="AB45">
        <f>HYPERLINK("https://klasma.github.io/Logging_1885/tillsynsmail/A 25012-2023 tillsynsbegäran mail.docx", "A 25012-2023")</f>
        <v/>
      </c>
    </row>
    <row r="46" ht="15" customHeight="1">
      <c r="A46" t="inlineStr">
        <is>
          <t>A 3026-2026</t>
        </is>
      </c>
      <c r="B46" t="inlineStr">
        <is>
          <t>avverkningsanmälan</t>
        </is>
      </c>
      <c r="C46" t="inlineStr">
        <is>
          <t>Föryngringsavverkning</t>
        </is>
      </c>
      <c r="D46" s="1" t="n">
        <v>46038</v>
      </c>
      <c r="E46" s="1" t="n">
        <v>46220</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s="2" t="inlineStr">
        <is>
          <t>Gränsticka
Rosenticka
Tallticka
Ullticka</t>
        </is>
      </c>
      <c r="V46">
        <f>HYPERLINK("https://klasma.github.io/Logging_1885/artfynd/A 3026-2026 artfynd.xlsx", "A 3026-2026")</f>
        <v/>
      </c>
      <c r="W46">
        <f>HYPERLINK("https://klasma.github.io/Logging_1885/kartor/A 3026-2026 karta.png", "A 3026-2026")</f>
        <v/>
      </c>
      <c r="Y46">
        <f>HYPERLINK("https://klasma.github.io/Logging_1885/klagomål/A 3026-2026 FSC-klagomål.docx", "A 3026-2026")</f>
        <v/>
      </c>
      <c r="Z46">
        <f>HYPERLINK("https://klasma.github.io/Logging_1885/klagomålsmail/A 3026-2026 FSC-klagomål mail.docx", "A 3026-2026")</f>
        <v/>
      </c>
      <c r="AA46">
        <f>HYPERLINK("https://klasma.github.io/Logging_1885/tillsyn/A 3026-2026 tillsynsbegäran.docx", "A 3026-2026")</f>
        <v/>
      </c>
      <c r="AB46">
        <f>HYPERLINK("https://klasma.github.io/Logging_1885/tillsynsmail/A 3026-2026 tillsynsbegäran mail.docx", "A 3026-2026")</f>
        <v/>
      </c>
    </row>
    <row r="47" ht="15" customHeight="1">
      <c r="A47" t="inlineStr">
        <is>
          <t>A 33574-2022</t>
        </is>
      </c>
      <c r="B47" t="inlineStr">
        <is>
          <t>avverkningsanmälan</t>
        </is>
      </c>
      <c r="C47" t="inlineStr">
        <is>
          <t>Föryngringsavverkning</t>
        </is>
      </c>
      <c r="D47" s="1" t="n">
        <v>44789</v>
      </c>
      <c r="E47" s="1" t="n">
        <v>46220</v>
      </c>
      <c r="F47" t="inlineStr">
        <is>
          <t>ÖREBRO LÄN</t>
        </is>
      </c>
      <c r="G47" t="inlineStr">
        <is>
          <t>LINDESBERG</t>
        </is>
      </c>
      <c r="I47" t="n">
        <v>11.5</v>
      </c>
      <c r="J47" t="n">
        <v>1</v>
      </c>
      <c r="K47" t="n">
        <v>2</v>
      </c>
      <c r="L47" t="n">
        <v>1</v>
      </c>
      <c r="M47" t="n">
        <v>1</v>
      </c>
      <c r="N47" t="n">
        <v>0</v>
      </c>
      <c r="O47" t="n">
        <v>0</v>
      </c>
      <c r="P47" t="n">
        <v>0</v>
      </c>
      <c r="Q47" t="n">
        <v>2</v>
      </c>
      <c r="R47" t="n">
        <v>1</v>
      </c>
      <c r="S47" t="n">
        <v>4</v>
      </c>
      <c r="T47" t="n">
        <v>4</v>
      </c>
      <c r="U47" s="2" t="inlineStr">
        <is>
          <t>Knärot
Ullticka
Stuplav
Vedticka</t>
        </is>
      </c>
      <c r="V47">
        <f>HYPERLINK("https://klasma.github.io/Logging_1885/artfynd/A 33574-2022 artfynd.xlsx", "A 33574-2022")</f>
        <v/>
      </c>
      <c r="W47">
        <f>HYPERLINK("https://klasma.github.io/Logging_1885/kartor/A 33574-2022 karta.png", "A 33574-2022")</f>
        <v/>
      </c>
      <c r="X47">
        <f>HYPERLINK("https://klasma.github.io/Logging_1885/knärot/A 33574-2022 karta knärot.png", "A 33574-2022")</f>
        <v/>
      </c>
      <c r="Y47">
        <f>HYPERLINK("https://klasma.github.io/Logging_1885/klagomål/A 33574-2022 FSC-klagomål.docx", "A 33574-2022")</f>
        <v/>
      </c>
      <c r="Z47">
        <f>HYPERLINK("https://klasma.github.io/Logging_1885/klagomålsmail/A 33574-2022 FSC-klagomål mail.docx", "A 33574-2022")</f>
        <v/>
      </c>
      <c r="AA47">
        <f>HYPERLINK("https://klasma.github.io/Logging_1885/tillsyn/A 33574-2022 tillsynsbegäran.docx", "A 33574-2022")</f>
        <v/>
      </c>
      <c r="AB47">
        <f>HYPERLINK("https://klasma.github.io/Logging_1885/tillsynsmail/A 33574-2022 tillsynsbegäran mail.docx", "A 33574-2022")</f>
        <v/>
      </c>
    </row>
    <row r="48" ht="15" customHeight="1">
      <c r="A48" t="inlineStr">
        <is>
          <t>A 51851-2025</t>
        </is>
      </c>
      <c r="B48" t="inlineStr">
        <is>
          <t>avverkningsanmälan</t>
        </is>
      </c>
      <c r="C48" t="inlineStr">
        <is>
          <t>Föryngringsavverkning</t>
        </is>
      </c>
      <c r="D48" s="1" t="n">
        <v>45952</v>
      </c>
      <c r="E48" s="1" t="n">
        <v>46220</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s="2" t="inlineStr">
        <is>
          <t>Garnlav
Motaggsvamp
Spillkråka
Kungsfågel</t>
        </is>
      </c>
      <c r="V48">
        <f>HYPERLINK("https://klasma.github.io/Logging_1885/artfynd/A 51851-2025 artfynd.xlsx", "A 51851-2025")</f>
        <v/>
      </c>
      <c r="W48">
        <f>HYPERLINK("https://klasma.github.io/Logging_1885/kartor/A 51851-2025 karta.png", "A 51851-2025")</f>
        <v/>
      </c>
      <c r="Y48">
        <f>HYPERLINK("https://klasma.github.io/Logging_1885/klagomål/A 51851-2025 FSC-klagomål.docx", "A 51851-2025")</f>
        <v/>
      </c>
      <c r="Z48">
        <f>HYPERLINK("https://klasma.github.io/Logging_1885/klagomålsmail/A 51851-2025 FSC-klagomål mail.docx", "A 51851-2025")</f>
        <v/>
      </c>
      <c r="AA48">
        <f>HYPERLINK("https://klasma.github.io/Logging_1885/tillsyn/A 51851-2025 tillsynsbegäran.docx", "A 51851-2025")</f>
        <v/>
      </c>
      <c r="AB48">
        <f>HYPERLINK("https://klasma.github.io/Logging_1885/tillsynsmail/A 51851-2025 tillsynsbegäran mail.docx", "A 51851-2025")</f>
        <v/>
      </c>
      <c r="AC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46220</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s="2" t="inlineStr">
        <is>
          <t>Asknätfjäril
Vitfläckig guldvinge
Spillkråka
Grönsiska</t>
        </is>
      </c>
      <c r="V49">
        <f>HYPERLINK("https://klasma.github.io/Logging_1885/artfynd/A 20744-2026 artfynd.xlsx", "A 20744-2026")</f>
        <v/>
      </c>
      <c r="W49">
        <f>HYPERLINK("https://klasma.github.io/Logging_1885/kartor/A 20744-2026 karta.png", "A 20744-2026")</f>
        <v/>
      </c>
      <c r="Y49">
        <f>HYPERLINK("https://klasma.github.io/Logging_1885/klagomål/A 20744-2026 FSC-klagomål.docx", "A 20744-2026")</f>
        <v/>
      </c>
      <c r="Z49">
        <f>HYPERLINK("https://klasma.github.io/Logging_1885/klagomålsmail/A 20744-2026 FSC-klagomål mail.docx", "A 20744-2026")</f>
        <v/>
      </c>
      <c r="AA49">
        <f>HYPERLINK("https://klasma.github.io/Logging_1885/tillsyn/A 20744-2026 tillsynsbegäran.docx", "A 20744-2026")</f>
        <v/>
      </c>
      <c r="AB49">
        <f>HYPERLINK("https://klasma.github.io/Logging_1885/tillsynsmail/A 20744-2026 tillsynsbegäran mail.docx", "A 20744-2026")</f>
        <v/>
      </c>
      <c r="AC49">
        <f>HYPERLINK("https://klasma.github.io/Logging_1885/fåglar/A 20744-2026 prioriterade fågelarter.docx", "A 20744-2026")</f>
        <v/>
      </c>
    </row>
    <row r="50" ht="15" customHeight="1">
      <c r="A50" t="inlineStr">
        <is>
          <t>A 20971-2026</t>
        </is>
      </c>
      <c r="B50" t="inlineStr">
        <is>
          <t>avverkningsanmälan</t>
        </is>
      </c>
      <c r="C50" t="inlineStr">
        <is>
          <t>Föryngringsavverkning</t>
        </is>
      </c>
      <c r="D50" s="1" t="n">
        <v>46142</v>
      </c>
      <c r="E50" s="1" t="n">
        <v>46220</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24</v>
      </c>
      <c r="U50" s="2" t="inlineStr">
        <is>
          <t>Tretåig hackspett
Linnea
Tjäder
Fläcknycklar</t>
        </is>
      </c>
      <c r="V50">
        <f>HYPERLINK("https://klasma.github.io/Logging_1885/artfynd/A 20971-2026 artfynd.xlsx", "A 20971-2026")</f>
        <v/>
      </c>
      <c r="W50">
        <f>HYPERLINK("https://klasma.github.io/Logging_1885/kartor/A 20971-2026 karta.png", "A 20971-2026")</f>
        <v/>
      </c>
      <c r="Y50">
        <f>HYPERLINK("https://klasma.github.io/Logging_1885/klagomål/A 20971-2026 FSC-klagomål.docx", "A 20971-2026")</f>
        <v/>
      </c>
      <c r="Z50">
        <f>HYPERLINK("https://klasma.github.io/Logging_1885/klagomålsmail/A 20971-2026 FSC-klagomål mail.docx", "A 20971-2026")</f>
        <v/>
      </c>
      <c r="AA50">
        <f>HYPERLINK("https://klasma.github.io/Logging_1885/tillsyn/A 20971-2026 tillsynsbegäran.docx", "A 20971-2026")</f>
        <v/>
      </c>
      <c r="AB50">
        <f>HYPERLINK("https://klasma.github.io/Logging_1885/tillsynsmail/A 20971-2026 tillsynsbegäran mail.docx", "A 20971-2026")</f>
        <v/>
      </c>
      <c r="AC50">
        <f>HYPERLINK("https://klasma.github.io/Logging_1885/fåglar/A 20971-2026 prioriterade fågelarter.docx", "A 20971-2026")</f>
        <v/>
      </c>
    </row>
    <row r="51" ht="15" customHeight="1">
      <c r="A51" t="inlineStr">
        <is>
          <t>A 27730-2026</t>
        </is>
      </c>
      <c r="B51" t="inlineStr">
        <is>
          <t>avverkningsanmälan</t>
        </is>
      </c>
      <c r="C51" t="inlineStr">
        <is>
          <t>Föryngringsavverkning</t>
        </is>
      </c>
      <c r="D51" s="1" t="n">
        <v>46191</v>
      </c>
      <c r="E51" s="1" t="n">
        <v>46220</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s="2" t="inlineStr">
        <is>
          <t>Sexfläckig bastardsvärmare
Spillkråka
Tjäder
Fläcknycklar</t>
        </is>
      </c>
      <c r="V51">
        <f>HYPERLINK("https://klasma.github.io/Logging_1885/artfynd/A 27730-2026 artfynd.xlsx", "A 27730-2026")</f>
        <v/>
      </c>
      <c r="W51">
        <f>HYPERLINK("https://klasma.github.io/Logging_1885/kartor/A 27730-2026 karta.png", "A 27730-2026")</f>
        <v/>
      </c>
      <c r="Y51">
        <f>HYPERLINK("https://klasma.github.io/Logging_1885/klagomål/A 27730-2026 FSC-klagomål.docx", "A 27730-2026")</f>
        <v/>
      </c>
      <c r="Z51">
        <f>HYPERLINK("https://klasma.github.io/Logging_1885/klagomålsmail/A 27730-2026 FSC-klagomål mail.docx", "A 27730-2026")</f>
        <v/>
      </c>
      <c r="AA51">
        <f>HYPERLINK("https://klasma.github.io/Logging_1885/tillsyn/A 27730-2026 tillsynsbegäran.docx", "A 27730-2026")</f>
        <v/>
      </c>
      <c r="AB51">
        <f>HYPERLINK("https://klasma.github.io/Logging_1885/tillsynsmail/A 27730-2026 tillsynsbegäran mail.docx", "A 27730-2026")</f>
        <v/>
      </c>
      <c r="AC51">
        <f>HYPERLINK("https://klasma.github.io/Logging_1885/fåglar/A 27730-2026 prioriterade fågelarter.docx", "A 27730-2026")</f>
        <v/>
      </c>
    </row>
    <row r="52" ht="15" customHeight="1">
      <c r="A52" t="inlineStr">
        <is>
          <t>A 24970-2026</t>
        </is>
      </c>
      <c r="B52" t="inlineStr">
        <is>
          <t>avverkningsanmälan</t>
        </is>
      </c>
      <c r="C52" t="inlineStr">
        <is>
          <t>Föryngringsavverkning</t>
        </is>
      </c>
      <c r="D52" s="1" t="n">
        <v>46174</v>
      </c>
      <c r="E52" s="1" t="n">
        <v>46220</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s="2" t="inlineStr">
        <is>
          <t>Thomsons trägnagare
Vågbandad barkbock
Spillkråka
Tjäder</t>
        </is>
      </c>
      <c r="V52">
        <f>HYPERLINK("https://klasma.github.io/Logging_1885/artfynd/A 24970-2026 artfynd.xlsx", "A 24970-2026")</f>
        <v/>
      </c>
      <c r="W52">
        <f>HYPERLINK("https://klasma.github.io/Logging_1885/kartor/A 24970-2026 karta.png", "A 24970-2026")</f>
        <v/>
      </c>
      <c r="Y52">
        <f>HYPERLINK("https://klasma.github.io/Logging_1885/klagomål/A 24970-2026 FSC-klagomål.docx", "A 24970-2026")</f>
        <v/>
      </c>
      <c r="Z52">
        <f>HYPERLINK("https://klasma.github.io/Logging_1885/klagomålsmail/A 24970-2026 FSC-klagomål mail.docx", "A 24970-2026")</f>
        <v/>
      </c>
      <c r="AA52">
        <f>HYPERLINK("https://klasma.github.io/Logging_1885/tillsyn/A 24970-2026 tillsynsbegäran.docx", "A 24970-2026")</f>
        <v/>
      </c>
      <c r="AB52">
        <f>HYPERLINK("https://klasma.github.io/Logging_1885/tillsynsmail/A 24970-2026 tillsynsbegäran mail.docx", "A 24970-2026")</f>
        <v/>
      </c>
      <c r="AC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46220</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s="2" t="inlineStr">
        <is>
          <t>Motaggsvamp
Talltita
Tjäder</t>
        </is>
      </c>
      <c r="V53">
        <f>HYPERLINK("https://klasma.github.io/Logging_1885/artfynd/A 57803-2021 artfynd.xlsx", "A 57803-2021")</f>
        <v/>
      </c>
      <c r="W53">
        <f>HYPERLINK("https://klasma.github.io/Logging_1885/kartor/A 57803-2021 karta.png", "A 57803-2021")</f>
        <v/>
      </c>
      <c r="Y53">
        <f>HYPERLINK("https://klasma.github.io/Logging_1885/klagomål/A 57803-2021 FSC-klagomål.docx", "A 57803-2021")</f>
        <v/>
      </c>
      <c r="Z53">
        <f>HYPERLINK("https://klasma.github.io/Logging_1885/klagomålsmail/A 57803-2021 FSC-klagomål mail.docx", "A 57803-2021")</f>
        <v/>
      </c>
      <c r="AA53">
        <f>HYPERLINK("https://klasma.github.io/Logging_1885/tillsyn/A 57803-2021 tillsynsbegäran.docx", "A 57803-2021")</f>
        <v/>
      </c>
      <c r="AB53">
        <f>HYPERLINK("https://klasma.github.io/Logging_1885/tillsynsmail/A 57803-2021 tillsynsbegäran mail.docx", "A 57803-2021")</f>
        <v/>
      </c>
      <c r="AC53">
        <f>HYPERLINK("https://klasma.github.io/Logging_1885/fåglar/A 57803-2021 prioriterade fågelarter.docx", "A 57803-2021")</f>
        <v/>
      </c>
    </row>
    <row r="54" ht="15" customHeight="1">
      <c r="A54" t="inlineStr">
        <is>
          <t>A 21986-2023</t>
        </is>
      </c>
      <c r="B54" t="inlineStr">
        <is>
          <t>avverkningsanmälan</t>
        </is>
      </c>
      <c r="C54" t="inlineStr">
        <is>
          <t>Föryngringsavverkning</t>
        </is>
      </c>
      <c r="D54" s="1" t="n">
        <v>45068</v>
      </c>
      <c r="E54" s="1" t="n">
        <v>46220</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s="2" t="inlineStr">
        <is>
          <t>Ask
Asknätfjäril
Väddnätfjäril</t>
        </is>
      </c>
      <c r="V54">
        <f>HYPERLINK("https://klasma.github.io/Logging_1885/artfynd/A 21986-2023 artfynd.xlsx", "A 21986-2023")</f>
        <v/>
      </c>
      <c r="W54">
        <f>HYPERLINK("https://klasma.github.io/Logging_1885/kartor/A 21986-2023 karta.png", "A 21986-2023")</f>
        <v/>
      </c>
      <c r="Y54">
        <f>HYPERLINK("https://klasma.github.io/Logging_1885/klagomål/A 21986-2023 FSC-klagomål.docx", "A 21986-2023")</f>
        <v/>
      </c>
      <c r="Z54">
        <f>HYPERLINK("https://klasma.github.io/Logging_1885/klagomålsmail/A 21986-2023 FSC-klagomål mail.docx", "A 21986-2023")</f>
        <v/>
      </c>
      <c r="AA54">
        <f>HYPERLINK("https://klasma.github.io/Logging_1885/tillsyn/A 21986-2023 tillsynsbegäran.docx", "A 21986-2023")</f>
        <v/>
      </c>
      <c r="AB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46220</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s="2" t="inlineStr">
        <is>
          <t>Dropptaggsvamp
Grantaggsvamp
Svartvit taggsvamp</t>
        </is>
      </c>
      <c r="V55">
        <f>HYPERLINK("https://klasma.github.io/Logging_1885/artfynd/A 50989-2023 artfynd.xlsx", "A 50989-2023")</f>
        <v/>
      </c>
      <c r="W55">
        <f>HYPERLINK("https://klasma.github.io/Logging_1885/kartor/A 50989-2023 karta.png", "A 50989-2023")</f>
        <v/>
      </c>
      <c r="Y55">
        <f>HYPERLINK("https://klasma.github.io/Logging_1885/klagomål/A 50989-2023 FSC-klagomål.docx", "A 50989-2023")</f>
        <v/>
      </c>
      <c r="Z55">
        <f>HYPERLINK("https://klasma.github.io/Logging_1885/klagomålsmail/A 50989-2023 FSC-klagomål mail.docx", "A 50989-2023")</f>
        <v/>
      </c>
      <c r="AA55">
        <f>HYPERLINK("https://klasma.github.io/Logging_1885/tillsyn/A 50989-2023 tillsynsbegäran.docx", "A 50989-2023")</f>
        <v/>
      </c>
      <c r="AB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46220</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s="2" t="inlineStr">
        <is>
          <t>Dropptaggsvamp
Gropticka
Plattlummer</t>
        </is>
      </c>
      <c r="V56">
        <f>HYPERLINK("https://klasma.github.io/Logging_1885/artfynd/A 57319-2025 artfynd.xlsx", "A 57319-2025")</f>
        <v/>
      </c>
      <c r="W56">
        <f>HYPERLINK("https://klasma.github.io/Logging_1885/kartor/A 57319-2025 karta.png", "A 57319-2025")</f>
        <v/>
      </c>
      <c r="Y56">
        <f>HYPERLINK("https://klasma.github.io/Logging_1885/klagomål/A 57319-2025 FSC-klagomål.docx", "A 57319-2025")</f>
        <v/>
      </c>
      <c r="Z56">
        <f>HYPERLINK("https://klasma.github.io/Logging_1885/klagomålsmail/A 57319-2025 FSC-klagomål mail.docx", "A 57319-2025")</f>
        <v/>
      </c>
      <c r="AA56">
        <f>HYPERLINK("https://klasma.github.io/Logging_1885/tillsyn/A 57319-2025 tillsynsbegäran.docx", "A 57319-2025")</f>
        <v/>
      </c>
      <c r="AB56">
        <f>HYPERLINK("https://klasma.github.io/Logging_1885/tillsynsmail/A 57319-2025 tillsynsbegäran mail.docx", "A 57319-2025")</f>
        <v/>
      </c>
    </row>
    <row r="57" ht="15" customHeight="1">
      <c r="A57" t="inlineStr">
        <is>
          <t>A 18180-2026</t>
        </is>
      </c>
      <c r="B57" t="inlineStr">
        <is>
          <t>avverkningsanmälan</t>
        </is>
      </c>
      <c r="C57" t="inlineStr">
        <is>
          <t>Föryngringsavverkning</t>
        </is>
      </c>
      <c r="D57" s="1" t="n">
        <v>46125</v>
      </c>
      <c r="E57" s="1" t="n">
        <v>46220</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s="2" t="inlineStr">
        <is>
          <t>Dropptaggsvamp
Svartvit taggsvamp
Talltaggsvamp</t>
        </is>
      </c>
      <c r="V57">
        <f>HYPERLINK("https://klasma.github.io/Logging_1885/artfynd/A 18180-2026 artfynd.xlsx", "A 18180-2026")</f>
        <v/>
      </c>
      <c r="W57">
        <f>HYPERLINK("https://klasma.github.io/Logging_1885/kartor/A 18180-2026 karta.png", "A 18180-2026")</f>
        <v/>
      </c>
      <c r="Y57">
        <f>HYPERLINK("https://klasma.github.io/Logging_1885/klagomål/A 18180-2026 FSC-klagomål.docx", "A 18180-2026")</f>
        <v/>
      </c>
      <c r="Z57">
        <f>HYPERLINK("https://klasma.github.io/Logging_1885/klagomålsmail/A 18180-2026 FSC-klagomål mail.docx", "A 18180-2026")</f>
        <v/>
      </c>
      <c r="AA57">
        <f>HYPERLINK("https://klasma.github.io/Logging_1885/tillsyn/A 18180-2026 tillsynsbegäran.docx", "A 18180-2026")</f>
        <v/>
      </c>
      <c r="AB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46220</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s="2" t="inlineStr">
        <is>
          <t>Tretåig hackspett
Bronshjon
Spillkråka</t>
        </is>
      </c>
      <c r="V58">
        <f>HYPERLINK("https://klasma.github.io/Logging_1885/artfynd/A 20364-2026 artfynd.xlsx", "A 20364-2026")</f>
        <v/>
      </c>
      <c r="W58">
        <f>HYPERLINK("https://klasma.github.io/Logging_1885/kartor/A 20364-2026 karta.png", "A 20364-2026")</f>
        <v/>
      </c>
      <c r="Y58">
        <f>HYPERLINK("https://klasma.github.io/Logging_1885/klagomål/A 20364-2026 FSC-klagomål.docx", "A 20364-2026")</f>
        <v/>
      </c>
      <c r="Z58">
        <f>HYPERLINK("https://klasma.github.io/Logging_1885/klagomålsmail/A 20364-2026 FSC-klagomål mail.docx", "A 20364-2026")</f>
        <v/>
      </c>
      <c r="AA58">
        <f>HYPERLINK("https://klasma.github.io/Logging_1885/tillsyn/A 20364-2026 tillsynsbegäran.docx", "A 20364-2026")</f>
        <v/>
      </c>
      <c r="AB58">
        <f>HYPERLINK("https://klasma.github.io/Logging_1885/tillsynsmail/A 20364-2026 tillsynsbegäran mail.docx", "A 20364-2026")</f>
        <v/>
      </c>
      <c r="AC58">
        <f>HYPERLINK("https://klasma.github.io/Logging_1885/fåglar/A 20364-2026 prioriterade fågelarter.docx", "A 20364-2026")</f>
        <v/>
      </c>
    </row>
    <row r="59" ht="15" customHeight="1">
      <c r="A59" t="inlineStr">
        <is>
          <t>A 27726-2026</t>
        </is>
      </c>
      <c r="B59" t="inlineStr">
        <is>
          <t>avverkningsanmälan</t>
        </is>
      </c>
      <c r="C59" t="inlineStr">
        <is>
          <t>Föryngringsavverkning</t>
        </is>
      </c>
      <c r="D59" s="1" t="n">
        <v>46191</v>
      </c>
      <c r="E59" s="1" t="n">
        <v>46220</v>
      </c>
      <c r="F59" t="inlineStr">
        <is>
          <t>ÖREBRO LÄN</t>
        </is>
      </c>
      <c r="G59" t="inlineStr">
        <is>
          <t>LINDESBERG</t>
        </is>
      </c>
      <c r="H59" t="inlineStr">
        <is>
          <t>Sveaskog</t>
        </is>
      </c>
      <c r="I59" t="n">
        <v>2.4</v>
      </c>
      <c r="J59" t="n">
        <v>2</v>
      </c>
      <c r="K59" t="n">
        <v>1</v>
      </c>
      <c r="L59" t="n">
        <v>0</v>
      </c>
      <c r="M59" t="n">
        <v>0</v>
      </c>
      <c r="N59" t="n">
        <v>0</v>
      </c>
      <c r="O59" t="n">
        <v>0</v>
      </c>
      <c r="P59" t="n">
        <v>0</v>
      </c>
      <c r="Q59" t="n">
        <v>0</v>
      </c>
      <c r="R59" t="n">
        <v>0</v>
      </c>
      <c r="S59" t="n">
        <v>3</v>
      </c>
      <c r="T59" t="n">
        <v>7</v>
      </c>
      <c r="U59" s="2" t="inlineStr">
        <is>
          <t>Vågbandad barkbock
Spillkråka
Tjäder</t>
        </is>
      </c>
      <c r="V59">
        <f>HYPERLINK("https://klasma.github.io/Logging_1885/artfynd/A 27726-2026 artfynd.xlsx", "A 27726-2026")</f>
        <v/>
      </c>
      <c r="W59">
        <f>HYPERLINK("https://klasma.github.io/Logging_1885/kartor/A 27726-2026 karta.png", "A 27726-2026")</f>
        <v/>
      </c>
      <c r="Y59">
        <f>HYPERLINK("https://klasma.github.io/Logging_1885/klagomål/A 27726-2026 FSC-klagomål.docx", "A 27726-2026")</f>
        <v/>
      </c>
      <c r="Z59">
        <f>HYPERLINK("https://klasma.github.io/Logging_1885/klagomålsmail/A 27726-2026 FSC-klagomål mail.docx", "A 27726-2026")</f>
        <v/>
      </c>
      <c r="AA59">
        <f>HYPERLINK("https://klasma.github.io/Logging_1885/tillsyn/A 27726-2026 tillsynsbegäran.docx", "A 27726-2026")</f>
        <v/>
      </c>
      <c r="AB59">
        <f>HYPERLINK("https://klasma.github.io/Logging_1885/tillsynsmail/A 27726-2026 tillsynsbegäran mail.docx", "A 27726-2026")</f>
        <v/>
      </c>
      <c r="AC59">
        <f>HYPERLINK("https://klasma.github.io/Logging_1885/fåglar/A 27726-2026 prioriterade fågelarter.docx", "A 27726-2026")</f>
        <v/>
      </c>
    </row>
    <row r="60" ht="15" customHeight="1">
      <c r="A60" t="inlineStr">
        <is>
          <t>A 21796-2026</t>
        </is>
      </c>
      <c r="B60" t="inlineStr">
        <is>
          <t>avverkningsanmälan</t>
        </is>
      </c>
      <c r="C60" t="inlineStr">
        <is>
          <t>Föryngringsavverkning</t>
        </is>
      </c>
      <c r="D60" s="1" t="n">
        <v>46150</v>
      </c>
      <c r="E60" s="1" t="n">
        <v>46220</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s="2" t="inlineStr">
        <is>
          <t>Tretåig hackspett
Tjäder
Fläcknycklar</t>
        </is>
      </c>
      <c r="V60">
        <f>HYPERLINK("https://klasma.github.io/Logging_1885/artfynd/A 21796-2026 artfynd.xlsx", "A 21796-2026")</f>
        <v/>
      </c>
      <c r="W60">
        <f>HYPERLINK("https://klasma.github.io/Logging_1885/kartor/A 21796-2026 karta.png", "A 21796-2026")</f>
        <v/>
      </c>
      <c r="Y60">
        <f>HYPERLINK("https://klasma.github.io/Logging_1885/klagomål/A 21796-2026 FSC-klagomål.docx", "A 21796-2026")</f>
        <v/>
      </c>
      <c r="Z60">
        <f>HYPERLINK("https://klasma.github.io/Logging_1885/klagomålsmail/A 21796-2026 FSC-klagomål mail.docx", "A 21796-2026")</f>
        <v/>
      </c>
      <c r="AA60">
        <f>HYPERLINK("https://klasma.github.io/Logging_1885/tillsyn/A 21796-2026 tillsynsbegäran.docx", "A 21796-2026")</f>
        <v/>
      </c>
      <c r="AB60">
        <f>HYPERLINK("https://klasma.github.io/Logging_1885/tillsynsmail/A 21796-2026 tillsynsbegäran mail.docx", "A 21796-2026")</f>
        <v/>
      </c>
      <c r="AC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46220</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s="2" t="inlineStr">
        <is>
          <t>Lunglav
Tretåig hackspett
Revlummer</t>
        </is>
      </c>
      <c r="V61">
        <f>HYPERLINK("https://klasma.github.io/Logging_1885/artfynd/A 25096-2026 artfynd.xlsx", "A 25096-2026")</f>
        <v/>
      </c>
      <c r="W61">
        <f>HYPERLINK("https://klasma.github.io/Logging_1885/kartor/A 25096-2026 karta.png", "A 25096-2026")</f>
        <v/>
      </c>
      <c r="Y61">
        <f>HYPERLINK("https://klasma.github.io/Logging_1885/klagomål/A 25096-2026 FSC-klagomål.docx", "A 25096-2026")</f>
        <v/>
      </c>
      <c r="Z61">
        <f>HYPERLINK("https://klasma.github.io/Logging_1885/klagomålsmail/A 25096-2026 FSC-klagomål mail.docx", "A 25096-2026")</f>
        <v/>
      </c>
      <c r="AA61">
        <f>HYPERLINK("https://klasma.github.io/Logging_1885/tillsyn/A 25096-2026 tillsynsbegäran.docx", "A 25096-2026")</f>
        <v/>
      </c>
      <c r="AB61">
        <f>HYPERLINK("https://klasma.github.io/Logging_1885/tillsynsmail/A 25096-2026 tillsynsbegäran mail.docx", "A 25096-2026")</f>
        <v/>
      </c>
      <c r="AC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46220</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s="2" t="inlineStr">
        <is>
          <t>Jungfrulin
Svinrot
Blåsippa</t>
        </is>
      </c>
      <c r="V62">
        <f>HYPERLINK("https://klasma.github.io/Logging_1885/artfynd/S 191-2026 artfynd.xlsx", "S 191-2026")</f>
        <v/>
      </c>
      <c r="W62">
        <f>HYPERLINK("https://klasma.github.io/Logging_1885/kartor/S 191-2026 karta.png", "S 191-2026")</f>
        <v/>
      </c>
      <c r="Y62">
        <f>HYPERLINK("https://klasma.github.io/Logging_1885/klagomål/S 191-2026 FSC-klagomål.docx", "S 191-2026")</f>
        <v/>
      </c>
      <c r="Z62">
        <f>HYPERLINK("https://klasma.github.io/Logging_1885/klagomålsmail/S 191-2026 FSC-klagomål mail.docx", "S 191-2026")</f>
        <v/>
      </c>
      <c r="AA62">
        <f>HYPERLINK("https://klasma.github.io/Logging_1885/tillsyn/S 191-2026 tillsynsbegäran.docx", "S 191-2026")</f>
        <v/>
      </c>
      <c r="AB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46220</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s="2" t="inlineStr">
        <is>
          <t>Knärot
Bågpraktmossa</t>
        </is>
      </c>
      <c r="V63">
        <f>HYPERLINK("https://klasma.github.io/Logging_1885/artfynd/A 43452-2021 artfynd.xlsx", "A 43452-2021")</f>
        <v/>
      </c>
      <c r="W63">
        <f>HYPERLINK("https://klasma.github.io/Logging_1885/kartor/A 43452-2021 karta.png", "A 43452-2021")</f>
        <v/>
      </c>
      <c r="X63">
        <f>HYPERLINK("https://klasma.github.io/Logging_1885/knärot/A 43452-2021 karta knärot.png", "A 43452-2021")</f>
        <v/>
      </c>
      <c r="Y63">
        <f>HYPERLINK("https://klasma.github.io/Logging_1885/klagomål/A 43452-2021 FSC-klagomål.docx", "A 43452-2021")</f>
        <v/>
      </c>
      <c r="Z63">
        <f>HYPERLINK("https://klasma.github.io/Logging_1885/klagomålsmail/A 43452-2021 FSC-klagomål mail.docx", "A 43452-2021")</f>
        <v/>
      </c>
      <c r="AA63">
        <f>HYPERLINK("https://klasma.github.io/Logging_1885/tillsyn/A 43452-2021 tillsynsbegäran.docx", "A 43452-2021")</f>
        <v/>
      </c>
      <c r="AB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46220</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s="2" t="inlineStr">
        <is>
          <t>Tjäder
Orre</t>
        </is>
      </c>
      <c r="V64">
        <f>HYPERLINK("https://klasma.github.io/Logging_1885/artfynd/A 42629-2025 artfynd.xlsx", "A 42629-2025")</f>
        <v/>
      </c>
      <c r="W64">
        <f>HYPERLINK("https://klasma.github.io/Logging_1885/kartor/A 42629-2025 karta.png", "A 42629-2025")</f>
        <v/>
      </c>
      <c r="Y64">
        <f>HYPERLINK("https://klasma.github.io/Logging_1885/klagomål/A 42629-2025 FSC-klagomål.docx", "A 42629-2025")</f>
        <v/>
      </c>
      <c r="Z64">
        <f>HYPERLINK("https://klasma.github.io/Logging_1885/klagomålsmail/A 42629-2025 FSC-klagomål mail.docx", "A 42629-2025")</f>
        <v/>
      </c>
      <c r="AA64">
        <f>HYPERLINK("https://klasma.github.io/Logging_1885/tillsyn/A 42629-2025 tillsynsbegäran.docx", "A 42629-2025")</f>
        <v/>
      </c>
      <c r="AB64">
        <f>HYPERLINK("https://klasma.github.io/Logging_1885/tillsynsmail/A 42629-2025 tillsynsbegäran mail.docx", "A 42629-2025")</f>
        <v/>
      </c>
      <c r="AC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46220</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s="2" t="inlineStr">
        <is>
          <t>Nordfladdermus
Vattenfladdermus</t>
        </is>
      </c>
      <c r="V65">
        <f>HYPERLINK("https://klasma.github.io/Logging_1885/artfynd/A 14190-2024 artfynd.xlsx", "A 14190-2024")</f>
        <v/>
      </c>
      <c r="W65">
        <f>HYPERLINK("https://klasma.github.io/Logging_1885/kartor/A 14190-2024 karta.png", "A 14190-2024")</f>
        <v/>
      </c>
      <c r="Y65">
        <f>HYPERLINK("https://klasma.github.io/Logging_1885/klagomål/A 14190-2024 FSC-klagomål.docx", "A 14190-2024")</f>
        <v/>
      </c>
      <c r="Z65">
        <f>HYPERLINK("https://klasma.github.io/Logging_1885/klagomålsmail/A 14190-2024 FSC-klagomål mail.docx", "A 14190-2024")</f>
        <v/>
      </c>
      <c r="AA65">
        <f>HYPERLINK("https://klasma.github.io/Logging_1885/tillsyn/A 14190-2024 tillsynsbegäran.docx", "A 14190-2024")</f>
        <v/>
      </c>
      <c r="AB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46220</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HYPERLINK("https://klasma.github.io/Logging_1885/artfynd/A 8175-2026 artfynd.xlsx", "A 8175-2026")</f>
        <v/>
      </c>
      <c r="W66">
        <f>HYPERLINK("https://klasma.github.io/Logging_1885/kartor/A 8175-2026 karta.png", "A 8175-2026")</f>
        <v/>
      </c>
      <c r="Y66">
        <f>HYPERLINK("https://klasma.github.io/Logging_1885/klagomål/A 8175-2026 FSC-klagomål.docx", "A 8175-2026")</f>
        <v/>
      </c>
      <c r="Z66">
        <f>HYPERLINK("https://klasma.github.io/Logging_1885/klagomålsmail/A 8175-2026 FSC-klagomål mail.docx", "A 8175-2026")</f>
        <v/>
      </c>
      <c r="AA66">
        <f>HYPERLINK("https://klasma.github.io/Logging_1885/tillsyn/A 8175-2026 tillsynsbegäran.docx", "A 8175-2026")</f>
        <v/>
      </c>
      <c r="AB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46220</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s="2" t="inlineStr">
        <is>
          <t>Garnlav
Spillkråka</t>
        </is>
      </c>
      <c r="V67">
        <f>HYPERLINK("https://klasma.github.io/Logging_1885/artfynd/A 16103-2026 artfynd.xlsx", "A 16103-2026")</f>
        <v/>
      </c>
      <c r="W67">
        <f>HYPERLINK("https://klasma.github.io/Logging_1885/kartor/A 16103-2026 karta.png", "A 16103-2026")</f>
        <v/>
      </c>
      <c r="Y67">
        <f>HYPERLINK("https://klasma.github.io/Logging_1885/klagomål/A 16103-2026 FSC-klagomål.docx", "A 16103-2026")</f>
        <v/>
      </c>
      <c r="Z67">
        <f>HYPERLINK("https://klasma.github.io/Logging_1885/klagomålsmail/A 16103-2026 FSC-klagomål mail.docx", "A 16103-2026")</f>
        <v/>
      </c>
      <c r="AA67">
        <f>HYPERLINK("https://klasma.github.io/Logging_1885/tillsyn/A 16103-2026 tillsynsbegäran.docx", "A 16103-2026")</f>
        <v/>
      </c>
      <c r="AB67">
        <f>HYPERLINK("https://klasma.github.io/Logging_1885/tillsynsmail/A 16103-2026 tillsynsbegäran mail.docx", "A 16103-2026")</f>
        <v/>
      </c>
      <c r="AC67">
        <f>HYPERLINK("https://klasma.github.io/Logging_1885/fåglar/A 16103-2026 prioriterade fågelarter.docx", "A 16103-2026")</f>
        <v/>
      </c>
    </row>
    <row r="68" ht="15" customHeight="1">
      <c r="A68" t="inlineStr">
        <is>
          <t>A 27728-2026</t>
        </is>
      </c>
      <c r="B68" t="inlineStr">
        <is>
          <t>avverkningsanmälan</t>
        </is>
      </c>
      <c r="C68" t="inlineStr">
        <is>
          <t>Föryngringsavverkning</t>
        </is>
      </c>
      <c r="D68" s="1" t="n">
        <v>46191</v>
      </c>
      <c r="E68" s="1" t="n">
        <v>46220</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s="2" t="inlineStr">
        <is>
          <t>Tjäder
Fläcknycklar</t>
        </is>
      </c>
      <c r="V68">
        <f>HYPERLINK("https://klasma.github.io/Logging_1885/artfynd/A 27728-2026 artfynd.xlsx", "A 27728-2026")</f>
        <v/>
      </c>
      <c r="W68">
        <f>HYPERLINK("https://klasma.github.io/Logging_1885/kartor/A 27728-2026 karta.png", "A 27728-2026")</f>
        <v/>
      </c>
      <c r="Y68">
        <f>HYPERLINK("https://klasma.github.io/Logging_1885/klagomål/A 27728-2026 FSC-klagomål.docx", "A 27728-2026")</f>
        <v/>
      </c>
      <c r="Z68">
        <f>HYPERLINK("https://klasma.github.io/Logging_1885/klagomålsmail/A 27728-2026 FSC-klagomål mail.docx", "A 27728-2026")</f>
        <v/>
      </c>
      <c r="AA68">
        <f>HYPERLINK("https://klasma.github.io/Logging_1885/tillsyn/A 27728-2026 tillsynsbegäran.docx", "A 27728-2026")</f>
        <v/>
      </c>
      <c r="AB68">
        <f>HYPERLINK("https://klasma.github.io/Logging_1885/tillsynsmail/A 27728-2026 tillsynsbegäran mail.docx", "A 27728-2026")</f>
        <v/>
      </c>
      <c r="AC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46220</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s="2" t="inlineStr">
        <is>
          <t>Älg
Tjäder</t>
        </is>
      </c>
      <c r="V69">
        <f>HYPERLINK("https://klasma.github.io/Logging_1885/artfynd/A 27731-2026 artfynd.xlsx", "A 27731-2026")</f>
        <v/>
      </c>
      <c r="W69">
        <f>HYPERLINK("https://klasma.github.io/Logging_1885/kartor/A 27731-2026 karta.png", "A 27731-2026")</f>
        <v/>
      </c>
      <c r="Y69">
        <f>HYPERLINK("https://klasma.github.io/Logging_1885/klagomål/A 27731-2026 FSC-klagomål.docx", "A 27731-2026")</f>
        <v/>
      </c>
      <c r="Z69">
        <f>HYPERLINK("https://klasma.github.io/Logging_1885/klagomålsmail/A 27731-2026 FSC-klagomål mail.docx", "A 27731-2026")</f>
        <v/>
      </c>
      <c r="AA69">
        <f>HYPERLINK("https://klasma.github.io/Logging_1885/tillsyn/A 27731-2026 tillsynsbegäran.docx", "A 27731-2026")</f>
        <v/>
      </c>
      <c r="AB69">
        <f>HYPERLINK("https://klasma.github.io/Logging_1885/tillsynsmail/A 27731-2026 tillsynsbegäran mail.docx", "A 27731-2026")</f>
        <v/>
      </c>
      <c r="AC69">
        <f>HYPERLINK("https://klasma.github.io/Logging_1885/fåglar/A 27731-2026 prioriterade fågelarter.docx", "A 27731-2026")</f>
        <v/>
      </c>
    </row>
    <row r="70" ht="15" customHeight="1">
      <c r="A70" t="inlineStr">
        <is>
          <t>A 27724-2026</t>
        </is>
      </c>
      <c r="B70" t="inlineStr">
        <is>
          <t>avverkningsanmälan</t>
        </is>
      </c>
      <c r="C70" t="inlineStr">
        <is>
          <t>Föryngringsavverkning</t>
        </is>
      </c>
      <c r="D70" s="1" t="n">
        <v>46191</v>
      </c>
      <c r="E70" s="1" t="n">
        <v>46220</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s="2" t="inlineStr">
        <is>
          <t>Björksplintborre
Tjäder</t>
        </is>
      </c>
      <c r="V70">
        <f>HYPERLINK("https://klasma.github.io/Logging_1885/artfynd/A 27724-2026 artfynd.xlsx", "A 27724-2026")</f>
        <v/>
      </c>
      <c r="W70">
        <f>HYPERLINK("https://klasma.github.io/Logging_1885/kartor/A 27724-2026 karta.png", "A 27724-2026")</f>
        <v/>
      </c>
      <c r="Y70">
        <f>HYPERLINK("https://klasma.github.io/Logging_1885/klagomål/A 27724-2026 FSC-klagomål.docx", "A 27724-2026")</f>
        <v/>
      </c>
      <c r="Z70">
        <f>HYPERLINK("https://klasma.github.io/Logging_1885/klagomålsmail/A 27724-2026 FSC-klagomål mail.docx", "A 27724-2026")</f>
        <v/>
      </c>
      <c r="AA70">
        <f>HYPERLINK("https://klasma.github.io/Logging_1885/tillsyn/A 27724-2026 tillsynsbegäran.docx", "A 27724-2026")</f>
        <v/>
      </c>
      <c r="AB70">
        <f>HYPERLINK("https://klasma.github.io/Logging_1885/tillsynsmail/A 27724-2026 tillsynsbegäran mail.docx", "A 27724-2026")</f>
        <v/>
      </c>
      <c r="AC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46220</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s="2" t="inlineStr">
        <is>
          <t>Dropptaggsvamp
Motaggsvamp</t>
        </is>
      </c>
      <c r="V71">
        <f>HYPERLINK("https://klasma.github.io/Logging_1885/artfynd/A 57795-2021 artfynd.xlsx", "A 57795-2021")</f>
        <v/>
      </c>
      <c r="W71">
        <f>HYPERLINK("https://klasma.github.io/Logging_1885/kartor/A 57795-2021 karta.png", "A 57795-2021")</f>
        <v/>
      </c>
      <c r="Y71">
        <f>HYPERLINK("https://klasma.github.io/Logging_1885/klagomål/A 57795-2021 FSC-klagomål.docx", "A 57795-2021")</f>
        <v/>
      </c>
      <c r="Z71">
        <f>HYPERLINK("https://klasma.github.io/Logging_1885/klagomålsmail/A 57795-2021 FSC-klagomål mail.docx", "A 57795-2021")</f>
        <v/>
      </c>
      <c r="AA71">
        <f>HYPERLINK("https://klasma.github.io/Logging_1885/tillsyn/A 57795-2021 tillsynsbegäran.docx", "A 57795-2021")</f>
        <v/>
      </c>
      <c r="AB71">
        <f>HYPERLINK("https://klasma.github.io/Logging_1885/tillsynsmail/A 57795-2021 tillsynsbegäran mail.docx", "A 57795-2021")</f>
        <v/>
      </c>
    </row>
    <row r="72" ht="15" customHeight="1">
      <c r="A72" t="inlineStr">
        <is>
          <t>A 24975-2026</t>
        </is>
      </c>
      <c r="B72" t="inlineStr">
        <is>
          <t>avverkningsanmälan</t>
        </is>
      </c>
      <c r="C72" t="inlineStr">
        <is>
          <t>Föryngringsavverkning</t>
        </is>
      </c>
      <c r="D72" s="1" t="n">
        <v>46174</v>
      </c>
      <c r="E72" s="1" t="n">
        <v>46220</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s="2" t="inlineStr">
        <is>
          <t>Mattlummer
Fläcknycklar</t>
        </is>
      </c>
      <c r="V72">
        <f>HYPERLINK("https://klasma.github.io/Logging_1885/artfynd/A 24975-2026 artfynd.xlsx", "A 24975-2026")</f>
        <v/>
      </c>
      <c r="W72">
        <f>HYPERLINK("https://klasma.github.io/Logging_1885/kartor/A 24975-2026 karta.png", "A 24975-2026")</f>
        <v/>
      </c>
      <c r="Y72">
        <f>HYPERLINK("https://klasma.github.io/Logging_1885/klagomål/A 24975-2026 FSC-klagomål.docx", "A 24975-2026")</f>
        <v/>
      </c>
      <c r="Z72">
        <f>HYPERLINK("https://klasma.github.io/Logging_1885/klagomålsmail/A 24975-2026 FSC-klagomål mail.docx", "A 24975-2026")</f>
        <v/>
      </c>
      <c r="AA72">
        <f>HYPERLINK("https://klasma.github.io/Logging_1885/tillsyn/A 24975-2026 tillsynsbegäran.docx", "A 24975-2026")</f>
        <v/>
      </c>
      <c r="AB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46220</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s="2" t="inlineStr">
        <is>
          <t>Ask
Kandelabersvamp</t>
        </is>
      </c>
      <c r="V73">
        <f>HYPERLINK("https://klasma.github.io/Logging_1885/artfynd/S 3695-2023 artfynd.xlsx", "S 3695-2023")</f>
        <v/>
      </c>
      <c r="W73">
        <f>HYPERLINK("https://klasma.github.io/Logging_1885/kartor/S 3695-2023 karta.png", "S 3695-2023")</f>
        <v/>
      </c>
      <c r="Y73">
        <f>HYPERLINK("https://klasma.github.io/Logging_1885/klagomål/S 3695-2023 FSC-klagomål.docx", "S 3695-2023")</f>
        <v/>
      </c>
      <c r="Z73">
        <f>HYPERLINK("https://klasma.github.io/Logging_1885/klagomålsmail/S 3695-2023 FSC-klagomål mail.docx", "S 3695-2023")</f>
        <v/>
      </c>
      <c r="AA73">
        <f>HYPERLINK("https://klasma.github.io/Logging_1885/tillsyn/S 3695-2023 tillsynsbegäran.docx", "S 3695-2023")</f>
        <v/>
      </c>
      <c r="AB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46220</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s="2" t="inlineStr">
        <is>
          <t>Bombmurkla</t>
        </is>
      </c>
      <c r="V74">
        <f>HYPERLINK("https://klasma.github.io/Logging_1885/artfynd/A 64874-2021 artfynd.xlsx", "A 64874-2021")</f>
        <v/>
      </c>
      <c r="W74">
        <f>HYPERLINK("https://klasma.github.io/Logging_1885/kartor/A 64874-2021 karta.png", "A 64874-2021")</f>
        <v/>
      </c>
      <c r="Y74">
        <f>HYPERLINK("https://klasma.github.io/Logging_1885/klagomål/A 64874-2021 FSC-klagomål.docx", "A 64874-2021")</f>
        <v/>
      </c>
      <c r="Z74">
        <f>HYPERLINK("https://klasma.github.io/Logging_1885/klagomålsmail/A 64874-2021 FSC-klagomål mail.docx", "A 64874-2021")</f>
        <v/>
      </c>
      <c r="AA74">
        <f>HYPERLINK("https://klasma.github.io/Logging_1885/tillsyn/A 64874-2021 tillsynsbegäran.docx", "A 64874-2021")</f>
        <v/>
      </c>
      <c r="AB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46220</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s="2" t="inlineStr">
        <is>
          <t>Utter</t>
        </is>
      </c>
      <c r="V75">
        <f>HYPERLINK("https://klasma.github.io/Logging_1885/artfynd/A 19562-2022 artfynd.xlsx", "A 19562-2022")</f>
        <v/>
      </c>
      <c r="W75">
        <f>HYPERLINK("https://klasma.github.io/Logging_1885/kartor/A 19562-2022 karta.png", "A 19562-2022")</f>
        <v/>
      </c>
      <c r="Y75">
        <f>HYPERLINK("https://klasma.github.io/Logging_1885/klagomål/A 19562-2022 FSC-klagomål.docx", "A 19562-2022")</f>
        <v/>
      </c>
      <c r="Z75">
        <f>HYPERLINK("https://klasma.github.io/Logging_1885/klagomålsmail/A 19562-2022 FSC-klagomål mail.docx", "A 19562-2022")</f>
        <v/>
      </c>
      <c r="AA75">
        <f>HYPERLINK("https://klasma.github.io/Logging_1885/tillsyn/A 19562-2022 tillsynsbegäran.docx", "A 19562-2022")</f>
        <v/>
      </c>
      <c r="AB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46220</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s="2" t="inlineStr">
        <is>
          <t>Ullticka</t>
        </is>
      </c>
      <c r="V76">
        <f>HYPERLINK("https://klasma.github.io/Logging_1885/artfynd/A 19057-2022 artfynd.xlsx", "A 19057-2022")</f>
        <v/>
      </c>
      <c r="W76">
        <f>HYPERLINK("https://klasma.github.io/Logging_1885/kartor/A 19057-2022 karta.png", "A 19057-2022")</f>
        <v/>
      </c>
      <c r="Y76">
        <f>HYPERLINK("https://klasma.github.io/Logging_1885/klagomål/A 19057-2022 FSC-klagomål.docx", "A 19057-2022")</f>
        <v/>
      </c>
      <c r="Z76">
        <f>HYPERLINK("https://klasma.github.io/Logging_1885/klagomålsmail/A 19057-2022 FSC-klagomål mail.docx", "A 19057-2022")</f>
        <v/>
      </c>
      <c r="AA76">
        <f>HYPERLINK("https://klasma.github.io/Logging_1885/tillsyn/A 19057-2022 tillsynsbegäran.docx", "A 19057-2022")</f>
        <v/>
      </c>
      <c r="AB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46220</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s="2" t="inlineStr">
        <is>
          <t>Fjällvråk</t>
        </is>
      </c>
      <c r="V77">
        <f>HYPERLINK("https://klasma.github.io/Logging_1885/artfynd/A 17563-2022 artfynd.xlsx", "A 17563-2022")</f>
        <v/>
      </c>
      <c r="W77">
        <f>HYPERLINK("https://klasma.github.io/Logging_1885/kartor/A 17563-2022 karta.png", "A 17563-2022")</f>
        <v/>
      </c>
      <c r="Y77">
        <f>HYPERLINK("https://klasma.github.io/Logging_1885/klagomål/A 17563-2022 FSC-klagomål.docx", "A 17563-2022")</f>
        <v/>
      </c>
      <c r="Z77">
        <f>HYPERLINK("https://klasma.github.io/Logging_1885/klagomålsmail/A 17563-2022 FSC-klagomål mail.docx", "A 17563-2022")</f>
        <v/>
      </c>
      <c r="AA77">
        <f>HYPERLINK("https://klasma.github.io/Logging_1885/tillsyn/A 17563-2022 tillsynsbegäran.docx", "A 17563-2022")</f>
        <v/>
      </c>
      <c r="AB77">
        <f>HYPERLINK("https://klasma.github.io/Logging_1885/tillsynsmail/A 17563-2022 tillsynsbegäran mail.docx", "A 17563-2022")</f>
        <v/>
      </c>
      <c r="AC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46220</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s="2" t="inlineStr">
        <is>
          <t>Fläcknycklar</t>
        </is>
      </c>
      <c r="V78">
        <f>HYPERLINK("https://klasma.github.io/Logging_1885/artfynd/A 31052-2025 artfynd.xlsx", "A 31052-2025")</f>
        <v/>
      </c>
      <c r="W78">
        <f>HYPERLINK("https://klasma.github.io/Logging_1885/kartor/A 31052-2025 karta.png", "A 31052-2025")</f>
        <v/>
      </c>
      <c r="Y78">
        <f>HYPERLINK("https://klasma.github.io/Logging_1885/klagomål/A 31052-2025 FSC-klagomål.docx", "A 31052-2025")</f>
        <v/>
      </c>
      <c r="Z78">
        <f>HYPERLINK("https://klasma.github.io/Logging_1885/klagomålsmail/A 31052-2025 FSC-klagomål mail.docx", "A 31052-2025")</f>
        <v/>
      </c>
      <c r="AA78">
        <f>HYPERLINK("https://klasma.github.io/Logging_1885/tillsyn/A 31052-2025 tillsynsbegäran.docx", "A 31052-2025")</f>
        <v/>
      </c>
      <c r="AB78">
        <f>HYPERLINK("https://klasma.github.io/Logging_1885/tillsynsmail/A 31052-2025 tillsynsbegäran mail.docx", "A 31052-2025")</f>
        <v/>
      </c>
    </row>
    <row r="79" ht="15" customHeight="1">
      <c r="A79" t="inlineStr">
        <is>
          <t>A 11953-2024</t>
        </is>
      </c>
      <c r="B79" t="inlineStr">
        <is>
          <t>avverkningsanmälan</t>
        </is>
      </c>
      <c r="C79" t="inlineStr">
        <is>
          <t>Föryngringsavverkning</t>
        </is>
      </c>
      <c r="D79" s="1" t="n">
        <v>45376</v>
      </c>
      <c r="E79" s="1" t="n">
        <v>46220</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s="2" t="inlineStr">
        <is>
          <t>Utter</t>
        </is>
      </c>
      <c r="V79">
        <f>HYPERLINK("https://klasma.github.io/Logging_1885/artfynd/A 11953-2024 artfynd.xlsx", "A 11953-2024")</f>
        <v/>
      </c>
      <c r="W79">
        <f>HYPERLINK("https://klasma.github.io/Logging_1885/kartor/A 11953-2024 karta.png", "A 11953-2024")</f>
        <v/>
      </c>
      <c r="Y79">
        <f>HYPERLINK("https://klasma.github.io/Logging_1885/klagomål/A 11953-2024 FSC-klagomål.docx", "A 11953-2024")</f>
        <v/>
      </c>
      <c r="Z79">
        <f>HYPERLINK("https://klasma.github.io/Logging_1885/klagomålsmail/A 11953-2024 FSC-klagomål mail.docx", "A 11953-2024")</f>
        <v/>
      </c>
      <c r="AA79">
        <f>HYPERLINK("https://klasma.github.io/Logging_1885/tillsyn/A 11953-2024 tillsynsbegäran.docx", "A 11953-2024")</f>
        <v/>
      </c>
      <c r="AB79">
        <f>HYPERLINK("https://klasma.github.io/Logging_1885/tillsynsmail/A 11953-2024 tillsynsbegäran mail.docx", "A 11953-2024")</f>
        <v/>
      </c>
    </row>
    <row r="80" ht="15" customHeight="1">
      <c r="A80" t="inlineStr">
        <is>
          <t>A 3729-2023</t>
        </is>
      </c>
      <c r="B80" t="inlineStr">
        <is>
          <t>avverkningsanmälan</t>
        </is>
      </c>
      <c r="C80" t="inlineStr">
        <is>
          <t>Föryngringsavverkning</t>
        </is>
      </c>
      <c r="D80" s="1" t="n">
        <v>44949</v>
      </c>
      <c r="E80" s="1" t="n">
        <v>46220</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s="2" t="inlineStr">
        <is>
          <t>Motaggsvamp</t>
        </is>
      </c>
      <c r="V80">
        <f>HYPERLINK("https://klasma.github.io/Logging_1885/artfynd/A 3729-2023 artfynd.xlsx", "A 3729-2023")</f>
        <v/>
      </c>
      <c r="W80">
        <f>HYPERLINK("https://klasma.github.io/Logging_1885/kartor/A 3729-2023 karta.png", "A 3729-2023")</f>
        <v/>
      </c>
      <c r="Y80">
        <f>HYPERLINK("https://klasma.github.io/Logging_1885/klagomål/A 3729-2023 FSC-klagomål.docx", "A 3729-2023")</f>
        <v/>
      </c>
      <c r="Z80">
        <f>HYPERLINK("https://klasma.github.io/Logging_1885/klagomålsmail/A 3729-2023 FSC-klagomål mail.docx", "A 3729-2023")</f>
        <v/>
      </c>
      <c r="AA80">
        <f>HYPERLINK("https://klasma.github.io/Logging_1885/tillsyn/A 3729-2023 tillsynsbegäran.docx", "A 3729-2023")</f>
        <v/>
      </c>
      <c r="AB80">
        <f>HYPERLINK("https://klasma.github.io/Logging_1885/tillsynsmail/A 3729-2023 tillsynsbegäran mail.docx", "A 3729-2023")</f>
        <v/>
      </c>
    </row>
    <row r="81" ht="15" customHeight="1">
      <c r="A81" t="inlineStr">
        <is>
          <t>A 45467-2025</t>
        </is>
      </c>
      <c r="B81" t="inlineStr">
        <is>
          <t>avverkningsanmälan</t>
        </is>
      </c>
      <c r="C81" t="inlineStr">
        <is>
          <t>Föryngringsavverkning</t>
        </is>
      </c>
      <c r="D81" s="1" t="n">
        <v>45922</v>
      </c>
      <c r="E81" s="1" t="n">
        <v>46220</v>
      </c>
      <c r="F81" t="inlineStr">
        <is>
          <t>ÖREBRO LÄN</t>
        </is>
      </c>
      <c r="G81" t="inlineStr">
        <is>
          <t>LINDESBERG</t>
        </is>
      </c>
      <c r="H81" t="inlineStr">
        <is>
          <t>Sveaskog</t>
        </is>
      </c>
      <c r="I81" t="n">
        <v>2</v>
      </c>
      <c r="J81" t="n">
        <v>0</v>
      </c>
      <c r="K81" t="n">
        <v>0</v>
      </c>
      <c r="L81" t="n">
        <v>1</v>
      </c>
      <c r="M81" t="n">
        <v>0</v>
      </c>
      <c r="N81" t="n">
        <v>0</v>
      </c>
      <c r="O81" t="n">
        <v>0</v>
      </c>
      <c r="P81" t="n">
        <v>0</v>
      </c>
      <c r="Q81" t="n">
        <v>1</v>
      </c>
      <c r="R81" t="n">
        <v>0</v>
      </c>
      <c r="S81" t="n">
        <v>1</v>
      </c>
      <c r="T81" t="n">
        <v>1</v>
      </c>
      <c r="U81" s="2" t="inlineStr">
        <is>
          <t>Svartvit taggsvamp</t>
        </is>
      </c>
      <c r="V81">
        <f>HYPERLINK("https://klasma.github.io/Logging_1885/artfynd/A 45467-2025 artfynd.xlsx", "A 45467-2025")</f>
        <v/>
      </c>
      <c r="W81">
        <f>HYPERLINK("https://klasma.github.io/Logging_1885/kartor/A 45467-2025 karta.png", "A 45467-2025")</f>
        <v/>
      </c>
      <c r="Y81">
        <f>HYPERLINK("https://klasma.github.io/Logging_1885/klagomål/A 45467-2025 FSC-klagomål.docx", "A 45467-2025")</f>
        <v/>
      </c>
      <c r="Z81">
        <f>HYPERLINK("https://klasma.github.io/Logging_1885/klagomålsmail/A 45467-2025 FSC-klagomål mail.docx", "A 45467-2025")</f>
        <v/>
      </c>
      <c r="AA81">
        <f>HYPERLINK("https://klasma.github.io/Logging_1885/tillsyn/A 45467-2025 tillsynsbegäran.docx", "A 45467-2025")</f>
        <v/>
      </c>
      <c r="AB81">
        <f>HYPERLINK("https://klasma.github.io/Logging_1885/tillsynsmail/A 45467-2025 tillsynsbegäran mail.docx", "A 45467-2025")</f>
        <v/>
      </c>
    </row>
    <row r="82" ht="15" customHeight="1">
      <c r="A82" t="inlineStr">
        <is>
          <t>A 36669-2024</t>
        </is>
      </c>
      <c r="B82" t="inlineStr">
        <is>
          <t>avverkningsanmälan</t>
        </is>
      </c>
      <c r="C82" t="inlineStr">
        <is>
          <t>Föryngringsavverkning</t>
        </is>
      </c>
      <c r="D82" s="1" t="n">
        <v>45537</v>
      </c>
      <c r="E82" s="1" t="n">
        <v>46220</v>
      </c>
      <c r="F82" t="inlineStr">
        <is>
          <t>ÖREBRO LÄN</t>
        </is>
      </c>
      <c r="G82" t="inlineStr">
        <is>
          <t>LINDESBERG</t>
        </is>
      </c>
      <c r="H82" t="inlineStr">
        <is>
          <t>Sveaskog</t>
        </is>
      </c>
      <c r="I82" t="n">
        <v>2</v>
      </c>
      <c r="J82" t="n">
        <v>0</v>
      </c>
      <c r="K82" t="n">
        <v>0</v>
      </c>
      <c r="L82" t="n">
        <v>0</v>
      </c>
      <c r="M82" t="n">
        <v>1</v>
      </c>
      <c r="N82" t="n">
        <v>0</v>
      </c>
      <c r="O82" t="n">
        <v>0</v>
      </c>
      <c r="P82" t="n">
        <v>0</v>
      </c>
      <c r="Q82" t="n">
        <v>1</v>
      </c>
      <c r="R82" t="n">
        <v>1</v>
      </c>
      <c r="S82" t="n">
        <v>1</v>
      </c>
      <c r="T82" t="n">
        <v>1</v>
      </c>
      <c r="U82" s="2" t="inlineStr">
        <is>
          <t>Garnlav</t>
        </is>
      </c>
      <c r="V82">
        <f>HYPERLINK("https://klasma.github.io/Logging_1885/artfynd/A 36669-2024 artfynd.xlsx", "A 36669-2024")</f>
        <v/>
      </c>
      <c r="W82">
        <f>HYPERLINK("https://klasma.github.io/Logging_1885/kartor/A 36669-2024 karta.png", "A 36669-2024")</f>
        <v/>
      </c>
      <c r="Y82">
        <f>HYPERLINK("https://klasma.github.io/Logging_1885/klagomål/A 36669-2024 FSC-klagomål.docx", "A 36669-2024")</f>
        <v/>
      </c>
      <c r="Z82">
        <f>HYPERLINK("https://klasma.github.io/Logging_1885/klagomålsmail/A 36669-2024 FSC-klagomål mail.docx", "A 36669-2024")</f>
        <v/>
      </c>
      <c r="AA82">
        <f>HYPERLINK("https://klasma.github.io/Logging_1885/tillsyn/A 36669-2024 tillsynsbegäran.docx", "A 36669-2024")</f>
        <v/>
      </c>
      <c r="AB82">
        <f>HYPERLINK("https://klasma.github.io/Logging_1885/tillsynsmail/A 36669-2024 tillsynsbegäran mail.docx", "A 36669-2024")</f>
        <v/>
      </c>
    </row>
    <row r="83" ht="15" customHeight="1">
      <c r="A83" t="inlineStr">
        <is>
          <t>A 48956-2025</t>
        </is>
      </c>
      <c r="B83" t="inlineStr">
        <is>
          <t>avverkningsanmälan</t>
        </is>
      </c>
      <c r="C83" t="inlineStr">
        <is>
          <t>Föryngringsavverkning</t>
        </is>
      </c>
      <c r="D83" s="1" t="n">
        <v>45937</v>
      </c>
      <c r="E83" s="1" t="n">
        <v>46220</v>
      </c>
      <c r="F83" t="inlineStr">
        <is>
          <t>ÖREBRO LÄN</t>
        </is>
      </c>
      <c r="G83" t="inlineStr">
        <is>
          <t>LINDESBERG</t>
        </is>
      </c>
      <c r="H83" t="inlineStr">
        <is>
          <t>Sveaskog</t>
        </is>
      </c>
      <c r="I83" t="n">
        <v>2.7</v>
      </c>
      <c r="J83" t="n">
        <v>1</v>
      </c>
      <c r="K83" t="n">
        <v>0</v>
      </c>
      <c r="L83" t="n">
        <v>0</v>
      </c>
      <c r="M83" t="n">
        <v>0</v>
      </c>
      <c r="N83" t="n">
        <v>0</v>
      </c>
      <c r="O83" t="n">
        <v>0</v>
      </c>
      <c r="P83" t="n">
        <v>0</v>
      </c>
      <c r="Q83" t="n">
        <v>0</v>
      </c>
      <c r="R83" t="n">
        <v>0</v>
      </c>
      <c r="S83" t="n">
        <v>1</v>
      </c>
      <c r="T83" t="n">
        <v>1</v>
      </c>
      <c r="U83" s="2" t="inlineStr">
        <is>
          <t>Mattlummer</t>
        </is>
      </c>
      <c r="V83">
        <f>HYPERLINK("https://klasma.github.io/Logging_1885/artfynd/A 48956-2025 artfynd.xlsx", "A 48956-2025")</f>
        <v/>
      </c>
      <c r="W83">
        <f>HYPERLINK("https://klasma.github.io/Logging_1885/kartor/A 48956-2025 karta.png", "A 48956-2025")</f>
        <v/>
      </c>
      <c r="Y83">
        <f>HYPERLINK("https://klasma.github.io/Logging_1885/klagomål/A 48956-2025 FSC-klagomål.docx", "A 48956-2025")</f>
        <v/>
      </c>
      <c r="Z83">
        <f>HYPERLINK("https://klasma.github.io/Logging_1885/klagomålsmail/A 48956-2025 FSC-klagomål mail.docx", "A 48956-2025")</f>
        <v/>
      </c>
      <c r="AA83">
        <f>HYPERLINK("https://klasma.github.io/Logging_1885/tillsyn/A 48956-2025 tillsynsbegäran.docx", "A 48956-2025")</f>
        <v/>
      </c>
      <c r="AB83">
        <f>HYPERLINK("https://klasma.github.io/Logging_1885/tillsynsmail/A 48956-2025 tillsynsbegäran mail.docx", "A 48956-2025")</f>
        <v/>
      </c>
    </row>
    <row r="84" ht="15" customHeight="1">
      <c r="A84" t="inlineStr">
        <is>
          <t>A 50086-2025</t>
        </is>
      </c>
      <c r="B84" t="inlineStr">
        <is>
          <t>avverkningsanmälan</t>
        </is>
      </c>
      <c r="C84" t="inlineStr">
        <is>
          <t>Föryngringsavverkning</t>
        </is>
      </c>
      <c r="D84" s="1" t="n">
        <v>45943</v>
      </c>
      <c r="E84" s="1" t="n">
        <v>46220</v>
      </c>
      <c r="F84" t="inlineStr">
        <is>
          <t>ÖREBRO LÄN</t>
        </is>
      </c>
      <c r="G84" t="inlineStr">
        <is>
          <t>LINDESBERG</t>
        </is>
      </c>
      <c r="H84" t="inlineStr">
        <is>
          <t>Sveaskog</t>
        </is>
      </c>
      <c r="I84" t="n">
        <v>3.6</v>
      </c>
      <c r="J84" t="n">
        <v>1</v>
      </c>
      <c r="K84" t="n">
        <v>0</v>
      </c>
      <c r="L84" t="n">
        <v>0</v>
      </c>
      <c r="M84" t="n">
        <v>0</v>
      </c>
      <c r="N84" t="n">
        <v>0</v>
      </c>
      <c r="O84" t="n">
        <v>0</v>
      </c>
      <c r="P84" t="n">
        <v>0</v>
      </c>
      <c r="Q84" t="n">
        <v>0</v>
      </c>
      <c r="R84" t="n">
        <v>0</v>
      </c>
      <c r="S84" t="n">
        <v>1</v>
      </c>
      <c r="T84" t="n">
        <v>1</v>
      </c>
      <c r="U84" s="2" t="inlineStr">
        <is>
          <t>Dubbelnycklar</t>
        </is>
      </c>
      <c r="V84">
        <f>HYPERLINK("https://klasma.github.io/Logging_1885/artfynd/A 50086-2025 artfynd.xlsx", "A 50086-2025")</f>
        <v/>
      </c>
      <c r="W84">
        <f>HYPERLINK("https://klasma.github.io/Logging_1885/kartor/A 50086-2025 karta.png", "A 50086-2025")</f>
        <v/>
      </c>
      <c r="Y84">
        <f>HYPERLINK("https://klasma.github.io/Logging_1885/klagomål/A 50086-2025 FSC-klagomål.docx", "A 50086-2025")</f>
        <v/>
      </c>
      <c r="Z84">
        <f>HYPERLINK("https://klasma.github.io/Logging_1885/klagomålsmail/A 50086-2025 FSC-klagomål mail.docx", "A 50086-2025")</f>
        <v/>
      </c>
      <c r="AA84">
        <f>HYPERLINK("https://klasma.github.io/Logging_1885/tillsyn/A 50086-2025 tillsynsbegäran.docx", "A 50086-2025")</f>
        <v/>
      </c>
      <c r="AB84">
        <f>HYPERLINK("https://klasma.github.io/Logging_1885/tillsynsmail/A 50086-2025 tillsynsbegäran mail.docx", "A 50086-2025")</f>
        <v/>
      </c>
    </row>
    <row r="85" ht="15" customHeight="1">
      <c r="A85" t="inlineStr">
        <is>
          <t>A 50777-2025</t>
        </is>
      </c>
      <c r="B85" t="inlineStr">
        <is>
          <t>avverkningsanmälan</t>
        </is>
      </c>
      <c r="C85" t="inlineStr">
        <is>
          <t>Föryngringsavverkning</t>
        </is>
      </c>
      <c r="D85" s="1" t="n">
        <v>45946</v>
      </c>
      <c r="E85" s="1" t="n">
        <v>46220</v>
      </c>
      <c r="F85" t="inlineStr">
        <is>
          <t>ÖREBRO LÄN</t>
        </is>
      </c>
      <c r="G85" t="inlineStr">
        <is>
          <t>LINDESBERG</t>
        </is>
      </c>
      <c r="H85" t="inlineStr">
        <is>
          <t>Sveaskog</t>
        </is>
      </c>
      <c r="I85" t="n">
        <v>5.3</v>
      </c>
      <c r="J85" t="n">
        <v>0</v>
      </c>
      <c r="K85" t="n">
        <v>1</v>
      </c>
      <c r="L85" t="n">
        <v>0</v>
      </c>
      <c r="M85" t="n">
        <v>0</v>
      </c>
      <c r="N85" t="n">
        <v>0</v>
      </c>
      <c r="O85" t="n">
        <v>0</v>
      </c>
      <c r="P85" t="n">
        <v>0</v>
      </c>
      <c r="Q85" t="n">
        <v>0</v>
      </c>
      <c r="R85" t="n">
        <v>0</v>
      </c>
      <c r="S85" t="n">
        <v>1</v>
      </c>
      <c r="T85" t="n">
        <v>1</v>
      </c>
      <c r="U85" s="2" t="inlineStr">
        <is>
          <t>Zontaggsvamp</t>
        </is>
      </c>
      <c r="V85">
        <f>HYPERLINK("https://klasma.github.io/Logging_1885/artfynd/A 50777-2025 artfynd.xlsx", "A 50777-2025")</f>
        <v/>
      </c>
      <c r="W85">
        <f>HYPERLINK("https://klasma.github.io/Logging_1885/kartor/A 50777-2025 karta.png", "A 50777-2025")</f>
        <v/>
      </c>
      <c r="Y85">
        <f>HYPERLINK("https://klasma.github.io/Logging_1885/klagomål/A 50777-2025 FSC-klagomål.docx", "A 50777-2025")</f>
        <v/>
      </c>
      <c r="Z85">
        <f>HYPERLINK("https://klasma.github.io/Logging_1885/klagomålsmail/A 50777-2025 FSC-klagomål mail.docx", "A 50777-2025")</f>
        <v/>
      </c>
      <c r="AA85">
        <f>HYPERLINK("https://klasma.github.io/Logging_1885/tillsyn/A 50777-2025 tillsynsbegäran.docx", "A 50777-2025")</f>
        <v/>
      </c>
      <c r="AB85">
        <f>HYPERLINK("https://klasma.github.io/Logging_1885/tillsynsmail/A 50777-2025 tillsynsbegäran mail.docx", "A 50777-2025")</f>
        <v/>
      </c>
    </row>
    <row r="86" ht="15" customHeight="1">
      <c r="A86" t="inlineStr">
        <is>
          <t>A 50766-2025</t>
        </is>
      </c>
      <c r="B86" t="inlineStr">
        <is>
          <t>avverkningsanmälan</t>
        </is>
      </c>
      <c r="C86" t="inlineStr">
        <is>
          <t>Föryngringsavverkning</t>
        </is>
      </c>
      <c r="D86" s="1" t="n">
        <v>45946</v>
      </c>
      <c r="E86" s="1" t="n">
        <v>46220</v>
      </c>
      <c r="F86" t="inlineStr">
        <is>
          <t>ÖREBRO LÄN</t>
        </is>
      </c>
      <c r="G86" t="inlineStr">
        <is>
          <t>LINDESBERG</t>
        </is>
      </c>
      <c r="H86" t="inlineStr">
        <is>
          <t>Sveaskog</t>
        </is>
      </c>
      <c r="I86" t="n">
        <v>2.4</v>
      </c>
      <c r="J86" t="n">
        <v>0</v>
      </c>
      <c r="K86" t="n">
        <v>0</v>
      </c>
      <c r="L86" t="n">
        <v>0</v>
      </c>
      <c r="M86" t="n">
        <v>1</v>
      </c>
      <c r="N86" t="n">
        <v>0</v>
      </c>
      <c r="O86" t="n">
        <v>0</v>
      </c>
      <c r="P86" t="n">
        <v>0</v>
      </c>
      <c r="Q86" t="n">
        <v>1</v>
      </c>
      <c r="R86" t="n">
        <v>1</v>
      </c>
      <c r="S86" t="n">
        <v>1</v>
      </c>
      <c r="T86" t="n">
        <v>1</v>
      </c>
      <c r="U86" s="2" t="inlineStr">
        <is>
          <t>Rotfingersvamp</t>
        </is>
      </c>
      <c r="V86">
        <f>HYPERLINK("https://klasma.github.io/Logging_1885/artfynd/A 50766-2025 artfynd.xlsx", "A 50766-2025")</f>
        <v/>
      </c>
      <c r="W86">
        <f>HYPERLINK("https://klasma.github.io/Logging_1885/kartor/A 50766-2025 karta.png", "A 50766-2025")</f>
        <v/>
      </c>
      <c r="Y86">
        <f>HYPERLINK("https://klasma.github.io/Logging_1885/klagomål/A 50766-2025 FSC-klagomål.docx", "A 50766-2025")</f>
        <v/>
      </c>
      <c r="Z86">
        <f>HYPERLINK("https://klasma.github.io/Logging_1885/klagomålsmail/A 50766-2025 FSC-klagomål mail.docx", "A 50766-2025")</f>
        <v/>
      </c>
      <c r="AA86">
        <f>HYPERLINK("https://klasma.github.io/Logging_1885/tillsyn/A 50766-2025 tillsynsbegäran.docx", "A 50766-2025")</f>
        <v/>
      </c>
      <c r="AB86">
        <f>HYPERLINK("https://klasma.github.io/Logging_1885/tillsynsmail/A 50766-2025 tillsynsbegäran mail.docx", "A 50766-2025")</f>
        <v/>
      </c>
    </row>
    <row r="87" ht="15" customHeight="1">
      <c r="A87" t="inlineStr">
        <is>
          <t>A 64513-2023</t>
        </is>
      </c>
      <c r="B87" t="inlineStr">
        <is>
          <t>avverkningsanmälan</t>
        </is>
      </c>
      <c r="C87" t="inlineStr">
        <is>
          <t>Föryngringsavverkning</t>
        </is>
      </c>
      <c r="D87" s="1" t="n">
        <v>45281</v>
      </c>
      <c r="E87" s="1" t="n">
        <v>46220</v>
      </c>
      <c r="F87" t="inlineStr">
        <is>
          <t>ÖREBRO LÄN</t>
        </is>
      </c>
      <c r="G87" t="inlineStr">
        <is>
          <t>LINDESBERG</t>
        </is>
      </c>
      <c r="I87" t="n">
        <v>4.7</v>
      </c>
      <c r="J87" t="n">
        <v>0</v>
      </c>
      <c r="K87" t="n">
        <v>1</v>
      </c>
      <c r="L87" t="n">
        <v>0</v>
      </c>
      <c r="M87" t="n">
        <v>0</v>
      </c>
      <c r="N87" t="n">
        <v>0</v>
      </c>
      <c r="O87" t="n">
        <v>0</v>
      </c>
      <c r="P87" t="n">
        <v>0</v>
      </c>
      <c r="Q87" t="n">
        <v>0</v>
      </c>
      <c r="R87" t="n">
        <v>0</v>
      </c>
      <c r="S87" t="n">
        <v>1</v>
      </c>
      <c r="T87" t="n">
        <v>1</v>
      </c>
      <c r="U87" s="2" t="inlineStr">
        <is>
          <t>Västlig hakmossa</t>
        </is>
      </c>
      <c r="V87">
        <f>HYPERLINK("https://klasma.github.io/Logging_1885/artfynd/A 64513-2023 artfynd.xlsx", "A 64513-2023")</f>
        <v/>
      </c>
      <c r="W87">
        <f>HYPERLINK("https://klasma.github.io/Logging_1885/kartor/A 64513-2023 karta.png", "A 64513-2023")</f>
        <v/>
      </c>
      <c r="Y87">
        <f>HYPERLINK("https://klasma.github.io/Logging_1885/klagomål/A 64513-2023 FSC-klagomål.docx", "A 64513-2023")</f>
        <v/>
      </c>
      <c r="Z87">
        <f>HYPERLINK("https://klasma.github.io/Logging_1885/klagomålsmail/A 64513-2023 FSC-klagomål mail.docx", "A 64513-2023")</f>
        <v/>
      </c>
      <c r="AA87">
        <f>HYPERLINK("https://klasma.github.io/Logging_1885/tillsyn/A 64513-2023 tillsynsbegäran.docx", "A 64513-2023")</f>
        <v/>
      </c>
      <c r="AB87">
        <f>HYPERLINK("https://klasma.github.io/Logging_1885/tillsynsmail/A 64513-2023 tillsynsbegäran mail.docx", "A 64513-2023")</f>
        <v/>
      </c>
    </row>
    <row r="88" ht="15" customHeight="1">
      <c r="A88" t="inlineStr">
        <is>
          <t>A 50765-2025</t>
        </is>
      </c>
      <c r="B88" t="inlineStr">
        <is>
          <t>avverkningsanmälan</t>
        </is>
      </c>
      <c r="C88" t="inlineStr">
        <is>
          <t>Föryngringsavverkning</t>
        </is>
      </c>
      <c r="D88" s="1" t="n">
        <v>45946</v>
      </c>
      <c r="E88" s="1" t="n">
        <v>46220</v>
      </c>
      <c r="F88" t="inlineStr">
        <is>
          <t>ÖREBRO LÄN</t>
        </is>
      </c>
      <c r="G88" t="inlineStr">
        <is>
          <t>LINDESBERG</t>
        </is>
      </c>
      <c r="H88" t="inlineStr">
        <is>
          <t>Sveaskog</t>
        </is>
      </c>
      <c r="I88" t="n">
        <v>9.300000000000001</v>
      </c>
      <c r="J88" t="n">
        <v>0</v>
      </c>
      <c r="K88" t="n">
        <v>0</v>
      </c>
      <c r="L88" t="n">
        <v>0</v>
      </c>
      <c r="M88" t="n">
        <v>1</v>
      </c>
      <c r="N88" t="n">
        <v>0</v>
      </c>
      <c r="O88" t="n">
        <v>0</v>
      </c>
      <c r="P88" t="n">
        <v>0</v>
      </c>
      <c r="Q88" t="n">
        <v>1</v>
      </c>
      <c r="R88" t="n">
        <v>1</v>
      </c>
      <c r="S88" t="n">
        <v>1</v>
      </c>
      <c r="T88" t="n">
        <v>1</v>
      </c>
      <c r="U88" s="2" t="inlineStr">
        <is>
          <t>Rotfingersvamp</t>
        </is>
      </c>
      <c r="V88">
        <f>HYPERLINK("https://klasma.github.io/Logging_1885/artfynd/A 50765-2025 artfynd.xlsx", "A 50765-2025")</f>
        <v/>
      </c>
      <c r="W88">
        <f>HYPERLINK("https://klasma.github.io/Logging_1885/kartor/A 50765-2025 karta.png", "A 50765-2025")</f>
        <v/>
      </c>
      <c r="Y88">
        <f>HYPERLINK("https://klasma.github.io/Logging_1885/klagomål/A 50765-2025 FSC-klagomål.docx", "A 50765-2025")</f>
        <v/>
      </c>
      <c r="Z88">
        <f>HYPERLINK("https://klasma.github.io/Logging_1885/klagomålsmail/A 50765-2025 FSC-klagomål mail.docx", "A 50765-2025")</f>
        <v/>
      </c>
      <c r="AA88">
        <f>HYPERLINK("https://klasma.github.io/Logging_1885/tillsyn/A 50765-2025 tillsynsbegäran.docx", "A 50765-2025")</f>
        <v/>
      </c>
      <c r="AB88">
        <f>HYPERLINK("https://klasma.github.io/Logging_1885/tillsynsmail/A 50765-2025 tillsynsbegäran mail.docx", "A 50765-2025")</f>
        <v/>
      </c>
    </row>
    <row r="89" ht="15" customHeight="1">
      <c r="A89" t="inlineStr">
        <is>
          <t>A 50768-2025</t>
        </is>
      </c>
      <c r="B89" t="inlineStr">
        <is>
          <t>avverkningsanmälan</t>
        </is>
      </c>
      <c r="C89" t="inlineStr">
        <is>
          <t>Föryngringsavverkning</t>
        </is>
      </c>
      <c r="D89" s="1" t="n">
        <v>45946</v>
      </c>
      <c r="E89" s="1" t="n">
        <v>46220</v>
      </c>
      <c r="F89" t="inlineStr">
        <is>
          <t>ÖREBRO LÄN</t>
        </is>
      </c>
      <c r="G89" t="inlineStr">
        <is>
          <t>LINDESBERG</t>
        </is>
      </c>
      <c r="H89" t="inlineStr">
        <is>
          <t>Sveaskog</t>
        </is>
      </c>
      <c r="I89" t="n">
        <v>3.1</v>
      </c>
      <c r="J89" t="n">
        <v>1</v>
      </c>
      <c r="K89" t="n">
        <v>1</v>
      </c>
      <c r="L89" t="n">
        <v>0</v>
      </c>
      <c r="M89" t="n">
        <v>0</v>
      </c>
      <c r="N89" t="n">
        <v>0</v>
      </c>
      <c r="O89" t="n">
        <v>0</v>
      </c>
      <c r="P89" t="n">
        <v>0</v>
      </c>
      <c r="Q89" t="n">
        <v>0</v>
      </c>
      <c r="R89" t="n">
        <v>0</v>
      </c>
      <c r="S89" t="n">
        <v>1</v>
      </c>
      <c r="T89" t="n">
        <v>1</v>
      </c>
      <c r="U89" s="2" t="inlineStr">
        <is>
          <t>Plattlummer</t>
        </is>
      </c>
      <c r="V89">
        <f>HYPERLINK("https://klasma.github.io/Logging_1885/artfynd/A 50768-2025 artfynd.xlsx", "A 50768-2025")</f>
        <v/>
      </c>
      <c r="W89">
        <f>HYPERLINK("https://klasma.github.io/Logging_1885/kartor/A 50768-2025 karta.png", "A 50768-2025")</f>
        <v/>
      </c>
      <c r="Y89">
        <f>HYPERLINK("https://klasma.github.io/Logging_1885/klagomål/A 50768-2025 FSC-klagomål.docx", "A 50768-2025")</f>
        <v/>
      </c>
      <c r="Z89">
        <f>HYPERLINK("https://klasma.github.io/Logging_1885/klagomålsmail/A 50768-2025 FSC-klagomål mail.docx", "A 50768-2025")</f>
        <v/>
      </c>
      <c r="AA89">
        <f>HYPERLINK("https://klasma.github.io/Logging_1885/tillsyn/A 50768-2025 tillsynsbegäran.docx", "A 50768-2025")</f>
        <v/>
      </c>
      <c r="AB89">
        <f>HYPERLINK("https://klasma.github.io/Logging_1885/tillsynsmail/A 50768-2025 tillsynsbegäran mail.docx", "A 50768-2025")</f>
        <v/>
      </c>
    </row>
    <row r="90" ht="15" customHeight="1">
      <c r="A90" t="inlineStr">
        <is>
          <t>A 61132-2024</t>
        </is>
      </c>
      <c r="B90" t="inlineStr">
        <is>
          <t>avverkningsanmälan</t>
        </is>
      </c>
      <c r="C90" t="inlineStr">
        <is>
          <t>Avverkning för att bevara och utveckla /försöksver</t>
        </is>
      </c>
      <c r="D90" s="1" t="n">
        <v>45645</v>
      </c>
      <c r="E90" s="1" t="n">
        <v>46220</v>
      </c>
      <c r="F90" t="inlineStr">
        <is>
          <t>ÖREBRO LÄN</t>
        </is>
      </c>
      <c r="G90" t="inlineStr">
        <is>
          <t>LINDESBERG</t>
        </is>
      </c>
      <c r="H90" t="inlineStr">
        <is>
          <t>Sveaskog</t>
        </is>
      </c>
      <c r="I90" t="n">
        <v>2.5</v>
      </c>
      <c r="J90" t="n">
        <v>0</v>
      </c>
      <c r="K90" t="n">
        <v>1</v>
      </c>
      <c r="L90" t="n">
        <v>0</v>
      </c>
      <c r="M90" t="n">
        <v>0</v>
      </c>
      <c r="N90" t="n">
        <v>0</v>
      </c>
      <c r="O90" t="n">
        <v>0</v>
      </c>
      <c r="P90" t="n">
        <v>0</v>
      </c>
      <c r="Q90" t="n">
        <v>0</v>
      </c>
      <c r="R90" t="n">
        <v>0</v>
      </c>
      <c r="S90" t="n">
        <v>1</v>
      </c>
      <c r="T90" t="n">
        <v>1</v>
      </c>
      <c r="U90" s="2" t="inlineStr">
        <is>
          <t>Bollvitmossa</t>
        </is>
      </c>
      <c r="V90">
        <f>HYPERLINK("https://klasma.github.io/Logging_1885/artfynd/A 61132-2024 artfynd.xlsx", "A 61132-2024")</f>
        <v/>
      </c>
      <c r="W90">
        <f>HYPERLINK("https://klasma.github.io/Logging_1885/kartor/A 61132-2024 karta.png", "A 61132-2024")</f>
        <v/>
      </c>
      <c r="Y90">
        <f>HYPERLINK("https://klasma.github.io/Logging_1885/klagomål/A 61132-2024 FSC-klagomål.docx", "A 61132-2024")</f>
        <v/>
      </c>
      <c r="Z90">
        <f>HYPERLINK("https://klasma.github.io/Logging_1885/klagomålsmail/A 61132-2024 FSC-klagomål mail.docx", "A 61132-2024")</f>
        <v/>
      </c>
      <c r="AA90">
        <f>HYPERLINK("https://klasma.github.io/Logging_1885/tillsyn/A 61132-2024 tillsynsbegäran.docx", "A 61132-2024")</f>
        <v/>
      </c>
      <c r="AB90">
        <f>HYPERLINK("https://klasma.github.io/Logging_1885/tillsynsmail/A 61132-2024 tillsynsbegäran mail.docx", "A 61132-2024")</f>
        <v/>
      </c>
    </row>
    <row r="91" ht="15" customHeight="1">
      <c r="A91" t="inlineStr">
        <is>
          <t>A 34237-2023</t>
        </is>
      </c>
      <c r="B91" t="inlineStr">
        <is>
          <t>avverkningsanmälan</t>
        </is>
      </c>
      <c r="C91" t="inlineStr">
        <is>
          <t>Avverkning för att bevara och utveckla /försöksver</t>
        </is>
      </c>
      <c r="D91" s="1" t="n">
        <v>45138</v>
      </c>
      <c r="E91" s="1" t="n">
        <v>46220</v>
      </c>
      <c r="F91" t="inlineStr">
        <is>
          <t>ÖREBRO LÄN</t>
        </is>
      </c>
      <c r="G91" t="inlineStr">
        <is>
          <t>LINDESBERG</t>
        </is>
      </c>
      <c r="H91" t="inlineStr">
        <is>
          <t>Sveaskog</t>
        </is>
      </c>
      <c r="I91" t="n">
        <v>1.4</v>
      </c>
      <c r="J91" t="n">
        <v>1</v>
      </c>
      <c r="K91" t="n">
        <v>0</v>
      </c>
      <c r="L91" t="n">
        <v>0</v>
      </c>
      <c r="M91" t="n">
        <v>0</v>
      </c>
      <c r="N91" t="n">
        <v>0</v>
      </c>
      <c r="O91" t="n">
        <v>0</v>
      </c>
      <c r="P91" t="n">
        <v>0</v>
      </c>
      <c r="Q91" t="n">
        <v>0</v>
      </c>
      <c r="R91" t="n">
        <v>0</v>
      </c>
      <c r="S91" t="n">
        <v>1</v>
      </c>
      <c r="T91" t="n">
        <v>1</v>
      </c>
      <c r="U91" s="2" t="inlineStr">
        <is>
          <t>Spillkråka</t>
        </is>
      </c>
      <c r="V91">
        <f>HYPERLINK("https://klasma.github.io/Logging_1885/artfynd/A 34237-2023 artfynd.xlsx", "A 34237-2023")</f>
        <v/>
      </c>
      <c r="W91">
        <f>HYPERLINK("https://klasma.github.io/Logging_1885/kartor/A 34237-2023 karta.png", "A 34237-2023")</f>
        <v/>
      </c>
      <c r="Y91">
        <f>HYPERLINK("https://klasma.github.io/Logging_1885/klagomål/A 34237-2023 FSC-klagomål.docx", "A 34237-2023")</f>
        <v/>
      </c>
      <c r="Z91">
        <f>HYPERLINK("https://klasma.github.io/Logging_1885/klagomålsmail/A 34237-2023 FSC-klagomål mail.docx", "A 34237-2023")</f>
        <v/>
      </c>
      <c r="AA91">
        <f>HYPERLINK("https://klasma.github.io/Logging_1885/tillsyn/A 34237-2023 tillsynsbegäran.docx", "A 34237-2023")</f>
        <v/>
      </c>
      <c r="AB91">
        <f>HYPERLINK("https://klasma.github.io/Logging_1885/tillsynsmail/A 34237-2023 tillsynsbegäran mail.docx", "A 34237-2023")</f>
        <v/>
      </c>
      <c r="AC91">
        <f>HYPERLINK("https://klasma.github.io/Logging_1885/fåglar/A 34237-2023 prioriterade fågelarter.docx", "A 34237-2023")</f>
        <v/>
      </c>
    </row>
    <row r="92" ht="15" customHeight="1">
      <c r="A92" t="inlineStr">
        <is>
          <t>A 52337-2025</t>
        </is>
      </c>
      <c r="B92" t="inlineStr">
        <is>
          <t>avverkningsanmälan</t>
        </is>
      </c>
      <c r="C92" t="inlineStr">
        <is>
          <t>Föryngringsavverkning</t>
        </is>
      </c>
      <c r="D92" s="1" t="n">
        <v>45953</v>
      </c>
      <c r="E92" s="1" t="n">
        <v>46220</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s="2" t="inlineStr">
        <is>
          <t>Fläcknycklar</t>
        </is>
      </c>
      <c r="V92">
        <f>HYPERLINK("https://klasma.github.io/Logging_1885/artfynd/A 52337-2025 artfynd.xlsx", "A 52337-2025")</f>
        <v/>
      </c>
      <c r="W92">
        <f>HYPERLINK("https://klasma.github.io/Logging_1885/kartor/A 52337-2025 karta.png", "A 52337-2025")</f>
        <v/>
      </c>
      <c r="Y92">
        <f>HYPERLINK("https://klasma.github.io/Logging_1885/klagomål/A 52337-2025 FSC-klagomål.docx", "A 52337-2025")</f>
        <v/>
      </c>
      <c r="Z92">
        <f>HYPERLINK("https://klasma.github.io/Logging_1885/klagomålsmail/A 52337-2025 FSC-klagomål mail.docx", "A 52337-2025")</f>
        <v/>
      </c>
      <c r="AA92">
        <f>HYPERLINK("https://klasma.github.io/Logging_1885/tillsyn/A 52337-2025 tillsynsbegäran.docx", "A 52337-2025")</f>
        <v/>
      </c>
      <c r="AB92">
        <f>HYPERLINK("https://klasma.github.io/Logging_1885/tillsynsmail/A 52337-2025 tillsynsbegäran mail.docx", "A 52337-2025")</f>
        <v/>
      </c>
    </row>
    <row r="93" ht="15" customHeight="1">
      <c r="A93" t="inlineStr">
        <is>
          <t>A 57320-2025</t>
        </is>
      </c>
      <c r="B93" t="inlineStr">
        <is>
          <t>avverkningsanmälan</t>
        </is>
      </c>
      <c r="C93" t="inlineStr">
        <is>
          <t>Föryngringsavverkning</t>
        </is>
      </c>
      <c r="D93" s="1" t="n">
        <v>45980</v>
      </c>
      <c r="E93" s="1" t="n">
        <v>46220</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s="2" t="inlineStr">
        <is>
          <t>Dropptaggsvamp</t>
        </is>
      </c>
      <c r="V93">
        <f>HYPERLINK("https://klasma.github.io/Logging_1885/artfynd/A 57320-2025 artfynd.xlsx", "A 57320-2025")</f>
        <v/>
      </c>
      <c r="W93">
        <f>HYPERLINK("https://klasma.github.io/Logging_1885/kartor/A 57320-2025 karta.png", "A 57320-2025")</f>
        <v/>
      </c>
      <c r="Y93">
        <f>HYPERLINK("https://klasma.github.io/Logging_1885/klagomål/A 57320-2025 FSC-klagomål.docx", "A 57320-2025")</f>
        <v/>
      </c>
      <c r="Z93">
        <f>HYPERLINK("https://klasma.github.io/Logging_1885/klagomålsmail/A 57320-2025 FSC-klagomål mail.docx", "A 57320-2025")</f>
        <v/>
      </c>
      <c r="AA93">
        <f>HYPERLINK("https://klasma.github.io/Logging_1885/tillsyn/A 57320-2025 tillsynsbegäran.docx", "A 57320-2025")</f>
        <v/>
      </c>
      <c r="AB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46220</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s="2" t="inlineStr">
        <is>
          <t>Barrviolspindling</t>
        </is>
      </c>
      <c r="V94">
        <f>HYPERLINK("https://klasma.github.io/Logging_1885/artfynd/A 57363-2025 artfynd.xlsx", "A 57363-2025")</f>
        <v/>
      </c>
      <c r="W94">
        <f>HYPERLINK("https://klasma.github.io/Logging_1885/kartor/A 57363-2025 karta.png", "A 57363-2025")</f>
        <v/>
      </c>
      <c r="Y94">
        <f>HYPERLINK("https://klasma.github.io/Logging_1885/klagomål/A 57363-2025 FSC-klagomål.docx", "A 57363-2025")</f>
        <v/>
      </c>
      <c r="Z94">
        <f>HYPERLINK("https://klasma.github.io/Logging_1885/klagomålsmail/A 57363-2025 FSC-klagomål mail.docx", "A 57363-2025")</f>
        <v/>
      </c>
      <c r="AA94">
        <f>HYPERLINK("https://klasma.github.io/Logging_1885/tillsyn/A 57363-2025 tillsynsbegäran.docx", "A 57363-2025")</f>
        <v/>
      </c>
      <c r="AB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46220</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s="2" t="inlineStr">
        <is>
          <t>Svart trolldruva</t>
        </is>
      </c>
      <c r="V95">
        <f>HYPERLINK("https://klasma.github.io/Logging_1885/artfynd/A 57362-2025 artfynd.xlsx", "A 57362-2025")</f>
        <v/>
      </c>
      <c r="W95">
        <f>HYPERLINK("https://klasma.github.io/Logging_1885/kartor/A 57362-2025 karta.png", "A 57362-2025")</f>
        <v/>
      </c>
      <c r="Y95">
        <f>HYPERLINK("https://klasma.github.io/Logging_1885/klagomål/A 57362-2025 FSC-klagomål.docx", "A 57362-2025")</f>
        <v/>
      </c>
      <c r="Z95">
        <f>HYPERLINK("https://klasma.github.io/Logging_1885/klagomålsmail/A 57362-2025 FSC-klagomål mail.docx", "A 57362-2025")</f>
        <v/>
      </c>
      <c r="AA95">
        <f>HYPERLINK("https://klasma.github.io/Logging_1885/tillsyn/A 57362-2025 tillsynsbegäran.docx", "A 57362-2025")</f>
        <v/>
      </c>
      <c r="AB95">
        <f>HYPERLINK("https://klasma.github.io/Logging_1885/tillsynsmail/A 57362-2025 tillsynsbegäran mail.docx", "A 57362-2025")</f>
        <v/>
      </c>
    </row>
    <row r="96" ht="15" customHeight="1">
      <c r="A96" t="inlineStr">
        <is>
          <t>A 48265-2021</t>
        </is>
      </c>
      <c r="B96" t="inlineStr">
        <is>
          <t>avverkningsanmälan</t>
        </is>
      </c>
      <c r="C96" t="inlineStr">
        <is>
          <t>Föryngringsavverkning</t>
        </is>
      </c>
      <c r="D96" s="1" t="n">
        <v>44449</v>
      </c>
      <c r="E96" s="1" t="n">
        <v>46220</v>
      </c>
      <c r="F96" t="inlineStr">
        <is>
          <t>ÖREBRO LÄN</t>
        </is>
      </c>
      <c r="G96" t="inlineStr">
        <is>
          <t>LINDESBERG</t>
        </is>
      </c>
      <c r="I96" t="n">
        <v>23.7</v>
      </c>
      <c r="J96" t="n">
        <v>1</v>
      </c>
      <c r="K96" t="n">
        <v>1</v>
      </c>
      <c r="L96" t="n">
        <v>0</v>
      </c>
      <c r="M96" t="n">
        <v>0</v>
      </c>
      <c r="N96" t="n">
        <v>0</v>
      </c>
      <c r="O96" t="n">
        <v>0</v>
      </c>
      <c r="P96" t="n">
        <v>0</v>
      </c>
      <c r="Q96" t="n">
        <v>0</v>
      </c>
      <c r="R96" t="n">
        <v>0</v>
      </c>
      <c r="S96" t="n">
        <v>1</v>
      </c>
      <c r="T96" t="n">
        <v>1</v>
      </c>
      <c r="U96" s="2" t="inlineStr">
        <is>
          <t>Grön sköldmossa</t>
        </is>
      </c>
      <c r="V96">
        <f>HYPERLINK("https://klasma.github.io/Logging_1885/artfynd/A 48265-2021 artfynd.xlsx", "A 48265-2021")</f>
        <v/>
      </c>
      <c r="W96">
        <f>HYPERLINK("https://klasma.github.io/Logging_1885/kartor/A 48265-2021 karta.png", "A 48265-2021")</f>
        <v/>
      </c>
      <c r="Y96">
        <f>HYPERLINK("https://klasma.github.io/Logging_1885/klagomål/A 48265-2021 FSC-klagomål.docx", "A 48265-2021")</f>
        <v/>
      </c>
      <c r="Z96">
        <f>HYPERLINK("https://klasma.github.io/Logging_1885/klagomålsmail/A 48265-2021 FSC-klagomål mail.docx", "A 48265-2021")</f>
        <v/>
      </c>
      <c r="AA96">
        <f>HYPERLINK("https://klasma.github.io/Logging_1885/tillsyn/A 48265-2021 tillsynsbegäran.docx", "A 48265-2021")</f>
        <v/>
      </c>
      <c r="AB96">
        <f>HYPERLINK("https://klasma.github.io/Logging_1885/tillsynsmail/A 48265-2021 tillsynsbegäran mail.docx", "A 48265-2021")</f>
        <v/>
      </c>
    </row>
    <row r="97" ht="15" customHeight="1">
      <c r="A97" t="inlineStr">
        <is>
          <t>A 67013-2021</t>
        </is>
      </c>
      <c r="B97" t="inlineStr">
        <is>
          <t>avverkningsanmälan</t>
        </is>
      </c>
      <c r="C97" t="inlineStr">
        <is>
          <t>Föryngringsavverkning</t>
        </is>
      </c>
      <c r="D97" s="1" t="n">
        <v>44522</v>
      </c>
      <c r="E97" s="1" t="n">
        <v>46220</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s="2" t="inlineStr">
        <is>
          <t>Skogsklocka</t>
        </is>
      </c>
      <c r="V97">
        <f>HYPERLINK("https://klasma.github.io/Logging_1885/artfynd/A 67013-2021 artfynd.xlsx", "A 67013-2021")</f>
        <v/>
      </c>
      <c r="W97">
        <f>HYPERLINK("https://klasma.github.io/Logging_1885/kartor/A 67013-2021 karta.png", "A 67013-2021")</f>
        <v/>
      </c>
      <c r="Y97">
        <f>HYPERLINK("https://klasma.github.io/Logging_1885/klagomål/A 67013-2021 FSC-klagomål.docx", "A 67013-2021")</f>
        <v/>
      </c>
      <c r="Z97">
        <f>HYPERLINK("https://klasma.github.io/Logging_1885/klagomålsmail/A 67013-2021 FSC-klagomål mail.docx", "A 67013-2021")</f>
        <v/>
      </c>
      <c r="AA97">
        <f>HYPERLINK("https://klasma.github.io/Logging_1885/tillsyn/A 67013-2021 tillsynsbegäran.docx", "A 67013-2021")</f>
        <v/>
      </c>
      <c r="AB97">
        <f>HYPERLINK("https://klasma.github.io/Logging_1885/tillsynsmail/A 67013-2021 tillsynsbegäran mail.docx", "A 67013-2021")</f>
        <v/>
      </c>
    </row>
    <row r="98" ht="15" customHeight="1">
      <c r="A98" t="inlineStr">
        <is>
          <t>A 8139-2023</t>
        </is>
      </c>
      <c r="B98" t="inlineStr">
        <is>
          <t>avverkningsanmälan</t>
        </is>
      </c>
      <c r="C98" t="inlineStr">
        <is>
          <t>Föryngringsavverkning</t>
        </is>
      </c>
      <c r="D98" s="1" t="n">
        <v>44970</v>
      </c>
      <c r="E98" s="1" t="n">
        <v>46220</v>
      </c>
      <c r="F98" t="inlineStr">
        <is>
          <t>ÖREBRO LÄN</t>
        </is>
      </c>
      <c r="G98" t="inlineStr">
        <is>
          <t>LINDESBERG</t>
        </is>
      </c>
      <c r="I98" t="n">
        <v>3.6</v>
      </c>
      <c r="J98" t="n">
        <v>1</v>
      </c>
      <c r="K98" t="n">
        <v>0</v>
      </c>
      <c r="L98" t="n">
        <v>0</v>
      </c>
      <c r="M98" t="n">
        <v>0</v>
      </c>
      <c r="N98" t="n">
        <v>0</v>
      </c>
      <c r="O98" t="n">
        <v>0</v>
      </c>
      <c r="P98" t="n">
        <v>0</v>
      </c>
      <c r="Q98" t="n">
        <v>0</v>
      </c>
      <c r="R98" t="n">
        <v>0</v>
      </c>
      <c r="S98" t="n">
        <v>1</v>
      </c>
      <c r="T98" t="n">
        <v>1</v>
      </c>
      <c r="U98" s="2" t="inlineStr">
        <is>
          <t>Fläcknycklar</t>
        </is>
      </c>
      <c r="V98">
        <f>HYPERLINK("https://klasma.github.io/Logging_1885/artfynd/A 8139-2023 artfynd.xlsx", "A 8139-2023")</f>
        <v/>
      </c>
      <c r="W98">
        <f>HYPERLINK("https://klasma.github.io/Logging_1885/kartor/A 8139-2023 karta.png", "A 8139-2023")</f>
        <v/>
      </c>
      <c r="Y98">
        <f>HYPERLINK("https://klasma.github.io/Logging_1885/klagomål/A 8139-2023 FSC-klagomål.docx", "A 8139-2023")</f>
        <v/>
      </c>
      <c r="Z98">
        <f>HYPERLINK("https://klasma.github.io/Logging_1885/klagomålsmail/A 8139-2023 FSC-klagomål mail.docx", "A 8139-2023")</f>
        <v/>
      </c>
      <c r="AA98">
        <f>HYPERLINK("https://klasma.github.io/Logging_1885/tillsyn/A 8139-2023 tillsynsbegäran.docx", "A 8139-2023")</f>
        <v/>
      </c>
      <c r="AB98">
        <f>HYPERLINK("https://klasma.github.io/Logging_1885/tillsynsmail/A 8139-2023 tillsynsbegäran mail.docx", "A 8139-2023")</f>
        <v/>
      </c>
    </row>
    <row r="99" ht="15" customHeight="1">
      <c r="A99" t="inlineStr">
        <is>
          <t>A 6192-2025</t>
        </is>
      </c>
      <c r="B99" t="inlineStr">
        <is>
          <t>avverkningsanmälan</t>
        </is>
      </c>
      <c r="C99" t="inlineStr">
        <is>
          <t>Föryngringsavverkning</t>
        </is>
      </c>
      <c r="D99" s="1" t="n">
        <v>45698</v>
      </c>
      <c r="E99" s="1" t="n">
        <v>46220</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s="2" t="inlineStr">
        <is>
          <t>Blåsippa</t>
        </is>
      </c>
      <c r="V99">
        <f>HYPERLINK("https://klasma.github.io/Logging_1885/artfynd/A 6192-2025 artfynd.xlsx", "A 6192-2025")</f>
        <v/>
      </c>
      <c r="W99">
        <f>HYPERLINK("https://klasma.github.io/Logging_1885/kartor/A 6192-2025 karta.png", "A 6192-2025")</f>
        <v/>
      </c>
      <c r="Y99">
        <f>HYPERLINK("https://klasma.github.io/Logging_1885/klagomål/A 6192-2025 FSC-klagomål.docx", "A 6192-2025")</f>
        <v/>
      </c>
      <c r="Z99">
        <f>HYPERLINK("https://klasma.github.io/Logging_1885/klagomålsmail/A 6192-2025 FSC-klagomål mail.docx", "A 6192-2025")</f>
        <v/>
      </c>
      <c r="AA99">
        <f>HYPERLINK("https://klasma.github.io/Logging_1885/tillsyn/A 6192-2025 tillsynsbegäran.docx", "A 6192-2025")</f>
        <v/>
      </c>
      <c r="AB99">
        <f>HYPERLINK("https://klasma.github.io/Logging_1885/tillsynsmail/A 6192-2025 tillsynsbegäran mail.docx", "A 6192-2025")</f>
        <v/>
      </c>
    </row>
    <row r="100" ht="15" customHeight="1">
      <c r="A100" t="inlineStr">
        <is>
          <t>A 16692-2026</t>
        </is>
      </c>
      <c r="B100" t="inlineStr">
        <is>
          <t>avverkningsanmälan</t>
        </is>
      </c>
      <c r="C100" t="inlineStr">
        <is>
          <t>Föryngringsavverkning</t>
        </is>
      </c>
      <c r="D100" s="1" t="n">
        <v>46112</v>
      </c>
      <c r="E100" s="1" t="n">
        <v>46220</v>
      </c>
      <c r="F100" t="inlineStr">
        <is>
          <t>ÖREBRO LÄN</t>
        </is>
      </c>
      <c r="G100" t="inlineStr">
        <is>
          <t>LINDESBERG</t>
        </is>
      </c>
      <c r="I100" t="n">
        <v>4.9</v>
      </c>
      <c r="J100" t="n">
        <v>1</v>
      </c>
      <c r="K100" t="n">
        <v>0</v>
      </c>
      <c r="L100" t="n">
        <v>0</v>
      </c>
      <c r="M100" t="n">
        <v>0</v>
      </c>
      <c r="N100" t="n">
        <v>0</v>
      </c>
      <c r="O100" t="n">
        <v>0</v>
      </c>
      <c r="P100" t="n">
        <v>0</v>
      </c>
      <c r="Q100" t="n">
        <v>0</v>
      </c>
      <c r="R100" t="n">
        <v>0</v>
      </c>
      <c r="S100" t="n">
        <v>1</v>
      </c>
      <c r="T100" t="n">
        <v>2</v>
      </c>
      <c r="U100" s="2" t="inlineStr">
        <is>
          <t>Spillkråka</t>
        </is>
      </c>
      <c r="V100">
        <f>HYPERLINK("https://klasma.github.io/Logging_1885/artfynd/A 16692-2026 artfynd.xlsx", "A 16692-2026")</f>
        <v/>
      </c>
      <c r="W100">
        <f>HYPERLINK("https://klasma.github.io/Logging_1885/kartor/A 16692-2026 karta.png", "A 16692-2026")</f>
        <v/>
      </c>
      <c r="Y100">
        <f>HYPERLINK("https://klasma.github.io/Logging_1885/klagomål/A 16692-2026 FSC-klagomål.docx", "A 16692-2026")</f>
        <v/>
      </c>
      <c r="Z100">
        <f>HYPERLINK("https://klasma.github.io/Logging_1885/klagomålsmail/A 16692-2026 FSC-klagomål mail.docx", "A 16692-2026")</f>
        <v/>
      </c>
      <c r="AA100">
        <f>HYPERLINK("https://klasma.github.io/Logging_1885/tillsyn/A 16692-2026 tillsynsbegäran.docx", "A 16692-2026")</f>
        <v/>
      </c>
      <c r="AB100">
        <f>HYPERLINK("https://klasma.github.io/Logging_1885/tillsynsmail/A 16692-2026 tillsynsbegäran mail.docx", "A 16692-2026")</f>
        <v/>
      </c>
      <c r="AC100">
        <f>HYPERLINK("https://klasma.github.io/Logging_1885/fåglar/A 16692-2026 prioriterade fågelarter.docx", "A 16692-2026")</f>
        <v/>
      </c>
    </row>
    <row r="101" ht="15" customHeight="1">
      <c r="A101" t="inlineStr">
        <is>
          <t>A 16693-2026</t>
        </is>
      </c>
      <c r="B101" t="inlineStr">
        <is>
          <t>avverkningsanmälan</t>
        </is>
      </c>
      <c r="C101" t="inlineStr">
        <is>
          <t>Föryngringsavverkning</t>
        </is>
      </c>
      <c r="D101" s="1" t="n">
        <v>46112</v>
      </c>
      <c r="E101" s="1" t="n">
        <v>46220</v>
      </c>
      <c r="F101" t="inlineStr">
        <is>
          <t>ÖREBRO LÄN</t>
        </is>
      </c>
      <c r="G101" t="inlineStr">
        <is>
          <t>LINDESBERG</t>
        </is>
      </c>
      <c r="I101" t="n">
        <v>2.1</v>
      </c>
      <c r="J101" t="n">
        <v>1</v>
      </c>
      <c r="K101" t="n">
        <v>0</v>
      </c>
      <c r="L101" t="n">
        <v>0</v>
      </c>
      <c r="M101" t="n">
        <v>0</v>
      </c>
      <c r="N101" t="n">
        <v>0</v>
      </c>
      <c r="O101" t="n">
        <v>0</v>
      </c>
      <c r="P101" t="n">
        <v>0</v>
      </c>
      <c r="Q101" t="n">
        <v>0</v>
      </c>
      <c r="R101" t="n">
        <v>0</v>
      </c>
      <c r="S101" t="n">
        <v>1</v>
      </c>
      <c r="T101" t="n">
        <v>1</v>
      </c>
      <c r="U101" s="2" t="inlineStr">
        <is>
          <t>Tjäder</t>
        </is>
      </c>
      <c r="V101">
        <f>HYPERLINK("https://klasma.github.io/Logging_1885/artfynd/A 16693-2026 artfynd.xlsx", "A 16693-2026")</f>
        <v/>
      </c>
      <c r="W101">
        <f>HYPERLINK("https://klasma.github.io/Logging_1885/kartor/A 16693-2026 karta.png", "A 16693-2026")</f>
        <v/>
      </c>
      <c r="Y101">
        <f>HYPERLINK("https://klasma.github.io/Logging_1885/klagomål/A 16693-2026 FSC-klagomål.docx", "A 16693-2026")</f>
        <v/>
      </c>
      <c r="Z101">
        <f>HYPERLINK("https://klasma.github.io/Logging_1885/klagomålsmail/A 16693-2026 FSC-klagomål mail.docx", "A 16693-2026")</f>
        <v/>
      </c>
      <c r="AA101">
        <f>HYPERLINK("https://klasma.github.io/Logging_1885/tillsyn/A 16693-2026 tillsynsbegäran.docx", "A 16693-2026")</f>
        <v/>
      </c>
      <c r="AB101">
        <f>HYPERLINK("https://klasma.github.io/Logging_1885/tillsynsmail/A 16693-2026 tillsynsbegäran mail.docx", "A 16693-2026")</f>
        <v/>
      </c>
      <c r="AC101">
        <f>HYPERLINK("https://klasma.github.io/Logging_1885/fåglar/A 16693-2026 prioriterade fågelarter.docx", "A 16693-2026")</f>
        <v/>
      </c>
    </row>
    <row r="102" ht="15" customHeight="1">
      <c r="A102" t="inlineStr">
        <is>
          <t>A 18178-2026</t>
        </is>
      </c>
      <c r="B102" t="inlineStr">
        <is>
          <t>avverkningsanmälan</t>
        </is>
      </c>
      <c r="C102" t="inlineStr">
        <is>
          <t>Föryngringsavverkning</t>
        </is>
      </c>
      <c r="D102" s="1" t="n">
        <v>46125</v>
      </c>
      <c r="E102" s="1" t="n">
        <v>46220</v>
      </c>
      <c r="F102" t="inlineStr">
        <is>
          <t>ÖREBRO LÄN</t>
        </is>
      </c>
      <c r="G102" t="inlineStr">
        <is>
          <t>LINDESBERG</t>
        </is>
      </c>
      <c r="H102" t="inlineStr">
        <is>
          <t>Sveaskog</t>
        </is>
      </c>
      <c r="I102" t="n">
        <v>4.4</v>
      </c>
      <c r="J102" t="n">
        <v>0</v>
      </c>
      <c r="K102" t="n">
        <v>0</v>
      </c>
      <c r="L102" t="n">
        <v>1</v>
      </c>
      <c r="M102" t="n">
        <v>0</v>
      </c>
      <c r="N102" t="n">
        <v>0</v>
      </c>
      <c r="O102" t="n">
        <v>0</v>
      </c>
      <c r="P102" t="n">
        <v>0</v>
      </c>
      <c r="Q102" t="n">
        <v>1</v>
      </c>
      <c r="R102" t="n">
        <v>0</v>
      </c>
      <c r="S102" t="n">
        <v>1</v>
      </c>
      <c r="T102" t="n">
        <v>1</v>
      </c>
      <c r="U102" s="2" t="inlineStr">
        <is>
          <t>Svartvit taggsvamp</t>
        </is>
      </c>
      <c r="V102">
        <f>HYPERLINK("https://klasma.github.io/Logging_1885/artfynd/A 18178-2026 artfynd.xlsx", "A 18178-2026")</f>
        <v/>
      </c>
      <c r="W102">
        <f>HYPERLINK("https://klasma.github.io/Logging_1885/kartor/A 18178-2026 karta.png", "A 18178-2026")</f>
        <v/>
      </c>
      <c r="Y102">
        <f>HYPERLINK("https://klasma.github.io/Logging_1885/klagomål/A 18178-2026 FSC-klagomål.docx", "A 18178-2026")</f>
        <v/>
      </c>
      <c r="Z102">
        <f>HYPERLINK("https://klasma.github.io/Logging_1885/klagomålsmail/A 18178-2026 FSC-klagomål mail.docx", "A 18178-2026")</f>
        <v/>
      </c>
      <c r="AA102">
        <f>HYPERLINK("https://klasma.github.io/Logging_1885/tillsyn/A 18178-2026 tillsynsbegäran.docx", "A 18178-2026")</f>
        <v/>
      </c>
      <c r="AB102">
        <f>HYPERLINK("https://klasma.github.io/Logging_1885/tillsynsmail/A 18178-2026 tillsynsbegäran mail.docx", "A 18178-2026")</f>
        <v/>
      </c>
    </row>
    <row r="103" ht="15" customHeight="1">
      <c r="A103" t="inlineStr">
        <is>
          <t>A 18640-2026</t>
        </is>
      </c>
      <c r="B103" t="inlineStr">
        <is>
          <t>avverkningsanmälan</t>
        </is>
      </c>
      <c r="C103" t="inlineStr">
        <is>
          <t>Föryngringsavverkning</t>
        </is>
      </c>
      <c r="D103" s="1" t="n">
        <v>46128</v>
      </c>
      <c r="E103" s="1" t="n">
        <v>46220</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s="2" t="inlineStr">
        <is>
          <t>Garnlav</t>
        </is>
      </c>
      <c r="V103">
        <f>HYPERLINK("https://klasma.github.io/Logging_1885/artfynd/A 18640-2026 artfynd.xlsx", "A 18640-2026")</f>
        <v/>
      </c>
      <c r="W103">
        <f>HYPERLINK("https://klasma.github.io/Logging_1885/kartor/A 18640-2026 karta.png", "A 18640-2026")</f>
        <v/>
      </c>
      <c r="Y103">
        <f>HYPERLINK("https://klasma.github.io/Logging_1885/klagomål/A 18640-2026 FSC-klagomål.docx", "A 18640-2026")</f>
        <v/>
      </c>
      <c r="Z103">
        <f>HYPERLINK("https://klasma.github.io/Logging_1885/klagomålsmail/A 18640-2026 FSC-klagomål mail.docx", "A 18640-2026")</f>
        <v/>
      </c>
      <c r="AA103">
        <f>HYPERLINK("https://klasma.github.io/Logging_1885/tillsyn/A 18640-2026 tillsynsbegäran.docx", "A 18640-2026")</f>
        <v/>
      </c>
      <c r="AB103">
        <f>HYPERLINK("https://klasma.github.io/Logging_1885/tillsynsmail/A 18640-2026 tillsynsbegäran mail.docx", "A 18640-2026")</f>
        <v/>
      </c>
    </row>
    <row r="104" ht="15" customHeight="1">
      <c r="A104" t="inlineStr">
        <is>
          <t>A 18639-2026</t>
        </is>
      </c>
      <c r="B104" t="inlineStr">
        <is>
          <t>avverkningsanmälan</t>
        </is>
      </c>
      <c r="C104" t="inlineStr">
        <is>
          <t>Föryngringsavverkning</t>
        </is>
      </c>
      <c r="D104" s="1" t="n">
        <v>46128</v>
      </c>
      <c r="E104" s="1" t="n">
        <v>46220</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s="2" t="inlineStr">
        <is>
          <t>Plattlummer</t>
        </is>
      </c>
      <c r="V104">
        <f>HYPERLINK("https://klasma.github.io/Logging_1885/artfynd/A 18639-2026 artfynd.xlsx", "A 18639-2026")</f>
        <v/>
      </c>
      <c r="W104">
        <f>HYPERLINK("https://klasma.github.io/Logging_1885/kartor/A 18639-2026 karta.png", "A 18639-2026")</f>
        <v/>
      </c>
      <c r="Y104">
        <f>HYPERLINK("https://klasma.github.io/Logging_1885/klagomål/A 18639-2026 FSC-klagomål.docx", "A 18639-2026")</f>
        <v/>
      </c>
      <c r="Z104">
        <f>HYPERLINK("https://klasma.github.io/Logging_1885/klagomålsmail/A 18639-2026 FSC-klagomål mail.docx", "A 18639-2026")</f>
        <v/>
      </c>
      <c r="AA104">
        <f>HYPERLINK("https://klasma.github.io/Logging_1885/tillsyn/A 18639-2026 tillsynsbegäran.docx", "A 18639-2026")</f>
        <v/>
      </c>
      <c r="AB104">
        <f>HYPERLINK("https://klasma.github.io/Logging_1885/tillsynsmail/A 18639-2026 tillsynsbegäran mail.docx", "A 18639-2026")</f>
        <v/>
      </c>
    </row>
    <row r="105" ht="15" customHeight="1">
      <c r="A105" t="inlineStr">
        <is>
          <t>A 62866-2023</t>
        </is>
      </c>
      <c r="B105" t="inlineStr">
        <is>
          <t>avverkningsanmälan</t>
        </is>
      </c>
      <c r="C105" t="inlineStr">
        <is>
          <t>Föryngringsavverkning</t>
        </is>
      </c>
      <c r="D105" s="1" t="n">
        <v>45272</v>
      </c>
      <c r="E105" s="1" t="n">
        <v>46220</v>
      </c>
      <c r="F105" t="inlineStr">
        <is>
          <t>ÖREBRO LÄN</t>
        </is>
      </c>
      <c r="G105" t="inlineStr">
        <is>
          <t>LINDESBERG</t>
        </is>
      </c>
      <c r="I105" t="n">
        <v>14.5</v>
      </c>
      <c r="J105" t="n">
        <v>1</v>
      </c>
      <c r="K105" t="n">
        <v>0</v>
      </c>
      <c r="L105" t="n">
        <v>0</v>
      </c>
      <c r="M105" t="n">
        <v>0</v>
      </c>
      <c r="N105" t="n">
        <v>0</v>
      </c>
      <c r="O105" t="n">
        <v>0</v>
      </c>
      <c r="P105" t="n">
        <v>0</v>
      </c>
      <c r="Q105" t="n">
        <v>0</v>
      </c>
      <c r="R105" t="n">
        <v>0</v>
      </c>
      <c r="S105" t="n">
        <v>1</v>
      </c>
      <c r="T105" t="n">
        <v>2</v>
      </c>
      <c r="U105" s="2" t="inlineStr">
        <is>
          <t>Utter</t>
        </is>
      </c>
      <c r="V105">
        <f>HYPERLINK("https://klasma.github.io/Logging_1885/artfynd/A 62866-2023 artfynd.xlsx", "A 62866-2023")</f>
        <v/>
      </c>
      <c r="W105">
        <f>HYPERLINK("https://klasma.github.io/Logging_1885/kartor/A 62866-2023 karta.png", "A 62866-2023")</f>
        <v/>
      </c>
      <c r="Y105">
        <f>HYPERLINK("https://klasma.github.io/Logging_1885/klagomål/A 62866-2023 FSC-klagomål.docx", "A 62866-2023")</f>
        <v/>
      </c>
      <c r="Z105">
        <f>HYPERLINK("https://klasma.github.io/Logging_1885/klagomålsmail/A 62866-2023 FSC-klagomål mail.docx", "A 62866-2023")</f>
        <v/>
      </c>
      <c r="AA105">
        <f>HYPERLINK("https://klasma.github.io/Logging_1885/tillsyn/A 62866-2023 tillsynsbegäran.docx", "A 62866-2023")</f>
        <v/>
      </c>
      <c r="AB105">
        <f>HYPERLINK("https://klasma.github.io/Logging_1885/tillsynsmail/A 62866-2023 tillsynsbegäran mail.docx", "A 62866-2023")</f>
        <v/>
      </c>
    </row>
    <row r="106" ht="15" customHeight="1">
      <c r="A106" t="inlineStr">
        <is>
          <t>A 40755-2022</t>
        </is>
      </c>
      <c r="B106" t="inlineStr">
        <is>
          <t>avverkningsanmälan</t>
        </is>
      </c>
      <c r="C106" t="inlineStr">
        <is>
          <t>Föryngringsavverkning</t>
        </is>
      </c>
      <c r="D106" s="1" t="n">
        <v>44820</v>
      </c>
      <c r="E106" s="1" t="n">
        <v>46220</v>
      </c>
      <c r="F106" t="inlineStr">
        <is>
          <t>ÖREBRO LÄN</t>
        </is>
      </c>
      <c r="G106" t="inlineStr">
        <is>
          <t>LINDESBERG</t>
        </is>
      </c>
      <c r="I106" t="n">
        <v>3.8</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HYPERLINK("https://klasma.github.io/Logging_1885/artfynd/A 40755-2022 artfynd.xlsx", "A 40755-2022")</f>
        <v/>
      </c>
      <c r="W106">
        <f>HYPERLINK("https://klasma.github.io/Logging_1885/kartor/A 40755-2022 karta.png", "A 40755-2022")</f>
        <v/>
      </c>
      <c r="Y106">
        <f>HYPERLINK("https://klasma.github.io/Logging_1885/klagomål/A 40755-2022 FSC-klagomål.docx", "A 40755-2022")</f>
        <v/>
      </c>
      <c r="Z106">
        <f>HYPERLINK("https://klasma.github.io/Logging_1885/klagomålsmail/A 40755-2022 FSC-klagomål mail.docx", "A 40755-2022")</f>
        <v/>
      </c>
      <c r="AA106">
        <f>HYPERLINK("https://klasma.github.io/Logging_1885/tillsyn/A 40755-2022 tillsynsbegäran.docx", "A 40755-2022")</f>
        <v/>
      </c>
      <c r="AB106">
        <f>HYPERLINK("https://klasma.github.io/Logging_1885/tillsynsmail/A 40755-2022 tillsynsbegäran mail.docx", "A 40755-2022")</f>
        <v/>
      </c>
    </row>
    <row r="107" ht="15" customHeight="1">
      <c r="A107" t="inlineStr">
        <is>
          <t>A 13884-2023</t>
        </is>
      </c>
      <c r="B107" t="inlineStr">
        <is>
          <t>avverkningsanmälan</t>
        </is>
      </c>
      <c r="C107" t="inlineStr">
        <is>
          <t>Föryngringsavverkning</t>
        </is>
      </c>
      <c r="D107" s="1" t="n">
        <v>45007</v>
      </c>
      <c r="E107" s="1" t="n">
        <v>46220</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s="2" t="inlineStr">
        <is>
          <t>Lunglav</t>
        </is>
      </c>
      <c r="V107">
        <f>HYPERLINK("https://klasma.github.io/Logging_1885/artfynd/A 13884-2023 artfynd.xlsx", "A 13884-2023")</f>
        <v/>
      </c>
      <c r="W107">
        <f>HYPERLINK("https://klasma.github.io/Logging_1885/kartor/A 13884-2023 karta.png", "A 13884-2023")</f>
        <v/>
      </c>
      <c r="Y107">
        <f>HYPERLINK("https://klasma.github.io/Logging_1885/klagomål/A 13884-2023 FSC-klagomål.docx", "A 13884-2023")</f>
        <v/>
      </c>
      <c r="Z107">
        <f>HYPERLINK("https://klasma.github.io/Logging_1885/klagomålsmail/A 13884-2023 FSC-klagomål mail.docx", "A 13884-2023")</f>
        <v/>
      </c>
      <c r="AA107">
        <f>HYPERLINK("https://klasma.github.io/Logging_1885/tillsyn/A 13884-2023 tillsynsbegäran.docx", "A 13884-2023")</f>
        <v/>
      </c>
      <c r="AB107">
        <f>HYPERLINK("https://klasma.github.io/Logging_1885/tillsynsmail/A 13884-2023 tillsynsbegäran mail.docx", "A 13884-2023")</f>
        <v/>
      </c>
    </row>
    <row r="108" ht="15" customHeight="1">
      <c r="A108" t="inlineStr">
        <is>
          <t>A 16791-2024</t>
        </is>
      </c>
      <c r="B108" t="inlineStr">
        <is>
          <t>avverkningsanmälan</t>
        </is>
      </c>
      <c r="C108" t="inlineStr">
        <is>
          <t>Föryngringsavverkning</t>
        </is>
      </c>
      <c r="D108" s="1" t="n">
        <v>45411</v>
      </c>
      <c r="E108" s="1" t="n">
        <v>46220</v>
      </c>
      <c r="F108" t="inlineStr">
        <is>
          <t>ÖREBRO LÄN</t>
        </is>
      </c>
      <c r="G108" t="inlineStr">
        <is>
          <t>LINDESBERG</t>
        </is>
      </c>
      <c r="I108" t="n">
        <v>16.1</v>
      </c>
      <c r="J108" t="n">
        <v>1</v>
      </c>
      <c r="K108" t="n">
        <v>0</v>
      </c>
      <c r="L108" t="n">
        <v>0</v>
      </c>
      <c r="M108" t="n">
        <v>0</v>
      </c>
      <c r="N108" t="n">
        <v>0</v>
      </c>
      <c r="O108" t="n">
        <v>0</v>
      </c>
      <c r="P108" t="n">
        <v>0</v>
      </c>
      <c r="Q108" t="n">
        <v>0</v>
      </c>
      <c r="R108" t="n">
        <v>0</v>
      </c>
      <c r="S108" t="n">
        <v>1</v>
      </c>
      <c r="T108" t="n">
        <v>1</v>
      </c>
      <c r="U108" s="2" t="inlineStr">
        <is>
          <t>Spillkråka</t>
        </is>
      </c>
      <c r="V108">
        <f>HYPERLINK("https://klasma.github.io/Logging_1885/artfynd/A 16791-2024 artfynd.xlsx", "A 16791-2024")</f>
        <v/>
      </c>
      <c r="W108">
        <f>HYPERLINK("https://klasma.github.io/Logging_1885/kartor/A 16791-2024 karta.png", "A 16791-2024")</f>
        <v/>
      </c>
      <c r="Y108">
        <f>HYPERLINK("https://klasma.github.io/Logging_1885/klagomål/A 16791-2024 FSC-klagomål.docx", "A 16791-2024")</f>
        <v/>
      </c>
      <c r="Z108">
        <f>HYPERLINK("https://klasma.github.io/Logging_1885/klagomålsmail/A 16791-2024 FSC-klagomål mail.docx", "A 16791-2024")</f>
        <v/>
      </c>
      <c r="AA108">
        <f>HYPERLINK("https://klasma.github.io/Logging_1885/tillsyn/A 16791-2024 tillsynsbegäran.docx", "A 16791-2024")</f>
        <v/>
      </c>
      <c r="AB108">
        <f>HYPERLINK("https://klasma.github.io/Logging_1885/tillsynsmail/A 16791-2024 tillsynsbegäran mail.docx", "A 16791-2024")</f>
        <v/>
      </c>
      <c r="AC108">
        <f>HYPERLINK("https://klasma.github.io/Logging_1885/fåglar/A 16791-2024 prioriterade fågelarter.docx", "A 16791-2024")</f>
        <v/>
      </c>
    </row>
    <row r="109" ht="15" customHeight="1">
      <c r="A109" t="inlineStr">
        <is>
          <t>A 70466-2021</t>
        </is>
      </c>
      <c r="B109" t="inlineStr">
        <is>
          <t>avverkningsanmälan</t>
        </is>
      </c>
      <c r="C109" t="inlineStr">
        <is>
          <t>Föryngringsavverkning</t>
        </is>
      </c>
      <c r="D109" s="1" t="n">
        <v>44536</v>
      </c>
      <c r="E109" s="1" t="n">
        <v>46220</v>
      </c>
      <c r="F109" t="inlineStr">
        <is>
          <t>ÖREBRO LÄN</t>
        </is>
      </c>
      <c r="G109" t="inlineStr">
        <is>
          <t>LINDESBERG</t>
        </is>
      </c>
      <c r="I109" t="n">
        <v>4.4</v>
      </c>
      <c r="J109" t="n">
        <v>1</v>
      </c>
      <c r="K109" t="n">
        <v>0</v>
      </c>
      <c r="L109" t="n">
        <v>0</v>
      </c>
      <c r="M109" t="n">
        <v>1</v>
      </c>
      <c r="N109" t="n">
        <v>0</v>
      </c>
      <c r="O109" t="n">
        <v>0</v>
      </c>
      <c r="P109" t="n">
        <v>0</v>
      </c>
      <c r="Q109" t="n">
        <v>1</v>
      </c>
      <c r="R109" t="n">
        <v>1</v>
      </c>
      <c r="S109" t="n">
        <v>1</v>
      </c>
      <c r="T109" t="n">
        <v>5</v>
      </c>
      <c r="U109" s="2" t="inlineStr">
        <is>
          <t>Knärot</t>
        </is>
      </c>
      <c r="V109">
        <f>HYPERLINK("https://klasma.github.io/Logging_1885/artfynd/A 70466-2021 artfynd.xlsx", "A 70466-2021")</f>
        <v/>
      </c>
      <c r="W109">
        <f>HYPERLINK("https://klasma.github.io/Logging_1885/kartor/A 70466-2021 karta.png", "A 70466-2021")</f>
        <v/>
      </c>
      <c r="X109">
        <f>HYPERLINK("https://klasma.github.io/Logging_1885/knärot/A 70466-2021 karta knärot.png", "A 70466-2021")</f>
        <v/>
      </c>
      <c r="Y109">
        <f>HYPERLINK("https://klasma.github.io/Logging_1885/klagomål/A 70466-2021 FSC-klagomål.docx", "A 70466-2021")</f>
        <v/>
      </c>
      <c r="Z109">
        <f>HYPERLINK("https://klasma.github.io/Logging_1885/klagomålsmail/A 70466-2021 FSC-klagomål mail.docx", "A 70466-2021")</f>
        <v/>
      </c>
      <c r="AA109">
        <f>HYPERLINK("https://klasma.github.io/Logging_1885/tillsyn/A 70466-2021 tillsynsbegäran.docx", "A 70466-2021")</f>
        <v/>
      </c>
      <c r="AB109">
        <f>HYPERLINK("https://klasma.github.io/Logging_1885/tillsynsmail/A 70466-2021 tillsynsbegäran mail.docx", "A 70466-2021")</f>
        <v/>
      </c>
    </row>
    <row r="110" ht="15" customHeight="1">
      <c r="A110" t="inlineStr">
        <is>
          <t>A 21084-2026</t>
        </is>
      </c>
      <c r="B110" t="inlineStr">
        <is>
          <t>avverkningsanmälan</t>
        </is>
      </c>
      <c r="C110" t="inlineStr">
        <is>
          <t>Föryngringsavverkning</t>
        </is>
      </c>
      <c r="D110" s="1" t="n">
        <v>46146</v>
      </c>
      <c r="E110" s="1" t="n">
        <v>46220</v>
      </c>
      <c r="F110" t="inlineStr">
        <is>
          <t>ÖREBRO LÄN</t>
        </is>
      </c>
      <c r="G110" t="inlineStr">
        <is>
          <t>LINDESBERG</t>
        </is>
      </c>
      <c r="H110" t="inlineStr">
        <is>
          <t>Sveaskog</t>
        </is>
      </c>
      <c r="I110" t="n">
        <v>1.5</v>
      </c>
      <c r="J110" t="n">
        <v>0</v>
      </c>
      <c r="K110" t="n">
        <v>0</v>
      </c>
      <c r="L110" t="n">
        <v>0</v>
      </c>
      <c r="M110" t="n">
        <v>1</v>
      </c>
      <c r="N110" t="n">
        <v>0</v>
      </c>
      <c r="O110" t="n">
        <v>0</v>
      </c>
      <c r="P110" t="n">
        <v>0</v>
      </c>
      <c r="Q110" t="n">
        <v>1</v>
      </c>
      <c r="R110" t="n">
        <v>1</v>
      </c>
      <c r="S110" t="n">
        <v>1</v>
      </c>
      <c r="T110" t="n">
        <v>1</v>
      </c>
      <c r="U110" s="2" t="inlineStr">
        <is>
          <t>Garnlav</t>
        </is>
      </c>
      <c r="V110">
        <f>HYPERLINK("https://klasma.github.io/Logging_1885/artfynd/A 21084-2026 artfynd.xlsx", "A 21084-2026")</f>
        <v/>
      </c>
      <c r="W110">
        <f>HYPERLINK("https://klasma.github.io/Logging_1885/kartor/A 21084-2026 karta.png", "A 21084-2026")</f>
        <v/>
      </c>
      <c r="Y110">
        <f>HYPERLINK("https://klasma.github.io/Logging_1885/klagomål/A 21084-2026 FSC-klagomål.docx", "A 21084-2026")</f>
        <v/>
      </c>
      <c r="Z110">
        <f>HYPERLINK("https://klasma.github.io/Logging_1885/klagomålsmail/A 21084-2026 FSC-klagomål mail.docx", "A 21084-2026")</f>
        <v/>
      </c>
      <c r="AA110">
        <f>HYPERLINK("https://klasma.github.io/Logging_1885/tillsyn/A 21084-2026 tillsynsbegäran.docx", "A 21084-2026")</f>
        <v/>
      </c>
      <c r="AB110">
        <f>HYPERLINK("https://klasma.github.io/Logging_1885/tillsynsmail/A 21084-2026 tillsynsbegäran mail.docx", "A 21084-2026")</f>
        <v/>
      </c>
    </row>
    <row r="111" ht="15" customHeight="1">
      <c r="A111" t="inlineStr">
        <is>
          <t>A 50964-2023</t>
        </is>
      </c>
      <c r="B111" t="inlineStr">
        <is>
          <t>avverkningsanmälan</t>
        </is>
      </c>
      <c r="C111" t="inlineStr">
        <is>
          <t>Föryngringsavverkning</t>
        </is>
      </c>
      <c r="D111" s="1" t="n">
        <v>45218</v>
      </c>
      <c r="E111" s="1" t="n">
        <v>46220</v>
      </c>
      <c r="F111" t="inlineStr">
        <is>
          <t>ÖREBRO LÄN</t>
        </is>
      </c>
      <c r="G111" t="inlineStr">
        <is>
          <t>LINDESBERG</t>
        </is>
      </c>
      <c r="H111" t="inlineStr">
        <is>
          <t>Sveaskog</t>
        </is>
      </c>
      <c r="I111" t="n">
        <v>0.7</v>
      </c>
      <c r="J111" t="n">
        <v>0</v>
      </c>
      <c r="K111" t="n">
        <v>1</v>
      </c>
      <c r="L111" t="n">
        <v>0</v>
      </c>
      <c r="M111" t="n">
        <v>0</v>
      </c>
      <c r="N111" t="n">
        <v>0</v>
      </c>
      <c r="O111" t="n">
        <v>0</v>
      </c>
      <c r="P111" t="n">
        <v>0</v>
      </c>
      <c r="Q111" t="n">
        <v>0</v>
      </c>
      <c r="R111" t="n">
        <v>0</v>
      </c>
      <c r="S111" t="n">
        <v>1</v>
      </c>
      <c r="T111" t="n">
        <v>1</v>
      </c>
      <c r="U111" s="2" t="inlineStr">
        <is>
          <t>Gulnål</t>
        </is>
      </c>
      <c r="V111">
        <f>HYPERLINK("https://klasma.github.io/Logging_1885/artfynd/A 50964-2023 artfynd.xlsx", "A 50964-2023")</f>
        <v/>
      </c>
      <c r="W111">
        <f>HYPERLINK("https://klasma.github.io/Logging_1885/kartor/A 50964-2023 karta.png", "A 50964-2023")</f>
        <v/>
      </c>
      <c r="Y111">
        <f>HYPERLINK("https://klasma.github.io/Logging_1885/klagomål/A 50964-2023 FSC-klagomål.docx", "A 50964-2023")</f>
        <v/>
      </c>
      <c r="Z111">
        <f>HYPERLINK("https://klasma.github.io/Logging_1885/klagomålsmail/A 50964-2023 FSC-klagomål mail.docx", "A 50964-2023")</f>
        <v/>
      </c>
      <c r="AA111">
        <f>HYPERLINK("https://klasma.github.io/Logging_1885/tillsyn/A 50964-2023 tillsynsbegäran.docx", "A 50964-2023")</f>
        <v/>
      </c>
      <c r="AB111">
        <f>HYPERLINK("https://klasma.github.io/Logging_1885/tillsynsmail/A 50964-2023 tillsynsbegäran mail.docx", "A 50964-2023")</f>
        <v/>
      </c>
    </row>
    <row r="112" ht="15" customHeight="1">
      <c r="A112" t="inlineStr">
        <is>
          <t>A 58206-2023</t>
        </is>
      </c>
      <c r="B112" t="inlineStr">
        <is>
          <t>avverkningsanmälan</t>
        </is>
      </c>
      <c r="C112" t="inlineStr">
        <is>
          <t>Föryngringsavverkning</t>
        </is>
      </c>
      <c r="D112" s="1" t="n">
        <v>45250</v>
      </c>
      <c r="E112" s="1" t="n">
        <v>46220</v>
      </c>
      <c r="F112" t="inlineStr">
        <is>
          <t>ÖREBRO LÄN</t>
        </is>
      </c>
      <c r="G112" t="inlineStr">
        <is>
          <t>LINDESBERG</t>
        </is>
      </c>
      <c r="H112" t="inlineStr">
        <is>
          <t>Sveaskog</t>
        </is>
      </c>
      <c r="I112" t="n">
        <v>1.4</v>
      </c>
      <c r="J112" t="n">
        <v>1</v>
      </c>
      <c r="K112" t="n">
        <v>0</v>
      </c>
      <c r="L112" t="n">
        <v>0</v>
      </c>
      <c r="M112" t="n">
        <v>0</v>
      </c>
      <c r="N112" t="n">
        <v>0</v>
      </c>
      <c r="O112" t="n">
        <v>0</v>
      </c>
      <c r="P112" t="n">
        <v>0</v>
      </c>
      <c r="Q112" t="n">
        <v>0</v>
      </c>
      <c r="R112" t="n">
        <v>0</v>
      </c>
      <c r="S112" t="n">
        <v>1</v>
      </c>
      <c r="T112" t="n">
        <v>1</v>
      </c>
      <c r="U112" s="2" t="inlineStr">
        <is>
          <t>Fläcknycklar</t>
        </is>
      </c>
      <c r="V112">
        <f>HYPERLINK("https://klasma.github.io/Logging_1885/artfynd/A 58206-2023 artfynd.xlsx", "A 58206-2023")</f>
        <v/>
      </c>
      <c r="W112">
        <f>HYPERLINK("https://klasma.github.io/Logging_1885/kartor/A 58206-2023 karta.png", "A 58206-2023")</f>
        <v/>
      </c>
      <c r="Y112">
        <f>HYPERLINK("https://klasma.github.io/Logging_1885/klagomål/A 58206-2023 FSC-klagomål.docx", "A 58206-2023")</f>
        <v/>
      </c>
      <c r="Z112">
        <f>HYPERLINK("https://klasma.github.io/Logging_1885/klagomålsmail/A 58206-2023 FSC-klagomål mail.docx", "A 58206-2023")</f>
        <v/>
      </c>
      <c r="AA112">
        <f>HYPERLINK("https://klasma.github.io/Logging_1885/tillsyn/A 58206-2023 tillsynsbegäran.docx", "A 58206-2023")</f>
        <v/>
      </c>
      <c r="AB112">
        <f>HYPERLINK("https://klasma.github.io/Logging_1885/tillsynsmail/A 58206-2023 tillsynsbegäran mail.docx", "A 58206-2023")</f>
        <v/>
      </c>
    </row>
    <row r="113" ht="15" customHeight="1">
      <c r="A113" t="inlineStr">
        <is>
          <t>A 21871-2026</t>
        </is>
      </c>
      <c r="B113" t="inlineStr">
        <is>
          <t>avverkningsanmälan</t>
        </is>
      </c>
      <c r="C113" t="inlineStr">
        <is>
          <t>Föryngringsavverkning</t>
        </is>
      </c>
      <c r="D113" s="1" t="n">
        <v>46150</v>
      </c>
      <c r="E113" s="1" t="n">
        <v>46220</v>
      </c>
      <c r="F113" t="inlineStr">
        <is>
          <t>ÖREBRO LÄN</t>
        </is>
      </c>
      <c r="G113" t="inlineStr">
        <is>
          <t>LINDESBERG</t>
        </is>
      </c>
      <c r="H113" t="inlineStr">
        <is>
          <t>Sveaskog</t>
        </is>
      </c>
      <c r="I113" t="n">
        <v>0.9</v>
      </c>
      <c r="J113" t="n">
        <v>0</v>
      </c>
      <c r="K113" t="n">
        <v>0</v>
      </c>
      <c r="L113" t="n">
        <v>1</v>
      </c>
      <c r="M113" t="n">
        <v>0</v>
      </c>
      <c r="N113" t="n">
        <v>0</v>
      </c>
      <c r="O113" t="n">
        <v>0</v>
      </c>
      <c r="P113" t="n">
        <v>0</v>
      </c>
      <c r="Q113" t="n">
        <v>1</v>
      </c>
      <c r="R113" t="n">
        <v>0</v>
      </c>
      <c r="S113" t="n">
        <v>1</v>
      </c>
      <c r="T113" t="n">
        <v>1</v>
      </c>
      <c r="U113" s="2" t="inlineStr">
        <is>
          <t>Barrviolspindling</t>
        </is>
      </c>
      <c r="V113">
        <f>HYPERLINK("https://klasma.github.io/Logging_1885/artfynd/A 21871-2026 artfynd.xlsx", "A 21871-2026")</f>
        <v/>
      </c>
      <c r="W113">
        <f>HYPERLINK("https://klasma.github.io/Logging_1885/kartor/A 21871-2026 karta.png", "A 21871-2026")</f>
        <v/>
      </c>
      <c r="Y113">
        <f>HYPERLINK("https://klasma.github.io/Logging_1885/klagomål/A 21871-2026 FSC-klagomål.docx", "A 21871-2026")</f>
        <v/>
      </c>
      <c r="Z113">
        <f>HYPERLINK("https://klasma.github.io/Logging_1885/klagomålsmail/A 21871-2026 FSC-klagomål mail.docx", "A 21871-2026")</f>
        <v/>
      </c>
      <c r="AA113">
        <f>HYPERLINK("https://klasma.github.io/Logging_1885/tillsyn/A 21871-2026 tillsynsbegäran.docx", "A 21871-2026")</f>
        <v/>
      </c>
      <c r="AB113">
        <f>HYPERLINK("https://klasma.github.io/Logging_1885/tillsynsmail/A 21871-2026 tillsynsbegäran mail.docx", "A 21871-2026")</f>
        <v/>
      </c>
    </row>
    <row r="114" ht="15" customHeight="1">
      <c r="A114" t="inlineStr">
        <is>
          <t>A 22747-2026</t>
        </is>
      </c>
      <c r="B114" t="inlineStr">
        <is>
          <t>avverkningsanmälan</t>
        </is>
      </c>
      <c r="C114" t="inlineStr">
        <is>
          <t>Föryngringsavverkning</t>
        </is>
      </c>
      <c r="D114" s="1" t="n">
        <v>46157</v>
      </c>
      <c r="E114" s="1" t="n">
        <v>46220</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s="2" t="inlineStr">
        <is>
          <t>Fiskgjuse</t>
        </is>
      </c>
      <c r="V114">
        <f>HYPERLINK("https://klasma.github.io/Logging_1885/artfynd/A 22747-2026 artfynd.xlsx", "A 22747-2026")</f>
        <v/>
      </c>
      <c r="W114">
        <f>HYPERLINK("https://klasma.github.io/Logging_1885/kartor/A 22747-2026 karta.png", "A 22747-2026")</f>
        <v/>
      </c>
      <c r="Y114">
        <f>HYPERLINK("https://klasma.github.io/Logging_1885/klagomål/A 22747-2026 FSC-klagomål.docx", "A 22747-2026")</f>
        <v/>
      </c>
      <c r="Z114">
        <f>HYPERLINK("https://klasma.github.io/Logging_1885/klagomålsmail/A 22747-2026 FSC-klagomål mail.docx", "A 22747-2026")</f>
        <v/>
      </c>
      <c r="AA114">
        <f>HYPERLINK("https://klasma.github.io/Logging_1885/tillsyn/A 22747-2026 tillsynsbegäran.docx", "A 22747-2026")</f>
        <v/>
      </c>
      <c r="AB114">
        <f>HYPERLINK("https://klasma.github.io/Logging_1885/tillsynsmail/A 22747-2026 tillsynsbegäran mail.docx", "A 22747-2026")</f>
        <v/>
      </c>
      <c r="AC114">
        <f>HYPERLINK("https://klasma.github.io/Logging_1885/fåglar/A 22747-2026 prioriterade fågelarter.docx", "A 22747-2026")</f>
        <v/>
      </c>
    </row>
    <row r="115" ht="15" customHeight="1">
      <c r="A115" t="inlineStr">
        <is>
          <t>A 29404-2026</t>
        </is>
      </c>
      <c r="B115" t="inlineStr">
        <is>
          <t>avverkningsanmälan</t>
        </is>
      </c>
      <c r="C115" t="inlineStr">
        <is>
          <t>Föryngringsavverkning</t>
        </is>
      </c>
      <c r="D115" s="1" t="n">
        <v>46203</v>
      </c>
      <c r="E115" s="1" t="n">
        <v>46220</v>
      </c>
      <c r="F115" t="inlineStr">
        <is>
          <t>ÖREBRO LÄN</t>
        </is>
      </c>
      <c r="G115" t="inlineStr">
        <is>
          <t>LINDESBERG</t>
        </is>
      </c>
      <c r="H115" t="inlineStr">
        <is>
          <t>Sveaskog</t>
        </is>
      </c>
      <c r="I115" t="n">
        <v>10.1</v>
      </c>
      <c r="J115" t="n">
        <v>1</v>
      </c>
      <c r="K115" t="n">
        <v>0</v>
      </c>
      <c r="L115" t="n">
        <v>0</v>
      </c>
      <c r="M115" t="n">
        <v>0</v>
      </c>
      <c r="N115" t="n">
        <v>0</v>
      </c>
      <c r="O115" t="n">
        <v>0</v>
      </c>
      <c r="P115" t="n">
        <v>0</v>
      </c>
      <c r="Q115" t="n">
        <v>0</v>
      </c>
      <c r="R115" t="n">
        <v>0</v>
      </c>
      <c r="S115" t="n">
        <v>1</v>
      </c>
      <c r="T115" t="n">
        <v>1</v>
      </c>
      <c r="U115" s="2" t="inlineStr">
        <is>
          <t>Tjäder</t>
        </is>
      </c>
      <c r="V115">
        <f>HYPERLINK("https://klasma.github.io/Logging_1885/artfynd/A 29404-2026 artfynd.xlsx", "A 29404-2026")</f>
        <v/>
      </c>
      <c r="W115">
        <f>HYPERLINK("https://klasma.github.io/Logging_1885/kartor/A 29404-2026 karta.png", "A 29404-2026")</f>
        <v/>
      </c>
      <c r="Y115">
        <f>HYPERLINK("https://klasma.github.io/Logging_1885/klagomål/A 29404-2026 FSC-klagomål.docx", "A 29404-2026")</f>
        <v/>
      </c>
      <c r="Z115">
        <f>HYPERLINK("https://klasma.github.io/Logging_1885/klagomålsmail/A 29404-2026 FSC-klagomål mail.docx", "A 29404-2026")</f>
        <v/>
      </c>
      <c r="AA115">
        <f>HYPERLINK("https://klasma.github.io/Logging_1885/tillsyn/A 29404-2026 tillsynsbegäran.docx", "A 29404-2026")</f>
        <v/>
      </c>
      <c r="AB115">
        <f>HYPERLINK("https://klasma.github.io/Logging_1885/tillsynsmail/A 29404-2026 tillsynsbegäran mail.docx", "A 29404-2026")</f>
        <v/>
      </c>
      <c r="AC115">
        <f>HYPERLINK("https://klasma.github.io/Logging_1885/fåglar/A 29404-2026 prioriterade fågelarter.docx", "A 29404-2026")</f>
        <v/>
      </c>
    </row>
    <row r="116" ht="15" customHeight="1">
      <c r="A116" t="inlineStr">
        <is>
          <t>A 28787-2023</t>
        </is>
      </c>
      <c r="B116" t="inlineStr">
        <is>
          <t>avverkningsanmälan</t>
        </is>
      </c>
      <c r="C116" t="inlineStr">
        <is>
          <t>Föryngringsavverkning</t>
        </is>
      </c>
      <c r="D116" s="1" t="n">
        <v>45104</v>
      </c>
      <c r="E116" s="1" t="n">
        <v>46220</v>
      </c>
      <c r="F116" t="inlineStr">
        <is>
          <t>ÖREBRO LÄN</t>
        </is>
      </c>
      <c r="G116" t="inlineStr">
        <is>
          <t>LINDESBERG</t>
        </is>
      </c>
      <c r="H116" t="inlineStr">
        <is>
          <t>Sveaskog</t>
        </is>
      </c>
      <c r="I116" t="n">
        <v>0.5</v>
      </c>
      <c r="J116" t="n">
        <v>1</v>
      </c>
      <c r="K116" t="n">
        <v>0</v>
      </c>
      <c r="L116" t="n">
        <v>0</v>
      </c>
      <c r="M116" t="n">
        <v>0</v>
      </c>
      <c r="N116" t="n">
        <v>0</v>
      </c>
      <c r="O116" t="n">
        <v>0</v>
      </c>
      <c r="P116" t="n">
        <v>0</v>
      </c>
      <c r="Q116" t="n">
        <v>0</v>
      </c>
      <c r="R116" t="n">
        <v>0</v>
      </c>
      <c r="S116" t="n">
        <v>1</v>
      </c>
      <c r="T116" t="n">
        <v>1</v>
      </c>
      <c r="U116" s="2" t="inlineStr">
        <is>
          <t>Fläcknycklar</t>
        </is>
      </c>
      <c r="V116">
        <f>HYPERLINK("https://klasma.github.io/Logging_1885/artfynd/A 28787-2023 artfynd.xlsx", "A 28787-2023")</f>
        <v/>
      </c>
      <c r="W116">
        <f>HYPERLINK("https://klasma.github.io/Logging_1885/kartor/A 28787-2023 karta.png", "A 28787-2023")</f>
        <v/>
      </c>
      <c r="Y116">
        <f>HYPERLINK("https://klasma.github.io/Logging_1885/klagomål/A 28787-2023 FSC-klagomål.docx", "A 28787-2023")</f>
        <v/>
      </c>
      <c r="Z116">
        <f>HYPERLINK("https://klasma.github.io/Logging_1885/klagomålsmail/A 28787-2023 FSC-klagomål mail.docx", "A 28787-2023")</f>
        <v/>
      </c>
      <c r="AA116">
        <f>HYPERLINK("https://klasma.github.io/Logging_1885/tillsyn/A 28787-2023 tillsynsbegäran.docx", "A 28787-2023")</f>
        <v/>
      </c>
      <c r="AB116">
        <f>HYPERLINK("https://klasma.github.io/Logging_1885/tillsynsmail/A 28787-2023 tillsynsbegäran mail.docx", "A 28787-2023")</f>
        <v/>
      </c>
    </row>
    <row r="117" ht="15" customHeight="1">
      <c r="A117" t="inlineStr">
        <is>
          <t>A 29409-2026</t>
        </is>
      </c>
      <c r="B117" t="inlineStr">
        <is>
          <t>avverkningsanmälan</t>
        </is>
      </c>
      <c r="C117" t="inlineStr">
        <is>
          <t>Föryngringsavverkning</t>
        </is>
      </c>
      <c r="D117" s="1" t="n">
        <v>46203</v>
      </c>
      <c r="E117" s="1" t="n">
        <v>46220</v>
      </c>
      <c r="F117" t="inlineStr">
        <is>
          <t>ÖREBRO LÄN</t>
        </is>
      </c>
      <c r="G117" t="inlineStr">
        <is>
          <t>LINDESBERG</t>
        </is>
      </c>
      <c r="H117" t="inlineStr">
        <is>
          <t>Sveaskog</t>
        </is>
      </c>
      <c r="I117" t="n">
        <v>7.9</v>
      </c>
      <c r="J117" t="n">
        <v>1</v>
      </c>
      <c r="K117" t="n">
        <v>0</v>
      </c>
      <c r="L117" t="n">
        <v>0</v>
      </c>
      <c r="M117" t="n">
        <v>0</v>
      </c>
      <c r="N117" t="n">
        <v>0</v>
      </c>
      <c r="O117" t="n">
        <v>0</v>
      </c>
      <c r="P117" t="n">
        <v>0</v>
      </c>
      <c r="Q117" t="n">
        <v>0</v>
      </c>
      <c r="R117" t="n">
        <v>0</v>
      </c>
      <c r="S117" t="n">
        <v>1</v>
      </c>
      <c r="T117" t="n">
        <v>2</v>
      </c>
      <c r="U117" s="2" t="inlineStr">
        <is>
          <t>Tjäder</t>
        </is>
      </c>
      <c r="V117">
        <f>HYPERLINK("https://klasma.github.io/Logging_1885/artfynd/A 29409-2026 artfynd.xlsx", "A 29409-2026")</f>
        <v/>
      </c>
      <c r="W117">
        <f>HYPERLINK("https://klasma.github.io/Logging_1885/kartor/A 29409-2026 karta.png", "A 29409-2026")</f>
        <v/>
      </c>
      <c r="Y117">
        <f>HYPERLINK("https://klasma.github.io/Logging_1885/klagomål/A 29409-2026 FSC-klagomål.docx", "A 29409-2026")</f>
        <v/>
      </c>
      <c r="Z117">
        <f>HYPERLINK("https://klasma.github.io/Logging_1885/klagomålsmail/A 29409-2026 FSC-klagomål mail.docx", "A 29409-2026")</f>
        <v/>
      </c>
      <c r="AA117">
        <f>HYPERLINK("https://klasma.github.io/Logging_1885/tillsyn/A 29409-2026 tillsynsbegäran.docx", "A 29409-2026")</f>
        <v/>
      </c>
      <c r="AB117">
        <f>HYPERLINK("https://klasma.github.io/Logging_1885/tillsynsmail/A 29409-2026 tillsynsbegäran mail.docx", "A 29409-2026")</f>
        <v/>
      </c>
      <c r="AC117">
        <f>HYPERLINK("https://klasma.github.io/Logging_1885/fåglar/A 29409-2026 prioriterade fågelarter.docx", "A 29409-2026")</f>
        <v/>
      </c>
    </row>
    <row r="118" ht="15" customHeight="1">
      <c r="A118" t="inlineStr">
        <is>
          <t>A 23337-2026</t>
        </is>
      </c>
      <c r="B118" t="inlineStr">
        <is>
          <t>avverkningsanmälan</t>
        </is>
      </c>
      <c r="C118" t="inlineStr">
        <is>
          <t>Föryngringsavverkning</t>
        </is>
      </c>
      <c r="D118" s="1" t="n">
        <v>46162</v>
      </c>
      <c r="E118" s="1" t="n">
        <v>46220</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s="2" t="inlineStr">
        <is>
          <t>Spillkråka</t>
        </is>
      </c>
      <c r="V118">
        <f>HYPERLINK("https://klasma.github.io/Logging_1885/artfynd/A 23337-2026 artfynd.xlsx", "A 23337-2026")</f>
        <v/>
      </c>
      <c r="W118">
        <f>HYPERLINK("https://klasma.github.io/Logging_1885/kartor/A 23337-2026 karta.png", "A 23337-2026")</f>
        <v/>
      </c>
      <c r="Y118">
        <f>HYPERLINK("https://klasma.github.io/Logging_1885/klagomål/A 23337-2026 FSC-klagomål.docx", "A 23337-2026")</f>
        <v/>
      </c>
      <c r="Z118">
        <f>HYPERLINK("https://klasma.github.io/Logging_1885/klagomålsmail/A 23337-2026 FSC-klagomål mail.docx", "A 23337-2026")</f>
        <v/>
      </c>
      <c r="AA118">
        <f>HYPERLINK("https://klasma.github.io/Logging_1885/tillsyn/A 23337-2026 tillsynsbegäran.docx", "A 23337-2026")</f>
        <v/>
      </c>
      <c r="AB118">
        <f>HYPERLINK("https://klasma.github.io/Logging_1885/tillsynsmail/A 23337-2026 tillsynsbegäran mail.docx", "A 23337-2026")</f>
        <v/>
      </c>
      <c r="AC118">
        <f>HYPERLINK("https://klasma.github.io/Logging_1885/fåglar/A 23337-2026 prioriterade fågelarter.docx", "A 23337-2026")</f>
        <v/>
      </c>
    </row>
    <row r="119" ht="15" customHeight="1">
      <c r="A119" t="inlineStr">
        <is>
          <t>A 27130-2024</t>
        </is>
      </c>
      <c r="B119" t="inlineStr">
        <is>
          <t>avverkningsanmälan</t>
        </is>
      </c>
      <c r="C119" t="inlineStr">
        <is>
          <t>Föryngringsavverkning</t>
        </is>
      </c>
      <c r="D119" s="1" t="n">
        <v>45471</v>
      </c>
      <c r="E119" s="1" t="n">
        <v>46220</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s="2" t="inlineStr">
        <is>
          <t>Utter</t>
        </is>
      </c>
      <c r="V119">
        <f>HYPERLINK("https://klasma.github.io/Logging_1885/artfynd/A 27130-2024 artfynd.xlsx", "A 27130-2024")</f>
        <v/>
      </c>
      <c r="W119">
        <f>HYPERLINK("https://klasma.github.io/Logging_1885/kartor/A 27130-2024 karta.png", "A 27130-2024")</f>
        <v/>
      </c>
      <c r="Y119">
        <f>HYPERLINK("https://klasma.github.io/Logging_1885/klagomål/A 27130-2024 FSC-klagomål.docx", "A 27130-2024")</f>
        <v/>
      </c>
      <c r="Z119">
        <f>HYPERLINK("https://klasma.github.io/Logging_1885/klagomålsmail/A 27130-2024 FSC-klagomål mail.docx", "A 27130-2024")</f>
        <v/>
      </c>
      <c r="AA119">
        <f>HYPERLINK("https://klasma.github.io/Logging_1885/tillsyn/A 27130-2024 tillsynsbegäran.docx", "A 27130-2024")</f>
        <v/>
      </c>
      <c r="AB119">
        <f>HYPERLINK("https://klasma.github.io/Logging_1885/tillsynsmail/A 27130-2024 tillsynsbegäran mail.docx", "A 27130-2024")</f>
        <v/>
      </c>
    </row>
    <row r="120" ht="15" customHeight="1">
      <c r="A120" t="inlineStr">
        <is>
          <t>A 6161-2025</t>
        </is>
      </c>
      <c r="B120" t="inlineStr">
        <is>
          <t>avverkningsanmälan</t>
        </is>
      </c>
      <c r="C120" t="inlineStr">
        <is>
          <t>Avverkning för att bevara och utveckla /försöksver</t>
        </is>
      </c>
      <c r="D120" s="1" t="n">
        <v>45698</v>
      </c>
      <c r="E120" s="1" t="n">
        <v>46220</v>
      </c>
      <c r="F120" t="inlineStr">
        <is>
          <t>ÖREBRO LÄN</t>
        </is>
      </c>
      <c r="G120" t="inlineStr">
        <is>
          <t>LINDESBERG</t>
        </is>
      </c>
      <c r="H120" t="inlineStr">
        <is>
          <t>Sveaskog</t>
        </is>
      </c>
      <c r="I120" t="n">
        <v>3.7</v>
      </c>
      <c r="J120" t="n">
        <v>1</v>
      </c>
      <c r="K120" t="n">
        <v>0</v>
      </c>
      <c r="L120" t="n">
        <v>1</v>
      </c>
      <c r="M120" t="n">
        <v>0</v>
      </c>
      <c r="N120" t="n">
        <v>0</v>
      </c>
      <c r="O120" t="n">
        <v>0</v>
      </c>
      <c r="P120" t="n">
        <v>0</v>
      </c>
      <c r="Q120" t="n">
        <v>1</v>
      </c>
      <c r="R120" t="n">
        <v>0</v>
      </c>
      <c r="S120" t="n">
        <v>1</v>
      </c>
      <c r="T120" t="n">
        <v>1</v>
      </c>
      <c r="U120" s="2" t="inlineStr">
        <is>
          <t>Nordfladdermus</t>
        </is>
      </c>
      <c r="V120">
        <f>HYPERLINK("https://klasma.github.io/Logging_1885/artfynd/A 6161-2025 artfynd.xlsx", "A 6161-2025")</f>
        <v/>
      </c>
      <c r="W120">
        <f>HYPERLINK("https://klasma.github.io/Logging_1885/kartor/A 6161-2025 karta.png", "A 6161-2025")</f>
        <v/>
      </c>
      <c r="Y120">
        <f>HYPERLINK("https://klasma.github.io/Logging_1885/klagomål/A 6161-2025 FSC-klagomål.docx", "A 6161-2025")</f>
        <v/>
      </c>
      <c r="Z120">
        <f>HYPERLINK("https://klasma.github.io/Logging_1885/klagomålsmail/A 6161-2025 FSC-klagomål mail.docx", "A 6161-2025")</f>
        <v/>
      </c>
      <c r="AA120">
        <f>HYPERLINK("https://klasma.github.io/Logging_1885/tillsyn/A 6161-2025 tillsynsbegäran.docx", "A 6161-2025")</f>
        <v/>
      </c>
      <c r="AB120">
        <f>HYPERLINK("https://klasma.github.io/Logging_1885/tillsynsmail/A 6161-2025 tillsynsbegäran mail.docx", "A 6161-2025")</f>
        <v/>
      </c>
    </row>
    <row r="121" ht="15" customHeight="1">
      <c r="A121" t="inlineStr">
        <is>
          <t>A 6165-2025</t>
        </is>
      </c>
      <c r="B121" t="inlineStr">
        <is>
          <t>avverkningsanmälan</t>
        </is>
      </c>
      <c r="C121" t="inlineStr">
        <is>
          <t>Avverkning för att bevara och utveckla /försöksver</t>
        </is>
      </c>
      <c r="D121" s="1" t="n">
        <v>45698</v>
      </c>
      <c r="E121" s="1" t="n">
        <v>46220</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s="2" t="inlineStr">
        <is>
          <t>Bågpraktmossa</t>
        </is>
      </c>
      <c r="V121">
        <f>HYPERLINK("https://klasma.github.io/Logging_1885/artfynd/A 6165-2025 artfynd.xlsx", "A 6165-2025")</f>
        <v/>
      </c>
      <c r="W121">
        <f>HYPERLINK("https://klasma.github.io/Logging_1885/kartor/A 6165-2025 karta.png", "A 6165-2025")</f>
        <v/>
      </c>
      <c r="Y121">
        <f>HYPERLINK("https://klasma.github.io/Logging_1885/klagomål/A 6165-2025 FSC-klagomål.docx", "A 6165-2025")</f>
        <v/>
      </c>
      <c r="Z121">
        <f>HYPERLINK("https://klasma.github.io/Logging_1885/klagomålsmail/A 6165-2025 FSC-klagomål mail.docx", "A 6165-2025")</f>
        <v/>
      </c>
      <c r="AA121">
        <f>HYPERLINK("https://klasma.github.io/Logging_1885/tillsyn/A 6165-2025 tillsynsbegäran.docx", "A 6165-2025")</f>
        <v/>
      </c>
      <c r="AB121">
        <f>HYPERLINK("https://klasma.github.io/Logging_1885/tillsynsmail/A 6165-2025 tillsynsbegäran mail.docx", "A 6165-2025")</f>
        <v/>
      </c>
    </row>
    <row r="122" ht="15" customHeight="1">
      <c r="A122" t="inlineStr">
        <is>
          <t>A 195-2022</t>
        </is>
      </c>
      <c r="B122" t="inlineStr">
        <is>
          <t>avverkningsanmälan</t>
        </is>
      </c>
      <c r="C122" t="inlineStr">
        <is>
          <t>Föryngringsavverkning</t>
        </is>
      </c>
      <c r="D122" s="1" t="n">
        <v>44564</v>
      </c>
      <c r="E122" s="1" t="n">
        <v>46220</v>
      </c>
      <c r="F122" t="inlineStr">
        <is>
          <t>ÖREBRO LÄN</t>
        </is>
      </c>
      <c r="G122" t="inlineStr">
        <is>
          <t>LINDESBERG</t>
        </is>
      </c>
      <c r="I122" t="n">
        <v>4.7</v>
      </c>
      <c r="J122" t="n">
        <v>0</v>
      </c>
      <c r="K122" t="n">
        <v>0</v>
      </c>
      <c r="L122" t="n">
        <v>1</v>
      </c>
      <c r="M122" t="n">
        <v>0</v>
      </c>
      <c r="N122" t="n">
        <v>0</v>
      </c>
      <c r="O122" t="n">
        <v>0</v>
      </c>
      <c r="P122" t="n">
        <v>0</v>
      </c>
      <c r="Q122" t="n">
        <v>1</v>
      </c>
      <c r="R122" t="n">
        <v>0</v>
      </c>
      <c r="S122" t="n">
        <v>1</v>
      </c>
      <c r="T122" t="n">
        <v>1</v>
      </c>
      <c r="U122" s="2" t="inlineStr">
        <is>
          <t>Dropptaggsvamp</t>
        </is>
      </c>
      <c r="V122">
        <f>HYPERLINK("https://klasma.github.io/Logging_1885/artfynd/A 195-2022 artfynd.xlsx", "A 195-2022")</f>
        <v/>
      </c>
      <c r="W122">
        <f>HYPERLINK("https://klasma.github.io/Logging_1885/kartor/A 195-2022 karta.png", "A 195-2022")</f>
        <v/>
      </c>
      <c r="Y122">
        <f>HYPERLINK("https://klasma.github.io/Logging_1885/klagomål/A 195-2022 FSC-klagomål.docx", "A 195-2022")</f>
        <v/>
      </c>
      <c r="Z122">
        <f>HYPERLINK("https://klasma.github.io/Logging_1885/klagomålsmail/A 195-2022 FSC-klagomål mail.docx", "A 195-2022")</f>
        <v/>
      </c>
      <c r="AA122">
        <f>HYPERLINK("https://klasma.github.io/Logging_1885/tillsyn/A 195-2022 tillsynsbegäran.docx", "A 195-2022")</f>
        <v/>
      </c>
      <c r="AB122">
        <f>HYPERLINK("https://klasma.github.io/Logging_1885/tillsynsmail/A 195-2022 tillsynsbegäran mail.docx", "A 195-2022")</f>
        <v/>
      </c>
    </row>
    <row r="123" ht="15" customHeight="1">
      <c r="A123" t="inlineStr">
        <is>
          <t>A 21440-2025</t>
        </is>
      </c>
      <c r="B123" t="inlineStr">
        <is>
          <t>avverkningsanmälan</t>
        </is>
      </c>
      <c r="C123" t="inlineStr">
        <is>
          <t>Föryngringsavverkning</t>
        </is>
      </c>
      <c r="D123" s="1" t="n">
        <v>45782</v>
      </c>
      <c r="E123" s="1" t="n">
        <v>46220</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HYPERLINK("https://klasma.github.io/Logging_1885/artfynd/A 21440-2025 artfynd.xlsx", "A 21440-2025")</f>
        <v/>
      </c>
      <c r="W123">
        <f>HYPERLINK("https://klasma.github.io/Logging_1885/kartor/A 21440-2025 karta.png", "A 21440-2025")</f>
        <v/>
      </c>
      <c r="Y123">
        <f>HYPERLINK("https://klasma.github.io/Logging_1885/klagomål/A 21440-2025 FSC-klagomål.docx", "A 21440-2025")</f>
        <v/>
      </c>
      <c r="Z123">
        <f>HYPERLINK("https://klasma.github.io/Logging_1885/klagomålsmail/A 21440-2025 FSC-klagomål mail.docx", "A 21440-2025")</f>
        <v/>
      </c>
      <c r="AA123">
        <f>HYPERLINK("https://klasma.github.io/Logging_1885/tillsyn/A 21440-2025 tillsynsbegäran.docx", "A 21440-2025")</f>
        <v/>
      </c>
      <c r="AB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46220</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s="2" t="inlineStr">
        <is>
          <t>Bågpraktmossa</t>
        </is>
      </c>
      <c r="V124">
        <f>HYPERLINK("https://klasma.github.io/Logging_1885/artfynd/S 391-2025 artfynd.xlsx", "S 391-2025")</f>
        <v/>
      </c>
      <c r="W124">
        <f>HYPERLINK("https://klasma.github.io/Logging_1885/kartor/S 391-2025 karta.png", "S 391-2025")</f>
        <v/>
      </c>
      <c r="Y124">
        <f>HYPERLINK("https://klasma.github.io/Logging_1885/klagomål/S 391-2025 FSC-klagomål.docx", "S 391-2025")</f>
        <v/>
      </c>
      <c r="Z124">
        <f>HYPERLINK("https://klasma.github.io/Logging_1885/klagomålsmail/S 391-2025 FSC-klagomål mail.docx", "S 391-2025")</f>
        <v/>
      </c>
      <c r="AA124">
        <f>HYPERLINK("https://klasma.github.io/Logging_1885/tillsyn/S 391-2025 tillsynsbegäran.docx", "S 391-2025")</f>
        <v/>
      </c>
      <c r="AB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46220</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s="2" t="inlineStr">
        <is>
          <t>Blåmossa</t>
        </is>
      </c>
      <c r="V125">
        <f>HYPERLINK("https://klasma.github.io/Logging_1885/artfynd/S 1095-2024 artfynd.xlsx", "S 1095-2024")</f>
        <v/>
      </c>
      <c r="W125">
        <f>HYPERLINK("https://klasma.github.io/Logging_1885/kartor/S 1095-2024 karta.png", "S 1095-2024")</f>
        <v/>
      </c>
      <c r="Y125">
        <f>HYPERLINK("https://klasma.github.io/Logging_1885/klagomål/S 1095-2024 FSC-klagomål.docx", "S 1095-2024")</f>
        <v/>
      </c>
      <c r="Z125">
        <f>HYPERLINK("https://klasma.github.io/Logging_1885/klagomålsmail/S 1095-2024 FSC-klagomål mail.docx", "S 1095-2024")</f>
        <v/>
      </c>
      <c r="AA125">
        <f>HYPERLINK("https://klasma.github.io/Logging_1885/tillsyn/S 1095-2024 tillsynsbegäran.docx", "S 1095-2024")</f>
        <v/>
      </c>
      <c r="AB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46220</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s="2" t="inlineStr">
        <is>
          <t>Nordfladdermus</t>
        </is>
      </c>
      <c r="V126">
        <f>HYPERLINK("https://klasma.github.io/Logging_1885/artfynd/S 390-2025 artfynd.xlsx", "S 390-2025")</f>
        <v/>
      </c>
      <c r="W126">
        <f>HYPERLINK("https://klasma.github.io/Logging_1885/kartor/S 390-2025 karta.png", "S 390-2025")</f>
        <v/>
      </c>
      <c r="Y126">
        <f>HYPERLINK("https://klasma.github.io/Logging_1885/klagomål/S 390-2025 FSC-klagomål.docx", "S 390-2025")</f>
        <v/>
      </c>
      <c r="Z126">
        <f>HYPERLINK("https://klasma.github.io/Logging_1885/klagomålsmail/S 390-2025 FSC-klagomål mail.docx", "S 390-2025")</f>
        <v/>
      </c>
      <c r="AA126">
        <f>HYPERLINK("https://klasma.github.io/Logging_1885/tillsyn/S 390-2025 tillsynsbegäran.docx", "S 390-2025")</f>
        <v/>
      </c>
      <c r="AB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46220</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43154-2021</t>
        </is>
      </c>
      <c r="B128" t="inlineStr">
        <is>
          <t>avverkningsanmälan</t>
        </is>
      </c>
      <c r="C128" t="inlineStr">
        <is>
          <t>Föryngringsavverkning</t>
        </is>
      </c>
      <c r="D128" s="1" t="n">
        <v>44431</v>
      </c>
      <c r="E128" s="1" t="n">
        <v>46220</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47457-2022</t>
        </is>
      </c>
      <c r="B129" t="inlineStr">
        <is>
          <t>avverkningsanmälan</t>
        </is>
      </c>
      <c r="C129" t="inlineStr">
        <is>
          <t>Föryngringsavverkning</t>
        </is>
      </c>
      <c r="D129" s="1" t="n">
        <v>44853</v>
      </c>
      <c r="E129" s="1" t="n">
        <v>46220</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60302-2021</t>
        </is>
      </c>
      <c r="B130" t="inlineStr">
        <is>
          <t>avverkningsanmälan</t>
        </is>
      </c>
      <c r="C130" t="inlineStr">
        <is>
          <t>Föryngringsavverkning</t>
        </is>
      </c>
      <c r="D130" s="1" t="n">
        <v>44495</v>
      </c>
      <c r="E130" s="1" t="n">
        <v>46220</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s="2" t="inlineStr"/>
    </row>
    <row r="131" ht="15" customHeight="1">
      <c r="A131" t="inlineStr">
        <is>
          <t>A 48986-2021</t>
        </is>
      </c>
      <c r="B131" t="inlineStr">
        <is>
          <t>avverkningsanmälan</t>
        </is>
      </c>
      <c r="C131" t="inlineStr">
        <is>
          <t>Föryngringsavverkning</t>
        </is>
      </c>
      <c r="D131" s="1" t="n">
        <v>44453</v>
      </c>
      <c r="E131" s="1" t="n">
        <v>46220</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47336-2021</t>
        </is>
      </c>
      <c r="B132" t="inlineStr">
        <is>
          <t>avverkningsanmälan</t>
        </is>
      </c>
      <c r="C132" t="inlineStr">
        <is>
          <t>Föryngringsavverkning</t>
        </is>
      </c>
      <c r="D132" s="1" t="n">
        <v>44447</v>
      </c>
      <c r="E132" s="1" t="n">
        <v>46220</v>
      </c>
      <c r="F132" t="inlineStr">
        <is>
          <t>ÖREBRO LÄN</t>
        </is>
      </c>
      <c r="G132" t="inlineStr">
        <is>
          <t>LINDESBERG</t>
        </is>
      </c>
      <c r="H132" t="inlineStr">
        <is>
          <t>Kommuner</t>
        </is>
      </c>
      <c r="I132" t="n">
        <v>3.6</v>
      </c>
      <c r="J132" t="n">
        <v>0</v>
      </c>
      <c r="K132" t="n">
        <v>0</v>
      </c>
      <c r="L132" t="n">
        <v>0</v>
      </c>
      <c r="M132" t="n">
        <v>0</v>
      </c>
      <c r="N132" t="n">
        <v>0</v>
      </c>
      <c r="O132" t="n">
        <v>0</v>
      </c>
      <c r="P132" t="n">
        <v>0</v>
      </c>
      <c r="Q132" t="n">
        <v>0</v>
      </c>
      <c r="R132" t="n">
        <v>0</v>
      </c>
      <c r="S132" t="n">
        <v>0</v>
      </c>
      <c r="T132" t="n">
        <v>0</v>
      </c>
      <c r="U132" s="2" t="inlineStr"/>
    </row>
    <row r="133" ht="15" customHeight="1">
      <c r="A133" t="inlineStr">
        <is>
          <t>A 57817-2021</t>
        </is>
      </c>
      <c r="B133" t="inlineStr">
        <is>
          <t>avverkningsanmälan</t>
        </is>
      </c>
      <c r="C133" t="inlineStr">
        <is>
          <t>Föryngringsavverkning</t>
        </is>
      </c>
      <c r="D133" s="1" t="n">
        <v>44484</v>
      </c>
      <c r="E133" s="1" t="n">
        <v>46220</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63285-2021</t>
        </is>
      </c>
      <c r="B134" t="inlineStr">
        <is>
          <t>avverkningsanmälan</t>
        </is>
      </c>
      <c r="C134" t="inlineStr">
        <is>
          <t>Föryngringsavverkning</t>
        </is>
      </c>
      <c r="D134" s="1" t="n">
        <v>44508</v>
      </c>
      <c r="E134" s="1" t="n">
        <v>46220</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51468-2021</t>
        </is>
      </c>
      <c r="B135" t="inlineStr">
        <is>
          <t>avverkningsanmälan</t>
        </is>
      </c>
      <c r="C135" t="inlineStr">
        <is>
          <t>Föryngringsavverkning</t>
        </is>
      </c>
      <c r="D135" s="1" t="n">
        <v>44462</v>
      </c>
      <c r="E135" s="1" t="n">
        <v>46220</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62586-2021</t>
        </is>
      </c>
      <c r="B136" t="inlineStr">
        <is>
          <t>avverkningsanmälan</t>
        </is>
      </c>
      <c r="C136" t="inlineStr">
        <is>
          <t>Föryngringsavverkning</t>
        </is>
      </c>
      <c r="D136" s="1" t="n">
        <v>44503</v>
      </c>
      <c r="E136" s="1" t="n">
        <v>46220</v>
      </c>
      <c r="F136" t="inlineStr">
        <is>
          <t>ÖREBRO LÄN</t>
        </is>
      </c>
      <c r="G136" t="inlineStr">
        <is>
          <t>LINDESBERG</t>
        </is>
      </c>
      <c r="I136" t="n">
        <v>3.9</v>
      </c>
      <c r="J136" t="n">
        <v>0</v>
      </c>
      <c r="K136" t="n">
        <v>0</v>
      </c>
      <c r="L136" t="n">
        <v>0</v>
      </c>
      <c r="M136" t="n">
        <v>0</v>
      </c>
      <c r="N136" t="n">
        <v>0</v>
      </c>
      <c r="O136" t="n">
        <v>0</v>
      </c>
      <c r="P136" t="n">
        <v>0</v>
      </c>
      <c r="Q136" t="n">
        <v>0</v>
      </c>
      <c r="R136" t="n">
        <v>0</v>
      </c>
      <c r="S136" t="n">
        <v>0</v>
      </c>
      <c r="T136" t="n">
        <v>0</v>
      </c>
      <c r="U136" s="2" t="inlineStr"/>
    </row>
    <row r="137" ht="15" customHeight="1">
      <c r="A137" t="inlineStr">
        <is>
          <t>A 42511-2021</t>
        </is>
      </c>
      <c r="B137" t="inlineStr">
        <is>
          <t>avverkningsanmälan</t>
        </is>
      </c>
      <c r="C137" t="inlineStr">
        <is>
          <t>Föryngringsavverkning</t>
        </is>
      </c>
      <c r="D137" s="1" t="n">
        <v>44427</v>
      </c>
      <c r="E137" s="1" t="n">
        <v>46220</v>
      </c>
      <c r="F137" t="inlineStr">
        <is>
          <t>ÖREBRO LÄN</t>
        </is>
      </c>
      <c r="G137" t="inlineStr">
        <is>
          <t>LINDESBERG</t>
        </is>
      </c>
      <c r="H137" t="inlineStr">
        <is>
          <t>Sveaskog</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8555-2022</t>
        </is>
      </c>
      <c r="B138" t="inlineStr">
        <is>
          <t>avverkningsanmälan</t>
        </is>
      </c>
      <c r="C138" t="inlineStr">
        <is>
          <t>Föryngringsavverkning</t>
        </is>
      </c>
      <c r="D138" s="1" t="n">
        <v>44613</v>
      </c>
      <c r="E138" s="1" t="n">
        <v>46220</v>
      </c>
      <c r="F138" t="inlineStr">
        <is>
          <t>ÖREBRO LÄN</t>
        </is>
      </c>
      <c r="G138" t="inlineStr">
        <is>
          <t>LINDESBERG</t>
        </is>
      </c>
      <c r="I138" t="n">
        <v>8.1</v>
      </c>
      <c r="J138" t="n">
        <v>0</v>
      </c>
      <c r="K138" t="n">
        <v>0</v>
      </c>
      <c r="L138" t="n">
        <v>0</v>
      </c>
      <c r="M138" t="n">
        <v>0</v>
      </c>
      <c r="N138" t="n">
        <v>0</v>
      </c>
      <c r="O138" t="n">
        <v>0</v>
      </c>
      <c r="P138" t="n">
        <v>0</v>
      </c>
      <c r="Q138" t="n">
        <v>0</v>
      </c>
      <c r="R138" t="n">
        <v>0</v>
      </c>
      <c r="S138" t="n">
        <v>0</v>
      </c>
      <c r="T138" t="n">
        <v>0</v>
      </c>
      <c r="U138" s="2" t="inlineStr"/>
    </row>
    <row r="139" ht="15" customHeight="1">
      <c r="A139" t="inlineStr">
        <is>
          <t>A 43153-2021</t>
        </is>
      </c>
      <c r="B139" t="inlineStr">
        <is>
          <t>avverkningsanmälan</t>
        </is>
      </c>
      <c r="C139" t="inlineStr">
        <is>
          <t>Föryngringsavverkning</t>
        </is>
      </c>
      <c r="D139" s="1" t="n">
        <v>44431</v>
      </c>
      <c r="E139" s="1" t="n">
        <v>46220</v>
      </c>
      <c r="F139" t="inlineStr">
        <is>
          <t>ÖREBRO LÄN</t>
        </is>
      </c>
      <c r="G139" t="inlineStr">
        <is>
          <t>LINDESBERG</t>
        </is>
      </c>
      <c r="H139" t="inlineStr">
        <is>
          <t>Sveaskog</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45961-2021</t>
        </is>
      </c>
      <c r="B140" t="inlineStr">
        <is>
          <t>avverkningsanmälan</t>
        </is>
      </c>
      <c r="C140" t="inlineStr">
        <is>
          <t>Föryngringsavverkning</t>
        </is>
      </c>
      <c r="D140" s="1" t="n">
        <v>44441</v>
      </c>
      <c r="E140" s="1" t="n">
        <v>46220</v>
      </c>
      <c r="F140" t="inlineStr">
        <is>
          <t>ÖREBRO LÄN</t>
        </is>
      </c>
      <c r="G140" t="inlineStr">
        <is>
          <t>LINDESBERG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23583-2022</t>
        </is>
      </c>
      <c r="B141" t="inlineStr">
        <is>
          <t>avverkningsanmälan</t>
        </is>
      </c>
      <c r="C141" t="inlineStr">
        <is>
          <t>Föryngringsavverkning</t>
        </is>
      </c>
      <c r="D141" s="1" t="n">
        <v>44721</v>
      </c>
      <c r="E141" s="1" t="n">
        <v>46220</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23971-2022</t>
        </is>
      </c>
      <c r="B142" t="inlineStr">
        <is>
          <t>avverkningsanmälan</t>
        </is>
      </c>
      <c r="C142" t="inlineStr">
        <is>
          <t>Föryngringsavverkning</t>
        </is>
      </c>
      <c r="D142" s="1" t="n">
        <v>44722</v>
      </c>
      <c r="E142" s="1" t="n">
        <v>46220</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s="2" t="inlineStr"/>
    </row>
    <row r="143" ht="15" customHeight="1">
      <c r="A143" t="inlineStr">
        <is>
          <t>A 49743-2022</t>
        </is>
      </c>
      <c r="B143" t="inlineStr">
        <is>
          <t>avverkningsanmälan</t>
        </is>
      </c>
      <c r="C143" t="inlineStr">
        <is>
          <t>Föryngringsavverkning</t>
        </is>
      </c>
      <c r="D143" s="1" t="n">
        <v>44862</v>
      </c>
      <c r="E143" s="1" t="n">
        <v>46220</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s="2" t="inlineStr"/>
    </row>
    <row r="144" ht="15" customHeight="1">
      <c r="A144" t="inlineStr">
        <is>
          <t>A 2106-2022</t>
        </is>
      </c>
      <c r="B144" t="inlineStr">
        <is>
          <t>avverkningsanmälan</t>
        </is>
      </c>
      <c r="C144" t="inlineStr">
        <is>
          <t>Föryngringsavverkning</t>
        </is>
      </c>
      <c r="D144" s="1" t="n">
        <v>44577</v>
      </c>
      <c r="E144" s="1" t="n">
        <v>46220</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51122-2021</t>
        </is>
      </c>
      <c r="B145" t="inlineStr">
        <is>
          <t>avverkningsanmälan</t>
        </is>
      </c>
      <c r="C145" t="inlineStr">
        <is>
          <t>Föryngringsavverkning</t>
        </is>
      </c>
      <c r="D145" s="1" t="n">
        <v>44460</v>
      </c>
      <c r="E145" s="1" t="n">
        <v>46220</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56695-2021</t>
        </is>
      </c>
      <c r="B146" t="inlineStr">
        <is>
          <t>avverkningsanmälan</t>
        </is>
      </c>
      <c r="C146" t="inlineStr">
        <is>
          <t>Föryngringsavverkning</t>
        </is>
      </c>
      <c r="D146" s="1" t="n">
        <v>44481</v>
      </c>
      <c r="E146" s="1" t="n">
        <v>46220</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12522-2022</t>
        </is>
      </c>
      <c r="B147" t="inlineStr">
        <is>
          <t>avverkningsanmälan</t>
        </is>
      </c>
      <c r="C147" t="inlineStr">
        <is>
          <t>Föryngringsavverkning</t>
        </is>
      </c>
      <c r="D147" s="1" t="n">
        <v>44638</v>
      </c>
      <c r="E147" s="1" t="n">
        <v>46220</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s="2" t="inlineStr"/>
    </row>
    <row r="148" ht="15" customHeight="1">
      <c r="A148" t="inlineStr">
        <is>
          <t>A 29623-2022</t>
        </is>
      </c>
      <c r="B148" t="inlineStr">
        <is>
          <t>avverkningsanmälan</t>
        </is>
      </c>
      <c r="C148" t="inlineStr">
        <is>
          <t>Föryngringsavverkning</t>
        </is>
      </c>
      <c r="D148" s="1" t="n">
        <v>44754</v>
      </c>
      <c r="E148" s="1" t="n">
        <v>46220</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22738-2022</t>
        </is>
      </c>
      <c r="B149" t="inlineStr">
        <is>
          <t>avverkningsanmälan</t>
        </is>
      </c>
      <c r="C149" t="inlineStr">
        <is>
          <t>Föryngringsavverkning</t>
        </is>
      </c>
      <c r="D149" s="1" t="n">
        <v>44714</v>
      </c>
      <c r="E149" s="1" t="n">
        <v>46220</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s="2" t="inlineStr"/>
    </row>
    <row r="150" ht="15" customHeight="1">
      <c r="A150" t="inlineStr">
        <is>
          <t>A 10821-2022</t>
        </is>
      </c>
      <c r="B150" t="inlineStr">
        <is>
          <t>avverkningsanmälan</t>
        </is>
      </c>
      <c r="C150" t="inlineStr">
        <is>
          <t>Föryngringsavverkning</t>
        </is>
      </c>
      <c r="D150" s="1" t="n">
        <v>44627</v>
      </c>
      <c r="E150" s="1" t="n">
        <v>46220</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33760-2022</t>
        </is>
      </c>
      <c r="B151" t="inlineStr">
        <is>
          <t>avverkningsanmälan</t>
        </is>
      </c>
      <c r="C151" t="inlineStr">
        <is>
          <t>Avverkning för annat ändamål</t>
        </is>
      </c>
      <c r="D151" s="1" t="n">
        <v>44790</v>
      </c>
      <c r="E151" s="1" t="n">
        <v>46220</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16939-2022</t>
        </is>
      </c>
      <c r="B152" t="inlineStr">
        <is>
          <t>avverkningsanmälan</t>
        </is>
      </c>
      <c r="C152" t="inlineStr">
        <is>
          <t>Avverkning för annat ändamål</t>
        </is>
      </c>
      <c r="D152" s="1" t="n">
        <v>44676</v>
      </c>
      <c r="E152" s="1" t="n">
        <v>46220</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6958-2022</t>
        </is>
      </c>
      <c r="B153" t="inlineStr">
        <is>
          <t>avverkningsanmälan</t>
        </is>
      </c>
      <c r="C153" t="inlineStr">
        <is>
          <t>Föryngringsavverkning</t>
        </is>
      </c>
      <c r="D153" s="1" t="n">
        <v>44603</v>
      </c>
      <c r="E153" s="1" t="n">
        <v>46220</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11361-2022</t>
        </is>
      </c>
      <c r="B154" t="inlineStr">
        <is>
          <t>avverkningsanmälan</t>
        </is>
      </c>
      <c r="C154" t="inlineStr">
        <is>
          <t>Föryngringsavverkning</t>
        </is>
      </c>
      <c r="D154" s="1" t="n">
        <v>44630</v>
      </c>
      <c r="E154" s="1" t="n">
        <v>46220</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49745-2022</t>
        </is>
      </c>
      <c r="B155" t="inlineStr">
        <is>
          <t>avverkningsanmälan</t>
        </is>
      </c>
      <c r="C155" t="inlineStr">
        <is>
          <t>Föryngringsavverkning</t>
        </is>
      </c>
      <c r="D155" s="1" t="n">
        <v>44862</v>
      </c>
      <c r="E155" s="1" t="n">
        <v>46220</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11164-2022</t>
        </is>
      </c>
      <c r="B156" t="inlineStr">
        <is>
          <t>avverkningsanmälan</t>
        </is>
      </c>
      <c r="C156" t="inlineStr">
        <is>
          <t>Föryngringsavverkning</t>
        </is>
      </c>
      <c r="D156" s="1" t="n">
        <v>44629</v>
      </c>
      <c r="E156" s="1" t="n">
        <v>46220</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s="2" t="inlineStr"/>
    </row>
    <row r="157" ht="15" customHeight="1">
      <c r="A157" t="inlineStr">
        <is>
          <t>A 22481-2022</t>
        </is>
      </c>
      <c r="B157" t="inlineStr">
        <is>
          <t>avverkningsanmälan</t>
        </is>
      </c>
      <c r="C157" t="inlineStr">
        <is>
          <t>Avverkning för att bevara och utveckla /försöksver</t>
        </is>
      </c>
      <c r="D157" s="1" t="n">
        <v>44713</v>
      </c>
      <c r="E157" s="1" t="n">
        <v>46220</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16435-2022</t>
        </is>
      </c>
      <c r="B158" t="inlineStr">
        <is>
          <t>avverkningsanmälan</t>
        </is>
      </c>
      <c r="C158" t="inlineStr">
        <is>
          <t>Föryngringsavverkning</t>
        </is>
      </c>
      <c r="D158" s="1" t="n">
        <v>44671</v>
      </c>
      <c r="E158" s="1" t="n">
        <v>46220</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21606-2022</t>
        </is>
      </c>
      <c r="B159" t="inlineStr">
        <is>
          <t>avverkningsanmälan</t>
        </is>
      </c>
      <c r="C159" t="inlineStr">
        <is>
          <t>Föryngringsavverkning</t>
        </is>
      </c>
      <c r="D159" s="1" t="n">
        <v>44706</v>
      </c>
      <c r="E159" s="1" t="n">
        <v>46220</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53153-2021</t>
        </is>
      </c>
      <c r="B160" t="inlineStr">
        <is>
          <t>avverkningsanmälan</t>
        </is>
      </c>
      <c r="C160" t="inlineStr">
        <is>
          <t>Avverkning för att bevara och utveckla /försöksver</t>
        </is>
      </c>
      <c r="D160" s="1" t="n">
        <v>44468</v>
      </c>
      <c r="E160" s="1" t="n">
        <v>46220</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s="2" t="inlineStr"/>
    </row>
    <row r="161" ht="15" customHeight="1">
      <c r="A161" t="inlineStr">
        <is>
          <t>A 40099-2021</t>
        </is>
      </c>
      <c r="B161" t="inlineStr">
        <is>
          <t>avverkningsanmälan</t>
        </is>
      </c>
      <c r="C161" t="inlineStr">
        <is>
          <t>Föryngringsavverkning</t>
        </is>
      </c>
      <c r="D161" s="1" t="n">
        <v>44418</v>
      </c>
      <c r="E161" s="1" t="n">
        <v>46220</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2110-2022</t>
        </is>
      </c>
      <c r="B162" t="inlineStr">
        <is>
          <t>avverkningsanmälan</t>
        </is>
      </c>
      <c r="C162" t="inlineStr">
        <is>
          <t>Föryngringsavverkning</t>
        </is>
      </c>
      <c r="D162" s="1" t="n">
        <v>44577</v>
      </c>
      <c r="E162" s="1" t="n">
        <v>46220</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16424-2022</t>
        </is>
      </c>
      <c r="B163" t="inlineStr">
        <is>
          <t>avverkningsanmälan</t>
        </is>
      </c>
      <c r="C163" t="inlineStr">
        <is>
          <t>Föryngringsavverkning</t>
        </is>
      </c>
      <c r="D163" s="1" t="n">
        <v>44671</v>
      </c>
      <c r="E163" s="1" t="n">
        <v>46220</v>
      </c>
      <c r="F163" t="inlineStr">
        <is>
          <t>ÖREBRO LÄN</t>
        </is>
      </c>
      <c r="G163" t="inlineStr">
        <is>
          <t>LINDESBERG</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62981-2021</t>
        </is>
      </c>
      <c r="B164" t="inlineStr">
        <is>
          <t>avverkningsanmälan</t>
        </is>
      </c>
      <c r="C164" t="inlineStr">
        <is>
          <t>Föryngringsavverkning</t>
        </is>
      </c>
      <c r="D164" s="1" t="n">
        <v>44505</v>
      </c>
      <c r="E164" s="1" t="n">
        <v>46220</v>
      </c>
      <c r="F164" t="inlineStr">
        <is>
          <t>ÖREBRO LÄN</t>
        </is>
      </c>
      <c r="G164" t="inlineStr">
        <is>
          <t>LINDESBERG</t>
        </is>
      </c>
      <c r="I164" t="n">
        <v>2.3</v>
      </c>
      <c r="J164" t="n">
        <v>0</v>
      </c>
      <c r="K164" t="n">
        <v>0</v>
      </c>
      <c r="L164" t="n">
        <v>0</v>
      </c>
      <c r="M164" t="n">
        <v>0</v>
      </c>
      <c r="N164" t="n">
        <v>0</v>
      </c>
      <c r="O164" t="n">
        <v>0</v>
      </c>
      <c r="P164" t="n">
        <v>0</v>
      </c>
      <c r="Q164" t="n">
        <v>0</v>
      </c>
      <c r="R164" t="n">
        <v>0</v>
      </c>
      <c r="S164" t="n">
        <v>0</v>
      </c>
      <c r="T164" t="n">
        <v>0</v>
      </c>
      <c r="U164" s="2" t="inlineStr"/>
    </row>
    <row r="165" ht="15" customHeight="1">
      <c r="A165" t="inlineStr">
        <is>
          <t>A 72713-2021</t>
        </is>
      </c>
      <c r="B165" t="inlineStr">
        <is>
          <t>avverkningsanmälan</t>
        </is>
      </c>
      <c r="C165" t="inlineStr">
        <is>
          <t>Föryngringsavverkning</t>
        </is>
      </c>
      <c r="D165" s="1" t="n">
        <v>44546</v>
      </c>
      <c r="E165" s="1" t="n">
        <v>46220</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40351-2022</t>
        </is>
      </c>
      <c r="B166" t="inlineStr">
        <is>
          <t>avverkningsanmälan</t>
        </is>
      </c>
      <c r="C166" t="inlineStr">
        <is>
          <t>Föryngringsavverkning</t>
        </is>
      </c>
      <c r="D166" s="1" t="n">
        <v>44823</v>
      </c>
      <c r="E166" s="1" t="n">
        <v>46220</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67060-2021</t>
        </is>
      </c>
      <c r="B167" t="inlineStr">
        <is>
          <t>avverkningsanmälan</t>
        </is>
      </c>
      <c r="C167" t="inlineStr">
        <is>
          <t>Föryngringsavverkning</t>
        </is>
      </c>
      <c r="D167" s="1" t="n">
        <v>44522</v>
      </c>
      <c r="E167" s="1" t="n">
        <v>46220</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s="2" t="inlineStr"/>
    </row>
    <row r="168" ht="15" customHeight="1">
      <c r="A168" t="inlineStr">
        <is>
          <t>A 11926-2022</t>
        </is>
      </c>
      <c r="B168" t="inlineStr">
        <is>
          <t>avverkningsanmälan</t>
        </is>
      </c>
      <c r="C168" t="inlineStr">
        <is>
          <t>Föryngringsavverkning</t>
        </is>
      </c>
      <c r="D168" s="1" t="n">
        <v>44635</v>
      </c>
      <c r="E168" s="1" t="n">
        <v>46220</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44197-2021</t>
        </is>
      </c>
      <c r="B169" t="inlineStr">
        <is>
          <t>avverkningsanmälan</t>
        </is>
      </c>
      <c r="C169" t="inlineStr">
        <is>
          <t>Föryngringsavverkning</t>
        </is>
      </c>
      <c r="D169" s="1" t="n">
        <v>44434</v>
      </c>
      <c r="E169" s="1" t="n">
        <v>46220</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57765-2021</t>
        </is>
      </c>
      <c r="B170" t="inlineStr">
        <is>
          <t>avverkningsanmälan</t>
        </is>
      </c>
      <c r="C170" t="inlineStr">
        <is>
          <t>Föryngringsavverkning</t>
        </is>
      </c>
      <c r="D170" s="1" t="n">
        <v>44484</v>
      </c>
      <c r="E170" s="1" t="n">
        <v>46220</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19612-2022</t>
        </is>
      </c>
      <c r="B171" t="inlineStr">
        <is>
          <t>avverkningsanmälan</t>
        </is>
      </c>
      <c r="C171" t="inlineStr">
        <is>
          <t>Föryngringsavverkning</t>
        </is>
      </c>
      <c r="D171" s="1" t="n">
        <v>44694</v>
      </c>
      <c r="E171" s="1" t="n">
        <v>46220</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63071-2021</t>
        </is>
      </c>
      <c r="B172" t="inlineStr">
        <is>
          <t>avverkningsanmälan</t>
        </is>
      </c>
      <c r="C172" t="inlineStr">
        <is>
          <t>Föryngringsavverkning</t>
        </is>
      </c>
      <c r="D172" s="1" t="n">
        <v>44505</v>
      </c>
      <c r="E172" s="1" t="n">
        <v>46220</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59182-2021</t>
        </is>
      </c>
      <c r="B173" t="inlineStr">
        <is>
          <t>avverkningsanmälan</t>
        </is>
      </c>
      <c r="C173" t="inlineStr">
        <is>
          <t>Föryngringsavverkning</t>
        </is>
      </c>
      <c r="D173" s="1" t="n">
        <v>44490</v>
      </c>
      <c r="E173" s="1" t="n">
        <v>46220</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11271-2022</t>
        </is>
      </c>
      <c r="B174" t="inlineStr">
        <is>
          <t>avverkningsanmälan</t>
        </is>
      </c>
      <c r="C174" t="inlineStr">
        <is>
          <t>Föryngringsavverkning</t>
        </is>
      </c>
      <c r="D174" s="1" t="n">
        <v>44629</v>
      </c>
      <c r="E174" s="1" t="n">
        <v>46220</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s="2" t="inlineStr"/>
    </row>
    <row r="175" ht="15" customHeight="1">
      <c r="A175" t="inlineStr">
        <is>
          <t>A 41580-2021</t>
        </is>
      </c>
      <c r="B175" t="inlineStr">
        <is>
          <t>avverkningsanmälan</t>
        </is>
      </c>
      <c r="C175" t="inlineStr">
        <is>
          <t>Föryngringsavverkning</t>
        </is>
      </c>
      <c r="D175" s="1" t="n">
        <v>44425</v>
      </c>
      <c r="E175" s="1" t="n">
        <v>46220</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50498-2021</t>
        </is>
      </c>
      <c r="B176" t="inlineStr">
        <is>
          <t>avverkningsanmälan</t>
        </is>
      </c>
      <c r="C176" t="inlineStr">
        <is>
          <t>Föryngringsavverkning</t>
        </is>
      </c>
      <c r="D176" s="1" t="n">
        <v>44459</v>
      </c>
      <c r="E176" s="1" t="n">
        <v>46220</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47425-2021</t>
        </is>
      </c>
      <c r="B177" t="inlineStr">
        <is>
          <t>avverkningsanmälan</t>
        </is>
      </c>
      <c r="C177" t="inlineStr">
        <is>
          <t>Föryngringsavverkning</t>
        </is>
      </c>
      <c r="D177" s="1" t="n">
        <v>44447</v>
      </c>
      <c r="E177" s="1" t="n">
        <v>46220</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5338-2022</t>
        </is>
      </c>
      <c r="B178" t="inlineStr">
        <is>
          <t>avverkningsanmälan</t>
        </is>
      </c>
      <c r="C178" t="inlineStr">
        <is>
          <t>Avverkning för annat ändamål</t>
        </is>
      </c>
      <c r="D178" s="1" t="n">
        <v>44594</v>
      </c>
      <c r="E178" s="1" t="n">
        <v>46220</v>
      </c>
      <c r="F178" t="inlineStr">
        <is>
          <t>ÖREBRO LÄN</t>
        </is>
      </c>
      <c r="G178" t="inlineStr">
        <is>
          <t>LINDESBERG</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43453-2021</t>
        </is>
      </c>
      <c r="B179" t="inlineStr">
        <is>
          <t>avverkningsanmälan</t>
        </is>
      </c>
      <c r="C179" t="inlineStr">
        <is>
          <t>Föryngringsavverkning</t>
        </is>
      </c>
      <c r="D179" s="1" t="n">
        <v>44432</v>
      </c>
      <c r="E179" s="1" t="n">
        <v>46220</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16123-2022</t>
        </is>
      </c>
      <c r="B180" t="inlineStr">
        <is>
          <t>avverkningsanmälan</t>
        </is>
      </c>
      <c r="C180" t="inlineStr">
        <is>
          <t>Föryngringsavverkning</t>
        </is>
      </c>
      <c r="D180" s="1" t="n">
        <v>44665</v>
      </c>
      <c r="E180" s="1" t="n">
        <v>46220</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s="2" t="inlineStr"/>
    </row>
    <row r="181" ht="15" customHeight="1">
      <c r="A181" t="inlineStr">
        <is>
          <t>A 58103-2021</t>
        </is>
      </c>
      <c r="B181" t="inlineStr">
        <is>
          <t>avverkningsanmälan</t>
        </is>
      </c>
      <c r="C181" t="inlineStr">
        <is>
          <t>Föryngringsavverkning</t>
        </is>
      </c>
      <c r="D181" s="1" t="n">
        <v>44487</v>
      </c>
      <c r="E181" s="1" t="n">
        <v>46220</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60900-2021</t>
        </is>
      </c>
      <c r="B182" t="inlineStr">
        <is>
          <t>avverkningsanmälan</t>
        </is>
      </c>
      <c r="C182" t="inlineStr">
        <is>
          <t>Föryngringsavverkning</t>
        </is>
      </c>
      <c r="D182" s="1" t="n">
        <v>44497</v>
      </c>
      <c r="E182" s="1" t="n">
        <v>46220</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s="2" t="inlineStr"/>
    </row>
    <row r="183" ht="15" customHeight="1">
      <c r="A183" t="inlineStr">
        <is>
          <t>A 52187-2021</t>
        </is>
      </c>
      <c r="B183" t="inlineStr">
        <is>
          <t>avverkningsanmälan</t>
        </is>
      </c>
      <c r="C183" t="inlineStr">
        <is>
          <t>Föryngringsavverkning</t>
        </is>
      </c>
      <c r="D183" s="1" t="n">
        <v>44463</v>
      </c>
      <c r="E183" s="1" t="n">
        <v>46220</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50069-2021</t>
        </is>
      </c>
      <c r="B184" t="inlineStr">
        <is>
          <t>avverkningsanmälan</t>
        </is>
      </c>
      <c r="C184" t="inlineStr">
        <is>
          <t>Föryngringsavverkning</t>
        </is>
      </c>
      <c r="D184" s="1" t="n">
        <v>44456</v>
      </c>
      <c r="E184" s="1" t="n">
        <v>46220</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s="2" t="inlineStr"/>
    </row>
    <row r="185" ht="15" customHeight="1">
      <c r="A185" t="inlineStr">
        <is>
          <t>A 39773-2022</t>
        </is>
      </c>
      <c r="B185" t="inlineStr">
        <is>
          <t>avverkningsanmälan</t>
        </is>
      </c>
      <c r="C185" t="inlineStr">
        <is>
          <t>Föryngringsavverkning</t>
        </is>
      </c>
      <c r="D185" s="1" t="n">
        <v>44819</v>
      </c>
      <c r="E185" s="1" t="n">
        <v>46220</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25885-2022</t>
        </is>
      </c>
      <c r="B186" t="inlineStr">
        <is>
          <t>avverkningsanmälan</t>
        </is>
      </c>
      <c r="C186" t="inlineStr">
        <is>
          <t>Föryngringsavverkning</t>
        </is>
      </c>
      <c r="D186" s="1" t="n">
        <v>44733</v>
      </c>
      <c r="E186" s="1" t="n">
        <v>46220</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16600-2022</t>
        </is>
      </c>
      <c r="B187" t="inlineStr">
        <is>
          <t>avverkningsanmälan</t>
        </is>
      </c>
      <c r="C187" t="inlineStr">
        <is>
          <t>Föryngringsavverkning</t>
        </is>
      </c>
      <c r="D187" s="1" t="n">
        <v>44672</v>
      </c>
      <c r="E187" s="1" t="n">
        <v>46220</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s="2" t="inlineStr"/>
    </row>
    <row r="188" ht="15" customHeight="1">
      <c r="A188" t="inlineStr">
        <is>
          <t>A 41207-2022</t>
        </is>
      </c>
      <c r="B188" t="inlineStr">
        <is>
          <t>avverkningsanmälan</t>
        </is>
      </c>
      <c r="C188" t="inlineStr">
        <is>
          <t>Föryngringsavverkning</t>
        </is>
      </c>
      <c r="D188" s="1" t="n">
        <v>44825</v>
      </c>
      <c r="E188" s="1" t="n">
        <v>46220</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44677-2021</t>
        </is>
      </c>
      <c r="B189" t="inlineStr">
        <is>
          <t>avverkningsanmälan</t>
        </is>
      </c>
      <c r="C189" t="inlineStr">
        <is>
          <t>Föryngringsavverkning</t>
        </is>
      </c>
      <c r="D189" s="1" t="n">
        <v>44438</v>
      </c>
      <c r="E189" s="1" t="n">
        <v>46220</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48154-2021</t>
        </is>
      </c>
      <c r="B190" t="inlineStr">
        <is>
          <t>avverkningsanmälan</t>
        </is>
      </c>
      <c r="C190" t="inlineStr">
        <is>
          <t>Avverkning för annat ändamål</t>
        </is>
      </c>
      <c r="D190" s="1" t="n">
        <v>44449</v>
      </c>
      <c r="E190" s="1" t="n">
        <v>46220</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10277-2022</t>
        </is>
      </c>
      <c r="B191" t="inlineStr">
        <is>
          <t>avverkningsanmälan</t>
        </is>
      </c>
      <c r="C191" t="inlineStr">
        <is>
          <t>Föryngringsavverkning</t>
        </is>
      </c>
      <c r="D191" s="1" t="n">
        <v>44622</v>
      </c>
      <c r="E191" s="1" t="n">
        <v>46220</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s="2" t="inlineStr"/>
    </row>
    <row r="192" ht="15" customHeight="1">
      <c r="A192" t="inlineStr">
        <is>
          <t>A 52851-2022</t>
        </is>
      </c>
      <c r="B192" t="inlineStr">
        <is>
          <t>avverkningsanmälan</t>
        </is>
      </c>
      <c r="C192" t="inlineStr">
        <is>
          <t>Föryngringsavverkning</t>
        </is>
      </c>
      <c r="D192" s="1" t="n">
        <v>44875</v>
      </c>
      <c r="E192" s="1" t="n">
        <v>46220</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59655-2021</t>
        </is>
      </c>
      <c r="B193" t="inlineStr">
        <is>
          <t>avverkningsanmälan</t>
        </is>
      </c>
      <c r="C193" t="inlineStr">
        <is>
          <t>Föryngringsavverkning</t>
        </is>
      </c>
      <c r="D193" s="1" t="n">
        <v>44491</v>
      </c>
      <c r="E193" s="1" t="n">
        <v>46220</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s="2" t="inlineStr"/>
    </row>
    <row r="194" ht="15" customHeight="1">
      <c r="A194" t="inlineStr">
        <is>
          <t>A 68491-2021</t>
        </is>
      </c>
      <c r="B194" t="inlineStr">
        <is>
          <t>avverkningsanmälan</t>
        </is>
      </c>
      <c r="C194" t="inlineStr">
        <is>
          <t>Föryngringsavverkning</t>
        </is>
      </c>
      <c r="D194" s="1" t="n">
        <v>44526</v>
      </c>
      <c r="E194" s="1" t="n">
        <v>46220</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47044-2021</t>
        </is>
      </c>
      <c r="B195" t="inlineStr">
        <is>
          <t>avverkningsanmälan</t>
        </is>
      </c>
      <c r="C195" t="inlineStr">
        <is>
          <t>Föryngringsavverkning</t>
        </is>
      </c>
      <c r="D195" s="1" t="n">
        <v>44446</v>
      </c>
      <c r="E195" s="1" t="n">
        <v>46220</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56123-2022</t>
        </is>
      </c>
      <c r="B196" t="inlineStr">
        <is>
          <t>avverkningsanmälan</t>
        </is>
      </c>
      <c r="C196" t="inlineStr">
        <is>
          <t>Föryngringsavverkning</t>
        </is>
      </c>
      <c r="D196" s="1" t="n">
        <v>44889</v>
      </c>
      <c r="E196" s="1" t="n">
        <v>46220</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6726-2022</t>
        </is>
      </c>
      <c r="B197" t="inlineStr">
        <is>
          <t>avverkningsanmälan</t>
        </is>
      </c>
      <c r="C197" t="inlineStr">
        <is>
          <t>Föryngringsavverkning</t>
        </is>
      </c>
      <c r="D197" s="1" t="n">
        <v>44602</v>
      </c>
      <c r="E197" s="1" t="n">
        <v>46220</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31950-2022</t>
        </is>
      </c>
      <c r="B198" t="inlineStr">
        <is>
          <t>avverkningsanmälan</t>
        </is>
      </c>
      <c r="C198" t="inlineStr">
        <is>
          <t>Föryngringsavverkning</t>
        </is>
      </c>
      <c r="D198" s="1" t="n">
        <v>44777</v>
      </c>
      <c r="E198" s="1" t="n">
        <v>46220</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16130-2022</t>
        </is>
      </c>
      <c r="B199" t="inlineStr">
        <is>
          <t>avverkningsanmälan</t>
        </is>
      </c>
      <c r="C199" t="inlineStr">
        <is>
          <t>Föryngringsavverkning</t>
        </is>
      </c>
      <c r="D199" s="1" t="n">
        <v>44665</v>
      </c>
      <c r="E199" s="1" t="n">
        <v>46220</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48365-2021</t>
        </is>
      </c>
      <c r="B200" t="inlineStr">
        <is>
          <t>avverkningsanmälan</t>
        </is>
      </c>
      <c r="C200" t="inlineStr">
        <is>
          <t>Föryngringsavverkning</t>
        </is>
      </c>
      <c r="D200" s="1" t="n">
        <v>44451</v>
      </c>
      <c r="E200" s="1" t="n">
        <v>46220</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62010-2021</t>
        </is>
      </c>
      <c r="B201" t="inlineStr">
        <is>
          <t>avverkningsanmälan</t>
        </is>
      </c>
      <c r="C201" t="inlineStr">
        <is>
          <t>Föryngringsavverkning</t>
        </is>
      </c>
      <c r="D201" s="1" t="n">
        <v>44502</v>
      </c>
      <c r="E201" s="1" t="n">
        <v>46220</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62014-2021</t>
        </is>
      </c>
      <c r="B202" t="inlineStr">
        <is>
          <t>avverkningsanmälan</t>
        </is>
      </c>
      <c r="C202" t="inlineStr">
        <is>
          <t>Föryngringsavverkning</t>
        </is>
      </c>
      <c r="D202" s="1" t="n">
        <v>44502</v>
      </c>
      <c r="E202" s="1" t="n">
        <v>46220</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56681-2021</t>
        </is>
      </c>
      <c r="B203" t="inlineStr">
        <is>
          <t>avverkningsanmälan</t>
        </is>
      </c>
      <c r="C203" t="inlineStr">
        <is>
          <t>Föryngringsavverkning</t>
        </is>
      </c>
      <c r="D203" s="1" t="n">
        <v>44481</v>
      </c>
      <c r="E203" s="1" t="n">
        <v>46220</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59671-2021</t>
        </is>
      </c>
      <c r="B204" t="inlineStr">
        <is>
          <t>avverkningsanmälan</t>
        </is>
      </c>
      <c r="C204" t="inlineStr">
        <is>
          <t>Föryngringsavverkning</t>
        </is>
      </c>
      <c r="D204" s="1" t="n">
        <v>44491</v>
      </c>
      <c r="E204" s="1" t="n">
        <v>46220</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32907-2022</t>
        </is>
      </c>
      <c r="B205" t="inlineStr">
        <is>
          <t>avverkningsanmälan</t>
        </is>
      </c>
      <c r="C205" t="inlineStr">
        <is>
          <t>Föryngringsavverkning</t>
        </is>
      </c>
      <c r="D205" s="1" t="n">
        <v>44784</v>
      </c>
      <c r="E205" s="1" t="n">
        <v>46220</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48939-2021</t>
        </is>
      </c>
      <c r="B206" t="inlineStr">
        <is>
          <t>avverkningsanmälan</t>
        </is>
      </c>
      <c r="C206" t="inlineStr">
        <is>
          <t>Föryngringsavverkning</t>
        </is>
      </c>
      <c r="D206" s="1" t="n">
        <v>44453</v>
      </c>
      <c r="E206" s="1" t="n">
        <v>46220</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40692-2021</t>
        </is>
      </c>
      <c r="B207" t="inlineStr">
        <is>
          <t>avverkningsanmälan</t>
        </is>
      </c>
      <c r="C207" t="inlineStr">
        <is>
          <t>Föryngringsavverkning</t>
        </is>
      </c>
      <c r="D207" s="1" t="n">
        <v>44420</v>
      </c>
      <c r="E207" s="1" t="n">
        <v>46220</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70500-2021</t>
        </is>
      </c>
      <c r="B208" t="inlineStr">
        <is>
          <t>avverkningsanmälan</t>
        </is>
      </c>
      <c r="C208" t="inlineStr">
        <is>
          <t>Föryngringsavverkning</t>
        </is>
      </c>
      <c r="D208" s="1" t="n">
        <v>44536</v>
      </c>
      <c r="E208" s="1" t="n">
        <v>46220</v>
      </c>
      <c r="F208" t="inlineStr">
        <is>
          <t>ÖREBRO LÄN</t>
        </is>
      </c>
      <c r="G208" t="inlineStr">
        <is>
          <t>LINDESBERG</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49055-2022</t>
        </is>
      </c>
      <c r="B209" t="inlineStr">
        <is>
          <t>avverkningsanmälan</t>
        </is>
      </c>
      <c r="C209" t="inlineStr">
        <is>
          <t>Föryngringsavverkning</t>
        </is>
      </c>
      <c r="D209" s="1" t="n">
        <v>44860</v>
      </c>
      <c r="E209" s="1" t="n">
        <v>46220</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48363-2021</t>
        </is>
      </c>
      <c r="B210" t="inlineStr">
        <is>
          <t>avverkningsanmälan</t>
        </is>
      </c>
      <c r="C210" t="inlineStr">
        <is>
          <t>Föryngringsavverkning</t>
        </is>
      </c>
      <c r="D210" s="1" t="n">
        <v>44451</v>
      </c>
      <c r="E210" s="1" t="n">
        <v>46220</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52153-2022</t>
        </is>
      </c>
      <c r="B211" t="inlineStr">
        <is>
          <t>avverkningsanmälan</t>
        </is>
      </c>
      <c r="C211" t="inlineStr">
        <is>
          <t>Föryngringsavverkning</t>
        </is>
      </c>
      <c r="D211" s="1" t="n">
        <v>44873</v>
      </c>
      <c r="E211" s="1" t="n">
        <v>46220</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70475-2021</t>
        </is>
      </c>
      <c r="B212" t="inlineStr">
        <is>
          <t>avverkningsanmälan</t>
        </is>
      </c>
      <c r="C212" t="inlineStr">
        <is>
          <t>Föryngringsavverkning</t>
        </is>
      </c>
      <c r="D212" s="1" t="n">
        <v>44536</v>
      </c>
      <c r="E212" s="1" t="n">
        <v>46220</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7859-2022</t>
        </is>
      </c>
      <c r="B213" t="inlineStr">
        <is>
          <t>avverkningsanmälan</t>
        </is>
      </c>
      <c r="C213" t="inlineStr">
        <is>
          <t>Föryngringsavverkning</t>
        </is>
      </c>
      <c r="D213" s="1" t="n">
        <v>44608</v>
      </c>
      <c r="E213" s="1" t="n">
        <v>46220</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71090-2021</t>
        </is>
      </c>
      <c r="B214" t="inlineStr">
        <is>
          <t>avverkningsanmälan</t>
        </is>
      </c>
      <c r="C214" t="inlineStr">
        <is>
          <t>Föryngringsavverkning</t>
        </is>
      </c>
      <c r="D214" s="1" t="n">
        <v>44539</v>
      </c>
      <c r="E214" s="1" t="n">
        <v>46220</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71092-2021</t>
        </is>
      </c>
      <c r="B215" t="inlineStr">
        <is>
          <t>avverkningsanmälan</t>
        </is>
      </c>
      <c r="C215" t="inlineStr">
        <is>
          <t>Föryngringsavverkning</t>
        </is>
      </c>
      <c r="D215" s="1" t="n">
        <v>44539</v>
      </c>
      <c r="E215" s="1" t="n">
        <v>46220</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13943-2022</t>
        </is>
      </c>
      <c r="B216" t="inlineStr">
        <is>
          <t>avverkningsanmälan</t>
        </is>
      </c>
      <c r="C216" t="inlineStr">
        <is>
          <t>Föryngringsavverkning</t>
        </is>
      </c>
      <c r="D216" s="1" t="n">
        <v>44650</v>
      </c>
      <c r="E216" s="1" t="n">
        <v>46220</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56260-2021</t>
        </is>
      </c>
      <c r="B217" t="inlineStr">
        <is>
          <t>avverkningsanmälan</t>
        </is>
      </c>
      <c r="C217" t="inlineStr">
        <is>
          <t>Föryngringsavverkning</t>
        </is>
      </c>
      <c r="D217" s="1" t="n">
        <v>44479</v>
      </c>
      <c r="E217" s="1" t="n">
        <v>46220</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9751-2022</t>
        </is>
      </c>
      <c r="B218" t="inlineStr">
        <is>
          <t>avverkningsanmälan</t>
        </is>
      </c>
      <c r="C218" t="inlineStr">
        <is>
          <t>Föryngringsavverkning</t>
        </is>
      </c>
      <c r="D218" s="1" t="n">
        <v>44618</v>
      </c>
      <c r="E218" s="1" t="n">
        <v>46220</v>
      </c>
      <c r="F218" t="inlineStr">
        <is>
          <t>ÖREBRO LÄN</t>
        </is>
      </c>
      <c r="G218" t="inlineStr">
        <is>
          <t>LINDESBERG</t>
        </is>
      </c>
      <c r="I218" t="n">
        <v>13.9</v>
      </c>
      <c r="J218" t="n">
        <v>0</v>
      </c>
      <c r="K218" t="n">
        <v>0</v>
      </c>
      <c r="L218" t="n">
        <v>0</v>
      </c>
      <c r="M218" t="n">
        <v>0</v>
      </c>
      <c r="N218" t="n">
        <v>0</v>
      </c>
      <c r="O218" t="n">
        <v>0</v>
      </c>
      <c r="P218" t="n">
        <v>0</v>
      </c>
      <c r="Q218" t="n">
        <v>0</v>
      </c>
      <c r="R218" t="n">
        <v>0</v>
      </c>
      <c r="S218" t="n">
        <v>0</v>
      </c>
      <c r="T218" t="n">
        <v>0</v>
      </c>
      <c r="U218" s="2" t="inlineStr"/>
    </row>
    <row r="219" ht="15" customHeight="1">
      <c r="A219" t="inlineStr">
        <is>
          <t>A 12073-2022</t>
        </is>
      </c>
      <c r="B219" t="inlineStr">
        <is>
          <t>avverkningsanmälan</t>
        </is>
      </c>
      <c r="C219" t="inlineStr">
        <is>
          <t>Föryngringsavverkning</t>
        </is>
      </c>
      <c r="D219" s="1" t="n">
        <v>44636</v>
      </c>
      <c r="E219" s="1" t="n">
        <v>46220</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64372-2021</t>
        </is>
      </c>
      <c r="B220" t="inlineStr">
        <is>
          <t>avverkningsanmälan</t>
        </is>
      </c>
      <c r="C220" t="inlineStr">
        <is>
          <t>Föryngringsavverkning</t>
        </is>
      </c>
      <c r="D220" s="1" t="n">
        <v>44511</v>
      </c>
      <c r="E220" s="1" t="n">
        <v>46220</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s="2" t="inlineStr"/>
    </row>
    <row r="221" ht="15" customHeight="1">
      <c r="A221" t="inlineStr">
        <is>
          <t>A 59006-2021</t>
        </is>
      </c>
      <c r="B221" t="inlineStr">
        <is>
          <t>avverkningsanmälan</t>
        </is>
      </c>
      <c r="C221" t="inlineStr">
        <is>
          <t>Föryngringsavverkning</t>
        </is>
      </c>
      <c r="D221" s="1" t="n">
        <v>44490</v>
      </c>
      <c r="E221" s="1" t="n">
        <v>46220</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20238-2022</t>
        </is>
      </c>
      <c r="B222" t="inlineStr">
        <is>
          <t>avverkningsanmälan</t>
        </is>
      </c>
      <c r="C222" t="inlineStr">
        <is>
          <t>Föryngringsavverkning</t>
        </is>
      </c>
      <c r="D222" s="1" t="n">
        <v>44698</v>
      </c>
      <c r="E222" s="1" t="n">
        <v>46220</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32818-2022</t>
        </is>
      </c>
      <c r="B223" t="inlineStr">
        <is>
          <t>avverkningsanmälan</t>
        </is>
      </c>
      <c r="C223" t="inlineStr">
        <is>
          <t>Föryngringsavverkning</t>
        </is>
      </c>
      <c r="D223" s="1" t="n">
        <v>44784</v>
      </c>
      <c r="E223" s="1" t="n">
        <v>46220</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2406-2024</t>
        </is>
      </c>
      <c r="B224" t="inlineStr">
        <is>
          <t>avverkningsanmälan</t>
        </is>
      </c>
      <c r="C224" t="inlineStr">
        <is>
          <t>Föryngringsavverkning</t>
        </is>
      </c>
      <c r="D224" s="1" t="n">
        <v>45310</v>
      </c>
      <c r="E224" s="1" t="n">
        <v>46220</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s="2" t="inlineStr"/>
    </row>
    <row r="225" ht="15" customHeight="1">
      <c r="A225" t="inlineStr">
        <is>
          <t>A 13417-2025</t>
        </is>
      </c>
      <c r="B225" t="inlineStr">
        <is>
          <t>avverkningsanmälan</t>
        </is>
      </c>
      <c r="C225" t="inlineStr">
        <is>
          <t>Föryngringsavverkning</t>
        </is>
      </c>
      <c r="D225" s="1" t="n">
        <v>45736</v>
      </c>
      <c r="E225" s="1" t="n">
        <v>46220</v>
      </c>
      <c r="F225" t="inlineStr">
        <is>
          <t>ÖREBRO LÄN</t>
        </is>
      </c>
      <c r="G225" t="inlineStr">
        <is>
          <t>LINDESBERG</t>
        </is>
      </c>
      <c r="I225" t="n">
        <v>2.2</v>
      </c>
      <c r="J225" t="n">
        <v>0</v>
      </c>
      <c r="K225" t="n">
        <v>0</v>
      </c>
      <c r="L225" t="n">
        <v>0</v>
      </c>
      <c r="M225" t="n">
        <v>0</v>
      </c>
      <c r="N225" t="n">
        <v>0</v>
      </c>
      <c r="O225" t="n">
        <v>0</v>
      </c>
      <c r="P225" t="n">
        <v>0</v>
      </c>
      <c r="Q225" t="n">
        <v>0</v>
      </c>
      <c r="R225" t="n">
        <v>0</v>
      </c>
      <c r="S225" t="n">
        <v>0</v>
      </c>
      <c r="T225" t="n">
        <v>0</v>
      </c>
      <c r="U225" s="2" t="inlineStr"/>
    </row>
    <row r="226" ht="15" customHeight="1">
      <c r="A226" t="inlineStr">
        <is>
          <t>A 35230-2024</t>
        </is>
      </c>
      <c r="B226" t="inlineStr">
        <is>
          <t>avverkningsanmälan</t>
        </is>
      </c>
      <c r="C226" t="inlineStr">
        <is>
          <t>Föryngringsavverkning</t>
        </is>
      </c>
      <c r="D226" s="1" t="n">
        <v>45530</v>
      </c>
      <c r="E226" s="1" t="n">
        <v>46220</v>
      </c>
      <c r="F226" t="inlineStr">
        <is>
          <t>ÖREBRO LÄN</t>
        </is>
      </c>
      <c r="G226" t="inlineStr">
        <is>
          <t>LINDESBERG</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33282-2024</t>
        </is>
      </c>
      <c r="B227" t="inlineStr">
        <is>
          <t>avverkningsanmälan</t>
        </is>
      </c>
      <c r="C227" t="inlineStr">
        <is>
          <t>Föryngringsavverkning</t>
        </is>
      </c>
      <c r="D227" s="1" t="n">
        <v>45518</v>
      </c>
      <c r="E227" s="1" t="n">
        <v>46220</v>
      </c>
      <c r="F227" t="inlineStr">
        <is>
          <t>ÖREBRO LÄN</t>
        </is>
      </c>
      <c r="G227" t="inlineStr">
        <is>
          <t>LINDESBERG</t>
        </is>
      </c>
      <c r="I227" t="n">
        <v>7.5</v>
      </c>
      <c r="J227" t="n">
        <v>0</v>
      </c>
      <c r="K227" t="n">
        <v>0</v>
      </c>
      <c r="L227" t="n">
        <v>0</v>
      </c>
      <c r="M227" t="n">
        <v>0</v>
      </c>
      <c r="N227" t="n">
        <v>0</v>
      </c>
      <c r="O227" t="n">
        <v>0</v>
      </c>
      <c r="P227" t="n">
        <v>0</v>
      </c>
      <c r="Q227" t="n">
        <v>0</v>
      </c>
      <c r="R227" t="n">
        <v>0</v>
      </c>
      <c r="S227" t="n">
        <v>0</v>
      </c>
      <c r="T227" t="n">
        <v>0</v>
      </c>
      <c r="U227" s="2" t="inlineStr"/>
    </row>
    <row r="228" ht="15" customHeight="1">
      <c r="A228" t="inlineStr">
        <is>
          <t>A 65194-2023</t>
        </is>
      </c>
      <c r="B228" t="inlineStr">
        <is>
          <t>avverkningsanmälan</t>
        </is>
      </c>
      <c r="C228" t="inlineStr">
        <is>
          <t>Föryngringsavverkning</t>
        </is>
      </c>
      <c r="D228" s="1" t="n">
        <v>45289</v>
      </c>
      <c r="E228" s="1" t="n">
        <v>46220</v>
      </c>
      <c r="F228" t="inlineStr">
        <is>
          <t>ÖREBRO LÄN</t>
        </is>
      </c>
      <c r="G228" t="inlineStr">
        <is>
          <t>LINDESBERG</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69208-2021</t>
        </is>
      </c>
      <c r="B229" t="inlineStr">
        <is>
          <t>avverkningsanmälan</t>
        </is>
      </c>
      <c r="C229" t="inlineStr">
        <is>
          <t>Föryngringsavverkning</t>
        </is>
      </c>
      <c r="D229" s="1" t="n">
        <v>44531</v>
      </c>
      <c r="E229" s="1" t="n">
        <v>46220</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46603-2021</t>
        </is>
      </c>
      <c r="B230" t="inlineStr">
        <is>
          <t>avverkningsanmälan</t>
        </is>
      </c>
      <c r="C230" t="inlineStr">
        <is>
          <t>Föryngringsavverkning</t>
        </is>
      </c>
      <c r="D230" s="1" t="n">
        <v>44445</v>
      </c>
      <c r="E230" s="1" t="n">
        <v>46220</v>
      </c>
      <c r="F230" t="inlineStr">
        <is>
          <t>ÖREBRO LÄN</t>
        </is>
      </c>
      <c r="G230" t="inlineStr">
        <is>
          <t>LINDESBERG</t>
        </is>
      </c>
      <c r="H230" t="inlineStr">
        <is>
          <t>Sveaskog</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6962-2023</t>
        </is>
      </c>
      <c r="B231" t="inlineStr">
        <is>
          <t>avverkningsanmälan</t>
        </is>
      </c>
      <c r="C231" t="inlineStr">
        <is>
          <t>Föryngringsavverkning</t>
        </is>
      </c>
      <c r="D231" s="1" t="n">
        <v>44967</v>
      </c>
      <c r="E231" s="1" t="n">
        <v>46220</v>
      </c>
      <c r="F231" t="inlineStr">
        <is>
          <t>ÖREBRO LÄN</t>
        </is>
      </c>
      <c r="G231" t="inlineStr">
        <is>
          <t>LINDESBERG</t>
        </is>
      </c>
      <c r="I231" t="n">
        <v>11.4</v>
      </c>
      <c r="J231" t="n">
        <v>0</v>
      </c>
      <c r="K231" t="n">
        <v>0</v>
      </c>
      <c r="L231" t="n">
        <v>0</v>
      </c>
      <c r="M231" t="n">
        <v>0</v>
      </c>
      <c r="N231" t="n">
        <v>0</v>
      </c>
      <c r="O231" t="n">
        <v>0</v>
      </c>
      <c r="P231" t="n">
        <v>0</v>
      </c>
      <c r="Q231" t="n">
        <v>0</v>
      </c>
      <c r="R231" t="n">
        <v>0</v>
      </c>
      <c r="S231" t="n">
        <v>0</v>
      </c>
      <c r="T231" t="n">
        <v>0</v>
      </c>
      <c r="U231" s="2" t="inlineStr"/>
    </row>
    <row r="232" ht="15" customHeight="1">
      <c r="A232" t="inlineStr">
        <is>
          <t>A 20954-2024</t>
        </is>
      </c>
      <c r="B232" t="inlineStr">
        <is>
          <t>avverkningsanmälan</t>
        </is>
      </c>
      <c r="C232" t="inlineStr">
        <is>
          <t>Föryngringsavverkning</t>
        </is>
      </c>
      <c r="D232" s="1" t="n">
        <v>45439</v>
      </c>
      <c r="E232" s="1" t="n">
        <v>46220</v>
      </c>
      <c r="F232" t="inlineStr">
        <is>
          <t>ÖREBRO LÄN</t>
        </is>
      </c>
      <c r="G232" t="inlineStr">
        <is>
          <t>LINDESBERG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35739-2024</t>
        </is>
      </c>
      <c r="B233" t="inlineStr">
        <is>
          <t>avverkningsanmälan</t>
        </is>
      </c>
      <c r="C233" t="inlineStr">
        <is>
          <t>Föryngringsavverkning</t>
        </is>
      </c>
      <c r="D233" s="1" t="n">
        <v>45532</v>
      </c>
      <c r="E233" s="1" t="n">
        <v>46220</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30767-2023</t>
        </is>
      </c>
      <c r="B234" t="inlineStr">
        <is>
          <t>avverkningsanmälan</t>
        </is>
      </c>
      <c r="C234" t="inlineStr">
        <is>
          <t>Föryngringsavverkning</t>
        </is>
      </c>
      <c r="D234" s="1" t="n">
        <v>45112</v>
      </c>
      <c r="E234" s="1" t="n">
        <v>46220</v>
      </c>
      <c r="F234" t="inlineStr">
        <is>
          <t>ÖREBRO LÄN</t>
        </is>
      </c>
      <c r="G234" t="inlineStr">
        <is>
          <t>LINDESBERG</t>
        </is>
      </c>
      <c r="I234" t="n">
        <v>3.9</v>
      </c>
      <c r="J234" t="n">
        <v>0</v>
      </c>
      <c r="K234" t="n">
        <v>0</v>
      </c>
      <c r="L234" t="n">
        <v>0</v>
      </c>
      <c r="M234" t="n">
        <v>0</v>
      </c>
      <c r="N234" t="n">
        <v>0</v>
      </c>
      <c r="O234" t="n">
        <v>0</v>
      </c>
      <c r="P234" t="n">
        <v>0</v>
      </c>
      <c r="Q234" t="n">
        <v>0</v>
      </c>
      <c r="R234" t="n">
        <v>0</v>
      </c>
      <c r="S234" t="n">
        <v>0</v>
      </c>
      <c r="T234" t="n">
        <v>0</v>
      </c>
      <c r="U234" s="2" t="inlineStr"/>
    </row>
    <row r="235" ht="15" customHeight="1">
      <c r="A235" t="inlineStr">
        <is>
          <t>A 29857-2023</t>
        </is>
      </c>
      <c r="B235" t="inlineStr">
        <is>
          <t>avverkningsanmälan</t>
        </is>
      </c>
      <c r="C235" t="inlineStr">
        <is>
          <t>Föryngringsavverkning</t>
        </is>
      </c>
      <c r="D235" s="1" t="n">
        <v>45107</v>
      </c>
      <c r="E235" s="1" t="n">
        <v>46220</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8213-2023</t>
        </is>
      </c>
      <c r="B236" t="inlineStr">
        <is>
          <t>avverkningsanmälan</t>
        </is>
      </c>
      <c r="C236" t="inlineStr">
        <is>
          <t>Föryngringsavverkning</t>
        </is>
      </c>
      <c r="D236" s="1" t="n">
        <v>44974</v>
      </c>
      <c r="E236" s="1" t="n">
        <v>46220</v>
      </c>
      <c r="F236" t="inlineStr">
        <is>
          <t>ÖREBRO LÄN</t>
        </is>
      </c>
      <c r="G236" t="inlineStr">
        <is>
          <t>LINDESBERG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16618-2023</t>
        </is>
      </c>
      <c r="B237" t="inlineStr">
        <is>
          <t>avverkningsanmälan</t>
        </is>
      </c>
      <c r="C237" t="inlineStr">
        <is>
          <t>Föryngringsavverkning</t>
        </is>
      </c>
      <c r="D237" s="1" t="n">
        <v>45030</v>
      </c>
      <c r="E237" s="1" t="n">
        <v>46220</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17895-2022</t>
        </is>
      </c>
      <c r="B238" t="inlineStr">
        <is>
          <t>avverkningsanmälan</t>
        </is>
      </c>
      <c r="C238" t="inlineStr">
        <is>
          <t>Föryngringsavverkning</t>
        </is>
      </c>
      <c r="D238" s="1" t="n">
        <v>44683</v>
      </c>
      <c r="E238" s="1" t="n">
        <v>46220</v>
      </c>
      <c r="F238" t="inlineStr">
        <is>
          <t>ÖREBRO LÄN</t>
        </is>
      </c>
      <c r="G238" t="inlineStr">
        <is>
          <t>LINDESBERG</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51539-2024</t>
        </is>
      </c>
      <c r="B239" t="inlineStr">
        <is>
          <t>avverkningsanmälan</t>
        </is>
      </c>
      <c r="C239" t="inlineStr">
        <is>
          <t>Föryngringsavverkning</t>
        </is>
      </c>
      <c r="D239" s="1" t="n">
        <v>45604</v>
      </c>
      <c r="E239" s="1" t="n">
        <v>46220</v>
      </c>
      <c r="F239" t="inlineStr">
        <is>
          <t>ÖREBRO LÄN</t>
        </is>
      </c>
      <c r="G239" t="inlineStr">
        <is>
          <t>LINDESBERG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53046-2024</t>
        </is>
      </c>
      <c r="B240" t="inlineStr">
        <is>
          <t>avverkningsanmälan</t>
        </is>
      </c>
      <c r="C240" t="inlineStr">
        <is>
          <t>Föryngringsavverkning</t>
        </is>
      </c>
      <c r="D240" s="1" t="n">
        <v>45611</v>
      </c>
      <c r="E240" s="1" t="n">
        <v>46220</v>
      </c>
      <c r="F240" t="inlineStr">
        <is>
          <t>ÖREBRO LÄN</t>
        </is>
      </c>
      <c r="G240" t="inlineStr">
        <is>
          <t>LINDESBERG</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2569-2023</t>
        </is>
      </c>
      <c r="B241" t="inlineStr">
        <is>
          <t>avverkningsanmälan</t>
        </is>
      </c>
      <c r="C241" t="inlineStr">
        <is>
          <t>Föryngringsavverkning</t>
        </is>
      </c>
      <c r="D241" s="1" t="n">
        <v>44943</v>
      </c>
      <c r="E241" s="1" t="n">
        <v>46220</v>
      </c>
      <c r="F241" t="inlineStr">
        <is>
          <t>ÖREBRO LÄN</t>
        </is>
      </c>
      <c r="G241" t="inlineStr">
        <is>
          <t>LINDESBERG</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12692-2024</t>
        </is>
      </c>
      <c r="B242" t="inlineStr">
        <is>
          <t>avverkningsanmälan</t>
        </is>
      </c>
      <c r="C242" t="inlineStr">
        <is>
          <t>Föryngringsavverkning</t>
        </is>
      </c>
      <c r="D242" s="1" t="n">
        <v>45384</v>
      </c>
      <c r="E242" s="1" t="n">
        <v>46220</v>
      </c>
      <c r="F242" t="inlineStr">
        <is>
          <t>ÖREBRO LÄN</t>
        </is>
      </c>
      <c r="G242" t="inlineStr">
        <is>
          <t>LINDESBERG</t>
        </is>
      </c>
      <c r="I242" t="n">
        <v>5.2</v>
      </c>
      <c r="J242" t="n">
        <v>0</v>
      </c>
      <c r="K242" t="n">
        <v>0</v>
      </c>
      <c r="L242" t="n">
        <v>0</v>
      </c>
      <c r="M242" t="n">
        <v>0</v>
      </c>
      <c r="N242" t="n">
        <v>0</v>
      </c>
      <c r="O242" t="n">
        <v>0</v>
      </c>
      <c r="P242" t="n">
        <v>0</v>
      </c>
      <c r="Q242" t="n">
        <v>0</v>
      </c>
      <c r="R242" t="n">
        <v>0</v>
      </c>
      <c r="S242" t="n">
        <v>0</v>
      </c>
      <c r="T242" t="n">
        <v>0</v>
      </c>
      <c r="U242" s="2" t="inlineStr"/>
    </row>
    <row r="243" ht="15" customHeight="1">
      <c r="A243" t="inlineStr">
        <is>
          <t>A 61594-2024</t>
        </is>
      </c>
      <c r="B243" t="inlineStr">
        <is>
          <t>avverkningsanmälan</t>
        </is>
      </c>
      <c r="C243" t="inlineStr">
        <is>
          <t>Föryngringsavverkning</t>
        </is>
      </c>
      <c r="D243" s="1" t="n">
        <v>45646</v>
      </c>
      <c r="E243" s="1" t="n">
        <v>46220</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19960-2023</t>
        </is>
      </c>
      <c r="B244" t="inlineStr">
        <is>
          <t>avverkningsanmälan</t>
        </is>
      </c>
      <c r="C244" t="inlineStr">
        <is>
          <t>Föryngringsavverkning</t>
        </is>
      </c>
      <c r="D244" s="1" t="n">
        <v>45054</v>
      </c>
      <c r="E244" s="1" t="n">
        <v>46220</v>
      </c>
      <c r="F244" t="inlineStr">
        <is>
          <t>ÖREBRO LÄN</t>
        </is>
      </c>
      <c r="G244" t="inlineStr">
        <is>
          <t>LINDESBERG</t>
        </is>
      </c>
      <c r="I244" t="n">
        <v>6.2</v>
      </c>
      <c r="J244" t="n">
        <v>0</v>
      </c>
      <c r="K244" t="n">
        <v>0</v>
      </c>
      <c r="L244" t="n">
        <v>0</v>
      </c>
      <c r="M244" t="n">
        <v>0</v>
      </c>
      <c r="N244" t="n">
        <v>0</v>
      </c>
      <c r="O244" t="n">
        <v>0</v>
      </c>
      <c r="P244" t="n">
        <v>0</v>
      </c>
      <c r="Q244" t="n">
        <v>0</v>
      </c>
      <c r="R244" t="n">
        <v>0</v>
      </c>
      <c r="S244" t="n">
        <v>0</v>
      </c>
      <c r="T244" t="n">
        <v>0</v>
      </c>
      <c r="U244" s="2" t="inlineStr"/>
    </row>
    <row r="245" ht="15" customHeight="1">
      <c r="A245" t="inlineStr">
        <is>
          <t>A 34676-2023</t>
        </is>
      </c>
      <c r="B245" t="inlineStr">
        <is>
          <t>avverkningsanmälan</t>
        </is>
      </c>
      <c r="C245" t="inlineStr">
        <is>
          <t>Avverkning för annat ändamål</t>
        </is>
      </c>
      <c r="D245" s="1" t="n">
        <v>45140</v>
      </c>
      <c r="E245" s="1" t="n">
        <v>46220</v>
      </c>
      <c r="F245" t="inlineStr">
        <is>
          <t>ÖREBRO LÄN</t>
        </is>
      </c>
      <c r="G245" t="inlineStr">
        <is>
          <t>LINDESBERG</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16447-2025</t>
        </is>
      </c>
      <c r="B246" t="inlineStr">
        <is>
          <t>avverkningsanmälan</t>
        </is>
      </c>
      <c r="C246" t="inlineStr">
        <is>
          <t>Föryngringsavverkning</t>
        </is>
      </c>
      <c r="D246" s="1" t="n">
        <v>45751</v>
      </c>
      <c r="E246" s="1" t="n">
        <v>46220</v>
      </c>
      <c r="F246" t="inlineStr">
        <is>
          <t>ÖREBRO LÄN</t>
        </is>
      </c>
      <c r="G246" t="inlineStr">
        <is>
          <t>LINDESBERG</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37507-2023</t>
        </is>
      </c>
      <c r="B247" t="inlineStr">
        <is>
          <t>avverkningsanmälan</t>
        </is>
      </c>
      <c r="C247" t="inlineStr">
        <is>
          <t>Föryngringsavverkning</t>
        </is>
      </c>
      <c r="D247" s="1" t="n">
        <v>45158</v>
      </c>
      <c r="E247" s="1" t="n">
        <v>46220</v>
      </c>
      <c r="F247" t="inlineStr">
        <is>
          <t>ÖREBRO LÄN</t>
        </is>
      </c>
      <c r="G247" t="inlineStr">
        <is>
          <t>LINDESBERG</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43247-2023</t>
        </is>
      </c>
      <c r="B248" t="inlineStr">
        <is>
          <t>avverkningsanmälan</t>
        </is>
      </c>
      <c r="C248" t="inlineStr">
        <is>
          <t>Föryngringsavverkning</t>
        </is>
      </c>
      <c r="D248" s="1" t="n">
        <v>45183</v>
      </c>
      <c r="E248" s="1" t="n">
        <v>46220</v>
      </c>
      <c r="F248" t="inlineStr">
        <is>
          <t>ÖREBRO LÄN</t>
        </is>
      </c>
      <c r="G248" t="inlineStr">
        <is>
          <t>LINDESBERG</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53189-2023</t>
        </is>
      </c>
      <c r="B249" t="inlineStr">
        <is>
          <t>avverkningsanmälan</t>
        </is>
      </c>
      <c r="C249" t="inlineStr">
        <is>
          <t>Avverkning för annat ändamål</t>
        </is>
      </c>
      <c r="D249" s="1" t="n">
        <v>45194</v>
      </c>
      <c r="E249" s="1" t="n">
        <v>46220</v>
      </c>
      <c r="F249" t="inlineStr">
        <is>
          <t>ÖREBRO LÄN</t>
        </is>
      </c>
      <c r="G249" t="inlineStr">
        <is>
          <t>LINDESBERG</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23649-2023</t>
        </is>
      </c>
      <c r="B250" t="inlineStr">
        <is>
          <t>avverkningsanmälan</t>
        </is>
      </c>
      <c r="C250" t="inlineStr">
        <is>
          <t>Föryngringsavverkning</t>
        </is>
      </c>
      <c r="D250" s="1" t="n">
        <v>45074</v>
      </c>
      <c r="E250" s="1" t="n">
        <v>46220</v>
      </c>
      <c r="F250" t="inlineStr">
        <is>
          <t>ÖREBRO LÄN</t>
        </is>
      </c>
      <c r="G250" t="inlineStr">
        <is>
          <t>LINDESBERG</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45041-2024</t>
        </is>
      </c>
      <c r="B251" t="inlineStr">
        <is>
          <t>avverkningsanmälan</t>
        </is>
      </c>
      <c r="C251" t="inlineStr">
        <is>
          <t>Avverkning för annat ändamål</t>
        </is>
      </c>
      <c r="D251" s="1" t="n">
        <v>45575</v>
      </c>
      <c r="E251" s="1" t="n">
        <v>46220</v>
      </c>
      <c r="F251" t="inlineStr">
        <is>
          <t>ÖREBRO LÄN</t>
        </is>
      </c>
      <c r="G251" t="inlineStr">
        <is>
          <t>LINDESBERG</t>
        </is>
      </c>
      <c r="H251" t="inlineStr">
        <is>
          <t>Sveaskog</t>
        </is>
      </c>
      <c r="I251" t="n">
        <v>0.3</v>
      </c>
      <c r="J251" t="n">
        <v>0</v>
      </c>
      <c r="K251" t="n">
        <v>0</v>
      </c>
      <c r="L251" t="n">
        <v>0</v>
      </c>
      <c r="M251" t="n">
        <v>0</v>
      </c>
      <c r="N251" t="n">
        <v>0</v>
      </c>
      <c r="O251" t="n">
        <v>0</v>
      </c>
      <c r="P251" t="n">
        <v>0</v>
      </c>
      <c r="Q251" t="n">
        <v>0</v>
      </c>
      <c r="R251" t="n">
        <v>0</v>
      </c>
      <c r="S251" t="n">
        <v>0</v>
      </c>
      <c r="T251" t="n">
        <v>0</v>
      </c>
      <c r="U251" s="2" t="inlineStr"/>
    </row>
    <row r="252" ht="15" customHeight="1">
      <c r="A252" t="inlineStr">
        <is>
          <t>A 47535-2022</t>
        </is>
      </c>
      <c r="B252" t="inlineStr">
        <is>
          <t>avverkningsanmälan</t>
        </is>
      </c>
      <c r="C252" t="inlineStr">
        <is>
          <t>Föryngringsavverkning</t>
        </is>
      </c>
      <c r="D252" s="1" t="n">
        <v>44853</v>
      </c>
      <c r="E252" s="1" t="n">
        <v>46220</v>
      </c>
      <c r="F252" t="inlineStr">
        <is>
          <t>ÖREBRO LÄN</t>
        </is>
      </c>
      <c r="G252" t="inlineStr">
        <is>
          <t>LINDESBERG</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43433-2024</t>
        </is>
      </c>
      <c r="B253" t="inlineStr">
        <is>
          <t>avverkningsanmälan</t>
        </is>
      </c>
      <c r="C253" t="inlineStr">
        <is>
          <t>Föryngringsavverkning</t>
        </is>
      </c>
      <c r="D253" s="1" t="n">
        <v>45568</v>
      </c>
      <c r="E253" s="1" t="n">
        <v>46220</v>
      </c>
      <c r="F253" t="inlineStr">
        <is>
          <t>ÖREBRO LÄN</t>
        </is>
      </c>
      <c r="G253" t="inlineStr">
        <is>
          <t>LINDESBERG</t>
        </is>
      </c>
      <c r="H253" t="inlineStr">
        <is>
          <t>Sveaskog</t>
        </is>
      </c>
      <c r="I253" t="n">
        <v>3.2</v>
      </c>
      <c r="J253" t="n">
        <v>0</v>
      </c>
      <c r="K253" t="n">
        <v>0</v>
      </c>
      <c r="L253" t="n">
        <v>0</v>
      </c>
      <c r="M253" t="n">
        <v>0</v>
      </c>
      <c r="N253" t="n">
        <v>0</v>
      </c>
      <c r="O253" t="n">
        <v>0</v>
      </c>
      <c r="P253" t="n">
        <v>0</v>
      </c>
      <c r="Q253" t="n">
        <v>0</v>
      </c>
      <c r="R253" t="n">
        <v>0</v>
      </c>
      <c r="S253" t="n">
        <v>0</v>
      </c>
      <c r="T253" t="n">
        <v>0</v>
      </c>
      <c r="U253" s="2" t="inlineStr"/>
    </row>
    <row r="254" ht="15" customHeight="1">
      <c r="A254" t="inlineStr">
        <is>
          <t>A 29938-2024</t>
        </is>
      </c>
      <c r="B254" t="inlineStr">
        <is>
          <t>avverkningsanmälan</t>
        </is>
      </c>
      <c r="C254" t="inlineStr">
        <is>
          <t>Föryngringsavverkning</t>
        </is>
      </c>
      <c r="D254" s="1" t="n">
        <v>45488</v>
      </c>
      <c r="E254" s="1" t="n">
        <v>46220</v>
      </c>
      <c r="F254" t="inlineStr">
        <is>
          <t>ÖREBRO LÄN</t>
        </is>
      </c>
      <c r="G254" t="inlineStr">
        <is>
          <t>LINDESBERG</t>
        </is>
      </c>
      <c r="I254" t="n">
        <v>4</v>
      </c>
      <c r="J254" t="n">
        <v>0</v>
      </c>
      <c r="K254" t="n">
        <v>0</v>
      </c>
      <c r="L254" t="n">
        <v>0</v>
      </c>
      <c r="M254" t="n">
        <v>0</v>
      </c>
      <c r="N254" t="n">
        <v>0</v>
      </c>
      <c r="O254" t="n">
        <v>0</v>
      </c>
      <c r="P254" t="n">
        <v>0</v>
      </c>
      <c r="Q254" t="n">
        <v>0</v>
      </c>
      <c r="R254" t="n">
        <v>0</v>
      </c>
      <c r="S254" t="n">
        <v>0</v>
      </c>
      <c r="T254" t="n">
        <v>0</v>
      </c>
      <c r="U254" s="2" t="inlineStr"/>
    </row>
    <row r="255" ht="15" customHeight="1">
      <c r="A255" t="inlineStr">
        <is>
          <t>A 1490-2024</t>
        </is>
      </c>
      <c r="B255" t="inlineStr">
        <is>
          <t>avverkningsanmälan</t>
        </is>
      </c>
      <c r="C255" t="inlineStr">
        <is>
          <t>Avverkning för annat ändamål</t>
        </is>
      </c>
      <c r="D255" s="1" t="n">
        <v>45305</v>
      </c>
      <c r="E255" s="1" t="n">
        <v>46220</v>
      </c>
      <c r="F255" t="inlineStr">
        <is>
          <t>ÖREBRO LÄN</t>
        </is>
      </c>
      <c r="G255" t="inlineStr">
        <is>
          <t>LINDESBERG</t>
        </is>
      </c>
      <c r="I255" t="n">
        <v>17.6</v>
      </c>
      <c r="J255" t="n">
        <v>0</v>
      </c>
      <c r="K255" t="n">
        <v>0</v>
      </c>
      <c r="L255" t="n">
        <v>0</v>
      </c>
      <c r="M255" t="n">
        <v>0</v>
      </c>
      <c r="N255" t="n">
        <v>0</v>
      </c>
      <c r="O255" t="n">
        <v>0</v>
      </c>
      <c r="P255" t="n">
        <v>0</v>
      </c>
      <c r="Q255" t="n">
        <v>0</v>
      </c>
      <c r="R255" t="n">
        <v>0</v>
      </c>
      <c r="S255" t="n">
        <v>0</v>
      </c>
      <c r="T255" t="n">
        <v>0</v>
      </c>
      <c r="U255" s="2" t="inlineStr"/>
    </row>
    <row r="256" ht="15" customHeight="1">
      <c r="A256" t="inlineStr">
        <is>
          <t>A 7201-2024</t>
        </is>
      </c>
      <c r="B256" t="inlineStr">
        <is>
          <t>avverkningsanmälan</t>
        </is>
      </c>
      <c r="C256" t="inlineStr">
        <is>
          <t>Föryngringsavverkning</t>
        </is>
      </c>
      <c r="D256" s="1" t="n">
        <v>45344</v>
      </c>
      <c r="E256" s="1" t="n">
        <v>46220</v>
      </c>
      <c r="F256" t="inlineStr">
        <is>
          <t>ÖREBRO LÄN</t>
        </is>
      </c>
      <c r="G256" t="inlineStr">
        <is>
          <t>LINDESBERG</t>
        </is>
      </c>
      <c r="I256" t="n">
        <v>4.7</v>
      </c>
      <c r="J256" t="n">
        <v>0</v>
      </c>
      <c r="K256" t="n">
        <v>0</v>
      </c>
      <c r="L256" t="n">
        <v>0</v>
      </c>
      <c r="M256" t="n">
        <v>0</v>
      </c>
      <c r="N256" t="n">
        <v>0</v>
      </c>
      <c r="O256" t="n">
        <v>0</v>
      </c>
      <c r="P256" t="n">
        <v>0</v>
      </c>
      <c r="Q256" t="n">
        <v>0</v>
      </c>
      <c r="R256" t="n">
        <v>0</v>
      </c>
      <c r="S256" t="n">
        <v>0</v>
      </c>
      <c r="T256" t="n">
        <v>0</v>
      </c>
      <c r="U256" s="2" t="inlineStr"/>
    </row>
    <row r="257" ht="15" customHeight="1">
      <c r="A257" t="inlineStr">
        <is>
          <t>A 5080-2024</t>
        </is>
      </c>
      <c r="B257" t="inlineStr">
        <is>
          <t>avverkningsanmälan</t>
        </is>
      </c>
      <c r="C257" t="inlineStr">
        <is>
          <t>Föryngringsavverkning</t>
        </is>
      </c>
      <c r="D257" s="1" t="n">
        <v>45330</v>
      </c>
      <c r="E257" s="1" t="n">
        <v>46220</v>
      </c>
      <c r="F257" t="inlineStr">
        <is>
          <t>ÖREBRO LÄN</t>
        </is>
      </c>
      <c r="G257" t="inlineStr">
        <is>
          <t>LINDESBERG</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23102-2023</t>
        </is>
      </c>
      <c r="B258" t="inlineStr">
        <is>
          <t>avverkningsanmälan</t>
        </is>
      </c>
      <c r="C258" t="inlineStr">
        <is>
          <t>Föryngringsavverkning</t>
        </is>
      </c>
      <c r="D258" s="1" t="n">
        <v>45075</v>
      </c>
      <c r="E258" s="1" t="n">
        <v>46220</v>
      </c>
      <c r="F258" t="inlineStr">
        <is>
          <t>ÖREBRO LÄN</t>
        </is>
      </c>
      <c r="G258" t="inlineStr">
        <is>
          <t>LINDESBERG</t>
        </is>
      </c>
      <c r="H258" t="inlineStr">
        <is>
          <t>Sveaskog</t>
        </is>
      </c>
      <c r="I258" t="n">
        <v>2.7</v>
      </c>
      <c r="J258" t="n">
        <v>0</v>
      </c>
      <c r="K258" t="n">
        <v>0</v>
      </c>
      <c r="L258" t="n">
        <v>0</v>
      </c>
      <c r="M258" t="n">
        <v>0</v>
      </c>
      <c r="N258" t="n">
        <v>0</v>
      </c>
      <c r="O258" t="n">
        <v>0</v>
      </c>
      <c r="P258" t="n">
        <v>0</v>
      </c>
      <c r="Q258" t="n">
        <v>0</v>
      </c>
      <c r="R258" t="n">
        <v>0</v>
      </c>
      <c r="S258" t="n">
        <v>0</v>
      </c>
      <c r="T258" t="n">
        <v>0</v>
      </c>
      <c r="U258" s="2" t="inlineStr"/>
    </row>
    <row r="259" ht="15" customHeight="1">
      <c r="A259" t="inlineStr">
        <is>
          <t>A 27434-2023</t>
        </is>
      </c>
      <c r="B259" t="inlineStr">
        <is>
          <t>avverkningsanmälan</t>
        </is>
      </c>
      <c r="C259" t="inlineStr">
        <is>
          <t>Föryngringsavverkning</t>
        </is>
      </c>
      <c r="D259" s="1" t="n">
        <v>45097</v>
      </c>
      <c r="E259" s="1" t="n">
        <v>46220</v>
      </c>
      <c r="F259" t="inlineStr">
        <is>
          <t>ÖREBRO LÄN</t>
        </is>
      </c>
      <c r="G259" t="inlineStr">
        <is>
          <t>LINDESBERG</t>
        </is>
      </c>
      <c r="I259" t="n">
        <v>10.7</v>
      </c>
      <c r="J259" t="n">
        <v>0</v>
      </c>
      <c r="K259" t="n">
        <v>0</v>
      </c>
      <c r="L259" t="n">
        <v>0</v>
      </c>
      <c r="M259" t="n">
        <v>0</v>
      </c>
      <c r="N259" t="n">
        <v>0</v>
      </c>
      <c r="O259" t="n">
        <v>0</v>
      </c>
      <c r="P259" t="n">
        <v>0</v>
      </c>
      <c r="Q259" t="n">
        <v>0</v>
      </c>
      <c r="R259" t="n">
        <v>0</v>
      </c>
      <c r="S259" t="n">
        <v>0</v>
      </c>
      <c r="T259" t="n">
        <v>0</v>
      </c>
      <c r="U259" s="2" t="inlineStr"/>
    </row>
    <row r="260" ht="15" customHeight="1">
      <c r="A260" t="inlineStr">
        <is>
          <t>A 2414-2024</t>
        </is>
      </c>
      <c r="B260" t="inlineStr">
        <is>
          <t>avverkningsanmälan</t>
        </is>
      </c>
      <c r="C260" t="inlineStr">
        <is>
          <t>Föryngringsavverkning</t>
        </is>
      </c>
      <c r="D260" s="1" t="n">
        <v>45310</v>
      </c>
      <c r="E260" s="1" t="n">
        <v>46220</v>
      </c>
      <c r="F260" t="inlineStr">
        <is>
          <t>ÖREBRO LÄN</t>
        </is>
      </c>
      <c r="G260" t="inlineStr">
        <is>
          <t>LINDESBERG</t>
        </is>
      </c>
      <c r="I260" t="n">
        <v>7.2</v>
      </c>
      <c r="J260" t="n">
        <v>0</v>
      </c>
      <c r="K260" t="n">
        <v>0</v>
      </c>
      <c r="L260" t="n">
        <v>0</v>
      </c>
      <c r="M260" t="n">
        <v>0</v>
      </c>
      <c r="N260" t="n">
        <v>0</v>
      </c>
      <c r="O260" t="n">
        <v>0</v>
      </c>
      <c r="P260" t="n">
        <v>0</v>
      </c>
      <c r="Q260" t="n">
        <v>0</v>
      </c>
      <c r="R260" t="n">
        <v>0</v>
      </c>
      <c r="S260" t="n">
        <v>0</v>
      </c>
      <c r="T260" t="n">
        <v>0</v>
      </c>
      <c r="U260" s="2" t="inlineStr"/>
    </row>
    <row r="261" ht="15" customHeight="1">
      <c r="A261" t="inlineStr">
        <is>
          <t>A 52930-2024</t>
        </is>
      </c>
      <c r="B261" t="inlineStr">
        <is>
          <t>avverkningsanmälan</t>
        </is>
      </c>
      <c r="C261" t="inlineStr">
        <is>
          <t>Föryngringsavverkning</t>
        </is>
      </c>
      <c r="D261" s="1" t="n">
        <v>45610</v>
      </c>
      <c r="E261" s="1" t="n">
        <v>46220</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56579-2023</t>
        </is>
      </c>
      <c r="B262" t="inlineStr">
        <is>
          <t>avverkningsanmälan</t>
        </is>
      </c>
      <c r="C262" t="inlineStr">
        <is>
          <t>Föryngringsavverkning</t>
        </is>
      </c>
      <c r="D262" s="1" t="n">
        <v>45243</v>
      </c>
      <c r="E262" s="1" t="n">
        <v>46220</v>
      </c>
      <c r="F262" t="inlineStr">
        <is>
          <t>ÖREBRO LÄN</t>
        </is>
      </c>
      <c r="G262" t="inlineStr">
        <is>
          <t>LINDESBERG</t>
        </is>
      </c>
      <c r="H262" t="inlineStr">
        <is>
          <t>Naturvårdsverket</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56582-2023</t>
        </is>
      </c>
      <c r="B263" t="inlineStr">
        <is>
          <t>avverkningsanmälan</t>
        </is>
      </c>
      <c r="C263" t="inlineStr">
        <is>
          <t>Föryngringsavverkning</t>
        </is>
      </c>
      <c r="D263" s="1" t="n">
        <v>45243</v>
      </c>
      <c r="E263" s="1" t="n">
        <v>46220</v>
      </c>
      <c r="F263" t="inlineStr">
        <is>
          <t>ÖREBRO LÄN</t>
        </is>
      </c>
      <c r="G263" t="inlineStr">
        <is>
          <t>LINDESBERG</t>
        </is>
      </c>
      <c r="H263" t="inlineStr">
        <is>
          <t>Naturvårdsverket</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52284-2024</t>
        </is>
      </c>
      <c r="B264" t="inlineStr">
        <is>
          <t>avverkningsanmälan</t>
        </is>
      </c>
      <c r="C264" t="inlineStr">
        <is>
          <t>Avverkning för att bevara och utveckla /försöksver</t>
        </is>
      </c>
      <c r="D264" s="1" t="n">
        <v>45608</v>
      </c>
      <c r="E264" s="1" t="n">
        <v>46220</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s="2" t="inlineStr"/>
    </row>
    <row r="265" ht="15" customHeight="1">
      <c r="A265" t="inlineStr">
        <is>
          <t>A 41947-2023</t>
        </is>
      </c>
      <c r="B265" t="inlineStr">
        <is>
          <t>avverkningsanmälan</t>
        </is>
      </c>
      <c r="C265" t="inlineStr">
        <is>
          <t>Föryngringsavverkning</t>
        </is>
      </c>
      <c r="D265" s="1" t="n">
        <v>45177</v>
      </c>
      <c r="E265" s="1" t="n">
        <v>46220</v>
      </c>
      <c r="F265" t="inlineStr">
        <is>
          <t>ÖREBRO LÄN</t>
        </is>
      </c>
      <c r="G265" t="inlineStr">
        <is>
          <t>LINDESBERG</t>
        </is>
      </c>
      <c r="H265" t="inlineStr">
        <is>
          <t>Kyrkan</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15895-2025</t>
        </is>
      </c>
      <c r="B266" t="inlineStr">
        <is>
          <t>avverkningsanmälan</t>
        </is>
      </c>
      <c r="C266" t="inlineStr">
        <is>
          <t>Föryngringsavverkning</t>
        </is>
      </c>
      <c r="D266" s="1" t="n">
        <v>45749</v>
      </c>
      <c r="E266" s="1" t="n">
        <v>46220</v>
      </c>
      <c r="F266" t="inlineStr">
        <is>
          <t>ÖREBRO LÄN</t>
        </is>
      </c>
      <c r="G266" t="inlineStr">
        <is>
          <t>LINDESBERG</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37738-2024</t>
        </is>
      </c>
      <c r="B267" t="inlineStr">
        <is>
          <t>avverkningsanmälan</t>
        </is>
      </c>
      <c r="C267" t="inlineStr">
        <is>
          <t>Föryngringsavverkning</t>
        </is>
      </c>
      <c r="D267" s="1" t="n">
        <v>45541</v>
      </c>
      <c r="E267" s="1" t="n">
        <v>46220</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56561-2023</t>
        </is>
      </c>
      <c r="B268" t="inlineStr">
        <is>
          <t>avverkningsanmälan</t>
        </is>
      </c>
      <c r="C268" t="inlineStr">
        <is>
          <t>Föryngringsavverkning</t>
        </is>
      </c>
      <c r="D268" s="1" t="n">
        <v>45243</v>
      </c>
      <c r="E268" s="1" t="n">
        <v>46220</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15933-2025</t>
        </is>
      </c>
      <c r="B269" t="inlineStr">
        <is>
          <t>avverkningsanmälan</t>
        </is>
      </c>
      <c r="C269" t="inlineStr">
        <is>
          <t>Föryngringsavverkning</t>
        </is>
      </c>
      <c r="D269" s="1" t="n">
        <v>45749</v>
      </c>
      <c r="E269" s="1" t="n">
        <v>46220</v>
      </c>
      <c r="F269" t="inlineStr">
        <is>
          <t>ÖREBRO LÄN</t>
        </is>
      </c>
      <c r="G269" t="inlineStr">
        <is>
          <t>LINDESBERG</t>
        </is>
      </c>
      <c r="I269" t="n">
        <v>6.1</v>
      </c>
      <c r="J269" t="n">
        <v>0</v>
      </c>
      <c r="K269" t="n">
        <v>0</v>
      </c>
      <c r="L269" t="n">
        <v>0</v>
      </c>
      <c r="M269" t="n">
        <v>0</v>
      </c>
      <c r="N269" t="n">
        <v>0</v>
      </c>
      <c r="O269" t="n">
        <v>0</v>
      </c>
      <c r="P269" t="n">
        <v>0</v>
      </c>
      <c r="Q269" t="n">
        <v>0</v>
      </c>
      <c r="R269" t="n">
        <v>0</v>
      </c>
      <c r="S269" t="n">
        <v>0</v>
      </c>
      <c r="T269" t="n">
        <v>0</v>
      </c>
      <c r="U269" s="2" t="inlineStr"/>
    </row>
    <row r="270" ht="15" customHeight="1">
      <c r="A270" t="inlineStr">
        <is>
          <t>A 62968-2023</t>
        </is>
      </c>
      <c r="B270" t="inlineStr">
        <is>
          <t>avverkningsanmälan</t>
        </is>
      </c>
      <c r="C270" t="inlineStr">
        <is>
          <t>Föryngringsavverkning</t>
        </is>
      </c>
      <c r="D270" s="1" t="n">
        <v>45272</v>
      </c>
      <c r="E270" s="1" t="n">
        <v>46220</v>
      </c>
      <c r="F270" t="inlineStr">
        <is>
          <t>ÖREBRO LÄN</t>
        </is>
      </c>
      <c r="G270" t="inlineStr">
        <is>
          <t>LINDESBERG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24186-2024</t>
        </is>
      </c>
      <c r="B271" t="inlineStr">
        <is>
          <t>avverkningsanmälan</t>
        </is>
      </c>
      <c r="C271" t="inlineStr">
        <is>
          <t>Föryngringsavverkning</t>
        </is>
      </c>
      <c r="D271" s="1" t="n">
        <v>45456</v>
      </c>
      <c r="E271" s="1" t="n">
        <v>46220</v>
      </c>
      <c r="F271" t="inlineStr">
        <is>
          <t>ÖREBRO LÄN</t>
        </is>
      </c>
      <c r="G271" t="inlineStr">
        <is>
          <t>LINDESBERG</t>
        </is>
      </c>
      <c r="H271" t="inlineStr">
        <is>
          <t>Sveaskog</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15936-2025</t>
        </is>
      </c>
      <c r="B272" t="inlineStr">
        <is>
          <t>avverkningsanmälan</t>
        </is>
      </c>
      <c r="C272" t="inlineStr">
        <is>
          <t>Föryngringsavverkning</t>
        </is>
      </c>
      <c r="D272" s="1" t="n">
        <v>45749</v>
      </c>
      <c r="E272" s="1" t="n">
        <v>46220</v>
      </c>
      <c r="F272" t="inlineStr">
        <is>
          <t>ÖREBRO LÄN</t>
        </is>
      </c>
      <c r="G272" t="inlineStr">
        <is>
          <t>LINDESBERG</t>
        </is>
      </c>
      <c r="I272" t="n">
        <v>22.3</v>
      </c>
      <c r="J272" t="n">
        <v>0</v>
      </c>
      <c r="K272" t="n">
        <v>0</v>
      </c>
      <c r="L272" t="n">
        <v>0</v>
      </c>
      <c r="M272" t="n">
        <v>0</v>
      </c>
      <c r="N272" t="n">
        <v>0</v>
      </c>
      <c r="O272" t="n">
        <v>0</v>
      </c>
      <c r="P272" t="n">
        <v>0</v>
      </c>
      <c r="Q272" t="n">
        <v>0</v>
      </c>
      <c r="R272" t="n">
        <v>0</v>
      </c>
      <c r="S272" t="n">
        <v>0</v>
      </c>
      <c r="T272" t="n">
        <v>0</v>
      </c>
      <c r="U272" s="2" t="inlineStr"/>
    </row>
    <row r="273" ht="15" customHeight="1">
      <c r="A273" t="inlineStr">
        <is>
          <t>A 10564-2023</t>
        </is>
      </c>
      <c r="B273" t="inlineStr">
        <is>
          <t>avverkningsanmälan</t>
        </is>
      </c>
      <c r="C273" t="inlineStr">
        <is>
          <t>Föryngringsavverkning</t>
        </is>
      </c>
      <c r="D273" s="1" t="n">
        <v>44988</v>
      </c>
      <c r="E273" s="1" t="n">
        <v>46220</v>
      </c>
      <c r="F273" t="inlineStr">
        <is>
          <t>ÖREBRO LÄN</t>
        </is>
      </c>
      <c r="G273" t="inlineStr">
        <is>
          <t>LINDESBERG</t>
        </is>
      </c>
      <c r="H273" t="inlineStr">
        <is>
          <t>Kyrkan</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30830-2024</t>
        </is>
      </c>
      <c r="B274" t="inlineStr">
        <is>
          <t>avverkningsanmälan</t>
        </is>
      </c>
      <c r="C274" t="inlineStr">
        <is>
          <t>Avverkning för annat ändamål</t>
        </is>
      </c>
      <c r="D274" s="1" t="n">
        <v>45497</v>
      </c>
      <c r="E274" s="1" t="n">
        <v>46220</v>
      </c>
      <c r="F274" t="inlineStr">
        <is>
          <t>ÖREBRO LÄN</t>
        </is>
      </c>
      <c r="G274" t="inlineStr">
        <is>
          <t>LINDESBERG</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23932-2025</t>
        </is>
      </c>
      <c r="B275" t="inlineStr">
        <is>
          <t>avverkningsanmälan</t>
        </is>
      </c>
      <c r="C275" t="inlineStr">
        <is>
          <t>Föryngringsavverkning</t>
        </is>
      </c>
      <c r="D275" s="1" t="n">
        <v>45795</v>
      </c>
      <c r="E275" s="1" t="n">
        <v>46220</v>
      </c>
      <c r="F275" t="inlineStr">
        <is>
          <t>ÖREBRO LÄN</t>
        </is>
      </c>
      <c r="G275" t="inlineStr">
        <is>
          <t>LINDESBERG</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37125-2023</t>
        </is>
      </c>
      <c r="B276" t="inlineStr">
        <is>
          <t>avverkningsanmälan</t>
        </is>
      </c>
      <c r="C276" t="inlineStr">
        <is>
          <t>Föryngringsavverkning</t>
        </is>
      </c>
      <c r="D276" s="1" t="n">
        <v>45155</v>
      </c>
      <c r="E276" s="1" t="n">
        <v>46220</v>
      </c>
      <c r="F276" t="inlineStr">
        <is>
          <t>ÖREBRO LÄN</t>
        </is>
      </c>
      <c r="G276" t="inlineStr">
        <is>
          <t>LINDESBERG</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57944-2023</t>
        </is>
      </c>
      <c r="B277" t="inlineStr">
        <is>
          <t>avverkningsanmälan</t>
        </is>
      </c>
      <c r="C277" t="inlineStr">
        <is>
          <t>Avverkning för annat ändamål</t>
        </is>
      </c>
      <c r="D277" s="1" t="n">
        <v>45244</v>
      </c>
      <c r="E277" s="1" t="n">
        <v>46220</v>
      </c>
      <c r="F277" t="inlineStr">
        <is>
          <t>ÖREBRO LÄN</t>
        </is>
      </c>
      <c r="G277" t="inlineStr">
        <is>
          <t>LINDESBERG</t>
        </is>
      </c>
      <c r="I277" t="n">
        <v>2.4</v>
      </c>
      <c r="J277" t="n">
        <v>0</v>
      </c>
      <c r="K277" t="n">
        <v>0</v>
      </c>
      <c r="L277" t="n">
        <v>0</v>
      </c>
      <c r="M277" t="n">
        <v>0</v>
      </c>
      <c r="N277" t="n">
        <v>0</v>
      </c>
      <c r="O277" t="n">
        <v>0</v>
      </c>
      <c r="P277" t="n">
        <v>0</v>
      </c>
      <c r="Q277" t="n">
        <v>0</v>
      </c>
      <c r="R277" t="n">
        <v>0</v>
      </c>
      <c r="S277" t="n">
        <v>0</v>
      </c>
      <c r="T277" t="n">
        <v>0</v>
      </c>
      <c r="U277" s="2" t="inlineStr"/>
    </row>
    <row r="278" ht="15" customHeight="1">
      <c r="A278" t="inlineStr">
        <is>
          <t>A 36291-2022</t>
        </is>
      </c>
      <c r="B278" t="inlineStr">
        <is>
          <t>avverkningsanmälan</t>
        </is>
      </c>
      <c r="C278" t="inlineStr">
        <is>
          <t>Föryngringsavverkning</t>
        </is>
      </c>
      <c r="D278" s="1" t="n">
        <v>44803</v>
      </c>
      <c r="E278" s="1" t="n">
        <v>46220</v>
      </c>
      <c r="F278" t="inlineStr">
        <is>
          <t>ÖREBRO LÄN</t>
        </is>
      </c>
      <c r="G278" t="inlineStr">
        <is>
          <t>LINDESBERG</t>
        </is>
      </c>
      <c r="I278" t="n">
        <v>3.8</v>
      </c>
      <c r="J278" t="n">
        <v>0</v>
      </c>
      <c r="K278" t="n">
        <v>0</v>
      </c>
      <c r="L278" t="n">
        <v>0</v>
      </c>
      <c r="M278" t="n">
        <v>0</v>
      </c>
      <c r="N278" t="n">
        <v>0</v>
      </c>
      <c r="O278" t="n">
        <v>0</v>
      </c>
      <c r="P278" t="n">
        <v>0</v>
      </c>
      <c r="Q278" t="n">
        <v>0</v>
      </c>
      <c r="R278" t="n">
        <v>0</v>
      </c>
      <c r="S278" t="n">
        <v>0</v>
      </c>
      <c r="T278" t="n">
        <v>0</v>
      </c>
      <c r="U278" s="2" t="inlineStr"/>
    </row>
    <row r="279" ht="15" customHeight="1">
      <c r="A279" t="inlineStr">
        <is>
          <t>A 24017-2025</t>
        </is>
      </c>
      <c r="B279" t="inlineStr">
        <is>
          <t>avverkningsanmälan</t>
        </is>
      </c>
      <c r="C279" t="inlineStr">
        <is>
          <t>Föryngringsavverkning</t>
        </is>
      </c>
      <c r="D279" s="1" t="n">
        <v>45796</v>
      </c>
      <c r="E279" s="1" t="n">
        <v>46220</v>
      </c>
      <c r="F279" t="inlineStr">
        <is>
          <t>ÖREBRO LÄN</t>
        </is>
      </c>
      <c r="G279" t="inlineStr">
        <is>
          <t>LINDESBERG</t>
        </is>
      </c>
      <c r="H279" t="inlineStr">
        <is>
          <t>Sveaskog</t>
        </is>
      </c>
      <c r="I279" t="n">
        <v>3.1</v>
      </c>
      <c r="J279" t="n">
        <v>0</v>
      </c>
      <c r="K279" t="n">
        <v>0</v>
      </c>
      <c r="L279" t="n">
        <v>0</v>
      </c>
      <c r="M279" t="n">
        <v>0</v>
      </c>
      <c r="N279" t="n">
        <v>0</v>
      </c>
      <c r="O279" t="n">
        <v>0</v>
      </c>
      <c r="P279" t="n">
        <v>0</v>
      </c>
      <c r="Q279" t="n">
        <v>0</v>
      </c>
      <c r="R279" t="n">
        <v>0</v>
      </c>
      <c r="S279" t="n">
        <v>0</v>
      </c>
      <c r="T279" t="n">
        <v>0</v>
      </c>
      <c r="U279" s="2" t="inlineStr"/>
    </row>
    <row r="280" ht="15" customHeight="1">
      <c r="A280" t="inlineStr">
        <is>
          <t>A 24011-2025</t>
        </is>
      </c>
      <c r="B280" t="inlineStr">
        <is>
          <t>avverkningsanmälan</t>
        </is>
      </c>
      <c r="C280" t="inlineStr">
        <is>
          <t>Föryngringsavverkning</t>
        </is>
      </c>
      <c r="D280" s="1" t="n">
        <v>45796</v>
      </c>
      <c r="E280" s="1" t="n">
        <v>46220</v>
      </c>
      <c r="F280" t="inlineStr">
        <is>
          <t>ÖREBRO LÄN</t>
        </is>
      </c>
      <c r="G280" t="inlineStr">
        <is>
          <t>LINDESBERG</t>
        </is>
      </c>
      <c r="H280" t="inlineStr">
        <is>
          <t>Sveaskog</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24020-2025</t>
        </is>
      </c>
      <c r="B281" t="inlineStr">
        <is>
          <t>avverkningsanmälan</t>
        </is>
      </c>
      <c r="C281" t="inlineStr">
        <is>
          <t>Föryngringsavverkning</t>
        </is>
      </c>
      <c r="D281" s="1" t="n">
        <v>45796</v>
      </c>
      <c r="E281" s="1" t="n">
        <v>46220</v>
      </c>
      <c r="F281" t="inlineStr">
        <is>
          <t>ÖREBRO LÄN</t>
        </is>
      </c>
      <c r="G281" t="inlineStr">
        <is>
          <t>LINDESBERG</t>
        </is>
      </c>
      <c r="H281" t="inlineStr">
        <is>
          <t>Sveaskog</t>
        </is>
      </c>
      <c r="I281" t="n">
        <v>3.1</v>
      </c>
      <c r="J281" t="n">
        <v>0</v>
      </c>
      <c r="K281" t="n">
        <v>0</v>
      </c>
      <c r="L281" t="n">
        <v>0</v>
      </c>
      <c r="M281" t="n">
        <v>0</v>
      </c>
      <c r="N281" t="n">
        <v>0</v>
      </c>
      <c r="O281" t="n">
        <v>0</v>
      </c>
      <c r="P281" t="n">
        <v>0</v>
      </c>
      <c r="Q281" t="n">
        <v>0</v>
      </c>
      <c r="R281" t="n">
        <v>0</v>
      </c>
      <c r="S281" t="n">
        <v>0</v>
      </c>
      <c r="T281" t="n">
        <v>0</v>
      </c>
      <c r="U281" s="2" t="inlineStr"/>
    </row>
    <row r="282" ht="15" customHeight="1">
      <c r="A282" t="inlineStr">
        <is>
          <t>A 24043-2024</t>
        </is>
      </c>
      <c r="B282" t="inlineStr">
        <is>
          <t>avverkningsanmälan</t>
        </is>
      </c>
      <c r="C282" t="inlineStr">
        <is>
          <t>Föryngringsavverkning</t>
        </is>
      </c>
      <c r="D282" s="1" t="n">
        <v>45456</v>
      </c>
      <c r="E282" s="1" t="n">
        <v>46220</v>
      </c>
      <c r="F282" t="inlineStr">
        <is>
          <t>ÖREBRO LÄN</t>
        </is>
      </c>
      <c r="G282" t="inlineStr">
        <is>
          <t>LINDESBERG</t>
        </is>
      </c>
      <c r="I282" t="n">
        <v>6.2</v>
      </c>
      <c r="J282" t="n">
        <v>0</v>
      </c>
      <c r="K282" t="n">
        <v>0</v>
      </c>
      <c r="L282" t="n">
        <v>0</v>
      </c>
      <c r="M282" t="n">
        <v>0</v>
      </c>
      <c r="N282" t="n">
        <v>0</v>
      </c>
      <c r="O282" t="n">
        <v>0</v>
      </c>
      <c r="P282" t="n">
        <v>0</v>
      </c>
      <c r="Q282" t="n">
        <v>0</v>
      </c>
      <c r="R282" t="n">
        <v>0</v>
      </c>
      <c r="S282" t="n">
        <v>0</v>
      </c>
      <c r="T282" t="n">
        <v>0</v>
      </c>
      <c r="U282" s="2" t="inlineStr"/>
    </row>
    <row r="283" ht="15" customHeight="1">
      <c r="A283" t="inlineStr">
        <is>
          <t>A 10836-2024</t>
        </is>
      </c>
      <c r="B283" t="inlineStr">
        <is>
          <t>avverkningsanmälan</t>
        </is>
      </c>
      <c r="C283" t="inlineStr">
        <is>
          <t>Föryngringsavverkning</t>
        </is>
      </c>
      <c r="D283" s="1" t="n">
        <v>45369</v>
      </c>
      <c r="E283" s="1" t="n">
        <v>46220</v>
      </c>
      <c r="F283" t="inlineStr">
        <is>
          <t>ÖREBRO LÄN</t>
        </is>
      </c>
      <c r="G283" t="inlineStr">
        <is>
          <t>LINDESBERG</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48231-2024</t>
        </is>
      </c>
      <c r="B284" t="inlineStr">
        <is>
          <t>avverkningsanmälan</t>
        </is>
      </c>
      <c r="C284" t="inlineStr">
        <is>
          <t>Föryngringsavverkning</t>
        </is>
      </c>
      <c r="D284" s="1" t="n">
        <v>45590</v>
      </c>
      <c r="E284" s="1" t="n">
        <v>46220</v>
      </c>
      <c r="F284" t="inlineStr">
        <is>
          <t>ÖREBRO LÄN</t>
        </is>
      </c>
      <c r="G284" t="inlineStr">
        <is>
          <t>LINDESBERG</t>
        </is>
      </c>
      <c r="I284" t="n">
        <v>9.699999999999999</v>
      </c>
      <c r="J284" t="n">
        <v>0</v>
      </c>
      <c r="K284" t="n">
        <v>0</v>
      </c>
      <c r="L284" t="n">
        <v>0</v>
      </c>
      <c r="M284" t="n">
        <v>0</v>
      </c>
      <c r="N284" t="n">
        <v>0</v>
      </c>
      <c r="O284" t="n">
        <v>0</v>
      </c>
      <c r="P284" t="n">
        <v>0</v>
      </c>
      <c r="Q284" t="n">
        <v>0</v>
      </c>
      <c r="R284" t="n">
        <v>0</v>
      </c>
      <c r="S284" t="n">
        <v>0</v>
      </c>
      <c r="T284" t="n">
        <v>0</v>
      </c>
      <c r="U284" s="2" t="inlineStr"/>
    </row>
    <row r="285" ht="15" customHeight="1">
      <c r="A285" t="inlineStr">
        <is>
          <t>A 23536-2023</t>
        </is>
      </c>
      <c r="B285" t="inlineStr">
        <is>
          <t>avverkningsanmälan</t>
        </is>
      </c>
      <c r="C285" t="inlineStr">
        <is>
          <t>Föryngringsavverkning</t>
        </is>
      </c>
      <c r="D285" s="1" t="n">
        <v>45077</v>
      </c>
      <c r="E285" s="1" t="n">
        <v>46220</v>
      </c>
      <c r="F285" t="inlineStr">
        <is>
          <t>ÖREBRO LÄN</t>
        </is>
      </c>
      <c r="G285" t="inlineStr">
        <is>
          <t>LINDESBERG</t>
        </is>
      </c>
      <c r="H285" t="inlineStr">
        <is>
          <t>Kyrkan</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38552-2023</t>
        </is>
      </c>
      <c r="B286" t="inlineStr">
        <is>
          <t>avverkningsanmälan</t>
        </is>
      </c>
      <c r="C286" t="inlineStr">
        <is>
          <t>Föryngringsavverkning</t>
        </is>
      </c>
      <c r="D286" s="1" t="n">
        <v>45162</v>
      </c>
      <c r="E286" s="1" t="n">
        <v>46220</v>
      </c>
      <c r="F286" t="inlineStr">
        <is>
          <t>ÖREBRO LÄN</t>
        </is>
      </c>
      <c r="G286" t="inlineStr">
        <is>
          <t>LINDESBERG</t>
        </is>
      </c>
      <c r="I286" t="n">
        <v>10.4</v>
      </c>
      <c r="J286" t="n">
        <v>0</v>
      </c>
      <c r="K286" t="n">
        <v>0</v>
      </c>
      <c r="L286" t="n">
        <v>0</v>
      </c>
      <c r="M286" t="n">
        <v>0</v>
      </c>
      <c r="N286" t="n">
        <v>0</v>
      </c>
      <c r="O286" t="n">
        <v>0</v>
      </c>
      <c r="P286" t="n">
        <v>0</v>
      </c>
      <c r="Q286" t="n">
        <v>0</v>
      </c>
      <c r="R286" t="n">
        <v>0</v>
      </c>
      <c r="S286" t="n">
        <v>0</v>
      </c>
      <c r="T286" t="n">
        <v>0</v>
      </c>
      <c r="U286" s="2" t="inlineStr"/>
    </row>
    <row r="287" ht="15" customHeight="1">
      <c r="A287" t="inlineStr">
        <is>
          <t>A 19914-2024</t>
        </is>
      </c>
      <c r="B287" t="inlineStr">
        <is>
          <t>avverkningsanmälan</t>
        </is>
      </c>
      <c r="C287" t="inlineStr">
        <is>
          <t>Föryngringsavverkning</t>
        </is>
      </c>
      <c r="D287" s="1" t="n">
        <v>45433</v>
      </c>
      <c r="E287" s="1" t="n">
        <v>46220</v>
      </c>
      <c r="F287" t="inlineStr">
        <is>
          <t>ÖREBRO LÄN</t>
        </is>
      </c>
      <c r="G287" t="inlineStr">
        <is>
          <t>LINDESBERG</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911-2026</t>
        </is>
      </c>
      <c r="B288" t="inlineStr">
        <is>
          <t>avverkningsanmälan</t>
        </is>
      </c>
      <c r="C288" t="inlineStr">
        <is>
          <t>Föryngringsavverkning</t>
        </is>
      </c>
      <c r="D288" s="1" t="n">
        <v>46030</v>
      </c>
      <c r="E288" s="1" t="n">
        <v>46220</v>
      </c>
      <c r="F288" t="inlineStr">
        <is>
          <t>ÖREBRO LÄN</t>
        </is>
      </c>
      <c r="G288" t="inlineStr">
        <is>
          <t>LINDESBERG</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55631-2022</t>
        </is>
      </c>
      <c r="B289" t="inlineStr">
        <is>
          <t>avverkningsanmälan</t>
        </is>
      </c>
      <c r="C289" t="inlineStr">
        <is>
          <t>Föryngringsavverkning</t>
        </is>
      </c>
      <c r="D289" s="1" t="n">
        <v>44888</v>
      </c>
      <c r="E289" s="1" t="n">
        <v>46220</v>
      </c>
      <c r="F289" t="inlineStr">
        <is>
          <t>ÖREBRO LÄN</t>
        </is>
      </c>
      <c r="G289" t="inlineStr">
        <is>
          <t>LINDESBERG</t>
        </is>
      </c>
      <c r="I289" t="n">
        <v>4.4</v>
      </c>
      <c r="J289" t="n">
        <v>0</v>
      </c>
      <c r="K289" t="n">
        <v>0</v>
      </c>
      <c r="L289" t="n">
        <v>0</v>
      </c>
      <c r="M289" t="n">
        <v>0</v>
      </c>
      <c r="N289" t="n">
        <v>0</v>
      </c>
      <c r="O289" t="n">
        <v>0</v>
      </c>
      <c r="P289" t="n">
        <v>0</v>
      </c>
      <c r="Q289" t="n">
        <v>0</v>
      </c>
      <c r="R289" t="n">
        <v>0</v>
      </c>
      <c r="S289" t="n">
        <v>0</v>
      </c>
      <c r="T289" t="n">
        <v>0</v>
      </c>
      <c r="U289" s="2" t="inlineStr"/>
    </row>
    <row r="290" ht="15" customHeight="1">
      <c r="A290" t="inlineStr">
        <is>
          <t>A 265-2023</t>
        </is>
      </c>
      <c r="B290" t="inlineStr">
        <is>
          <t>avverkningsanmälan</t>
        </is>
      </c>
      <c r="C290" t="inlineStr">
        <is>
          <t>Föryngringsavverkning</t>
        </is>
      </c>
      <c r="D290" s="1" t="n">
        <v>44928</v>
      </c>
      <c r="E290" s="1" t="n">
        <v>46220</v>
      </c>
      <c r="F290" t="inlineStr">
        <is>
          <t>ÖREBRO LÄN</t>
        </is>
      </c>
      <c r="G290" t="inlineStr">
        <is>
          <t>LINDESBERG</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60115-2022</t>
        </is>
      </c>
      <c r="B291" t="inlineStr">
        <is>
          <t>avverkningsanmälan</t>
        </is>
      </c>
      <c r="C291" t="inlineStr">
        <is>
          <t>Föryngringsavverkning</t>
        </is>
      </c>
      <c r="D291" s="1" t="n">
        <v>44902</v>
      </c>
      <c r="E291" s="1" t="n">
        <v>46220</v>
      </c>
      <c r="F291" t="inlineStr">
        <is>
          <t>ÖREBRO LÄN</t>
        </is>
      </c>
      <c r="G291" t="inlineStr">
        <is>
          <t>LINDESBERG</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2556-2026</t>
        </is>
      </c>
      <c r="B292" t="inlineStr">
        <is>
          <t>avverkningsanmälan</t>
        </is>
      </c>
      <c r="C292" t="inlineStr">
        <is>
          <t>Föryngringsavverkning</t>
        </is>
      </c>
      <c r="D292" s="1" t="n">
        <v>46035</v>
      </c>
      <c r="E292" s="1" t="n">
        <v>46220</v>
      </c>
      <c r="F292" t="inlineStr">
        <is>
          <t>ÖREBRO LÄN</t>
        </is>
      </c>
      <c r="G292" t="inlineStr">
        <is>
          <t>LINDESBERG</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38861-2025</t>
        </is>
      </c>
      <c r="B293" t="inlineStr">
        <is>
          <t>avverkningsanmälan</t>
        </is>
      </c>
      <c r="C293" t="inlineStr">
        <is>
          <t>Avverkning för att bevara och utveckla /försöksver</t>
        </is>
      </c>
      <c r="D293" s="1" t="n">
        <v>45887</v>
      </c>
      <c r="E293" s="1" t="n">
        <v>46220</v>
      </c>
      <c r="F293" t="inlineStr">
        <is>
          <t>ÖREBRO LÄN</t>
        </is>
      </c>
      <c r="G293" t="inlineStr">
        <is>
          <t>LINDESBERG</t>
        </is>
      </c>
      <c r="H293" t="inlineStr">
        <is>
          <t>Sveaskog</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29975-2023</t>
        </is>
      </c>
      <c r="B294" t="inlineStr">
        <is>
          <t>avverkningsanmälan</t>
        </is>
      </c>
      <c r="C294" t="inlineStr">
        <is>
          <t>Föryngringsavverkning</t>
        </is>
      </c>
      <c r="D294" s="1" t="n">
        <v>45108</v>
      </c>
      <c r="E294" s="1" t="n">
        <v>46220</v>
      </c>
      <c r="F294" t="inlineStr">
        <is>
          <t>ÖREBRO LÄN</t>
        </is>
      </c>
      <c r="G294" t="inlineStr">
        <is>
          <t>LINDESBERG</t>
        </is>
      </c>
      <c r="I294" t="n">
        <v>6.4</v>
      </c>
      <c r="J294" t="n">
        <v>0</v>
      </c>
      <c r="K294" t="n">
        <v>0</v>
      </c>
      <c r="L294" t="n">
        <v>0</v>
      </c>
      <c r="M294" t="n">
        <v>0</v>
      </c>
      <c r="N294" t="n">
        <v>0</v>
      </c>
      <c r="O294" t="n">
        <v>0</v>
      </c>
      <c r="P294" t="n">
        <v>0</v>
      </c>
      <c r="Q294" t="n">
        <v>0</v>
      </c>
      <c r="R294" t="n">
        <v>0</v>
      </c>
      <c r="S294" t="n">
        <v>0</v>
      </c>
      <c r="T294" t="n">
        <v>0</v>
      </c>
      <c r="U294" s="2" t="inlineStr"/>
    </row>
    <row r="295" ht="15" customHeight="1">
      <c r="A295" t="inlineStr">
        <is>
          <t>A 39429-2025</t>
        </is>
      </c>
      <c r="B295" t="inlineStr">
        <is>
          <t>avverkningsanmälan</t>
        </is>
      </c>
      <c r="C295" t="inlineStr">
        <is>
          <t>Föryngringsavverkning</t>
        </is>
      </c>
      <c r="D295" s="1" t="n">
        <v>45889</v>
      </c>
      <c r="E295" s="1" t="n">
        <v>46220</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39421-2025</t>
        </is>
      </c>
      <c r="B296" t="inlineStr">
        <is>
          <t>avverkningsanmälan</t>
        </is>
      </c>
      <c r="C296" t="inlineStr">
        <is>
          <t>Föryngringsavverkning</t>
        </is>
      </c>
      <c r="D296" s="1" t="n">
        <v>45889</v>
      </c>
      <c r="E296" s="1" t="n">
        <v>46220</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39424-2025</t>
        </is>
      </c>
      <c r="B297" t="inlineStr">
        <is>
          <t>avverkningsanmälan</t>
        </is>
      </c>
      <c r="C297" t="inlineStr">
        <is>
          <t>Föryngringsavverkning</t>
        </is>
      </c>
      <c r="D297" s="1" t="n">
        <v>45889</v>
      </c>
      <c r="E297" s="1" t="n">
        <v>46220</v>
      </c>
      <c r="F297" t="inlineStr">
        <is>
          <t>ÖREBRO LÄN</t>
        </is>
      </c>
      <c r="G297" t="inlineStr">
        <is>
          <t>LINDESBERG</t>
        </is>
      </c>
      <c r="H297" t="inlineStr">
        <is>
          <t>Sveaskog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40905-2023</t>
        </is>
      </c>
      <c r="B298" t="inlineStr">
        <is>
          <t>avverkningsanmälan</t>
        </is>
      </c>
      <c r="C298" t="inlineStr">
        <is>
          <t>Föryngringsavverkning</t>
        </is>
      </c>
      <c r="D298" s="1" t="n">
        <v>45173</v>
      </c>
      <c r="E298" s="1" t="n">
        <v>46220</v>
      </c>
      <c r="F298" t="inlineStr">
        <is>
          <t>ÖREBRO LÄN</t>
        </is>
      </c>
      <c r="G298" t="inlineStr">
        <is>
          <t>LINDESBERG</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40085-2023</t>
        </is>
      </c>
      <c r="B299" t="inlineStr">
        <is>
          <t>avverkningsanmälan</t>
        </is>
      </c>
      <c r="C299" t="inlineStr">
        <is>
          <t>Föryngringsavverkning</t>
        </is>
      </c>
      <c r="D299" s="1" t="n">
        <v>45168</v>
      </c>
      <c r="E299" s="1" t="n">
        <v>46220</v>
      </c>
      <c r="F299" t="inlineStr">
        <is>
          <t>ÖREBRO LÄN</t>
        </is>
      </c>
      <c r="G299" t="inlineStr">
        <is>
          <t>LINDESBERG</t>
        </is>
      </c>
      <c r="I299" t="n">
        <v>6.1</v>
      </c>
      <c r="J299" t="n">
        <v>0</v>
      </c>
      <c r="K299" t="n">
        <v>0</v>
      </c>
      <c r="L299" t="n">
        <v>0</v>
      </c>
      <c r="M299" t="n">
        <v>0</v>
      </c>
      <c r="N299" t="n">
        <v>0</v>
      </c>
      <c r="O299" t="n">
        <v>0</v>
      </c>
      <c r="P299" t="n">
        <v>0</v>
      </c>
      <c r="Q299" t="n">
        <v>0</v>
      </c>
      <c r="R299" t="n">
        <v>0</v>
      </c>
      <c r="S299" t="n">
        <v>0</v>
      </c>
      <c r="T299" t="n">
        <v>0</v>
      </c>
      <c r="U299" s="2" t="inlineStr"/>
    </row>
    <row r="300" ht="15" customHeight="1">
      <c r="A300" t="inlineStr">
        <is>
          <t>A 40117-2023</t>
        </is>
      </c>
      <c r="B300" t="inlineStr">
        <is>
          <t>avverkningsanmälan</t>
        </is>
      </c>
      <c r="C300" t="inlineStr">
        <is>
          <t>Föryngringsavverkning</t>
        </is>
      </c>
      <c r="D300" s="1" t="n">
        <v>45168</v>
      </c>
      <c r="E300" s="1" t="n">
        <v>46220</v>
      </c>
      <c r="F300" t="inlineStr">
        <is>
          <t>ÖREBRO LÄN</t>
        </is>
      </c>
      <c r="G300" t="inlineStr">
        <is>
          <t>LINDESBERG</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21390-2024</t>
        </is>
      </c>
      <c r="B301" t="inlineStr">
        <is>
          <t>avverkningsanmälan</t>
        </is>
      </c>
      <c r="C301" t="inlineStr">
        <is>
          <t>Avverkning för annat ändamål</t>
        </is>
      </c>
      <c r="D301" s="1" t="n">
        <v>45441</v>
      </c>
      <c r="E301" s="1" t="n">
        <v>46220</v>
      </c>
      <c r="F301" t="inlineStr">
        <is>
          <t>ÖREBRO LÄN</t>
        </is>
      </c>
      <c r="G301" t="inlineStr">
        <is>
          <t>LINDESBERG</t>
        </is>
      </c>
      <c r="H301" t="inlineStr">
        <is>
          <t>Sveaskog</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21392-2024</t>
        </is>
      </c>
      <c r="B302" t="inlineStr">
        <is>
          <t>avverkningsanmälan</t>
        </is>
      </c>
      <c r="C302" t="inlineStr">
        <is>
          <t>Avverkning för annat ändamål</t>
        </is>
      </c>
      <c r="D302" s="1" t="n">
        <v>45441</v>
      </c>
      <c r="E302" s="1" t="n">
        <v>46220</v>
      </c>
      <c r="F302" t="inlineStr">
        <is>
          <t>ÖREBRO LÄN</t>
        </is>
      </c>
      <c r="G302" t="inlineStr">
        <is>
          <t>LINDESBERG</t>
        </is>
      </c>
      <c r="H302" t="inlineStr">
        <is>
          <t>Sveaskog</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9966-2023</t>
        </is>
      </c>
      <c r="B303" t="inlineStr">
        <is>
          <t>avverkningsanmälan</t>
        </is>
      </c>
      <c r="C303" t="inlineStr">
        <is>
          <t>Föryngringsavverkning</t>
        </is>
      </c>
      <c r="D303" s="1" t="n">
        <v>44979</v>
      </c>
      <c r="E303" s="1" t="n">
        <v>46220</v>
      </c>
      <c r="F303" t="inlineStr">
        <is>
          <t>ÖREBRO LÄN</t>
        </is>
      </c>
      <c r="G303" t="inlineStr">
        <is>
          <t>LINDESBERG</t>
        </is>
      </c>
      <c r="I303" t="n">
        <v>4.1</v>
      </c>
      <c r="J303" t="n">
        <v>0</v>
      </c>
      <c r="K303" t="n">
        <v>0</v>
      </c>
      <c r="L303" t="n">
        <v>0</v>
      </c>
      <c r="M303" t="n">
        <v>0</v>
      </c>
      <c r="N303" t="n">
        <v>0</v>
      </c>
      <c r="O303" t="n">
        <v>0</v>
      </c>
      <c r="P303" t="n">
        <v>0</v>
      </c>
      <c r="Q303" t="n">
        <v>0</v>
      </c>
      <c r="R303" t="n">
        <v>0</v>
      </c>
      <c r="S303" t="n">
        <v>0</v>
      </c>
      <c r="T303" t="n">
        <v>0</v>
      </c>
      <c r="U303" s="2" t="inlineStr"/>
    </row>
    <row r="304" ht="15" customHeight="1">
      <c r="A304" t="inlineStr">
        <is>
          <t>A 27296-2025</t>
        </is>
      </c>
      <c r="B304" t="inlineStr">
        <is>
          <t>avverkningsanmälan</t>
        </is>
      </c>
      <c r="C304" t="inlineStr">
        <is>
          <t>Föryngringsavverkning</t>
        </is>
      </c>
      <c r="D304" s="1" t="n">
        <v>45812</v>
      </c>
      <c r="E304" s="1" t="n">
        <v>46220</v>
      </c>
      <c r="F304" t="inlineStr">
        <is>
          <t>ÖREBRO LÄN</t>
        </is>
      </c>
      <c r="G304" t="inlineStr">
        <is>
          <t>LINDESBERG</t>
        </is>
      </c>
      <c r="H304" t="inlineStr">
        <is>
          <t>Sveaskog</t>
        </is>
      </c>
      <c r="I304" t="n">
        <v>4.5</v>
      </c>
      <c r="J304" t="n">
        <v>0</v>
      </c>
      <c r="K304" t="n">
        <v>0</v>
      </c>
      <c r="L304" t="n">
        <v>0</v>
      </c>
      <c r="M304" t="n">
        <v>0</v>
      </c>
      <c r="N304" t="n">
        <v>0</v>
      </c>
      <c r="O304" t="n">
        <v>0</v>
      </c>
      <c r="P304" t="n">
        <v>0</v>
      </c>
      <c r="Q304" t="n">
        <v>0</v>
      </c>
      <c r="R304" t="n">
        <v>0</v>
      </c>
      <c r="S304" t="n">
        <v>0</v>
      </c>
      <c r="T304" t="n">
        <v>0</v>
      </c>
      <c r="U304" s="2" t="inlineStr"/>
    </row>
    <row r="305" ht="15" customHeight="1">
      <c r="A305" t="inlineStr">
        <is>
          <t>A 60941-2024</t>
        </is>
      </c>
      <c r="B305" t="inlineStr">
        <is>
          <t>avverkningsanmälan</t>
        </is>
      </c>
      <c r="C305" t="inlineStr">
        <is>
          <t>Föryngringsavverkning</t>
        </is>
      </c>
      <c r="D305" s="1" t="n">
        <v>45645</v>
      </c>
      <c r="E305" s="1" t="n">
        <v>46220</v>
      </c>
      <c r="F305" t="inlineStr">
        <is>
          <t>ÖREBRO LÄN</t>
        </is>
      </c>
      <c r="G305" t="inlineStr">
        <is>
          <t>LINDESBERG</t>
        </is>
      </c>
      <c r="H305" t="inlineStr">
        <is>
          <t>Sveaskog</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41889-2025</t>
        </is>
      </c>
      <c r="B306" t="inlineStr">
        <is>
          <t>avverkningsanmälan</t>
        </is>
      </c>
      <c r="C306" t="inlineStr">
        <is>
          <t>Föryngringsavverkning</t>
        </is>
      </c>
      <c r="D306" s="1" t="n">
        <v>45903</v>
      </c>
      <c r="E306" s="1" t="n">
        <v>46220</v>
      </c>
      <c r="F306" t="inlineStr">
        <is>
          <t>ÖREBRO LÄN</t>
        </is>
      </c>
      <c r="G306" t="inlineStr">
        <is>
          <t>LINDESBERG</t>
        </is>
      </c>
      <c r="H306" t="inlineStr">
        <is>
          <t>Sveaskog</t>
        </is>
      </c>
      <c r="I306" t="n">
        <v>7.7</v>
      </c>
      <c r="J306" t="n">
        <v>0</v>
      </c>
      <c r="K306" t="n">
        <v>0</v>
      </c>
      <c r="L306" t="n">
        <v>0</v>
      </c>
      <c r="M306" t="n">
        <v>0</v>
      </c>
      <c r="N306" t="n">
        <v>0</v>
      </c>
      <c r="O306" t="n">
        <v>0</v>
      </c>
      <c r="P306" t="n">
        <v>0</v>
      </c>
      <c r="Q306" t="n">
        <v>0</v>
      </c>
      <c r="R306" t="n">
        <v>0</v>
      </c>
      <c r="S306" t="n">
        <v>0</v>
      </c>
      <c r="T306" t="n">
        <v>0</v>
      </c>
      <c r="U306" s="2" t="inlineStr"/>
    </row>
    <row r="307" ht="15" customHeight="1">
      <c r="A307" t="inlineStr">
        <is>
          <t>A 56507-2021</t>
        </is>
      </c>
      <c r="B307" t="inlineStr">
        <is>
          <t>avverkningsanmälan</t>
        </is>
      </c>
      <c r="C307" t="inlineStr">
        <is>
          <t>Föryngringsavverkning</t>
        </is>
      </c>
      <c r="D307" s="1" t="n">
        <v>44480</v>
      </c>
      <c r="E307" s="1" t="n">
        <v>46220</v>
      </c>
      <c r="F307" t="inlineStr">
        <is>
          <t>ÖREBRO LÄN</t>
        </is>
      </c>
      <c r="G307" t="inlineStr">
        <is>
          <t>LINDESBERG</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28991-2025</t>
        </is>
      </c>
      <c r="B308" t="inlineStr">
        <is>
          <t>avverkningsanmälan</t>
        </is>
      </c>
      <c r="C308" t="inlineStr">
        <is>
          <t>Föryngringsavverkning</t>
        </is>
      </c>
      <c r="D308" s="1" t="n">
        <v>45821</v>
      </c>
      <c r="E308" s="1" t="n">
        <v>46220</v>
      </c>
      <c r="F308" t="inlineStr">
        <is>
          <t>ÖREBRO LÄN</t>
        </is>
      </c>
      <c r="G308" t="inlineStr">
        <is>
          <t>LINDESBERG</t>
        </is>
      </c>
      <c r="H308" t="inlineStr">
        <is>
          <t>Sveaskog</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47069-2023</t>
        </is>
      </c>
      <c r="B309" t="inlineStr">
        <is>
          <t>avverkningsanmälan</t>
        </is>
      </c>
      <c r="C309" t="inlineStr">
        <is>
          <t>Föryngringsavverkning</t>
        </is>
      </c>
      <c r="D309" s="1" t="n">
        <v>45201</v>
      </c>
      <c r="E309" s="1" t="n">
        <v>46220</v>
      </c>
      <c r="F309" t="inlineStr">
        <is>
          <t>ÖREBRO LÄN</t>
        </is>
      </c>
      <c r="G309" t="inlineStr">
        <is>
          <t>LINDESBERG</t>
        </is>
      </c>
      <c r="H309" t="inlineStr">
        <is>
          <t>Sveaskog</t>
        </is>
      </c>
      <c r="I309" t="n">
        <v>9.4</v>
      </c>
      <c r="J309" t="n">
        <v>0</v>
      </c>
      <c r="K309" t="n">
        <v>0</v>
      </c>
      <c r="L309" t="n">
        <v>0</v>
      </c>
      <c r="M309" t="n">
        <v>0</v>
      </c>
      <c r="N309" t="n">
        <v>0</v>
      </c>
      <c r="O309" t="n">
        <v>0</v>
      </c>
      <c r="P309" t="n">
        <v>0</v>
      </c>
      <c r="Q309" t="n">
        <v>0</v>
      </c>
      <c r="R309" t="n">
        <v>0</v>
      </c>
      <c r="S309" t="n">
        <v>0</v>
      </c>
      <c r="T309" t="n">
        <v>0</v>
      </c>
      <c r="U309" s="2" t="inlineStr"/>
    </row>
    <row r="310" ht="15" customHeight="1">
      <c r="A310" t="inlineStr">
        <is>
          <t>A 47074-2023</t>
        </is>
      </c>
      <c r="B310" t="inlineStr">
        <is>
          <t>avverkningsanmälan</t>
        </is>
      </c>
      <c r="C310" t="inlineStr">
        <is>
          <t>Föryngringsavverkning</t>
        </is>
      </c>
      <c r="D310" s="1" t="n">
        <v>45201</v>
      </c>
      <c r="E310" s="1" t="n">
        <v>46220</v>
      </c>
      <c r="F310" t="inlineStr">
        <is>
          <t>ÖREBRO LÄN</t>
        </is>
      </c>
      <c r="G310" t="inlineStr">
        <is>
          <t>LINDESBERG</t>
        </is>
      </c>
      <c r="H310" t="inlineStr">
        <is>
          <t>Sveaskog</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33284-2024</t>
        </is>
      </c>
      <c r="B311" t="inlineStr">
        <is>
          <t>avverkningsanmälan</t>
        </is>
      </c>
      <c r="C311" t="inlineStr">
        <is>
          <t>Föryngringsavverkning</t>
        </is>
      </c>
      <c r="D311" s="1" t="n">
        <v>45518</v>
      </c>
      <c r="E311" s="1" t="n">
        <v>46220</v>
      </c>
      <c r="F311" t="inlineStr">
        <is>
          <t>ÖREBRO LÄN</t>
        </is>
      </c>
      <c r="G311" t="inlineStr">
        <is>
          <t>LINDESBERG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38696-2024</t>
        </is>
      </c>
      <c r="B312" t="inlineStr">
        <is>
          <t>avverkningsanmälan</t>
        </is>
      </c>
      <c r="C312" t="inlineStr">
        <is>
          <t>Föryngringsavverkning</t>
        </is>
      </c>
      <c r="D312" s="1" t="n">
        <v>45547</v>
      </c>
      <c r="E312" s="1" t="n">
        <v>46220</v>
      </c>
      <c r="F312" t="inlineStr">
        <is>
          <t>ÖREBRO LÄN</t>
        </is>
      </c>
      <c r="G312" t="inlineStr">
        <is>
          <t>LINDESBERG</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19219-2023</t>
        </is>
      </c>
      <c r="B313" t="inlineStr">
        <is>
          <t>avverkningsanmälan</t>
        </is>
      </c>
      <c r="C313" t="inlineStr">
        <is>
          <t>Avverkning för annat ändamål</t>
        </is>
      </c>
      <c r="D313" s="1" t="n">
        <v>45048</v>
      </c>
      <c r="E313" s="1" t="n">
        <v>46220</v>
      </c>
      <c r="F313" t="inlineStr">
        <is>
          <t>ÖREBRO LÄN</t>
        </is>
      </c>
      <c r="G313" t="inlineStr">
        <is>
          <t>LINDESBERG</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1742-2022</t>
        </is>
      </c>
      <c r="B314" t="inlineStr">
        <is>
          <t>avverkningsanmälan</t>
        </is>
      </c>
      <c r="C314" t="inlineStr">
        <is>
          <t>Föryngringsavverkning</t>
        </is>
      </c>
      <c r="D314" s="1" t="n">
        <v>44574</v>
      </c>
      <c r="E314" s="1" t="n">
        <v>46220</v>
      </c>
      <c r="F314" t="inlineStr">
        <is>
          <t>ÖREBRO LÄN</t>
        </is>
      </c>
      <c r="G314" t="inlineStr">
        <is>
          <t>LINDESBERG</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52928-2024</t>
        </is>
      </c>
      <c r="B315" t="inlineStr">
        <is>
          <t>avverkningsanmälan</t>
        </is>
      </c>
      <c r="C315" t="inlineStr">
        <is>
          <t>Föryngringsavverkning</t>
        </is>
      </c>
      <c r="D315" s="1" t="n">
        <v>45610</v>
      </c>
      <c r="E315" s="1" t="n">
        <v>46220</v>
      </c>
      <c r="F315" t="inlineStr">
        <is>
          <t>ÖREBRO LÄN</t>
        </is>
      </c>
      <c r="G315" t="inlineStr">
        <is>
          <t>LINDESBERG</t>
        </is>
      </c>
      <c r="I315" t="n">
        <v>8.6</v>
      </c>
      <c r="J315" t="n">
        <v>0</v>
      </c>
      <c r="K315" t="n">
        <v>0</v>
      </c>
      <c r="L315" t="n">
        <v>0</v>
      </c>
      <c r="M315" t="n">
        <v>0</v>
      </c>
      <c r="N315" t="n">
        <v>0</v>
      </c>
      <c r="O315" t="n">
        <v>0</v>
      </c>
      <c r="P315" t="n">
        <v>0</v>
      </c>
      <c r="Q315" t="n">
        <v>0</v>
      </c>
      <c r="R315" t="n">
        <v>0</v>
      </c>
      <c r="S315" t="n">
        <v>0</v>
      </c>
      <c r="T315" t="n">
        <v>0</v>
      </c>
      <c r="U315" s="2" t="inlineStr"/>
    </row>
    <row r="316" ht="15" customHeight="1">
      <c r="A316" t="inlineStr">
        <is>
          <t>A 30339-2025</t>
        </is>
      </c>
      <c r="B316" t="inlineStr">
        <is>
          <t>avverkningsanmälan</t>
        </is>
      </c>
      <c r="C316" t="inlineStr">
        <is>
          <t>Föryngringsavverkning</t>
        </is>
      </c>
      <c r="D316" s="1" t="n">
        <v>45827</v>
      </c>
      <c r="E316" s="1" t="n">
        <v>46220</v>
      </c>
      <c r="F316" t="inlineStr">
        <is>
          <t>ÖREBRO LÄN</t>
        </is>
      </c>
      <c r="G316" t="inlineStr">
        <is>
          <t>LINDESBERG</t>
        </is>
      </c>
      <c r="H316" t="inlineStr">
        <is>
          <t>Sveaskog</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34029-2024</t>
        </is>
      </c>
      <c r="B317" t="inlineStr">
        <is>
          <t>avverkningsanmälan</t>
        </is>
      </c>
      <c r="C317" t="inlineStr">
        <is>
          <t>Föryngringsavverkning</t>
        </is>
      </c>
      <c r="D317" s="1" t="n">
        <v>45523</v>
      </c>
      <c r="E317" s="1" t="n">
        <v>46220</v>
      </c>
      <c r="F317" t="inlineStr">
        <is>
          <t>ÖREBRO LÄN</t>
        </is>
      </c>
      <c r="G317" t="inlineStr">
        <is>
          <t>LINDESBERG</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43847-2025</t>
        </is>
      </c>
      <c r="B318" t="inlineStr">
        <is>
          <t>avverkningsanmälan</t>
        </is>
      </c>
      <c r="C318" t="inlineStr">
        <is>
          <t>Föryngringsavverkning</t>
        </is>
      </c>
      <c r="D318" s="1" t="n">
        <v>45912</v>
      </c>
      <c r="E318" s="1" t="n">
        <v>46220</v>
      </c>
      <c r="F318" t="inlineStr">
        <is>
          <t>ÖREBRO LÄN</t>
        </is>
      </c>
      <c r="G318" t="inlineStr">
        <is>
          <t>LINDESBERG</t>
        </is>
      </c>
      <c r="H318" t="inlineStr">
        <is>
          <t>Sveaskog</t>
        </is>
      </c>
      <c r="I318" t="n">
        <v>3.4</v>
      </c>
      <c r="J318" t="n">
        <v>0</v>
      </c>
      <c r="K318" t="n">
        <v>0</v>
      </c>
      <c r="L318" t="n">
        <v>0</v>
      </c>
      <c r="M318" t="n">
        <v>0</v>
      </c>
      <c r="N318" t="n">
        <v>0</v>
      </c>
      <c r="O318" t="n">
        <v>0</v>
      </c>
      <c r="P318" t="n">
        <v>0</v>
      </c>
      <c r="Q318" t="n">
        <v>0</v>
      </c>
      <c r="R318" t="n">
        <v>0</v>
      </c>
      <c r="S318" t="n">
        <v>0</v>
      </c>
      <c r="T318" t="n">
        <v>0</v>
      </c>
      <c r="U318" s="2" t="inlineStr"/>
    </row>
    <row r="319" ht="15" customHeight="1">
      <c r="A319" t="inlineStr">
        <is>
          <t>A 73500-2021</t>
        </is>
      </c>
      <c r="B319" t="inlineStr">
        <is>
          <t>avverkningsanmälan</t>
        </is>
      </c>
      <c r="C319" t="inlineStr">
        <is>
          <t>Avverkning för annat ändamål</t>
        </is>
      </c>
      <c r="D319" s="1" t="n">
        <v>44551</v>
      </c>
      <c r="E319" s="1" t="n">
        <v>46220</v>
      </c>
      <c r="F319" t="inlineStr">
        <is>
          <t>ÖREBRO LÄN</t>
        </is>
      </c>
      <c r="G319" t="inlineStr">
        <is>
          <t>LINDESBERG</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16864-2022</t>
        </is>
      </c>
      <c r="B320" t="inlineStr">
        <is>
          <t>avverkningsanmälan</t>
        </is>
      </c>
      <c r="C320" t="inlineStr">
        <is>
          <t>Föryngringsavverkning</t>
        </is>
      </c>
      <c r="D320" s="1" t="n">
        <v>44675</v>
      </c>
      <c r="E320" s="1" t="n">
        <v>46220</v>
      </c>
      <c r="F320" t="inlineStr">
        <is>
          <t>ÖREBRO LÄN</t>
        </is>
      </c>
      <c r="G320" t="inlineStr">
        <is>
          <t>LINDESBERG</t>
        </is>
      </c>
      <c r="H320" t="inlineStr">
        <is>
          <t>Kyrkan</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31018-2025</t>
        </is>
      </c>
      <c r="B321" t="inlineStr">
        <is>
          <t>avverkningsanmälan</t>
        </is>
      </c>
      <c r="C321" t="inlineStr">
        <is>
          <t>Föryngringsavverkning</t>
        </is>
      </c>
      <c r="D321" s="1" t="n">
        <v>45832</v>
      </c>
      <c r="E321" s="1" t="n">
        <v>46220</v>
      </c>
      <c r="F321" t="inlineStr">
        <is>
          <t>ÖREBRO LÄN</t>
        </is>
      </c>
      <c r="G321" t="inlineStr">
        <is>
          <t>LINDESBERG</t>
        </is>
      </c>
      <c r="H321" t="inlineStr">
        <is>
          <t>Sveaskog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31085-2025</t>
        </is>
      </c>
      <c r="B322" t="inlineStr">
        <is>
          <t>avverkningsanmälan</t>
        </is>
      </c>
      <c r="C322" t="inlineStr">
        <is>
          <t>Avverkning för annat ändamål</t>
        </is>
      </c>
      <c r="D322" s="1" t="n">
        <v>45832</v>
      </c>
      <c r="E322" s="1" t="n">
        <v>46220</v>
      </c>
      <c r="F322" t="inlineStr">
        <is>
          <t>ÖREBRO LÄN</t>
        </is>
      </c>
      <c r="G322" t="inlineStr">
        <is>
          <t>LINDESBERG</t>
        </is>
      </c>
      <c r="H322" t="inlineStr">
        <is>
          <t>Sveaskog</t>
        </is>
      </c>
      <c r="I322" t="n">
        <v>0.3</v>
      </c>
      <c r="J322" t="n">
        <v>0</v>
      </c>
      <c r="K322" t="n">
        <v>0</v>
      </c>
      <c r="L322" t="n">
        <v>0</v>
      </c>
      <c r="M322" t="n">
        <v>0</v>
      </c>
      <c r="N322" t="n">
        <v>0</v>
      </c>
      <c r="O322" t="n">
        <v>0</v>
      </c>
      <c r="P322" t="n">
        <v>0</v>
      </c>
      <c r="Q322" t="n">
        <v>0</v>
      </c>
      <c r="R322" t="n">
        <v>0</v>
      </c>
      <c r="S322" t="n">
        <v>0</v>
      </c>
      <c r="T322" t="n">
        <v>0</v>
      </c>
      <c r="U322" s="2" t="inlineStr"/>
    </row>
    <row r="323" ht="15" customHeight="1">
      <c r="A323" t="inlineStr">
        <is>
          <t>A 2704-2026</t>
        </is>
      </c>
      <c r="B323" t="inlineStr">
        <is>
          <t>avverkningsanmälan</t>
        </is>
      </c>
      <c r="C323" t="inlineStr">
        <is>
          <t>Föryngringsavverkning</t>
        </is>
      </c>
      <c r="D323" s="1" t="n">
        <v>46037</v>
      </c>
      <c r="E323" s="1" t="n">
        <v>46220</v>
      </c>
      <c r="F323" t="inlineStr">
        <is>
          <t>ÖREBRO LÄN</t>
        </is>
      </c>
      <c r="G323" t="inlineStr">
        <is>
          <t>LINDESBERG</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31003-2025</t>
        </is>
      </c>
      <c r="B324" t="inlineStr">
        <is>
          <t>avverkningsanmälan</t>
        </is>
      </c>
      <c r="C324" t="inlineStr">
        <is>
          <t>Föryngringsavverkning</t>
        </is>
      </c>
      <c r="D324" s="1" t="n">
        <v>45832</v>
      </c>
      <c r="E324" s="1" t="n">
        <v>46220</v>
      </c>
      <c r="F324" t="inlineStr">
        <is>
          <t>ÖREBRO LÄN</t>
        </is>
      </c>
      <c r="G324" t="inlineStr">
        <is>
          <t>LINDESBERG</t>
        </is>
      </c>
      <c r="H324" t="inlineStr">
        <is>
          <t>Sveaskog</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31014-2025</t>
        </is>
      </c>
      <c r="B325" t="inlineStr">
        <is>
          <t>avverkningsanmälan</t>
        </is>
      </c>
      <c r="C325" t="inlineStr">
        <is>
          <t>Avverkning för att bevara och utveckla /försöksver</t>
        </is>
      </c>
      <c r="D325" s="1" t="n">
        <v>45832</v>
      </c>
      <c r="E325" s="1" t="n">
        <v>46220</v>
      </c>
      <c r="F325" t="inlineStr">
        <is>
          <t>ÖREBRO LÄN</t>
        </is>
      </c>
      <c r="G325" t="inlineStr">
        <is>
          <t>LINDESBERG</t>
        </is>
      </c>
      <c r="H325" t="inlineStr">
        <is>
          <t>Sveaskog</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32284-2025</t>
        </is>
      </c>
      <c r="B326" t="inlineStr">
        <is>
          <t>avverkningsanmälan</t>
        </is>
      </c>
      <c r="C326" t="inlineStr">
        <is>
          <t>Föryngringsavverkning</t>
        </is>
      </c>
      <c r="D326" s="1" t="n">
        <v>45835</v>
      </c>
      <c r="E326" s="1" t="n">
        <v>46220</v>
      </c>
      <c r="F326" t="inlineStr">
        <is>
          <t>ÖREBRO LÄN</t>
        </is>
      </c>
      <c r="G326" t="inlineStr">
        <is>
          <t>LINDESBERG</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50170-2022</t>
        </is>
      </c>
      <c r="B327" t="inlineStr">
        <is>
          <t>avverkningsanmälan</t>
        </is>
      </c>
      <c r="C327" t="inlineStr">
        <is>
          <t>Föryngringsavverkning</t>
        </is>
      </c>
      <c r="D327" s="1" t="n">
        <v>44865</v>
      </c>
      <c r="E327" s="1" t="n">
        <v>46220</v>
      </c>
      <c r="F327" t="inlineStr">
        <is>
          <t>ÖREBRO LÄN</t>
        </is>
      </c>
      <c r="G327" t="inlineStr">
        <is>
          <t>LINDESBERG</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32727-2024</t>
        </is>
      </c>
      <c r="B328" t="inlineStr">
        <is>
          <t>avverkningsanmälan</t>
        </is>
      </c>
      <c r="C328" t="inlineStr">
        <is>
          <t>Föryngringsavverkning</t>
        </is>
      </c>
      <c r="D328" s="1" t="n">
        <v>45516</v>
      </c>
      <c r="E328" s="1" t="n">
        <v>46220</v>
      </c>
      <c r="F328" t="inlineStr">
        <is>
          <t>ÖREBRO LÄN</t>
        </is>
      </c>
      <c r="G328" t="inlineStr">
        <is>
          <t>LINDESBERG</t>
        </is>
      </c>
      <c r="H328" t="inlineStr">
        <is>
          <t>Sveaskog</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28469-2023</t>
        </is>
      </c>
      <c r="B329" t="inlineStr">
        <is>
          <t>avverkningsanmälan</t>
        </is>
      </c>
      <c r="C329" t="inlineStr">
        <is>
          <t>Föryngringsavverkning</t>
        </is>
      </c>
      <c r="D329" s="1" t="n">
        <v>45103</v>
      </c>
      <c r="E329" s="1" t="n">
        <v>46220</v>
      </c>
      <c r="F329" t="inlineStr">
        <is>
          <t>ÖREBRO LÄN</t>
        </is>
      </c>
      <c r="G329" t="inlineStr">
        <is>
          <t>LINDESBERG</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72706-2021</t>
        </is>
      </c>
      <c r="B330" t="inlineStr">
        <is>
          <t>avverkningsanmälan</t>
        </is>
      </c>
      <c r="C330" t="inlineStr">
        <is>
          <t>Föryngringsavverkning</t>
        </is>
      </c>
      <c r="D330" s="1" t="n">
        <v>44546</v>
      </c>
      <c r="E330" s="1" t="n">
        <v>46220</v>
      </c>
      <c r="F330" t="inlineStr">
        <is>
          <t>ÖREBRO LÄN</t>
        </is>
      </c>
      <c r="G330" t="inlineStr">
        <is>
          <t>LINDESBERG</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34104-2025</t>
        </is>
      </c>
      <c r="B331" t="inlineStr">
        <is>
          <t>avverkningsanmälan</t>
        </is>
      </c>
      <c r="C331" t="inlineStr">
        <is>
          <t>Föryngringsavverkning</t>
        </is>
      </c>
      <c r="D331" s="1" t="n">
        <v>45845</v>
      </c>
      <c r="E331" s="1" t="n">
        <v>46220</v>
      </c>
      <c r="F331" t="inlineStr">
        <is>
          <t>ÖREBRO LÄN</t>
        </is>
      </c>
      <c r="G331" t="inlineStr">
        <is>
          <t>LINDESBERG</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46404-2025</t>
        </is>
      </c>
      <c r="B332" t="inlineStr">
        <is>
          <t>avverkningsanmälan</t>
        </is>
      </c>
      <c r="C332" t="inlineStr">
        <is>
          <t>Föryngringsavverkning</t>
        </is>
      </c>
      <c r="D332" s="1" t="n">
        <v>45925</v>
      </c>
      <c r="E332" s="1" t="n">
        <v>46220</v>
      </c>
      <c r="F332" t="inlineStr">
        <is>
          <t>ÖREBRO LÄN</t>
        </is>
      </c>
      <c r="G332" t="inlineStr">
        <is>
          <t>LINDESBERG</t>
        </is>
      </c>
      <c r="H332" t="inlineStr">
        <is>
          <t>Sveaskog</t>
        </is>
      </c>
      <c r="I332" t="n">
        <v>2.2</v>
      </c>
      <c r="J332" t="n">
        <v>0</v>
      </c>
      <c r="K332" t="n">
        <v>0</v>
      </c>
      <c r="L332" t="n">
        <v>0</v>
      </c>
      <c r="M332" t="n">
        <v>0</v>
      </c>
      <c r="N332" t="n">
        <v>0</v>
      </c>
      <c r="O332" t="n">
        <v>0</v>
      </c>
      <c r="P332" t="n">
        <v>0</v>
      </c>
      <c r="Q332" t="n">
        <v>0</v>
      </c>
      <c r="R332" t="n">
        <v>0</v>
      </c>
      <c r="S332" t="n">
        <v>0</v>
      </c>
      <c r="T332" t="n">
        <v>0</v>
      </c>
      <c r="U332" s="2" t="inlineStr"/>
    </row>
    <row r="333" ht="15" customHeight="1">
      <c r="A333" t="inlineStr">
        <is>
          <t>A 33574-2024</t>
        </is>
      </c>
      <c r="B333" t="inlineStr">
        <is>
          <t>avverkningsanmälan</t>
        </is>
      </c>
      <c r="C333" t="inlineStr">
        <is>
          <t>Föryngringsavverkning</t>
        </is>
      </c>
      <c r="D333" s="1" t="n">
        <v>45520</v>
      </c>
      <c r="E333" s="1" t="n">
        <v>46220</v>
      </c>
      <c r="F333" t="inlineStr">
        <is>
          <t>ÖREBRO LÄN</t>
        </is>
      </c>
      <c r="G333" t="inlineStr">
        <is>
          <t>LINDESBERG</t>
        </is>
      </c>
      <c r="H333" t="inlineStr">
        <is>
          <t>Sveaskog</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45481-2023</t>
        </is>
      </c>
      <c r="B334" t="inlineStr">
        <is>
          <t>avverkningsanmälan</t>
        </is>
      </c>
      <c r="C334" t="inlineStr">
        <is>
          <t>Föryngringsavverkning</t>
        </is>
      </c>
      <c r="D334" s="1" t="n">
        <v>45194</v>
      </c>
      <c r="E334" s="1" t="n">
        <v>46220</v>
      </c>
      <c r="F334" t="inlineStr">
        <is>
          <t>ÖREBRO LÄN</t>
        </is>
      </c>
      <c r="G334" t="inlineStr">
        <is>
          <t>LINDESBERG</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59766-2022</t>
        </is>
      </c>
      <c r="B335" t="inlineStr">
        <is>
          <t>avverkningsanmälan</t>
        </is>
      </c>
      <c r="C335" t="inlineStr">
        <is>
          <t>Föryngringsavverkning</t>
        </is>
      </c>
      <c r="D335" s="1" t="n">
        <v>44908</v>
      </c>
      <c r="E335" s="1" t="n">
        <v>46220</v>
      </c>
      <c r="F335" t="inlineStr">
        <is>
          <t>ÖREBRO LÄN</t>
        </is>
      </c>
      <c r="G335" t="inlineStr">
        <is>
          <t>LINDESBERG</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27013-2024</t>
        </is>
      </c>
      <c r="B336" t="inlineStr">
        <is>
          <t>avverkningsanmälan</t>
        </is>
      </c>
      <c r="C336" t="inlineStr">
        <is>
          <t>Föryngringsavverkning</t>
        </is>
      </c>
      <c r="D336" s="1" t="n">
        <v>45471</v>
      </c>
      <c r="E336" s="1" t="n">
        <v>46220</v>
      </c>
      <c r="F336" t="inlineStr">
        <is>
          <t>ÖREBRO LÄN</t>
        </is>
      </c>
      <c r="G336" t="inlineStr">
        <is>
          <t>LINDESBERG</t>
        </is>
      </c>
      <c r="I336" t="n">
        <v>5.2</v>
      </c>
      <c r="J336" t="n">
        <v>0</v>
      </c>
      <c r="K336" t="n">
        <v>0</v>
      </c>
      <c r="L336" t="n">
        <v>0</v>
      </c>
      <c r="M336" t="n">
        <v>0</v>
      </c>
      <c r="N336" t="n">
        <v>0</v>
      </c>
      <c r="O336" t="n">
        <v>0</v>
      </c>
      <c r="P336" t="n">
        <v>0</v>
      </c>
      <c r="Q336" t="n">
        <v>0</v>
      </c>
      <c r="R336" t="n">
        <v>0</v>
      </c>
      <c r="S336" t="n">
        <v>0</v>
      </c>
      <c r="T336" t="n">
        <v>0</v>
      </c>
      <c r="U336" s="2" t="inlineStr"/>
    </row>
    <row r="337" ht="15" customHeight="1">
      <c r="A337" t="inlineStr">
        <is>
          <t>A 34097-2025</t>
        </is>
      </c>
      <c r="B337" t="inlineStr">
        <is>
          <t>avverkningsanmälan</t>
        </is>
      </c>
      <c r="C337" t="inlineStr">
        <is>
          <t>Föryngringsavverkning</t>
        </is>
      </c>
      <c r="D337" s="1" t="n">
        <v>45845</v>
      </c>
      <c r="E337" s="1" t="n">
        <v>46220</v>
      </c>
      <c r="F337" t="inlineStr">
        <is>
          <t>ÖREBRO LÄN</t>
        </is>
      </c>
      <c r="G337" t="inlineStr">
        <is>
          <t>LINDESBERG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2969-2026</t>
        </is>
      </c>
      <c r="B338" t="inlineStr">
        <is>
          <t>avverkningsanmälan</t>
        </is>
      </c>
      <c r="C338" t="inlineStr">
        <is>
          <t>Föryngringsavverkning</t>
        </is>
      </c>
      <c r="D338" s="1" t="n">
        <v>46038</v>
      </c>
      <c r="E338" s="1" t="n">
        <v>46220</v>
      </c>
      <c r="F338" t="inlineStr">
        <is>
          <t>ÖREBRO LÄN</t>
        </is>
      </c>
      <c r="G338" t="inlineStr">
        <is>
          <t>LINDESBERG</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27134-2024</t>
        </is>
      </c>
      <c r="B339" t="inlineStr">
        <is>
          <t>avverkningsanmälan</t>
        </is>
      </c>
      <c r="C339" t="inlineStr">
        <is>
          <t>Avverkning för annat ändamål</t>
        </is>
      </c>
      <c r="D339" s="1" t="n">
        <v>45471</v>
      </c>
      <c r="E339" s="1" t="n">
        <v>46220</v>
      </c>
      <c r="F339" t="inlineStr">
        <is>
          <t>ÖREBRO LÄN</t>
        </is>
      </c>
      <c r="G339" t="inlineStr">
        <is>
          <t>LINDESBERG</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36121-2023</t>
        </is>
      </c>
      <c r="B340" t="inlineStr">
        <is>
          <t>avverkningsanmälan</t>
        </is>
      </c>
      <c r="C340" t="inlineStr">
        <is>
          <t>Föryngringsavverkning</t>
        </is>
      </c>
      <c r="D340" s="1" t="n">
        <v>45148</v>
      </c>
      <c r="E340" s="1" t="n">
        <v>46220</v>
      </c>
      <c r="F340" t="inlineStr">
        <is>
          <t>ÖREBRO LÄN</t>
        </is>
      </c>
      <c r="G340" t="inlineStr">
        <is>
          <t>LINDESBERG</t>
        </is>
      </c>
      <c r="I340" t="n">
        <v>7.1</v>
      </c>
      <c r="J340" t="n">
        <v>0</v>
      </c>
      <c r="K340" t="n">
        <v>0</v>
      </c>
      <c r="L340" t="n">
        <v>0</v>
      </c>
      <c r="M340" t="n">
        <v>0</v>
      </c>
      <c r="N340" t="n">
        <v>0</v>
      </c>
      <c r="O340" t="n">
        <v>0</v>
      </c>
      <c r="P340" t="n">
        <v>0</v>
      </c>
      <c r="Q340" t="n">
        <v>0</v>
      </c>
      <c r="R340" t="n">
        <v>0</v>
      </c>
      <c r="S340" t="n">
        <v>0</v>
      </c>
      <c r="T340" t="n">
        <v>0</v>
      </c>
      <c r="U340" s="2" t="inlineStr"/>
    </row>
    <row r="341" ht="15" customHeight="1">
      <c r="A341" t="inlineStr">
        <is>
          <t>A 36280-2023</t>
        </is>
      </c>
      <c r="B341" t="inlineStr">
        <is>
          <t>avverkningsanmälan</t>
        </is>
      </c>
      <c r="C341" t="inlineStr">
        <is>
          <t>Föryngringsavverkning</t>
        </is>
      </c>
      <c r="D341" s="1" t="n">
        <v>45152</v>
      </c>
      <c r="E341" s="1" t="n">
        <v>46220</v>
      </c>
      <c r="F341" t="inlineStr">
        <is>
          <t>ÖREBRO LÄN</t>
        </is>
      </c>
      <c r="G341" t="inlineStr">
        <is>
          <t>LINDESBERG</t>
        </is>
      </c>
      <c r="H341" t="inlineStr">
        <is>
          <t>Sveaskog</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2902-2026</t>
        </is>
      </c>
      <c r="B342" t="inlineStr">
        <is>
          <t>avverkningsanmälan</t>
        </is>
      </c>
      <c r="C342" t="inlineStr">
        <is>
          <t>Föryngringsavverkning</t>
        </is>
      </c>
      <c r="D342" s="1" t="n">
        <v>46038</v>
      </c>
      <c r="E342" s="1" t="n">
        <v>46220</v>
      </c>
      <c r="F342" t="inlineStr">
        <is>
          <t>ÖREBRO LÄN</t>
        </is>
      </c>
      <c r="G342" t="inlineStr">
        <is>
          <t>LINDESBERG</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44449-2023</t>
        </is>
      </c>
      <c r="B343" t="inlineStr">
        <is>
          <t>avverkningsanmälan</t>
        </is>
      </c>
      <c r="C343" t="inlineStr">
        <is>
          <t>Föryngringsavverkning</t>
        </is>
      </c>
      <c r="D343" s="1" t="n">
        <v>45189</v>
      </c>
      <c r="E343" s="1" t="n">
        <v>46220</v>
      </c>
      <c r="F343" t="inlineStr">
        <is>
          <t>ÖREBRO LÄN</t>
        </is>
      </c>
      <c r="G343" t="inlineStr">
        <is>
          <t>LINDESBERG</t>
        </is>
      </c>
      <c r="I343" t="n">
        <v>13.7</v>
      </c>
      <c r="J343" t="n">
        <v>0</v>
      </c>
      <c r="K343" t="n">
        <v>0</v>
      </c>
      <c r="L343" t="n">
        <v>0</v>
      </c>
      <c r="M343" t="n">
        <v>0</v>
      </c>
      <c r="N343" t="n">
        <v>0</v>
      </c>
      <c r="O343" t="n">
        <v>0</v>
      </c>
      <c r="P343" t="n">
        <v>0</v>
      </c>
      <c r="Q343" t="n">
        <v>0</v>
      </c>
      <c r="R343" t="n">
        <v>0</v>
      </c>
      <c r="S343" t="n">
        <v>0</v>
      </c>
      <c r="T343" t="n">
        <v>0</v>
      </c>
      <c r="U343" s="2" t="inlineStr"/>
    </row>
    <row r="344" ht="15" customHeight="1">
      <c r="A344" t="inlineStr">
        <is>
          <t>A 24916-2022</t>
        </is>
      </c>
      <c r="B344" t="inlineStr">
        <is>
          <t>avverkningsanmälan</t>
        </is>
      </c>
      <c r="C344" t="inlineStr">
        <is>
          <t>Föryngringsavverkning</t>
        </is>
      </c>
      <c r="D344" s="1" t="n">
        <v>44728</v>
      </c>
      <c r="E344" s="1" t="n">
        <v>46220</v>
      </c>
      <c r="F344" t="inlineStr">
        <is>
          <t>ÖREBRO LÄN</t>
        </is>
      </c>
      <c r="G344" t="inlineStr">
        <is>
          <t>LINDESBERG</t>
        </is>
      </c>
      <c r="I344" t="n">
        <v>8.1</v>
      </c>
      <c r="J344" t="n">
        <v>0</v>
      </c>
      <c r="K344" t="n">
        <v>0</v>
      </c>
      <c r="L344" t="n">
        <v>0</v>
      </c>
      <c r="M344" t="n">
        <v>0</v>
      </c>
      <c r="N344" t="n">
        <v>0</v>
      </c>
      <c r="O344" t="n">
        <v>0</v>
      </c>
      <c r="P344" t="n">
        <v>0</v>
      </c>
      <c r="Q344" t="n">
        <v>0</v>
      </c>
      <c r="R344" t="n">
        <v>0</v>
      </c>
      <c r="S344" t="n">
        <v>0</v>
      </c>
      <c r="T344" t="n">
        <v>0</v>
      </c>
      <c r="U344" s="2" t="inlineStr"/>
    </row>
    <row r="345" ht="15" customHeight="1">
      <c r="A345" t="inlineStr">
        <is>
          <t>A 5677-2025</t>
        </is>
      </c>
      <c r="B345" t="inlineStr">
        <is>
          <t>avverkningsanmälan</t>
        </is>
      </c>
      <c r="C345" t="inlineStr">
        <is>
          <t>Föryngringsavverkning</t>
        </is>
      </c>
      <c r="D345" s="1" t="n">
        <v>45694</v>
      </c>
      <c r="E345" s="1" t="n">
        <v>46220</v>
      </c>
      <c r="F345" t="inlineStr">
        <is>
          <t>ÖREBRO LÄN</t>
        </is>
      </c>
      <c r="G345" t="inlineStr">
        <is>
          <t>LINDESBERG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2103-2022</t>
        </is>
      </c>
      <c r="B346" t="inlineStr">
        <is>
          <t>avverkningsanmälan</t>
        </is>
      </c>
      <c r="C346" t="inlineStr">
        <is>
          <t>Föryngringsavverkning</t>
        </is>
      </c>
      <c r="D346" s="1" t="n">
        <v>44577</v>
      </c>
      <c r="E346" s="1" t="n">
        <v>46220</v>
      </c>
      <c r="F346" t="inlineStr">
        <is>
          <t>ÖREBRO LÄN</t>
        </is>
      </c>
      <c r="G346" t="inlineStr">
        <is>
          <t>LINDESBERG</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1681-2025</t>
        </is>
      </c>
      <c r="B347" t="inlineStr">
        <is>
          <t>avverkningsanmälan</t>
        </is>
      </c>
      <c r="C347" t="inlineStr">
        <is>
          <t>Föryngringsavverkning</t>
        </is>
      </c>
      <c r="D347" s="1" t="n">
        <v>45670</v>
      </c>
      <c r="E347" s="1" t="n">
        <v>46220</v>
      </c>
      <c r="F347" t="inlineStr">
        <is>
          <t>ÖREBRO LÄN</t>
        </is>
      </c>
      <c r="G347" t="inlineStr">
        <is>
          <t>LINDESBERG</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33424-2024</t>
        </is>
      </c>
      <c r="B348" t="inlineStr">
        <is>
          <t>avverkningsanmälan</t>
        </is>
      </c>
      <c r="C348" t="inlineStr">
        <is>
          <t>Avverkning för annat ändamål</t>
        </is>
      </c>
      <c r="D348" s="1" t="n">
        <v>45519</v>
      </c>
      <c r="E348" s="1" t="n">
        <v>46220</v>
      </c>
      <c r="F348" t="inlineStr">
        <is>
          <t>ÖREBRO LÄN</t>
        </is>
      </c>
      <c r="G348" t="inlineStr">
        <is>
          <t>LINDESBERG</t>
        </is>
      </c>
      <c r="H348" t="inlineStr">
        <is>
          <t>Sveaskog</t>
        </is>
      </c>
      <c r="I348" t="n">
        <v>0.1</v>
      </c>
      <c r="J348" t="n">
        <v>0</v>
      </c>
      <c r="K348" t="n">
        <v>0</v>
      </c>
      <c r="L348" t="n">
        <v>0</v>
      </c>
      <c r="M348" t="n">
        <v>0</v>
      </c>
      <c r="N348" t="n">
        <v>0</v>
      </c>
      <c r="O348" t="n">
        <v>0</v>
      </c>
      <c r="P348" t="n">
        <v>0</v>
      </c>
      <c r="Q348" t="n">
        <v>0</v>
      </c>
      <c r="R348" t="n">
        <v>0</v>
      </c>
      <c r="S348" t="n">
        <v>0</v>
      </c>
      <c r="T348" t="n">
        <v>0</v>
      </c>
      <c r="U348" s="2" t="inlineStr"/>
    </row>
    <row r="349" ht="15" customHeight="1">
      <c r="A349" t="inlineStr">
        <is>
          <t>A 57911-2022</t>
        </is>
      </c>
      <c r="B349" t="inlineStr">
        <is>
          <t>avverkningsanmälan</t>
        </is>
      </c>
      <c r="C349" t="inlineStr">
        <is>
          <t>Föryngringsavverkning</t>
        </is>
      </c>
      <c r="D349" s="1" t="n">
        <v>44900</v>
      </c>
      <c r="E349" s="1" t="n">
        <v>46220</v>
      </c>
      <c r="F349" t="inlineStr">
        <is>
          <t>ÖREBRO LÄN</t>
        </is>
      </c>
      <c r="G349" t="inlineStr">
        <is>
          <t>LINDESBERG</t>
        </is>
      </c>
      <c r="I349" t="n">
        <v>4.9</v>
      </c>
      <c r="J349" t="n">
        <v>0</v>
      </c>
      <c r="K349" t="n">
        <v>0</v>
      </c>
      <c r="L349" t="n">
        <v>0</v>
      </c>
      <c r="M349" t="n">
        <v>0</v>
      </c>
      <c r="N349" t="n">
        <v>0</v>
      </c>
      <c r="O349" t="n">
        <v>0</v>
      </c>
      <c r="P349" t="n">
        <v>0</v>
      </c>
      <c r="Q349" t="n">
        <v>0</v>
      </c>
      <c r="R349" t="n">
        <v>0</v>
      </c>
      <c r="S349" t="n">
        <v>0</v>
      </c>
      <c r="T349" t="n">
        <v>0</v>
      </c>
      <c r="U349" s="2" t="inlineStr"/>
    </row>
    <row r="350" ht="15" customHeight="1">
      <c r="A350" t="inlineStr">
        <is>
          <t>A 47678-2025</t>
        </is>
      </c>
      <c r="B350" t="inlineStr">
        <is>
          <t>avverkningsanmälan</t>
        </is>
      </c>
      <c r="C350" t="inlineStr">
        <is>
          <t>Föryngringsavverkning</t>
        </is>
      </c>
      <c r="D350" s="1" t="n">
        <v>45931</v>
      </c>
      <c r="E350" s="1" t="n">
        <v>46220</v>
      </c>
      <c r="F350" t="inlineStr">
        <is>
          <t>ÖREBRO LÄN</t>
        </is>
      </c>
      <c r="G350" t="inlineStr">
        <is>
          <t>LINDESBERG</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28032-2023</t>
        </is>
      </c>
      <c r="B351" t="inlineStr">
        <is>
          <t>avverkningsanmälan</t>
        </is>
      </c>
      <c r="C351" t="inlineStr">
        <is>
          <t>Föryngringsavverkning</t>
        </is>
      </c>
      <c r="D351" s="1" t="n">
        <v>45099</v>
      </c>
      <c r="E351" s="1" t="n">
        <v>46220</v>
      </c>
      <c r="F351" t="inlineStr">
        <is>
          <t>ÖREBRO LÄN</t>
        </is>
      </c>
      <c r="G351" t="inlineStr">
        <is>
          <t>LINDESBERG</t>
        </is>
      </c>
      <c r="H351" t="inlineStr">
        <is>
          <t>Kyrkan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47676-2025</t>
        </is>
      </c>
      <c r="B352" t="inlineStr">
        <is>
          <t>avverkningsanmälan</t>
        </is>
      </c>
      <c r="C352" t="inlineStr">
        <is>
          <t>Föryngringsavverkning</t>
        </is>
      </c>
      <c r="D352" s="1" t="n">
        <v>45931</v>
      </c>
      <c r="E352" s="1" t="n">
        <v>46220</v>
      </c>
      <c r="F352" t="inlineStr">
        <is>
          <t>ÖREBRO LÄN</t>
        </is>
      </c>
      <c r="G352" t="inlineStr">
        <is>
          <t>LINDESBERG</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62608-2021</t>
        </is>
      </c>
      <c r="B353" t="inlineStr">
        <is>
          <t>avverkningsanmälan</t>
        </is>
      </c>
      <c r="C353" t="inlineStr">
        <is>
          <t>Föryngringsavverkning</t>
        </is>
      </c>
      <c r="D353" s="1" t="n">
        <v>44503</v>
      </c>
      <c r="E353" s="1" t="n">
        <v>46220</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73860-2021</t>
        </is>
      </c>
      <c r="B354" t="inlineStr">
        <is>
          <t>avverkningsanmälan</t>
        </is>
      </c>
      <c r="C354" t="inlineStr">
        <is>
          <t>Föryngringsavverkning</t>
        </is>
      </c>
      <c r="D354" s="1" t="n">
        <v>44553</v>
      </c>
      <c r="E354" s="1" t="n">
        <v>46220</v>
      </c>
      <c r="F354" t="inlineStr">
        <is>
          <t>ÖREBRO LÄN</t>
        </is>
      </c>
      <c r="G354" t="inlineStr">
        <is>
          <t>LINDESBERG</t>
        </is>
      </c>
      <c r="I354" t="n">
        <v>12.7</v>
      </c>
      <c r="J354" t="n">
        <v>0</v>
      </c>
      <c r="K354" t="n">
        <v>0</v>
      </c>
      <c r="L354" t="n">
        <v>0</v>
      </c>
      <c r="M354" t="n">
        <v>0</v>
      </c>
      <c r="N354" t="n">
        <v>0</v>
      </c>
      <c r="O354" t="n">
        <v>0</v>
      </c>
      <c r="P354" t="n">
        <v>0</v>
      </c>
      <c r="Q354" t="n">
        <v>0</v>
      </c>
      <c r="R354" t="n">
        <v>0</v>
      </c>
      <c r="S354" t="n">
        <v>0</v>
      </c>
      <c r="T354" t="n">
        <v>0</v>
      </c>
      <c r="U354" s="2" t="inlineStr"/>
    </row>
    <row r="355" ht="15" customHeight="1">
      <c r="A355" t="inlineStr">
        <is>
          <t>A 3803-2023</t>
        </is>
      </c>
      <c r="B355" t="inlineStr">
        <is>
          <t>avverkningsanmälan</t>
        </is>
      </c>
      <c r="C355" t="inlineStr">
        <is>
          <t>Föryngringsavverkning</t>
        </is>
      </c>
      <c r="D355" s="1" t="n">
        <v>44951</v>
      </c>
      <c r="E355" s="1" t="n">
        <v>46220</v>
      </c>
      <c r="F355" t="inlineStr">
        <is>
          <t>ÖREBRO LÄN</t>
        </is>
      </c>
      <c r="G355" t="inlineStr">
        <is>
          <t>LINDESBERG</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2929-2026</t>
        </is>
      </c>
      <c r="B356" t="inlineStr">
        <is>
          <t>avverkningsanmälan</t>
        </is>
      </c>
      <c r="C356" t="inlineStr">
        <is>
          <t>Föryngringsavverkning</t>
        </is>
      </c>
      <c r="D356" s="1" t="n">
        <v>46038</v>
      </c>
      <c r="E356" s="1" t="n">
        <v>46220</v>
      </c>
      <c r="F356" t="inlineStr">
        <is>
          <t>ÖREBRO LÄN</t>
        </is>
      </c>
      <c r="G356" t="inlineStr">
        <is>
          <t>LINDESBERG</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2949-2026</t>
        </is>
      </c>
      <c r="B357" t="inlineStr">
        <is>
          <t>avverkningsanmälan</t>
        </is>
      </c>
      <c r="C357" t="inlineStr">
        <is>
          <t>Föryngringsavverkning</t>
        </is>
      </c>
      <c r="D357" s="1" t="n">
        <v>46038</v>
      </c>
      <c r="E357" s="1" t="n">
        <v>46220</v>
      </c>
      <c r="F357" t="inlineStr">
        <is>
          <t>ÖREBRO LÄN</t>
        </is>
      </c>
      <c r="G357" t="inlineStr">
        <is>
          <t>LINDESBERG</t>
        </is>
      </c>
      <c r="I357" t="n">
        <v>4</v>
      </c>
      <c r="J357" t="n">
        <v>0</v>
      </c>
      <c r="K357" t="n">
        <v>0</v>
      </c>
      <c r="L357" t="n">
        <v>0</v>
      </c>
      <c r="M357" t="n">
        <v>0</v>
      </c>
      <c r="N357" t="n">
        <v>0</v>
      </c>
      <c r="O357" t="n">
        <v>0</v>
      </c>
      <c r="P357" t="n">
        <v>0</v>
      </c>
      <c r="Q357" t="n">
        <v>0</v>
      </c>
      <c r="R357" t="n">
        <v>0</v>
      </c>
      <c r="S357" t="n">
        <v>0</v>
      </c>
      <c r="T357" t="n">
        <v>0</v>
      </c>
      <c r="U357" s="2" t="inlineStr"/>
    </row>
    <row r="358" ht="15" customHeight="1">
      <c r="A358" t="inlineStr">
        <is>
          <t>A 36253-2024</t>
        </is>
      </c>
      <c r="B358" t="inlineStr">
        <is>
          <t>avverkningsanmälan</t>
        </is>
      </c>
      <c r="C358" t="inlineStr">
        <is>
          <t>Föryngringsavverkning</t>
        </is>
      </c>
      <c r="D358" s="1" t="n">
        <v>45534</v>
      </c>
      <c r="E358" s="1" t="n">
        <v>46220</v>
      </c>
      <c r="F358" t="inlineStr">
        <is>
          <t>ÖREBRO LÄN</t>
        </is>
      </c>
      <c r="G358" t="inlineStr">
        <is>
          <t>LINDESBERG</t>
        </is>
      </c>
      <c r="H358" t="inlineStr">
        <is>
          <t>Sveaskog</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2958-2026</t>
        </is>
      </c>
      <c r="B359" t="inlineStr">
        <is>
          <t>avverkningsanmälan</t>
        </is>
      </c>
      <c r="C359" t="inlineStr">
        <is>
          <t>Föryngringsavverkning</t>
        </is>
      </c>
      <c r="D359" s="1" t="n">
        <v>46038</v>
      </c>
      <c r="E359" s="1" t="n">
        <v>46220</v>
      </c>
      <c r="F359" t="inlineStr">
        <is>
          <t>ÖREBRO LÄN</t>
        </is>
      </c>
      <c r="G359" t="inlineStr">
        <is>
          <t>LINDESBERG</t>
        </is>
      </c>
      <c r="I359" t="n">
        <v>5.8</v>
      </c>
      <c r="J359" t="n">
        <v>0</v>
      </c>
      <c r="K359" t="n">
        <v>0</v>
      </c>
      <c r="L359" t="n">
        <v>0</v>
      </c>
      <c r="M359" t="n">
        <v>0</v>
      </c>
      <c r="N359" t="n">
        <v>0</v>
      </c>
      <c r="O359" t="n">
        <v>0</v>
      </c>
      <c r="P359" t="n">
        <v>0</v>
      </c>
      <c r="Q359" t="n">
        <v>0</v>
      </c>
      <c r="R359" t="n">
        <v>0</v>
      </c>
      <c r="S359" t="n">
        <v>0</v>
      </c>
      <c r="T359" t="n">
        <v>0</v>
      </c>
      <c r="U359" s="2" t="inlineStr"/>
    </row>
    <row r="360" ht="15" customHeight="1">
      <c r="A360" t="inlineStr">
        <is>
          <t>A 33507-2023</t>
        </is>
      </c>
      <c r="B360" t="inlineStr">
        <is>
          <t>avverkningsanmälan</t>
        </is>
      </c>
      <c r="C360" t="inlineStr">
        <is>
          <t>Föryngringsavverkning</t>
        </is>
      </c>
      <c r="D360" s="1" t="n">
        <v>45131</v>
      </c>
      <c r="E360" s="1" t="n">
        <v>46220</v>
      </c>
      <c r="F360" t="inlineStr">
        <is>
          <t>ÖREBRO LÄN</t>
        </is>
      </c>
      <c r="G360" t="inlineStr">
        <is>
          <t>LINDESBERG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24030-2023</t>
        </is>
      </c>
      <c r="B361" t="inlineStr">
        <is>
          <t>avverkningsanmälan</t>
        </is>
      </c>
      <c r="C361" t="inlineStr">
        <is>
          <t>Föryngringsavverkning</t>
        </is>
      </c>
      <c r="D361" s="1" t="n">
        <v>45078</v>
      </c>
      <c r="E361" s="1" t="n">
        <v>46220</v>
      </c>
      <c r="F361" t="inlineStr">
        <is>
          <t>ÖREBRO LÄN</t>
        </is>
      </c>
      <c r="G361" t="inlineStr">
        <is>
          <t>LINDESBERG</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30514-2025</t>
        </is>
      </c>
      <c r="B362" t="inlineStr">
        <is>
          <t>avverkningsanmälan</t>
        </is>
      </c>
      <c r="C362" t="inlineStr">
        <is>
          <t>Avverkning för annat ändamål</t>
        </is>
      </c>
      <c r="D362" s="1" t="n">
        <v>45831</v>
      </c>
      <c r="E362" s="1" t="n">
        <v>46220</v>
      </c>
      <c r="F362" t="inlineStr">
        <is>
          <t>ÖREBRO LÄN</t>
        </is>
      </c>
      <c r="G362" t="inlineStr">
        <is>
          <t>LINDESBERG</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45173-2024</t>
        </is>
      </c>
      <c r="B363" t="inlineStr">
        <is>
          <t>avverkningsanmälan</t>
        </is>
      </c>
      <c r="C363" t="inlineStr">
        <is>
          <t>Föryngringsavverkning</t>
        </is>
      </c>
      <c r="D363" s="1" t="n">
        <v>45575</v>
      </c>
      <c r="E363" s="1" t="n">
        <v>46220</v>
      </c>
      <c r="F363" t="inlineStr">
        <is>
          <t>ÖREBRO LÄN</t>
        </is>
      </c>
      <c r="G363" t="inlineStr">
        <is>
          <t>LINDESBERG</t>
        </is>
      </c>
      <c r="H363" t="inlineStr">
        <is>
          <t>Sveaskog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44010-2023</t>
        </is>
      </c>
      <c r="B364" t="inlineStr">
        <is>
          <t>avverkningsanmälan</t>
        </is>
      </c>
      <c r="C364" t="inlineStr">
        <is>
          <t>Föryngringsavverkning</t>
        </is>
      </c>
      <c r="D364" s="1" t="n">
        <v>45188</v>
      </c>
      <c r="E364" s="1" t="n">
        <v>46220</v>
      </c>
      <c r="F364" t="inlineStr">
        <is>
          <t>ÖREBRO LÄN</t>
        </is>
      </c>
      <c r="G364" t="inlineStr">
        <is>
          <t>LINDESBERG</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48867-2025</t>
        </is>
      </c>
      <c r="B365" t="inlineStr">
        <is>
          <t>avverkningsanmälan</t>
        </is>
      </c>
      <c r="C365" t="inlineStr">
        <is>
          <t>Föryngringsavverkning</t>
        </is>
      </c>
      <c r="D365" s="1" t="n">
        <v>45937</v>
      </c>
      <c r="E365" s="1" t="n">
        <v>46220</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50986-2023</t>
        </is>
      </c>
      <c r="B366" t="inlineStr">
        <is>
          <t>avverkningsanmälan</t>
        </is>
      </c>
      <c r="C366" t="inlineStr">
        <is>
          <t>Föryngringsavverkning</t>
        </is>
      </c>
      <c r="D366" s="1" t="n">
        <v>45218</v>
      </c>
      <c r="E366" s="1" t="n">
        <v>46220</v>
      </c>
      <c r="F366" t="inlineStr">
        <is>
          <t>ÖREBRO LÄN</t>
        </is>
      </c>
      <c r="G366" t="inlineStr">
        <is>
          <t>LINDESBERG</t>
        </is>
      </c>
      <c r="H366" t="inlineStr">
        <is>
          <t>Sveaskog</t>
        </is>
      </c>
      <c r="I366" t="n">
        <v>3.1</v>
      </c>
      <c r="J366" t="n">
        <v>0</v>
      </c>
      <c r="K366" t="n">
        <v>0</v>
      </c>
      <c r="L366" t="n">
        <v>0</v>
      </c>
      <c r="M366" t="n">
        <v>0</v>
      </c>
      <c r="N366" t="n">
        <v>0</v>
      </c>
      <c r="O366" t="n">
        <v>0</v>
      </c>
      <c r="P366" t="n">
        <v>0</v>
      </c>
      <c r="Q366" t="n">
        <v>0</v>
      </c>
      <c r="R366" t="n">
        <v>0</v>
      </c>
      <c r="S366" t="n">
        <v>0</v>
      </c>
      <c r="T366" t="n">
        <v>0</v>
      </c>
      <c r="U366" s="2" t="inlineStr"/>
    </row>
    <row r="367" ht="15" customHeight="1">
      <c r="A367" t="inlineStr">
        <is>
          <t>A 61969-2023</t>
        </is>
      </c>
      <c r="B367" t="inlineStr">
        <is>
          <t>avverkningsanmälan</t>
        </is>
      </c>
      <c r="C367" t="inlineStr">
        <is>
          <t>Föryngringsavverkning</t>
        </is>
      </c>
      <c r="D367" s="1" t="n">
        <v>45266</v>
      </c>
      <c r="E367" s="1" t="n">
        <v>46220</v>
      </c>
      <c r="F367" t="inlineStr">
        <is>
          <t>ÖREBRO LÄN</t>
        </is>
      </c>
      <c r="G367" t="inlineStr">
        <is>
          <t>LINDESBERG</t>
        </is>
      </c>
      <c r="I367" t="n">
        <v>10.5</v>
      </c>
      <c r="J367" t="n">
        <v>0</v>
      </c>
      <c r="K367" t="n">
        <v>0</v>
      </c>
      <c r="L367" t="n">
        <v>0</v>
      </c>
      <c r="M367" t="n">
        <v>0</v>
      </c>
      <c r="N367" t="n">
        <v>0</v>
      </c>
      <c r="O367" t="n">
        <v>0</v>
      </c>
      <c r="P367" t="n">
        <v>0</v>
      </c>
      <c r="Q367" t="n">
        <v>0</v>
      </c>
      <c r="R367" t="n">
        <v>0</v>
      </c>
      <c r="S367" t="n">
        <v>0</v>
      </c>
      <c r="T367" t="n">
        <v>0</v>
      </c>
      <c r="U367" s="2" t="inlineStr"/>
    </row>
    <row r="368" ht="15" customHeight="1">
      <c r="A368" t="inlineStr">
        <is>
          <t>A 49133-2025</t>
        </is>
      </c>
      <c r="B368" t="inlineStr">
        <is>
          <t>avverkningsanmälan</t>
        </is>
      </c>
      <c r="C368" t="inlineStr">
        <is>
          <t>Föryngringsavverkning</t>
        </is>
      </c>
      <c r="D368" s="1" t="n">
        <v>45937</v>
      </c>
      <c r="E368" s="1" t="n">
        <v>46220</v>
      </c>
      <c r="F368" t="inlineStr">
        <is>
          <t>ÖREBRO LÄN</t>
        </is>
      </c>
      <c r="G368" t="inlineStr">
        <is>
          <t>LINDESBERG</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40450-2023</t>
        </is>
      </c>
      <c r="B369" t="inlineStr">
        <is>
          <t>avverkningsanmälan</t>
        </is>
      </c>
      <c r="C369" t="inlineStr">
        <is>
          <t>Föryngringsavverkning</t>
        </is>
      </c>
      <c r="D369" s="1" t="n">
        <v>45170</v>
      </c>
      <c r="E369" s="1" t="n">
        <v>46220</v>
      </c>
      <c r="F369" t="inlineStr">
        <is>
          <t>ÖREBRO LÄN</t>
        </is>
      </c>
      <c r="G369" t="inlineStr">
        <is>
          <t>LINDESBERG</t>
        </is>
      </c>
      <c r="H369" t="inlineStr">
        <is>
          <t>Kyrkan</t>
        </is>
      </c>
      <c r="I369" t="n">
        <v>4.3</v>
      </c>
      <c r="J369" t="n">
        <v>0</v>
      </c>
      <c r="K369" t="n">
        <v>0</v>
      </c>
      <c r="L369" t="n">
        <v>0</v>
      </c>
      <c r="M369" t="n">
        <v>0</v>
      </c>
      <c r="N369" t="n">
        <v>0</v>
      </c>
      <c r="O369" t="n">
        <v>0</v>
      </c>
      <c r="P369" t="n">
        <v>0</v>
      </c>
      <c r="Q369" t="n">
        <v>0</v>
      </c>
      <c r="R369" t="n">
        <v>0</v>
      </c>
      <c r="S369" t="n">
        <v>0</v>
      </c>
      <c r="T369" t="n">
        <v>0</v>
      </c>
      <c r="U369" s="2" t="inlineStr"/>
    </row>
    <row r="370" ht="15" customHeight="1">
      <c r="A370" t="inlineStr">
        <is>
          <t>A 27702-2025</t>
        </is>
      </c>
      <c r="B370" t="inlineStr">
        <is>
          <t>avverkningsanmälan</t>
        </is>
      </c>
      <c r="C370" t="inlineStr">
        <is>
          <t>Föryngringsavverkning</t>
        </is>
      </c>
      <c r="D370" s="1" t="n">
        <v>45813</v>
      </c>
      <c r="E370" s="1" t="n">
        <v>46220</v>
      </c>
      <c r="F370" t="inlineStr">
        <is>
          <t>ÖREBRO LÄN</t>
        </is>
      </c>
      <c r="G370" t="inlineStr">
        <is>
          <t>LINDESBERG</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48993-2025</t>
        </is>
      </c>
      <c r="B371" t="inlineStr">
        <is>
          <t>avverkningsanmälan</t>
        </is>
      </c>
      <c r="C371" t="inlineStr">
        <is>
          <t>Föryngringsavverkning</t>
        </is>
      </c>
      <c r="D371" s="1" t="n">
        <v>45937</v>
      </c>
      <c r="E371" s="1" t="n">
        <v>46220</v>
      </c>
      <c r="F371" t="inlineStr">
        <is>
          <t>ÖREBRO LÄN</t>
        </is>
      </c>
      <c r="G371" t="inlineStr">
        <is>
          <t>LINDESBERG</t>
        </is>
      </c>
      <c r="H371" t="inlineStr">
        <is>
          <t>Kyrkan</t>
        </is>
      </c>
      <c r="I371" t="n">
        <v>4</v>
      </c>
      <c r="J371" t="n">
        <v>0</v>
      </c>
      <c r="K371" t="n">
        <v>0</v>
      </c>
      <c r="L371" t="n">
        <v>0</v>
      </c>
      <c r="M371" t="n">
        <v>0</v>
      </c>
      <c r="N371" t="n">
        <v>0</v>
      </c>
      <c r="O371" t="n">
        <v>0</v>
      </c>
      <c r="P371" t="n">
        <v>0</v>
      </c>
      <c r="Q371" t="n">
        <v>0</v>
      </c>
      <c r="R371" t="n">
        <v>0</v>
      </c>
      <c r="S371" t="n">
        <v>0</v>
      </c>
      <c r="T371" t="n">
        <v>0</v>
      </c>
      <c r="U371" s="2" t="inlineStr"/>
    </row>
    <row r="372" ht="15" customHeight="1">
      <c r="A372" t="inlineStr">
        <is>
          <t>A 53062-2023</t>
        </is>
      </c>
      <c r="B372" t="inlineStr">
        <is>
          <t>avverkningsanmälan</t>
        </is>
      </c>
      <c r="C372" t="inlineStr">
        <is>
          <t>Föryngringsavverkning</t>
        </is>
      </c>
      <c r="D372" s="1" t="n">
        <v>45227</v>
      </c>
      <c r="E372" s="1" t="n">
        <v>46220</v>
      </c>
      <c r="F372" t="inlineStr">
        <is>
          <t>ÖREBRO LÄN</t>
        </is>
      </c>
      <c r="G372" t="inlineStr">
        <is>
          <t>LINDESBERG</t>
        </is>
      </c>
      <c r="I372" t="n">
        <v>3.1</v>
      </c>
      <c r="J372" t="n">
        <v>0</v>
      </c>
      <c r="K372" t="n">
        <v>0</v>
      </c>
      <c r="L372" t="n">
        <v>0</v>
      </c>
      <c r="M372" t="n">
        <v>0</v>
      </c>
      <c r="N372" t="n">
        <v>0</v>
      </c>
      <c r="O372" t="n">
        <v>0</v>
      </c>
      <c r="P372" t="n">
        <v>0</v>
      </c>
      <c r="Q372" t="n">
        <v>0</v>
      </c>
      <c r="R372" t="n">
        <v>0</v>
      </c>
      <c r="S372" t="n">
        <v>0</v>
      </c>
      <c r="T372" t="n">
        <v>0</v>
      </c>
      <c r="U372" s="2" t="inlineStr"/>
    </row>
    <row r="373" ht="15" customHeight="1">
      <c r="A373" t="inlineStr">
        <is>
          <t>A 12739-2024</t>
        </is>
      </c>
      <c r="B373" t="inlineStr">
        <is>
          <t>avverkningsanmälan</t>
        </is>
      </c>
      <c r="C373" t="inlineStr">
        <is>
          <t>Föryngringsavverkning</t>
        </is>
      </c>
      <c r="D373" s="1" t="n">
        <v>45384</v>
      </c>
      <c r="E373" s="1" t="n">
        <v>46220</v>
      </c>
      <c r="F373" t="inlineStr">
        <is>
          <t>ÖREBRO LÄN</t>
        </is>
      </c>
      <c r="G373" t="inlineStr">
        <is>
          <t>LINDESBERG</t>
        </is>
      </c>
      <c r="I373" t="n">
        <v>8.300000000000001</v>
      </c>
      <c r="J373" t="n">
        <v>0</v>
      </c>
      <c r="K373" t="n">
        <v>0</v>
      </c>
      <c r="L373" t="n">
        <v>0</v>
      </c>
      <c r="M373" t="n">
        <v>0</v>
      </c>
      <c r="N373" t="n">
        <v>0</v>
      </c>
      <c r="O373" t="n">
        <v>0</v>
      </c>
      <c r="P373" t="n">
        <v>0</v>
      </c>
      <c r="Q373" t="n">
        <v>0</v>
      </c>
      <c r="R373" t="n">
        <v>0</v>
      </c>
      <c r="S373" t="n">
        <v>0</v>
      </c>
      <c r="T373" t="n">
        <v>0</v>
      </c>
      <c r="U373" s="2" t="inlineStr"/>
    </row>
    <row r="374" ht="15" customHeight="1">
      <c r="A374" t="inlineStr">
        <is>
          <t>A 36859-2025</t>
        </is>
      </c>
      <c r="B374" t="inlineStr">
        <is>
          <t>avverkningsanmälan</t>
        </is>
      </c>
      <c r="C374" t="inlineStr">
        <is>
          <t>Föryngringsavverkning</t>
        </is>
      </c>
      <c r="D374" s="1" t="n">
        <v>45874</v>
      </c>
      <c r="E374" s="1" t="n">
        <v>46220</v>
      </c>
      <c r="F374" t="inlineStr">
        <is>
          <t>ÖREBRO LÄN</t>
        </is>
      </c>
      <c r="G374" t="inlineStr">
        <is>
          <t>LINDESBERG</t>
        </is>
      </c>
      <c r="H374" t="inlineStr">
        <is>
          <t>Övriga Aktiebolag</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49943-2025</t>
        </is>
      </c>
      <c r="B375" t="inlineStr">
        <is>
          <t>avverkningsanmälan</t>
        </is>
      </c>
      <c r="C375" t="inlineStr">
        <is>
          <t>Föryngringsavverkning</t>
        </is>
      </c>
      <c r="D375" s="1" t="n">
        <v>45940</v>
      </c>
      <c r="E375" s="1" t="n">
        <v>46220</v>
      </c>
      <c r="F375" t="inlineStr">
        <is>
          <t>ÖREBRO LÄN</t>
        </is>
      </c>
      <c r="G375" t="inlineStr">
        <is>
          <t>LINDESBERG</t>
        </is>
      </c>
      <c r="H375" t="inlineStr">
        <is>
          <t>Sveaskog</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37301-2025</t>
        </is>
      </c>
      <c r="B376" t="inlineStr">
        <is>
          <t>avverkningsanmälan</t>
        </is>
      </c>
      <c r="C376" t="inlineStr">
        <is>
          <t>Föryngringsavverkning</t>
        </is>
      </c>
      <c r="D376" s="1" t="n">
        <v>45876</v>
      </c>
      <c r="E376" s="1" t="n">
        <v>46220</v>
      </c>
      <c r="F376" t="inlineStr">
        <is>
          <t>ÖREBRO LÄN</t>
        </is>
      </c>
      <c r="G376" t="inlineStr">
        <is>
          <t>LINDESBERG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49944-2025</t>
        </is>
      </c>
      <c r="B377" t="inlineStr">
        <is>
          <t>avverkningsanmälan</t>
        </is>
      </c>
      <c r="C377" t="inlineStr">
        <is>
          <t>Föryngringsavverkning</t>
        </is>
      </c>
      <c r="D377" s="1" t="n">
        <v>45940</v>
      </c>
      <c r="E377" s="1" t="n">
        <v>46220</v>
      </c>
      <c r="F377" t="inlineStr">
        <is>
          <t>ÖREBRO LÄN</t>
        </is>
      </c>
      <c r="G377" t="inlineStr">
        <is>
          <t>LINDESBERG</t>
        </is>
      </c>
      <c r="H377" t="inlineStr">
        <is>
          <t>Sveaskog</t>
        </is>
      </c>
      <c r="I377" t="n">
        <v>2.6</v>
      </c>
      <c r="J377" t="n">
        <v>0</v>
      </c>
      <c r="K377" t="n">
        <v>0</v>
      </c>
      <c r="L377" t="n">
        <v>0</v>
      </c>
      <c r="M377" t="n">
        <v>0</v>
      </c>
      <c r="N377" t="n">
        <v>0</v>
      </c>
      <c r="O377" t="n">
        <v>0</v>
      </c>
      <c r="P377" t="n">
        <v>0</v>
      </c>
      <c r="Q377" t="n">
        <v>0</v>
      </c>
      <c r="R377" t="n">
        <v>0</v>
      </c>
      <c r="S377" t="n">
        <v>0</v>
      </c>
      <c r="T377" t="n">
        <v>0</v>
      </c>
      <c r="U377" s="2" t="inlineStr"/>
    </row>
    <row r="378" ht="15" customHeight="1">
      <c r="A378" t="inlineStr">
        <is>
          <t>A 49947-2025</t>
        </is>
      </c>
      <c r="B378" t="inlineStr">
        <is>
          <t>avverkningsanmälan</t>
        </is>
      </c>
      <c r="C378" t="inlineStr">
        <is>
          <t>Föryngringsavverkning</t>
        </is>
      </c>
      <c r="D378" s="1" t="n">
        <v>45940</v>
      </c>
      <c r="E378" s="1" t="n">
        <v>46220</v>
      </c>
      <c r="F378" t="inlineStr">
        <is>
          <t>ÖREBRO LÄN</t>
        </is>
      </c>
      <c r="G378" t="inlineStr">
        <is>
          <t>LINDESBERG</t>
        </is>
      </c>
      <c r="H378" t="inlineStr">
        <is>
          <t>Sveaskog</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37602-2025</t>
        </is>
      </c>
      <c r="B379" t="inlineStr">
        <is>
          <t>avverkningsanmälan</t>
        </is>
      </c>
      <c r="C379" t="inlineStr">
        <is>
          <t>Avverkning för annat ändamål</t>
        </is>
      </c>
      <c r="D379" s="1" t="n">
        <v>45880</v>
      </c>
      <c r="E379" s="1" t="n">
        <v>46220</v>
      </c>
      <c r="F379" t="inlineStr">
        <is>
          <t>ÖREBRO LÄN</t>
        </is>
      </c>
      <c r="G379" t="inlineStr">
        <is>
          <t>LINDESBERG</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26093-2023</t>
        </is>
      </c>
      <c r="B380" t="inlineStr">
        <is>
          <t>avverkningsanmälan</t>
        </is>
      </c>
      <c r="C380" t="inlineStr">
        <is>
          <t>Föryngringsavverkning</t>
        </is>
      </c>
      <c r="D380" s="1" t="n">
        <v>45091</v>
      </c>
      <c r="E380" s="1" t="n">
        <v>46220</v>
      </c>
      <c r="F380" t="inlineStr">
        <is>
          <t>ÖREBRO LÄN</t>
        </is>
      </c>
      <c r="G380" t="inlineStr">
        <is>
          <t>LINDESBERG</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47066-2023</t>
        </is>
      </c>
      <c r="B381" t="inlineStr">
        <is>
          <t>avverkningsanmälan</t>
        </is>
      </c>
      <c r="C381" t="inlineStr">
        <is>
          <t>Föryngringsavverkning</t>
        </is>
      </c>
      <c r="D381" s="1" t="n">
        <v>45201</v>
      </c>
      <c r="E381" s="1" t="n">
        <v>46220</v>
      </c>
      <c r="F381" t="inlineStr">
        <is>
          <t>ÖREBRO LÄN</t>
        </is>
      </c>
      <c r="G381" t="inlineStr">
        <is>
          <t>LINDESBERG</t>
        </is>
      </c>
      <c r="H381" t="inlineStr">
        <is>
          <t>Sveaskog</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36773-2024</t>
        </is>
      </c>
      <c r="B382" t="inlineStr">
        <is>
          <t>avverkningsanmälan</t>
        </is>
      </c>
      <c r="C382" t="inlineStr">
        <is>
          <t>Avverkning för att bevara och utveckla /försöksver</t>
        </is>
      </c>
      <c r="D382" s="1" t="n">
        <v>45538</v>
      </c>
      <c r="E382" s="1" t="n">
        <v>46220</v>
      </c>
      <c r="F382" t="inlineStr">
        <is>
          <t>ÖREBRO LÄN</t>
        </is>
      </c>
      <c r="G382" t="inlineStr">
        <is>
          <t>LINDESBERG</t>
        </is>
      </c>
      <c r="H382" t="inlineStr">
        <is>
          <t>Sveaskog</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59804-2023</t>
        </is>
      </c>
      <c r="B383" t="inlineStr">
        <is>
          <t>avverkningsanmälan</t>
        </is>
      </c>
      <c r="C383" t="inlineStr">
        <is>
          <t>Föryngringsavverkning</t>
        </is>
      </c>
      <c r="D383" s="1" t="n">
        <v>45257</v>
      </c>
      <c r="E383" s="1" t="n">
        <v>46220</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61691-2023</t>
        </is>
      </c>
      <c r="B384" t="inlineStr">
        <is>
          <t>avverkningsanmälan</t>
        </is>
      </c>
      <c r="C384" t="inlineStr">
        <is>
          <t>Föryngringsavverkning</t>
        </is>
      </c>
      <c r="D384" s="1" t="n">
        <v>45265</v>
      </c>
      <c r="E384" s="1" t="n">
        <v>46220</v>
      </c>
      <c r="F384" t="inlineStr">
        <is>
          <t>ÖREBRO LÄN</t>
        </is>
      </c>
      <c r="G384" t="inlineStr">
        <is>
          <t>LINDESBERG</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51172-2025</t>
        </is>
      </c>
      <c r="B385" t="inlineStr">
        <is>
          <t>avverkningsanmälan</t>
        </is>
      </c>
      <c r="C385" t="inlineStr">
        <is>
          <t>Föryngringsavverkning</t>
        </is>
      </c>
      <c r="D385" s="1" t="n">
        <v>45947</v>
      </c>
      <c r="E385" s="1" t="n">
        <v>46220</v>
      </c>
      <c r="F385" t="inlineStr">
        <is>
          <t>ÖREBRO LÄN</t>
        </is>
      </c>
      <c r="G385" t="inlineStr">
        <is>
          <t>LINDESBERG</t>
        </is>
      </c>
      <c r="H385" t="inlineStr">
        <is>
          <t>Kyrkan</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43081-2021</t>
        </is>
      </c>
      <c r="B386" t="inlineStr">
        <is>
          <t>avverkningsanmälan</t>
        </is>
      </c>
      <c r="C386" t="inlineStr">
        <is>
          <t>Föryngringsavverkning</t>
        </is>
      </c>
      <c r="D386" s="1" t="n">
        <v>44431</v>
      </c>
      <c r="E386" s="1" t="n">
        <v>46220</v>
      </c>
      <c r="F386" t="inlineStr">
        <is>
          <t>ÖREBRO LÄN</t>
        </is>
      </c>
      <c r="G386" t="inlineStr">
        <is>
          <t>LINDESBERG</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50933-2025</t>
        </is>
      </c>
      <c r="B387" t="inlineStr">
        <is>
          <t>avverkningsanmälan</t>
        </is>
      </c>
      <c r="C387" t="inlineStr">
        <is>
          <t>Föryngringsavverkning</t>
        </is>
      </c>
      <c r="D387" s="1" t="n">
        <v>45946</v>
      </c>
      <c r="E387" s="1" t="n">
        <v>46220</v>
      </c>
      <c r="F387" t="inlineStr">
        <is>
          <t>ÖREBRO LÄN</t>
        </is>
      </c>
      <c r="G387" t="inlineStr">
        <is>
          <t>LINDESBERG</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32002-2023</t>
        </is>
      </c>
      <c r="B388" t="inlineStr">
        <is>
          <t>avverkningsanmälan</t>
        </is>
      </c>
      <c r="C388" t="inlineStr">
        <is>
          <t>Föryngringsavverkning</t>
        </is>
      </c>
      <c r="D388" s="1" t="n">
        <v>45119</v>
      </c>
      <c r="E388" s="1" t="n">
        <v>46220</v>
      </c>
      <c r="F388" t="inlineStr">
        <is>
          <t>ÖREBRO LÄN</t>
        </is>
      </c>
      <c r="G388" t="inlineStr">
        <is>
          <t>LINDESBERG</t>
        </is>
      </c>
      <c r="H388" t="inlineStr">
        <is>
          <t>Kyrkan</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50936-2025</t>
        </is>
      </c>
      <c r="B389" t="inlineStr">
        <is>
          <t>avverkningsanmälan</t>
        </is>
      </c>
      <c r="C389" t="inlineStr">
        <is>
          <t>Föryngringsavverkning</t>
        </is>
      </c>
      <c r="D389" s="1" t="n">
        <v>45946</v>
      </c>
      <c r="E389" s="1" t="n">
        <v>46220</v>
      </c>
      <c r="F389" t="inlineStr">
        <is>
          <t>ÖREBRO LÄN</t>
        </is>
      </c>
      <c r="G389" t="inlineStr">
        <is>
          <t>LINDESBERG</t>
        </is>
      </c>
      <c r="I389" t="n">
        <v>2.9</v>
      </c>
      <c r="J389" t="n">
        <v>0</v>
      </c>
      <c r="K389" t="n">
        <v>0</v>
      </c>
      <c r="L389" t="n">
        <v>0</v>
      </c>
      <c r="M389" t="n">
        <v>0</v>
      </c>
      <c r="N389" t="n">
        <v>0</v>
      </c>
      <c r="O389" t="n">
        <v>0</v>
      </c>
      <c r="P389" t="n">
        <v>0</v>
      </c>
      <c r="Q389" t="n">
        <v>0</v>
      </c>
      <c r="R389" t="n">
        <v>0</v>
      </c>
      <c r="S389" t="n">
        <v>0</v>
      </c>
      <c r="T389" t="n">
        <v>0</v>
      </c>
      <c r="U389" s="2" t="inlineStr"/>
    </row>
    <row r="390" ht="15" customHeight="1">
      <c r="A390" t="inlineStr">
        <is>
          <t>A 7661-2024</t>
        </is>
      </c>
      <c r="B390" t="inlineStr">
        <is>
          <t>avverkningsanmälan</t>
        </is>
      </c>
      <c r="C390" t="inlineStr">
        <is>
          <t>Föryngringsavverkning</t>
        </is>
      </c>
      <c r="D390" s="1" t="n">
        <v>45348</v>
      </c>
      <c r="E390" s="1" t="n">
        <v>46220</v>
      </c>
      <c r="F390" t="inlineStr">
        <is>
          <t>ÖREBRO LÄN</t>
        </is>
      </c>
      <c r="G390" t="inlineStr">
        <is>
          <t>LINDESBERG</t>
        </is>
      </c>
      <c r="I390" t="n">
        <v>4.1</v>
      </c>
      <c r="J390" t="n">
        <v>0</v>
      </c>
      <c r="K390" t="n">
        <v>0</v>
      </c>
      <c r="L390" t="n">
        <v>0</v>
      </c>
      <c r="M390" t="n">
        <v>0</v>
      </c>
      <c r="N390" t="n">
        <v>0</v>
      </c>
      <c r="O390" t="n">
        <v>0</v>
      </c>
      <c r="P390" t="n">
        <v>0</v>
      </c>
      <c r="Q390" t="n">
        <v>0</v>
      </c>
      <c r="R390" t="n">
        <v>0</v>
      </c>
      <c r="S390" t="n">
        <v>0</v>
      </c>
      <c r="T390" t="n">
        <v>0</v>
      </c>
      <c r="U390" s="2" t="inlineStr"/>
    </row>
    <row r="391" ht="15" customHeight="1">
      <c r="A391" t="inlineStr">
        <is>
          <t>A 38534-2025</t>
        </is>
      </c>
      <c r="B391" t="inlineStr">
        <is>
          <t>avverkningsanmälan</t>
        </is>
      </c>
      <c r="C391" t="inlineStr">
        <is>
          <t>Föryngringsavverkning</t>
        </is>
      </c>
      <c r="D391" s="1" t="n">
        <v>45884</v>
      </c>
      <c r="E391" s="1" t="n">
        <v>46220</v>
      </c>
      <c r="F391" t="inlineStr">
        <is>
          <t>ÖREBRO LÄN</t>
        </is>
      </c>
      <c r="G391" t="inlineStr">
        <is>
          <t>LINDESBERG</t>
        </is>
      </c>
      <c r="I391" t="n">
        <v>4.9</v>
      </c>
      <c r="J391" t="n">
        <v>0</v>
      </c>
      <c r="K391" t="n">
        <v>0</v>
      </c>
      <c r="L391" t="n">
        <v>0</v>
      </c>
      <c r="M391" t="n">
        <v>0</v>
      </c>
      <c r="N391" t="n">
        <v>0</v>
      </c>
      <c r="O391" t="n">
        <v>0</v>
      </c>
      <c r="P391" t="n">
        <v>0</v>
      </c>
      <c r="Q391" t="n">
        <v>0</v>
      </c>
      <c r="R391" t="n">
        <v>0</v>
      </c>
      <c r="S391" t="n">
        <v>0</v>
      </c>
      <c r="T391" t="n">
        <v>0</v>
      </c>
      <c r="U391" s="2" t="inlineStr"/>
    </row>
    <row r="392" ht="15" customHeight="1">
      <c r="A392" t="inlineStr">
        <is>
          <t>A 12278-2025</t>
        </is>
      </c>
      <c r="B392" t="inlineStr">
        <is>
          <t>avverkningsanmälan</t>
        </is>
      </c>
      <c r="C392" t="inlineStr">
        <is>
          <t>Föryngringsavverkning</t>
        </is>
      </c>
      <c r="D392" s="1" t="n">
        <v>45729</v>
      </c>
      <c r="E392" s="1" t="n">
        <v>46220</v>
      </c>
      <c r="F392" t="inlineStr">
        <is>
          <t>ÖREBRO LÄN</t>
        </is>
      </c>
      <c r="G392" t="inlineStr">
        <is>
          <t>LINDESBERG</t>
        </is>
      </c>
      <c r="I392" t="n">
        <v>3.2</v>
      </c>
      <c r="J392" t="n">
        <v>0</v>
      </c>
      <c r="K392" t="n">
        <v>0</v>
      </c>
      <c r="L392" t="n">
        <v>0</v>
      </c>
      <c r="M392" t="n">
        <v>0</v>
      </c>
      <c r="N392" t="n">
        <v>0</v>
      </c>
      <c r="O392" t="n">
        <v>0</v>
      </c>
      <c r="P392" t="n">
        <v>0</v>
      </c>
      <c r="Q392" t="n">
        <v>0</v>
      </c>
      <c r="R392" t="n">
        <v>0</v>
      </c>
      <c r="S392" t="n">
        <v>0</v>
      </c>
      <c r="T392" t="n">
        <v>0</v>
      </c>
      <c r="U392" s="2" t="inlineStr"/>
    </row>
    <row r="393" ht="15" customHeight="1">
      <c r="A393" t="inlineStr">
        <is>
          <t>A 3951-2026</t>
        </is>
      </c>
      <c r="B393" t="inlineStr">
        <is>
          <t>avverkningsanmälan</t>
        </is>
      </c>
      <c r="C393" t="inlineStr">
        <is>
          <t>Föryngringsavverkning</t>
        </is>
      </c>
      <c r="D393" s="1" t="n">
        <v>46044</v>
      </c>
      <c r="E393" s="1" t="n">
        <v>46220</v>
      </c>
      <c r="F393" t="inlineStr">
        <is>
          <t>ÖREBRO LÄN</t>
        </is>
      </c>
      <c r="G393" t="inlineStr">
        <is>
          <t>LINDESBERG</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29942-2024</t>
        </is>
      </c>
      <c r="B394" t="inlineStr">
        <is>
          <t>avverkningsanmälan</t>
        </is>
      </c>
      <c r="C394" t="inlineStr">
        <is>
          <t>Föryngringsavverkning</t>
        </is>
      </c>
      <c r="D394" s="1" t="n">
        <v>45488</v>
      </c>
      <c r="E394" s="1" t="n">
        <v>46220</v>
      </c>
      <c r="F394" t="inlineStr">
        <is>
          <t>ÖREBRO LÄN</t>
        </is>
      </c>
      <c r="G394" t="inlineStr">
        <is>
          <t>LINDESBERG</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52117-2025</t>
        </is>
      </c>
      <c r="B395" t="inlineStr">
        <is>
          <t>avverkningsanmälan</t>
        </is>
      </c>
      <c r="C395" t="inlineStr">
        <is>
          <t>Föryngringsavverkning</t>
        </is>
      </c>
      <c r="D395" s="1" t="n">
        <v>45952</v>
      </c>
      <c r="E395" s="1" t="n">
        <v>46220</v>
      </c>
      <c r="F395" t="inlineStr">
        <is>
          <t>ÖREBRO LÄN</t>
        </is>
      </c>
      <c r="G395" t="inlineStr">
        <is>
          <t>LINDESBERG</t>
        </is>
      </c>
      <c r="I395" t="n">
        <v>4.6</v>
      </c>
      <c r="J395" t="n">
        <v>0</v>
      </c>
      <c r="K395" t="n">
        <v>0</v>
      </c>
      <c r="L395" t="n">
        <v>0</v>
      </c>
      <c r="M395" t="n">
        <v>0</v>
      </c>
      <c r="N395" t="n">
        <v>0</v>
      </c>
      <c r="O395" t="n">
        <v>0</v>
      </c>
      <c r="P395" t="n">
        <v>0</v>
      </c>
      <c r="Q395" t="n">
        <v>0</v>
      </c>
      <c r="R395" t="n">
        <v>0</v>
      </c>
      <c r="S395" t="n">
        <v>0</v>
      </c>
      <c r="T395" t="n">
        <v>0</v>
      </c>
      <c r="U395" s="2" t="inlineStr"/>
    </row>
    <row r="396" ht="15" customHeight="1">
      <c r="A396" t="inlineStr">
        <is>
          <t>A 52103-2025</t>
        </is>
      </c>
      <c r="B396" t="inlineStr">
        <is>
          <t>avverkningsanmälan</t>
        </is>
      </c>
      <c r="C396" t="inlineStr">
        <is>
          <t>Föryngringsavverkning</t>
        </is>
      </c>
      <c r="D396" s="1" t="n">
        <v>45952</v>
      </c>
      <c r="E396" s="1" t="n">
        <v>46220</v>
      </c>
      <c r="F396" t="inlineStr">
        <is>
          <t>ÖREBRO LÄN</t>
        </is>
      </c>
      <c r="G396" t="inlineStr">
        <is>
          <t>LINDESBERG</t>
        </is>
      </c>
      <c r="H396" t="inlineStr">
        <is>
          <t>Sveaskog</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3294-2024</t>
        </is>
      </c>
      <c r="B397" t="inlineStr">
        <is>
          <t>avverkningsanmälan</t>
        </is>
      </c>
      <c r="C397" t="inlineStr">
        <is>
          <t>Föryngringsavverkning</t>
        </is>
      </c>
      <c r="D397" s="1" t="n">
        <v>45316</v>
      </c>
      <c r="E397" s="1" t="n">
        <v>46220</v>
      </c>
      <c r="F397" t="inlineStr">
        <is>
          <t>ÖREBRO LÄN</t>
        </is>
      </c>
      <c r="G397" t="inlineStr">
        <is>
          <t>LINDESBERG</t>
        </is>
      </c>
      <c r="I397" t="n">
        <v>3</v>
      </c>
      <c r="J397" t="n">
        <v>0</v>
      </c>
      <c r="K397" t="n">
        <v>0</v>
      </c>
      <c r="L397" t="n">
        <v>0</v>
      </c>
      <c r="M397" t="n">
        <v>0</v>
      </c>
      <c r="N397" t="n">
        <v>0</v>
      </c>
      <c r="O397" t="n">
        <v>0</v>
      </c>
      <c r="P397" t="n">
        <v>0</v>
      </c>
      <c r="Q397" t="n">
        <v>0</v>
      </c>
      <c r="R397" t="n">
        <v>0</v>
      </c>
      <c r="S397" t="n">
        <v>0</v>
      </c>
      <c r="T397" t="n">
        <v>0</v>
      </c>
      <c r="U397" s="2" t="inlineStr"/>
    </row>
    <row r="398" ht="15" customHeight="1">
      <c r="A398" t="inlineStr">
        <is>
          <t>A 52104-2025</t>
        </is>
      </c>
      <c r="B398" t="inlineStr">
        <is>
          <t>avverkningsanmälan</t>
        </is>
      </c>
      <c r="C398" t="inlineStr">
        <is>
          <t>Föryngringsavverkning</t>
        </is>
      </c>
      <c r="D398" s="1" t="n">
        <v>45952</v>
      </c>
      <c r="E398" s="1" t="n">
        <v>46220</v>
      </c>
      <c r="F398" t="inlineStr">
        <is>
          <t>ÖREBRO LÄN</t>
        </is>
      </c>
      <c r="G398" t="inlineStr">
        <is>
          <t>LINDESBERG</t>
        </is>
      </c>
      <c r="H398" t="inlineStr">
        <is>
          <t>Sveaskog</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14185-2024</t>
        </is>
      </c>
      <c r="B399" t="inlineStr">
        <is>
          <t>avverkningsanmälan</t>
        </is>
      </c>
      <c r="C399" t="inlineStr">
        <is>
          <t>Föryngringsavverkning</t>
        </is>
      </c>
      <c r="D399" s="1" t="n">
        <v>45393</v>
      </c>
      <c r="E399" s="1" t="n">
        <v>46220</v>
      </c>
      <c r="F399" t="inlineStr">
        <is>
          <t>ÖREBRO LÄN</t>
        </is>
      </c>
      <c r="G399" t="inlineStr">
        <is>
          <t>LINDESBERG</t>
        </is>
      </c>
      <c r="H399" t="inlineStr">
        <is>
          <t>Sveaskog</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52401-2025</t>
        </is>
      </c>
      <c r="B400" t="inlineStr">
        <is>
          <t>avverkningsanmälan</t>
        </is>
      </c>
      <c r="C400" t="inlineStr">
        <is>
          <t>Föryngringsavverkning</t>
        </is>
      </c>
      <c r="D400" s="1" t="n">
        <v>45954</v>
      </c>
      <c r="E400" s="1" t="n">
        <v>46220</v>
      </c>
      <c r="F400" t="inlineStr">
        <is>
          <t>ÖREBRO LÄN</t>
        </is>
      </c>
      <c r="G400" t="inlineStr">
        <is>
          <t>LINDESBERG</t>
        </is>
      </c>
      <c r="H400" t="inlineStr">
        <is>
          <t>Sveaskog</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52402-2025</t>
        </is>
      </c>
      <c r="B401" t="inlineStr">
        <is>
          <t>avverkningsanmälan</t>
        </is>
      </c>
      <c r="C401" t="inlineStr">
        <is>
          <t>Föryngringsavverkning</t>
        </is>
      </c>
      <c r="D401" s="1" t="n">
        <v>45954</v>
      </c>
      <c r="E401" s="1" t="n">
        <v>46220</v>
      </c>
      <c r="F401" t="inlineStr">
        <is>
          <t>ÖREBRO LÄN</t>
        </is>
      </c>
      <c r="G401" t="inlineStr">
        <is>
          <t>LINDESBERG</t>
        </is>
      </c>
      <c r="H401" t="inlineStr">
        <is>
          <t>Sveaskog</t>
        </is>
      </c>
      <c r="I401" t="n">
        <v>2.1</v>
      </c>
      <c r="J401" t="n">
        <v>0</v>
      </c>
      <c r="K401" t="n">
        <v>0</v>
      </c>
      <c r="L401" t="n">
        <v>0</v>
      </c>
      <c r="M401" t="n">
        <v>0</v>
      </c>
      <c r="N401" t="n">
        <v>0</v>
      </c>
      <c r="O401" t="n">
        <v>0</v>
      </c>
      <c r="P401" t="n">
        <v>0</v>
      </c>
      <c r="Q401" t="n">
        <v>0</v>
      </c>
      <c r="R401" t="n">
        <v>0</v>
      </c>
      <c r="S401" t="n">
        <v>0</v>
      </c>
      <c r="T401" t="n">
        <v>0</v>
      </c>
      <c r="U401" s="2" t="inlineStr"/>
    </row>
    <row r="402" ht="15" customHeight="1">
      <c r="A402" t="inlineStr">
        <is>
          <t>A 51656-2023</t>
        </is>
      </c>
      <c r="B402" t="inlineStr">
        <is>
          <t>avverkningsanmälan</t>
        </is>
      </c>
      <c r="C402" t="inlineStr">
        <is>
          <t>Föryngringsavverkning</t>
        </is>
      </c>
      <c r="D402" s="1" t="n">
        <v>45222</v>
      </c>
      <c r="E402" s="1" t="n">
        <v>46220</v>
      </c>
      <c r="F402" t="inlineStr">
        <is>
          <t>ÖREBRO LÄN</t>
        </is>
      </c>
      <c r="G402" t="inlineStr">
        <is>
          <t>LINDESBERG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38509-2025</t>
        </is>
      </c>
      <c r="B403" t="inlineStr">
        <is>
          <t>avverkningsanmälan</t>
        </is>
      </c>
      <c r="C403" t="inlineStr">
        <is>
          <t>Föryngringsavverkning</t>
        </is>
      </c>
      <c r="D403" s="1" t="n">
        <v>45884</v>
      </c>
      <c r="E403" s="1" t="n">
        <v>46220</v>
      </c>
      <c r="F403" t="inlineStr">
        <is>
          <t>ÖREBRO LÄN</t>
        </is>
      </c>
      <c r="G403" t="inlineStr">
        <is>
          <t>LINDESBERG</t>
        </is>
      </c>
      <c r="I403" t="n">
        <v>14.9</v>
      </c>
      <c r="J403" t="n">
        <v>0</v>
      </c>
      <c r="K403" t="n">
        <v>0</v>
      </c>
      <c r="L403" t="n">
        <v>0</v>
      </c>
      <c r="M403" t="n">
        <v>0</v>
      </c>
      <c r="N403" t="n">
        <v>0</v>
      </c>
      <c r="O403" t="n">
        <v>0</v>
      </c>
      <c r="P403" t="n">
        <v>0</v>
      </c>
      <c r="Q403" t="n">
        <v>0</v>
      </c>
      <c r="R403" t="n">
        <v>0</v>
      </c>
      <c r="S403" t="n">
        <v>0</v>
      </c>
      <c r="T403" t="n">
        <v>0</v>
      </c>
      <c r="U403" s="2" t="inlineStr"/>
    </row>
    <row r="404" ht="15" customHeight="1">
      <c r="A404" t="inlineStr">
        <is>
          <t>A 3732-2023</t>
        </is>
      </c>
      <c r="B404" t="inlineStr">
        <is>
          <t>avverkningsanmälan</t>
        </is>
      </c>
      <c r="C404" t="inlineStr">
        <is>
          <t>Föryngringsavverkning</t>
        </is>
      </c>
      <c r="D404" s="1" t="n">
        <v>44949</v>
      </c>
      <c r="E404" s="1" t="n">
        <v>46220</v>
      </c>
      <c r="F404" t="inlineStr">
        <is>
          <t>ÖREBRO LÄN</t>
        </is>
      </c>
      <c r="G404" t="inlineStr">
        <is>
          <t>LINDESBERG</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A 57069-2022</t>
        </is>
      </c>
      <c r="B405" t="inlineStr">
        <is>
          <t>avverkningsanmälan</t>
        </is>
      </c>
      <c r="C405" t="inlineStr">
        <is>
          <t>Föryngringsavverkning</t>
        </is>
      </c>
      <c r="D405" s="1" t="n">
        <v>44895</v>
      </c>
      <c r="E405" s="1" t="n">
        <v>46220</v>
      </c>
      <c r="F405" t="inlineStr">
        <is>
          <t>ÖREBRO LÄN</t>
        </is>
      </c>
      <c r="G405" t="inlineStr">
        <is>
          <t>LINDESBERG</t>
        </is>
      </c>
      <c r="I405" t="n">
        <v>2.3</v>
      </c>
      <c r="J405" t="n">
        <v>0</v>
      </c>
      <c r="K405" t="n">
        <v>0</v>
      </c>
      <c r="L405" t="n">
        <v>0</v>
      </c>
      <c r="M405" t="n">
        <v>0</v>
      </c>
      <c r="N405" t="n">
        <v>0</v>
      </c>
      <c r="O405" t="n">
        <v>0</v>
      </c>
      <c r="P405" t="n">
        <v>0</v>
      </c>
      <c r="Q405" t="n">
        <v>0</v>
      </c>
      <c r="R405" t="n">
        <v>0</v>
      </c>
      <c r="S405" t="n">
        <v>0</v>
      </c>
      <c r="T405" t="n">
        <v>0</v>
      </c>
      <c r="U405" s="2" t="inlineStr"/>
    </row>
    <row r="406" ht="15" customHeight="1">
      <c r="A406" t="inlineStr">
        <is>
          <t>A 5235-2026</t>
        </is>
      </c>
      <c r="B406" t="inlineStr">
        <is>
          <t>avverkningsanmälan</t>
        </is>
      </c>
      <c r="C406" t="inlineStr">
        <is>
          <t>Föryngringsavverkning</t>
        </is>
      </c>
      <c r="D406" s="1" t="n">
        <v>46049</v>
      </c>
      <c r="E406" s="1" t="n">
        <v>46220</v>
      </c>
      <c r="F406" t="inlineStr">
        <is>
          <t>ÖREBRO LÄN</t>
        </is>
      </c>
      <c r="G406" t="inlineStr">
        <is>
          <t>LINDESBERG</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A 54249-2025</t>
        </is>
      </c>
      <c r="B407" t="inlineStr">
        <is>
          <t>avverkningsanmälan</t>
        </is>
      </c>
      <c r="C407" t="inlineStr">
        <is>
          <t>Föryngringsavverkning</t>
        </is>
      </c>
      <c r="D407" s="1" t="n">
        <v>45964</v>
      </c>
      <c r="E407" s="1" t="n">
        <v>46220</v>
      </c>
      <c r="F407" t="inlineStr">
        <is>
          <t>ÖREBRO LÄN</t>
        </is>
      </c>
      <c r="G407" t="inlineStr">
        <is>
          <t>LINDESBERG</t>
        </is>
      </c>
      <c r="H407" t="inlineStr">
        <is>
          <t>Sveaskog</t>
        </is>
      </c>
      <c r="I407" t="n">
        <v>5.2</v>
      </c>
      <c r="J407" t="n">
        <v>0</v>
      </c>
      <c r="K407" t="n">
        <v>0</v>
      </c>
      <c r="L407" t="n">
        <v>0</v>
      </c>
      <c r="M407" t="n">
        <v>0</v>
      </c>
      <c r="N407" t="n">
        <v>0</v>
      </c>
      <c r="O407" t="n">
        <v>0</v>
      </c>
      <c r="P407" t="n">
        <v>0</v>
      </c>
      <c r="Q407" t="n">
        <v>0</v>
      </c>
      <c r="R407" t="n">
        <v>0</v>
      </c>
      <c r="S407" t="n">
        <v>0</v>
      </c>
      <c r="T407" t="n">
        <v>0</v>
      </c>
      <c r="U407" s="2" t="inlineStr"/>
    </row>
    <row r="408" ht="15" customHeight="1">
      <c r="A408" t="inlineStr">
        <is>
          <t>A 54070-2025</t>
        </is>
      </c>
      <c r="B408" t="inlineStr">
        <is>
          <t>avverkningsanmälan</t>
        </is>
      </c>
      <c r="C408" t="inlineStr">
        <is>
          <t>Föryngringsavverkning</t>
        </is>
      </c>
      <c r="D408" s="1" t="n">
        <v>45964</v>
      </c>
      <c r="E408" s="1" t="n">
        <v>46220</v>
      </c>
      <c r="F408" t="inlineStr">
        <is>
          <t>ÖREBRO LÄN</t>
        </is>
      </c>
      <c r="G408" t="inlineStr">
        <is>
          <t>LINDESBERG</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54250-2025</t>
        </is>
      </c>
      <c r="B409" t="inlineStr">
        <is>
          <t>avverkningsanmälan</t>
        </is>
      </c>
      <c r="C409" t="inlineStr">
        <is>
          <t>Föryngringsavverkning</t>
        </is>
      </c>
      <c r="D409" s="1" t="n">
        <v>45964</v>
      </c>
      <c r="E409" s="1" t="n">
        <v>46220</v>
      </c>
      <c r="F409" t="inlineStr">
        <is>
          <t>ÖREBRO LÄN</t>
        </is>
      </c>
      <c r="G409" t="inlineStr">
        <is>
          <t>LINDESBERG</t>
        </is>
      </c>
      <c r="H409" t="inlineStr">
        <is>
          <t>Sveaskog</t>
        </is>
      </c>
      <c r="I409" t="n">
        <v>4.5</v>
      </c>
      <c r="J409" t="n">
        <v>0</v>
      </c>
      <c r="K409" t="n">
        <v>0</v>
      </c>
      <c r="L409" t="n">
        <v>0</v>
      </c>
      <c r="M409" t="n">
        <v>0</v>
      </c>
      <c r="N409" t="n">
        <v>0</v>
      </c>
      <c r="O409" t="n">
        <v>0</v>
      </c>
      <c r="P409" t="n">
        <v>0</v>
      </c>
      <c r="Q409" t="n">
        <v>0</v>
      </c>
      <c r="R409" t="n">
        <v>0</v>
      </c>
      <c r="S409" t="n">
        <v>0</v>
      </c>
      <c r="T409" t="n">
        <v>0</v>
      </c>
      <c r="U409" s="2" t="inlineStr"/>
    </row>
    <row r="410" ht="15" customHeight="1">
      <c r="A410" t="inlineStr">
        <is>
          <t>A 54251-2025</t>
        </is>
      </c>
      <c r="B410" t="inlineStr">
        <is>
          <t>avverkningsanmälan</t>
        </is>
      </c>
      <c r="C410" t="inlineStr">
        <is>
          <t>Föryngringsavverkning</t>
        </is>
      </c>
      <c r="D410" s="1" t="n">
        <v>45964</v>
      </c>
      <c r="E410" s="1" t="n">
        <v>46220</v>
      </c>
      <c r="F410" t="inlineStr">
        <is>
          <t>ÖREBRO LÄN</t>
        </is>
      </c>
      <c r="G410" t="inlineStr">
        <is>
          <t>LINDESBERG</t>
        </is>
      </c>
      <c r="H410" t="inlineStr">
        <is>
          <t>Sveaskog</t>
        </is>
      </c>
      <c r="I410" t="n">
        <v>3.2</v>
      </c>
      <c r="J410" t="n">
        <v>0</v>
      </c>
      <c r="K410" t="n">
        <v>0</v>
      </c>
      <c r="L410" t="n">
        <v>0</v>
      </c>
      <c r="M410" t="n">
        <v>0</v>
      </c>
      <c r="N410" t="n">
        <v>0</v>
      </c>
      <c r="O410" t="n">
        <v>0</v>
      </c>
      <c r="P410" t="n">
        <v>0</v>
      </c>
      <c r="Q410" t="n">
        <v>0</v>
      </c>
      <c r="R410" t="n">
        <v>0</v>
      </c>
      <c r="S410" t="n">
        <v>0</v>
      </c>
      <c r="T410" t="n">
        <v>0</v>
      </c>
      <c r="U410" s="2" t="inlineStr"/>
    </row>
    <row r="411" ht="15" customHeight="1">
      <c r="A411" t="inlineStr">
        <is>
          <t>A 4067-2024</t>
        </is>
      </c>
      <c r="B411" t="inlineStr">
        <is>
          <t>avverkningsanmälan</t>
        </is>
      </c>
      <c r="C411" t="inlineStr">
        <is>
          <t>Föryngringsavverkning</t>
        </is>
      </c>
      <c r="D411" s="1" t="n">
        <v>45323</v>
      </c>
      <c r="E411" s="1" t="n">
        <v>46220</v>
      </c>
      <c r="F411" t="inlineStr">
        <is>
          <t>ÖREBRO LÄN</t>
        </is>
      </c>
      <c r="G411" t="inlineStr">
        <is>
          <t>LINDESBERG</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6616-2026</t>
        </is>
      </c>
      <c r="B412" t="inlineStr">
        <is>
          <t>avverkningsanmälan</t>
        </is>
      </c>
      <c r="C412" t="inlineStr">
        <is>
          <t>Föryngringsavverkning</t>
        </is>
      </c>
      <c r="D412" s="1" t="n">
        <v>46056</v>
      </c>
      <c r="E412" s="1" t="n">
        <v>46220</v>
      </c>
      <c r="F412" t="inlineStr">
        <is>
          <t>ÖREBRO LÄN</t>
        </is>
      </c>
      <c r="G412" t="inlineStr">
        <is>
          <t>LINDESBERG</t>
        </is>
      </c>
      <c r="I412" t="n">
        <v>9</v>
      </c>
      <c r="J412" t="n">
        <v>0</v>
      </c>
      <c r="K412" t="n">
        <v>0</v>
      </c>
      <c r="L412" t="n">
        <v>0</v>
      </c>
      <c r="M412" t="n">
        <v>0</v>
      </c>
      <c r="N412" t="n">
        <v>0</v>
      </c>
      <c r="O412" t="n">
        <v>0</v>
      </c>
      <c r="P412" t="n">
        <v>0</v>
      </c>
      <c r="Q412" t="n">
        <v>0</v>
      </c>
      <c r="R412" t="n">
        <v>0</v>
      </c>
      <c r="S412" t="n">
        <v>0</v>
      </c>
      <c r="T412" t="n">
        <v>0</v>
      </c>
      <c r="U412" s="2" t="inlineStr"/>
    </row>
    <row r="413" ht="15" customHeight="1">
      <c r="A413" t="inlineStr">
        <is>
          <t>A 10823-2023</t>
        </is>
      </c>
      <c r="B413" t="inlineStr">
        <is>
          <t>avverkningsanmälan</t>
        </is>
      </c>
      <c r="C413" t="inlineStr">
        <is>
          <t>Föryngringsavverkning</t>
        </is>
      </c>
      <c r="D413" s="1" t="n">
        <v>44990</v>
      </c>
      <c r="E413" s="1" t="n">
        <v>46220</v>
      </c>
      <c r="F413" t="inlineStr">
        <is>
          <t>ÖREBRO LÄN</t>
        </is>
      </c>
      <c r="G413" t="inlineStr">
        <is>
          <t>LINDESBERG</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8902-2024</t>
        </is>
      </c>
      <c r="B414" t="inlineStr">
        <is>
          <t>avverkningsanmälan</t>
        </is>
      </c>
      <c r="C414" t="inlineStr">
        <is>
          <t>Avverkning för annat ändamål</t>
        </is>
      </c>
      <c r="D414" s="1" t="n">
        <v>45357</v>
      </c>
      <c r="E414" s="1" t="n">
        <v>46220</v>
      </c>
      <c r="F414" t="inlineStr">
        <is>
          <t>ÖREBRO LÄN</t>
        </is>
      </c>
      <c r="G414" t="inlineStr">
        <is>
          <t>LINDESBERG</t>
        </is>
      </c>
      <c r="H414" t="inlineStr">
        <is>
          <t>Kommuner</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6989-2026</t>
        </is>
      </c>
      <c r="B415" t="inlineStr">
        <is>
          <t>avverkningsanmälan</t>
        </is>
      </c>
      <c r="C415" t="inlineStr">
        <is>
          <t>Föryngringsavverkning</t>
        </is>
      </c>
      <c r="D415" s="1" t="n">
        <v>46057</v>
      </c>
      <c r="E415" s="1" t="n">
        <v>46220</v>
      </c>
      <c r="F415" t="inlineStr">
        <is>
          <t>ÖREBRO LÄN</t>
        </is>
      </c>
      <c r="G415" t="inlineStr">
        <is>
          <t>LINDESBERG</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55255-2025</t>
        </is>
      </c>
      <c r="B416" t="inlineStr">
        <is>
          <t>avverkningsanmälan</t>
        </is>
      </c>
      <c r="C416" t="inlineStr">
        <is>
          <t>Föryngringsavverkning</t>
        </is>
      </c>
      <c r="D416" s="1" t="n">
        <v>45968</v>
      </c>
      <c r="E416" s="1" t="n">
        <v>46220</v>
      </c>
      <c r="F416" t="inlineStr">
        <is>
          <t>ÖREBRO LÄN</t>
        </is>
      </c>
      <c r="G416" t="inlineStr">
        <is>
          <t>LINDESBERG</t>
        </is>
      </c>
      <c r="H416" t="inlineStr">
        <is>
          <t>Kyrkan</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6524-2026</t>
        </is>
      </c>
      <c r="B417" t="inlineStr">
        <is>
          <t>avverkningsanmälan</t>
        </is>
      </c>
      <c r="C417" t="inlineStr">
        <is>
          <t>Föryngringsavverkning</t>
        </is>
      </c>
      <c r="D417" s="1" t="n">
        <v>46056</v>
      </c>
      <c r="E417" s="1" t="n">
        <v>46220</v>
      </c>
      <c r="F417" t="inlineStr">
        <is>
          <t>ÖREBRO LÄN</t>
        </is>
      </c>
      <c r="G417" t="inlineStr">
        <is>
          <t>LINDESBERG</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19436-2025</t>
        </is>
      </c>
      <c r="B418" t="inlineStr">
        <is>
          <t>avverkningsanmälan</t>
        </is>
      </c>
      <c r="C418" t="inlineStr">
        <is>
          <t>Föryngringsavverkning</t>
        </is>
      </c>
      <c r="D418" s="1" t="n">
        <v>45769</v>
      </c>
      <c r="E418" s="1" t="n">
        <v>46220</v>
      </c>
      <c r="F418" t="inlineStr">
        <is>
          <t>ÖREBRO LÄN</t>
        </is>
      </c>
      <c r="G418" t="inlineStr">
        <is>
          <t>LINDESBERG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22829-2023</t>
        </is>
      </c>
      <c r="B419" t="inlineStr">
        <is>
          <t>avverkningsanmälan</t>
        </is>
      </c>
      <c r="C419" t="inlineStr">
        <is>
          <t>Föryngringsavverkning</t>
        </is>
      </c>
      <c r="D419" s="1" t="n">
        <v>45072</v>
      </c>
      <c r="E419" s="1" t="n">
        <v>46220</v>
      </c>
      <c r="F419" t="inlineStr">
        <is>
          <t>ÖREBRO LÄN</t>
        </is>
      </c>
      <c r="G419" t="inlineStr">
        <is>
          <t>LINDESBERG</t>
        </is>
      </c>
      <c r="H419" t="inlineStr">
        <is>
          <t>Sveaskog</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28463-2024</t>
        </is>
      </c>
      <c r="B420" t="inlineStr">
        <is>
          <t>avverkningsanmälan</t>
        </is>
      </c>
      <c r="C420" t="inlineStr">
        <is>
          <t>Föryngringsavverkning</t>
        </is>
      </c>
      <c r="D420" s="1" t="n">
        <v>45477</v>
      </c>
      <c r="E420" s="1" t="n">
        <v>46220</v>
      </c>
      <c r="F420" t="inlineStr">
        <is>
          <t>ÖREBRO LÄN</t>
        </is>
      </c>
      <c r="G420" t="inlineStr">
        <is>
          <t>LINDESBERG</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56306-2025</t>
        </is>
      </c>
      <c r="B421" t="inlineStr">
        <is>
          <t>avverkningsanmälan</t>
        </is>
      </c>
      <c r="C421" t="inlineStr">
        <is>
          <t>Föryngringsavverkning</t>
        </is>
      </c>
      <c r="D421" s="1" t="n">
        <v>45974</v>
      </c>
      <c r="E421" s="1" t="n">
        <v>46220</v>
      </c>
      <c r="F421" t="inlineStr">
        <is>
          <t>ÖREBRO LÄN</t>
        </is>
      </c>
      <c r="G421" t="inlineStr">
        <is>
          <t>LINDESBERG</t>
        </is>
      </c>
      <c r="H421" t="inlineStr">
        <is>
          <t>Sveaskog</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56308-2025</t>
        </is>
      </c>
      <c r="B422" t="inlineStr">
        <is>
          <t>avverkningsanmälan</t>
        </is>
      </c>
      <c r="C422" t="inlineStr">
        <is>
          <t>Föryngringsavverkning</t>
        </is>
      </c>
      <c r="D422" s="1" t="n">
        <v>45974</v>
      </c>
      <c r="E422" s="1" t="n">
        <v>46220</v>
      </c>
      <c r="F422" t="inlineStr">
        <is>
          <t>ÖREBRO LÄN</t>
        </is>
      </c>
      <c r="G422" t="inlineStr">
        <is>
          <t>LINDESBERG</t>
        </is>
      </c>
      <c r="H422" t="inlineStr">
        <is>
          <t>Sveaskog</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56232-2025</t>
        </is>
      </c>
      <c r="B423" t="inlineStr">
        <is>
          <t>avverkningsanmälan</t>
        </is>
      </c>
      <c r="C423" t="inlineStr">
        <is>
          <t>Föryngringsavverkning</t>
        </is>
      </c>
      <c r="D423" s="1" t="n">
        <v>45974</v>
      </c>
      <c r="E423" s="1" t="n">
        <v>46220</v>
      </c>
      <c r="F423" t="inlineStr">
        <is>
          <t>ÖREBRO LÄN</t>
        </is>
      </c>
      <c r="G423" t="inlineStr">
        <is>
          <t>LINDESBERG</t>
        </is>
      </c>
      <c r="I423" t="n">
        <v>3.2</v>
      </c>
      <c r="J423" t="n">
        <v>0</v>
      </c>
      <c r="K423" t="n">
        <v>0</v>
      </c>
      <c r="L423" t="n">
        <v>0</v>
      </c>
      <c r="M423" t="n">
        <v>0</v>
      </c>
      <c r="N423" t="n">
        <v>0</v>
      </c>
      <c r="O423" t="n">
        <v>0</v>
      </c>
      <c r="P423" t="n">
        <v>0</v>
      </c>
      <c r="Q423" t="n">
        <v>0</v>
      </c>
      <c r="R423" t="n">
        <v>0</v>
      </c>
      <c r="S423" t="n">
        <v>0</v>
      </c>
      <c r="T423" t="n">
        <v>0</v>
      </c>
      <c r="U423" s="2" t="inlineStr"/>
    </row>
    <row r="424" ht="15" customHeight="1">
      <c r="A424" t="inlineStr">
        <is>
          <t>A 15822-2024</t>
        </is>
      </c>
      <c r="B424" t="inlineStr">
        <is>
          <t>avverkningsanmälan</t>
        </is>
      </c>
      <c r="C424" t="inlineStr">
        <is>
          <t>Föryngringsavverkning</t>
        </is>
      </c>
      <c r="D424" s="1" t="n">
        <v>45404</v>
      </c>
      <c r="E424" s="1" t="n">
        <v>46220</v>
      </c>
      <c r="F424" t="inlineStr">
        <is>
          <t>ÖREBRO LÄN</t>
        </is>
      </c>
      <c r="G424" t="inlineStr">
        <is>
          <t>LINDESBERG</t>
        </is>
      </c>
      <c r="H424" t="inlineStr">
        <is>
          <t>Sveaskog</t>
        </is>
      </c>
      <c r="I424" t="n">
        <v>6.7</v>
      </c>
      <c r="J424" t="n">
        <v>0</v>
      </c>
      <c r="K424" t="n">
        <v>0</v>
      </c>
      <c r="L424" t="n">
        <v>0</v>
      </c>
      <c r="M424" t="n">
        <v>0</v>
      </c>
      <c r="N424" t="n">
        <v>0</v>
      </c>
      <c r="O424" t="n">
        <v>0</v>
      </c>
      <c r="P424" t="n">
        <v>0</v>
      </c>
      <c r="Q424" t="n">
        <v>0</v>
      </c>
      <c r="R424" t="n">
        <v>0</v>
      </c>
      <c r="S424" t="n">
        <v>0</v>
      </c>
      <c r="T424" t="n">
        <v>0</v>
      </c>
      <c r="U424" s="2" t="inlineStr"/>
    </row>
    <row r="425" ht="15" customHeight="1">
      <c r="A425" t="inlineStr">
        <is>
          <t>A 2107-2022</t>
        </is>
      </c>
      <c r="B425" t="inlineStr">
        <is>
          <t>avverkningsanmälan</t>
        </is>
      </c>
      <c r="C425" t="inlineStr">
        <is>
          <t>Föryngringsavverkning</t>
        </is>
      </c>
      <c r="D425" s="1" t="n">
        <v>44577</v>
      </c>
      <c r="E425" s="1" t="n">
        <v>46220</v>
      </c>
      <c r="F425" t="inlineStr">
        <is>
          <t>ÖREBRO LÄN</t>
        </is>
      </c>
      <c r="G425" t="inlineStr">
        <is>
          <t>LINDESBERG</t>
        </is>
      </c>
      <c r="I425" t="n">
        <v>2.9</v>
      </c>
      <c r="J425" t="n">
        <v>0</v>
      </c>
      <c r="K425" t="n">
        <v>0</v>
      </c>
      <c r="L425" t="n">
        <v>0</v>
      </c>
      <c r="M425" t="n">
        <v>0</v>
      </c>
      <c r="N425" t="n">
        <v>0</v>
      </c>
      <c r="O425" t="n">
        <v>0</v>
      </c>
      <c r="P425" t="n">
        <v>0</v>
      </c>
      <c r="Q425" t="n">
        <v>0</v>
      </c>
      <c r="R425" t="n">
        <v>0</v>
      </c>
      <c r="S425" t="n">
        <v>0</v>
      </c>
      <c r="T425" t="n">
        <v>0</v>
      </c>
      <c r="U425" s="2" t="inlineStr"/>
    </row>
    <row r="426" ht="15" customHeight="1">
      <c r="A426" t="inlineStr">
        <is>
          <t>A 23607-2023</t>
        </is>
      </c>
      <c r="B426" t="inlineStr">
        <is>
          <t>avverkningsanmälan</t>
        </is>
      </c>
      <c r="C426" t="inlineStr">
        <is>
          <t>Föryngringsavverkning</t>
        </is>
      </c>
      <c r="D426" s="1" t="n">
        <v>45077</v>
      </c>
      <c r="E426" s="1" t="n">
        <v>46220</v>
      </c>
      <c r="F426" t="inlineStr">
        <is>
          <t>ÖREBRO LÄN</t>
        </is>
      </c>
      <c r="G426" t="inlineStr">
        <is>
          <t>LINDESBERG</t>
        </is>
      </c>
      <c r="H426" t="inlineStr">
        <is>
          <t>Sveaskog</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56226-2025</t>
        </is>
      </c>
      <c r="B427" t="inlineStr">
        <is>
          <t>avverkningsanmälan</t>
        </is>
      </c>
      <c r="C427" t="inlineStr">
        <is>
          <t>Föryngringsavverkning</t>
        </is>
      </c>
      <c r="D427" s="1" t="n">
        <v>45974</v>
      </c>
      <c r="E427" s="1" t="n">
        <v>46220</v>
      </c>
      <c r="F427" t="inlineStr">
        <is>
          <t>ÖREBRO LÄN</t>
        </is>
      </c>
      <c r="G427" t="inlineStr">
        <is>
          <t>LINDESBERG</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7069-2026</t>
        </is>
      </c>
      <c r="B428" t="inlineStr">
        <is>
          <t>avverkningsanmälan</t>
        </is>
      </c>
      <c r="C428" t="inlineStr">
        <is>
          <t>Föryngringsavverkning</t>
        </is>
      </c>
      <c r="D428" s="1" t="n">
        <v>46058</v>
      </c>
      <c r="E428" s="1" t="n">
        <v>46220</v>
      </c>
      <c r="F428" t="inlineStr">
        <is>
          <t>ÖREBRO LÄN</t>
        </is>
      </c>
      <c r="G428" t="inlineStr">
        <is>
          <t>LINDESBERG</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57317-2025</t>
        </is>
      </c>
      <c r="B429" t="inlineStr">
        <is>
          <t>avverkningsanmälan</t>
        </is>
      </c>
      <c r="C429" t="inlineStr">
        <is>
          <t>Föryngringsavverkning</t>
        </is>
      </c>
      <c r="D429" s="1" t="n">
        <v>45980</v>
      </c>
      <c r="E429" s="1" t="n">
        <v>46220</v>
      </c>
      <c r="F429" t="inlineStr">
        <is>
          <t>ÖREBRO LÄN</t>
        </is>
      </c>
      <c r="G429" t="inlineStr">
        <is>
          <t>LINDESBERG</t>
        </is>
      </c>
      <c r="H429" t="inlineStr">
        <is>
          <t>Sveaskog</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57359-2025</t>
        </is>
      </c>
      <c r="B430" t="inlineStr">
        <is>
          <t>avverkningsanmälan</t>
        </is>
      </c>
      <c r="C430" t="inlineStr">
        <is>
          <t>Avverkning för att bevara och utveckla /försöksver</t>
        </is>
      </c>
      <c r="D430" s="1" t="n">
        <v>45980</v>
      </c>
      <c r="E430" s="1" t="n">
        <v>46220</v>
      </c>
      <c r="F430" t="inlineStr">
        <is>
          <t>ÖREBRO LÄN</t>
        </is>
      </c>
      <c r="G430" t="inlineStr">
        <is>
          <t>LINDESBERG</t>
        </is>
      </c>
      <c r="H430" t="inlineStr">
        <is>
          <t>Sveaskog</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57361-2025</t>
        </is>
      </c>
      <c r="B431" t="inlineStr">
        <is>
          <t>avverkningsanmälan</t>
        </is>
      </c>
      <c r="C431" t="inlineStr">
        <is>
          <t>Föryngringsavverkning</t>
        </is>
      </c>
      <c r="D431" s="1" t="n">
        <v>45980</v>
      </c>
      <c r="E431" s="1" t="n">
        <v>46220</v>
      </c>
      <c r="F431" t="inlineStr">
        <is>
          <t>ÖREBRO LÄN</t>
        </is>
      </c>
      <c r="G431" t="inlineStr">
        <is>
          <t>LINDESBERG</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46219-2022</t>
        </is>
      </c>
      <c r="B432" t="inlineStr">
        <is>
          <t>avverkningsanmälan</t>
        </is>
      </c>
      <c r="C432" t="inlineStr">
        <is>
          <t>Föryngringsavverkning</t>
        </is>
      </c>
      <c r="D432" s="1" t="n">
        <v>44846</v>
      </c>
      <c r="E432" s="1" t="n">
        <v>46220</v>
      </c>
      <c r="F432" t="inlineStr">
        <is>
          <t>ÖREBRO LÄN</t>
        </is>
      </c>
      <c r="G432" t="inlineStr">
        <is>
          <t>LINDESBERG</t>
        </is>
      </c>
      <c r="I432" t="n">
        <v>6</v>
      </c>
      <c r="J432" t="n">
        <v>0</v>
      </c>
      <c r="K432" t="n">
        <v>0</v>
      </c>
      <c r="L432" t="n">
        <v>0</v>
      </c>
      <c r="M432" t="n">
        <v>0</v>
      </c>
      <c r="N432" t="n">
        <v>0</v>
      </c>
      <c r="O432" t="n">
        <v>0</v>
      </c>
      <c r="P432" t="n">
        <v>0</v>
      </c>
      <c r="Q432" t="n">
        <v>0</v>
      </c>
      <c r="R432" t="n">
        <v>0</v>
      </c>
      <c r="S432" t="n">
        <v>0</v>
      </c>
      <c r="T432" t="n">
        <v>0</v>
      </c>
      <c r="U432" s="2" t="inlineStr"/>
    </row>
    <row r="433" ht="15" customHeight="1">
      <c r="A433" t="inlineStr">
        <is>
          <t>A 57313-2025</t>
        </is>
      </c>
      <c r="B433" t="inlineStr">
        <is>
          <t>avverkningsanmälan</t>
        </is>
      </c>
      <c r="C433" t="inlineStr">
        <is>
          <t>Föryngringsavverkning</t>
        </is>
      </c>
      <c r="D433" s="1" t="n">
        <v>45979</v>
      </c>
      <c r="E433" s="1" t="n">
        <v>46220</v>
      </c>
      <c r="F433" t="inlineStr">
        <is>
          <t>ÖREBRO LÄN</t>
        </is>
      </c>
      <c r="G433" t="inlineStr">
        <is>
          <t>LINDESBERG</t>
        </is>
      </c>
      <c r="H433" t="inlineStr">
        <is>
          <t>Sveaskog</t>
        </is>
      </c>
      <c r="I433" t="n">
        <v>9.1</v>
      </c>
      <c r="J433" t="n">
        <v>0</v>
      </c>
      <c r="K433" t="n">
        <v>0</v>
      </c>
      <c r="L433" t="n">
        <v>0</v>
      </c>
      <c r="M433" t="n">
        <v>0</v>
      </c>
      <c r="N433" t="n">
        <v>0</v>
      </c>
      <c r="O433" t="n">
        <v>0</v>
      </c>
      <c r="P433" t="n">
        <v>0</v>
      </c>
      <c r="Q433" t="n">
        <v>0</v>
      </c>
      <c r="R433" t="n">
        <v>0</v>
      </c>
      <c r="S433" t="n">
        <v>0</v>
      </c>
      <c r="T433" t="n">
        <v>0</v>
      </c>
      <c r="U433" s="2" t="inlineStr"/>
    </row>
    <row r="434" ht="15" customHeight="1">
      <c r="A434" t="inlineStr">
        <is>
          <t>A 57316-2025</t>
        </is>
      </c>
      <c r="B434" t="inlineStr">
        <is>
          <t>avverkningsanmälan</t>
        </is>
      </c>
      <c r="C434" t="inlineStr">
        <is>
          <t>Föryngringsavverkning</t>
        </is>
      </c>
      <c r="D434" s="1" t="n">
        <v>45980</v>
      </c>
      <c r="E434" s="1" t="n">
        <v>46220</v>
      </c>
      <c r="F434" t="inlineStr">
        <is>
          <t>ÖREBRO LÄN</t>
        </is>
      </c>
      <c r="G434" t="inlineStr">
        <is>
          <t>LINDESBERG</t>
        </is>
      </c>
      <c r="H434" t="inlineStr">
        <is>
          <t>Sveaskog</t>
        </is>
      </c>
      <c r="I434" t="n">
        <v>6.5</v>
      </c>
      <c r="J434" t="n">
        <v>0</v>
      </c>
      <c r="K434" t="n">
        <v>0</v>
      </c>
      <c r="L434" t="n">
        <v>0</v>
      </c>
      <c r="M434" t="n">
        <v>0</v>
      </c>
      <c r="N434" t="n">
        <v>0</v>
      </c>
      <c r="O434" t="n">
        <v>0</v>
      </c>
      <c r="P434" t="n">
        <v>0</v>
      </c>
      <c r="Q434" t="n">
        <v>0</v>
      </c>
      <c r="R434" t="n">
        <v>0</v>
      </c>
      <c r="S434" t="n">
        <v>0</v>
      </c>
      <c r="T434" t="n">
        <v>0</v>
      </c>
      <c r="U434" s="2" t="inlineStr"/>
    </row>
    <row r="435" ht="15" customHeight="1">
      <c r="A435" t="inlineStr">
        <is>
          <t>A 5358-2022</t>
        </is>
      </c>
      <c r="B435" t="inlineStr">
        <is>
          <t>avverkningsanmälan</t>
        </is>
      </c>
      <c r="C435" t="inlineStr">
        <is>
          <t>Föryngringsavverkning</t>
        </is>
      </c>
      <c r="D435" s="1" t="n">
        <v>44594</v>
      </c>
      <c r="E435" s="1" t="n">
        <v>46220</v>
      </c>
      <c r="F435" t="inlineStr">
        <is>
          <t>ÖREBRO LÄN</t>
        </is>
      </c>
      <c r="G435" t="inlineStr">
        <is>
          <t>LINDESBERG</t>
        </is>
      </c>
      <c r="I435" t="n">
        <v>2.8</v>
      </c>
      <c r="J435" t="n">
        <v>0</v>
      </c>
      <c r="K435" t="n">
        <v>0</v>
      </c>
      <c r="L435" t="n">
        <v>0</v>
      </c>
      <c r="M435" t="n">
        <v>0</v>
      </c>
      <c r="N435" t="n">
        <v>0</v>
      </c>
      <c r="O435" t="n">
        <v>0</v>
      </c>
      <c r="P435" t="n">
        <v>0</v>
      </c>
      <c r="Q435" t="n">
        <v>0</v>
      </c>
      <c r="R435" t="n">
        <v>0</v>
      </c>
      <c r="S435" t="n">
        <v>0</v>
      </c>
      <c r="T435" t="n">
        <v>0</v>
      </c>
      <c r="U435" s="2" t="inlineStr"/>
    </row>
    <row r="436" ht="15" customHeight="1">
      <c r="A436" t="inlineStr">
        <is>
          <t>A 60943-2024</t>
        </is>
      </c>
      <c r="B436" t="inlineStr">
        <is>
          <t>avverkningsanmälan</t>
        </is>
      </c>
      <c r="C436" t="inlineStr">
        <is>
          <t>Föryngringsavverkning</t>
        </is>
      </c>
      <c r="D436" s="1" t="n">
        <v>45645</v>
      </c>
      <c r="E436" s="1" t="n">
        <v>46220</v>
      </c>
      <c r="F436" t="inlineStr">
        <is>
          <t>ÖREBRO LÄN</t>
        </is>
      </c>
      <c r="G436" t="inlineStr">
        <is>
          <t>LINDESBERG</t>
        </is>
      </c>
      <c r="H436" t="inlineStr">
        <is>
          <t>Sveaskog</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41948-2023</t>
        </is>
      </c>
      <c r="B437" t="inlineStr">
        <is>
          <t>avverkningsanmälan</t>
        </is>
      </c>
      <c r="C437" t="inlineStr">
        <is>
          <t>Föryngringsavverkning</t>
        </is>
      </c>
      <c r="D437" s="1" t="n">
        <v>45177</v>
      </c>
      <c r="E437" s="1" t="n">
        <v>46220</v>
      </c>
      <c r="F437" t="inlineStr">
        <is>
          <t>ÖREBRO LÄN</t>
        </is>
      </c>
      <c r="G437" t="inlineStr">
        <is>
          <t>LINDESBERG</t>
        </is>
      </c>
      <c r="H437" t="inlineStr">
        <is>
          <t>Kyrkan</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61597-2023</t>
        </is>
      </c>
      <c r="B438" t="inlineStr">
        <is>
          <t>avverkningsanmälan</t>
        </is>
      </c>
      <c r="C438" t="inlineStr">
        <is>
          <t>Föryngringsavverkning</t>
        </is>
      </c>
      <c r="D438" s="1" t="n">
        <v>45265</v>
      </c>
      <c r="E438" s="1" t="n">
        <v>46220</v>
      </c>
      <c r="F438" t="inlineStr">
        <is>
          <t>ÖREBRO LÄN</t>
        </is>
      </c>
      <c r="G438" t="inlineStr">
        <is>
          <t>LINDESBERG</t>
        </is>
      </c>
      <c r="I438" t="n">
        <v>10.3</v>
      </c>
      <c r="J438" t="n">
        <v>0</v>
      </c>
      <c r="K438" t="n">
        <v>0</v>
      </c>
      <c r="L438" t="n">
        <v>0</v>
      </c>
      <c r="M438" t="n">
        <v>0</v>
      </c>
      <c r="N438" t="n">
        <v>0</v>
      </c>
      <c r="O438" t="n">
        <v>0</v>
      </c>
      <c r="P438" t="n">
        <v>0</v>
      </c>
      <c r="Q438" t="n">
        <v>0</v>
      </c>
      <c r="R438" t="n">
        <v>0</v>
      </c>
      <c r="S438" t="n">
        <v>0</v>
      </c>
      <c r="T438" t="n">
        <v>0</v>
      </c>
      <c r="U438" s="2" t="inlineStr"/>
    </row>
    <row r="439" ht="15" customHeight="1">
      <c r="A439" t="inlineStr">
        <is>
          <t>A 41582-2021</t>
        </is>
      </c>
      <c r="B439" t="inlineStr">
        <is>
          <t>avverkningsanmälan</t>
        </is>
      </c>
      <c r="C439" t="inlineStr">
        <is>
          <t>Föryngringsavverkning</t>
        </is>
      </c>
      <c r="D439" s="1" t="n">
        <v>44425</v>
      </c>
      <c r="E439" s="1" t="n">
        <v>46220</v>
      </c>
      <c r="F439" t="inlineStr">
        <is>
          <t>ÖREBRO LÄN</t>
        </is>
      </c>
      <c r="G439" t="inlineStr">
        <is>
          <t>LINDESBERG</t>
        </is>
      </c>
      <c r="H439" t="inlineStr">
        <is>
          <t>Sveaskog</t>
        </is>
      </c>
      <c r="I439" t="n">
        <v>5.2</v>
      </c>
      <c r="J439" t="n">
        <v>0</v>
      </c>
      <c r="K439" t="n">
        <v>0</v>
      </c>
      <c r="L439" t="n">
        <v>0</v>
      </c>
      <c r="M439" t="n">
        <v>0</v>
      </c>
      <c r="N439" t="n">
        <v>0</v>
      </c>
      <c r="O439" t="n">
        <v>0</v>
      </c>
      <c r="P439" t="n">
        <v>0</v>
      </c>
      <c r="Q439" t="n">
        <v>0</v>
      </c>
      <c r="R439" t="n">
        <v>0</v>
      </c>
      <c r="S439" t="n">
        <v>0</v>
      </c>
      <c r="T439" t="n">
        <v>0</v>
      </c>
      <c r="U439" s="2" t="inlineStr"/>
    </row>
    <row r="440" ht="15" customHeight="1">
      <c r="A440" t="inlineStr">
        <is>
          <t>A 67016-2021</t>
        </is>
      </c>
      <c r="B440" t="inlineStr">
        <is>
          <t>avverkningsanmälan</t>
        </is>
      </c>
      <c r="C440" t="inlineStr">
        <is>
          <t>Föryngringsavverkning</t>
        </is>
      </c>
      <c r="D440" s="1" t="n">
        <v>44522</v>
      </c>
      <c r="E440" s="1" t="n">
        <v>46220</v>
      </c>
      <c r="F440" t="inlineStr">
        <is>
          <t>ÖREBRO LÄN</t>
        </is>
      </c>
      <c r="G440" t="inlineStr">
        <is>
          <t>LINDESBERG</t>
        </is>
      </c>
      <c r="I440" t="n">
        <v>8</v>
      </c>
      <c r="J440" t="n">
        <v>0</v>
      </c>
      <c r="K440" t="n">
        <v>0</v>
      </c>
      <c r="L440" t="n">
        <v>0</v>
      </c>
      <c r="M440" t="n">
        <v>0</v>
      </c>
      <c r="N440" t="n">
        <v>0</v>
      </c>
      <c r="O440" t="n">
        <v>0</v>
      </c>
      <c r="P440" t="n">
        <v>0</v>
      </c>
      <c r="Q440" t="n">
        <v>0</v>
      </c>
      <c r="R440" t="n">
        <v>0</v>
      </c>
      <c r="S440" t="n">
        <v>0</v>
      </c>
      <c r="T440" t="n">
        <v>0</v>
      </c>
      <c r="U440" s="2" t="inlineStr"/>
    </row>
    <row r="441" ht="15" customHeight="1">
      <c r="A441" t="inlineStr">
        <is>
          <t>A 7026-2024</t>
        </is>
      </c>
      <c r="B441" t="inlineStr">
        <is>
          <t>avverkningsanmälan</t>
        </is>
      </c>
      <c r="C441" t="inlineStr">
        <is>
          <t>Föryngringsavverkning</t>
        </is>
      </c>
      <c r="D441" s="1" t="n">
        <v>45343</v>
      </c>
      <c r="E441" s="1" t="n">
        <v>46220</v>
      </c>
      <c r="F441" t="inlineStr">
        <is>
          <t>ÖREBRO LÄN</t>
        </is>
      </c>
      <c r="G441" t="inlineStr">
        <is>
          <t>LINDESBERG</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4013-2025</t>
        </is>
      </c>
      <c r="B442" t="inlineStr">
        <is>
          <t>avverkningsanmälan</t>
        </is>
      </c>
      <c r="C442" t="inlineStr">
        <is>
          <t>Föryngringsavverkning</t>
        </is>
      </c>
      <c r="D442" s="1" t="n">
        <v>45684</v>
      </c>
      <c r="E442" s="1" t="n">
        <v>46220</v>
      </c>
      <c r="F442" t="inlineStr">
        <is>
          <t>ÖREBRO LÄN</t>
        </is>
      </c>
      <c r="G442" t="inlineStr">
        <is>
          <t>LINDESBERG</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33978-2023</t>
        </is>
      </c>
      <c r="B443" t="inlineStr">
        <is>
          <t>avverkningsanmälan</t>
        </is>
      </c>
      <c r="C443" t="inlineStr">
        <is>
          <t>Föryngringsavverkning</t>
        </is>
      </c>
      <c r="D443" s="1" t="n">
        <v>45134</v>
      </c>
      <c r="E443" s="1" t="n">
        <v>46220</v>
      </c>
      <c r="F443" t="inlineStr">
        <is>
          <t>ÖREBRO LÄN</t>
        </is>
      </c>
      <c r="G443" t="inlineStr">
        <is>
          <t>LINDESBERG</t>
        </is>
      </c>
      <c r="I443" t="n">
        <v>4.1</v>
      </c>
      <c r="J443" t="n">
        <v>0</v>
      </c>
      <c r="K443" t="n">
        <v>0</v>
      </c>
      <c r="L443" t="n">
        <v>0</v>
      </c>
      <c r="M443" t="n">
        <v>0</v>
      </c>
      <c r="N443" t="n">
        <v>0</v>
      </c>
      <c r="O443" t="n">
        <v>0</v>
      </c>
      <c r="P443" t="n">
        <v>0</v>
      </c>
      <c r="Q443" t="n">
        <v>0</v>
      </c>
      <c r="R443" t="n">
        <v>0</v>
      </c>
      <c r="S443" t="n">
        <v>0</v>
      </c>
      <c r="T443" t="n">
        <v>0</v>
      </c>
      <c r="U443" s="2" t="inlineStr"/>
    </row>
    <row r="444" ht="15" customHeight="1">
      <c r="A444" t="inlineStr">
        <is>
          <t>A 55272-2023</t>
        </is>
      </c>
      <c r="B444" t="inlineStr">
        <is>
          <t>avverkningsanmälan</t>
        </is>
      </c>
      <c r="C444" t="inlineStr">
        <is>
          <t>Föryngringsavverkning</t>
        </is>
      </c>
      <c r="D444" s="1" t="n">
        <v>45237</v>
      </c>
      <c r="E444" s="1" t="n">
        <v>46220</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60400-2025</t>
        </is>
      </c>
      <c r="B445" t="inlineStr">
        <is>
          <t>avverkningsanmälan</t>
        </is>
      </c>
      <c r="C445" t="inlineStr">
        <is>
          <t>Föryngringsavverkning</t>
        </is>
      </c>
      <c r="D445" s="1" t="n">
        <v>45995</v>
      </c>
      <c r="E445" s="1" t="n">
        <v>46220</v>
      </c>
      <c r="F445" t="inlineStr">
        <is>
          <t>ÖREBRO LÄN</t>
        </is>
      </c>
      <c r="G445" t="inlineStr">
        <is>
          <t>LINDESBERG</t>
        </is>
      </c>
      <c r="I445" t="n">
        <v>11.2</v>
      </c>
      <c r="J445" t="n">
        <v>0</v>
      </c>
      <c r="K445" t="n">
        <v>0</v>
      </c>
      <c r="L445" t="n">
        <v>0</v>
      </c>
      <c r="M445" t="n">
        <v>0</v>
      </c>
      <c r="N445" t="n">
        <v>0</v>
      </c>
      <c r="O445" t="n">
        <v>0</v>
      </c>
      <c r="P445" t="n">
        <v>0</v>
      </c>
      <c r="Q445" t="n">
        <v>0</v>
      </c>
      <c r="R445" t="n">
        <v>0</v>
      </c>
      <c r="S445" t="n">
        <v>0</v>
      </c>
      <c r="T445" t="n">
        <v>0</v>
      </c>
      <c r="U445" s="2" t="inlineStr"/>
    </row>
    <row r="446" ht="15" customHeight="1">
      <c r="A446" t="inlineStr">
        <is>
          <t>A 60450-2025</t>
        </is>
      </c>
      <c r="B446" t="inlineStr">
        <is>
          <t>avverkningsanmälan</t>
        </is>
      </c>
      <c r="C446" t="inlineStr">
        <is>
          <t>Föryngringsavverkning</t>
        </is>
      </c>
      <c r="D446" s="1" t="n">
        <v>45995</v>
      </c>
      <c r="E446" s="1" t="n">
        <v>46220</v>
      </c>
      <c r="F446" t="inlineStr">
        <is>
          <t>ÖREBRO LÄN</t>
        </is>
      </c>
      <c r="G446" t="inlineStr">
        <is>
          <t>LINDESBERG</t>
        </is>
      </c>
      <c r="I446" t="n">
        <v>4.1</v>
      </c>
      <c r="J446" t="n">
        <v>0</v>
      </c>
      <c r="K446" t="n">
        <v>0</v>
      </c>
      <c r="L446" t="n">
        <v>0</v>
      </c>
      <c r="M446" t="n">
        <v>0</v>
      </c>
      <c r="N446" t="n">
        <v>0</v>
      </c>
      <c r="O446" t="n">
        <v>0</v>
      </c>
      <c r="P446" t="n">
        <v>0</v>
      </c>
      <c r="Q446" t="n">
        <v>0</v>
      </c>
      <c r="R446" t="n">
        <v>0</v>
      </c>
      <c r="S446" t="n">
        <v>0</v>
      </c>
      <c r="T446" t="n">
        <v>0</v>
      </c>
      <c r="U446" s="2" t="inlineStr"/>
    </row>
    <row r="447" ht="15" customHeight="1">
      <c r="A447" t="inlineStr">
        <is>
          <t>A 8834-2023</t>
        </is>
      </c>
      <c r="B447" t="inlineStr">
        <is>
          <t>avverkningsanmälan</t>
        </is>
      </c>
      <c r="C447" t="inlineStr">
        <is>
          <t>Föryngringsavverkning</t>
        </is>
      </c>
      <c r="D447" s="1" t="n">
        <v>44978</v>
      </c>
      <c r="E447" s="1" t="n">
        <v>46220</v>
      </c>
      <c r="F447" t="inlineStr">
        <is>
          <t>ÖREBRO LÄN</t>
        </is>
      </c>
      <c r="G447" t="inlineStr">
        <is>
          <t>LINDESBERG</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51071-2022</t>
        </is>
      </c>
      <c r="B448" t="inlineStr">
        <is>
          <t>avverkningsanmälan</t>
        </is>
      </c>
      <c r="C448" t="inlineStr">
        <is>
          <t>Föryngringsavverkning</t>
        </is>
      </c>
      <c r="D448" s="1" t="n">
        <v>44868</v>
      </c>
      <c r="E448" s="1" t="n">
        <v>46220</v>
      </c>
      <c r="F448" t="inlineStr">
        <is>
          <t>ÖREBRO LÄN</t>
        </is>
      </c>
      <c r="G448" t="inlineStr">
        <is>
          <t>LINDESBERG</t>
        </is>
      </c>
      <c r="H448" t="inlineStr">
        <is>
          <t>Sveaskog</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35229-2024</t>
        </is>
      </c>
      <c r="B449" t="inlineStr">
        <is>
          <t>avverkningsanmälan</t>
        </is>
      </c>
      <c r="C449" t="inlineStr">
        <is>
          <t>Föryngringsavverkning</t>
        </is>
      </c>
      <c r="D449" s="1" t="n">
        <v>45530</v>
      </c>
      <c r="E449" s="1" t="n">
        <v>46220</v>
      </c>
      <c r="F449" t="inlineStr">
        <is>
          <t>ÖREBRO LÄN</t>
        </is>
      </c>
      <c r="G449" t="inlineStr">
        <is>
          <t>LINDESBERG</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10822-2023</t>
        </is>
      </c>
      <c r="B450" t="inlineStr">
        <is>
          <t>avverkningsanmälan</t>
        </is>
      </c>
      <c r="C450" t="inlineStr">
        <is>
          <t>Föryngringsavverkning</t>
        </is>
      </c>
      <c r="D450" s="1" t="n">
        <v>44990</v>
      </c>
      <c r="E450" s="1" t="n">
        <v>46220</v>
      </c>
      <c r="F450" t="inlineStr">
        <is>
          <t>ÖREBRO LÄN</t>
        </is>
      </c>
      <c r="G450" t="inlineStr">
        <is>
          <t>LINDESBERG</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3233-2023</t>
        </is>
      </c>
      <c r="B451" t="inlineStr">
        <is>
          <t>avverkningsanmälan</t>
        </is>
      </c>
      <c r="C451" t="inlineStr">
        <is>
          <t>Föryngringsavverkning</t>
        </is>
      </c>
      <c r="D451" s="1" t="n">
        <v>44946</v>
      </c>
      <c r="E451" s="1" t="n">
        <v>46220</v>
      </c>
      <c r="F451" t="inlineStr">
        <is>
          <t>ÖREBRO LÄN</t>
        </is>
      </c>
      <c r="G451" t="inlineStr">
        <is>
          <t>LINDESBERG</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A 15325-2024</t>
        </is>
      </c>
      <c r="B452" t="inlineStr">
        <is>
          <t>avverkningsanmälan</t>
        </is>
      </c>
      <c r="C452" t="inlineStr">
        <is>
          <t>Avverkning för annat ändamål</t>
        </is>
      </c>
      <c r="D452" s="1" t="n">
        <v>45400</v>
      </c>
      <c r="E452" s="1" t="n">
        <v>46220</v>
      </c>
      <c r="F452" t="inlineStr">
        <is>
          <t>ÖREBRO LÄN</t>
        </is>
      </c>
      <c r="G452" t="inlineStr">
        <is>
          <t>LINDESBERG</t>
        </is>
      </c>
      <c r="H452" t="inlineStr">
        <is>
          <t>Sveaskog</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A 40970-2023</t>
        </is>
      </c>
      <c r="B453" t="inlineStr">
        <is>
          <t>avverkningsanmälan</t>
        </is>
      </c>
      <c r="C453" t="inlineStr">
        <is>
          <t>Föryngringsavverkning</t>
        </is>
      </c>
      <c r="D453" s="1" t="n">
        <v>45173</v>
      </c>
      <c r="E453" s="1" t="n">
        <v>46220</v>
      </c>
      <c r="F453" t="inlineStr">
        <is>
          <t>ÖREBRO LÄN</t>
        </is>
      </c>
      <c r="G453" t="inlineStr">
        <is>
          <t>LINDESBERG</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61761-2025</t>
        </is>
      </c>
      <c r="B454" t="inlineStr">
        <is>
          <t>avverkningsanmälan</t>
        </is>
      </c>
      <c r="C454" t="inlineStr">
        <is>
          <t>Föryngringsavverkning</t>
        </is>
      </c>
      <c r="D454" s="1" t="n">
        <v>46002</v>
      </c>
      <c r="E454" s="1" t="n">
        <v>46220</v>
      </c>
      <c r="F454" t="inlineStr">
        <is>
          <t>ÖREBRO LÄN</t>
        </is>
      </c>
      <c r="G454" t="inlineStr">
        <is>
          <t>LINDESBERG</t>
        </is>
      </c>
      <c r="I454" t="n">
        <v>3.8</v>
      </c>
      <c r="J454" t="n">
        <v>0</v>
      </c>
      <c r="K454" t="n">
        <v>0</v>
      </c>
      <c r="L454" t="n">
        <v>0</v>
      </c>
      <c r="M454" t="n">
        <v>0</v>
      </c>
      <c r="N454" t="n">
        <v>0</v>
      </c>
      <c r="O454" t="n">
        <v>0</v>
      </c>
      <c r="P454" t="n">
        <v>0</v>
      </c>
      <c r="Q454" t="n">
        <v>0</v>
      </c>
      <c r="R454" t="n">
        <v>0</v>
      </c>
      <c r="S454" t="n">
        <v>0</v>
      </c>
      <c r="T454" t="n">
        <v>0</v>
      </c>
      <c r="U454" s="2" t="inlineStr"/>
    </row>
    <row r="455" ht="15" customHeight="1">
      <c r="A455" t="inlineStr">
        <is>
          <t>A 61745-2025</t>
        </is>
      </c>
      <c r="B455" t="inlineStr">
        <is>
          <t>avverkningsanmälan</t>
        </is>
      </c>
      <c r="C455" t="inlineStr">
        <is>
          <t>Avverkning för annat ändamål</t>
        </is>
      </c>
      <c r="D455" s="1" t="n">
        <v>46002</v>
      </c>
      <c r="E455" s="1" t="n">
        <v>46220</v>
      </c>
      <c r="F455" t="inlineStr">
        <is>
          <t>ÖREBRO LÄN</t>
        </is>
      </c>
      <c r="G455" t="inlineStr">
        <is>
          <t>LINDESBERG</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58662-2022</t>
        </is>
      </c>
      <c r="B456" t="inlineStr">
        <is>
          <t>avverkningsanmälan</t>
        </is>
      </c>
      <c r="C456" t="inlineStr">
        <is>
          <t>Föryngringsavverkning</t>
        </is>
      </c>
      <c r="D456" s="1" t="n">
        <v>44902</v>
      </c>
      <c r="E456" s="1" t="n">
        <v>46220</v>
      </c>
      <c r="F456" t="inlineStr">
        <is>
          <t>ÖREBRO LÄN</t>
        </is>
      </c>
      <c r="G456" t="inlineStr">
        <is>
          <t>LINDESBERG</t>
        </is>
      </c>
      <c r="H456" t="inlineStr">
        <is>
          <t>Sveaskog</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61758-2025</t>
        </is>
      </c>
      <c r="B457" t="inlineStr">
        <is>
          <t>avverkningsanmälan</t>
        </is>
      </c>
      <c r="C457" t="inlineStr">
        <is>
          <t>Föryngringsavverkning</t>
        </is>
      </c>
      <c r="D457" s="1" t="n">
        <v>46002</v>
      </c>
      <c r="E457" s="1" t="n">
        <v>46220</v>
      </c>
      <c r="F457" t="inlineStr">
        <is>
          <t>ÖREBRO LÄN</t>
        </is>
      </c>
      <c r="G457" t="inlineStr">
        <is>
          <t>LINDESBERG</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58050-2025</t>
        </is>
      </c>
      <c r="B458" t="inlineStr">
        <is>
          <t>avverkningsanmälan</t>
        </is>
      </c>
      <c r="C458" t="inlineStr">
        <is>
          <t>Avverkning för annat ändamål</t>
        </is>
      </c>
      <c r="D458" s="1" t="n">
        <v>45982</v>
      </c>
      <c r="E458" s="1" t="n">
        <v>46220</v>
      </c>
      <c r="F458" t="inlineStr">
        <is>
          <t>ÖREBRO LÄN</t>
        </is>
      </c>
      <c r="G458" t="inlineStr">
        <is>
          <t>LINDESBERG</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58056-2025</t>
        </is>
      </c>
      <c r="B459" t="inlineStr">
        <is>
          <t>avverkningsanmälan</t>
        </is>
      </c>
      <c r="C459" t="inlineStr">
        <is>
          <t>Avverkning för annat ändamål</t>
        </is>
      </c>
      <c r="D459" s="1" t="n">
        <v>45982</v>
      </c>
      <c r="E459" s="1" t="n">
        <v>46220</v>
      </c>
      <c r="F459" t="inlineStr">
        <is>
          <t>ÖREBRO LÄN</t>
        </is>
      </c>
      <c r="G459" t="inlineStr">
        <is>
          <t>LINDESBERG</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9432-2026</t>
        </is>
      </c>
      <c r="B460" t="inlineStr">
        <is>
          <t>avverkningsanmälan</t>
        </is>
      </c>
      <c r="C460" t="inlineStr">
        <is>
          <t>Föryngringsavverkning</t>
        </is>
      </c>
      <c r="D460" s="1" t="n">
        <v>46071</v>
      </c>
      <c r="E460" s="1" t="n">
        <v>46220</v>
      </c>
      <c r="F460" t="inlineStr">
        <is>
          <t>ÖREBRO LÄN</t>
        </is>
      </c>
      <c r="G460" t="inlineStr">
        <is>
          <t>LINDESBERG</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63083-2025</t>
        </is>
      </c>
      <c r="B461" t="inlineStr">
        <is>
          <t>avverkningsanmälan</t>
        </is>
      </c>
      <c r="C461" t="inlineStr">
        <is>
          <t>Föryngringsavverkning</t>
        </is>
      </c>
      <c r="D461" s="1" t="n">
        <v>46009</v>
      </c>
      <c r="E461" s="1" t="n">
        <v>46220</v>
      </c>
      <c r="F461" t="inlineStr">
        <is>
          <t>ÖREBRO LÄN</t>
        </is>
      </c>
      <c r="G461" t="inlineStr">
        <is>
          <t>LINDESBERG</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28031-2023</t>
        </is>
      </c>
      <c r="B462" t="inlineStr">
        <is>
          <t>avverkningsanmälan</t>
        </is>
      </c>
      <c r="C462" t="inlineStr">
        <is>
          <t>Föryngringsavverkning</t>
        </is>
      </c>
      <c r="D462" s="1" t="n">
        <v>45099</v>
      </c>
      <c r="E462" s="1" t="n">
        <v>46220</v>
      </c>
      <c r="F462" t="inlineStr">
        <is>
          <t>ÖREBRO LÄN</t>
        </is>
      </c>
      <c r="G462" t="inlineStr">
        <is>
          <t>LINDESBERG</t>
        </is>
      </c>
      <c r="H462" t="inlineStr">
        <is>
          <t>Kyrkan</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4310-2025</t>
        </is>
      </c>
      <c r="B463" t="inlineStr">
        <is>
          <t>avverkningsanmälan</t>
        </is>
      </c>
      <c r="C463" t="inlineStr">
        <is>
          <t>Föryngringsavverkning</t>
        </is>
      </c>
      <c r="D463" s="1" t="n">
        <v>45685</v>
      </c>
      <c r="E463" s="1" t="n">
        <v>46220</v>
      </c>
      <c r="F463" t="inlineStr">
        <is>
          <t>ÖREBRO LÄN</t>
        </is>
      </c>
      <c r="G463" t="inlineStr">
        <is>
          <t>LINDESBERG</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47110-2024</t>
        </is>
      </c>
      <c r="B464" t="inlineStr">
        <is>
          <t>avverkningsanmälan</t>
        </is>
      </c>
      <c r="C464" t="inlineStr">
        <is>
          <t>Föryngringsavverkning</t>
        </is>
      </c>
      <c r="D464" s="1" t="n">
        <v>45586</v>
      </c>
      <c r="E464" s="1" t="n">
        <v>46220</v>
      </c>
      <c r="F464" t="inlineStr">
        <is>
          <t>ÖREBRO LÄN</t>
        </is>
      </c>
      <c r="G464" t="inlineStr">
        <is>
          <t>LINDESBERG</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63526-2025</t>
        </is>
      </c>
      <c r="B465" t="inlineStr">
        <is>
          <t>avverkningsanmälan</t>
        </is>
      </c>
      <c r="C465" t="inlineStr">
        <is>
          <t>Föryngringsavverkning</t>
        </is>
      </c>
      <c r="D465" s="1" t="n">
        <v>46013</v>
      </c>
      <c r="E465" s="1" t="n">
        <v>46220</v>
      </c>
      <c r="F465" t="inlineStr">
        <is>
          <t>ÖREBRO LÄN</t>
        </is>
      </c>
      <c r="G465" t="inlineStr">
        <is>
          <t>LINDESBERG</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27440-2023</t>
        </is>
      </c>
      <c r="B466" t="inlineStr">
        <is>
          <t>avverkningsanmälan</t>
        </is>
      </c>
      <c r="C466" t="inlineStr">
        <is>
          <t>Föryngringsavverkning</t>
        </is>
      </c>
      <c r="D466" s="1" t="n">
        <v>45097</v>
      </c>
      <c r="E466" s="1" t="n">
        <v>46220</v>
      </c>
      <c r="F466" t="inlineStr">
        <is>
          <t>ÖREBRO LÄN</t>
        </is>
      </c>
      <c r="G466" t="inlineStr">
        <is>
          <t>LINDESBERG</t>
        </is>
      </c>
      <c r="I466" t="n">
        <v>6.6</v>
      </c>
      <c r="J466" t="n">
        <v>0</v>
      </c>
      <c r="K466" t="n">
        <v>0</v>
      </c>
      <c r="L466" t="n">
        <v>0</v>
      </c>
      <c r="M466" t="n">
        <v>0</v>
      </c>
      <c r="N466" t="n">
        <v>0</v>
      </c>
      <c r="O466" t="n">
        <v>0</v>
      </c>
      <c r="P466" t="n">
        <v>0</v>
      </c>
      <c r="Q466" t="n">
        <v>0</v>
      </c>
      <c r="R466" t="n">
        <v>0</v>
      </c>
      <c r="S466" t="n">
        <v>0</v>
      </c>
      <c r="T466" t="n">
        <v>0</v>
      </c>
      <c r="U466" s="2" t="inlineStr"/>
    </row>
    <row r="467" ht="15" customHeight="1">
      <c r="A467" t="inlineStr">
        <is>
          <t>A 39137-2024</t>
        </is>
      </c>
      <c r="B467" t="inlineStr">
        <is>
          <t>avverkningsanmälan</t>
        </is>
      </c>
      <c r="C467" t="inlineStr">
        <is>
          <t>Föryngringsavverkning</t>
        </is>
      </c>
      <c r="D467" s="1" t="n">
        <v>45548</v>
      </c>
      <c r="E467" s="1" t="n">
        <v>46220</v>
      </c>
      <c r="F467" t="inlineStr">
        <is>
          <t>ÖREBRO LÄN</t>
        </is>
      </c>
      <c r="G467" t="inlineStr">
        <is>
          <t>LINDESBERG</t>
        </is>
      </c>
      <c r="H467" t="inlineStr">
        <is>
          <t>Sveaskog</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21245-2024</t>
        </is>
      </c>
      <c r="B468" t="inlineStr">
        <is>
          <t>avverkningsanmälan</t>
        </is>
      </c>
      <c r="C468" t="inlineStr">
        <is>
          <t>Föryngringsavverkning</t>
        </is>
      </c>
      <c r="D468" s="1" t="n">
        <v>45440</v>
      </c>
      <c r="E468" s="1" t="n">
        <v>46220</v>
      </c>
      <c r="F468" t="inlineStr">
        <is>
          <t>ÖREBRO LÄN</t>
        </is>
      </c>
      <c r="G468" t="inlineStr">
        <is>
          <t>LINDESBERG</t>
        </is>
      </c>
      <c r="I468" t="n">
        <v>2</v>
      </c>
      <c r="J468" t="n">
        <v>0</v>
      </c>
      <c r="K468" t="n">
        <v>0</v>
      </c>
      <c r="L468" t="n">
        <v>0</v>
      </c>
      <c r="M468" t="n">
        <v>0</v>
      </c>
      <c r="N468" t="n">
        <v>0</v>
      </c>
      <c r="O468" t="n">
        <v>0</v>
      </c>
      <c r="P468" t="n">
        <v>0</v>
      </c>
      <c r="Q468" t="n">
        <v>0</v>
      </c>
      <c r="R468" t="n">
        <v>0</v>
      </c>
      <c r="S468" t="n">
        <v>0</v>
      </c>
      <c r="T468" t="n">
        <v>0</v>
      </c>
      <c r="U468" s="2" t="inlineStr"/>
    </row>
    <row r="469" ht="15" customHeight="1">
      <c r="A469" t="inlineStr">
        <is>
          <t>A 61601-2024</t>
        </is>
      </c>
      <c r="B469" t="inlineStr">
        <is>
          <t>avverkningsanmälan</t>
        </is>
      </c>
      <c r="C469" t="inlineStr">
        <is>
          <t>Föryngringsavverkning</t>
        </is>
      </c>
      <c r="D469" s="1" t="n">
        <v>45646</v>
      </c>
      <c r="E469" s="1" t="n">
        <v>46220</v>
      </c>
      <c r="F469" t="inlineStr">
        <is>
          <t>ÖREBRO LÄN</t>
        </is>
      </c>
      <c r="G469" t="inlineStr">
        <is>
          <t>LINDESBERG</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6604-2024</t>
        </is>
      </c>
      <c r="B470" t="inlineStr">
        <is>
          <t>avverkningsanmälan</t>
        </is>
      </c>
      <c r="C470" t="inlineStr">
        <is>
          <t>Föryngringsavverkning</t>
        </is>
      </c>
      <c r="D470" s="1" t="n">
        <v>45341</v>
      </c>
      <c r="E470" s="1" t="n">
        <v>46220</v>
      </c>
      <c r="F470" t="inlineStr">
        <is>
          <t>ÖREBRO LÄN</t>
        </is>
      </c>
      <c r="G470" t="inlineStr">
        <is>
          <t>LINDESBERG</t>
        </is>
      </c>
      <c r="H470" t="inlineStr">
        <is>
          <t>Sveaskog</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42410-2024</t>
        </is>
      </c>
      <c r="B471" t="inlineStr">
        <is>
          <t>avverkningsanmälan</t>
        </is>
      </c>
      <c r="C471" t="inlineStr">
        <is>
          <t>Föryngringsavverkning</t>
        </is>
      </c>
      <c r="D471" s="1" t="n">
        <v>45565</v>
      </c>
      <c r="E471" s="1" t="n">
        <v>46220</v>
      </c>
      <c r="F471" t="inlineStr">
        <is>
          <t>ÖREBRO LÄN</t>
        </is>
      </c>
      <c r="G471" t="inlineStr">
        <is>
          <t>LINDESBERG</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9140-2025</t>
        </is>
      </c>
      <c r="B472" t="inlineStr">
        <is>
          <t>avverkningsanmälan</t>
        </is>
      </c>
      <c r="C472" t="inlineStr">
        <is>
          <t>Föryngringsavverkning</t>
        </is>
      </c>
      <c r="D472" s="1" t="n">
        <v>45714</v>
      </c>
      <c r="E472" s="1" t="n">
        <v>46220</v>
      </c>
      <c r="F472" t="inlineStr">
        <is>
          <t>ÖREBRO LÄN</t>
        </is>
      </c>
      <c r="G472" t="inlineStr">
        <is>
          <t>LINDESBERG</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53168-2023</t>
        </is>
      </c>
      <c r="B473" t="inlineStr">
        <is>
          <t>avverkningsanmälan</t>
        </is>
      </c>
      <c r="C473" t="inlineStr">
        <is>
          <t>Föryngringsavverkning</t>
        </is>
      </c>
      <c r="D473" s="1" t="n">
        <v>45229</v>
      </c>
      <c r="E473" s="1" t="n">
        <v>46220</v>
      </c>
      <c r="F473" t="inlineStr">
        <is>
          <t>ÖREBRO LÄN</t>
        </is>
      </c>
      <c r="G473" t="inlineStr">
        <is>
          <t>LINDESBERG</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36748-2024</t>
        </is>
      </c>
      <c r="B474" t="inlineStr">
        <is>
          <t>avverkningsanmälan</t>
        </is>
      </c>
      <c r="C474" t="inlineStr">
        <is>
          <t>Föryngringsavverkning</t>
        </is>
      </c>
      <c r="D474" s="1" t="n">
        <v>45538</v>
      </c>
      <c r="E474" s="1" t="n">
        <v>46220</v>
      </c>
      <c r="F474" t="inlineStr">
        <is>
          <t>ÖREBRO LÄN</t>
        </is>
      </c>
      <c r="G474" t="inlineStr">
        <is>
          <t>LINDESBERG</t>
        </is>
      </c>
      <c r="H474" t="inlineStr">
        <is>
          <t>Sveaskog</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64427-2021</t>
        </is>
      </c>
      <c r="B475" t="inlineStr">
        <is>
          <t>avverkningsanmälan</t>
        </is>
      </c>
      <c r="C475" t="inlineStr">
        <is>
          <t>Föryngringsavverkning</t>
        </is>
      </c>
      <c r="D475" s="1" t="n">
        <v>44511</v>
      </c>
      <c r="E475" s="1" t="n">
        <v>46220</v>
      </c>
      <c r="F475" t="inlineStr">
        <is>
          <t>ÖREBRO LÄN</t>
        </is>
      </c>
      <c r="G475" t="inlineStr">
        <is>
          <t>LINDESBERG</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53352-2023</t>
        </is>
      </c>
      <c r="B476" t="inlineStr">
        <is>
          <t>avverkningsanmälan</t>
        </is>
      </c>
      <c r="C476" t="inlineStr">
        <is>
          <t>Föryngringsavverkning</t>
        </is>
      </c>
      <c r="D476" s="1" t="n">
        <v>45229</v>
      </c>
      <c r="E476" s="1" t="n">
        <v>46220</v>
      </c>
      <c r="F476" t="inlineStr">
        <is>
          <t>ÖREBRO LÄN</t>
        </is>
      </c>
      <c r="G476" t="inlineStr">
        <is>
          <t>LINDESBERG</t>
        </is>
      </c>
      <c r="H476" t="inlineStr">
        <is>
          <t>Sveaskog</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6727-2022</t>
        </is>
      </c>
      <c r="B477" t="inlineStr">
        <is>
          <t>avverkningsanmälan</t>
        </is>
      </c>
      <c r="C477" t="inlineStr">
        <is>
          <t>Föryngringsavverkning</t>
        </is>
      </c>
      <c r="D477" s="1" t="n">
        <v>44602</v>
      </c>
      <c r="E477" s="1" t="n">
        <v>46220</v>
      </c>
      <c r="F477" t="inlineStr">
        <is>
          <t>ÖREBRO LÄN</t>
        </is>
      </c>
      <c r="G477" t="inlineStr">
        <is>
          <t>LINDESBERG</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53366-2023</t>
        </is>
      </c>
      <c r="B478" t="inlineStr">
        <is>
          <t>avverkningsanmälan</t>
        </is>
      </c>
      <c r="C478" t="inlineStr">
        <is>
          <t>Föryngringsavverkning</t>
        </is>
      </c>
      <c r="D478" s="1" t="n">
        <v>45229</v>
      </c>
      <c r="E478" s="1" t="n">
        <v>46220</v>
      </c>
      <c r="F478" t="inlineStr">
        <is>
          <t>ÖREBRO LÄN</t>
        </is>
      </c>
      <c r="G478" t="inlineStr">
        <is>
          <t>LINDESBERG</t>
        </is>
      </c>
      <c r="I478" t="n">
        <v>1.9</v>
      </c>
      <c r="J478" t="n">
        <v>0</v>
      </c>
      <c r="K478" t="n">
        <v>0</v>
      </c>
      <c r="L478" t="n">
        <v>0</v>
      </c>
      <c r="M478" t="n">
        <v>0</v>
      </c>
      <c r="N478" t="n">
        <v>0</v>
      </c>
      <c r="O478" t="n">
        <v>0</v>
      </c>
      <c r="P478" t="n">
        <v>0</v>
      </c>
      <c r="Q478" t="n">
        <v>0</v>
      </c>
      <c r="R478" t="n">
        <v>0</v>
      </c>
      <c r="S478" t="n">
        <v>0</v>
      </c>
      <c r="T478" t="n">
        <v>0</v>
      </c>
      <c r="U478" s="2" t="inlineStr"/>
    </row>
    <row r="479" ht="15" customHeight="1">
      <c r="A479" t="inlineStr">
        <is>
          <t>A 42430-2024</t>
        </is>
      </c>
      <c r="B479" t="inlineStr">
        <is>
          <t>avverkningsanmälan</t>
        </is>
      </c>
      <c r="C479" t="inlineStr">
        <is>
          <t>Föryngringsavverkning</t>
        </is>
      </c>
      <c r="D479" s="1" t="n">
        <v>45565</v>
      </c>
      <c r="E479" s="1" t="n">
        <v>46220</v>
      </c>
      <c r="F479" t="inlineStr">
        <is>
          <t>ÖREBRO LÄN</t>
        </is>
      </c>
      <c r="G479" t="inlineStr">
        <is>
          <t>LINDESBERG</t>
        </is>
      </c>
      <c r="I479" t="n">
        <v>4</v>
      </c>
      <c r="J479" t="n">
        <v>0</v>
      </c>
      <c r="K479" t="n">
        <v>0</v>
      </c>
      <c r="L479" t="n">
        <v>0</v>
      </c>
      <c r="M479" t="n">
        <v>0</v>
      </c>
      <c r="N479" t="n">
        <v>0</v>
      </c>
      <c r="O479" t="n">
        <v>0</v>
      </c>
      <c r="P479" t="n">
        <v>0</v>
      </c>
      <c r="Q479" t="n">
        <v>0</v>
      </c>
      <c r="R479" t="n">
        <v>0</v>
      </c>
      <c r="S479" t="n">
        <v>0</v>
      </c>
      <c r="T479" t="n">
        <v>0</v>
      </c>
      <c r="U479" s="2" t="inlineStr"/>
    </row>
    <row r="480" ht="15" customHeight="1">
      <c r="A480" t="inlineStr">
        <is>
          <t>A 14034-2026</t>
        </is>
      </c>
      <c r="B480" t="inlineStr">
        <is>
          <t>avverkningsanmälan</t>
        </is>
      </c>
      <c r="C480" t="inlineStr">
        <is>
          <t>Föryngringsavverkning</t>
        </is>
      </c>
      <c r="D480" s="1" t="n">
        <v>46098</v>
      </c>
      <c r="E480" s="1" t="n">
        <v>46220</v>
      </c>
      <c r="F480" t="inlineStr">
        <is>
          <t>ÖREBRO LÄN</t>
        </is>
      </c>
      <c r="G480" t="inlineStr">
        <is>
          <t>LINDESBERG</t>
        </is>
      </c>
      <c r="H480" t="inlineStr">
        <is>
          <t>Sveaskog</t>
        </is>
      </c>
      <c r="I480" t="n">
        <v>2.9</v>
      </c>
      <c r="J480" t="n">
        <v>0</v>
      </c>
      <c r="K480" t="n">
        <v>0</v>
      </c>
      <c r="L480" t="n">
        <v>0</v>
      </c>
      <c r="M480" t="n">
        <v>0</v>
      </c>
      <c r="N480" t="n">
        <v>0</v>
      </c>
      <c r="O480" t="n">
        <v>0</v>
      </c>
      <c r="P480" t="n">
        <v>0</v>
      </c>
      <c r="Q480" t="n">
        <v>0</v>
      </c>
      <c r="R480" t="n">
        <v>0</v>
      </c>
      <c r="S480" t="n">
        <v>0</v>
      </c>
      <c r="T480" t="n">
        <v>0</v>
      </c>
      <c r="U480" s="2" t="inlineStr"/>
    </row>
    <row r="481" ht="15" customHeight="1">
      <c r="A481" t="inlineStr">
        <is>
          <t>A 1354-2024</t>
        </is>
      </c>
      <c r="B481" t="inlineStr">
        <is>
          <t>avverkningsanmälan</t>
        </is>
      </c>
      <c r="C481" t="inlineStr">
        <is>
          <t>Föryngringsavverkning</t>
        </is>
      </c>
      <c r="D481" s="1" t="n">
        <v>45303</v>
      </c>
      <c r="E481" s="1" t="n">
        <v>46220</v>
      </c>
      <c r="F481" t="inlineStr">
        <is>
          <t>ÖREBRO LÄN</t>
        </is>
      </c>
      <c r="G481" t="inlineStr">
        <is>
          <t>LINDESBERG</t>
        </is>
      </c>
      <c r="I481" t="n">
        <v>2.1</v>
      </c>
      <c r="J481" t="n">
        <v>0</v>
      </c>
      <c r="K481" t="n">
        <v>0</v>
      </c>
      <c r="L481" t="n">
        <v>0</v>
      </c>
      <c r="M481" t="n">
        <v>0</v>
      </c>
      <c r="N481" t="n">
        <v>0</v>
      </c>
      <c r="O481" t="n">
        <v>0</v>
      </c>
      <c r="P481" t="n">
        <v>0</v>
      </c>
      <c r="Q481" t="n">
        <v>0</v>
      </c>
      <c r="R481" t="n">
        <v>0</v>
      </c>
      <c r="S481" t="n">
        <v>0</v>
      </c>
      <c r="T481" t="n">
        <v>0</v>
      </c>
      <c r="U481" s="2" t="inlineStr"/>
    </row>
    <row r="482" ht="15" customHeight="1">
      <c r="A482" t="inlineStr">
        <is>
          <t>A 27001-2024</t>
        </is>
      </c>
      <c r="B482" t="inlineStr">
        <is>
          <t>avverkningsanmälan</t>
        </is>
      </c>
      <c r="C482" t="inlineStr">
        <is>
          <t>Föryngringsavverkning</t>
        </is>
      </c>
      <c r="D482" s="1" t="n">
        <v>45471</v>
      </c>
      <c r="E482" s="1" t="n">
        <v>46220</v>
      </c>
      <c r="F482" t="inlineStr">
        <is>
          <t>ÖREBRO LÄN</t>
        </is>
      </c>
      <c r="G482" t="inlineStr">
        <is>
          <t>LINDESBERG</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14680-2026</t>
        </is>
      </c>
      <c r="B483" t="inlineStr">
        <is>
          <t>avverkningsanmälan</t>
        </is>
      </c>
      <c r="C483" t="inlineStr">
        <is>
          <t>Föryngringsavverkning</t>
        </is>
      </c>
      <c r="D483" s="1" t="n">
        <v>46101</v>
      </c>
      <c r="E483" s="1" t="n">
        <v>46220</v>
      </c>
      <c r="F483" t="inlineStr">
        <is>
          <t>ÖREBRO LÄN</t>
        </is>
      </c>
      <c r="G483" t="inlineStr">
        <is>
          <t>LINDESBERG</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26067-2022</t>
        </is>
      </c>
      <c r="B484" t="inlineStr">
        <is>
          <t>avverkningsanmälan</t>
        </is>
      </c>
      <c r="C484" t="inlineStr">
        <is>
          <t>Föryngringsavverkning</t>
        </is>
      </c>
      <c r="D484" s="1" t="n">
        <v>44734</v>
      </c>
      <c r="E484" s="1" t="n">
        <v>46220</v>
      </c>
      <c r="F484" t="inlineStr">
        <is>
          <t>ÖREBRO LÄN</t>
        </is>
      </c>
      <c r="G484" t="inlineStr">
        <is>
          <t>LINDESBERG</t>
        </is>
      </c>
      <c r="I484" t="n">
        <v>3.1</v>
      </c>
      <c r="J484" t="n">
        <v>0</v>
      </c>
      <c r="K484" t="n">
        <v>0</v>
      </c>
      <c r="L484" t="n">
        <v>0</v>
      </c>
      <c r="M484" t="n">
        <v>0</v>
      </c>
      <c r="N484" t="n">
        <v>0</v>
      </c>
      <c r="O484" t="n">
        <v>0</v>
      </c>
      <c r="P484" t="n">
        <v>0</v>
      </c>
      <c r="Q484" t="n">
        <v>0</v>
      </c>
      <c r="R484" t="n">
        <v>0</v>
      </c>
      <c r="S484" t="n">
        <v>0</v>
      </c>
      <c r="T484" t="n">
        <v>0</v>
      </c>
      <c r="U484" s="2" t="inlineStr"/>
    </row>
    <row r="485" ht="15" customHeight="1">
      <c r="A485" t="inlineStr">
        <is>
          <t>A 59395-2022</t>
        </is>
      </c>
      <c r="B485" t="inlineStr">
        <is>
          <t>avverkningsanmälan</t>
        </is>
      </c>
      <c r="C485" t="inlineStr">
        <is>
          <t>Föryngringsavverkning</t>
        </is>
      </c>
      <c r="D485" s="1" t="n">
        <v>44906</v>
      </c>
      <c r="E485" s="1" t="n">
        <v>46220</v>
      </c>
      <c r="F485" t="inlineStr">
        <is>
          <t>ÖREBRO LÄN</t>
        </is>
      </c>
      <c r="G485" t="inlineStr">
        <is>
          <t>LINDESBERG</t>
        </is>
      </c>
      <c r="I485" t="n">
        <v>4.3</v>
      </c>
      <c r="J485" t="n">
        <v>0</v>
      </c>
      <c r="K485" t="n">
        <v>0</v>
      </c>
      <c r="L485" t="n">
        <v>0</v>
      </c>
      <c r="M485" t="n">
        <v>0</v>
      </c>
      <c r="N485" t="n">
        <v>0</v>
      </c>
      <c r="O485" t="n">
        <v>0</v>
      </c>
      <c r="P485" t="n">
        <v>0</v>
      </c>
      <c r="Q485" t="n">
        <v>0</v>
      </c>
      <c r="R485" t="n">
        <v>0</v>
      </c>
      <c r="S485" t="n">
        <v>0</v>
      </c>
      <c r="T485" t="n">
        <v>0</v>
      </c>
      <c r="U485" s="2" t="inlineStr"/>
    </row>
    <row r="486" ht="15" customHeight="1">
      <c r="A486" t="inlineStr">
        <is>
          <t>A 19043-2023</t>
        </is>
      </c>
      <c r="B486" t="inlineStr">
        <is>
          <t>avverkningsanmälan</t>
        </is>
      </c>
      <c r="C486" t="inlineStr">
        <is>
          <t>Föryngringsavverkning</t>
        </is>
      </c>
      <c r="D486" s="1" t="n">
        <v>45047</v>
      </c>
      <c r="E486" s="1" t="n">
        <v>46220</v>
      </c>
      <c r="F486" t="inlineStr">
        <is>
          <t>ÖREBRO LÄN</t>
        </is>
      </c>
      <c r="G486" t="inlineStr">
        <is>
          <t>LINDESBERG</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41343-2021</t>
        </is>
      </c>
      <c r="B487" t="inlineStr">
        <is>
          <t>avverkningsanmälan</t>
        </is>
      </c>
      <c r="C487" t="inlineStr">
        <is>
          <t>Föryngringsavverkning</t>
        </is>
      </c>
      <c r="D487" s="1" t="n">
        <v>44424</v>
      </c>
      <c r="E487" s="1" t="n">
        <v>46220</v>
      </c>
      <c r="F487" t="inlineStr">
        <is>
          <t>ÖREBRO LÄN</t>
        </is>
      </c>
      <c r="G487" t="inlineStr">
        <is>
          <t>LINDESBERG</t>
        </is>
      </c>
      <c r="I487" t="n">
        <v>8.9</v>
      </c>
      <c r="J487" t="n">
        <v>0</v>
      </c>
      <c r="K487" t="n">
        <v>0</v>
      </c>
      <c r="L487" t="n">
        <v>0</v>
      </c>
      <c r="M487" t="n">
        <v>0</v>
      </c>
      <c r="N487" t="n">
        <v>0</v>
      </c>
      <c r="O487" t="n">
        <v>0</v>
      </c>
      <c r="P487" t="n">
        <v>0</v>
      </c>
      <c r="Q487" t="n">
        <v>0</v>
      </c>
      <c r="R487" t="n">
        <v>0</v>
      </c>
      <c r="S487" t="n">
        <v>0</v>
      </c>
      <c r="T487" t="n">
        <v>0</v>
      </c>
      <c r="U487" s="2" t="inlineStr"/>
    </row>
    <row r="488" ht="15" customHeight="1">
      <c r="A488" t="inlineStr">
        <is>
          <t>A 43416-2024</t>
        </is>
      </c>
      <c r="B488" t="inlineStr">
        <is>
          <t>avverkningsanmälan</t>
        </is>
      </c>
      <c r="C488" t="inlineStr">
        <is>
          <t>Föryngringsavverkning</t>
        </is>
      </c>
      <c r="D488" s="1" t="n">
        <v>45568</v>
      </c>
      <c r="E488" s="1" t="n">
        <v>46220</v>
      </c>
      <c r="F488" t="inlineStr">
        <is>
          <t>ÖREBRO LÄN</t>
        </is>
      </c>
      <c r="G488" t="inlineStr">
        <is>
          <t>LINDESBERG</t>
        </is>
      </c>
      <c r="H488" t="inlineStr">
        <is>
          <t>Sveaskog</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10654-2023</t>
        </is>
      </c>
      <c r="B489" t="inlineStr">
        <is>
          <t>avverkningsanmälan</t>
        </is>
      </c>
      <c r="C489" t="inlineStr">
        <is>
          <t>Föryngringsavverkning</t>
        </is>
      </c>
      <c r="D489" s="1" t="n">
        <v>44984</v>
      </c>
      <c r="E489" s="1" t="n">
        <v>46220</v>
      </c>
      <c r="F489" t="inlineStr">
        <is>
          <t>ÖREBRO LÄN</t>
        </is>
      </c>
      <c r="G489" t="inlineStr">
        <is>
          <t>LINDESBERG</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63125-2023</t>
        </is>
      </c>
      <c r="B490" t="inlineStr">
        <is>
          <t>avverkningsanmälan</t>
        </is>
      </c>
      <c r="C490" t="inlineStr">
        <is>
          <t>Föryngringsavverkning</t>
        </is>
      </c>
      <c r="D490" s="1" t="n">
        <v>45273</v>
      </c>
      <c r="E490" s="1" t="n">
        <v>46220</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16092-2026</t>
        </is>
      </c>
      <c r="B491" t="inlineStr">
        <is>
          <t>avverkningsanmälan</t>
        </is>
      </c>
      <c r="C491" t="inlineStr">
        <is>
          <t>Föryngringsavverkning</t>
        </is>
      </c>
      <c r="D491" s="1" t="n">
        <v>46108</v>
      </c>
      <c r="E491" s="1" t="n">
        <v>46220</v>
      </c>
      <c r="F491" t="inlineStr">
        <is>
          <t>ÖREBRO LÄN</t>
        </is>
      </c>
      <c r="G491" t="inlineStr">
        <is>
          <t>LINDESBERG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16090-2026</t>
        </is>
      </c>
      <c r="B492" t="inlineStr">
        <is>
          <t>avverkningsanmälan</t>
        </is>
      </c>
      <c r="C492" t="inlineStr">
        <is>
          <t>Föryngringsavverkning</t>
        </is>
      </c>
      <c r="D492" s="1" t="n">
        <v>46108</v>
      </c>
      <c r="E492" s="1" t="n">
        <v>46220</v>
      </c>
      <c r="F492" t="inlineStr">
        <is>
          <t>ÖREBRO LÄN</t>
        </is>
      </c>
      <c r="G492" t="inlineStr">
        <is>
          <t>LINDESBERG</t>
        </is>
      </c>
      <c r="I492" t="n">
        <v>4</v>
      </c>
      <c r="J492" t="n">
        <v>0</v>
      </c>
      <c r="K492" t="n">
        <v>0</v>
      </c>
      <c r="L492" t="n">
        <v>0</v>
      </c>
      <c r="M492" t="n">
        <v>0</v>
      </c>
      <c r="N492" t="n">
        <v>0</v>
      </c>
      <c r="O492" t="n">
        <v>0</v>
      </c>
      <c r="P492" t="n">
        <v>0</v>
      </c>
      <c r="Q492" t="n">
        <v>0</v>
      </c>
      <c r="R492" t="n">
        <v>0</v>
      </c>
      <c r="S492" t="n">
        <v>0</v>
      </c>
      <c r="T492" t="n">
        <v>0</v>
      </c>
      <c r="U492" s="2" t="inlineStr"/>
    </row>
    <row r="493" ht="15" customHeight="1">
      <c r="A493" t="inlineStr">
        <is>
          <t>A 16094-2026</t>
        </is>
      </c>
      <c r="B493" t="inlineStr">
        <is>
          <t>avverkningsanmälan</t>
        </is>
      </c>
      <c r="C493" t="inlineStr">
        <is>
          <t>Föryngringsavverkning</t>
        </is>
      </c>
      <c r="D493" s="1" t="n">
        <v>46108</v>
      </c>
      <c r="E493" s="1" t="n">
        <v>46220</v>
      </c>
      <c r="F493" t="inlineStr">
        <is>
          <t>ÖREBRO LÄN</t>
        </is>
      </c>
      <c r="G493" t="inlineStr">
        <is>
          <t>LINDESBERG</t>
        </is>
      </c>
      <c r="I493" t="n">
        <v>3.9</v>
      </c>
      <c r="J493" t="n">
        <v>0</v>
      </c>
      <c r="K493" t="n">
        <v>0</v>
      </c>
      <c r="L493" t="n">
        <v>0</v>
      </c>
      <c r="M493" t="n">
        <v>0</v>
      </c>
      <c r="N493" t="n">
        <v>0</v>
      </c>
      <c r="O493" t="n">
        <v>0</v>
      </c>
      <c r="P493" t="n">
        <v>0</v>
      </c>
      <c r="Q493" t="n">
        <v>0</v>
      </c>
      <c r="R493" t="n">
        <v>0</v>
      </c>
      <c r="S493" t="n">
        <v>0</v>
      </c>
      <c r="T493" t="n">
        <v>0</v>
      </c>
      <c r="U493" s="2" t="inlineStr"/>
    </row>
    <row r="494" ht="15" customHeight="1">
      <c r="A494" t="inlineStr">
        <is>
          <t>A 14454-2024</t>
        </is>
      </c>
      <c r="B494" t="inlineStr">
        <is>
          <t>avverkningsanmälan</t>
        </is>
      </c>
      <c r="C494" t="inlineStr">
        <is>
          <t>Föryngringsavverkning</t>
        </is>
      </c>
      <c r="D494" s="1" t="n">
        <v>45394</v>
      </c>
      <c r="E494" s="1" t="n">
        <v>46220</v>
      </c>
      <c r="F494" t="inlineStr">
        <is>
          <t>ÖREBRO LÄN</t>
        </is>
      </c>
      <c r="G494" t="inlineStr">
        <is>
          <t>LINDESBERG</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54860-2024</t>
        </is>
      </c>
      <c r="B495" t="inlineStr">
        <is>
          <t>avverkningsanmälan</t>
        </is>
      </c>
      <c r="C495" t="inlineStr">
        <is>
          <t>Avverkning för annat ändamål</t>
        </is>
      </c>
      <c r="D495" s="1" t="n">
        <v>45618</v>
      </c>
      <c r="E495" s="1" t="n">
        <v>46220</v>
      </c>
      <c r="F495" t="inlineStr">
        <is>
          <t>ÖREBRO LÄN</t>
        </is>
      </c>
      <c r="G495" t="inlineStr">
        <is>
          <t>LINDESBERG</t>
        </is>
      </c>
      <c r="H495" t="inlineStr">
        <is>
          <t>Sveaskog</t>
        </is>
      </c>
      <c r="I495" t="n">
        <v>0.3</v>
      </c>
      <c r="J495" t="n">
        <v>0</v>
      </c>
      <c r="K495" t="n">
        <v>0</v>
      </c>
      <c r="L495" t="n">
        <v>0</v>
      </c>
      <c r="M495" t="n">
        <v>0</v>
      </c>
      <c r="N495" t="n">
        <v>0</v>
      </c>
      <c r="O495" t="n">
        <v>0</v>
      </c>
      <c r="P495" t="n">
        <v>0</v>
      </c>
      <c r="Q495" t="n">
        <v>0</v>
      </c>
      <c r="R495" t="n">
        <v>0</v>
      </c>
      <c r="S495" t="n">
        <v>0</v>
      </c>
      <c r="T495" t="n">
        <v>0</v>
      </c>
      <c r="U495" s="2" t="inlineStr"/>
    </row>
    <row r="496" ht="15" customHeight="1">
      <c r="A496" t="inlineStr">
        <is>
          <t>A 17010-2026</t>
        </is>
      </c>
      <c r="B496" t="inlineStr">
        <is>
          <t>avverkningsanmälan</t>
        </is>
      </c>
      <c r="C496" t="inlineStr">
        <is>
          <t>Föryngringsavverkning</t>
        </is>
      </c>
      <c r="D496" s="1" t="n">
        <v>46114</v>
      </c>
      <c r="E496" s="1" t="n">
        <v>46220</v>
      </c>
      <c r="F496" t="inlineStr">
        <is>
          <t>ÖREBRO LÄN</t>
        </is>
      </c>
      <c r="G496" t="inlineStr">
        <is>
          <t>LINDESBERG</t>
        </is>
      </c>
      <c r="I496" t="n">
        <v>3.7</v>
      </c>
      <c r="J496" t="n">
        <v>0</v>
      </c>
      <c r="K496" t="n">
        <v>0</v>
      </c>
      <c r="L496" t="n">
        <v>0</v>
      </c>
      <c r="M496" t="n">
        <v>0</v>
      </c>
      <c r="N496" t="n">
        <v>0</v>
      </c>
      <c r="O496" t="n">
        <v>0</v>
      </c>
      <c r="P496" t="n">
        <v>0</v>
      </c>
      <c r="Q496" t="n">
        <v>0</v>
      </c>
      <c r="R496" t="n">
        <v>0</v>
      </c>
      <c r="S496" t="n">
        <v>0</v>
      </c>
      <c r="T496" t="n">
        <v>0</v>
      </c>
      <c r="U496" s="2" t="inlineStr"/>
    </row>
    <row r="497" ht="15" customHeight="1">
      <c r="A497" t="inlineStr">
        <is>
          <t>A 16812-2026</t>
        </is>
      </c>
      <c r="B497" t="inlineStr">
        <is>
          <t>avverkningsanmälan</t>
        </is>
      </c>
      <c r="C497" t="inlineStr">
        <is>
          <t>Föryngringsavverkning</t>
        </is>
      </c>
      <c r="D497" s="1" t="n">
        <v>46113</v>
      </c>
      <c r="E497" s="1" t="n">
        <v>46220</v>
      </c>
      <c r="F497" t="inlineStr">
        <is>
          <t>ÖREBRO LÄN</t>
        </is>
      </c>
      <c r="G497" t="inlineStr">
        <is>
          <t>LINDESBERG</t>
        </is>
      </c>
      <c r="H497" t="inlineStr">
        <is>
          <t>Sveaskog</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17013-2026</t>
        </is>
      </c>
      <c r="B498" t="inlineStr">
        <is>
          <t>avverkningsanmälan</t>
        </is>
      </c>
      <c r="C498" t="inlineStr">
        <is>
          <t>Föryngringsavverkning</t>
        </is>
      </c>
      <c r="D498" s="1" t="n">
        <v>46114</v>
      </c>
      <c r="E498" s="1" t="n">
        <v>46220</v>
      </c>
      <c r="F498" t="inlineStr">
        <is>
          <t>ÖREBRO LÄN</t>
        </is>
      </c>
      <c r="G498" t="inlineStr">
        <is>
          <t>LINDESBERG</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8612-2024</t>
        </is>
      </c>
      <c r="B499" t="inlineStr">
        <is>
          <t>avverkningsanmälan</t>
        </is>
      </c>
      <c r="C499" t="inlineStr">
        <is>
          <t>Föryngringsavverkning</t>
        </is>
      </c>
      <c r="D499" s="1" t="n">
        <v>45355</v>
      </c>
      <c r="E499" s="1" t="n">
        <v>46220</v>
      </c>
      <c r="F499" t="inlineStr">
        <is>
          <t>ÖREBRO LÄN</t>
        </is>
      </c>
      <c r="G499" t="inlineStr">
        <is>
          <t>LINDESBERG</t>
        </is>
      </c>
      <c r="I499" t="n">
        <v>4.5</v>
      </c>
      <c r="J499" t="n">
        <v>0</v>
      </c>
      <c r="K499" t="n">
        <v>0</v>
      </c>
      <c r="L499" t="n">
        <v>0</v>
      </c>
      <c r="M499" t="n">
        <v>0</v>
      </c>
      <c r="N499" t="n">
        <v>0</v>
      </c>
      <c r="O499" t="n">
        <v>0</v>
      </c>
      <c r="P499" t="n">
        <v>0</v>
      </c>
      <c r="Q499" t="n">
        <v>0</v>
      </c>
      <c r="R499" t="n">
        <v>0</v>
      </c>
      <c r="S499" t="n">
        <v>0</v>
      </c>
      <c r="T499" t="n">
        <v>0</v>
      </c>
      <c r="U499" s="2" t="inlineStr"/>
    </row>
    <row r="500" ht="15" customHeight="1">
      <c r="A500" t="inlineStr">
        <is>
          <t>A 17158-2026</t>
        </is>
      </c>
      <c r="B500" t="inlineStr">
        <is>
          <t>avverkningsanmälan</t>
        </is>
      </c>
      <c r="C500" t="inlineStr">
        <is>
          <t>Föryngringsavverkning</t>
        </is>
      </c>
      <c r="D500" s="1" t="n">
        <v>46115</v>
      </c>
      <c r="E500" s="1" t="n">
        <v>46220</v>
      </c>
      <c r="F500" t="inlineStr">
        <is>
          <t>ÖREBRO LÄN</t>
        </is>
      </c>
      <c r="G500" t="inlineStr">
        <is>
          <t>LINDESBERG</t>
        </is>
      </c>
      <c r="I500" t="n">
        <v>7.8</v>
      </c>
      <c r="J500" t="n">
        <v>0</v>
      </c>
      <c r="K500" t="n">
        <v>0</v>
      </c>
      <c r="L500" t="n">
        <v>0</v>
      </c>
      <c r="M500" t="n">
        <v>0</v>
      </c>
      <c r="N500" t="n">
        <v>0</v>
      </c>
      <c r="O500" t="n">
        <v>0</v>
      </c>
      <c r="P500" t="n">
        <v>0</v>
      </c>
      <c r="Q500" t="n">
        <v>0</v>
      </c>
      <c r="R500" t="n">
        <v>0</v>
      </c>
      <c r="S500" t="n">
        <v>0</v>
      </c>
      <c r="T500" t="n">
        <v>0</v>
      </c>
      <c r="U500" s="2" t="inlineStr"/>
    </row>
    <row r="501" ht="15" customHeight="1">
      <c r="A501" t="inlineStr">
        <is>
          <t>A 7126-2025</t>
        </is>
      </c>
      <c r="B501" t="inlineStr">
        <is>
          <t>avverkningsanmälan</t>
        </is>
      </c>
      <c r="C501" t="inlineStr">
        <is>
          <t>Föryngringsavverkning</t>
        </is>
      </c>
      <c r="D501" s="1" t="n">
        <v>45702</v>
      </c>
      <c r="E501" s="1" t="n">
        <v>46220</v>
      </c>
      <c r="F501" t="inlineStr">
        <is>
          <t>ÖREBRO LÄN</t>
        </is>
      </c>
      <c r="G501" t="inlineStr">
        <is>
          <t>LINDESBERG</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17154-2026</t>
        </is>
      </c>
      <c r="B502" t="inlineStr">
        <is>
          <t>avverkningsanmälan</t>
        </is>
      </c>
      <c r="C502" t="inlineStr">
        <is>
          <t>Föryngringsavverkning</t>
        </is>
      </c>
      <c r="D502" s="1" t="n">
        <v>46115</v>
      </c>
      <c r="E502" s="1" t="n">
        <v>46220</v>
      </c>
      <c r="F502" t="inlineStr">
        <is>
          <t>ÖREBRO LÄN</t>
        </is>
      </c>
      <c r="G502" t="inlineStr">
        <is>
          <t>LINDESBERG</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17157-2026</t>
        </is>
      </c>
      <c r="B503" t="inlineStr">
        <is>
          <t>avverkningsanmälan</t>
        </is>
      </c>
      <c r="C503" t="inlineStr">
        <is>
          <t>Föryngringsavverkning</t>
        </is>
      </c>
      <c r="D503" s="1" t="n">
        <v>46115</v>
      </c>
      <c r="E503" s="1" t="n">
        <v>46220</v>
      </c>
      <c r="F503" t="inlineStr">
        <is>
          <t>ÖREBRO LÄN</t>
        </is>
      </c>
      <c r="G503" t="inlineStr">
        <is>
          <t>LINDESBERG</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17159-2026</t>
        </is>
      </c>
      <c r="B504" t="inlineStr">
        <is>
          <t>avverkningsanmälan</t>
        </is>
      </c>
      <c r="C504" t="inlineStr">
        <is>
          <t>Föryngringsavverkning</t>
        </is>
      </c>
      <c r="D504" s="1" t="n">
        <v>46115</v>
      </c>
      <c r="E504" s="1" t="n">
        <v>46220</v>
      </c>
      <c r="F504" t="inlineStr">
        <is>
          <t>ÖREBRO LÄN</t>
        </is>
      </c>
      <c r="G504" t="inlineStr">
        <is>
          <t>LINDESBERG</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17155-2026</t>
        </is>
      </c>
      <c r="B505" t="inlineStr">
        <is>
          <t>avverkningsanmälan</t>
        </is>
      </c>
      <c r="C505" t="inlineStr">
        <is>
          <t>Föryngringsavverkning</t>
        </is>
      </c>
      <c r="D505" s="1" t="n">
        <v>46115</v>
      </c>
      <c r="E505" s="1" t="n">
        <v>46220</v>
      </c>
      <c r="F505" t="inlineStr">
        <is>
          <t>ÖREBRO LÄN</t>
        </is>
      </c>
      <c r="G505" t="inlineStr">
        <is>
          <t>LINDESBERG</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17156-2026</t>
        </is>
      </c>
      <c r="B506" t="inlineStr">
        <is>
          <t>avverkningsanmälan</t>
        </is>
      </c>
      <c r="C506" t="inlineStr">
        <is>
          <t>Föryngringsavverkning</t>
        </is>
      </c>
      <c r="D506" s="1" t="n">
        <v>46115</v>
      </c>
      <c r="E506" s="1" t="n">
        <v>46220</v>
      </c>
      <c r="F506" t="inlineStr">
        <is>
          <t>ÖREBRO LÄN</t>
        </is>
      </c>
      <c r="G506" t="inlineStr">
        <is>
          <t>LINDESBERG</t>
        </is>
      </c>
      <c r="I506" t="n">
        <v>2.2</v>
      </c>
      <c r="J506" t="n">
        <v>0</v>
      </c>
      <c r="K506" t="n">
        <v>0</v>
      </c>
      <c r="L506" t="n">
        <v>0</v>
      </c>
      <c r="M506" t="n">
        <v>0</v>
      </c>
      <c r="N506" t="n">
        <v>0</v>
      </c>
      <c r="O506" t="n">
        <v>0</v>
      </c>
      <c r="P506" t="n">
        <v>0</v>
      </c>
      <c r="Q506" t="n">
        <v>0</v>
      </c>
      <c r="R506" t="n">
        <v>0</v>
      </c>
      <c r="S506" t="n">
        <v>0</v>
      </c>
      <c r="T506" t="n">
        <v>0</v>
      </c>
      <c r="U506" s="2" t="inlineStr"/>
    </row>
    <row r="507" ht="15" customHeight="1">
      <c r="A507" t="inlineStr">
        <is>
          <t>A 17161-2026</t>
        </is>
      </c>
      <c r="B507" t="inlineStr">
        <is>
          <t>avverkningsanmälan</t>
        </is>
      </c>
      <c r="C507" t="inlineStr">
        <is>
          <t>Föryngringsavverkning</t>
        </is>
      </c>
      <c r="D507" s="1" t="n">
        <v>46115</v>
      </c>
      <c r="E507" s="1" t="n">
        <v>46220</v>
      </c>
      <c r="F507" t="inlineStr">
        <is>
          <t>ÖREBRO LÄN</t>
        </is>
      </c>
      <c r="G507" t="inlineStr">
        <is>
          <t>LINDESBERG</t>
        </is>
      </c>
      <c r="I507" t="n">
        <v>3.3</v>
      </c>
      <c r="J507" t="n">
        <v>0</v>
      </c>
      <c r="K507" t="n">
        <v>0</v>
      </c>
      <c r="L507" t="n">
        <v>0</v>
      </c>
      <c r="M507" t="n">
        <v>0</v>
      </c>
      <c r="N507" t="n">
        <v>0</v>
      </c>
      <c r="O507" t="n">
        <v>0</v>
      </c>
      <c r="P507" t="n">
        <v>0</v>
      </c>
      <c r="Q507" t="n">
        <v>0</v>
      </c>
      <c r="R507" t="n">
        <v>0</v>
      </c>
      <c r="S507" t="n">
        <v>0</v>
      </c>
      <c r="T507" t="n">
        <v>0</v>
      </c>
      <c r="U507" s="2" t="inlineStr"/>
    </row>
    <row r="508" ht="15" customHeight="1">
      <c r="A508" t="inlineStr">
        <is>
          <t>A 17162-2026</t>
        </is>
      </c>
      <c r="B508" t="inlineStr">
        <is>
          <t>avverkningsanmälan</t>
        </is>
      </c>
      <c r="C508" t="inlineStr">
        <is>
          <t>Föryngringsavverkning</t>
        </is>
      </c>
      <c r="D508" s="1" t="n">
        <v>46115</v>
      </c>
      <c r="E508" s="1" t="n">
        <v>46220</v>
      </c>
      <c r="F508" t="inlineStr">
        <is>
          <t>ÖREBRO LÄN</t>
        </is>
      </c>
      <c r="G508" t="inlineStr">
        <is>
          <t>LINDESBERG</t>
        </is>
      </c>
      <c r="I508" t="n">
        <v>8.199999999999999</v>
      </c>
      <c r="J508" t="n">
        <v>0</v>
      </c>
      <c r="K508" t="n">
        <v>0</v>
      </c>
      <c r="L508" t="n">
        <v>0</v>
      </c>
      <c r="M508" t="n">
        <v>0</v>
      </c>
      <c r="N508" t="n">
        <v>0</v>
      </c>
      <c r="O508" t="n">
        <v>0</v>
      </c>
      <c r="P508" t="n">
        <v>0</v>
      </c>
      <c r="Q508" t="n">
        <v>0</v>
      </c>
      <c r="R508" t="n">
        <v>0</v>
      </c>
      <c r="S508" t="n">
        <v>0</v>
      </c>
      <c r="T508" t="n">
        <v>0</v>
      </c>
      <c r="U508" s="2" t="inlineStr"/>
    </row>
    <row r="509" ht="15" customHeight="1">
      <c r="A509" t="inlineStr">
        <is>
          <t>A 9961-2023</t>
        </is>
      </c>
      <c r="B509" t="inlineStr">
        <is>
          <t>avverkningsanmälan</t>
        </is>
      </c>
      <c r="C509" t="inlineStr">
        <is>
          <t>Föryngringsavverkning</t>
        </is>
      </c>
      <c r="D509" s="1" t="n">
        <v>44979</v>
      </c>
      <c r="E509" s="1" t="n">
        <v>46220</v>
      </c>
      <c r="F509" t="inlineStr">
        <is>
          <t>ÖREBRO LÄN</t>
        </is>
      </c>
      <c r="G509" t="inlineStr">
        <is>
          <t>LINDESBERG</t>
        </is>
      </c>
      <c r="I509" t="n">
        <v>4.8</v>
      </c>
      <c r="J509" t="n">
        <v>0</v>
      </c>
      <c r="K509" t="n">
        <v>0</v>
      </c>
      <c r="L509" t="n">
        <v>0</v>
      </c>
      <c r="M509" t="n">
        <v>0</v>
      </c>
      <c r="N509" t="n">
        <v>0</v>
      </c>
      <c r="O509" t="n">
        <v>0</v>
      </c>
      <c r="P509" t="n">
        <v>0</v>
      </c>
      <c r="Q509" t="n">
        <v>0</v>
      </c>
      <c r="R509" t="n">
        <v>0</v>
      </c>
      <c r="S509" t="n">
        <v>0</v>
      </c>
      <c r="T509" t="n">
        <v>0</v>
      </c>
      <c r="U509" s="2" t="inlineStr"/>
    </row>
    <row r="510" ht="15" customHeight="1">
      <c r="A510" t="inlineStr">
        <is>
          <t>A 5047-2023</t>
        </is>
      </c>
      <c r="B510" t="inlineStr">
        <is>
          <t>avverkningsanmälan</t>
        </is>
      </c>
      <c r="C510" t="inlineStr">
        <is>
          <t>Föryngringsavverkning</t>
        </is>
      </c>
      <c r="D510" s="1" t="n">
        <v>44958</v>
      </c>
      <c r="E510" s="1" t="n">
        <v>46220</v>
      </c>
      <c r="F510" t="inlineStr">
        <is>
          <t>ÖREBRO LÄN</t>
        </is>
      </c>
      <c r="G510" t="inlineStr">
        <is>
          <t>LINDESBERG</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17663-2026</t>
        </is>
      </c>
      <c r="B511" t="inlineStr">
        <is>
          <t>avverkningsanmälan</t>
        </is>
      </c>
      <c r="C511" t="inlineStr">
        <is>
          <t>Föryngringsavverkning</t>
        </is>
      </c>
      <c r="D511" s="1" t="n">
        <v>46121</v>
      </c>
      <c r="E511" s="1" t="n">
        <v>46220</v>
      </c>
      <c r="F511" t="inlineStr">
        <is>
          <t>ÖREBRO LÄN</t>
        </is>
      </c>
      <c r="G511" t="inlineStr">
        <is>
          <t>LINDESBERG</t>
        </is>
      </c>
      <c r="I511" t="n">
        <v>3.2</v>
      </c>
      <c r="J511" t="n">
        <v>0</v>
      </c>
      <c r="K511" t="n">
        <v>0</v>
      </c>
      <c r="L511" t="n">
        <v>0</v>
      </c>
      <c r="M511" t="n">
        <v>0</v>
      </c>
      <c r="N511" t="n">
        <v>0</v>
      </c>
      <c r="O511" t="n">
        <v>0</v>
      </c>
      <c r="P511" t="n">
        <v>0</v>
      </c>
      <c r="Q511" t="n">
        <v>0</v>
      </c>
      <c r="R511" t="n">
        <v>0</v>
      </c>
      <c r="S511" t="n">
        <v>0</v>
      </c>
      <c r="T511" t="n">
        <v>0</v>
      </c>
      <c r="U511" s="2" t="inlineStr"/>
    </row>
    <row r="512" ht="15" customHeight="1">
      <c r="A512" t="inlineStr">
        <is>
          <t>A 18590-2023</t>
        </is>
      </c>
      <c r="B512" t="inlineStr">
        <is>
          <t>avverkningsanmälan</t>
        </is>
      </c>
      <c r="C512" t="inlineStr">
        <is>
          <t>Föryngringsavverkning</t>
        </is>
      </c>
      <c r="D512" s="1" t="n">
        <v>45043</v>
      </c>
      <c r="E512" s="1" t="n">
        <v>46220</v>
      </c>
      <c r="F512" t="inlineStr">
        <is>
          <t>ÖREBRO LÄN</t>
        </is>
      </c>
      <c r="G512" t="inlineStr">
        <is>
          <t>LINDESBERG</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18220-2026</t>
        </is>
      </c>
      <c r="B513" t="inlineStr">
        <is>
          <t>avverkningsanmälan</t>
        </is>
      </c>
      <c r="C513" t="inlineStr">
        <is>
          <t>Föryngringsavverkning</t>
        </is>
      </c>
      <c r="D513" s="1" t="n">
        <v>46126</v>
      </c>
      <c r="E513" s="1" t="n">
        <v>46220</v>
      </c>
      <c r="F513" t="inlineStr">
        <is>
          <t>ÖREBRO LÄN</t>
        </is>
      </c>
      <c r="G513" t="inlineStr">
        <is>
          <t>LINDESBERG</t>
        </is>
      </c>
      <c r="I513" t="n">
        <v>5.7</v>
      </c>
      <c r="J513" t="n">
        <v>0</v>
      </c>
      <c r="K513" t="n">
        <v>0</v>
      </c>
      <c r="L513" t="n">
        <v>0</v>
      </c>
      <c r="M513" t="n">
        <v>0</v>
      </c>
      <c r="N513" t="n">
        <v>0</v>
      </c>
      <c r="O513" t="n">
        <v>0</v>
      </c>
      <c r="P513" t="n">
        <v>0</v>
      </c>
      <c r="Q513" t="n">
        <v>0</v>
      </c>
      <c r="R513" t="n">
        <v>0</v>
      </c>
      <c r="S513" t="n">
        <v>0</v>
      </c>
      <c r="T513" t="n">
        <v>0</v>
      </c>
      <c r="U513" s="2" t="inlineStr"/>
    </row>
    <row r="514" ht="15" customHeight="1">
      <c r="A514" t="inlineStr">
        <is>
          <t>A 5784-2025</t>
        </is>
      </c>
      <c r="B514" t="inlineStr">
        <is>
          <t>avverkningsanmälan</t>
        </is>
      </c>
      <c r="C514" t="inlineStr">
        <is>
          <t>Föryngringsavverkning</t>
        </is>
      </c>
      <c r="D514" s="1" t="n">
        <v>45694</v>
      </c>
      <c r="E514" s="1" t="n">
        <v>46220</v>
      </c>
      <c r="F514" t="inlineStr">
        <is>
          <t>ÖREBRO LÄN</t>
        </is>
      </c>
      <c r="G514" t="inlineStr">
        <is>
          <t>LINDESBERG</t>
        </is>
      </c>
      <c r="H514" t="inlineStr">
        <is>
          <t>Allmännings- och besparingsskogar</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18061-2026</t>
        </is>
      </c>
      <c r="B515" t="inlineStr">
        <is>
          <t>avverkningsanmälan</t>
        </is>
      </c>
      <c r="C515" t="inlineStr">
        <is>
          <t>Föryngringsavverkning</t>
        </is>
      </c>
      <c r="D515" s="1" t="n">
        <v>46125</v>
      </c>
      <c r="E515" s="1" t="n">
        <v>46220</v>
      </c>
      <c r="F515" t="inlineStr">
        <is>
          <t>ÖREBRO LÄN</t>
        </is>
      </c>
      <c r="G515" t="inlineStr">
        <is>
          <t>LINDESBERG</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16448-2025</t>
        </is>
      </c>
      <c r="B516" t="inlineStr">
        <is>
          <t>avverkningsanmälan</t>
        </is>
      </c>
      <c r="C516" t="inlineStr">
        <is>
          <t>Föryngringsavverkning</t>
        </is>
      </c>
      <c r="D516" s="1" t="n">
        <v>45751</v>
      </c>
      <c r="E516" s="1" t="n">
        <v>46220</v>
      </c>
      <c r="F516" t="inlineStr">
        <is>
          <t>ÖREBRO LÄN</t>
        </is>
      </c>
      <c r="G516" t="inlineStr">
        <is>
          <t>LINDESBERG</t>
        </is>
      </c>
      <c r="I516" t="n">
        <v>20.1</v>
      </c>
      <c r="J516" t="n">
        <v>0</v>
      </c>
      <c r="K516" t="n">
        <v>0</v>
      </c>
      <c r="L516" t="n">
        <v>0</v>
      </c>
      <c r="M516" t="n">
        <v>0</v>
      </c>
      <c r="N516" t="n">
        <v>0</v>
      </c>
      <c r="O516" t="n">
        <v>0</v>
      </c>
      <c r="P516" t="n">
        <v>0</v>
      </c>
      <c r="Q516" t="n">
        <v>0</v>
      </c>
      <c r="R516" t="n">
        <v>0</v>
      </c>
      <c r="S516" t="n">
        <v>0</v>
      </c>
      <c r="T516" t="n">
        <v>0</v>
      </c>
      <c r="U516" s="2" t="inlineStr"/>
    </row>
    <row r="517" ht="15" customHeight="1">
      <c r="A517" t="inlineStr">
        <is>
          <t>A 54432-2023</t>
        </is>
      </c>
      <c r="B517" t="inlineStr">
        <is>
          <t>avverkningsanmälan</t>
        </is>
      </c>
      <c r="C517" t="inlineStr">
        <is>
          <t>Föryngringsavverkning</t>
        </is>
      </c>
      <c r="D517" s="1" t="n">
        <v>45233</v>
      </c>
      <c r="E517" s="1" t="n">
        <v>46220</v>
      </c>
      <c r="F517" t="inlineStr">
        <is>
          <t>ÖREBRO LÄN</t>
        </is>
      </c>
      <c r="G517" t="inlineStr">
        <is>
          <t>LINDESBERG</t>
        </is>
      </c>
      <c r="H517" t="inlineStr">
        <is>
          <t>Sveaskog</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A 18636-2026</t>
        </is>
      </c>
      <c r="B518" t="inlineStr">
        <is>
          <t>avverkningsanmälan</t>
        </is>
      </c>
      <c r="C518" t="inlineStr">
        <is>
          <t>Föryngringsavverkning</t>
        </is>
      </c>
      <c r="D518" s="1" t="n">
        <v>46128</v>
      </c>
      <c r="E518" s="1" t="n">
        <v>46220</v>
      </c>
      <c r="F518" t="inlineStr">
        <is>
          <t>ÖREBRO LÄN</t>
        </is>
      </c>
      <c r="G518" t="inlineStr">
        <is>
          <t>LINDESBERG</t>
        </is>
      </c>
      <c r="H518" t="inlineStr">
        <is>
          <t>Sveaskog</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9436-2023</t>
        </is>
      </c>
      <c r="B519" t="inlineStr">
        <is>
          <t>avverkningsanmälan</t>
        </is>
      </c>
      <c r="C519" t="inlineStr">
        <is>
          <t>Föryngringsavverkning</t>
        </is>
      </c>
      <c r="D519" s="1" t="n">
        <v>44981</v>
      </c>
      <c r="E519" s="1" t="n">
        <v>46220</v>
      </c>
      <c r="F519" t="inlineStr">
        <is>
          <t>ÖREBRO LÄN</t>
        </is>
      </c>
      <c r="G519" t="inlineStr">
        <is>
          <t>LINDESBERG</t>
        </is>
      </c>
      <c r="I519" t="n">
        <v>2.8</v>
      </c>
      <c r="J519" t="n">
        <v>0</v>
      </c>
      <c r="K519" t="n">
        <v>0</v>
      </c>
      <c r="L519" t="n">
        <v>0</v>
      </c>
      <c r="M519" t="n">
        <v>0</v>
      </c>
      <c r="N519" t="n">
        <v>0</v>
      </c>
      <c r="O519" t="n">
        <v>0</v>
      </c>
      <c r="P519" t="n">
        <v>0</v>
      </c>
      <c r="Q519" t="n">
        <v>0</v>
      </c>
      <c r="R519" t="n">
        <v>0</v>
      </c>
      <c r="S519" t="n">
        <v>0</v>
      </c>
      <c r="T519" t="n">
        <v>0</v>
      </c>
      <c r="U519" s="2" t="inlineStr"/>
    </row>
    <row r="520" ht="15" customHeight="1">
      <c r="A520" t="inlineStr">
        <is>
          <t>A 18634-2026</t>
        </is>
      </c>
      <c r="B520" t="inlineStr">
        <is>
          <t>avverkningsanmälan</t>
        </is>
      </c>
      <c r="C520" t="inlineStr">
        <is>
          <t>Föryngringsavverkning</t>
        </is>
      </c>
      <c r="D520" s="1" t="n">
        <v>46128</v>
      </c>
      <c r="E520" s="1" t="n">
        <v>46220</v>
      </c>
      <c r="F520" t="inlineStr">
        <is>
          <t>ÖREBRO LÄN</t>
        </is>
      </c>
      <c r="G520" t="inlineStr">
        <is>
          <t>LINDESBERG</t>
        </is>
      </c>
      <c r="H520" t="inlineStr">
        <is>
          <t>Sveaskog</t>
        </is>
      </c>
      <c r="I520" t="n">
        <v>11.7</v>
      </c>
      <c r="J520" t="n">
        <v>0</v>
      </c>
      <c r="K520" t="n">
        <v>0</v>
      </c>
      <c r="L520" t="n">
        <v>0</v>
      </c>
      <c r="M520" t="n">
        <v>0</v>
      </c>
      <c r="N520" t="n">
        <v>0</v>
      </c>
      <c r="O520" t="n">
        <v>0</v>
      </c>
      <c r="P520" t="n">
        <v>0</v>
      </c>
      <c r="Q520" t="n">
        <v>0</v>
      </c>
      <c r="R520" t="n">
        <v>0</v>
      </c>
      <c r="S520" t="n">
        <v>0</v>
      </c>
      <c r="T520" t="n">
        <v>0</v>
      </c>
      <c r="U520" s="2" t="inlineStr"/>
    </row>
    <row r="521" ht="15" customHeight="1">
      <c r="A521" t="inlineStr">
        <is>
          <t>A 18637-2026</t>
        </is>
      </c>
      <c r="B521" t="inlineStr">
        <is>
          <t>avverkningsanmälan</t>
        </is>
      </c>
      <c r="C521" t="inlineStr">
        <is>
          <t>Föryngringsavverkning</t>
        </is>
      </c>
      <c r="D521" s="1" t="n">
        <v>46128</v>
      </c>
      <c r="E521" s="1" t="n">
        <v>46220</v>
      </c>
      <c r="F521" t="inlineStr">
        <is>
          <t>ÖREBRO LÄN</t>
        </is>
      </c>
      <c r="G521" t="inlineStr">
        <is>
          <t>LINDESBERG</t>
        </is>
      </c>
      <c r="H521" t="inlineStr">
        <is>
          <t>Sveaskog</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36747-2024</t>
        </is>
      </c>
      <c r="B522" t="inlineStr">
        <is>
          <t>avverkningsanmälan</t>
        </is>
      </c>
      <c r="C522" t="inlineStr">
        <is>
          <t>Föryngringsavverkning</t>
        </is>
      </c>
      <c r="D522" s="1" t="n">
        <v>45538</v>
      </c>
      <c r="E522" s="1" t="n">
        <v>46220</v>
      </c>
      <c r="F522" t="inlineStr">
        <is>
          <t>ÖREBRO LÄN</t>
        </is>
      </c>
      <c r="G522" t="inlineStr">
        <is>
          <t>LINDESBERG</t>
        </is>
      </c>
      <c r="H522" t="inlineStr">
        <is>
          <t>Sveaskog</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13305-2023</t>
        </is>
      </c>
      <c r="B523" t="inlineStr">
        <is>
          <t>avverkningsanmälan</t>
        </is>
      </c>
      <c r="C523" t="inlineStr">
        <is>
          <t>Föryngringsavverkning</t>
        </is>
      </c>
      <c r="D523" s="1" t="n">
        <v>45005</v>
      </c>
      <c r="E523" s="1" t="n">
        <v>46220</v>
      </c>
      <c r="F523" t="inlineStr">
        <is>
          <t>ÖREBRO LÄN</t>
        </is>
      </c>
      <c r="G523" t="inlineStr">
        <is>
          <t>LINDESBERG</t>
        </is>
      </c>
      <c r="I523" t="n">
        <v>5.5</v>
      </c>
      <c r="J523" t="n">
        <v>0</v>
      </c>
      <c r="K523" t="n">
        <v>0</v>
      </c>
      <c r="L523" t="n">
        <v>0</v>
      </c>
      <c r="M523" t="n">
        <v>0</v>
      </c>
      <c r="N523" t="n">
        <v>0</v>
      </c>
      <c r="O523" t="n">
        <v>0</v>
      </c>
      <c r="P523" t="n">
        <v>0</v>
      </c>
      <c r="Q523" t="n">
        <v>0</v>
      </c>
      <c r="R523" t="n">
        <v>0</v>
      </c>
      <c r="S523" t="n">
        <v>0</v>
      </c>
      <c r="T523" t="n">
        <v>0</v>
      </c>
      <c r="U523" s="2" t="inlineStr"/>
    </row>
    <row r="524" ht="15" customHeight="1">
      <c r="A524" t="inlineStr">
        <is>
          <t>A 13368-2023</t>
        </is>
      </c>
      <c r="B524" t="inlineStr">
        <is>
          <t>avverkningsanmälan</t>
        </is>
      </c>
      <c r="C524" t="inlineStr">
        <is>
          <t>Föryngringsavverkning</t>
        </is>
      </c>
      <c r="D524" s="1" t="n">
        <v>45005</v>
      </c>
      <c r="E524" s="1" t="n">
        <v>46220</v>
      </c>
      <c r="F524" t="inlineStr">
        <is>
          <t>ÖREBRO LÄN</t>
        </is>
      </c>
      <c r="G524" t="inlineStr">
        <is>
          <t>LINDESBERG</t>
        </is>
      </c>
      <c r="H524" t="inlineStr">
        <is>
          <t>Kommuner</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56912-2024</t>
        </is>
      </c>
      <c r="B525" t="inlineStr">
        <is>
          <t>avverkningsanmälan</t>
        </is>
      </c>
      <c r="C525" t="inlineStr">
        <is>
          <t>Föryngringsavverkning</t>
        </is>
      </c>
      <c r="D525" s="1" t="n">
        <v>45628</v>
      </c>
      <c r="E525" s="1" t="n">
        <v>46220</v>
      </c>
      <c r="F525" t="inlineStr">
        <is>
          <t>ÖREBRO LÄN</t>
        </is>
      </c>
      <c r="G525" t="inlineStr">
        <is>
          <t>LINDESBERG</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15750-2024</t>
        </is>
      </c>
      <c r="B526" t="inlineStr">
        <is>
          <t>avverkningsanmälan</t>
        </is>
      </c>
      <c r="C526" t="inlineStr">
        <is>
          <t>Avverkning för att bevara och utveckla /försöksver</t>
        </is>
      </c>
      <c r="D526" s="1" t="n">
        <v>45404</v>
      </c>
      <c r="E526" s="1" t="n">
        <v>46220</v>
      </c>
      <c r="F526" t="inlineStr">
        <is>
          <t>ÖREBRO LÄN</t>
        </is>
      </c>
      <c r="G526" t="inlineStr">
        <is>
          <t>LINDESBERG</t>
        </is>
      </c>
      <c r="H526" t="inlineStr">
        <is>
          <t>Sveaskog</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72698-2021</t>
        </is>
      </c>
      <c r="B527" t="inlineStr">
        <is>
          <t>avverkningsanmälan</t>
        </is>
      </c>
      <c r="C527" t="inlineStr">
        <is>
          <t>Föryngringsavverkning</t>
        </is>
      </c>
      <c r="D527" s="1" t="n">
        <v>44546</v>
      </c>
      <c r="E527" s="1" t="n">
        <v>46220</v>
      </c>
      <c r="F527" t="inlineStr">
        <is>
          <t>ÖREBRO LÄN</t>
        </is>
      </c>
      <c r="G527" t="inlineStr">
        <is>
          <t>LINDESBERG</t>
        </is>
      </c>
      <c r="I527" t="n">
        <v>1.6</v>
      </c>
      <c r="J527" t="n">
        <v>0</v>
      </c>
      <c r="K527" t="n">
        <v>0</v>
      </c>
      <c r="L527" t="n">
        <v>0</v>
      </c>
      <c r="M527" t="n">
        <v>0</v>
      </c>
      <c r="N527" t="n">
        <v>0</v>
      </c>
      <c r="O527" t="n">
        <v>0</v>
      </c>
      <c r="P527" t="n">
        <v>0</v>
      </c>
      <c r="Q527" t="n">
        <v>0</v>
      </c>
      <c r="R527" t="n">
        <v>0</v>
      </c>
      <c r="S527" t="n">
        <v>0</v>
      </c>
      <c r="T527" t="n">
        <v>0</v>
      </c>
      <c r="U527" s="2" t="inlineStr"/>
    </row>
    <row r="528" ht="15" customHeight="1">
      <c r="A528" t="inlineStr">
        <is>
          <t>A 19110-2025</t>
        </is>
      </c>
      <c r="B528" t="inlineStr">
        <is>
          <t>avverkningsanmälan</t>
        </is>
      </c>
      <c r="C528" t="inlineStr">
        <is>
          <t>Föryngringsavverkning</t>
        </is>
      </c>
      <c r="D528" s="1" t="n">
        <v>45768</v>
      </c>
      <c r="E528" s="1" t="n">
        <v>46220</v>
      </c>
      <c r="F528" t="inlineStr">
        <is>
          <t>ÖREBRO LÄN</t>
        </is>
      </c>
      <c r="G528" t="inlineStr">
        <is>
          <t>LINDESBERG</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46678-2023</t>
        </is>
      </c>
      <c r="B529" t="inlineStr">
        <is>
          <t>avverkningsanmälan</t>
        </is>
      </c>
      <c r="C529" t="inlineStr">
        <is>
          <t>Föryngringsavverkning</t>
        </is>
      </c>
      <c r="D529" s="1" t="n">
        <v>45194</v>
      </c>
      <c r="E529" s="1" t="n">
        <v>46220</v>
      </c>
      <c r="F529" t="inlineStr">
        <is>
          <t>ÖREBRO LÄN</t>
        </is>
      </c>
      <c r="G529" t="inlineStr">
        <is>
          <t>LINDESBERG</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23579-2022</t>
        </is>
      </c>
      <c r="B530" t="inlineStr">
        <is>
          <t>avverkningsanmälan</t>
        </is>
      </c>
      <c r="C530" t="inlineStr">
        <is>
          <t>Föryngringsavverkning</t>
        </is>
      </c>
      <c r="D530" s="1" t="n">
        <v>44721</v>
      </c>
      <c r="E530" s="1" t="n">
        <v>46220</v>
      </c>
      <c r="F530" t="inlineStr">
        <is>
          <t>ÖREBRO LÄN</t>
        </is>
      </c>
      <c r="G530" t="inlineStr">
        <is>
          <t>LINDESBERG</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53054-2022</t>
        </is>
      </c>
      <c r="B531" t="inlineStr">
        <is>
          <t>avverkningsanmälan</t>
        </is>
      </c>
      <c r="C531" t="inlineStr">
        <is>
          <t>Föryngringsavverkning</t>
        </is>
      </c>
      <c r="D531" s="1" t="n">
        <v>44876</v>
      </c>
      <c r="E531" s="1" t="n">
        <v>46220</v>
      </c>
      <c r="F531" t="inlineStr">
        <is>
          <t>ÖREBRO LÄN</t>
        </is>
      </c>
      <c r="G531" t="inlineStr">
        <is>
          <t>LINDESBERG</t>
        </is>
      </c>
      <c r="H531" t="inlineStr">
        <is>
          <t>Sveaskog</t>
        </is>
      </c>
      <c r="I531" t="n">
        <v>2.6</v>
      </c>
      <c r="J531" t="n">
        <v>0</v>
      </c>
      <c r="K531" t="n">
        <v>0</v>
      </c>
      <c r="L531" t="n">
        <v>0</v>
      </c>
      <c r="M531" t="n">
        <v>0</v>
      </c>
      <c r="N531" t="n">
        <v>0</v>
      </c>
      <c r="O531" t="n">
        <v>0</v>
      </c>
      <c r="P531" t="n">
        <v>0</v>
      </c>
      <c r="Q531" t="n">
        <v>0</v>
      </c>
      <c r="R531" t="n">
        <v>0</v>
      </c>
      <c r="S531" t="n">
        <v>0</v>
      </c>
      <c r="T531" t="n">
        <v>0</v>
      </c>
      <c r="U531" s="2" t="inlineStr"/>
    </row>
    <row r="532" ht="15" customHeight="1">
      <c r="A532" t="inlineStr">
        <is>
          <t>A 19292-2026</t>
        </is>
      </c>
      <c r="B532" t="inlineStr">
        <is>
          <t>avverkningsanmälan</t>
        </is>
      </c>
      <c r="C532" t="inlineStr">
        <is>
          <t>Avverkning för annat ändamål</t>
        </is>
      </c>
      <c r="D532" s="1" t="n">
        <v>46133</v>
      </c>
      <c r="E532" s="1" t="n">
        <v>46220</v>
      </c>
      <c r="F532" t="inlineStr">
        <is>
          <t>ÖREBRO LÄN</t>
        </is>
      </c>
      <c r="G532" t="inlineStr">
        <is>
          <t>LINDESBERG</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20467-2023</t>
        </is>
      </c>
      <c r="B533" t="inlineStr">
        <is>
          <t>avverkningsanmälan</t>
        </is>
      </c>
      <c r="C533" t="inlineStr">
        <is>
          <t>Föryngringsavverkning</t>
        </is>
      </c>
      <c r="D533" s="1" t="n">
        <v>45057</v>
      </c>
      <c r="E533" s="1" t="n">
        <v>46220</v>
      </c>
      <c r="F533" t="inlineStr">
        <is>
          <t>ÖREBRO LÄN</t>
        </is>
      </c>
      <c r="G533" t="inlineStr">
        <is>
          <t>LINDESBERG</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35140-2023</t>
        </is>
      </c>
      <c r="B534" t="inlineStr">
        <is>
          <t>avverkningsanmälan</t>
        </is>
      </c>
      <c r="C534" t="inlineStr">
        <is>
          <t>Föryngringsavverkning</t>
        </is>
      </c>
      <c r="D534" s="1" t="n">
        <v>45145</v>
      </c>
      <c r="E534" s="1" t="n">
        <v>46220</v>
      </c>
      <c r="F534" t="inlineStr">
        <is>
          <t>ÖREBRO LÄN</t>
        </is>
      </c>
      <c r="G534" t="inlineStr">
        <is>
          <t>LINDESBERG</t>
        </is>
      </c>
      <c r="H534" t="inlineStr">
        <is>
          <t>Sveaskog</t>
        </is>
      </c>
      <c r="I534" t="n">
        <v>0.4</v>
      </c>
      <c r="J534" t="n">
        <v>0</v>
      </c>
      <c r="K534" t="n">
        <v>0</v>
      </c>
      <c r="L534" t="n">
        <v>0</v>
      </c>
      <c r="M534" t="n">
        <v>0</v>
      </c>
      <c r="N534" t="n">
        <v>0</v>
      </c>
      <c r="O534" t="n">
        <v>0</v>
      </c>
      <c r="P534" t="n">
        <v>0</v>
      </c>
      <c r="Q534" t="n">
        <v>0</v>
      </c>
      <c r="R534" t="n">
        <v>0</v>
      </c>
      <c r="S534" t="n">
        <v>0</v>
      </c>
      <c r="T534" t="n">
        <v>0</v>
      </c>
      <c r="U534" s="2" t="inlineStr"/>
    </row>
    <row r="535" ht="15" customHeight="1">
      <c r="A535" t="inlineStr">
        <is>
          <t>A 38762-2021</t>
        </is>
      </c>
      <c r="B535" t="inlineStr">
        <is>
          <t>avverkningsanmälan</t>
        </is>
      </c>
      <c r="C535" t="inlineStr">
        <is>
          <t>Föryngringsavverkning</t>
        </is>
      </c>
      <c r="D535" s="1" t="n">
        <v>44410</v>
      </c>
      <c r="E535" s="1" t="n">
        <v>46220</v>
      </c>
      <c r="F535" t="inlineStr">
        <is>
          <t>ÖREBRO LÄN</t>
        </is>
      </c>
      <c r="G535" t="inlineStr">
        <is>
          <t>LINDESBERG</t>
        </is>
      </c>
      <c r="H535" t="inlineStr">
        <is>
          <t>Sveaskog</t>
        </is>
      </c>
      <c r="I535" t="n">
        <v>2.3</v>
      </c>
      <c r="J535" t="n">
        <v>0</v>
      </c>
      <c r="K535" t="n">
        <v>0</v>
      </c>
      <c r="L535" t="n">
        <v>0</v>
      </c>
      <c r="M535" t="n">
        <v>0</v>
      </c>
      <c r="N535" t="n">
        <v>0</v>
      </c>
      <c r="O535" t="n">
        <v>0</v>
      </c>
      <c r="P535" t="n">
        <v>0</v>
      </c>
      <c r="Q535" t="n">
        <v>0</v>
      </c>
      <c r="R535" t="n">
        <v>0</v>
      </c>
      <c r="S535" t="n">
        <v>0</v>
      </c>
      <c r="T535" t="n">
        <v>0</v>
      </c>
      <c r="U535" s="2" t="inlineStr"/>
    </row>
    <row r="536" ht="15" customHeight="1">
      <c r="A536" t="inlineStr">
        <is>
          <t>A 39419-2023</t>
        </is>
      </c>
      <c r="B536" t="inlineStr">
        <is>
          <t>avverkningsanmälan</t>
        </is>
      </c>
      <c r="C536" t="inlineStr">
        <is>
          <t>Föryngringsavverkning</t>
        </is>
      </c>
      <c r="D536" s="1" t="n">
        <v>45166</v>
      </c>
      <c r="E536" s="1" t="n">
        <v>46220</v>
      </c>
      <c r="F536" t="inlineStr">
        <is>
          <t>ÖREBRO LÄN</t>
        </is>
      </c>
      <c r="G536" t="inlineStr">
        <is>
          <t>LINDESBERG</t>
        </is>
      </c>
      <c r="H536" t="inlineStr">
        <is>
          <t>Sveaskog</t>
        </is>
      </c>
      <c r="I536" t="n">
        <v>0.4</v>
      </c>
      <c r="J536" t="n">
        <v>0</v>
      </c>
      <c r="K536" t="n">
        <v>0</v>
      </c>
      <c r="L536" t="n">
        <v>0</v>
      </c>
      <c r="M536" t="n">
        <v>0</v>
      </c>
      <c r="N536" t="n">
        <v>0</v>
      </c>
      <c r="O536" t="n">
        <v>0</v>
      </c>
      <c r="P536" t="n">
        <v>0</v>
      </c>
      <c r="Q536" t="n">
        <v>0</v>
      </c>
      <c r="R536" t="n">
        <v>0</v>
      </c>
      <c r="S536" t="n">
        <v>0</v>
      </c>
      <c r="T536" t="n">
        <v>0</v>
      </c>
      <c r="U536" s="2" t="inlineStr"/>
    </row>
    <row r="537" ht="15" customHeight="1">
      <c r="A537" t="inlineStr">
        <is>
          <t>A 6470-2024</t>
        </is>
      </c>
      <c r="B537" t="inlineStr">
        <is>
          <t>avverkningsanmälan</t>
        </is>
      </c>
      <c r="C537" t="inlineStr">
        <is>
          <t>Föryngringsavverkning</t>
        </is>
      </c>
      <c r="D537" s="1" t="n">
        <v>45338</v>
      </c>
      <c r="E537" s="1" t="n">
        <v>46220</v>
      </c>
      <c r="F537" t="inlineStr">
        <is>
          <t>ÖREBRO LÄN</t>
        </is>
      </c>
      <c r="G537" t="inlineStr">
        <is>
          <t>LINDESBERG</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45978-2021</t>
        </is>
      </c>
      <c r="B538" t="inlineStr">
        <is>
          <t>avverkningsanmälan</t>
        </is>
      </c>
      <c r="C538" t="inlineStr">
        <is>
          <t>Föryngringsavverkning</t>
        </is>
      </c>
      <c r="D538" s="1" t="n">
        <v>44441</v>
      </c>
      <c r="E538" s="1" t="n">
        <v>46220</v>
      </c>
      <c r="F538" t="inlineStr">
        <is>
          <t>ÖREBRO LÄN</t>
        </is>
      </c>
      <c r="G538" t="inlineStr">
        <is>
          <t>LINDESBERG</t>
        </is>
      </c>
      <c r="I538" t="n">
        <v>4.4</v>
      </c>
      <c r="J538" t="n">
        <v>0</v>
      </c>
      <c r="K538" t="n">
        <v>0</v>
      </c>
      <c r="L538" t="n">
        <v>0</v>
      </c>
      <c r="M538" t="n">
        <v>0</v>
      </c>
      <c r="N538" t="n">
        <v>0</v>
      </c>
      <c r="O538" t="n">
        <v>0</v>
      </c>
      <c r="P538" t="n">
        <v>0</v>
      </c>
      <c r="Q538" t="n">
        <v>0</v>
      </c>
      <c r="R538" t="n">
        <v>0</v>
      </c>
      <c r="S538" t="n">
        <v>0</v>
      </c>
      <c r="T538" t="n">
        <v>0</v>
      </c>
      <c r="U538" s="2" t="inlineStr"/>
    </row>
    <row r="539" ht="15" customHeight="1">
      <c r="A539" t="inlineStr">
        <is>
          <t>A 11218-2025</t>
        </is>
      </c>
      <c r="B539" t="inlineStr">
        <is>
          <t>avverkningsanmälan</t>
        </is>
      </c>
      <c r="C539" t="inlineStr">
        <is>
          <t>Föryngringsavverkning</t>
        </is>
      </c>
      <c r="D539" s="1" t="n">
        <v>45726</v>
      </c>
      <c r="E539" s="1" t="n">
        <v>46220</v>
      </c>
      <c r="F539" t="inlineStr">
        <is>
          <t>ÖREBRO LÄN</t>
        </is>
      </c>
      <c r="G539" t="inlineStr">
        <is>
          <t>LINDESBERG</t>
        </is>
      </c>
      <c r="I539" t="n">
        <v>0.4</v>
      </c>
      <c r="J539" t="n">
        <v>0</v>
      </c>
      <c r="K539" t="n">
        <v>0</v>
      </c>
      <c r="L539" t="n">
        <v>0</v>
      </c>
      <c r="M539" t="n">
        <v>0</v>
      </c>
      <c r="N539" t="n">
        <v>0</v>
      </c>
      <c r="O539" t="n">
        <v>0</v>
      </c>
      <c r="P539" t="n">
        <v>0</v>
      </c>
      <c r="Q539" t="n">
        <v>0</v>
      </c>
      <c r="R539" t="n">
        <v>0</v>
      </c>
      <c r="S539" t="n">
        <v>0</v>
      </c>
      <c r="T539" t="n">
        <v>0</v>
      </c>
      <c r="U539" s="2" t="inlineStr"/>
    </row>
    <row r="540" ht="15" customHeight="1">
      <c r="A540" t="inlineStr">
        <is>
          <t>A 11220-2025</t>
        </is>
      </c>
      <c r="B540" t="inlineStr">
        <is>
          <t>avverkningsanmälan</t>
        </is>
      </c>
      <c r="C540" t="inlineStr">
        <is>
          <t>Föryngringsavverkning</t>
        </is>
      </c>
      <c r="D540" s="1" t="n">
        <v>45726</v>
      </c>
      <c r="E540" s="1" t="n">
        <v>46220</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37616-2023</t>
        </is>
      </c>
      <c r="B541" t="inlineStr">
        <is>
          <t>avverkningsanmälan</t>
        </is>
      </c>
      <c r="C541" t="inlineStr">
        <is>
          <t>Föryngringsavverkning</t>
        </is>
      </c>
      <c r="D541" s="1" t="n">
        <v>45159</v>
      </c>
      <c r="E541" s="1" t="n">
        <v>46220</v>
      </c>
      <c r="F541" t="inlineStr">
        <is>
          <t>ÖREBRO LÄN</t>
        </is>
      </c>
      <c r="G541" t="inlineStr">
        <is>
          <t>LINDESBERG</t>
        </is>
      </c>
      <c r="I541" t="n">
        <v>5.3</v>
      </c>
      <c r="J541" t="n">
        <v>0</v>
      </c>
      <c r="K541" t="n">
        <v>0</v>
      </c>
      <c r="L541" t="n">
        <v>0</v>
      </c>
      <c r="M541" t="n">
        <v>0</v>
      </c>
      <c r="N541" t="n">
        <v>0</v>
      </c>
      <c r="O541" t="n">
        <v>0</v>
      </c>
      <c r="P541" t="n">
        <v>0</v>
      </c>
      <c r="Q541" t="n">
        <v>0</v>
      </c>
      <c r="R541" t="n">
        <v>0</v>
      </c>
      <c r="S541" t="n">
        <v>0</v>
      </c>
      <c r="T541" t="n">
        <v>0</v>
      </c>
      <c r="U541" s="2" t="inlineStr"/>
    </row>
    <row r="542" ht="15" customHeight="1">
      <c r="A542" t="inlineStr">
        <is>
          <t>A 23245-2025</t>
        </is>
      </c>
      <c r="B542" t="inlineStr">
        <is>
          <t>avverkningsanmälan</t>
        </is>
      </c>
      <c r="C542" t="inlineStr">
        <is>
          <t>Föryngringsavverkning</t>
        </is>
      </c>
      <c r="D542" s="1" t="n">
        <v>45791</v>
      </c>
      <c r="E542" s="1" t="n">
        <v>46220</v>
      </c>
      <c r="F542" t="inlineStr">
        <is>
          <t>ÖREBRO LÄN</t>
        </is>
      </c>
      <c r="G542" t="inlineStr">
        <is>
          <t>LINDESBERG</t>
        </is>
      </c>
      <c r="I542" t="n">
        <v>6.8</v>
      </c>
      <c r="J542" t="n">
        <v>0</v>
      </c>
      <c r="K542" t="n">
        <v>0</v>
      </c>
      <c r="L542" t="n">
        <v>0</v>
      </c>
      <c r="M542" t="n">
        <v>0</v>
      </c>
      <c r="N542" t="n">
        <v>0</v>
      </c>
      <c r="O542" t="n">
        <v>0</v>
      </c>
      <c r="P542" t="n">
        <v>0</v>
      </c>
      <c r="Q542" t="n">
        <v>0</v>
      </c>
      <c r="R542" t="n">
        <v>0</v>
      </c>
      <c r="S542" t="n">
        <v>0</v>
      </c>
      <c r="T542" t="n">
        <v>0</v>
      </c>
      <c r="U542" s="2" t="inlineStr"/>
    </row>
    <row r="543" ht="15" customHeight="1">
      <c r="A543" t="inlineStr">
        <is>
          <t>A 28562-2023</t>
        </is>
      </c>
      <c r="B543" t="inlineStr">
        <is>
          <t>avverkningsanmälan</t>
        </is>
      </c>
      <c r="C543" t="inlineStr">
        <is>
          <t>Föryngringsavverkning</t>
        </is>
      </c>
      <c r="D543" s="1" t="n">
        <v>45103</v>
      </c>
      <c r="E543" s="1" t="n">
        <v>46220</v>
      </c>
      <c r="F543" t="inlineStr">
        <is>
          <t>ÖREBRO LÄN</t>
        </is>
      </c>
      <c r="G543" t="inlineStr">
        <is>
          <t>LINDESBERG</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21016-2023</t>
        </is>
      </c>
      <c r="B544" t="inlineStr">
        <is>
          <t>avverkningsanmälan</t>
        </is>
      </c>
      <c r="C544" t="inlineStr">
        <is>
          <t>Föryngringsavverkning</t>
        </is>
      </c>
      <c r="D544" s="1" t="n">
        <v>45061</v>
      </c>
      <c r="E544" s="1" t="n">
        <v>46220</v>
      </c>
      <c r="F544" t="inlineStr">
        <is>
          <t>ÖREBRO LÄN</t>
        </is>
      </c>
      <c r="G544" t="inlineStr">
        <is>
          <t>LINDESBERG</t>
        </is>
      </c>
      <c r="I544" t="n">
        <v>8.1</v>
      </c>
      <c r="J544" t="n">
        <v>0</v>
      </c>
      <c r="K544" t="n">
        <v>0</v>
      </c>
      <c r="L544" t="n">
        <v>0</v>
      </c>
      <c r="M544" t="n">
        <v>0</v>
      </c>
      <c r="N544" t="n">
        <v>0</v>
      </c>
      <c r="O544" t="n">
        <v>0</v>
      </c>
      <c r="P544" t="n">
        <v>0</v>
      </c>
      <c r="Q544" t="n">
        <v>0</v>
      </c>
      <c r="R544" t="n">
        <v>0</v>
      </c>
      <c r="S544" t="n">
        <v>0</v>
      </c>
      <c r="T544" t="n">
        <v>0</v>
      </c>
      <c r="U544" s="2" t="inlineStr"/>
    </row>
    <row r="545" ht="15" customHeight="1">
      <c r="A545" t="inlineStr">
        <is>
          <t>A 64084-2023</t>
        </is>
      </c>
      <c r="B545" t="inlineStr">
        <is>
          <t>avverkningsanmälan</t>
        </is>
      </c>
      <c r="C545" t="inlineStr">
        <is>
          <t>Föryngringsavverkning</t>
        </is>
      </c>
      <c r="D545" s="1" t="n">
        <v>45279</v>
      </c>
      <c r="E545" s="1" t="n">
        <v>46220</v>
      </c>
      <c r="F545" t="inlineStr">
        <is>
          <t>ÖREBRO LÄN</t>
        </is>
      </c>
      <c r="G545" t="inlineStr">
        <is>
          <t>LINDESBERG</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33886-2024</t>
        </is>
      </c>
      <c r="B546" t="inlineStr">
        <is>
          <t>avverkningsanmälan</t>
        </is>
      </c>
      <c r="C546" t="inlineStr">
        <is>
          <t>Föryngringsavverkning</t>
        </is>
      </c>
      <c r="D546" s="1" t="n">
        <v>45523</v>
      </c>
      <c r="E546" s="1" t="n">
        <v>46220</v>
      </c>
      <c r="F546" t="inlineStr">
        <is>
          <t>ÖREBRO LÄN</t>
        </is>
      </c>
      <c r="G546" t="inlineStr">
        <is>
          <t>LINDESBERG</t>
        </is>
      </c>
      <c r="I546" t="n">
        <v>1.3</v>
      </c>
      <c r="J546" t="n">
        <v>0</v>
      </c>
      <c r="K546" t="n">
        <v>0</v>
      </c>
      <c r="L546" t="n">
        <v>0</v>
      </c>
      <c r="M546" t="n">
        <v>0</v>
      </c>
      <c r="N546" t="n">
        <v>0</v>
      </c>
      <c r="O546" t="n">
        <v>0</v>
      </c>
      <c r="P546" t="n">
        <v>0</v>
      </c>
      <c r="Q546" t="n">
        <v>0</v>
      </c>
      <c r="R546" t="n">
        <v>0</v>
      </c>
      <c r="S546" t="n">
        <v>0</v>
      </c>
      <c r="T546" t="n">
        <v>0</v>
      </c>
      <c r="U546" s="2" t="inlineStr"/>
    </row>
    <row r="547" ht="15" customHeight="1">
      <c r="A547" t="inlineStr">
        <is>
          <t>A 43046-2022</t>
        </is>
      </c>
      <c r="B547" t="inlineStr">
        <is>
          <t>avverkningsanmälan</t>
        </is>
      </c>
      <c r="C547" t="inlineStr">
        <is>
          <t>Avverkning för annat ändamål</t>
        </is>
      </c>
      <c r="D547" s="1" t="n">
        <v>44833</v>
      </c>
      <c r="E547" s="1" t="n">
        <v>46220</v>
      </c>
      <c r="F547" t="inlineStr">
        <is>
          <t>ÖREBRO LÄN</t>
        </is>
      </c>
      <c r="G547" t="inlineStr">
        <is>
          <t>LINDESBERG</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6-2023</t>
        </is>
      </c>
      <c r="B548" t="inlineStr">
        <is>
          <t>avverkningsanmälan</t>
        </is>
      </c>
      <c r="C548" t="inlineStr">
        <is>
          <t>Föryngringsavverkning</t>
        </is>
      </c>
      <c r="D548" s="1" t="n">
        <v>44927</v>
      </c>
      <c r="E548" s="1" t="n">
        <v>46220</v>
      </c>
      <c r="F548" t="inlineStr">
        <is>
          <t>ÖREBRO LÄN</t>
        </is>
      </c>
      <c r="G548" t="inlineStr">
        <is>
          <t>LINDESBERG</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48061-2025</t>
        </is>
      </c>
      <c r="B549" t="inlineStr">
        <is>
          <t>avverkningsanmälan</t>
        </is>
      </c>
      <c r="C549" t="inlineStr">
        <is>
          <t>Föryngringsavverkning</t>
        </is>
      </c>
      <c r="D549" s="1" t="n">
        <v>45932</v>
      </c>
      <c r="E549" s="1" t="n">
        <v>46220</v>
      </c>
      <c r="F549" t="inlineStr">
        <is>
          <t>ÖREBRO LÄN</t>
        </is>
      </c>
      <c r="G549" t="inlineStr">
        <is>
          <t>LINDESBERG</t>
        </is>
      </c>
      <c r="I549" t="n">
        <v>1.5</v>
      </c>
      <c r="J549" t="n">
        <v>0</v>
      </c>
      <c r="K549" t="n">
        <v>0</v>
      </c>
      <c r="L549" t="n">
        <v>0</v>
      </c>
      <c r="M549" t="n">
        <v>0</v>
      </c>
      <c r="N549" t="n">
        <v>0</v>
      </c>
      <c r="O549" t="n">
        <v>0</v>
      </c>
      <c r="P549" t="n">
        <v>0</v>
      </c>
      <c r="Q549" t="n">
        <v>0</v>
      </c>
      <c r="R549" t="n">
        <v>0</v>
      </c>
      <c r="S549" t="n">
        <v>0</v>
      </c>
      <c r="T549" t="n">
        <v>0</v>
      </c>
      <c r="U549" s="2" t="inlineStr"/>
    </row>
    <row r="550" ht="15" customHeight="1">
      <c r="A550" t="inlineStr">
        <is>
          <t>A 63508-2023</t>
        </is>
      </c>
      <c r="B550" t="inlineStr">
        <is>
          <t>avverkningsanmälan</t>
        </is>
      </c>
      <c r="C550" t="inlineStr">
        <is>
          <t>Föryngringsavverkning</t>
        </is>
      </c>
      <c r="D550" s="1" t="n">
        <v>45274</v>
      </c>
      <c r="E550" s="1" t="n">
        <v>46220</v>
      </c>
      <c r="F550" t="inlineStr">
        <is>
          <t>ÖREBRO LÄN</t>
        </is>
      </c>
      <c r="G550" t="inlineStr">
        <is>
          <t>LINDESBERG</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36136-2023</t>
        </is>
      </c>
      <c r="B551" t="inlineStr">
        <is>
          <t>avverkningsanmälan</t>
        </is>
      </c>
      <c r="C551" t="inlineStr">
        <is>
          <t>Avverkning för annat ändamål</t>
        </is>
      </c>
      <c r="D551" s="1" t="n">
        <v>45149</v>
      </c>
      <c r="E551" s="1" t="n">
        <v>46220</v>
      </c>
      <c r="F551" t="inlineStr">
        <is>
          <t>ÖREBRO LÄN</t>
        </is>
      </c>
      <c r="G551" t="inlineStr">
        <is>
          <t>LINDESBERG</t>
        </is>
      </c>
      <c r="H551" t="inlineStr">
        <is>
          <t>Sveaskog</t>
        </is>
      </c>
      <c r="I551" t="n">
        <v>0.6</v>
      </c>
      <c r="J551" t="n">
        <v>0</v>
      </c>
      <c r="K551" t="n">
        <v>0</v>
      </c>
      <c r="L551" t="n">
        <v>0</v>
      </c>
      <c r="M551" t="n">
        <v>0</v>
      </c>
      <c r="N551" t="n">
        <v>0</v>
      </c>
      <c r="O551" t="n">
        <v>0</v>
      </c>
      <c r="P551" t="n">
        <v>0</v>
      </c>
      <c r="Q551" t="n">
        <v>0</v>
      </c>
      <c r="R551" t="n">
        <v>0</v>
      </c>
      <c r="S551" t="n">
        <v>0</v>
      </c>
      <c r="T551" t="n">
        <v>0</v>
      </c>
      <c r="U551" s="2" t="inlineStr"/>
    </row>
    <row r="552" ht="15" customHeight="1">
      <c r="A552" t="inlineStr">
        <is>
          <t>A 34025-2024</t>
        </is>
      </c>
      <c r="B552" t="inlineStr">
        <is>
          <t>avverkningsanmälan</t>
        </is>
      </c>
      <c r="C552" t="inlineStr">
        <is>
          <t>Föryngringsavverkning</t>
        </is>
      </c>
      <c r="D552" s="1" t="n">
        <v>45523</v>
      </c>
      <c r="E552" s="1" t="n">
        <v>46220</v>
      </c>
      <c r="F552" t="inlineStr">
        <is>
          <t>ÖREBRO LÄN</t>
        </is>
      </c>
      <c r="G552" t="inlineStr">
        <is>
          <t>LINDESBERG</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19077-2025</t>
        </is>
      </c>
      <c r="B553" t="inlineStr">
        <is>
          <t>avverkningsanmälan</t>
        </is>
      </c>
      <c r="C553" t="inlineStr">
        <is>
          <t>Avverkning för annat ändamål</t>
        </is>
      </c>
      <c r="D553" s="1" t="n">
        <v>45766</v>
      </c>
      <c r="E553" s="1" t="n">
        <v>46220</v>
      </c>
      <c r="F553" t="inlineStr">
        <is>
          <t>ÖREBRO LÄN</t>
        </is>
      </c>
      <c r="G553" t="inlineStr">
        <is>
          <t>LINDESBERG</t>
        </is>
      </c>
      <c r="I553" t="n">
        <v>0</v>
      </c>
      <c r="J553" t="n">
        <v>0</v>
      </c>
      <c r="K553" t="n">
        <v>0</v>
      </c>
      <c r="L553" t="n">
        <v>0</v>
      </c>
      <c r="M553" t="n">
        <v>0</v>
      </c>
      <c r="N553" t="n">
        <v>0</v>
      </c>
      <c r="O553" t="n">
        <v>0</v>
      </c>
      <c r="P553" t="n">
        <v>0</v>
      </c>
      <c r="Q553" t="n">
        <v>0</v>
      </c>
      <c r="R553" t="n">
        <v>0</v>
      </c>
      <c r="S553" t="n">
        <v>0</v>
      </c>
      <c r="T553" t="n">
        <v>0</v>
      </c>
      <c r="U553" s="2" t="inlineStr"/>
    </row>
    <row r="554" ht="15" customHeight="1">
      <c r="A554" t="inlineStr">
        <is>
          <t>A 34434-2023</t>
        </is>
      </c>
      <c r="B554" t="inlineStr">
        <is>
          <t>avverkningsanmälan</t>
        </is>
      </c>
      <c r="C554" t="inlineStr">
        <is>
          <t>Föryngringsavverkning</t>
        </is>
      </c>
      <c r="D554" s="1" t="n">
        <v>45139</v>
      </c>
      <c r="E554" s="1" t="n">
        <v>46220</v>
      </c>
      <c r="F554" t="inlineStr">
        <is>
          <t>ÖREBRO LÄN</t>
        </is>
      </c>
      <c r="G554" t="inlineStr">
        <is>
          <t>LINDESBERG</t>
        </is>
      </c>
      <c r="H554" t="inlineStr">
        <is>
          <t>Kyrkan</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36754-2024</t>
        </is>
      </c>
      <c r="B555" t="inlineStr">
        <is>
          <t>avverkningsanmälan</t>
        </is>
      </c>
      <c r="C555" t="inlineStr">
        <is>
          <t>Föryngringsavverkning</t>
        </is>
      </c>
      <c r="D555" s="1" t="n">
        <v>45538</v>
      </c>
      <c r="E555" s="1" t="n">
        <v>46220</v>
      </c>
      <c r="F555" t="inlineStr">
        <is>
          <t>ÖREBRO LÄN</t>
        </is>
      </c>
      <c r="G555" t="inlineStr">
        <is>
          <t>LINDESBERG</t>
        </is>
      </c>
      <c r="H555" t="inlineStr">
        <is>
          <t>Sveaskog</t>
        </is>
      </c>
      <c r="I555" t="n">
        <v>3.1</v>
      </c>
      <c r="J555" t="n">
        <v>0</v>
      </c>
      <c r="K555" t="n">
        <v>0</v>
      </c>
      <c r="L555" t="n">
        <v>0</v>
      </c>
      <c r="M555" t="n">
        <v>0</v>
      </c>
      <c r="N555" t="n">
        <v>0</v>
      </c>
      <c r="O555" t="n">
        <v>0</v>
      </c>
      <c r="P555" t="n">
        <v>0</v>
      </c>
      <c r="Q555" t="n">
        <v>0</v>
      </c>
      <c r="R555" t="n">
        <v>0</v>
      </c>
      <c r="S555" t="n">
        <v>0</v>
      </c>
      <c r="T555" t="n">
        <v>0</v>
      </c>
      <c r="U555" s="2" t="inlineStr"/>
    </row>
    <row r="556" ht="15" customHeight="1">
      <c r="A556" t="inlineStr">
        <is>
          <t>A 31221-2025</t>
        </is>
      </c>
      <c r="B556" t="inlineStr">
        <is>
          <t>avverkningsanmälan</t>
        </is>
      </c>
      <c r="C556" t="inlineStr">
        <is>
          <t>Föryngringsavverkning</t>
        </is>
      </c>
      <c r="D556" s="1" t="n">
        <v>45832</v>
      </c>
      <c r="E556" s="1" t="n">
        <v>46220</v>
      </c>
      <c r="F556" t="inlineStr">
        <is>
          <t>ÖREBRO LÄN</t>
        </is>
      </c>
      <c r="G556" t="inlineStr">
        <is>
          <t>LINDESBERG</t>
        </is>
      </c>
      <c r="H556" t="inlineStr">
        <is>
          <t>Sveaskog</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53510-2024</t>
        </is>
      </c>
      <c r="B557" t="inlineStr">
        <is>
          <t>avverkningsanmälan</t>
        </is>
      </c>
      <c r="C557" t="inlineStr">
        <is>
          <t>Föryngringsavverkning</t>
        </is>
      </c>
      <c r="D557" s="1" t="n">
        <v>45614</v>
      </c>
      <c r="E557" s="1" t="n">
        <v>46220</v>
      </c>
      <c r="F557" t="inlineStr">
        <is>
          <t>ÖREBRO LÄN</t>
        </is>
      </c>
      <c r="G557" t="inlineStr">
        <is>
          <t>LINDESBERG</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50275-2024</t>
        </is>
      </c>
      <c r="B558" t="inlineStr">
        <is>
          <t>avverkningsanmälan</t>
        </is>
      </c>
      <c r="C558" t="inlineStr">
        <is>
          <t>Föryngringsavverkning</t>
        </is>
      </c>
      <c r="D558" s="1" t="n">
        <v>45600</v>
      </c>
      <c r="E558" s="1" t="n">
        <v>46220</v>
      </c>
      <c r="F558" t="inlineStr">
        <is>
          <t>ÖREBRO LÄN</t>
        </is>
      </c>
      <c r="G558" t="inlineStr">
        <is>
          <t>LINDESBERG</t>
        </is>
      </c>
      <c r="I558" t="n">
        <v>4.3</v>
      </c>
      <c r="J558" t="n">
        <v>0</v>
      </c>
      <c r="K558" t="n">
        <v>0</v>
      </c>
      <c r="L558" t="n">
        <v>0</v>
      </c>
      <c r="M558" t="n">
        <v>0</v>
      </c>
      <c r="N558" t="n">
        <v>0</v>
      </c>
      <c r="O558" t="n">
        <v>0</v>
      </c>
      <c r="P558" t="n">
        <v>0</v>
      </c>
      <c r="Q558" t="n">
        <v>0</v>
      </c>
      <c r="R558" t="n">
        <v>0</v>
      </c>
      <c r="S558" t="n">
        <v>0</v>
      </c>
      <c r="T558" t="n">
        <v>0</v>
      </c>
      <c r="U558" s="2" t="inlineStr"/>
    </row>
    <row r="559" ht="15" customHeight="1">
      <c r="A559" t="inlineStr">
        <is>
          <t>A 17463-2023</t>
        </is>
      </c>
      <c r="B559" t="inlineStr">
        <is>
          <t>avverkningsanmälan</t>
        </is>
      </c>
      <c r="C559" t="inlineStr">
        <is>
          <t>Föryngringsavverkning</t>
        </is>
      </c>
      <c r="D559" s="1" t="n">
        <v>45036</v>
      </c>
      <c r="E559" s="1" t="n">
        <v>46220</v>
      </c>
      <c r="F559" t="inlineStr">
        <is>
          <t>ÖREBRO LÄN</t>
        </is>
      </c>
      <c r="G559" t="inlineStr">
        <is>
          <t>LINDESBERG</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28569-2024</t>
        </is>
      </c>
      <c r="B560" t="inlineStr">
        <is>
          <t>avverkningsanmälan</t>
        </is>
      </c>
      <c r="C560" t="inlineStr">
        <is>
          <t>Avverkning för att bevara och utveckla /försöksver</t>
        </is>
      </c>
      <c r="D560" s="1" t="n">
        <v>45478</v>
      </c>
      <c r="E560" s="1" t="n">
        <v>46220</v>
      </c>
      <c r="F560" t="inlineStr">
        <is>
          <t>ÖREBRO LÄN</t>
        </is>
      </c>
      <c r="G560" t="inlineStr">
        <is>
          <t>LINDESBERG</t>
        </is>
      </c>
      <c r="H560" t="inlineStr">
        <is>
          <t>Sveaskog</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33280-2024</t>
        </is>
      </c>
      <c r="B561" t="inlineStr">
        <is>
          <t>avverkningsanmälan</t>
        </is>
      </c>
      <c r="C561" t="inlineStr">
        <is>
          <t>Föryngringsavverkning</t>
        </is>
      </c>
      <c r="D561" s="1" t="n">
        <v>45518</v>
      </c>
      <c r="E561" s="1" t="n">
        <v>46220</v>
      </c>
      <c r="F561" t="inlineStr">
        <is>
          <t>ÖREBRO LÄN</t>
        </is>
      </c>
      <c r="G561" t="inlineStr">
        <is>
          <t>LINDESBERG</t>
        </is>
      </c>
      <c r="H561" t="inlineStr">
        <is>
          <t>Sveaskog</t>
        </is>
      </c>
      <c r="I561" t="n">
        <v>3.2</v>
      </c>
      <c r="J561" t="n">
        <v>0</v>
      </c>
      <c r="K561" t="n">
        <v>0</v>
      </c>
      <c r="L561" t="n">
        <v>0</v>
      </c>
      <c r="M561" t="n">
        <v>0</v>
      </c>
      <c r="N561" t="n">
        <v>0</v>
      </c>
      <c r="O561" t="n">
        <v>0</v>
      </c>
      <c r="P561" t="n">
        <v>0</v>
      </c>
      <c r="Q561" t="n">
        <v>0</v>
      </c>
      <c r="R561" t="n">
        <v>0</v>
      </c>
      <c r="S561" t="n">
        <v>0</v>
      </c>
      <c r="T561" t="n">
        <v>0</v>
      </c>
      <c r="U561" s="2" t="inlineStr"/>
    </row>
    <row r="562" ht="15" customHeight="1">
      <c r="A562" t="inlineStr">
        <is>
          <t>A 33281-2024</t>
        </is>
      </c>
      <c r="B562" t="inlineStr">
        <is>
          <t>avverkningsanmälan</t>
        </is>
      </c>
      <c r="C562" t="inlineStr">
        <is>
          <t>Föryngringsavverkning</t>
        </is>
      </c>
      <c r="D562" s="1" t="n">
        <v>45518</v>
      </c>
      <c r="E562" s="1" t="n">
        <v>46220</v>
      </c>
      <c r="F562" t="inlineStr">
        <is>
          <t>ÖREBRO LÄN</t>
        </is>
      </c>
      <c r="G562" t="inlineStr">
        <is>
          <t>LINDESBERG</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33283-2024</t>
        </is>
      </c>
      <c r="B563" t="inlineStr">
        <is>
          <t>avverkningsanmälan</t>
        </is>
      </c>
      <c r="C563" t="inlineStr">
        <is>
          <t>Föryngringsavverkning</t>
        </is>
      </c>
      <c r="D563" s="1" t="n">
        <v>45518</v>
      </c>
      <c r="E563" s="1" t="n">
        <v>46220</v>
      </c>
      <c r="F563" t="inlineStr">
        <is>
          <t>ÖREBRO LÄN</t>
        </is>
      </c>
      <c r="G563" t="inlineStr">
        <is>
          <t>LINDESBERG</t>
        </is>
      </c>
      <c r="I563" t="n">
        <v>3.9</v>
      </c>
      <c r="J563" t="n">
        <v>0</v>
      </c>
      <c r="K563" t="n">
        <v>0</v>
      </c>
      <c r="L563" t="n">
        <v>0</v>
      </c>
      <c r="M563" t="n">
        <v>0</v>
      </c>
      <c r="N563" t="n">
        <v>0</v>
      </c>
      <c r="O563" t="n">
        <v>0</v>
      </c>
      <c r="P563" t="n">
        <v>0</v>
      </c>
      <c r="Q563" t="n">
        <v>0</v>
      </c>
      <c r="R563" t="n">
        <v>0</v>
      </c>
      <c r="S563" t="n">
        <v>0</v>
      </c>
      <c r="T563" t="n">
        <v>0</v>
      </c>
      <c r="U563" s="2" t="inlineStr"/>
    </row>
    <row r="564" ht="15" customHeight="1">
      <c r="A564" t="inlineStr">
        <is>
          <t>A 39140-2024</t>
        </is>
      </c>
      <c r="B564" t="inlineStr">
        <is>
          <t>avverkningsanmälan</t>
        </is>
      </c>
      <c r="C564" t="inlineStr">
        <is>
          <t>Föryngringsavverkning</t>
        </is>
      </c>
      <c r="D564" s="1" t="n">
        <v>45548</v>
      </c>
      <c r="E564" s="1" t="n">
        <v>46220</v>
      </c>
      <c r="F564" t="inlineStr">
        <is>
          <t>ÖREBRO LÄN</t>
        </is>
      </c>
      <c r="G564" t="inlineStr">
        <is>
          <t>LINDESBERG</t>
        </is>
      </c>
      <c r="H564" t="inlineStr">
        <is>
          <t>Sveaskog</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52098-2025</t>
        </is>
      </c>
      <c r="B565" t="inlineStr">
        <is>
          <t>avverkningsanmälan</t>
        </is>
      </c>
      <c r="C565" t="inlineStr">
        <is>
          <t>Föryngringsavverkning</t>
        </is>
      </c>
      <c r="D565" s="1" t="n">
        <v>45952</v>
      </c>
      <c r="E565" s="1" t="n">
        <v>46220</v>
      </c>
      <c r="F565" t="inlineStr">
        <is>
          <t>ÖREBRO LÄN</t>
        </is>
      </c>
      <c r="G565" t="inlineStr">
        <is>
          <t>LINDESBERG</t>
        </is>
      </c>
      <c r="H565" t="inlineStr">
        <is>
          <t>Sveaskog</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32928-2023</t>
        </is>
      </c>
      <c r="B566" t="inlineStr">
        <is>
          <t>avverkningsanmälan</t>
        </is>
      </c>
      <c r="C566" t="inlineStr">
        <is>
          <t>Föryngringsavverkning</t>
        </is>
      </c>
      <c r="D566" s="1" t="n">
        <v>45125</v>
      </c>
      <c r="E566" s="1" t="n">
        <v>46220</v>
      </c>
      <c r="F566" t="inlineStr">
        <is>
          <t>ÖREBRO LÄN</t>
        </is>
      </c>
      <c r="G566" t="inlineStr">
        <is>
          <t>LINDESBERG</t>
        </is>
      </c>
      <c r="I566" t="n">
        <v>4.8</v>
      </c>
      <c r="J566" t="n">
        <v>0</v>
      </c>
      <c r="K566" t="n">
        <v>0</v>
      </c>
      <c r="L566" t="n">
        <v>0</v>
      </c>
      <c r="M566" t="n">
        <v>0</v>
      </c>
      <c r="N566" t="n">
        <v>0</v>
      </c>
      <c r="O566" t="n">
        <v>0</v>
      </c>
      <c r="P566" t="n">
        <v>0</v>
      </c>
      <c r="Q566" t="n">
        <v>0</v>
      </c>
      <c r="R566" t="n">
        <v>0</v>
      </c>
      <c r="S566" t="n">
        <v>0</v>
      </c>
      <c r="T566" t="n">
        <v>0</v>
      </c>
      <c r="U566" s="2" t="inlineStr"/>
    </row>
    <row r="567" ht="15" customHeight="1">
      <c r="A567" t="inlineStr">
        <is>
          <t>A 32994-2023</t>
        </is>
      </c>
      <c r="B567" t="inlineStr">
        <is>
          <t>avverkningsanmälan</t>
        </is>
      </c>
      <c r="C567" t="inlineStr">
        <is>
          <t>Föryngringsavverkning</t>
        </is>
      </c>
      <c r="D567" s="1" t="n">
        <v>45113</v>
      </c>
      <c r="E567" s="1" t="n">
        <v>46220</v>
      </c>
      <c r="F567" t="inlineStr">
        <is>
          <t>ÖREBRO LÄN</t>
        </is>
      </c>
      <c r="G567" t="inlineStr">
        <is>
          <t>LINDESBERG</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45062-2022</t>
        </is>
      </c>
      <c r="B568" t="inlineStr">
        <is>
          <t>avverkningsanmälan</t>
        </is>
      </c>
      <c r="C568" t="inlineStr">
        <is>
          <t>Föryngringsavverkning</t>
        </is>
      </c>
      <c r="D568" s="1" t="n">
        <v>44841</v>
      </c>
      <c r="E568" s="1" t="n">
        <v>46220</v>
      </c>
      <c r="F568" t="inlineStr">
        <is>
          <t>ÖREBRO LÄN</t>
        </is>
      </c>
      <c r="G568" t="inlineStr">
        <is>
          <t>LINDESBERG</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60492-2024</t>
        </is>
      </c>
      <c r="B569" t="inlineStr">
        <is>
          <t>avverkningsanmälan</t>
        </is>
      </c>
      <c r="C569" t="inlineStr">
        <is>
          <t>Föryngringsavverkning</t>
        </is>
      </c>
      <c r="D569" s="1" t="n">
        <v>45642</v>
      </c>
      <c r="E569" s="1" t="n">
        <v>46220</v>
      </c>
      <c r="F569" t="inlineStr">
        <is>
          <t>ÖREBRO LÄN</t>
        </is>
      </c>
      <c r="G569" t="inlineStr">
        <is>
          <t>LINDESBERG</t>
        </is>
      </c>
      <c r="I569" t="n">
        <v>2.6</v>
      </c>
      <c r="J569" t="n">
        <v>0</v>
      </c>
      <c r="K569" t="n">
        <v>0</v>
      </c>
      <c r="L569" t="n">
        <v>0</v>
      </c>
      <c r="M569" t="n">
        <v>0</v>
      </c>
      <c r="N569" t="n">
        <v>0</v>
      </c>
      <c r="O569" t="n">
        <v>0</v>
      </c>
      <c r="P569" t="n">
        <v>0</v>
      </c>
      <c r="Q569" t="n">
        <v>0</v>
      </c>
      <c r="R569" t="n">
        <v>0</v>
      </c>
      <c r="S569" t="n">
        <v>0</v>
      </c>
      <c r="T569" t="n">
        <v>0</v>
      </c>
      <c r="U569" s="2" t="inlineStr"/>
    </row>
    <row r="570" ht="15" customHeight="1">
      <c r="A570" t="inlineStr">
        <is>
          <t>A 21012-2023</t>
        </is>
      </c>
      <c r="B570" t="inlineStr">
        <is>
          <t>avverkningsanmälan</t>
        </is>
      </c>
      <c r="C570" t="inlineStr">
        <is>
          <t>Föryngringsavverkning</t>
        </is>
      </c>
      <c r="D570" s="1" t="n">
        <v>45061</v>
      </c>
      <c r="E570" s="1" t="n">
        <v>46220</v>
      </c>
      <c r="F570" t="inlineStr">
        <is>
          <t>ÖREBRO LÄN</t>
        </is>
      </c>
      <c r="G570" t="inlineStr">
        <is>
          <t>LINDESBERG</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40456-2023</t>
        </is>
      </c>
      <c r="B571" t="inlineStr">
        <is>
          <t>avverkningsanmälan</t>
        </is>
      </c>
      <c r="C571" t="inlineStr">
        <is>
          <t>Föryngringsavverkning</t>
        </is>
      </c>
      <c r="D571" s="1" t="n">
        <v>45170</v>
      </c>
      <c r="E571" s="1" t="n">
        <v>46220</v>
      </c>
      <c r="F571" t="inlineStr">
        <is>
          <t>ÖREBRO LÄN</t>
        </is>
      </c>
      <c r="G571" t="inlineStr">
        <is>
          <t>LINDESBERG</t>
        </is>
      </c>
      <c r="H571" t="inlineStr">
        <is>
          <t>Kyrkan</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42282-2024</t>
        </is>
      </c>
      <c r="B572" t="inlineStr">
        <is>
          <t>avverkningsanmälan</t>
        </is>
      </c>
      <c r="C572" t="inlineStr">
        <is>
          <t>Föryngringsavverkning</t>
        </is>
      </c>
      <c r="D572" s="1" t="n">
        <v>45562</v>
      </c>
      <c r="E572" s="1" t="n">
        <v>46220</v>
      </c>
      <c r="F572" t="inlineStr">
        <is>
          <t>ÖREBRO LÄN</t>
        </is>
      </c>
      <c r="G572" t="inlineStr">
        <is>
          <t>LINDESBERG</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27576-2024</t>
        </is>
      </c>
      <c r="B573" t="inlineStr">
        <is>
          <t>avverkningsanmälan</t>
        </is>
      </c>
      <c r="C573" t="inlineStr">
        <is>
          <t>Föryngringsavverkning</t>
        </is>
      </c>
      <c r="D573" s="1" t="n">
        <v>45474</v>
      </c>
      <c r="E573" s="1" t="n">
        <v>46220</v>
      </c>
      <c r="F573" t="inlineStr">
        <is>
          <t>ÖREBRO LÄN</t>
        </is>
      </c>
      <c r="G573" t="inlineStr">
        <is>
          <t>LINDESBERG</t>
        </is>
      </c>
      <c r="H573" t="inlineStr">
        <is>
          <t>Kyrkan</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32099-2024</t>
        </is>
      </c>
      <c r="B574" t="inlineStr">
        <is>
          <t>avverkningsanmälan</t>
        </is>
      </c>
      <c r="C574" t="inlineStr">
        <is>
          <t>Föryngringsavverkning</t>
        </is>
      </c>
      <c r="D574" s="1" t="n">
        <v>45511</v>
      </c>
      <c r="E574" s="1" t="n">
        <v>46220</v>
      </c>
      <c r="F574" t="inlineStr">
        <is>
          <t>ÖREBRO LÄN</t>
        </is>
      </c>
      <c r="G574" t="inlineStr">
        <is>
          <t>LINDESBERG</t>
        </is>
      </c>
      <c r="I574" t="n">
        <v>2.3</v>
      </c>
      <c r="J574" t="n">
        <v>0</v>
      </c>
      <c r="K574" t="n">
        <v>0</v>
      </c>
      <c r="L574" t="n">
        <v>0</v>
      </c>
      <c r="M574" t="n">
        <v>0</v>
      </c>
      <c r="N574" t="n">
        <v>0</v>
      </c>
      <c r="O574" t="n">
        <v>0</v>
      </c>
      <c r="P574" t="n">
        <v>0</v>
      </c>
      <c r="Q574" t="n">
        <v>0</v>
      </c>
      <c r="R574" t="n">
        <v>0</v>
      </c>
      <c r="S574" t="n">
        <v>0</v>
      </c>
      <c r="T574" t="n">
        <v>0</v>
      </c>
      <c r="U574" s="2" t="inlineStr"/>
    </row>
    <row r="575" ht="15" customHeight="1">
      <c r="A575" t="inlineStr">
        <is>
          <t>A 8836-2023</t>
        </is>
      </c>
      <c r="B575" t="inlineStr">
        <is>
          <t>avverkningsanmälan</t>
        </is>
      </c>
      <c r="C575" t="inlineStr">
        <is>
          <t>Föryngringsavverkning</t>
        </is>
      </c>
      <c r="D575" s="1" t="n">
        <v>44978</v>
      </c>
      <c r="E575" s="1" t="n">
        <v>46220</v>
      </c>
      <c r="F575" t="inlineStr">
        <is>
          <t>ÖREBRO LÄN</t>
        </is>
      </c>
      <c r="G575" t="inlineStr">
        <is>
          <t>LINDESBERG</t>
        </is>
      </c>
      <c r="I575" t="n">
        <v>1</v>
      </c>
      <c r="J575" t="n">
        <v>0</v>
      </c>
      <c r="K575" t="n">
        <v>0</v>
      </c>
      <c r="L575" t="n">
        <v>0</v>
      </c>
      <c r="M575" t="n">
        <v>0</v>
      </c>
      <c r="N575" t="n">
        <v>0</v>
      </c>
      <c r="O575" t="n">
        <v>0</v>
      </c>
      <c r="P575" t="n">
        <v>0</v>
      </c>
      <c r="Q575" t="n">
        <v>0</v>
      </c>
      <c r="R575" t="n">
        <v>0</v>
      </c>
      <c r="S575" t="n">
        <v>0</v>
      </c>
      <c r="T575" t="n">
        <v>0</v>
      </c>
      <c r="U575" s="2" t="inlineStr"/>
    </row>
    <row r="576" ht="15" customHeight="1">
      <c r="A576" t="inlineStr">
        <is>
          <t>A 5772-2023</t>
        </is>
      </c>
      <c r="B576" t="inlineStr">
        <is>
          <t>avverkningsanmälan</t>
        </is>
      </c>
      <c r="C576" t="inlineStr">
        <is>
          <t>Föryngringsavverkning</t>
        </is>
      </c>
      <c r="D576" s="1" t="n">
        <v>44963</v>
      </c>
      <c r="E576" s="1" t="n">
        <v>46220</v>
      </c>
      <c r="F576" t="inlineStr">
        <is>
          <t>ÖREBRO LÄN</t>
        </is>
      </c>
      <c r="G576" t="inlineStr">
        <is>
          <t>LINDESBERG</t>
        </is>
      </c>
      <c r="I576" t="n">
        <v>3</v>
      </c>
      <c r="J576" t="n">
        <v>0</v>
      </c>
      <c r="K576" t="n">
        <v>0</v>
      </c>
      <c r="L576" t="n">
        <v>0</v>
      </c>
      <c r="M576" t="n">
        <v>0</v>
      </c>
      <c r="N576" t="n">
        <v>0</v>
      </c>
      <c r="O576" t="n">
        <v>0</v>
      </c>
      <c r="P576" t="n">
        <v>0</v>
      </c>
      <c r="Q576" t="n">
        <v>0</v>
      </c>
      <c r="R576" t="n">
        <v>0</v>
      </c>
      <c r="S576" t="n">
        <v>0</v>
      </c>
      <c r="T576" t="n">
        <v>0</v>
      </c>
      <c r="U576" s="2" t="inlineStr"/>
    </row>
    <row r="577" ht="15" customHeight="1">
      <c r="A577" t="inlineStr">
        <is>
          <t>A 13472-2023</t>
        </is>
      </c>
      <c r="B577" t="inlineStr">
        <is>
          <t>avverkningsanmälan</t>
        </is>
      </c>
      <c r="C577" t="inlineStr">
        <is>
          <t>Föryngringsavverkning</t>
        </is>
      </c>
      <c r="D577" s="1" t="n">
        <v>45005</v>
      </c>
      <c r="E577" s="1" t="n">
        <v>46220</v>
      </c>
      <c r="F577" t="inlineStr">
        <is>
          <t>ÖREBRO LÄN</t>
        </is>
      </c>
      <c r="G577" t="inlineStr">
        <is>
          <t>LINDESBERG</t>
        </is>
      </c>
      <c r="I577" t="n">
        <v>2.5</v>
      </c>
      <c r="J577" t="n">
        <v>0</v>
      </c>
      <c r="K577" t="n">
        <v>0</v>
      </c>
      <c r="L577" t="n">
        <v>0</v>
      </c>
      <c r="M577" t="n">
        <v>0</v>
      </c>
      <c r="N577" t="n">
        <v>0</v>
      </c>
      <c r="O577" t="n">
        <v>0</v>
      </c>
      <c r="P577" t="n">
        <v>0</v>
      </c>
      <c r="Q577" t="n">
        <v>0</v>
      </c>
      <c r="R577" t="n">
        <v>0</v>
      </c>
      <c r="S577" t="n">
        <v>0</v>
      </c>
      <c r="T577" t="n">
        <v>0</v>
      </c>
      <c r="U577" s="2" t="inlineStr"/>
    </row>
    <row r="578" ht="15" customHeight="1">
      <c r="A578" t="inlineStr">
        <is>
          <t>A 31215-2025</t>
        </is>
      </c>
      <c r="B578" t="inlineStr">
        <is>
          <t>avverkningsanmälan</t>
        </is>
      </c>
      <c r="C578" t="inlineStr">
        <is>
          <t>Föryngringsavverkning</t>
        </is>
      </c>
      <c r="D578" s="1" t="n">
        <v>45832</v>
      </c>
      <c r="E578" s="1" t="n">
        <v>46220</v>
      </c>
      <c r="F578" t="inlineStr">
        <is>
          <t>ÖREBRO LÄN</t>
        </is>
      </c>
      <c r="G578" t="inlineStr">
        <is>
          <t>LINDESBERG</t>
        </is>
      </c>
      <c r="H578" t="inlineStr">
        <is>
          <t>Sveaskog</t>
        </is>
      </c>
      <c r="I578" t="n">
        <v>4</v>
      </c>
      <c r="J578" t="n">
        <v>0</v>
      </c>
      <c r="K578" t="n">
        <v>0</v>
      </c>
      <c r="L578" t="n">
        <v>0</v>
      </c>
      <c r="M578" t="n">
        <v>0</v>
      </c>
      <c r="N578" t="n">
        <v>0</v>
      </c>
      <c r="O578" t="n">
        <v>0</v>
      </c>
      <c r="P578" t="n">
        <v>0</v>
      </c>
      <c r="Q578" t="n">
        <v>0</v>
      </c>
      <c r="R578" t="n">
        <v>0</v>
      </c>
      <c r="S578" t="n">
        <v>0</v>
      </c>
      <c r="T578" t="n">
        <v>0</v>
      </c>
      <c r="U578" s="2" t="inlineStr"/>
    </row>
    <row r="579" ht="15" customHeight="1">
      <c r="A579" t="inlineStr">
        <is>
          <t>A 17087-2023</t>
        </is>
      </c>
      <c r="B579" t="inlineStr">
        <is>
          <t>avverkningsanmälan</t>
        </is>
      </c>
      <c r="C579" t="inlineStr">
        <is>
          <t>Föryngringsavverkning</t>
        </is>
      </c>
      <c r="D579" s="1" t="n">
        <v>45034</v>
      </c>
      <c r="E579" s="1" t="n">
        <v>46220</v>
      </c>
      <c r="F579" t="inlineStr">
        <is>
          <t>ÖREBRO LÄN</t>
        </is>
      </c>
      <c r="G579" t="inlineStr">
        <is>
          <t>LINDESBERG</t>
        </is>
      </c>
      <c r="I579" t="n">
        <v>2.7</v>
      </c>
      <c r="J579" t="n">
        <v>0</v>
      </c>
      <c r="K579" t="n">
        <v>0</v>
      </c>
      <c r="L579" t="n">
        <v>0</v>
      </c>
      <c r="M579" t="n">
        <v>0</v>
      </c>
      <c r="N579" t="n">
        <v>0</v>
      </c>
      <c r="O579" t="n">
        <v>0</v>
      </c>
      <c r="P579" t="n">
        <v>0</v>
      </c>
      <c r="Q579" t="n">
        <v>0</v>
      </c>
      <c r="R579" t="n">
        <v>0</v>
      </c>
      <c r="S579" t="n">
        <v>0</v>
      </c>
      <c r="T579" t="n">
        <v>0</v>
      </c>
      <c r="U579" s="2" t="inlineStr"/>
    </row>
    <row r="580" ht="15" customHeight="1">
      <c r="A580" t="inlineStr">
        <is>
          <t>A 46484-2024</t>
        </is>
      </c>
      <c r="B580" t="inlineStr">
        <is>
          <t>avverkningsanmälan</t>
        </is>
      </c>
      <c r="C580" t="inlineStr">
        <is>
          <t>Föryngringsavverkning</t>
        </is>
      </c>
      <c r="D580" s="1" t="n">
        <v>45582</v>
      </c>
      <c r="E580" s="1" t="n">
        <v>46220</v>
      </c>
      <c r="F580" t="inlineStr">
        <is>
          <t>ÖREBRO LÄN</t>
        </is>
      </c>
      <c r="G580" t="inlineStr">
        <is>
          <t>LINDESBERG</t>
        </is>
      </c>
      <c r="H580" t="inlineStr">
        <is>
          <t>Sveaskog</t>
        </is>
      </c>
      <c r="I580" t="n">
        <v>1.1</v>
      </c>
      <c r="J580" t="n">
        <v>0</v>
      </c>
      <c r="K580" t="n">
        <v>0</v>
      </c>
      <c r="L580" t="n">
        <v>0</v>
      </c>
      <c r="M580" t="n">
        <v>0</v>
      </c>
      <c r="N580" t="n">
        <v>0</v>
      </c>
      <c r="O580" t="n">
        <v>0</v>
      </c>
      <c r="P580" t="n">
        <v>0</v>
      </c>
      <c r="Q580" t="n">
        <v>0</v>
      </c>
      <c r="R580" t="n">
        <v>0</v>
      </c>
      <c r="S580" t="n">
        <v>0</v>
      </c>
      <c r="T580" t="n">
        <v>0</v>
      </c>
      <c r="U580" s="2" t="inlineStr"/>
    </row>
    <row r="581" ht="15" customHeight="1">
      <c r="A581" t="inlineStr">
        <is>
          <t>A 26778-2023</t>
        </is>
      </c>
      <c r="B581" t="inlineStr">
        <is>
          <t>avverkningsanmälan</t>
        </is>
      </c>
      <c r="C581" t="inlineStr">
        <is>
          <t>Föryngringsavverkning</t>
        </is>
      </c>
      <c r="D581" s="1" t="n">
        <v>45093</v>
      </c>
      <c r="E581" s="1" t="n">
        <v>46220</v>
      </c>
      <c r="F581" t="inlineStr">
        <is>
          <t>ÖREBRO LÄN</t>
        </is>
      </c>
      <c r="G581" t="inlineStr">
        <is>
          <t>LINDESBERG</t>
        </is>
      </c>
      <c r="I581" t="n">
        <v>7.5</v>
      </c>
      <c r="J581" t="n">
        <v>0</v>
      </c>
      <c r="K581" t="n">
        <v>0</v>
      </c>
      <c r="L581" t="n">
        <v>0</v>
      </c>
      <c r="M581" t="n">
        <v>0</v>
      </c>
      <c r="N581" t="n">
        <v>0</v>
      </c>
      <c r="O581" t="n">
        <v>0</v>
      </c>
      <c r="P581" t="n">
        <v>0</v>
      </c>
      <c r="Q581" t="n">
        <v>0</v>
      </c>
      <c r="R581" t="n">
        <v>0</v>
      </c>
      <c r="S581" t="n">
        <v>0</v>
      </c>
      <c r="T581" t="n">
        <v>0</v>
      </c>
      <c r="U581" s="2" t="inlineStr"/>
    </row>
    <row r="582" ht="15" customHeight="1">
      <c r="A582" t="inlineStr">
        <is>
          <t>A 41576-2021</t>
        </is>
      </c>
      <c r="B582" t="inlineStr">
        <is>
          <t>avverkningsanmälan</t>
        </is>
      </c>
      <c r="C582" t="inlineStr">
        <is>
          <t>Föryngringsavverkning</t>
        </is>
      </c>
      <c r="D582" s="1" t="n">
        <v>44425</v>
      </c>
      <c r="E582" s="1" t="n">
        <v>46220</v>
      </c>
      <c r="F582" t="inlineStr">
        <is>
          <t>ÖREBRO LÄN</t>
        </is>
      </c>
      <c r="G582" t="inlineStr">
        <is>
          <t>LINDESBERG</t>
        </is>
      </c>
      <c r="H582" t="inlineStr">
        <is>
          <t>Sveaskog</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29500-2023</t>
        </is>
      </c>
      <c r="B583" t="inlineStr">
        <is>
          <t>avverkningsanmälan</t>
        </is>
      </c>
      <c r="C583" t="inlineStr">
        <is>
          <t>Avverkning för annat ändamål</t>
        </is>
      </c>
      <c r="D583" s="1" t="n">
        <v>45106</v>
      </c>
      <c r="E583" s="1" t="n">
        <v>46220</v>
      </c>
      <c r="F583" t="inlineStr">
        <is>
          <t>ÖREBRO LÄN</t>
        </is>
      </c>
      <c r="G583" t="inlineStr">
        <is>
          <t>LINDESBERG</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58741-2024</t>
        </is>
      </c>
      <c r="B584" t="inlineStr">
        <is>
          <t>avverkningsanmälan</t>
        </is>
      </c>
      <c r="C584" t="inlineStr">
        <is>
          <t>Föryngringsavverkning</t>
        </is>
      </c>
      <c r="D584" s="1" t="n">
        <v>45635</v>
      </c>
      <c r="E584" s="1" t="n">
        <v>46220</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34093-2022</t>
        </is>
      </c>
      <c r="B585" t="inlineStr">
        <is>
          <t>avverkningsanmälan</t>
        </is>
      </c>
      <c r="C585" t="inlineStr">
        <is>
          <t>Föryngringsavverkning</t>
        </is>
      </c>
      <c r="D585" s="1" t="n">
        <v>44791</v>
      </c>
      <c r="E585" s="1" t="n">
        <v>46220</v>
      </c>
      <c r="F585" t="inlineStr">
        <is>
          <t>ÖREBRO LÄN</t>
        </is>
      </c>
      <c r="G585" t="inlineStr">
        <is>
          <t>LINDESBERG</t>
        </is>
      </c>
      <c r="I585" t="n">
        <v>3.3</v>
      </c>
      <c r="J585" t="n">
        <v>0</v>
      </c>
      <c r="K585" t="n">
        <v>0</v>
      </c>
      <c r="L585" t="n">
        <v>0</v>
      </c>
      <c r="M585" t="n">
        <v>0</v>
      </c>
      <c r="N585" t="n">
        <v>0</v>
      </c>
      <c r="O585" t="n">
        <v>0</v>
      </c>
      <c r="P585" t="n">
        <v>0</v>
      </c>
      <c r="Q585" t="n">
        <v>0</v>
      </c>
      <c r="R585" t="n">
        <v>0</v>
      </c>
      <c r="S585" t="n">
        <v>0</v>
      </c>
      <c r="T585" t="n">
        <v>0</v>
      </c>
      <c r="U585" s="2" t="inlineStr"/>
    </row>
    <row r="586" ht="15" customHeight="1">
      <c r="A586" t="inlineStr">
        <is>
          <t>A 44067-2025</t>
        </is>
      </c>
      <c r="B586" t="inlineStr">
        <is>
          <t>avverkningsanmälan</t>
        </is>
      </c>
      <c r="C586" t="inlineStr">
        <is>
          <t>Föryngringsavverkning</t>
        </is>
      </c>
      <c r="D586" s="1" t="n">
        <v>45915</v>
      </c>
      <c r="E586" s="1" t="n">
        <v>46220</v>
      </c>
      <c r="F586" t="inlineStr">
        <is>
          <t>ÖREBRO LÄN</t>
        </is>
      </c>
      <c r="G586" t="inlineStr">
        <is>
          <t>LINDESBERG</t>
        </is>
      </c>
      <c r="I586" t="n">
        <v>2.8</v>
      </c>
      <c r="J586" t="n">
        <v>0</v>
      </c>
      <c r="K586" t="n">
        <v>0</v>
      </c>
      <c r="L586" t="n">
        <v>0</v>
      </c>
      <c r="M586" t="n">
        <v>0</v>
      </c>
      <c r="N586" t="n">
        <v>0</v>
      </c>
      <c r="O586" t="n">
        <v>0</v>
      </c>
      <c r="P586" t="n">
        <v>0</v>
      </c>
      <c r="Q586" t="n">
        <v>0</v>
      </c>
      <c r="R586" t="n">
        <v>0</v>
      </c>
      <c r="S586" t="n">
        <v>0</v>
      </c>
      <c r="T586" t="n">
        <v>0</v>
      </c>
      <c r="U586" s="2" t="inlineStr"/>
    </row>
    <row r="587" ht="15" customHeight="1">
      <c r="A587" t="inlineStr">
        <is>
          <t>A 41353-2024</t>
        </is>
      </c>
      <c r="B587" t="inlineStr">
        <is>
          <t>avverkningsanmälan</t>
        </is>
      </c>
      <c r="C587" t="inlineStr">
        <is>
          <t>Föryngringsavverkning</t>
        </is>
      </c>
      <c r="D587" s="1" t="n">
        <v>45559</v>
      </c>
      <c r="E587" s="1" t="n">
        <v>46220</v>
      </c>
      <c r="F587" t="inlineStr">
        <is>
          <t>ÖREBRO LÄN</t>
        </is>
      </c>
      <c r="G587" t="inlineStr">
        <is>
          <t>LINDESBERG</t>
        </is>
      </c>
      <c r="H587" t="inlineStr">
        <is>
          <t>Sveaskog</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26967-2022</t>
        </is>
      </c>
      <c r="B588" t="inlineStr">
        <is>
          <t>avverkningsanmälan</t>
        </is>
      </c>
      <c r="C588" t="inlineStr">
        <is>
          <t>Föryngringsavverkning</t>
        </is>
      </c>
      <c r="D588" s="1" t="n">
        <v>44740</v>
      </c>
      <c r="E588" s="1" t="n">
        <v>46220</v>
      </c>
      <c r="F588" t="inlineStr">
        <is>
          <t>ÖREBRO LÄN</t>
        </is>
      </c>
      <c r="G588" t="inlineStr">
        <is>
          <t>LINDESBERG</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43066-2021</t>
        </is>
      </c>
      <c r="B589" t="inlineStr">
        <is>
          <t>avverkningsanmälan</t>
        </is>
      </c>
      <c r="C589" t="inlineStr">
        <is>
          <t>Föryngringsavverkning</t>
        </is>
      </c>
      <c r="D589" s="1" t="n">
        <v>44431</v>
      </c>
      <c r="E589" s="1" t="n">
        <v>46220</v>
      </c>
      <c r="F589" t="inlineStr">
        <is>
          <t>ÖREBRO LÄN</t>
        </is>
      </c>
      <c r="G589" t="inlineStr">
        <is>
          <t>LINDESBERG</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45428-2023</t>
        </is>
      </c>
      <c r="B590" t="inlineStr">
        <is>
          <t>avverkningsanmälan</t>
        </is>
      </c>
      <c r="C590" t="inlineStr">
        <is>
          <t>Föryngringsavverkning</t>
        </is>
      </c>
      <c r="D590" s="1" t="n">
        <v>45194</v>
      </c>
      <c r="E590" s="1" t="n">
        <v>46220</v>
      </c>
      <c r="F590" t="inlineStr">
        <is>
          <t>ÖREBRO LÄN</t>
        </is>
      </c>
      <c r="G590" t="inlineStr">
        <is>
          <t>LINDESBERG</t>
        </is>
      </c>
      <c r="I590" t="n">
        <v>7.7</v>
      </c>
      <c r="J590" t="n">
        <v>0</v>
      </c>
      <c r="K590" t="n">
        <v>0</v>
      </c>
      <c r="L590" t="n">
        <v>0</v>
      </c>
      <c r="M590" t="n">
        <v>0</v>
      </c>
      <c r="N590" t="n">
        <v>0</v>
      </c>
      <c r="O590" t="n">
        <v>0</v>
      </c>
      <c r="P590" t="n">
        <v>0</v>
      </c>
      <c r="Q590" t="n">
        <v>0</v>
      </c>
      <c r="R590" t="n">
        <v>0</v>
      </c>
      <c r="S590" t="n">
        <v>0</v>
      </c>
      <c r="T590" t="n">
        <v>0</v>
      </c>
      <c r="U590" s="2" t="inlineStr"/>
    </row>
    <row r="591" ht="15" customHeight="1">
      <c r="A591" t="inlineStr">
        <is>
          <t>A 56907-2024</t>
        </is>
      </c>
      <c r="B591" t="inlineStr">
        <is>
          <t>avverkningsanmälan</t>
        </is>
      </c>
      <c r="C591" t="inlineStr">
        <is>
          <t>Föryngringsavverkning</t>
        </is>
      </c>
      <c r="D591" s="1" t="n">
        <v>45628</v>
      </c>
      <c r="E591" s="1" t="n">
        <v>46220</v>
      </c>
      <c r="F591" t="inlineStr">
        <is>
          <t>ÖREBRO LÄN</t>
        </is>
      </c>
      <c r="G591" t="inlineStr">
        <is>
          <t>LINDESBERG</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17242-2025</t>
        </is>
      </c>
      <c r="B592" t="inlineStr">
        <is>
          <t>avverkningsanmälan</t>
        </is>
      </c>
      <c r="C592" t="inlineStr">
        <is>
          <t>Föryngringsavverkning</t>
        </is>
      </c>
      <c r="D592" s="1" t="n">
        <v>45756</v>
      </c>
      <c r="E592" s="1" t="n">
        <v>46220</v>
      </c>
      <c r="F592" t="inlineStr">
        <is>
          <t>ÖREBRO LÄN</t>
        </is>
      </c>
      <c r="G592" t="inlineStr">
        <is>
          <t>LINDESBERG</t>
        </is>
      </c>
      <c r="I592" t="n">
        <v>7.3</v>
      </c>
      <c r="J592" t="n">
        <v>0</v>
      </c>
      <c r="K592" t="n">
        <v>0</v>
      </c>
      <c r="L592" t="n">
        <v>0</v>
      </c>
      <c r="M592" t="n">
        <v>0</v>
      </c>
      <c r="N592" t="n">
        <v>0</v>
      </c>
      <c r="O592" t="n">
        <v>0</v>
      </c>
      <c r="P592" t="n">
        <v>0</v>
      </c>
      <c r="Q592" t="n">
        <v>0</v>
      </c>
      <c r="R592" t="n">
        <v>0</v>
      </c>
      <c r="S592" t="n">
        <v>0</v>
      </c>
      <c r="T592" t="n">
        <v>0</v>
      </c>
      <c r="U592" s="2" t="inlineStr"/>
    </row>
    <row r="593" ht="15" customHeight="1">
      <c r="A593" t="inlineStr">
        <is>
          <t>A 7119-2025</t>
        </is>
      </c>
      <c r="B593" t="inlineStr">
        <is>
          <t>avverkningsanmälan</t>
        </is>
      </c>
      <c r="C593" t="inlineStr">
        <is>
          <t>Föryngringsavverkning</t>
        </is>
      </c>
      <c r="D593" s="1" t="n">
        <v>45702</v>
      </c>
      <c r="E593" s="1" t="n">
        <v>46220</v>
      </c>
      <c r="F593" t="inlineStr">
        <is>
          <t>ÖREBRO LÄN</t>
        </is>
      </c>
      <c r="G593" t="inlineStr">
        <is>
          <t>LINDESBERG</t>
        </is>
      </c>
      <c r="I593" t="n">
        <v>0.9</v>
      </c>
      <c r="J593" t="n">
        <v>0</v>
      </c>
      <c r="K593" t="n">
        <v>0</v>
      </c>
      <c r="L593" t="n">
        <v>0</v>
      </c>
      <c r="M593" t="n">
        <v>0</v>
      </c>
      <c r="N593" t="n">
        <v>0</v>
      </c>
      <c r="O593" t="n">
        <v>0</v>
      </c>
      <c r="P593" t="n">
        <v>0</v>
      </c>
      <c r="Q593" t="n">
        <v>0</v>
      </c>
      <c r="R593" t="n">
        <v>0</v>
      </c>
      <c r="S593" t="n">
        <v>0</v>
      </c>
      <c r="T593" t="n">
        <v>0</v>
      </c>
      <c r="U593" s="2" t="inlineStr"/>
    </row>
    <row r="594" ht="15" customHeight="1">
      <c r="A594" t="inlineStr">
        <is>
          <t>A 45060-2024</t>
        </is>
      </c>
      <c r="B594" t="inlineStr">
        <is>
          <t>avverkningsanmälan</t>
        </is>
      </c>
      <c r="C594" t="inlineStr">
        <is>
          <t>Föryngringsavverkning</t>
        </is>
      </c>
      <c r="D594" s="1" t="n">
        <v>45575</v>
      </c>
      <c r="E594" s="1" t="n">
        <v>46220</v>
      </c>
      <c r="F594" t="inlineStr">
        <is>
          <t>ÖREBRO LÄN</t>
        </is>
      </c>
      <c r="G594" t="inlineStr">
        <is>
          <t>LINDESBERG</t>
        </is>
      </c>
      <c r="H594" t="inlineStr">
        <is>
          <t>Sveaskog</t>
        </is>
      </c>
      <c r="I594" t="n">
        <v>4.6</v>
      </c>
      <c r="J594" t="n">
        <v>0</v>
      </c>
      <c r="K594" t="n">
        <v>0</v>
      </c>
      <c r="L594" t="n">
        <v>0</v>
      </c>
      <c r="M594" t="n">
        <v>0</v>
      </c>
      <c r="N594" t="n">
        <v>0</v>
      </c>
      <c r="O594" t="n">
        <v>0</v>
      </c>
      <c r="P594" t="n">
        <v>0</v>
      </c>
      <c r="Q594" t="n">
        <v>0</v>
      </c>
      <c r="R594" t="n">
        <v>0</v>
      </c>
      <c r="S594" t="n">
        <v>0</v>
      </c>
      <c r="T594" t="n">
        <v>0</v>
      </c>
      <c r="U594" s="2" t="inlineStr"/>
    </row>
    <row r="595" ht="15" customHeight="1">
      <c r="A595" t="inlineStr">
        <is>
          <t>A 59052-2023</t>
        </is>
      </c>
      <c r="B595" t="inlineStr">
        <is>
          <t>avverkningsanmälan</t>
        </is>
      </c>
      <c r="C595" t="inlineStr">
        <is>
          <t>Föryngringsavverkning</t>
        </is>
      </c>
      <c r="D595" s="1" t="n">
        <v>45252</v>
      </c>
      <c r="E595" s="1" t="n">
        <v>46220</v>
      </c>
      <c r="F595" t="inlineStr">
        <is>
          <t>ÖREBRO LÄN</t>
        </is>
      </c>
      <c r="G595" t="inlineStr">
        <is>
          <t>LINDESBERG</t>
        </is>
      </c>
      <c r="I595" t="n">
        <v>4.2</v>
      </c>
      <c r="J595" t="n">
        <v>0</v>
      </c>
      <c r="K595" t="n">
        <v>0</v>
      </c>
      <c r="L595" t="n">
        <v>0</v>
      </c>
      <c r="M595" t="n">
        <v>0</v>
      </c>
      <c r="N595" t="n">
        <v>0</v>
      </c>
      <c r="O595" t="n">
        <v>0</v>
      </c>
      <c r="P595" t="n">
        <v>0</v>
      </c>
      <c r="Q595" t="n">
        <v>0</v>
      </c>
      <c r="R595" t="n">
        <v>0</v>
      </c>
      <c r="S595" t="n">
        <v>0</v>
      </c>
      <c r="T595" t="n">
        <v>0</v>
      </c>
      <c r="U595" s="2" t="inlineStr"/>
    </row>
    <row r="596" ht="15" customHeight="1">
      <c r="A596" t="inlineStr">
        <is>
          <t>A 50972-2023</t>
        </is>
      </c>
      <c r="B596" t="inlineStr">
        <is>
          <t>avverkningsanmälan</t>
        </is>
      </c>
      <c r="C596" t="inlineStr">
        <is>
          <t>Föryngringsavverkning</t>
        </is>
      </c>
      <c r="D596" s="1" t="n">
        <v>45218</v>
      </c>
      <c r="E596" s="1" t="n">
        <v>46220</v>
      </c>
      <c r="F596" t="inlineStr">
        <is>
          <t>ÖREBRO LÄN</t>
        </is>
      </c>
      <c r="G596" t="inlineStr">
        <is>
          <t>LINDESBERG</t>
        </is>
      </c>
      <c r="H596" t="inlineStr">
        <is>
          <t>Sveaskog</t>
        </is>
      </c>
      <c r="I596" t="n">
        <v>1.8</v>
      </c>
      <c r="J596" t="n">
        <v>0</v>
      </c>
      <c r="K596" t="n">
        <v>0</v>
      </c>
      <c r="L596" t="n">
        <v>0</v>
      </c>
      <c r="M596" t="n">
        <v>0</v>
      </c>
      <c r="N596" t="n">
        <v>0</v>
      </c>
      <c r="O596" t="n">
        <v>0</v>
      </c>
      <c r="P596" t="n">
        <v>0</v>
      </c>
      <c r="Q596" t="n">
        <v>0</v>
      </c>
      <c r="R596" t="n">
        <v>0</v>
      </c>
      <c r="S596" t="n">
        <v>0</v>
      </c>
      <c r="T596" t="n">
        <v>0</v>
      </c>
      <c r="U596" s="2" t="inlineStr"/>
    </row>
    <row r="597" ht="15" customHeight="1">
      <c r="A597" t="inlineStr">
        <is>
          <t>A 50225-2021</t>
        </is>
      </c>
      <c r="B597" t="inlineStr">
        <is>
          <t>avverkningsanmälan</t>
        </is>
      </c>
      <c r="C597" t="inlineStr">
        <is>
          <t>Föryngringsavverkning</t>
        </is>
      </c>
      <c r="D597" s="1" t="n">
        <v>44457</v>
      </c>
      <c r="E597" s="1" t="n">
        <v>46220</v>
      </c>
      <c r="F597" t="inlineStr">
        <is>
          <t>ÖREBRO LÄN</t>
        </is>
      </c>
      <c r="G597" t="inlineStr">
        <is>
          <t>LINDESBERG</t>
        </is>
      </c>
      <c r="I597" t="n">
        <v>2.5</v>
      </c>
      <c r="J597" t="n">
        <v>0</v>
      </c>
      <c r="K597" t="n">
        <v>0</v>
      </c>
      <c r="L597" t="n">
        <v>0</v>
      </c>
      <c r="M597" t="n">
        <v>0</v>
      </c>
      <c r="N597" t="n">
        <v>0</v>
      </c>
      <c r="O597" t="n">
        <v>0</v>
      </c>
      <c r="P597" t="n">
        <v>0</v>
      </c>
      <c r="Q597" t="n">
        <v>0</v>
      </c>
      <c r="R597" t="n">
        <v>0</v>
      </c>
      <c r="S597" t="n">
        <v>0</v>
      </c>
      <c r="T597" t="n">
        <v>0</v>
      </c>
      <c r="U597" s="2" t="inlineStr"/>
    </row>
    <row r="598" ht="15" customHeight="1">
      <c r="A598" t="inlineStr">
        <is>
          <t>A 48244-2024</t>
        </is>
      </c>
      <c r="B598" t="inlineStr">
        <is>
          <t>avverkningsanmälan</t>
        </is>
      </c>
      <c r="C598" t="inlineStr">
        <is>
          <t>Föryngringsavverkning</t>
        </is>
      </c>
      <c r="D598" s="1" t="n">
        <v>45590</v>
      </c>
      <c r="E598" s="1" t="n">
        <v>46220</v>
      </c>
      <c r="F598" t="inlineStr">
        <is>
          <t>ÖREBRO LÄN</t>
        </is>
      </c>
      <c r="G598" t="inlineStr">
        <is>
          <t>LINDESBERG</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20970-2026</t>
        </is>
      </c>
      <c r="B599" t="inlineStr">
        <is>
          <t>avverkningsanmälan</t>
        </is>
      </c>
      <c r="C599" t="inlineStr">
        <is>
          <t>Föryngringsavverkning</t>
        </is>
      </c>
      <c r="D599" s="1" t="n">
        <v>46142</v>
      </c>
      <c r="E599" s="1" t="n">
        <v>46220</v>
      </c>
      <c r="F599" t="inlineStr">
        <is>
          <t>ÖREBRO LÄN</t>
        </is>
      </c>
      <c r="G599" t="inlineStr">
        <is>
          <t>LINDESBERG</t>
        </is>
      </c>
      <c r="H599" t="inlineStr">
        <is>
          <t>Naturvårdsverket</t>
        </is>
      </c>
      <c r="I599" t="n">
        <v>5</v>
      </c>
      <c r="J599" t="n">
        <v>0</v>
      </c>
      <c r="K599" t="n">
        <v>0</v>
      </c>
      <c r="L599" t="n">
        <v>0</v>
      </c>
      <c r="M599" t="n">
        <v>0</v>
      </c>
      <c r="N599" t="n">
        <v>0</v>
      </c>
      <c r="O599" t="n">
        <v>0</v>
      </c>
      <c r="P599" t="n">
        <v>0</v>
      </c>
      <c r="Q599" t="n">
        <v>0</v>
      </c>
      <c r="R599" t="n">
        <v>0</v>
      </c>
      <c r="S599" t="n">
        <v>0</v>
      </c>
      <c r="T599" t="n">
        <v>0</v>
      </c>
      <c r="U599" s="2" t="inlineStr"/>
    </row>
    <row r="600" ht="15" customHeight="1">
      <c r="A600" t="inlineStr">
        <is>
          <t>A 24352-2023</t>
        </is>
      </c>
      <c r="B600" t="inlineStr">
        <is>
          <t>avverkningsanmälan</t>
        </is>
      </c>
      <c r="C600" t="inlineStr">
        <is>
          <t>Föryngringsavverkning</t>
        </is>
      </c>
      <c r="D600" s="1" t="n">
        <v>45082</v>
      </c>
      <c r="E600" s="1" t="n">
        <v>46220</v>
      </c>
      <c r="F600" t="inlineStr">
        <is>
          <t>ÖREBRO LÄN</t>
        </is>
      </c>
      <c r="G600" t="inlineStr">
        <is>
          <t>LINDESBERG</t>
        </is>
      </c>
      <c r="H600" t="inlineStr">
        <is>
          <t>Sveaskog</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26707-2026</t>
        </is>
      </c>
      <c r="B601" t="inlineStr">
        <is>
          <t>avverkningsanmälan</t>
        </is>
      </c>
      <c r="C601" t="inlineStr">
        <is>
          <t>Föryngringsavverkning</t>
        </is>
      </c>
      <c r="D601" s="1" t="n">
        <v>46184</v>
      </c>
      <c r="E601" s="1" t="n">
        <v>46220</v>
      </c>
      <c r="F601" t="inlineStr">
        <is>
          <t>ÖREBRO LÄN</t>
        </is>
      </c>
      <c r="G601" t="inlineStr">
        <is>
          <t>LINDESBERG</t>
        </is>
      </c>
      <c r="I601" t="n">
        <v>3.6</v>
      </c>
      <c r="J601" t="n">
        <v>0</v>
      </c>
      <c r="K601" t="n">
        <v>0</v>
      </c>
      <c r="L601" t="n">
        <v>0</v>
      </c>
      <c r="M601" t="n">
        <v>0</v>
      </c>
      <c r="N601" t="n">
        <v>0</v>
      </c>
      <c r="O601" t="n">
        <v>0</v>
      </c>
      <c r="P601" t="n">
        <v>0</v>
      </c>
      <c r="Q601" t="n">
        <v>0</v>
      </c>
      <c r="R601" t="n">
        <v>0</v>
      </c>
      <c r="S601" t="n">
        <v>0</v>
      </c>
      <c r="T601" t="n">
        <v>0</v>
      </c>
      <c r="U601" s="2" t="inlineStr"/>
    </row>
    <row r="602" ht="15" customHeight="1">
      <c r="A602" t="inlineStr">
        <is>
          <t>A 22824-2023</t>
        </is>
      </c>
      <c r="B602" t="inlineStr">
        <is>
          <t>avverkningsanmälan</t>
        </is>
      </c>
      <c r="C602" t="inlineStr">
        <is>
          <t>Föryngringsavverkning</t>
        </is>
      </c>
      <c r="D602" s="1" t="n">
        <v>45072</v>
      </c>
      <c r="E602" s="1" t="n">
        <v>46220</v>
      </c>
      <c r="F602" t="inlineStr">
        <is>
          <t>ÖREBRO LÄN</t>
        </is>
      </c>
      <c r="G602" t="inlineStr">
        <is>
          <t>LINDESBERG</t>
        </is>
      </c>
      <c r="H602" t="inlineStr">
        <is>
          <t>Sveaskog</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27432-2026</t>
        </is>
      </c>
      <c r="B603" t="inlineStr">
        <is>
          <t>avverkningsanmälan</t>
        </is>
      </c>
      <c r="C603" t="inlineStr">
        <is>
          <t>Föryngringsavverkning</t>
        </is>
      </c>
      <c r="D603" s="1" t="n">
        <v>46189</v>
      </c>
      <c r="E603" s="1" t="n">
        <v>46220</v>
      </c>
      <c r="F603" t="inlineStr">
        <is>
          <t>ÖREBRO LÄN</t>
        </is>
      </c>
      <c r="G603" t="inlineStr">
        <is>
          <t>LINDESBERG</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27438-2026</t>
        </is>
      </c>
      <c r="B604" t="inlineStr">
        <is>
          <t>avverkningsanmälan</t>
        </is>
      </c>
      <c r="C604" t="inlineStr">
        <is>
          <t>Föryngringsavverkning</t>
        </is>
      </c>
      <c r="D604" s="1" t="n">
        <v>46189</v>
      </c>
      <c r="E604" s="1" t="n">
        <v>46220</v>
      </c>
      <c r="F604" t="inlineStr">
        <is>
          <t>ÖREBRO LÄN</t>
        </is>
      </c>
      <c r="G604" t="inlineStr">
        <is>
          <t>LINDESBERG</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27501-2026</t>
        </is>
      </c>
      <c r="B605" t="inlineStr">
        <is>
          <t>avverkningsanmälan</t>
        </is>
      </c>
      <c r="C605" t="inlineStr">
        <is>
          <t>Avverkning för annat ändamål</t>
        </is>
      </c>
      <c r="D605" s="1" t="n">
        <v>46189</v>
      </c>
      <c r="E605" s="1" t="n">
        <v>46220</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36509-2024</t>
        </is>
      </c>
      <c r="B606" t="inlineStr">
        <is>
          <t>avverkningsanmälan</t>
        </is>
      </c>
      <c r="C606" t="inlineStr">
        <is>
          <t>Föryngringsavverkning</t>
        </is>
      </c>
      <c r="D606" s="1" t="n">
        <v>45537</v>
      </c>
      <c r="E606" s="1" t="n">
        <v>46220</v>
      </c>
      <c r="F606" t="inlineStr">
        <is>
          <t>ÖREBRO LÄN</t>
        </is>
      </c>
      <c r="G606" t="inlineStr">
        <is>
          <t>LINDESBERG</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33428-2024</t>
        </is>
      </c>
      <c r="B607" t="inlineStr">
        <is>
          <t>avverkningsanmälan</t>
        </is>
      </c>
      <c r="C607" t="inlineStr">
        <is>
          <t>Avverkning för annat ändamål</t>
        </is>
      </c>
      <c r="D607" s="1" t="n">
        <v>45519</v>
      </c>
      <c r="E607" s="1" t="n">
        <v>46220</v>
      </c>
      <c r="F607" t="inlineStr">
        <is>
          <t>ÖREBRO LÄN</t>
        </is>
      </c>
      <c r="G607" t="inlineStr">
        <is>
          <t>LINDESBERG</t>
        </is>
      </c>
      <c r="H607" t="inlineStr">
        <is>
          <t>Sveaskog</t>
        </is>
      </c>
      <c r="I607" t="n">
        <v>0.2</v>
      </c>
      <c r="J607" t="n">
        <v>0</v>
      </c>
      <c r="K607" t="n">
        <v>0</v>
      </c>
      <c r="L607" t="n">
        <v>0</v>
      </c>
      <c r="M607" t="n">
        <v>0</v>
      </c>
      <c r="N607" t="n">
        <v>0</v>
      </c>
      <c r="O607" t="n">
        <v>0</v>
      </c>
      <c r="P607" t="n">
        <v>0</v>
      </c>
      <c r="Q607" t="n">
        <v>0</v>
      </c>
      <c r="R607" t="n">
        <v>0</v>
      </c>
      <c r="S607" t="n">
        <v>0</v>
      </c>
      <c r="T607" t="n">
        <v>0</v>
      </c>
      <c r="U607" s="2" t="inlineStr"/>
    </row>
    <row r="608" ht="15" customHeight="1">
      <c r="A608" t="inlineStr">
        <is>
          <t>A 17104-2024</t>
        </is>
      </c>
      <c r="B608" t="inlineStr">
        <is>
          <t>avverkningsanmälan</t>
        </is>
      </c>
      <c r="C608" t="inlineStr">
        <is>
          <t>Föryngringsavverkning</t>
        </is>
      </c>
      <c r="D608" s="1" t="n">
        <v>45412</v>
      </c>
      <c r="E608" s="1" t="n">
        <v>46220</v>
      </c>
      <c r="F608" t="inlineStr">
        <is>
          <t>ÖREBRO LÄN</t>
        </is>
      </c>
      <c r="G608" t="inlineStr">
        <is>
          <t>LINDESBERG</t>
        </is>
      </c>
      <c r="I608" t="n">
        <v>2.2</v>
      </c>
      <c r="J608" t="n">
        <v>0</v>
      </c>
      <c r="K608" t="n">
        <v>0</v>
      </c>
      <c r="L608" t="n">
        <v>0</v>
      </c>
      <c r="M608" t="n">
        <v>0</v>
      </c>
      <c r="N608" t="n">
        <v>0</v>
      </c>
      <c r="O608" t="n">
        <v>0</v>
      </c>
      <c r="P608" t="n">
        <v>0</v>
      </c>
      <c r="Q608" t="n">
        <v>0</v>
      </c>
      <c r="R608" t="n">
        <v>0</v>
      </c>
      <c r="S608" t="n">
        <v>0</v>
      </c>
      <c r="T608" t="n">
        <v>0</v>
      </c>
      <c r="U608" s="2" t="inlineStr"/>
    </row>
    <row r="609" ht="15" customHeight="1">
      <c r="A609" t="inlineStr">
        <is>
          <t>A 13350-2024</t>
        </is>
      </c>
      <c r="B609" t="inlineStr">
        <is>
          <t>avverkningsanmälan</t>
        </is>
      </c>
      <c r="C609" t="inlineStr">
        <is>
          <t>Föryngringsavverkning</t>
        </is>
      </c>
      <c r="D609" s="1" t="n">
        <v>45387</v>
      </c>
      <c r="E609" s="1" t="n">
        <v>46220</v>
      </c>
      <c r="F609" t="inlineStr">
        <is>
          <t>ÖREBRO LÄN</t>
        </is>
      </c>
      <c r="G609" t="inlineStr">
        <is>
          <t>LINDESBERG</t>
        </is>
      </c>
      <c r="I609" t="n">
        <v>4.1</v>
      </c>
      <c r="J609" t="n">
        <v>0</v>
      </c>
      <c r="K609" t="n">
        <v>0</v>
      </c>
      <c r="L609" t="n">
        <v>0</v>
      </c>
      <c r="M609" t="n">
        <v>0</v>
      </c>
      <c r="N609" t="n">
        <v>0</v>
      </c>
      <c r="O609" t="n">
        <v>0</v>
      </c>
      <c r="P609" t="n">
        <v>0</v>
      </c>
      <c r="Q609" t="n">
        <v>0</v>
      </c>
      <c r="R609" t="n">
        <v>0</v>
      </c>
      <c r="S609" t="n">
        <v>0</v>
      </c>
      <c r="T609" t="n">
        <v>0</v>
      </c>
      <c r="U609" s="2" t="inlineStr"/>
    </row>
    <row r="610" ht="15" customHeight="1">
      <c r="A610" t="inlineStr">
        <is>
          <t>A 13351-2024</t>
        </is>
      </c>
      <c r="B610" t="inlineStr">
        <is>
          <t>avverkningsanmälan</t>
        </is>
      </c>
      <c r="C610" t="inlineStr">
        <is>
          <t>Föryngringsavverkning</t>
        </is>
      </c>
      <c r="D610" s="1" t="n">
        <v>45387</v>
      </c>
      <c r="E610" s="1" t="n">
        <v>46220</v>
      </c>
      <c r="F610" t="inlineStr">
        <is>
          <t>ÖREBRO LÄN</t>
        </is>
      </c>
      <c r="G610" t="inlineStr">
        <is>
          <t>LINDESBERG</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34838-2023</t>
        </is>
      </c>
      <c r="B611" t="inlineStr">
        <is>
          <t>avverkningsanmälan</t>
        </is>
      </c>
      <c r="C611" t="inlineStr">
        <is>
          <t>Föryngringsavverkning</t>
        </is>
      </c>
      <c r="D611" s="1" t="n">
        <v>45141</v>
      </c>
      <c r="E611" s="1" t="n">
        <v>46220</v>
      </c>
      <c r="F611" t="inlineStr">
        <is>
          <t>ÖREBRO LÄN</t>
        </is>
      </c>
      <c r="G611" t="inlineStr">
        <is>
          <t>LINDESBERG</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15324-2024</t>
        </is>
      </c>
      <c r="B612" t="inlineStr">
        <is>
          <t>avverkningsanmälan</t>
        </is>
      </c>
      <c r="C612" t="inlineStr">
        <is>
          <t>Avverkning för annat ändamål</t>
        </is>
      </c>
      <c r="D612" s="1" t="n">
        <v>45400</v>
      </c>
      <c r="E612" s="1" t="n">
        <v>46220</v>
      </c>
      <c r="F612" t="inlineStr">
        <is>
          <t>ÖREBRO LÄN</t>
        </is>
      </c>
      <c r="G612" t="inlineStr">
        <is>
          <t>LINDESBERG</t>
        </is>
      </c>
      <c r="H612" t="inlineStr">
        <is>
          <t>Sveaskog</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7180-2023</t>
        </is>
      </c>
      <c r="B613" t="inlineStr">
        <is>
          <t>avverkningsanmälan</t>
        </is>
      </c>
      <c r="C613" t="inlineStr">
        <is>
          <t>Föryngringsavverkning</t>
        </is>
      </c>
      <c r="D613" s="1" t="n">
        <v>44970</v>
      </c>
      <c r="E613" s="1" t="n">
        <v>46220</v>
      </c>
      <c r="F613" t="inlineStr">
        <is>
          <t>ÖREBRO LÄN</t>
        </is>
      </c>
      <c r="G613" t="inlineStr">
        <is>
          <t>LINDESBERG</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46675-2023</t>
        </is>
      </c>
      <c r="B614" t="inlineStr">
        <is>
          <t>avverkningsanmälan</t>
        </is>
      </c>
      <c r="C614" t="inlineStr">
        <is>
          <t>Föryngringsavverkning</t>
        </is>
      </c>
      <c r="D614" s="1" t="n">
        <v>45194</v>
      </c>
      <c r="E614" s="1" t="n">
        <v>46220</v>
      </c>
      <c r="F614" t="inlineStr">
        <is>
          <t>ÖREBRO LÄN</t>
        </is>
      </c>
      <c r="G614" t="inlineStr">
        <is>
          <t>LINDESBERG</t>
        </is>
      </c>
      <c r="I614" t="n">
        <v>3.8</v>
      </c>
      <c r="J614" t="n">
        <v>0</v>
      </c>
      <c r="K614" t="n">
        <v>0</v>
      </c>
      <c r="L614" t="n">
        <v>0</v>
      </c>
      <c r="M614" t="n">
        <v>0</v>
      </c>
      <c r="N614" t="n">
        <v>0</v>
      </c>
      <c r="O614" t="n">
        <v>0</v>
      </c>
      <c r="P614" t="n">
        <v>0</v>
      </c>
      <c r="Q614" t="n">
        <v>0</v>
      </c>
      <c r="R614" t="n">
        <v>0</v>
      </c>
      <c r="S614" t="n">
        <v>0</v>
      </c>
      <c r="T614" t="n">
        <v>0</v>
      </c>
      <c r="U614" s="2" t="inlineStr"/>
    </row>
    <row r="615" ht="15" customHeight="1">
      <c r="A615" t="inlineStr">
        <is>
          <t>A 50619-2022</t>
        </is>
      </c>
      <c r="B615" t="inlineStr">
        <is>
          <t>avverkningsanmälan</t>
        </is>
      </c>
      <c r="C615" t="inlineStr">
        <is>
          <t>Föryngringsavverkning</t>
        </is>
      </c>
      <c r="D615" s="1" t="n">
        <v>44866</v>
      </c>
      <c r="E615" s="1" t="n">
        <v>46220</v>
      </c>
      <c r="F615" t="inlineStr">
        <is>
          <t>ÖREBRO LÄN</t>
        </is>
      </c>
      <c r="G615" t="inlineStr">
        <is>
          <t>LINDESBERG</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36893-2024</t>
        </is>
      </c>
      <c r="B616" t="inlineStr">
        <is>
          <t>avverkningsanmälan</t>
        </is>
      </c>
      <c r="C616" t="inlineStr">
        <is>
          <t>Föryngringsavverkning</t>
        </is>
      </c>
      <c r="D616" s="1" t="n">
        <v>45538</v>
      </c>
      <c r="E616" s="1" t="n">
        <v>46220</v>
      </c>
      <c r="F616" t="inlineStr">
        <is>
          <t>ÖREBRO LÄN</t>
        </is>
      </c>
      <c r="G616" t="inlineStr">
        <is>
          <t>LINDESBERG</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A 27769-2026</t>
        </is>
      </c>
      <c r="B617" t="inlineStr">
        <is>
          <t>avverkningsanmälan</t>
        </is>
      </c>
      <c r="C617" t="inlineStr">
        <is>
          <t>Föryngringsavverkning</t>
        </is>
      </c>
      <c r="D617" s="1" t="n">
        <v>46191</v>
      </c>
      <c r="E617" s="1" t="n">
        <v>46220</v>
      </c>
      <c r="F617" t="inlineStr">
        <is>
          <t>ÖREBRO LÄN</t>
        </is>
      </c>
      <c r="G617" t="inlineStr">
        <is>
          <t>LINDESBERG</t>
        </is>
      </c>
      <c r="H617" t="inlineStr">
        <is>
          <t>Sveaskog</t>
        </is>
      </c>
      <c r="I617" t="n">
        <v>3.3</v>
      </c>
      <c r="J617" t="n">
        <v>0</v>
      </c>
      <c r="K617" t="n">
        <v>0</v>
      </c>
      <c r="L617" t="n">
        <v>0</v>
      </c>
      <c r="M617" t="n">
        <v>0</v>
      </c>
      <c r="N617" t="n">
        <v>0</v>
      </c>
      <c r="O617" t="n">
        <v>0</v>
      </c>
      <c r="P617" t="n">
        <v>0</v>
      </c>
      <c r="Q617" t="n">
        <v>0</v>
      </c>
      <c r="R617" t="n">
        <v>0</v>
      </c>
      <c r="S617" t="n">
        <v>0</v>
      </c>
      <c r="T617" t="n">
        <v>0</v>
      </c>
      <c r="U617" s="2" t="inlineStr"/>
    </row>
    <row r="618" ht="15" customHeight="1">
      <c r="A618" t="inlineStr">
        <is>
          <t>A 27914-2026</t>
        </is>
      </c>
      <c r="B618" t="inlineStr">
        <is>
          <t>avverkningsanmälan</t>
        </is>
      </c>
      <c r="C618" t="inlineStr">
        <is>
          <t>Föryngringsavverkning</t>
        </is>
      </c>
      <c r="D618" s="1" t="n">
        <v>46191</v>
      </c>
      <c r="E618" s="1" t="n">
        <v>46220</v>
      </c>
      <c r="F618" t="inlineStr">
        <is>
          <t>ÖREBRO LÄN</t>
        </is>
      </c>
      <c r="G618" t="inlineStr">
        <is>
          <t>LINDESBERG</t>
        </is>
      </c>
      <c r="H618" t="inlineStr">
        <is>
          <t>Sveaskog</t>
        </is>
      </c>
      <c r="I618" t="n">
        <v>4</v>
      </c>
      <c r="J618" t="n">
        <v>0</v>
      </c>
      <c r="K618" t="n">
        <v>0</v>
      </c>
      <c r="L618" t="n">
        <v>0</v>
      </c>
      <c r="M618" t="n">
        <v>0</v>
      </c>
      <c r="N618" t="n">
        <v>0</v>
      </c>
      <c r="O618" t="n">
        <v>0</v>
      </c>
      <c r="P618" t="n">
        <v>0</v>
      </c>
      <c r="Q618" t="n">
        <v>0</v>
      </c>
      <c r="R618" t="n">
        <v>0</v>
      </c>
      <c r="S618" t="n">
        <v>0</v>
      </c>
      <c r="T618" t="n">
        <v>0</v>
      </c>
      <c r="U618" s="2" t="inlineStr"/>
    </row>
    <row r="619" ht="15" customHeight="1">
      <c r="A619" t="inlineStr">
        <is>
          <t>A 27714-2026</t>
        </is>
      </c>
      <c r="B619" t="inlineStr">
        <is>
          <t>avverkningsanmälan</t>
        </is>
      </c>
      <c r="C619" t="inlineStr">
        <is>
          <t>Föryngringsavverkning</t>
        </is>
      </c>
      <c r="D619" s="1" t="n">
        <v>46190</v>
      </c>
      <c r="E619" s="1" t="n">
        <v>46220</v>
      </c>
      <c r="F619" t="inlineStr">
        <is>
          <t>ÖREBRO LÄN</t>
        </is>
      </c>
      <c r="G619" t="inlineStr">
        <is>
          <t>LINDESBERG</t>
        </is>
      </c>
      <c r="I619" t="n">
        <v>1.5</v>
      </c>
      <c r="J619" t="n">
        <v>0</v>
      </c>
      <c r="K619" t="n">
        <v>0</v>
      </c>
      <c r="L619" t="n">
        <v>0</v>
      </c>
      <c r="M619" t="n">
        <v>0</v>
      </c>
      <c r="N619" t="n">
        <v>0</v>
      </c>
      <c r="O619" t="n">
        <v>0</v>
      </c>
      <c r="P619" t="n">
        <v>0</v>
      </c>
      <c r="Q619" t="n">
        <v>0</v>
      </c>
      <c r="R619" t="n">
        <v>0</v>
      </c>
      <c r="S619" t="n">
        <v>0</v>
      </c>
      <c r="T619" t="n">
        <v>0</v>
      </c>
      <c r="U619" s="2" t="inlineStr"/>
    </row>
    <row r="620" ht="15" customHeight="1">
      <c r="A620" t="inlineStr">
        <is>
          <t>A 27766-2026</t>
        </is>
      </c>
      <c r="B620" t="inlineStr">
        <is>
          <t>avverkningsanmälan</t>
        </is>
      </c>
      <c r="C620" t="inlineStr">
        <is>
          <t>Föryngringsavverkning</t>
        </is>
      </c>
      <c r="D620" s="1" t="n">
        <v>46191</v>
      </c>
      <c r="E620" s="1" t="n">
        <v>46220</v>
      </c>
      <c r="F620" t="inlineStr">
        <is>
          <t>ÖREBRO LÄN</t>
        </is>
      </c>
      <c r="G620" t="inlineStr">
        <is>
          <t>LINDESBERG</t>
        </is>
      </c>
      <c r="H620" t="inlineStr">
        <is>
          <t>Sveaskog</t>
        </is>
      </c>
      <c r="I620" t="n">
        <v>5.1</v>
      </c>
      <c r="J620" t="n">
        <v>0</v>
      </c>
      <c r="K620" t="n">
        <v>0</v>
      </c>
      <c r="L620" t="n">
        <v>0</v>
      </c>
      <c r="M620" t="n">
        <v>0</v>
      </c>
      <c r="N620" t="n">
        <v>0</v>
      </c>
      <c r="O620" t="n">
        <v>0</v>
      </c>
      <c r="P620" t="n">
        <v>0</v>
      </c>
      <c r="Q620" t="n">
        <v>0</v>
      </c>
      <c r="R620" t="n">
        <v>0</v>
      </c>
      <c r="S620" t="n">
        <v>0</v>
      </c>
      <c r="T620" t="n">
        <v>0</v>
      </c>
      <c r="U620" s="2" t="inlineStr"/>
    </row>
    <row r="621" ht="15" customHeight="1">
      <c r="A621" t="inlineStr">
        <is>
          <t>A 27775-2026</t>
        </is>
      </c>
      <c r="B621" t="inlineStr">
        <is>
          <t>avverkningsanmälan</t>
        </is>
      </c>
      <c r="C621" t="inlineStr">
        <is>
          <t>Föryngringsavverkning</t>
        </is>
      </c>
      <c r="D621" s="1" t="n">
        <v>46191</v>
      </c>
      <c r="E621" s="1" t="n">
        <v>46220</v>
      </c>
      <c r="F621" t="inlineStr">
        <is>
          <t>ÖREBRO LÄN</t>
        </is>
      </c>
      <c r="G621" t="inlineStr">
        <is>
          <t>LINDESBERG</t>
        </is>
      </c>
      <c r="H621" t="inlineStr">
        <is>
          <t>Sveaskog</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27756-2026</t>
        </is>
      </c>
      <c r="B622" t="inlineStr">
        <is>
          <t>avverkningsanmälan</t>
        </is>
      </c>
      <c r="C622" t="inlineStr">
        <is>
          <t>Föryngringsavverkning</t>
        </is>
      </c>
      <c r="D622" s="1" t="n">
        <v>46191</v>
      </c>
      <c r="E622" s="1" t="n">
        <v>46220</v>
      </c>
      <c r="F622" t="inlineStr">
        <is>
          <t>ÖREBRO LÄN</t>
        </is>
      </c>
      <c r="G622" t="inlineStr">
        <is>
          <t>LINDESBERG</t>
        </is>
      </c>
      <c r="H622" t="inlineStr">
        <is>
          <t>Sveaskog</t>
        </is>
      </c>
      <c r="I622" t="n">
        <v>17.8</v>
      </c>
      <c r="J622" t="n">
        <v>0</v>
      </c>
      <c r="K622" t="n">
        <v>0</v>
      </c>
      <c r="L622" t="n">
        <v>0</v>
      </c>
      <c r="M622" t="n">
        <v>0</v>
      </c>
      <c r="N622" t="n">
        <v>0</v>
      </c>
      <c r="O622" t="n">
        <v>0</v>
      </c>
      <c r="P622" t="n">
        <v>0</v>
      </c>
      <c r="Q622" t="n">
        <v>0</v>
      </c>
      <c r="R622" t="n">
        <v>0</v>
      </c>
      <c r="S622" t="n">
        <v>0</v>
      </c>
      <c r="T622" t="n">
        <v>0</v>
      </c>
      <c r="U622" s="2" t="inlineStr"/>
    </row>
    <row r="623" ht="15" customHeight="1">
      <c r="A623" t="inlineStr">
        <is>
          <t>A 27761-2026</t>
        </is>
      </c>
      <c r="B623" t="inlineStr">
        <is>
          <t>avverkningsanmälan</t>
        </is>
      </c>
      <c r="C623" t="inlineStr">
        <is>
          <t>Avverkning för annat ändamål</t>
        </is>
      </c>
      <c r="D623" s="1" t="n">
        <v>46191</v>
      </c>
      <c r="E623" s="1" t="n">
        <v>46220</v>
      </c>
      <c r="F623" t="inlineStr">
        <is>
          <t>ÖREBRO LÄN</t>
        </is>
      </c>
      <c r="G623" t="inlineStr">
        <is>
          <t>LINDESBERG</t>
        </is>
      </c>
      <c r="H623" t="inlineStr">
        <is>
          <t>Sveaskog</t>
        </is>
      </c>
      <c r="I623" t="n">
        <v>0.3</v>
      </c>
      <c r="J623" t="n">
        <v>0</v>
      </c>
      <c r="K623" t="n">
        <v>0</v>
      </c>
      <c r="L623" t="n">
        <v>0</v>
      </c>
      <c r="M623" t="n">
        <v>0</v>
      </c>
      <c r="N623" t="n">
        <v>0</v>
      </c>
      <c r="O623" t="n">
        <v>0</v>
      </c>
      <c r="P623" t="n">
        <v>0</v>
      </c>
      <c r="Q623" t="n">
        <v>0</v>
      </c>
      <c r="R623" t="n">
        <v>0</v>
      </c>
      <c r="S623" t="n">
        <v>0</v>
      </c>
      <c r="T623" t="n">
        <v>0</v>
      </c>
      <c r="U623" s="2" t="inlineStr"/>
    </row>
    <row r="624" ht="15" customHeight="1">
      <c r="A624" t="inlineStr">
        <is>
          <t>A 27917-2026</t>
        </is>
      </c>
      <c r="B624" t="inlineStr">
        <is>
          <t>avverkningsanmälan</t>
        </is>
      </c>
      <c r="C624" t="inlineStr">
        <is>
          <t>Föryngringsavverkning</t>
        </is>
      </c>
      <c r="D624" s="1" t="n">
        <v>46191</v>
      </c>
      <c r="E624" s="1" t="n">
        <v>46220</v>
      </c>
      <c r="F624" t="inlineStr">
        <is>
          <t>ÖREBRO LÄN</t>
        </is>
      </c>
      <c r="G624" t="inlineStr">
        <is>
          <t>LINDESBERG</t>
        </is>
      </c>
      <c r="H624" t="inlineStr">
        <is>
          <t>Sveaskog</t>
        </is>
      </c>
      <c r="I624" t="n">
        <v>6.9</v>
      </c>
      <c r="J624" t="n">
        <v>0</v>
      </c>
      <c r="K624" t="n">
        <v>0</v>
      </c>
      <c r="L624" t="n">
        <v>0</v>
      </c>
      <c r="M624" t="n">
        <v>0</v>
      </c>
      <c r="N624" t="n">
        <v>0</v>
      </c>
      <c r="O624" t="n">
        <v>0</v>
      </c>
      <c r="P624" t="n">
        <v>0</v>
      </c>
      <c r="Q624" t="n">
        <v>0</v>
      </c>
      <c r="R624" t="n">
        <v>0</v>
      </c>
      <c r="S624" t="n">
        <v>0</v>
      </c>
      <c r="T624" t="n">
        <v>0</v>
      </c>
      <c r="U624" s="2" t="inlineStr"/>
    </row>
    <row r="625" ht="15" customHeight="1">
      <c r="A625" t="inlineStr">
        <is>
          <t>A 27763-2026</t>
        </is>
      </c>
      <c r="B625" t="inlineStr">
        <is>
          <t>avverkningsanmälan</t>
        </is>
      </c>
      <c r="C625" t="inlineStr">
        <is>
          <t>Avverkning för annat ändamål</t>
        </is>
      </c>
      <c r="D625" s="1" t="n">
        <v>46191</v>
      </c>
      <c r="E625" s="1" t="n">
        <v>46220</v>
      </c>
      <c r="F625" t="inlineStr">
        <is>
          <t>ÖREBRO LÄN</t>
        </is>
      </c>
      <c r="G625" t="inlineStr">
        <is>
          <t>LINDESBERG</t>
        </is>
      </c>
      <c r="H625" t="inlineStr">
        <is>
          <t>Sveaskog</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27773-2026</t>
        </is>
      </c>
      <c r="B626" t="inlineStr">
        <is>
          <t>avverkningsanmälan</t>
        </is>
      </c>
      <c r="C626" t="inlineStr">
        <is>
          <t>Föryngringsavverkning</t>
        </is>
      </c>
      <c r="D626" s="1" t="n">
        <v>46191</v>
      </c>
      <c r="E626" s="1" t="n">
        <v>46220</v>
      </c>
      <c r="F626" t="inlineStr">
        <is>
          <t>ÖREBRO LÄN</t>
        </is>
      </c>
      <c r="G626" t="inlineStr">
        <is>
          <t>LINDESBERG</t>
        </is>
      </c>
      <c r="H626" t="inlineStr">
        <is>
          <t>Sveaskog</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27909-2026</t>
        </is>
      </c>
      <c r="B627" t="inlineStr">
        <is>
          <t>avverkningsanmälan</t>
        </is>
      </c>
      <c r="C627" t="inlineStr">
        <is>
          <t>Föryngringsavverkning</t>
        </is>
      </c>
      <c r="D627" s="1" t="n">
        <v>46191</v>
      </c>
      <c r="E627" s="1" t="n">
        <v>46220</v>
      </c>
      <c r="F627" t="inlineStr">
        <is>
          <t>ÖREBRO LÄN</t>
        </is>
      </c>
      <c r="G627" t="inlineStr">
        <is>
          <t>LINDESBERG</t>
        </is>
      </c>
      <c r="H627" t="inlineStr">
        <is>
          <t>Sveaskog</t>
        </is>
      </c>
      <c r="I627" t="n">
        <v>1.8</v>
      </c>
      <c r="J627" t="n">
        <v>0</v>
      </c>
      <c r="K627" t="n">
        <v>0</v>
      </c>
      <c r="L627" t="n">
        <v>0</v>
      </c>
      <c r="M627" t="n">
        <v>0</v>
      </c>
      <c r="N627" t="n">
        <v>0</v>
      </c>
      <c r="O627" t="n">
        <v>0</v>
      </c>
      <c r="P627" t="n">
        <v>0</v>
      </c>
      <c r="Q627" t="n">
        <v>0</v>
      </c>
      <c r="R627" t="n">
        <v>0</v>
      </c>
      <c r="S627" t="n">
        <v>0</v>
      </c>
      <c r="T627" t="n">
        <v>0</v>
      </c>
      <c r="U627" s="2" t="inlineStr"/>
    </row>
    <row r="628" ht="15" customHeight="1">
      <c r="A628" t="inlineStr">
        <is>
          <t>A 27715-2026</t>
        </is>
      </c>
      <c r="B628" t="inlineStr">
        <is>
          <t>avverkningsanmälan</t>
        </is>
      </c>
      <c r="C628" t="inlineStr">
        <is>
          <t>Föryngringsavverkning</t>
        </is>
      </c>
      <c r="D628" s="1" t="n">
        <v>46190</v>
      </c>
      <c r="E628" s="1" t="n">
        <v>46220</v>
      </c>
      <c r="F628" t="inlineStr">
        <is>
          <t>ÖREBRO LÄN</t>
        </is>
      </c>
      <c r="G628" t="inlineStr">
        <is>
          <t>LINDESBERG</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27918-2026</t>
        </is>
      </c>
      <c r="B629" t="inlineStr">
        <is>
          <t>avverkningsanmälan</t>
        </is>
      </c>
      <c r="C629" t="inlineStr">
        <is>
          <t>Föryngringsavverkning</t>
        </is>
      </c>
      <c r="D629" s="1" t="n">
        <v>46191</v>
      </c>
      <c r="E629" s="1" t="n">
        <v>46220</v>
      </c>
      <c r="F629" t="inlineStr">
        <is>
          <t>ÖREBRO LÄN</t>
        </is>
      </c>
      <c r="G629" t="inlineStr">
        <is>
          <t>LINDESBERG</t>
        </is>
      </c>
      <c r="H629" t="inlineStr">
        <is>
          <t>Sveaskog</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10111-2022</t>
        </is>
      </c>
      <c r="B630" t="inlineStr">
        <is>
          <t>avverkningsanmälan</t>
        </is>
      </c>
      <c r="C630" t="inlineStr">
        <is>
          <t>Föryngringsavverkning</t>
        </is>
      </c>
      <c r="D630" s="1" t="n">
        <v>44621</v>
      </c>
      <c r="E630" s="1" t="n">
        <v>46220</v>
      </c>
      <c r="F630" t="inlineStr">
        <is>
          <t>ÖREBRO LÄN</t>
        </is>
      </c>
      <c r="G630" t="inlineStr">
        <is>
          <t>LINDESBERG</t>
        </is>
      </c>
      <c r="I630" t="n">
        <v>2.4</v>
      </c>
      <c r="J630" t="n">
        <v>0</v>
      </c>
      <c r="K630" t="n">
        <v>0</v>
      </c>
      <c r="L630" t="n">
        <v>0</v>
      </c>
      <c r="M630" t="n">
        <v>0</v>
      </c>
      <c r="N630" t="n">
        <v>0</v>
      </c>
      <c r="O630" t="n">
        <v>0</v>
      </c>
      <c r="P630" t="n">
        <v>0</v>
      </c>
      <c r="Q630" t="n">
        <v>0</v>
      </c>
      <c r="R630" t="n">
        <v>0</v>
      </c>
      <c r="S630" t="n">
        <v>0</v>
      </c>
      <c r="T630" t="n">
        <v>0</v>
      </c>
      <c r="U630" s="2" t="inlineStr"/>
    </row>
    <row r="631" ht="15" customHeight="1">
      <c r="A631" t="inlineStr">
        <is>
          <t>A 27772-2026</t>
        </is>
      </c>
      <c r="B631" t="inlineStr">
        <is>
          <t>avverkningsanmälan</t>
        </is>
      </c>
      <c r="C631" t="inlineStr">
        <is>
          <t>Föryngringsavverkning</t>
        </is>
      </c>
      <c r="D631" s="1" t="n">
        <v>46191</v>
      </c>
      <c r="E631" s="1" t="n">
        <v>46220</v>
      </c>
      <c r="F631" t="inlineStr">
        <is>
          <t>ÖREBRO LÄN</t>
        </is>
      </c>
      <c r="G631" t="inlineStr">
        <is>
          <t>LINDESBERG</t>
        </is>
      </c>
      <c r="H631" t="inlineStr">
        <is>
          <t>Sveaskog</t>
        </is>
      </c>
      <c r="I631" t="n">
        <v>0.5</v>
      </c>
      <c r="J631" t="n">
        <v>0</v>
      </c>
      <c r="K631" t="n">
        <v>0</v>
      </c>
      <c r="L631" t="n">
        <v>0</v>
      </c>
      <c r="M631" t="n">
        <v>0</v>
      </c>
      <c r="N631" t="n">
        <v>0</v>
      </c>
      <c r="O631" t="n">
        <v>0</v>
      </c>
      <c r="P631" t="n">
        <v>0</v>
      </c>
      <c r="Q631" t="n">
        <v>0</v>
      </c>
      <c r="R631" t="n">
        <v>0</v>
      </c>
      <c r="S631" t="n">
        <v>0</v>
      </c>
      <c r="T631" t="n">
        <v>0</v>
      </c>
      <c r="U631" s="2" t="inlineStr"/>
    </row>
    <row r="632" ht="15" customHeight="1">
      <c r="A632" t="inlineStr">
        <is>
          <t>A 14231-2023</t>
        </is>
      </c>
      <c r="B632" t="inlineStr">
        <is>
          <t>avverkningsanmälan</t>
        </is>
      </c>
      <c r="C632" t="inlineStr">
        <is>
          <t>Föryngringsavverkning</t>
        </is>
      </c>
      <c r="D632" s="1" t="n">
        <v>45009</v>
      </c>
      <c r="E632" s="1" t="n">
        <v>46220</v>
      </c>
      <c r="F632" t="inlineStr">
        <is>
          <t>ÖREBRO LÄN</t>
        </is>
      </c>
      <c r="G632" t="inlineStr">
        <is>
          <t>LINDESBERG</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484-2022</t>
        </is>
      </c>
      <c r="B633" t="inlineStr">
        <is>
          <t>avverkningsanmälan</t>
        </is>
      </c>
      <c r="C633" t="inlineStr">
        <is>
          <t>Föryngringsavverkning</t>
        </is>
      </c>
      <c r="D633" s="1" t="n">
        <v>44566</v>
      </c>
      <c r="E633" s="1" t="n">
        <v>46220</v>
      </c>
      <c r="F633" t="inlineStr">
        <is>
          <t>ÖREBRO LÄN</t>
        </is>
      </c>
      <c r="G633" t="inlineStr">
        <is>
          <t>LINDESBERG</t>
        </is>
      </c>
      <c r="I633" t="n">
        <v>9.699999999999999</v>
      </c>
      <c r="J633" t="n">
        <v>0</v>
      </c>
      <c r="K633" t="n">
        <v>0</v>
      </c>
      <c r="L633" t="n">
        <v>0</v>
      </c>
      <c r="M633" t="n">
        <v>0</v>
      </c>
      <c r="N633" t="n">
        <v>0</v>
      </c>
      <c r="O633" t="n">
        <v>0</v>
      </c>
      <c r="P633" t="n">
        <v>0</v>
      </c>
      <c r="Q633" t="n">
        <v>0</v>
      </c>
      <c r="R633" t="n">
        <v>0</v>
      </c>
      <c r="S633" t="n">
        <v>0</v>
      </c>
      <c r="T633" t="n">
        <v>0</v>
      </c>
      <c r="U633" s="2" t="inlineStr"/>
    </row>
    <row r="634" ht="15" customHeight="1">
      <c r="A634" t="inlineStr">
        <is>
          <t>A 37497-2025</t>
        </is>
      </c>
      <c r="B634" t="inlineStr">
        <is>
          <t>avverkningsanmälan</t>
        </is>
      </c>
      <c r="C634" t="inlineStr">
        <is>
          <t>Föryngringsavverkning</t>
        </is>
      </c>
      <c r="D634" s="1" t="n">
        <v>45877</v>
      </c>
      <c r="E634" s="1" t="n">
        <v>46220</v>
      </c>
      <c r="F634" t="inlineStr">
        <is>
          <t>ÖREBRO LÄN</t>
        </is>
      </c>
      <c r="G634" t="inlineStr">
        <is>
          <t>LINDESBERG</t>
        </is>
      </c>
      <c r="H634" t="inlineStr">
        <is>
          <t>Sveaskog</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1395-2025</t>
        </is>
      </c>
      <c r="B635" t="inlineStr">
        <is>
          <t>avverkningsanmälan</t>
        </is>
      </c>
      <c r="C635" t="inlineStr">
        <is>
          <t>Föryngringsavverkning</t>
        </is>
      </c>
      <c r="D635" s="1" t="n">
        <v>45667</v>
      </c>
      <c r="E635" s="1" t="n">
        <v>46220</v>
      </c>
      <c r="F635" t="inlineStr">
        <is>
          <t>ÖREBRO LÄN</t>
        </is>
      </c>
      <c r="G635" t="inlineStr">
        <is>
          <t>LINDESBERG</t>
        </is>
      </c>
      <c r="I635" t="n">
        <v>4.6</v>
      </c>
      <c r="J635" t="n">
        <v>0</v>
      </c>
      <c r="K635" t="n">
        <v>0</v>
      </c>
      <c r="L635" t="n">
        <v>0</v>
      </c>
      <c r="M635" t="n">
        <v>0</v>
      </c>
      <c r="N635" t="n">
        <v>0</v>
      </c>
      <c r="O635" t="n">
        <v>0</v>
      </c>
      <c r="P635" t="n">
        <v>0</v>
      </c>
      <c r="Q635" t="n">
        <v>0</v>
      </c>
      <c r="R635" t="n">
        <v>0</v>
      </c>
      <c r="S635" t="n">
        <v>0</v>
      </c>
      <c r="T635" t="n">
        <v>0</v>
      </c>
      <c r="U635" s="2" t="inlineStr"/>
    </row>
    <row r="636" ht="15" customHeight="1">
      <c r="A636" t="inlineStr">
        <is>
          <t>A 1405-2025</t>
        </is>
      </c>
      <c r="B636" t="inlineStr">
        <is>
          <t>avverkningsanmälan</t>
        </is>
      </c>
      <c r="C636" t="inlineStr">
        <is>
          <t>Föryngringsavverkning</t>
        </is>
      </c>
      <c r="D636" s="1" t="n">
        <v>45667</v>
      </c>
      <c r="E636" s="1" t="n">
        <v>46220</v>
      </c>
      <c r="F636" t="inlineStr">
        <is>
          <t>ÖREBRO LÄN</t>
        </is>
      </c>
      <c r="G636" t="inlineStr">
        <is>
          <t>LINDESBERG</t>
        </is>
      </c>
      <c r="H636" t="inlineStr">
        <is>
          <t>Allmännings- och besparingsskogar</t>
        </is>
      </c>
      <c r="I636" t="n">
        <v>3.1</v>
      </c>
      <c r="J636" t="n">
        <v>0</v>
      </c>
      <c r="K636" t="n">
        <v>0</v>
      </c>
      <c r="L636" t="n">
        <v>0</v>
      </c>
      <c r="M636" t="n">
        <v>0</v>
      </c>
      <c r="N636" t="n">
        <v>0</v>
      </c>
      <c r="O636" t="n">
        <v>0</v>
      </c>
      <c r="P636" t="n">
        <v>0</v>
      </c>
      <c r="Q636" t="n">
        <v>0</v>
      </c>
      <c r="R636" t="n">
        <v>0</v>
      </c>
      <c r="S636" t="n">
        <v>0</v>
      </c>
      <c r="T636" t="n">
        <v>0</v>
      </c>
      <c r="U636" s="2" t="inlineStr"/>
    </row>
    <row r="637" ht="15" customHeight="1">
      <c r="A637" t="inlineStr">
        <is>
          <t>A 45078-2024</t>
        </is>
      </c>
      <c r="B637" t="inlineStr">
        <is>
          <t>avverkningsanmälan</t>
        </is>
      </c>
      <c r="C637" t="inlineStr">
        <is>
          <t>Avverkning för annat ändamål</t>
        </is>
      </c>
      <c r="D637" s="1" t="n">
        <v>45575</v>
      </c>
      <c r="E637" s="1" t="n">
        <v>46220</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6723-2022</t>
        </is>
      </c>
      <c r="B638" t="inlineStr">
        <is>
          <t>avverkningsanmälan</t>
        </is>
      </c>
      <c r="C638" t="inlineStr">
        <is>
          <t>Föryngringsavverkning</t>
        </is>
      </c>
      <c r="D638" s="1" t="n">
        <v>44602</v>
      </c>
      <c r="E638" s="1" t="n">
        <v>46220</v>
      </c>
      <c r="F638" t="inlineStr">
        <is>
          <t>ÖREBRO LÄN</t>
        </is>
      </c>
      <c r="G638" t="inlineStr">
        <is>
          <t>LINDESBERG</t>
        </is>
      </c>
      <c r="I638" t="n">
        <v>4.2</v>
      </c>
      <c r="J638" t="n">
        <v>0</v>
      </c>
      <c r="K638" t="n">
        <v>0</v>
      </c>
      <c r="L638" t="n">
        <v>0</v>
      </c>
      <c r="M638" t="n">
        <v>0</v>
      </c>
      <c r="N638" t="n">
        <v>0</v>
      </c>
      <c r="O638" t="n">
        <v>0</v>
      </c>
      <c r="P638" t="n">
        <v>0</v>
      </c>
      <c r="Q638" t="n">
        <v>0</v>
      </c>
      <c r="R638" t="n">
        <v>0</v>
      </c>
      <c r="S638" t="n">
        <v>0</v>
      </c>
      <c r="T638" t="n">
        <v>0</v>
      </c>
      <c r="U638" s="2" t="inlineStr"/>
    </row>
    <row r="639" ht="15" customHeight="1">
      <c r="A639" t="inlineStr">
        <is>
          <t>A 30512-2025</t>
        </is>
      </c>
      <c r="B639" t="inlineStr">
        <is>
          <t>avverkningsanmälan</t>
        </is>
      </c>
      <c r="C639" t="inlineStr">
        <is>
          <t>Avverkning för annat ändamål</t>
        </is>
      </c>
      <c r="D639" s="1" t="n">
        <v>45831</v>
      </c>
      <c r="E639" s="1" t="n">
        <v>46220</v>
      </c>
      <c r="F639" t="inlineStr">
        <is>
          <t>ÖREBRO LÄN</t>
        </is>
      </c>
      <c r="G639" t="inlineStr">
        <is>
          <t>LINDESBERG</t>
        </is>
      </c>
      <c r="I639" t="n">
        <v>4.5</v>
      </c>
      <c r="J639" t="n">
        <v>0</v>
      </c>
      <c r="K639" t="n">
        <v>0</v>
      </c>
      <c r="L639" t="n">
        <v>0</v>
      </c>
      <c r="M639" t="n">
        <v>0</v>
      </c>
      <c r="N639" t="n">
        <v>0</v>
      </c>
      <c r="O639" t="n">
        <v>0</v>
      </c>
      <c r="P639" t="n">
        <v>0</v>
      </c>
      <c r="Q639" t="n">
        <v>0</v>
      </c>
      <c r="R639" t="n">
        <v>0</v>
      </c>
      <c r="S639" t="n">
        <v>0</v>
      </c>
      <c r="T639" t="n">
        <v>0</v>
      </c>
      <c r="U639" s="2" t="inlineStr"/>
    </row>
    <row r="640" ht="15" customHeight="1">
      <c r="A640" t="inlineStr">
        <is>
          <t>A 28470-2023</t>
        </is>
      </c>
      <c r="B640" t="inlineStr">
        <is>
          <t>avverkningsanmälan</t>
        </is>
      </c>
      <c r="C640" t="inlineStr">
        <is>
          <t>Föryngringsavverkning</t>
        </is>
      </c>
      <c r="D640" s="1" t="n">
        <v>45103</v>
      </c>
      <c r="E640" s="1" t="n">
        <v>46220</v>
      </c>
      <c r="F640" t="inlineStr">
        <is>
          <t>ÖREBRO LÄN</t>
        </is>
      </c>
      <c r="G640" t="inlineStr">
        <is>
          <t>LINDESBERG</t>
        </is>
      </c>
      <c r="I640" t="n">
        <v>6.7</v>
      </c>
      <c r="J640" t="n">
        <v>0</v>
      </c>
      <c r="K640" t="n">
        <v>0</v>
      </c>
      <c r="L640" t="n">
        <v>0</v>
      </c>
      <c r="M640" t="n">
        <v>0</v>
      </c>
      <c r="N640" t="n">
        <v>0</v>
      </c>
      <c r="O640" t="n">
        <v>0</v>
      </c>
      <c r="P640" t="n">
        <v>0</v>
      </c>
      <c r="Q640" t="n">
        <v>0</v>
      </c>
      <c r="R640" t="n">
        <v>0</v>
      </c>
      <c r="S640" t="n">
        <v>0</v>
      </c>
      <c r="T640" t="n">
        <v>0</v>
      </c>
      <c r="U640" s="2" t="inlineStr"/>
    </row>
    <row r="641" ht="15" customHeight="1">
      <c r="A641" t="inlineStr">
        <is>
          <t>A 50072-2025</t>
        </is>
      </c>
      <c r="B641" t="inlineStr">
        <is>
          <t>avverkningsanmälan</t>
        </is>
      </c>
      <c r="C641" t="inlineStr">
        <is>
          <t>Föryngringsavverkning</t>
        </is>
      </c>
      <c r="D641" s="1" t="n">
        <v>45943</v>
      </c>
      <c r="E641" s="1" t="n">
        <v>46220</v>
      </c>
      <c r="F641" t="inlineStr">
        <is>
          <t>ÖREBRO LÄN</t>
        </is>
      </c>
      <c r="G641" t="inlineStr">
        <is>
          <t>LINDESBERG</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28040-2025</t>
        </is>
      </c>
      <c r="B642" t="inlineStr">
        <is>
          <t>avverkningsanmälan</t>
        </is>
      </c>
      <c r="C642" t="inlineStr">
        <is>
          <t>Föryngringsavverkning</t>
        </is>
      </c>
      <c r="D642" s="1" t="n">
        <v>45817</v>
      </c>
      <c r="E642" s="1" t="n">
        <v>46220</v>
      </c>
      <c r="F642" t="inlineStr">
        <is>
          <t>ÖREBRO LÄN</t>
        </is>
      </c>
      <c r="G642" t="inlineStr">
        <is>
          <t>LINDESBERG</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1749-2026</t>
        </is>
      </c>
      <c r="B643" t="inlineStr">
        <is>
          <t>avverkningsanmälan</t>
        </is>
      </c>
      <c r="C643" t="inlineStr">
        <is>
          <t>Föryngringsavverkning</t>
        </is>
      </c>
      <c r="D643" s="1" t="n">
        <v>46034</v>
      </c>
      <c r="E643" s="1" t="n">
        <v>46220</v>
      </c>
      <c r="F643" t="inlineStr">
        <is>
          <t>ÖREBRO LÄN</t>
        </is>
      </c>
      <c r="G643" t="inlineStr">
        <is>
          <t>LINDESBERG</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32097-2024</t>
        </is>
      </c>
      <c r="B644" t="inlineStr">
        <is>
          <t>avverkningsanmälan</t>
        </is>
      </c>
      <c r="C644" t="inlineStr">
        <is>
          <t>Föryngringsavverkning</t>
        </is>
      </c>
      <c r="D644" s="1" t="n">
        <v>45511</v>
      </c>
      <c r="E644" s="1" t="n">
        <v>46220</v>
      </c>
      <c r="F644" t="inlineStr">
        <is>
          <t>ÖREBRO LÄN</t>
        </is>
      </c>
      <c r="G644" t="inlineStr">
        <is>
          <t>LINDESBERG</t>
        </is>
      </c>
      <c r="I644" t="n">
        <v>1.7</v>
      </c>
      <c r="J644" t="n">
        <v>0</v>
      </c>
      <c r="K644" t="n">
        <v>0</v>
      </c>
      <c r="L644" t="n">
        <v>0</v>
      </c>
      <c r="M644" t="n">
        <v>0</v>
      </c>
      <c r="N644" t="n">
        <v>0</v>
      </c>
      <c r="O644" t="n">
        <v>0</v>
      </c>
      <c r="P644" t="n">
        <v>0</v>
      </c>
      <c r="Q644" t="n">
        <v>0</v>
      </c>
      <c r="R644" t="n">
        <v>0</v>
      </c>
      <c r="S644" t="n">
        <v>0</v>
      </c>
      <c r="T644" t="n">
        <v>0</v>
      </c>
      <c r="U644" s="2" t="inlineStr"/>
    </row>
    <row r="645" ht="15" customHeight="1">
      <c r="A645" t="inlineStr">
        <is>
          <t>A 26340-2022</t>
        </is>
      </c>
      <c r="B645" t="inlineStr">
        <is>
          <t>avverkningsanmälan</t>
        </is>
      </c>
      <c r="C645" t="inlineStr">
        <is>
          <t>Föryngringsavverkning</t>
        </is>
      </c>
      <c r="D645" s="1" t="n">
        <v>44735</v>
      </c>
      <c r="E645" s="1" t="n">
        <v>46220</v>
      </c>
      <c r="F645" t="inlineStr">
        <is>
          <t>ÖREBRO LÄN</t>
        </is>
      </c>
      <c r="G645" t="inlineStr">
        <is>
          <t>LINDESBERG</t>
        </is>
      </c>
      <c r="H645" t="inlineStr">
        <is>
          <t>Sveaskog</t>
        </is>
      </c>
      <c r="I645" t="n">
        <v>2.6</v>
      </c>
      <c r="J645" t="n">
        <v>0</v>
      </c>
      <c r="K645" t="n">
        <v>0</v>
      </c>
      <c r="L645" t="n">
        <v>0</v>
      </c>
      <c r="M645" t="n">
        <v>0</v>
      </c>
      <c r="N645" t="n">
        <v>0</v>
      </c>
      <c r="O645" t="n">
        <v>0</v>
      </c>
      <c r="P645" t="n">
        <v>0</v>
      </c>
      <c r="Q645" t="n">
        <v>0</v>
      </c>
      <c r="R645" t="n">
        <v>0</v>
      </c>
      <c r="S645" t="n">
        <v>0</v>
      </c>
      <c r="T645" t="n">
        <v>0</v>
      </c>
      <c r="U645" s="2" t="inlineStr"/>
    </row>
    <row r="646" ht="15" customHeight="1">
      <c r="A646" t="inlineStr">
        <is>
          <t>A 30534-2023</t>
        </is>
      </c>
      <c r="B646" t="inlineStr">
        <is>
          <t>avverkningsanmälan</t>
        </is>
      </c>
      <c r="C646" t="inlineStr">
        <is>
          <t>Föryngringsavverkning</t>
        </is>
      </c>
      <c r="D646" s="1" t="n">
        <v>45111</v>
      </c>
      <c r="E646" s="1" t="n">
        <v>46220</v>
      </c>
      <c r="F646" t="inlineStr">
        <is>
          <t>ÖREBRO LÄN</t>
        </is>
      </c>
      <c r="G646" t="inlineStr">
        <is>
          <t>LINDESBERG</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54705-2022</t>
        </is>
      </c>
      <c r="B647" t="inlineStr">
        <is>
          <t>avverkningsanmälan</t>
        </is>
      </c>
      <c r="C647" t="inlineStr">
        <is>
          <t>Föryngringsavverkning</t>
        </is>
      </c>
      <c r="D647" s="1" t="n">
        <v>44883</v>
      </c>
      <c r="E647" s="1" t="n">
        <v>46220</v>
      </c>
      <c r="F647" t="inlineStr">
        <is>
          <t>ÖREBRO LÄN</t>
        </is>
      </c>
      <c r="G647" t="inlineStr">
        <is>
          <t>LINDESBERG</t>
        </is>
      </c>
      <c r="I647" t="n">
        <v>8.800000000000001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59631-2023</t>
        </is>
      </c>
      <c r="B648" t="inlineStr">
        <is>
          <t>avverkningsanmälan</t>
        </is>
      </c>
      <c r="C648" t="inlineStr">
        <is>
          <t>Föryngringsavverkning</t>
        </is>
      </c>
      <c r="D648" s="1" t="n">
        <v>45254</v>
      </c>
      <c r="E648" s="1" t="n">
        <v>46220</v>
      </c>
      <c r="F648" t="inlineStr">
        <is>
          <t>ÖREBRO LÄN</t>
        </is>
      </c>
      <c r="G648" t="inlineStr">
        <is>
          <t>LINDESBERG</t>
        </is>
      </c>
      <c r="H648" t="inlineStr">
        <is>
          <t>Sveaskog</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34539-2024</t>
        </is>
      </c>
      <c r="B649" t="inlineStr">
        <is>
          <t>avverkningsanmälan</t>
        </is>
      </c>
      <c r="C649" t="inlineStr">
        <is>
          <t>Föryngringsavverkning</t>
        </is>
      </c>
      <c r="D649" s="1" t="n">
        <v>45525</v>
      </c>
      <c r="E649" s="1" t="n">
        <v>46220</v>
      </c>
      <c r="F649" t="inlineStr">
        <is>
          <t>ÖREBRO LÄN</t>
        </is>
      </c>
      <c r="G649" t="inlineStr">
        <is>
          <t>LINDESBERG</t>
        </is>
      </c>
      <c r="I649" t="n">
        <v>5.4</v>
      </c>
      <c r="J649" t="n">
        <v>0</v>
      </c>
      <c r="K649" t="n">
        <v>0</v>
      </c>
      <c r="L649" t="n">
        <v>0</v>
      </c>
      <c r="M649" t="n">
        <v>0</v>
      </c>
      <c r="N649" t="n">
        <v>0</v>
      </c>
      <c r="O649" t="n">
        <v>0</v>
      </c>
      <c r="P649" t="n">
        <v>0</v>
      </c>
      <c r="Q649" t="n">
        <v>0</v>
      </c>
      <c r="R649" t="n">
        <v>0</v>
      </c>
      <c r="S649" t="n">
        <v>0</v>
      </c>
      <c r="T649" t="n">
        <v>0</v>
      </c>
      <c r="U649" s="2" t="inlineStr"/>
    </row>
    <row r="650" ht="15" customHeight="1">
      <c r="A650" t="inlineStr">
        <is>
          <t>A 22752-2026</t>
        </is>
      </c>
      <c r="B650" t="inlineStr">
        <is>
          <t>avverkningsanmälan</t>
        </is>
      </c>
      <c r="C650" t="inlineStr">
        <is>
          <t>Föryngringsavverkning</t>
        </is>
      </c>
      <c r="D650" s="1" t="n">
        <v>46157</v>
      </c>
      <c r="E650" s="1" t="n">
        <v>46220</v>
      </c>
      <c r="F650" t="inlineStr">
        <is>
          <t>ÖREBRO LÄN</t>
        </is>
      </c>
      <c r="G650" t="inlineStr">
        <is>
          <t>LINDESBERG</t>
        </is>
      </c>
      <c r="H650" t="inlineStr">
        <is>
          <t>Sveaskog</t>
        </is>
      </c>
      <c r="I650" t="n">
        <v>1.9</v>
      </c>
      <c r="J650" t="n">
        <v>0</v>
      </c>
      <c r="K650" t="n">
        <v>0</v>
      </c>
      <c r="L650" t="n">
        <v>0</v>
      </c>
      <c r="M650" t="n">
        <v>0</v>
      </c>
      <c r="N650" t="n">
        <v>0</v>
      </c>
      <c r="O650" t="n">
        <v>0</v>
      </c>
      <c r="P650" t="n">
        <v>0</v>
      </c>
      <c r="Q650" t="n">
        <v>0</v>
      </c>
      <c r="R650" t="n">
        <v>0</v>
      </c>
      <c r="S650" t="n">
        <v>0</v>
      </c>
      <c r="T650" t="n">
        <v>0</v>
      </c>
      <c r="U650" s="2" t="inlineStr"/>
    </row>
    <row r="651" ht="15" customHeight="1">
      <c r="A651" t="inlineStr">
        <is>
          <t>A 41951-2023</t>
        </is>
      </c>
      <c r="B651" t="inlineStr">
        <is>
          <t>avverkningsanmälan</t>
        </is>
      </c>
      <c r="C651" t="inlineStr">
        <is>
          <t>Föryngringsavverkning</t>
        </is>
      </c>
      <c r="D651" s="1" t="n">
        <v>45177</v>
      </c>
      <c r="E651" s="1" t="n">
        <v>46220</v>
      </c>
      <c r="F651" t="inlineStr">
        <is>
          <t>ÖREBRO LÄN</t>
        </is>
      </c>
      <c r="G651" t="inlineStr">
        <is>
          <t>LINDESBERG</t>
        </is>
      </c>
      <c r="H651" t="inlineStr">
        <is>
          <t>Kyrkan</t>
        </is>
      </c>
      <c r="I651" t="n">
        <v>3.3</v>
      </c>
      <c r="J651" t="n">
        <v>0</v>
      </c>
      <c r="K651" t="n">
        <v>0</v>
      </c>
      <c r="L651" t="n">
        <v>0</v>
      </c>
      <c r="M651" t="n">
        <v>0</v>
      </c>
      <c r="N651" t="n">
        <v>0</v>
      </c>
      <c r="O651" t="n">
        <v>0</v>
      </c>
      <c r="P651" t="n">
        <v>0</v>
      </c>
      <c r="Q651" t="n">
        <v>0</v>
      </c>
      <c r="R651" t="n">
        <v>0</v>
      </c>
      <c r="S651" t="n">
        <v>0</v>
      </c>
      <c r="T651" t="n">
        <v>0</v>
      </c>
      <c r="U651" s="2" t="inlineStr"/>
    </row>
    <row r="652" ht="15" customHeight="1">
      <c r="A652" t="inlineStr">
        <is>
          <t>A 58603-2023</t>
        </is>
      </c>
      <c r="B652" t="inlineStr">
        <is>
          <t>avverkningsanmälan</t>
        </is>
      </c>
      <c r="C652" t="inlineStr">
        <is>
          <t>Föryngringsavverkning</t>
        </is>
      </c>
      <c r="D652" s="1" t="n">
        <v>45251</v>
      </c>
      <c r="E652" s="1" t="n">
        <v>46220</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s="2" t="inlineStr"/>
    </row>
    <row r="653" ht="15" customHeight="1">
      <c r="A653" t="inlineStr">
        <is>
          <t>A 28703-2026</t>
        </is>
      </c>
      <c r="B653" t="inlineStr">
        <is>
          <t>avverkningsanmälan</t>
        </is>
      </c>
      <c r="C653" t="inlineStr">
        <is>
          <t>Föryngringsavverkning</t>
        </is>
      </c>
      <c r="D653" s="1" t="n">
        <v>46198</v>
      </c>
      <c r="E653" s="1" t="n">
        <v>46220</v>
      </c>
      <c r="F653" t="inlineStr">
        <is>
          <t>ÖREBRO LÄN</t>
        </is>
      </c>
      <c r="G653" t="inlineStr">
        <is>
          <t>LINDESBERG</t>
        </is>
      </c>
      <c r="I653" t="n">
        <v>5.1</v>
      </c>
      <c r="J653" t="n">
        <v>0</v>
      </c>
      <c r="K653" t="n">
        <v>0</v>
      </c>
      <c r="L653" t="n">
        <v>0</v>
      </c>
      <c r="M653" t="n">
        <v>0</v>
      </c>
      <c r="N653" t="n">
        <v>0</v>
      </c>
      <c r="O653" t="n">
        <v>0</v>
      </c>
      <c r="P653" t="n">
        <v>0</v>
      </c>
      <c r="Q653" t="n">
        <v>0</v>
      </c>
      <c r="R653" t="n">
        <v>0</v>
      </c>
      <c r="S653" t="n">
        <v>0</v>
      </c>
      <c r="T653" t="n">
        <v>0</v>
      </c>
      <c r="U653" s="2" t="inlineStr"/>
    </row>
    <row r="654" ht="15" customHeight="1">
      <c r="A654" t="inlineStr">
        <is>
          <t>A 28726-2026</t>
        </is>
      </c>
      <c r="B654" t="inlineStr">
        <is>
          <t>avverkningsanmälan</t>
        </is>
      </c>
      <c r="C654" t="inlineStr">
        <is>
          <t>Föryngringsavverkning</t>
        </is>
      </c>
      <c r="D654" s="1" t="n">
        <v>46198</v>
      </c>
      <c r="E654" s="1" t="n">
        <v>46220</v>
      </c>
      <c r="F654" t="inlineStr">
        <is>
          <t>ÖREBRO LÄN</t>
        </is>
      </c>
      <c r="G654" t="inlineStr">
        <is>
          <t>LINDESBERG</t>
        </is>
      </c>
      <c r="H654" t="inlineStr">
        <is>
          <t>Sveaskog</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22748-2026</t>
        </is>
      </c>
      <c r="B655" t="inlineStr">
        <is>
          <t>avverkningsanmälan</t>
        </is>
      </c>
      <c r="C655" t="inlineStr">
        <is>
          <t>Föryngringsavverkning</t>
        </is>
      </c>
      <c r="D655" s="1" t="n">
        <v>46157</v>
      </c>
      <c r="E655" s="1" t="n">
        <v>46220</v>
      </c>
      <c r="F655" t="inlineStr">
        <is>
          <t>ÖREBRO LÄN</t>
        </is>
      </c>
      <c r="G655" t="inlineStr">
        <is>
          <t>LINDESBERG</t>
        </is>
      </c>
      <c r="I655" t="n">
        <v>3.1</v>
      </c>
      <c r="J655" t="n">
        <v>0</v>
      </c>
      <c r="K655" t="n">
        <v>0</v>
      </c>
      <c r="L655" t="n">
        <v>0</v>
      </c>
      <c r="M655" t="n">
        <v>0</v>
      </c>
      <c r="N655" t="n">
        <v>0</v>
      </c>
      <c r="O655" t="n">
        <v>0</v>
      </c>
      <c r="P655" t="n">
        <v>0</v>
      </c>
      <c r="Q655" t="n">
        <v>0</v>
      </c>
      <c r="R655" t="n">
        <v>0</v>
      </c>
      <c r="S655" t="n">
        <v>0</v>
      </c>
      <c r="T655" t="n">
        <v>0</v>
      </c>
      <c r="U655" s="2" t="inlineStr"/>
    </row>
    <row r="656" ht="15" customHeight="1">
      <c r="A656" t="inlineStr">
        <is>
          <t>A 14187-2024</t>
        </is>
      </c>
      <c r="B656" t="inlineStr">
        <is>
          <t>avverkningsanmälan</t>
        </is>
      </c>
      <c r="C656" t="inlineStr">
        <is>
          <t>Föryngringsavverkning</t>
        </is>
      </c>
      <c r="D656" s="1" t="n">
        <v>45393</v>
      </c>
      <c r="E656" s="1" t="n">
        <v>46220</v>
      </c>
      <c r="F656" t="inlineStr">
        <is>
          <t>ÖREBRO LÄN</t>
        </is>
      </c>
      <c r="G656" t="inlineStr">
        <is>
          <t>LINDESBERG</t>
        </is>
      </c>
      <c r="H656" t="inlineStr">
        <is>
          <t>Sveaskog</t>
        </is>
      </c>
      <c r="I656" t="n">
        <v>0.3</v>
      </c>
      <c r="J656" t="n">
        <v>0</v>
      </c>
      <c r="K656" t="n">
        <v>0</v>
      </c>
      <c r="L656" t="n">
        <v>0</v>
      </c>
      <c r="M656" t="n">
        <v>0</v>
      </c>
      <c r="N656" t="n">
        <v>0</v>
      </c>
      <c r="O656" t="n">
        <v>0</v>
      </c>
      <c r="P656" t="n">
        <v>0</v>
      </c>
      <c r="Q656" t="n">
        <v>0</v>
      </c>
      <c r="R656" t="n">
        <v>0</v>
      </c>
      <c r="S656" t="n">
        <v>0</v>
      </c>
      <c r="T656" t="n">
        <v>0</v>
      </c>
      <c r="U656" s="2" t="inlineStr"/>
    </row>
    <row r="657" ht="15" customHeight="1">
      <c r="A657" t="inlineStr">
        <is>
          <t>A 18418-2025</t>
        </is>
      </c>
      <c r="B657" t="inlineStr">
        <is>
          <t>avverkningsanmälan</t>
        </is>
      </c>
      <c r="C657" t="inlineStr">
        <is>
          <t>Föryngringsavverkning</t>
        </is>
      </c>
      <c r="D657" s="1" t="n">
        <v>45762</v>
      </c>
      <c r="E657" s="1" t="n">
        <v>46220</v>
      </c>
      <c r="F657" t="inlineStr">
        <is>
          <t>ÖREBRO LÄN</t>
        </is>
      </c>
      <c r="G657" t="inlineStr">
        <is>
          <t>LINDESBERG</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22745-2026</t>
        </is>
      </c>
      <c r="B658" t="inlineStr">
        <is>
          <t>avverkningsanmälan</t>
        </is>
      </c>
      <c r="C658" t="inlineStr">
        <is>
          <t>Föryngringsavverkning</t>
        </is>
      </c>
      <c r="D658" s="1" t="n">
        <v>46157</v>
      </c>
      <c r="E658" s="1" t="n">
        <v>46220</v>
      </c>
      <c r="F658" t="inlineStr">
        <is>
          <t>ÖREBRO LÄN</t>
        </is>
      </c>
      <c r="G658" t="inlineStr">
        <is>
          <t>LINDESBERG</t>
        </is>
      </c>
      <c r="H658" t="inlineStr">
        <is>
          <t>Sveaskog</t>
        </is>
      </c>
      <c r="I658" t="n">
        <v>2</v>
      </c>
      <c r="J658" t="n">
        <v>0</v>
      </c>
      <c r="K658" t="n">
        <v>0</v>
      </c>
      <c r="L658" t="n">
        <v>0</v>
      </c>
      <c r="M658" t="n">
        <v>0</v>
      </c>
      <c r="N658" t="n">
        <v>0</v>
      </c>
      <c r="O658" t="n">
        <v>0</v>
      </c>
      <c r="P658" t="n">
        <v>0</v>
      </c>
      <c r="Q658" t="n">
        <v>0</v>
      </c>
      <c r="R658" t="n">
        <v>0</v>
      </c>
      <c r="S658" t="n">
        <v>0</v>
      </c>
      <c r="T658" t="n">
        <v>0</v>
      </c>
      <c r="U658" s="2" t="inlineStr"/>
    </row>
    <row r="659" ht="15" customHeight="1">
      <c r="A659" t="inlineStr">
        <is>
          <t>A 29849-2023</t>
        </is>
      </c>
      <c r="B659" t="inlineStr">
        <is>
          <t>avverkningsanmälan</t>
        </is>
      </c>
      <c r="C659" t="inlineStr">
        <is>
          <t>Föryngringsavverkning</t>
        </is>
      </c>
      <c r="D659" s="1" t="n">
        <v>45107</v>
      </c>
      <c r="E659" s="1" t="n">
        <v>46220</v>
      </c>
      <c r="F659" t="inlineStr">
        <is>
          <t>ÖREBRO LÄN</t>
        </is>
      </c>
      <c r="G659" t="inlineStr">
        <is>
          <t>LINDESBERG</t>
        </is>
      </c>
      <c r="I659" t="n">
        <v>2.1</v>
      </c>
      <c r="J659" t="n">
        <v>0</v>
      </c>
      <c r="K659" t="n">
        <v>0</v>
      </c>
      <c r="L659" t="n">
        <v>0</v>
      </c>
      <c r="M659" t="n">
        <v>0</v>
      </c>
      <c r="N659" t="n">
        <v>0</v>
      </c>
      <c r="O659" t="n">
        <v>0</v>
      </c>
      <c r="P659" t="n">
        <v>0</v>
      </c>
      <c r="Q659" t="n">
        <v>0</v>
      </c>
      <c r="R659" t="n">
        <v>0</v>
      </c>
      <c r="S659" t="n">
        <v>0</v>
      </c>
      <c r="T659" t="n">
        <v>0</v>
      </c>
      <c r="U659" s="2" t="inlineStr"/>
    </row>
    <row r="660" ht="15" customHeight="1">
      <c r="A660" t="inlineStr">
        <is>
          <t>A 60105-2022</t>
        </is>
      </c>
      <c r="B660" t="inlineStr">
        <is>
          <t>avverkningsanmälan</t>
        </is>
      </c>
      <c r="C660" t="inlineStr">
        <is>
          <t>Föryngringsavverkning</t>
        </is>
      </c>
      <c r="D660" s="1" t="n">
        <v>44902</v>
      </c>
      <c r="E660" s="1" t="n">
        <v>46220</v>
      </c>
      <c r="F660" t="inlineStr">
        <is>
          <t>ÖREBRO LÄN</t>
        </is>
      </c>
      <c r="G660" t="inlineStr">
        <is>
          <t>LINDESBERG</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33427-2024</t>
        </is>
      </c>
      <c r="B661" t="inlineStr">
        <is>
          <t>avverkningsanmälan</t>
        </is>
      </c>
      <c r="C661" t="inlineStr">
        <is>
          <t>Avverkning för annat ändamål</t>
        </is>
      </c>
      <c r="D661" s="1" t="n">
        <v>45519</v>
      </c>
      <c r="E661" s="1" t="n">
        <v>46220</v>
      </c>
      <c r="F661" t="inlineStr">
        <is>
          <t>ÖREBRO LÄN</t>
        </is>
      </c>
      <c r="G661" t="inlineStr">
        <is>
          <t>LINDESBERG</t>
        </is>
      </c>
      <c r="H661" t="inlineStr">
        <is>
          <t>Sveaskog</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29407-2026</t>
        </is>
      </c>
      <c r="B662" t="inlineStr">
        <is>
          <t>avverkningsanmälan</t>
        </is>
      </c>
      <c r="C662" t="inlineStr">
        <is>
          <t>Föryngringsavverkning</t>
        </is>
      </c>
      <c r="D662" s="1" t="n">
        <v>46203</v>
      </c>
      <c r="E662" s="1" t="n">
        <v>46220</v>
      </c>
      <c r="F662" t="inlineStr">
        <is>
          <t>ÖREBRO LÄN</t>
        </is>
      </c>
      <c r="G662" t="inlineStr">
        <is>
          <t>LINDESBERG</t>
        </is>
      </c>
      <c r="H662" t="inlineStr">
        <is>
          <t>Sveaskog</t>
        </is>
      </c>
      <c r="I662" t="n">
        <v>4.9</v>
      </c>
      <c r="J662" t="n">
        <v>0</v>
      </c>
      <c r="K662" t="n">
        <v>0</v>
      </c>
      <c r="L662" t="n">
        <v>0</v>
      </c>
      <c r="M662" t="n">
        <v>0</v>
      </c>
      <c r="N662" t="n">
        <v>0</v>
      </c>
      <c r="O662" t="n">
        <v>0</v>
      </c>
      <c r="P662" t="n">
        <v>0</v>
      </c>
      <c r="Q662" t="n">
        <v>0</v>
      </c>
      <c r="R662" t="n">
        <v>0</v>
      </c>
      <c r="S662" t="n">
        <v>0</v>
      </c>
      <c r="T662" t="n">
        <v>0</v>
      </c>
      <c r="U662" s="2" t="inlineStr"/>
    </row>
    <row r="663" ht="15" customHeight="1">
      <c r="A663" t="inlineStr">
        <is>
          <t>A 29894-2023</t>
        </is>
      </c>
      <c r="B663" t="inlineStr">
        <is>
          <t>avverkningsanmälan</t>
        </is>
      </c>
      <c r="C663" t="inlineStr">
        <is>
          <t>Föryngringsavverkning</t>
        </is>
      </c>
      <c r="D663" s="1" t="n">
        <v>45107</v>
      </c>
      <c r="E663" s="1" t="n">
        <v>46220</v>
      </c>
      <c r="F663" t="inlineStr">
        <is>
          <t>ÖREBRO LÄN</t>
        </is>
      </c>
      <c r="G663" t="inlineStr">
        <is>
          <t>LINDESBERG</t>
        </is>
      </c>
      <c r="H663" t="inlineStr">
        <is>
          <t>Sveaskog</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29408-2026</t>
        </is>
      </c>
      <c r="B664" t="inlineStr">
        <is>
          <t>avverkningsanmälan</t>
        </is>
      </c>
      <c r="C664" t="inlineStr">
        <is>
          <t>Föryngringsavverkning</t>
        </is>
      </c>
      <c r="D664" s="1" t="n">
        <v>46203</v>
      </c>
      <c r="E664" s="1" t="n">
        <v>46220</v>
      </c>
      <c r="F664" t="inlineStr">
        <is>
          <t>ÖREBRO LÄN</t>
        </is>
      </c>
      <c r="G664" t="inlineStr">
        <is>
          <t>LINDESBERG</t>
        </is>
      </c>
      <c r="H664" t="inlineStr">
        <is>
          <t>Sveaskog</t>
        </is>
      </c>
      <c r="I664" t="n">
        <v>1.9</v>
      </c>
      <c r="J664" t="n">
        <v>0</v>
      </c>
      <c r="K664" t="n">
        <v>0</v>
      </c>
      <c r="L664" t="n">
        <v>0</v>
      </c>
      <c r="M664" t="n">
        <v>0</v>
      </c>
      <c r="N664" t="n">
        <v>0</v>
      </c>
      <c r="O664" t="n">
        <v>0</v>
      </c>
      <c r="P664" t="n">
        <v>0</v>
      </c>
      <c r="Q664" t="n">
        <v>0</v>
      </c>
      <c r="R664" t="n">
        <v>0</v>
      </c>
      <c r="S664" t="n">
        <v>0</v>
      </c>
      <c r="T664" t="n">
        <v>0</v>
      </c>
      <c r="U664" s="2" t="inlineStr"/>
    </row>
    <row r="665" ht="15" customHeight="1">
      <c r="A665" t="inlineStr">
        <is>
          <t>A 22861-2026</t>
        </is>
      </c>
      <c r="B665" t="inlineStr">
        <is>
          <t>avverkningsanmälan</t>
        </is>
      </c>
      <c r="C665" t="inlineStr">
        <is>
          <t>Föryngringsavverkning</t>
        </is>
      </c>
      <c r="D665" s="1" t="n">
        <v>46160</v>
      </c>
      <c r="E665" s="1" t="n">
        <v>46220</v>
      </c>
      <c r="F665" t="inlineStr">
        <is>
          <t>ÖREBRO LÄN</t>
        </is>
      </c>
      <c r="G665" t="inlineStr">
        <is>
          <t>LINDESBERG</t>
        </is>
      </c>
      <c r="I665" t="n">
        <v>2.3</v>
      </c>
      <c r="J665" t="n">
        <v>0</v>
      </c>
      <c r="K665" t="n">
        <v>0</v>
      </c>
      <c r="L665" t="n">
        <v>0</v>
      </c>
      <c r="M665" t="n">
        <v>0</v>
      </c>
      <c r="N665" t="n">
        <v>0</v>
      </c>
      <c r="O665" t="n">
        <v>0</v>
      </c>
      <c r="P665" t="n">
        <v>0</v>
      </c>
      <c r="Q665" t="n">
        <v>0</v>
      </c>
      <c r="R665" t="n">
        <v>0</v>
      </c>
      <c r="S665" t="n">
        <v>0</v>
      </c>
      <c r="T665" t="n">
        <v>0</v>
      </c>
      <c r="U665" s="2" t="inlineStr"/>
    </row>
    <row r="666" ht="15" customHeight="1">
      <c r="A666" t="inlineStr">
        <is>
          <t>A 23184-2026</t>
        </is>
      </c>
      <c r="B666" t="inlineStr">
        <is>
          <t>avverkningsanmälan</t>
        </is>
      </c>
      <c r="C666" t="inlineStr">
        <is>
          <t>Föryngringsavverkning</t>
        </is>
      </c>
      <c r="D666" s="1" t="n">
        <v>46161</v>
      </c>
      <c r="E666" s="1" t="n">
        <v>46220</v>
      </c>
      <c r="F666" t="inlineStr">
        <is>
          <t>ÖREBRO LÄN</t>
        </is>
      </c>
      <c r="G666" t="inlineStr">
        <is>
          <t>LINDESBERG</t>
        </is>
      </c>
      <c r="H666" t="inlineStr">
        <is>
          <t>Sveaskog</t>
        </is>
      </c>
      <c r="I666" t="n">
        <v>0.5</v>
      </c>
      <c r="J666" t="n">
        <v>0</v>
      </c>
      <c r="K666" t="n">
        <v>0</v>
      </c>
      <c r="L666" t="n">
        <v>0</v>
      </c>
      <c r="M666" t="n">
        <v>0</v>
      </c>
      <c r="N666" t="n">
        <v>0</v>
      </c>
      <c r="O666" t="n">
        <v>0</v>
      </c>
      <c r="P666" t="n">
        <v>0</v>
      </c>
      <c r="Q666" t="n">
        <v>0</v>
      </c>
      <c r="R666" t="n">
        <v>0</v>
      </c>
      <c r="S666" t="n">
        <v>0</v>
      </c>
      <c r="T666" t="n">
        <v>0</v>
      </c>
      <c r="U666" s="2" t="inlineStr"/>
    </row>
    <row r="667" ht="15" customHeight="1">
      <c r="A667" t="inlineStr">
        <is>
          <t>A 23187-2026</t>
        </is>
      </c>
      <c r="B667" t="inlineStr">
        <is>
          <t>avverkningsanmälan</t>
        </is>
      </c>
      <c r="C667" t="inlineStr">
        <is>
          <t>Föryngringsavverkning</t>
        </is>
      </c>
      <c r="D667" s="1" t="n">
        <v>46161</v>
      </c>
      <c r="E667" s="1" t="n">
        <v>46220</v>
      </c>
      <c r="F667" t="inlineStr">
        <is>
          <t>ÖREBRO LÄN</t>
        </is>
      </c>
      <c r="G667" t="inlineStr">
        <is>
          <t>LINDESBERG</t>
        </is>
      </c>
      <c r="H667" t="inlineStr">
        <is>
          <t>Sveaskog</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23191-2026</t>
        </is>
      </c>
      <c r="B668" t="inlineStr">
        <is>
          <t>avverkningsanmälan</t>
        </is>
      </c>
      <c r="C668" t="inlineStr">
        <is>
          <t>Föryngringsavverkning</t>
        </is>
      </c>
      <c r="D668" s="1" t="n">
        <v>46161</v>
      </c>
      <c r="E668" s="1" t="n">
        <v>46220</v>
      </c>
      <c r="F668" t="inlineStr">
        <is>
          <t>ÖREBRO LÄN</t>
        </is>
      </c>
      <c r="G668" t="inlineStr">
        <is>
          <t>LINDESBERG</t>
        </is>
      </c>
      <c r="H668" t="inlineStr">
        <is>
          <t>Sveaskog</t>
        </is>
      </c>
      <c r="I668" t="n">
        <v>1.8</v>
      </c>
      <c r="J668" t="n">
        <v>0</v>
      </c>
      <c r="K668" t="n">
        <v>0</v>
      </c>
      <c r="L668" t="n">
        <v>0</v>
      </c>
      <c r="M668" t="n">
        <v>0</v>
      </c>
      <c r="N668" t="n">
        <v>0</v>
      </c>
      <c r="O668" t="n">
        <v>0</v>
      </c>
      <c r="P668" t="n">
        <v>0</v>
      </c>
      <c r="Q668" t="n">
        <v>0</v>
      </c>
      <c r="R668" t="n">
        <v>0</v>
      </c>
      <c r="S668" t="n">
        <v>0</v>
      </c>
      <c r="T668" t="n">
        <v>0</v>
      </c>
      <c r="U668" s="2" t="inlineStr"/>
    </row>
    <row r="669" ht="15" customHeight="1">
      <c r="A669" t="inlineStr">
        <is>
          <t>A 23175-2026</t>
        </is>
      </c>
      <c r="B669" t="inlineStr">
        <is>
          <t>avverkningsanmälan</t>
        </is>
      </c>
      <c r="C669" t="inlineStr">
        <is>
          <t>Föryngringsavverkning</t>
        </is>
      </c>
      <c r="D669" s="1" t="n">
        <v>46161</v>
      </c>
      <c r="E669" s="1" t="n">
        <v>46220</v>
      </c>
      <c r="F669" t="inlineStr">
        <is>
          <t>ÖREBRO LÄN</t>
        </is>
      </c>
      <c r="G669" t="inlineStr">
        <is>
          <t>LINDESBERG</t>
        </is>
      </c>
      <c r="H669" t="inlineStr">
        <is>
          <t>Sveaskog</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40306-2022</t>
        </is>
      </c>
      <c r="B670" t="inlineStr">
        <is>
          <t>avverkningsanmälan</t>
        </is>
      </c>
      <c r="C670" t="inlineStr">
        <is>
          <t>Föryngringsavverkning</t>
        </is>
      </c>
      <c r="D670" s="1" t="n">
        <v>44822</v>
      </c>
      <c r="E670" s="1" t="n">
        <v>46220</v>
      </c>
      <c r="F670" t="inlineStr">
        <is>
          <t>ÖREBRO LÄN</t>
        </is>
      </c>
      <c r="G670" t="inlineStr">
        <is>
          <t>LINDESBERG</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23181-2026</t>
        </is>
      </c>
      <c r="B671" t="inlineStr">
        <is>
          <t>avverkningsanmälan</t>
        </is>
      </c>
      <c r="C671" t="inlineStr">
        <is>
          <t>Föryngringsavverkning</t>
        </is>
      </c>
      <c r="D671" s="1" t="n">
        <v>46161</v>
      </c>
      <c r="E671" s="1" t="n">
        <v>46220</v>
      </c>
      <c r="F671" t="inlineStr">
        <is>
          <t>ÖREBRO LÄN</t>
        </is>
      </c>
      <c r="G671" t="inlineStr">
        <is>
          <t>LINDESBERG</t>
        </is>
      </c>
      <c r="H671" t="inlineStr">
        <is>
          <t>Sveaskog</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63668-2023</t>
        </is>
      </c>
      <c r="B672" t="inlineStr">
        <is>
          <t>avverkningsanmälan</t>
        </is>
      </c>
      <c r="C672" t="inlineStr">
        <is>
          <t>Föryngringsavverkning</t>
        </is>
      </c>
      <c r="D672" s="1" t="n">
        <v>45274</v>
      </c>
      <c r="E672" s="1" t="n">
        <v>46220</v>
      </c>
      <c r="F672" t="inlineStr">
        <is>
          <t>ÖREBRO LÄN</t>
        </is>
      </c>
      <c r="G672" t="inlineStr">
        <is>
          <t>LINDESBERG</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22862-2026</t>
        </is>
      </c>
      <c r="B673" t="inlineStr">
        <is>
          <t>avverkningsanmälan</t>
        </is>
      </c>
      <c r="C673" t="inlineStr">
        <is>
          <t>Föryngringsavverkning</t>
        </is>
      </c>
      <c r="D673" s="1" t="n">
        <v>46160</v>
      </c>
      <c r="E673" s="1" t="n">
        <v>46220</v>
      </c>
      <c r="F673" t="inlineStr">
        <is>
          <t>ÖREBRO LÄN</t>
        </is>
      </c>
      <c r="G673" t="inlineStr">
        <is>
          <t>LINDESBERG</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29405-2026</t>
        </is>
      </c>
      <c r="B674" t="inlineStr">
        <is>
          <t>avverkningsanmälan</t>
        </is>
      </c>
      <c r="C674" t="inlineStr">
        <is>
          <t>Föryngringsavverkning</t>
        </is>
      </c>
      <c r="D674" s="1" t="n">
        <v>46203</v>
      </c>
      <c r="E674" s="1" t="n">
        <v>46220</v>
      </c>
      <c r="F674" t="inlineStr">
        <is>
          <t>ÖREBRO LÄN</t>
        </is>
      </c>
      <c r="G674" t="inlineStr">
        <is>
          <t>LINDESBERG</t>
        </is>
      </c>
      <c r="H674" t="inlineStr">
        <is>
          <t>Sveaskog</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23188-2026</t>
        </is>
      </c>
      <c r="B675" t="inlineStr">
        <is>
          <t>avverkningsanmälan</t>
        </is>
      </c>
      <c r="C675" t="inlineStr">
        <is>
          <t>Föryngringsavverkning</t>
        </is>
      </c>
      <c r="D675" s="1" t="n">
        <v>46161</v>
      </c>
      <c r="E675" s="1" t="n">
        <v>46220</v>
      </c>
      <c r="F675" t="inlineStr">
        <is>
          <t>ÖREBRO LÄN</t>
        </is>
      </c>
      <c r="G675" t="inlineStr">
        <is>
          <t>LINDESBERG</t>
        </is>
      </c>
      <c r="H675" t="inlineStr">
        <is>
          <t>Sveaskog</t>
        </is>
      </c>
      <c r="I675" t="n">
        <v>0.4</v>
      </c>
      <c r="J675" t="n">
        <v>0</v>
      </c>
      <c r="K675" t="n">
        <v>0</v>
      </c>
      <c r="L675" t="n">
        <v>0</v>
      </c>
      <c r="M675" t="n">
        <v>0</v>
      </c>
      <c r="N675" t="n">
        <v>0</v>
      </c>
      <c r="O675" t="n">
        <v>0</v>
      </c>
      <c r="P675" t="n">
        <v>0</v>
      </c>
      <c r="Q675" t="n">
        <v>0</v>
      </c>
      <c r="R675" t="n">
        <v>0</v>
      </c>
      <c r="S675" t="n">
        <v>0</v>
      </c>
      <c r="T675" t="n">
        <v>0</v>
      </c>
      <c r="U675" s="2" t="inlineStr"/>
    </row>
    <row r="676" ht="15" customHeight="1">
      <c r="A676" t="inlineStr">
        <is>
          <t>A 25842-2025</t>
        </is>
      </c>
      <c r="B676" t="inlineStr">
        <is>
          <t>avverkningsanmälan</t>
        </is>
      </c>
      <c r="C676" t="inlineStr">
        <is>
          <t>Föryngringsavverkning</t>
        </is>
      </c>
      <c r="D676" s="1" t="n">
        <v>45804</v>
      </c>
      <c r="E676" s="1" t="n">
        <v>46220</v>
      </c>
      <c r="F676" t="inlineStr">
        <is>
          <t>ÖREBRO LÄN</t>
        </is>
      </c>
      <c r="G676" t="inlineStr">
        <is>
          <t>LINDESBERG</t>
        </is>
      </c>
      <c r="I676" t="n">
        <v>1.7</v>
      </c>
      <c r="J676" t="n">
        <v>0</v>
      </c>
      <c r="K676" t="n">
        <v>0</v>
      </c>
      <c r="L676" t="n">
        <v>0</v>
      </c>
      <c r="M676" t="n">
        <v>0</v>
      </c>
      <c r="N676" t="n">
        <v>0</v>
      </c>
      <c r="O676" t="n">
        <v>0</v>
      </c>
      <c r="P676" t="n">
        <v>0</v>
      </c>
      <c r="Q676" t="n">
        <v>0</v>
      </c>
      <c r="R676" t="n">
        <v>0</v>
      </c>
      <c r="S676" t="n">
        <v>0</v>
      </c>
      <c r="T676" t="n">
        <v>0</v>
      </c>
      <c r="U676" s="2" t="inlineStr"/>
    </row>
    <row r="677" ht="15" customHeight="1">
      <c r="A677" t="inlineStr">
        <is>
          <t>A 44675-2021</t>
        </is>
      </c>
      <c r="B677" t="inlineStr">
        <is>
          <t>avverkningsanmälan</t>
        </is>
      </c>
      <c r="C677" t="inlineStr">
        <is>
          <t>Föryngringsavverkning</t>
        </is>
      </c>
      <c r="D677" s="1" t="n">
        <v>44438</v>
      </c>
      <c r="E677" s="1" t="n">
        <v>46220</v>
      </c>
      <c r="F677" t="inlineStr">
        <is>
          <t>ÖREBRO LÄN</t>
        </is>
      </c>
      <c r="G677" t="inlineStr">
        <is>
          <t>LINDESBERG</t>
        </is>
      </c>
      <c r="H677" t="inlineStr">
        <is>
          <t>Sveaskog</t>
        </is>
      </c>
      <c r="I677" t="n">
        <v>2.1</v>
      </c>
      <c r="J677" t="n">
        <v>0</v>
      </c>
      <c r="K677" t="n">
        <v>0</v>
      </c>
      <c r="L677" t="n">
        <v>0</v>
      </c>
      <c r="M677" t="n">
        <v>0</v>
      </c>
      <c r="N677" t="n">
        <v>0</v>
      </c>
      <c r="O677" t="n">
        <v>0</v>
      </c>
      <c r="P677" t="n">
        <v>0</v>
      </c>
      <c r="Q677" t="n">
        <v>0</v>
      </c>
      <c r="R677" t="n">
        <v>0</v>
      </c>
      <c r="S677" t="n">
        <v>0</v>
      </c>
      <c r="T677" t="n">
        <v>0</v>
      </c>
      <c r="U677" s="2" t="inlineStr"/>
    </row>
    <row r="678" ht="15" customHeight="1">
      <c r="A678" t="inlineStr">
        <is>
          <t>A 59633-2023</t>
        </is>
      </c>
      <c r="B678" t="inlineStr">
        <is>
          <t>avverkningsanmälan</t>
        </is>
      </c>
      <c r="C678" t="inlineStr">
        <is>
          <t>Föryngringsavverkning</t>
        </is>
      </c>
      <c r="D678" s="1" t="n">
        <v>45254</v>
      </c>
      <c r="E678" s="1" t="n">
        <v>46220</v>
      </c>
      <c r="F678" t="inlineStr">
        <is>
          <t>ÖREBRO LÄN</t>
        </is>
      </c>
      <c r="G678" t="inlineStr">
        <is>
          <t>LINDESBERG</t>
        </is>
      </c>
      <c r="H678" t="inlineStr">
        <is>
          <t>Sveaskog</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13416-2025</t>
        </is>
      </c>
      <c r="B679" t="inlineStr">
        <is>
          <t>avverkningsanmälan</t>
        </is>
      </c>
      <c r="C679" t="inlineStr">
        <is>
          <t>Föryngringsavverkning</t>
        </is>
      </c>
      <c r="D679" s="1" t="n">
        <v>45736</v>
      </c>
      <c r="E679" s="1" t="n">
        <v>46220</v>
      </c>
      <c r="F679" t="inlineStr">
        <is>
          <t>ÖREBRO LÄN</t>
        </is>
      </c>
      <c r="G679" t="inlineStr">
        <is>
          <t>LINDESBERG</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23173-2026</t>
        </is>
      </c>
      <c r="B680" t="inlineStr">
        <is>
          <t>avverkningsanmälan</t>
        </is>
      </c>
      <c r="C680" t="inlineStr">
        <is>
          <t>Föryngringsavverkning</t>
        </is>
      </c>
      <c r="D680" s="1" t="n">
        <v>46161</v>
      </c>
      <c r="E680" s="1" t="n">
        <v>46220</v>
      </c>
      <c r="F680" t="inlineStr">
        <is>
          <t>ÖREBRO LÄN</t>
        </is>
      </c>
      <c r="G680" t="inlineStr">
        <is>
          <t>LINDESBERG</t>
        </is>
      </c>
      <c r="H680" t="inlineStr">
        <is>
          <t>Sveaskog</t>
        </is>
      </c>
      <c r="I680" t="n">
        <v>3.1</v>
      </c>
      <c r="J680" t="n">
        <v>0</v>
      </c>
      <c r="K680" t="n">
        <v>0</v>
      </c>
      <c r="L680" t="n">
        <v>0</v>
      </c>
      <c r="M680" t="n">
        <v>0</v>
      </c>
      <c r="N680" t="n">
        <v>0</v>
      </c>
      <c r="O680" t="n">
        <v>0</v>
      </c>
      <c r="P680" t="n">
        <v>0</v>
      </c>
      <c r="Q680" t="n">
        <v>0</v>
      </c>
      <c r="R680" t="n">
        <v>0</v>
      </c>
      <c r="S680" t="n">
        <v>0</v>
      </c>
      <c r="T680" t="n">
        <v>0</v>
      </c>
      <c r="U680" s="2" t="inlineStr"/>
    </row>
    <row r="681" ht="15" customHeight="1">
      <c r="A681" t="inlineStr">
        <is>
          <t>A 23174-2026</t>
        </is>
      </c>
      <c r="B681" t="inlineStr">
        <is>
          <t>avverkningsanmälan</t>
        </is>
      </c>
      <c r="C681" t="inlineStr">
        <is>
          <t>Föryngringsavverkning</t>
        </is>
      </c>
      <c r="D681" s="1" t="n">
        <v>46161</v>
      </c>
      <c r="E681" s="1" t="n">
        <v>46220</v>
      </c>
      <c r="F681" t="inlineStr">
        <is>
          <t>ÖREBRO LÄN</t>
        </is>
      </c>
      <c r="G681" t="inlineStr">
        <is>
          <t>LINDESBERG</t>
        </is>
      </c>
      <c r="H681" t="inlineStr">
        <is>
          <t>Sveaskog</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23190-2026</t>
        </is>
      </c>
      <c r="B682" t="inlineStr">
        <is>
          <t>avverkningsanmälan</t>
        </is>
      </c>
      <c r="C682" t="inlineStr">
        <is>
          <t>Föryngringsavverkning</t>
        </is>
      </c>
      <c r="D682" s="1" t="n">
        <v>46161</v>
      </c>
      <c r="E682" s="1" t="n">
        <v>46220</v>
      </c>
      <c r="F682" t="inlineStr">
        <is>
          <t>ÖREBRO LÄN</t>
        </is>
      </c>
      <c r="G682" t="inlineStr">
        <is>
          <t>LINDESBERG</t>
        </is>
      </c>
      <c r="H682" t="inlineStr">
        <is>
          <t>Sveaskog</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27051-2023</t>
        </is>
      </c>
      <c r="B683" t="inlineStr">
        <is>
          <t>avverkningsanmälan</t>
        </is>
      </c>
      <c r="C683" t="inlineStr">
        <is>
          <t>Föryngringsavverkning</t>
        </is>
      </c>
      <c r="D683" s="1" t="n">
        <v>45095</v>
      </c>
      <c r="E683" s="1" t="n">
        <v>46220</v>
      </c>
      <c r="F683" t="inlineStr">
        <is>
          <t>ÖREBRO LÄN</t>
        </is>
      </c>
      <c r="G683" t="inlineStr">
        <is>
          <t>LINDESBERG</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43801-2024</t>
        </is>
      </c>
      <c r="B684" t="inlineStr">
        <is>
          <t>avverkningsanmälan</t>
        </is>
      </c>
      <c r="C684" t="inlineStr">
        <is>
          <t>Föryngringsavverkning</t>
        </is>
      </c>
      <c r="D684" s="1" t="n">
        <v>45571</v>
      </c>
      <c r="E684" s="1" t="n">
        <v>46220</v>
      </c>
      <c r="F684" t="inlineStr">
        <is>
          <t>ÖREBRO LÄN</t>
        </is>
      </c>
      <c r="G684" t="inlineStr">
        <is>
          <t>LINDESBERG</t>
        </is>
      </c>
      <c r="H684" t="inlineStr">
        <is>
          <t>Sveaskog</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23177-2026</t>
        </is>
      </c>
      <c r="B685" t="inlineStr">
        <is>
          <t>avverkningsanmälan</t>
        </is>
      </c>
      <c r="C685" t="inlineStr">
        <is>
          <t>Föryngringsavverkning</t>
        </is>
      </c>
      <c r="D685" s="1" t="n">
        <v>46161</v>
      </c>
      <c r="E685" s="1" t="n">
        <v>46220</v>
      </c>
      <c r="F685" t="inlineStr">
        <is>
          <t>ÖREBRO LÄN</t>
        </is>
      </c>
      <c r="G685" t="inlineStr">
        <is>
          <t>LINDESBERG</t>
        </is>
      </c>
      <c r="H685" t="inlineStr">
        <is>
          <t>Sveaskog</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23180-2026</t>
        </is>
      </c>
      <c r="B686" t="inlineStr">
        <is>
          <t>avverkningsanmälan</t>
        </is>
      </c>
      <c r="C686" t="inlineStr">
        <is>
          <t>Föryngringsavverkning</t>
        </is>
      </c>
      <c r="D686" s="1" t="n">
        <v>46161</v>
      </c>
      <c r="E686" s="1" t="n">
        <v>46220</v>
      </c>
      <c r="F686" t="inlineStr">
        <is>
          <t>ÖREBRO LÄN</t>
        </is>
      </c>
      <c r="G686" t="inlineStr">
        <is>
          <t>LINDESBERG</t>
        </is>
      </c>
      <c r="H686" t="inlineStr">
        <is>
          <t>Sveaskog</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45072-2024</t>
        </is>
      </c>
      <c r="B687" t="inlineStr">
        <is>
          <t>avverkningsanmälan</t>
        </is>
      </c>
      <c r="C687" t="inlineStr">
        <is>
          <t>Föryngringsavverkning</t>
        </is>
      </c>
      <c r="D687" s="1" t="n">
        <v>45575</v>
      </c>
      <c r="E687" s="1" t="n">
        <v>46220</v>
      </c>
      <c r="F687" t="inlineStr">
        <is>
          <t>ÖREBRO LÄN</t>
        </is>
      </c>
      <c r="G687" t="inlineStr">
        <is>
          <t>LINDESBERG</t>
        </is>
      </c>
      <c r="H687" t="inlineStr">
        <is>
          <t>Sveaskog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45075-2024</t>
        </is>
      </c>
      <c r="B688" t="inlineStr">
        <is>
          <t>avverkningsanmälan</t>
        </is>
      </c>
      <c r="C688" t="inlineStr">
        <is>
          <t>Föryngringsavverkning</t>
        </is>
      </c>
      <c r="D688" s="1" t="n">
        <v>45575</v>
      </c>
      <c r="E688" s="1" t="n">
        <v>46220</v>
      </c>
      <c r="F688" t="inlineStr">
        <is>
          <t>ÖREBRO LÄN</t>
        </is>
      </c>
      <c r="G688" t="inlineStr">
        <is>
          <t>LINDESBERG</t>
        </is>
      </c>
      <c r="H688" t="inlineStr">
        <is>
          <t>Sveaskog</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23338-2026</t>
        </is>
      </c>
      <c r="B689" t="inlineStr">
        <is>
          <t>avverkningsanmälan</t>
        </is>
      </c>
      <c r="C689" t="inlineStr">
        <is>
          <t>Föryngringsavverkning</t>
        </is>
      </c>
      <c r="D689" s="1" t="n">
        <v>46162</v>
      </c>
      <c r="E689" s="1" t="n">
        <v>46220</v>
      </c>
      <c r="F689" t="inlineStr">
        <is>
          <t>ÖREBRO LÄN</t>
        </is>
      </c>
      <c r="G689" t="inlineStr">
        <is>
          <t>LINDESBERG</t>
        </is>
      </c>
      <c r="H689" t="inlineStr">
        <is>
          <t>Naturvårdsverket</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61405-2022</t>
        </is>
      </c>
      <c r="B690" t="inlineStr">
        <is>
          <t>avverkningsanmälan</t>
        </is>
      </c>
      <c r="C690" t="inlineStr">
        <is>
          <t>Föryngringsavverkning</t>
        </is>
      </c>
      <c r="D690" s="1" t="n">
        <v>44916</v>
      </c>
      <c r="E690" s="1" t="n">
        <v>46220</v>
      </c>
      <c r="F690" t="inlineStr">
        <is>
          <t>ÖREBRO LÄN</t>
        </is>
      </c>
      <c r="G690" t="inlineStr">
        <is>
          <t>LINDESBERG</t>
        </is>
      </c>
      <c r="I690" t="n">
        <v>4.4</v>
      </c>
      <c r="J690" t="n">
        <v>0</v>
      </c>
      <c r="K690" t="n">
        <v>0</v>
      </c>
      <c r="L690" t="n">
        <v>0</v>
      </c>
      <c r="M690" t="n">
        <v>0</v>
      </c>
      <c r="N690" t="n">
        <v>0</v>
      </c>
      <c r="O690" t="n">
        <v>0</v>
      </c>
      <c r="P690" t="n">
        <v>0</v>
      </c>
      <c r="Q690" t="n">
        <v>0</v>
      </c>
      <c r="R690" t="n">
        <v>0</v>
      </c>
      <c r="S690" t="n">
        <v>0</v>
      </c>
      <c r="T690" t="n">
        <v>0</v>
      </c>
      <c r="U690" s="2" t="inlineStr"/>
    </row>
    <row r="691" ht="15" customHeight="1">
      <c r="A691" t="inlineStr">
        <is>
          <t>A 40563-2023</t>
        </is>
      </c>
      <c r="B691" t="inlineStr">
        <is>
          <t>avverkningsanmälan</t>
        </is>
      </c>
      <c r="C691" t="inlineStr">
        <is>
          <t>Föryngringsavverkning</t>
        </is>
      </c>
      <c r="D691" s="1" t="n">
        <v>45170</v>
      </c>
      <c r="E691" s="1" t="n">
        <v>46220</v>
      </c>
      <c r="F691" t="inlineStr">
        <is>
          <t>ÖREBRO LÄN</t>
        </is>
      </c>
      <c r="G691" t="inlineStr">
        <is>
          <t>LINDESBERG</t>
        </is>
      </c>
      <c r="H691" t="inlineStr">
        <is>
          <t>Sveaskog</t>
        </is>
      </c>
      <c r="I691" t="n">
        <v>1.6</v>
      </c>
      <c r="J691" t="n">
        <v>0</v>
      </c>
      <c r="K691" t="n">
        <v>0</v>
      </c>
      <c r="L691" t="n">
        <v>0</v>
      </c>
      <c r="M691" t="n">
        <v>0</v>
      </c>
      <c r="N691" t="n">
        <v>0</v>
      </c>
      <c r="O691" t="n">
        <v>0</v>
      </c>
      <c r="P691" t="n">
        <v>0</v>
      </c>
      <c r="Q691" t="n">
        <v>0</v>
      </c>
      <c r="R691" t="n">
        <v>0</v>
      </c>
      <c r="S691" t="n">
        <v>0</v>
      </c>
      <c r="T691" t="n">
        <v>0</v>
      </c>
      <c r="U691" s="2" t="inlineStr"/>
    </row>
    <row r="692" ht="15" customHeight="1">
      <c r="A692" t="inlineStr">
        <is>
          <t>A 38613-2024</t>
        </is>
      </c>
      <c r="B692" t="inlineStr">
        <is>
          <t>avverkningsanmälan</t>
        </is>
      </c>
      <c r="C692" t="inlineStr">
        <is>
          <t>Föryngringsavverkning</t>
        </is>
      </c>
      <c r="D692" s="1" t="n">
        <v>45546</v>
      </c>
      <c r="E692" s="1" t="n">
        <v>46220</v>
      </c>
      <c r="F692" t="inlineStr">
        <is>
          <t>ÖREBRO LÄN</t>
        </is>
      </c>
      <c r="G692" t="inlineStr">
        <is>
          <t>LINDESBERG</t>
        </is>
      </c>
      <c r="H692" t="inlineStr">
        <is>
          <t>Kyrkan</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49358-2023</t>
        </is>
      </c>
      <c r="B693" t="inlineStr">
        <is>
          <t>avverkningsanmälan</t>
        </is>
      </c>
      <c r="C693" t="inlineStr">
        <is>
          <t>Föryngringsavverkning</t>
        </is>
      </c>
      <c r="D693" s="1" t="n">
        <v>45211</v>
      </c>
      <c r="E693" s="1" t="n">
        <v>46220</v>
      </c>
      <c r="F693" t="inlineStr">
        <is>
          <t>ÖREBRO LÄN</t>
        </is>
      </c>
      <c r="G693" t="inlineStr">
        <is>
          <t>LINDESBERG</t>
        </is>
      </c>
      <c r="H693" t="inlineStr">
        <is>
          <t>Sveaskog</t>
        </is>
      </c>
      <c r="I693" t="n">
        <v>4.7</v>
      </c>
      <c r="J693" t="n">
        <v>0</v>
      </c>
      <c r="K693" t="n">
        <v>0</v>
      </c>
      <c r="L693" t="n">
        <v>0</v>
      </c>
      <c r="M693" t="n">
        <v>0</v>
      </c>
      <c r="N693" t="n">
        <v>0</v>
      </c>
      <c r="O693" t="n">
        <v>0</v>
      </c>
      <c r="P693" t="n">
        <v>0</v>
      </c>
      <c r="Q693" t="n">
        <v>0</v>
      </c>
      <c r="R693" t="n">
        <v>0</v>
      </c>
      <c r="S693" t="n">
        <v>0</v>
      </c>
      <c r="T693" t="n">
        <v>0</v>
      </c>
      <c r="U693" s="2" t="inlineStr"/>
    </row>
    <row r="694" ht="15" customHeight="1">
      <c r="A694" t="inlineStr">
        <is>
          <t>A 72331-2021</t>
        </is>
      </c>
      <c r="B694" t="inlineStr">
        <is>
          <t>avverkningsanmälan</t>
        </is>
      </c>
      <c r="C694" t="inlineStr">
        <is>
          <t>Föryngringsavverkning</t>
        </is>
      </c>
      <c r="D694" s="1" t="n">
        <v>44544</v>
      </c>
      <c r="E694" s="1" t="n">
        <v>46220</v>
      </c>
      <c r="F694" t="inlineStr">
        <is>
          <t>ÖREBRO LÄN</t>
        </is>
      </c>
      <c r="G694" t="inlineStr">
        <is>
          <t>LINDESBERG</t>
        </is>
      </c>
      <c r="I694" t="n">
        <v>1.5</v>
      </c>
      <c r="J694" t="n">
        <v>0</v>
      </c>
      <c r="K694" t="n">
        <v>0</v>
      </c>
      <c r="L694" t="n">
        <v>0</v>
      </c>
      <c r="M694" t="n">
        <v>0</v>
      </c>
      <c r="N694" t="n">
        <v>0</v>
      </c>
      <c r="O694" t="n">
        <v>0</v>
      </c>
      <c r="P694" t="n">
        <v>0</v>
      </c>
      <c r="Q694" t="n">
        <v>0</v>
      </c>
      <c r="R694" t="n">
        <v>0</v>
      </c>
      <c r="S694" t="n">
        <v>0</v>
      </c>
      <c r="T694" t="n">
        <v>0</v>
      </c>
      <c r="U694" s="2" t="inlineStr"/>
    </row>
    <row r="695" ht="15" customHeight="1">
      <c r="A695" t="inlineStr">
        <is>
          <t>A 23393-2026</t>
        </is>
      </c>
      <c r="B695" t="inlineStr">
        <is>
          <t>avverkningsanmälan</t>
        </is>
      </c>
      <c r="C695" t="inlineStr">
        <is>
          <t>Föryngringsavverkning</t>
        </is>
      </c>
      <c r="D695" s="1" t="n">
        <v>46162</v>
      </c>
      <c r="E695" s="1" t="n">
        <v>46220</v>
      </c>
      <c r="F695" t="inlineStr">
        <is>
          <t>ÖREBRO LÄN</t>
        </is>
      </c>
      <c r="G695" t="inlineStr">
        <is>
          <t>LINDESBERG</t>
        </is>
      </c>
      <c r="H695" t="inlineStr">
        <is>
          <t>Naturvårdsverket</t>
        </is>
      </c>
      <c r="I695" t="n">
        <v>1.9</v>
      </c>
      <c r="J695" t="n">
        <v>0</v>
      </c>
      <c r="K695" t="n">
        <v>0</v>
      </c>
      <c r="L695" t="n">
        <v>0</v>
      </c>
      <c r="M695" t="n">
        <v>0</v>
      </c>
      <c r="N695" t="n">
        <v>0</v>
      </c>
      <c r="O695" t="n">
        <v>0</v>
      </c>
      <c r="P695" t="n">
        <v>0</v>
      </c>
      <c r="Q695" t="n">
        <v>0</v>
      </c>
      <c r="R695" t="n">
        <v>0</v>
      </c>
      <c r="S695" t="n">
        <v>0</v>
      </c>
      <c r="T695" t="n">
        <v>0</v>
      </c>
      <c r="U695" s="2" t="inlineStr"/>
    </row>
    <row r="696" ht="15" customHeight="1">
      <c r="A696" t="inlineStr">
        <is>
          <t>A 54663-2021</t>
        </is>
      </c>
      <c r="B696" t="inlineStr">
        <is>
          <t>avverkningsanmälan</t>
        </is>
      </c>
      <c r="C696" t="inlineStr">
        <is>
          <t>Föryngringsavverkning</t>
        </is>
      </c>
      <c r="D696" s="1" t="n">
        <v>44473</v>
      </c>
      <c r="E696" s="1" t="n">
        <v>46220</v>
      </c>
      <c r="F696" t="inlineStr">
        <is>
          <t>ÖREBRO LÄN</t>
        </is>
      </c>
      <c r="G696" t="inlineStr">
        <is>
          <t>LINDESBERG</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27031-2024</t>
        </is>
      </c>
      <c r="B697" t="inlineStr">
        <is>
          <t>avverkningsanmälan</t>
        </is>
      </c>
      <c r="C697" t="inlineStr">
        <is>
          <t>Föryngringsavverkning</t>
        </is>
      </c>
      <c r="D697" s="1" t="n">
        <v>45471</v>
      </c>
      <c r="E697" s="1" t="n">
        <v>46220</v>
      </c>
      <c r="F697" t="inlineStr">
        <is>
          <t>ÖREBRO LÄN</t>
        </is>
      </c>
      <c r="G697" t="inlineStr">
        <is>
          <t>LINDESBERG</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30220-2026</t>
        </is>
      </c>
      <c r="B698" t="inlineStr">
        <is>
          <t>avverkningsanmälan</t>
        </is>
      </c>
      <c r="C698" t="inlineStr">
        <is>
          <t>Föryngringsavverkning</t>
        </is>
      </c>
      <c r="D698" s="1" t="n">
        <v>46206</v>
      </c>
      <c r="E698" s="1" t="n">
        <v>46220</v>
      </c>
      <c r="F698" t="inlineStr">
        <is>
          <t>ÖREBRO LÄN</t>
        </is>
      </c>
      <c r="G698" t="inlineStr">
        <is>
          <t>LINDESBERG</t>
        </is>
      </c>
      <c r="H698" t="inlineStr">
        <is>
          <t>Sveaskog</t>
        </is>
      </c>
      <c r="I698" t="n">
        <v>2.6</v>
      </c>
      <c r="J698" t="n">
        <v>0</v>
      </c>
      <c r="K698" t="n">
        <v>0</v>
      </c>
      <c r="L698" t="n">
        <v>0</v>
      </c>
      <c r="M698" t="n">
        <v>0</v>
      </c>
      <c r="N698" t="n">
        <v>0</v>
      </c>
      <c r="O698" t="n">
        <v>0</v>
      </c>
      <c r="P698" t="n">
        <v>0</v>
      </c>
      <c r="Q698" t="n">
        <v>0</v>
      </c>
      <c r="R698" t="n">
        <v>0</v>
      </c>
      <c r="S698" t="n">
        <v>0</v>
      </c>
      <c r="T698" t="n">
        <v>0</v>
      </c>
      <c r="U698" s="2" t="inlineStr"/>
    </row>
    <row r="699" ht="15" customHeight="1">
      <c r="A699" t="inlineStr">
        <is>
          <t>A 30299-2026</t>
        </is>
      </c>
      <c r="B699" t="inlineStr">
        <is>
          <t>avverkningsanmälan</t>
        </is>
      </c>
      <c r="C699" t="inlineStr">
        <is>
          <t>Avverkning för annat ändamål</t>
        </is>
      </c>
      <c r="D699" s="1" t="n">
        <v>46206</v>
      </c>
      <c r="E699" s="1" t="n">
        <v>46220</v>
      </c>
      <c r="F699" t="inlineStr">
        <is>
          <t>ÖREBRO LÄN</t>
        </is>
      </c>
      <c r="G699" t="inlineStr">
        <is>
          <t>LINDESBERG</t>
        </is>
      </c>
      <c r="H699" t="inlineStr">
        <is>
          <t>Sveaskog</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23912-2026</t>
        </is>
      </c>
      <c r="B700" t="inlineStr">
        <is>
          <t>avverkningsanmälan</t>
        </is>
      </c>
      <c r="C700" t="inlineStr">
        <is>
          <t>Föryngringsavverkning</t>
        </is>
      </c>
      <c r="D700" s="1" t="n">
        <v>46167</v>
      </c>
      <c r="E700" s="1" t="n">
        <v>46220</v>
      </c>
      <c r="F700" t="inlineStr">
        <is>
          <t>ÖREBRO LÄN</t>
        </is>
      </c>
      <c r="G700" t="inlineStr">
        <is>
          <t>LINDESBERG</t>
        </is>
      </c>
      <c r="H700" t="inlineStr">
        <is>
          <t>Naturvårdsverket</t>
        </is>
      </c>
      <c r="I700" t="n">
        <v>5.5</v>
      </c>
      <c r="J700" t="n">
        <v>0</v>
      </c>
      <c r="K700" t="n">
        <v>0</v>
      </c>
      <c r="L700" t="n">
        <v>0</v>
      </c>
      <c r="M700" t="n">
        <v>0</v>
      </c>
      <c r="N700" t="n">
        <v>0</v>
      </c>
      <c r="O700" t="n">
        <v>0</v>
      </c>
      <c r="P700" t="n">
        <v>0</v>
      </c>
      <c r="Q700" t="n">
        <v>0</v>
      </c>
      <c r="R700" t="n">
        <v>0</v>
      </c>
      <c r="S700" t="n">
        <v>0</v>
      </c>
      <c r="T700" t="n">
        <v>0</v>
      </c>
      <c r="U700" s="2" t="inlineStr"/>
    </row>
    <row r="701" ht="15" customHeight="1">
      <c r="A701" t="inlineStr">
        <is>
          <t>A 44664-2023</t>
        </is>
      </c>
      <c r="B701" t="inlineStr">
        <is>
          <t>avverkningsanmälan</t>
        </is>
      </c>
      <c r="C701" t="inlineStr">
        <is>
          <t>Föryngringsavverkning</t>
        </is>
      </c>
      <c r="D701" s="1" t="n">
        <v>45189</v>
      </c>
      <c r="E701" s="1" t="n">
        <v>46220</v>
      </c>
      <c r="F701" t="inlineStr">
        <is>
          <t>ÖREBRO LÄN</t>
        </is>
      </c>
      <c r="G701" t="inlineStr">
        <is>
          <t>LINDESBERG</t>
        </is>
      </c>
      <c r="I701" t="n">
        <v>2.1</v>
      </c>
      <c r="J701" t="n">
        <v>0</v>
      </c>
      <c r="K701" t="n">
        <v>0</v>
      </c>
      <c r="L701" t="n">
        <v>0</v>
      </c>
      <c r="M701" t="n">
        <v>0</v>
      </c>
      <c r="N701" t="n">
        <v>0</v>
      </c>
      <c r="O701" t="n">
        <v>0</v>
      </c>
      <c r="P701" t="n">
        <v>0</v>
      </c>
      <c r="Q701" t="n">
        <v>0</v>
      </c>
      <c r="R701" t="n">
        <v>0</v>
      </c>
      <c r="S701" t="n">
        <v>0</v>
      </c>
      <c r="T701" t="n">
        <v>0</v>
      </c>
      <c r="U701" s="2" t="inlineStr"/>
    </row>
    <row r="702" ht="15" customHeight="1">
      <c r="A702" t="inlineStr">
        <is>
          <t>A 23910-2026</t>
        </is>
      </c>
      <c r="B702" t="inlineStr">
        <is>
          <t>avverkningsanmälan</t>
        </is>
      </c>
      <c r="C702" t="inlineStr">
        <is>
          <t>Föryngringsavverkning</t>
        </is>
      </c>
      <c r="D702" s="1" t="n">
        <v>46167</v>
      </c>
      <c r="E702" s="1" t="n">
        <v>46220</v>
      </c>
      <c r="F702" t="inlineStr">
        <is>
          <t>ÖREBRO LÄN</t>
        </is>
      </c>
      <c r="G702" t="inlineStr">
        <is>
          <t>LINDESBERG</t>
        </is>
      </c>
      <c r="H702" t="inlineStr">
        <is>
          <t>Naturvårdsverket</t>
        </is>
      </c>
      <c r="I702" t="n">
        <v>2.7</v>
      </c>
      <c r="J702" t="n">
        <v>0</v>
      </c>
      <c r="K702" t="n">
        <v>0</v>
      </c>
      <c r="L702" t="n">
        <v>0</v>
      </c>
      <c r="M702" t="n">
        <v>0</v>
      </c>
      <c r="N702" t="n">
        <v>0</v>
      </c>
      <c r="O702" t="n">
        <v>0</v>
      </c>
      <c r="P702" t="n">
        <v>0</v>
      </c>
      <c r="Q702" t="n">
        <v>0</v>
      </c>
      <c r="R702" t="n">
        <v>0</v>
      </c>
      <c r="S702" t="n">
        <v>0</v>
      </c>
      <c r="T702" t="n">
        <v>0</v>
      </c>
      <c r="U702" s="2" t="inlineStr"/>
    </row>
    <row r="703" ht="15" customHeight="1">
      <c r="A703" t="inlineStr">
        <is>
          <t>A 11366-2024</t>
        </is>
      </c>
      <c r="B703" t="inlineStr">
        <is>
          <t>avverkningsanmälan</t>
        </is>
      </c>
      <c r="C703" t="inlineStr">
        <is>
          <t>Föryngringsavverkning</t>
        </is>
      </c>
      <c r="D703" s="1" t="n">
        <v>45372</v>
      </c>
      <c r="E703" s="1" t="n">
        <v>46220</v>
      </c>
      <c r="F703" t="inlineStr">
        <is>
          <t>ÖREBRO LÄN</t>
        </is>
      </c>
      <c r="G703" t="inlineStr">
        <is>
          <t>LINDESBERG</t>
        </is>
      </c>
      <c r="I703" t="n">
        <v>4.4</v>
      </c>
      <c r="J703" t="n">
        <v>0</v>
      </c>
      <c r="K703" t="n">
        <v>0</v>
      </c>
      <c r="L703" t="n">
        <v>0</v>
      </c>
      <c r="M703" t="n">
        <v>0</v>
      </c>
      <c r="N703" t="n">
        <v>0</v>
      </c>
      <c r="O703" t="n">
        <v>0</v>
      </c>
      <c r="P703" t="n">
        <v>0</v>
      </c>
      <c r="Q703" t="n">
        <v>0</v>
      </c>
      <c r="R703" t="n">
        <v>0</v>
      </c>
      <c r="S703" t="n">
        <v>0</v>
      </c>
      <c r="T703" t="n">
        <v>0</v>
      </c>
      <c r="U703" s="2" t="inlineStr"/>
    </row>
    <row r="704" ht="15" customHeight="1">
      <c r="A704" t="inlineStr">
        <is>
          <t>A 30293-2026</t>
        </is>
      </c>
      <c r="B704" t="inlineStr">
        <is>
          <t>avverkningsanmälan</t>
        </is>
      </c>
      <c r="C704" t="inlineStr">
        <is>
          <t>Avverkning för annat ändamål</t>
        </is>
      </c>
      <c r="D704" s="1" t="n">
        <v>46206</v>
      </c>
      <c r="E704" s="1" t="n">
        <v>46220</v>
      </c>
      <c r="F704" t="inlineStr">
        <is>
          <t>ÖREBRO LÄN</t>
        </is>
      </c>
      <c r="G704" t="inlineStr">
        <is>
          <t>LINDESBERG</t>
        </is>
      </c>
      <c r="H704" t="inlineStr">
        <is>
          <t>Sveaskog</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24270-2023</t>
        </is>
      </c>
      <c r="B705" t="inlineStr">
        <is>
          <t>avverkningsanmälan</t>
        </is>
      </c>
      <c r="C705" t="inlineStr">
        <is>
          <t>Avverkning för annat ändamål</t>
        </is>
      </c>
      <c r="D705" s="1" t="n">
        <v>45079</v>
      </c>
      <c r="E705" s="1" t="n">
        <v>46220</v>
      </c>
      <c r="F705" t="inlineStr">
        <is>
          <t>ÖREBRO LÄN</t>
        </is>
      </c>
      <c r="G705" t="inlineStr">
        <is>
          <t>LINDESBERG</t>
        </is>
      </c>
      <c r="H705" t="inlineStr">
        <is>
          <t>Sveaskog</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24271-2023</t>
        </is>
      </c>
      <c r="B706" t="inlineStr">
        <is>
          <t>avverkningsanmälan</t>
        </is>
      </c>
      <c r="C706" t="inlineStr">
        <is>
          <t>Avverkning för annat ändamål</t>
        </is>
      </c>
      <c r="D706" s="1" t="n">
        <v>45079</v>
      </c>
      <c r="E706" s="1" t="n">
        <v>46220</v>
      </c>
      <c r="F706" t="inlineStr">
        <is>
          <t>ÖREBRO LÄN</t>
        </is>
      </c>
      <c r="G706" t="inlineStr">
        <is>
          <t>LINDESBERG</t>
        </is>
      </c>
      <c r="H706" t="inlineStr">
        <is>
          <t>Sveaskog</t>
        </is>
      </c>
      <c r="I706" t="n">
        <v>0.4</v>
      </c>
      <c r="J706" t="n">
        <v>0</v>
      </c>
      <c r="K706" t="n">
        <v>0</v>
      </c>
      <c r="L706" t="n">
        <v>0</v>
      </c>
      <c r="M706" t="n">
        <v>0</v>
      </c>
      <c r="N706" t="n">
        <v>0</v>
      </c>
      <c r="O706" t="n">
        <v>0</v>
      </c>
      <c r="P706" t="n">
        <v>0</v>
      </c>
      <c r="Q706" t="n">
        <v>0</v>
      </c>
      <c r="R706" t="n">
        <v>0</v>
      </c>
      <c r="S706" t="n">
        <v>0</v>
      </c>
      <c r="T706" t="n">
        <v>0</v>
      </c>
      <c r="U706" s="2" t="inlineStr"/>
    </row>
    <row r="707" ht="15" customHeight="1">
      <c r="A707" t="inlineStr">
        <is>
          <t>A 25046-2024</t>
        </is>
      </c>
      <c r="B707" t="inlineStr">
        <is>
          <t>avverkningsanmälan</t>
        </is>
      </c>
      <c r="C707" t="inlineStr">
        <is>
          <t>Föryngringsavverkning</t>
        </is>
      </c>
      <c r="D707" s="1" t="n">
        <v>45462</v>
      </c>
      <c r="E707" s="1" t="n">
        <v>46220</v>
      </c>
      <c r="F707" t="inlineStr">
        <is>
          <t>ÖREBRO LÄN</t>
        </is>
      </c>
      <c r="G707" t="inlineStr">
        <is>
          <t>LINDESBERG</t>
        </is>
      </c>
      <c r="I707" t="n">
        <v>4.1</v>
      </c>
      <c r="J707" t="n">
        <v>0</v>
      </c>
      <c r="K707" t="n">
        <v>0</v>
      </c>
      <c r="L707" t="n">
        <v>0</v>
      </c>
      <c r="M707" t="n">
        <v>0</v>
      </c>
      <c r="N707" t="n">
        <v>0</v>
      </c>
      <c r="O707" t="n">
        <v>0</v>
      </c>
      <c r="P707" t="n">
        <v>0</v>
      </c>
      <c r="Q707" t="n">
        <v>0</v>
      </c>
      <c r="R707" t="n">
        <v>0</v>
      </c>
      <c r="S707" t="n">
        <v>0</v>
      </c>
      <c r="T707" t="n">
        <v>0</v>
      </c>
      <c r="U707" s="2" t="inlineStr"/>
    </row>
    <row r="708" ht="15" customHeight="1">
      <c r="A708" t="inlineStr">
        <is>
          <t>A 23914-2026</t>
        </is>
      </c>
      <c r="B708" t="inlineStr">
        <is>
          <t>avverkningsanmälan</t>
        </is>
      </c>
      <c r="C708" t="inlineStr">
        <is>
          <t>Föryngringsavverkning</t>
        </is>
      </c>
      <c r="D708" s="1" t="n">
        <v>46167</v>
      </c>
      <c r="E708" s="1" t="n">
        <v>46220</v>
      </c>
      <c r="F708" t="inlineStr">
        <is>
          <t>ÖREBRO LÄN</t>
        </is>
      </c>
      <c r="G708" t="inlineStr">
        <is>
          <t>LINDESBERG</t>
        </is>
      </c>
      <c r="H708" t="inlineStr">
        <is>
          <t>Naturvårdsverket</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45038-2024</t>
        </is>
      </c>
      <c r="B709" t="inlineStr">
        <is>
          <t>avverkningsanmälan</t>
        </is>
      </c>
      <c r="C709" t="inlineStr">
        <is>
          <t>Föryngringsavverkning</t>
        </is>
      </c>
      <c r="D709" s="1" t="n">
        <v>45575</v>
      </c>
      <c r="E709" s="1" t="n">
        <v>46220</v>
      </c>
      <c r="F709" t="inlineStr">
        <is>
          <t>ÖREBRO LÄN</t>
        </is>
      </c>
      <c r="G709" t="inlineStr">
        <is>
          <t>LINDESBERG</t>
        </is>
      </c>
      <c r="H709" t="inlineStr">
        <is>
          <t>Sveaskog</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20387-2026</t>
        </is>
      </c>
      <c r="B710" t="inlineStr">
        <is>
          <t>avverkningsanmälan</t>
        </is>
      </c>
      <c r="C710" t="inlineStr">
        <is>
          <t>Föryngringsavverkning</t>
        </is>
      </c>
      <c r="D710" s="1" t="n">
        <v>46139</v>
      </c>
      <c r="E710" s="1" t="n">
        <v>46220</v>
      </c>
      <c r="F710" t="inlineStr">
        <is>
          <t>ÖREBRO LÄN</t>
        </is>
      </c>
      <c r="G710" t="inlineStr">
        <is>
          <t>LINDESBERG</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21468-2024</t>
        </is>
      </c>
      <c r="B711" t="inlineStr">
        <is>
          <t>avverkningsanmälan</t>
        </is>
      </c>
      <c r="C711" t="inlineStr">
        <is>
          <t>Föryngringsavverkning</t>
        </is>
      </c>
      <c r="D711" s="1" t="n">
        <v>45441</v>
      </c>
      <c r="E711" s="1" t="n">
        <v>46220</v>
      </c>
      <c r="F711" t="inlineStr">
        <is>
          <t>ÖREBRO LÄN</t>
        </is>
      </c>
      <c r="G711" t="inlineStr">
        <is>
          <t>LINDESBERG</t>
        </is>
      </c>
      <c r="I711" t="n">
        <v>1</v>
      </c>
      <c r="J711" t="n">
        <v>0</v>
      </c>
      <c r="K711" t="n">
        <v>0</v>
      </c>
      <c r="L711" t="n">
        <v>0</v>
      </c>
      <c r="M711" t="n">
        <v>0</v>
      </c>
      <c r="N711" t="n">
        <v>0</v>
      </c>
      <c r="O711" t="n">
        <v>0</v>
      </c>
      <c r="P711" t="n">
        <v>0</v>
      </c>
      <c r="Q711" t="n">
        <v>0</v>
      </c>
      <c r="R711" t="n">
        <v>0</v>
      </c>
      <c r="S711" t="n">
        <v>0</v>
      </c>
      <c r="T711" t="n">
        <v>0</v>
      </c>
      <c r="U711" s="2" t="inlineStr"/>
    </row>
    <row r="712" ht="15" customHeight="1">
      <c r="A712" t="inlineStr">
        <is>
          <t>A 40038-2024</t>
        </is>
      </c>
      <c r="B712" t="inlineStr">
        <is>
          <t>avverkningsanmälan</t>
        </is>
      </c>
      <c r="C712" t="inlineStr">
        <is>
          <t>Föryngringsavverkning</t>
        </is>
      </c>
      <c r="D712" s="1" t="n">
        <v>45553</v>
      </c>
      <c r="E712" s="1" t="n">
        <v>46220</v>
      </c>
      <c r="F712" t="inlineStr">
        <is>
          <t>ÖREBRO LÄN</t>
        </is>
      </c>
      <c r="G712" t="inlineStr">
        <is>
          <t>LINDESBERG</t>
        </is>
      </c>
      <c r="H712" t="inlineStr">
        <is>
          <t>Sveaskog</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12276-2025</t>
        </is>
      </c>
      <c r="B713" t="inlineStr">
        <is>
          <t>avverkningsanmälan</t>
        </is>
      </c>
      <c r="C713" t="inlineStr">
        <is>
          <t>Föryngringsavverkning</t>
        </is>
      </c>
      <c r="D713" s="1" t="n">
        <v>45729</v>
      </c>
      <c r="E713" s="1" t="n">
        <v>46220</v>
      </c>
      <c r="F713" t="inlineStr">
        <is>
          <t>ÖREBRO LÄN</t>
        </is>
      </c>
      <c r="G713" t="inlineStr">
        <is>
          <t>LINDESBERG</t>
        </is>
      </c>
      <c r="I713" t="n">
        <v>7.6</v>
      </c>
      <c r="J713" t="n">
        <v>0</v>
      </c>
      <c r="K713" t="n">
        <v>0</v>
      </c>
      <c r="L713" t="n">
        <v>0</v>
      </c>
      <c r="M713" t="n">
        <v>0</v>
      </c>
      <c r="N713" t="n">
        <v>0</v>
      </c>
      <c r="O713" t="n">
        <v>0</v>
      </c>
      <c r="P713" t="n">
        <v>0</v>
      </c>
      <c r="Q713" t="n">
        <v>0</v>
      </c>
      <c r="R713" t="n">
        <v>0</v>
      </c>
      <c r="S713" t="n">
        <v>0</v>
      </c>
      <c r="T713" t="n">
        <v>0</v>
      </c>
      <c r="U713" s="2" t="inlineStr"/>
    </row>
    <row r="714" ht="15" customHeight="1">
      <c r="A714" t="inlineStr">
        <is>
          <t>A 40305-2024</t>
        </is>
      </c>
      <c r="B714" t="inlineStr">
        <is>
          <t>avverkningsanmälan</t>
        </is>
      </c>
      <c r="C714" t="inlineStr">
        <is>
          <t>Föryngringsavverkning</t>
        </is>
      </c>
      <c r="D714" s="1" t="n">
        <v>45554</v>
      </c>
      <c r="E714" s="1" t="n">
        <v>46220</v>
      </c>
      <c r="F714" t="inlineStr">
        <is>
          <t>ÖREBRO LÄN</t>
        </is>
      </c>
      <c r="G714" t="inlineStr">
        <is>
          <t>LINDESBERG</t>
        </is>
      </c>
      <c r="H714" t="inlineStr">
        <is>
          <t>Sveaskog</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14028-2023</t>
        </is>
      </c>
      <c r="B715" t="inlineStr">
        <is>
          <t>avverkningsanmälan</t>
        </is>
      </c>
      <c r="C715" t="inlineStr">
        <is>
          <t>Föryngringsavverkning</t>
        </is>
      </c>
      <c r="D715" s="1" t="n">
        <v>45008</v>
      </c>
      <c r="E715" s="1" t="n">
        <v>46220</v>
      </c>
      <c r="F715" t="inlineStr">
        <is>
          <t>ÖREBRO LÄN</t>
        </is>
      </c>
      <c r="G715" t="inlineStr">
        <is>
          <t>LINDESBERG</t>
        </is>
      </c>
      <c r="H715" t="inlineStr">
        <is>
          <t>Kyrkan</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31024-2023</t>
        </is>
      </c>
      <c r="B716" t="inlineStr">
        <is>
          <t>avverkningsanmälan</t>
        </is>
      </c>
      <c r="C716" t="inlineStr">
        <is>
          <t>Föryngringsavverkning</t>
        </is>
      </c>
      <c r="D716" s="1" t="n">
        <v>45113</v>
      </c>
      <c r="E716" s="1" t="n">
        <v>46220</v>
      </c>
      <c r="F716" t="inlineStr">
        <is>
          <t>ÖREBRO LÄN</t>
        </is>
      </c>
      <c r="G716" t="inlineStr">
        <is>
          <t>LINDESBERG</t>
        </is>
      </c>
      <c r="I716" t="n">
        <v>5.1</v>
      </c>
      <c r="J716" t="n">
        <v>0</v>
      </c>
      <c r="K716" t="n">
        <v>0</v>
      </c>
      <c r="L716" t="n">
        <v>0</v>
      </c>
      <c r="M716" t="n">
        <v>0</v>
      </c>
      <c r="N716" t="n">
        <v>0</v>
      </c>
      <c r="O716" t="n">
        <v>0</v>
      </c>
      <c r="P716" t="n">
        <v>0</v>
      </c>
      <c r="Q716" t="n">
        <v>0</v>
      </c>
      <c r="R716" t="n">
        <v>0</v>
      </c>
      <c r="S716" t="n">
        <v>0</v>
      </c>
      <c r="T716" t="n">
        <v>0</v>
      </c>
      <c r="U716" s="2" t="inlineStr"/>
    </row>
    <row r="717" ht="15" customHeight="1">
      <c r="A717" t="inlineStr">
        <is>
          <t>A 24565-2026</t>
        </is>
      </c>
      <c r="B717" t="inlineStr">
        <is>
          <t>avverkningsanmälan</t>
        </is>
      </c>
      <c r="C717" t="inlineStr">
        <is>
          <t>Föryngringsavverkning</t>
        </is>
      </c>
      <c r="D717" s="1" t="n">
        <v>46170</v>
      </c>
      <c r="E717" s="1" t="n">
        <v>46220</v>
      </c>
      <c r="F717" t="inlineStr">
        <is>
          <t>ÖREBRO LÄN</t>
        </is>
      </c>
      <c r="G717" t="inlineStr">
        <is>
          <t>LINDESBERG</t>
        </is>
      </c>
      <c r="H717" t="inlineStr">
        <is>
          <t>Kommuner</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24600-2026</t>
        </is>
      </c>
      <c r="B718" t="inlineStr">
        <is>
          <t>avverkningsanmälan</t>
        </is>
      </c>
      <c r="C718" t="inlineStr">
        <is>
          <t>Avverkning för annat ändamål</t>
        </is>
      </c>
      <c r="D718" s="1" t="n">
        <v>46170</v>
      </c>
      <c r="E718" s="1" t="n">
        <v>46220</v>
      </c>
      <c r="F718" t="inlineStr">
        <is>
          <t>ÖREBRO LÄN</t>
        </is>
      </c>
      <c r="G718" t="inlineStr">
        <is>
          <t>LINDESBERG</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24601-2026</t>
        </is>
      </c>
      <c r="B719" t="inlineStr">
        <is>
          <t>avverkningsanmälan</t>
        </is>
      </c>
      <c r="C719" t="inlineStr">
        <is>
          <t>Avverkning för annat ändamål</t>
        </is>
      </c>
      <c r="D719" s="1" t="n">
        <v>46170</v>
      </c>
      <c r="E719" s="1" t="n">
        <v>46220</v>
      </c>
      <c r="F719" t="inlineStr">
        <is>
          <t>ÖREBRO LÄN</t>
        </is>
      </c>
      <c r="G719" t="inlineStr">
        <is>
          <t>LINDESBERG</t>
        </is>
      </c>
      <c r="I719" t="n">
        <v>2.7</v>
      </c>
      <c r="J719" t="n">
        <v>0</v>
      </c>
      <c r="K719" t="n">
        <v>0</v>
      </c>
      <c r="L719" t="n">
        <v>0</v>
      </c>
      <c r="M719" t="n">
        <v>0</v>
      </c>
      <c r="N719" t="n">
        <v>0</v>
      </c>
      <c r="O719" t="n">
        <v>0</v>
      </c>
      <c r="P719" t="n">
        <v>0</v>
      </c>
      <c r="Q719" t="n">
        <v>0</v>
      </c>
      <c r="R719" t="n">
        <v>0</v>
      </c>
      <c r="S719" t="n">
        <v>0</v>
      </c>
      <c r="T719" t="n">
        <v>0</v>
      </c>
      <c r="U719" s="2" t="inlineStr"/>
    </row>
    <row r="720" ht="15" customHeight="1">
      <c r="A720" t="inlineStr">
        <is>
          <t>A 27052-2023</t>
        </is>
      </c>
      <c r="B720" t="inlineStr">
        <is>
          <t>avverkningsanmälan</t>
        </is>
      </c>
      <c r="C720" t="inlineStr">
        <is>
          <t>Föryngringsavverkning</t>
        </is>
      </c>
      <c r="D720" s="1" t="n">
        <v>45095</v>
      </c>
      <c r="E720" s="1" t="n">
        <v>46220</v>
      </c>
      <c r="F720" t="inlineStr">
        <is>
          <t>ÖREBRO LÄN</t>
        </is>
      </c>
      <c r="G720" t="inlineStr">
        <is>
          <t>LINDESBERG</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12053-2024</t>
        </is>
      </c>
      <c r="B721" t="inlineStr">
        <is>
          <t>avverkningsanmälan</t>
        </is>
      </c>
      <c r="C721" t="inlineStr">
        <is>
          <t>Föryngringsavverkning</t>
        </is>
      </c>
      <c r="D721" s="1" t="n">
        <v>45377</v>
      </c>
      <c r="E721" s="1" t="n">
        <v>46220</v>
      </c>
      <c r="F721" t="inlineStr">
        <is>
          <t>ÖREBRO LÄN</t>
        </is>
      </c>
      <c r="G721" t="inlineStr">
        <is>
          <t>LINDESBERG</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30909-2026</t>
        </is>
      </c>
      <c r="B722" t="inlineStr">
        <is>
          <t>avverkningsanmälan</t>
        </is>
      </c>
      <c r="C722" t="inlineStr">
        <is>
          <t>Föryngringsavverkning</t>
        </is>
      </c>
      <c r="D722" s="1" t="n">
        <v>46213</v>
      </c>
      <c r="E722" s="1" t="n">
        <v>46220</v>
      </c>
      <c r="F722" t="inlineStr">
        <is>
          <t>ÖREBRO LÄN</t>
        </is>
      </c>
      <c r="G722" t="inlineStr">
        <is>
          <t>LINDESBERG</t>
        </is>
      </c>
      <c r="H722" t="inlineStr">
        <is>
          <t>Sveaskog</t>
        </is>
      </c>
      <c r="I722" t="n">
        <v>3.8</v>
      </c>
      <c r="J722" t="n">
        <v>0</v>
      </c>
      <c r="K722" t="n">
        <v>0</v>
      </c>
      <c r="L722" t="n">
        <v>0</v>
      </c>
      <c r="M722" t="n">
        <v>0</v>
      </c>
      <c r="N722" t="n">
        <v>0</v>
      </c>
      <c r="O722" t="n">
        <v>0</v>
      </c>
      <c r="P722" t="n">
        <v>0</v>
      </c>
      <c r="Q722" t="n">
        <v>0</v>
      </c>
      <c r="R722" t="n">
        <v>0</v>
      </c>
      <c r="S722" t="n">
        <v>0</v>
      </c>
      <c r="T722" t="n">
        <v>0</v>
      </c>
      <c r="U722" s="2" t="inlineStr"/>
    </row>
    <row r="723" ht="15" customHeight="1">
      <c r="A723" t="inlineStr">
        <is>
          <t>A 30903-2026</t>
        </is>
      </c>
      <c r="B723" t="inlineStr">
        <is>
          <t>avverkningsanmälan</t>
        </is>
      </c>
      <c r="C723" t="inlineStr">
        <is>
          <t>Föryngringsavverkning</t>
        </is>
      </c>
      <c r="D723" s="1" t="n">
        <v>46213</v>
      </c>
      <c r="E723" s="1" t="n">
        <v>46220</v>
      </c>
      <c r="F723" t="inlineStr">
        <is>
          <t>ÖREBRO LÄN</t>
        </is>
      </c>
      <c r="G723" t="inlineStr">
        <is>
          <t>LINDESBERG</t>
        </is>
      </c>
      <c r="H723" t="inlineStr">
        <is>
          <t>Sveaskog</t>
        </is>
      </c>
      <c r="I723" t="n">
        <v>4.9</v>
      </c>
      <c r="J723" t="n">
        <v>0</v>
      </c>
      <c r="K723" t="n">
        <v>0</v>
      </c>
      <c r="L723" t="n">
        <v>0</v>
      </c>
      <c r="M723" t="n">
        <v>0</v>
      </c>
      <c r="N723" t="n">
        <v>0</v>
      </c>
      <c r="O723" t="n">
        <v>0</v>
      </c>
      <c r="P723" t="n">
        <v>0</v>
      </c>
      <c r="Q723" t="n">
        <v>0</v>
      </c>
      <c r="R723" t="n">
        <v>0</v>
      </c>
      <c r="S723" t="n">
        <v>0</v>
      </c>
      <c r="T723" t="n">
        <v>0</v>
      </c>
      <c r="U723" s="2" t="inlineStr"/>
    </row>
    <row r="724" ht="15" customHeight="1">
      <c r="A724" t="inlineStr">
        <is>
          <t>A 30924-2026</t>
        </is>
      </c>
      <c r="B724" t="inlineStr">
        <is>
          <t>avverkningsanmälan</t>
        </is>
      </c>
      <c r="C724" t="inlineStr">
        <is>
          <t>Föryngringsavverkning</t>
        </is>
      </c>
      <c r="D724" s="1" t="n">
        <v>46213</v>
      </c>
      <c r="E724" s="1" t="n">
        <v>46220</v>
      </c>
      <c r="F724" t="inlineStr">
        <is>
          <t>ÖREBRO LÄN</t>
        </is>
      </c>
      <c r="G724" t="inlineStr">
        <is>
          <t>LINDESBERG</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30906-2026</t>
        </is>
      </c>
      <c r="B725" t="inlineStr">
        <is>
          <t>avverkningsanmälan</t>
        </is>
      </c>
      <c r="C725" t="inlineStr">
        <is>
          <t>Föryngringsavverkning</t>
        </is>
      </c>
      <c r="D725" s="1" t="n">
        <v>46213</v>
      </c>
      <c r="E725" s="1" t="n">
        <v>46220</v>
      </c>
      <c r="F725" t="inlineStr">
        <is>
          <t>ÖREBRO LÄN</t>
        </is>
      </c>
      <c r="G725" t="inlineStr">
        <is>
          <t>LINDESBERG</t>
        </is>
      </c>
      <c r="H725" t="inlineStr">
        <is>
          <t>Sveaskog</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30912-2026</t>
        </is>
      </c>
      <c r="B726" t="inlineStr">
        <is>
          <t>avverkningsanmälan</t>
        </is>
      </c>
      <c r="C726" t="inlineStr">
        <is>
          <t>Föryngringsavverkning</t>
        </is>
      </c>
      <c r="D726" s="1" t="n">
        <v>46213</v>
      </c>
      <c r="E726" s="1" t="n">
        <v>46220</v>
      </c>
      <c r="F726" t="inlineStr">
        <is>
          <t>ÖREBRO LÄN</t>
        </is>
      </c>
      <c r="G726" t="inlineStr">
        <is>
          <t>LINDESBERG</t>
        </is>
      </c>
      <c r="H726" t="inlineStr">
        <is>
          <t>Sveaskog</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30917-2026</t>
        </is>
      </c>
      <c r="B727" t="inlineStr">
        <is>
          <t>avverkningsanmälan</t>
        </is>
      </c>
      <c r="C727" t="inlineStr">
        <is>
          <t>Föryngringsavverkning</t>
        </is>
      </c>
      <c r="D727" s="1" t="n">
        <v>46213</v>
      </c>
      <c r="E727" s="1" t="n">
        <v>46220</v>
      </c>
      <c r="F727" t="inlineStr">
        <is>
          <t>ÖREBRO LÄN</t>
        </is>
      </c>
      <c r="G727" t="inlineStr">
        <is>
          <t>LINDESBERG</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626-2025</t>
        </is>
      </c>
      <c r="B728" t="inlineStr">
        <is>
          <t>avverkningsanmälan</t>
        </is>
      </c>
      <c r="C728" t="inlineStr">
        <is>
          <t>Föryngringsavverkning</t>
        </is>
      </c>
      <c r="D728" s="1" t="n">
        <v>45664</v>
      </c>
      <c r="E728" s="1" t="n">
        <v>46220</v>
      </c>
      <c r="F728" t="inlineStr">
        <is>
          <t>ÖREBRO LÄN</t>
        </is>
      </c>
      <c r="G728" t="inlineStr">
        <is>
          <t>LINDESBERG</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30923-2026</t>
        </is>
      </c>
      <c r="B729" t="inlineStr">
        <is>
          <t>avverkningsanmälan</t>
        </is>
      </c>
      <c r="C729" t="inlineStr">
        <is>
          <t>Föryngringsavverkning</t>
        </is>
      </c>
      <c r="D729" s="1" t="n">
        <v>46213</v>
      </c>
      <c r="E729" s="1" t="n">
        <v>46220</v>
      </c>
      <c r="F729" t="inlineStr">
        <is>
          <t>ÖREBRO LÄN</t>
        </is>
      </c>
      <c r="G729" t="inlineStr">
        <is>
          <t>LINDESBERG</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63686-2023</t>
        </is>
      </c>
      <c r="B730" t="inlineStr">
        <is>
          <t>avverkningsanmälan</t>
        </is>
      </c>
      <c r="C730" t="inlineStr">
        <is>
          <t>Föryngringsavverkning</t>
        </is>
      </c>
      <c r="D730" s="1" t="n">
        <v>45274</v>
      </c>
      <c r="E730" s="1" t="n">
        <v>46220</v>
      </c>
      <c r="F730" t="inlineStr">
        <is>
          <t>ÖREBRO LÄN</t>
        </is>
      </c>
      <c r="G730" t="inlineStr">
        <is>
          <t>LINDESBERG</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24638-2026</t>
        </is>
      </c>
      <c r="B731" t="inlineStr">
        <is>
          <t>avverkningsanmälan</t>
        </is>
      </c>
      <c r="C731" t="inlineStr">
        <is>
          <t>Föryngringsavverkning</t>
        </is>
      </c>
      <c r="D731" s="1" t="n">
        <v>46171</v>
      </c>
      <c r="E731" s="1" t="n">
        <v>46220</v>
      </c>
      <c r="F731" t="inlineStr">
        <is>
          <t>ÖREBRO LÄN</t>
        </is>
      </c>
      <c r="G731" t="inlineStr">
        <is>
          <t>LINDESBERG</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64365-2023</t>
        </is>
      </c>
      <c r="B732" t="inlineStr">
        <is>
          <t>avverkningsanmälan</t>
        </is>
      </c>
      <c r="C732" t="inlineStr">
        <is>
          <t>Föryngringsavverkning</t>
        </is>
      </c>
      <c r="D732" s="1" t="n">
        <v>45280</v>
      </c>
      <c r="E732" s="1" t="n">
        <v>46220</v>
      </c>
      <c r="F732" t="inlineStr">
        <is>
          <t>ÖREBRO LÄN</t>
        </is>
      </c>
      <c r="G732" t="inlineStr">
        <is>
          <t>LINDESBERG</t>
        </is>
      </c>
      <c r="H732" t="inlineStr">
        <is>
          <t>Kyrkan</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25023-2026</t>
        </is>
      </c>
      <c r="B733" t="inlineStr">
        <is>
          <t>avverkningsanmälan</t>
        </is>
      </c>
      <c r="C733" t="inlineStr">
        <is>
          <t>Föryngringsavverkning</t>
        </is>
      </c>
      <c r="D733" s="1" t="n">
        <v>46174</v>
      </c>
      <c r="E733" s="1" t="n">
        <v>46220</v>
      </c>
      <c r="F733" t="inlineStr">
        <is>
          <t>ÖREBRO LÄN</t>
        </is>
      </c>
      <c r="G733" t="inlineStr">
        <is>
          <t>LINDESBERG</t>
        </is>
      </c>
      <c r="H733" t="inlineStr">
        <is>
          <t>Kommuner</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56217-2022</t>
        </is>
      </c>
      <c r="B734" t="inlineStr">
        <is>
          <t>avverkningsanmälan</t>
        </is>
      </c>
      <c r="C734" t="inlineStr">
        <is>
          <t>Föryngringsavverkning</t>
        </is>
      </c>
      <c r="D734" s="1" t="n">
        <v>44890</v>
      </c>
      <c r="E734" s="1" t="n">
        <v>46220</v>
      </c>
      <c r="F734" t="inlineStr">
        <is>
          <t>ÖREBRO LÄN</t>
        </is>
      </c>
      <c r="G734" t="inlineStr">
        <is>
          <t>LINDESBERG</t>
        </is>
      </c>
      <c r="I734" t="n">
        <v>6.9</v>
      </c>
      <c r="J734" t="n">
        <v>0</v>
      </c>
      <c r="K734" t="n">
        <v>0</v>
      </c>
      <c r="L734" t="n">
        <v>0</v>
      </c>
      <c r="M734" t="n">
        <v>0</v>
      </c>
      <c r="N734" t="n">
        <v>0</v>
      </c>
      <c r="O734" t="n">
        <v>0</v>
      </c>
      <c r="P734" t="n">
        <v>0</v>
      </c>
      <c r="Q734" t="n">
        <v>0</v>
      </c>
      <c r="R734" t="n">
        <v>0</v>
      </c>
      <c r="S734" t="n">
        <v>0</v>
      </c>
      <c r="T734" t="n">
        <v>0</v>
      </c>
      <c r="U734" s="2" t="inlineStr"/>
    </row>
    <row r="735" ht="15" customHeight="1">
      <c r="A735" t="inlineStr">
        <is>
          <t>A 5550-2024</t>
        </is>
      </c>
      <c r="B735" t="inlineStr">
        <is>
          <t>avverkningsanmälan</t>
        </is>
      </c>
      <c r="C735" t="inlineStr">
        <is>
          <t>Föryngringsavverkning</t>
        </is>
      </c>
      <c r="D735" s="1" t="n">
        <v>45334</v>
      </c>
      <c r="E735" s="1" t="n">
        <v>46220</v>
      </c>
      <c r="F735" t="inlineStr">
        <is>
          <t>ÖREBRO LÄN</t>
        </is>
      </c>
      <c r="G735" t="inlineStr">
        <is>
          <t>LINDESBERG</t>
        </is>
      </c>
      <c r="I735" t="n">
        <v>0.6</v>
      </c>
      <c r="J735" t="n">
        <v>0</v>
      </c>
      <c r="K735" t="n">
        <v>0</v>
      </c>
      <c r="L735" t="n">
        <v>0</v>
      </c>
      <c r="M735" t="n">
        <v>0</v>
      </c>
      <c r="N735" t="n">
        <v>0</v>
      </c>
      <c r="O735" t="n">
        <v>0</v>
      </c>
      <c r="P735" t="n">
        <v>0</v>
      </c>
      <c r="Q735" t="n">
        <v>0</v>
      </c>
      <c r="R735" t="n">
        <v>0</v>
      </c>
      <c r="S735" t="n">
        <v>0</v>
      </c>
      <c r="T735" t="n">
        <v>0</v>
      </c>
      <c r="U735" s="2" t="inlineStr"/>
    </row>
    <row r="736" ht="15" customHeight="1">
      <c r="A736" t="inlineStr">
        <is>
          <t>A 32829-2024</t>
        </is>
      </c>
      <c r="B736" t="inlineStr">
        <is>
          <t>avverkningsanmälan</t>
        </is>
      </c>
      <c r="C736" t="inlineStr">
        <is>
          <t>Föryngringsavverkning</t>
        </is>
      </c>
      <c r="D736" s="1" t="n">
        <v>45516</v>
      </c>
      <c r="E736" s="1" t="n">
        <v>46220</v>
      </c>
      <c r="F736" t="inlineStr">
        <is>
          <t>ÖREBRO LÄN</t>
        </is>
      </c>
      <c r="G736" t="inlineStr">
        <is>
          <t>LINDESBERG</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29350-2022</t>
        </is>
      </c>
      <c r="B737" t="inlineStr">
        <is>
          <t>avverkningsanmälan</t>
        </is>
      </c>
      <c r="C737" t="inlineStr">
        <is>
          <t>Föryngringsavverkning</t>
        </is>
      </c>
      <c r="D737" s="1" t="n">
        <v>44753</v>
      </c>
      <c r="E737" s="1" t="n">
        <v>46220</v>
      </c>
      <c r="F737" t="inlineStr">
        <is>
          <t>ÖREBRO LÄN</t>
        </is>
      </c>
      <c r="G737" t="inlineStr">
        <is>
          <t>LINDESBERG</t>
        </is>
      </c>
      <c r="I737" t="n">
        <v>7.7</v>
      </c>
      <c r="J737" t="n">
        <v>0</v>
      </c>
      <c r="K737" t="n">
        <v>0</v>
      </c>
      <c r="L737" t="n">
        <v>0</v>
      </c>
      <c r="M737" t="n">
        <v>0</v>
      </c>
      <c r="N737" t="n">
        <v>0</v>
      </c>
      <c r="O737" t="n">
        <v>0</v>
      </c>
      <c r="P737" t="n">
        <v>0</v>
      </c>
      <c r="Q737" t="n">
        <v>0</v>
      </c>
      <c r="R737" t="n">
        <v>0</v>
      </c>
      <c r="S737" t="n">
        <v>0</v>
      </c>
      <c r="T737" t="n">
        <v>0</v>
      </c>
      <c r="U737" s="2" t="inlineStr"/>
    </row>
    <row r="738" ht="15" customHeight="1">
      <c r="A738" t="inlineStr">
        <is>
          <t>A 25116-2026</t>
        </is>
      </c>
      <c r="B738" t="inlineStr">
        <is>
          <t>avverkningsanmälan</t>
        </is>
      </c>
      <c r="C738" t="inlineStr">
        <is>
          <t>Föryngringsavverkning</t>
        </is>
      </c>
      <c r="D738" s="1" t="n">
        <v>46175</v>
      </c>
      <c r="E738" s="1" t="n">
        <v>46220</v>
      </c>
      <c r="F738" t="inlineStr">
        <is>
          <t>ÖREBRO LÄN</t>
        </is>
      </c>
      <c r="G738" t="inlineStr">
        <is>
          <t>LINDESBERG</t>
        </is>
      </c>
      <c r="H738" t="inlineStr">
        <is>
          <t>Sveaskog</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58710-2023</t>
        </is>
      </c>
      <c r="B739" t="inlineStr">
        <is>
          <t>avverkningsanmälan</t>
        </is>
      </c>
      <c r="C739" t="inlineStr">
        <is>
          <t>Föryngringsavverkning</t>
        </is>
      </c>
      <c r="D739" s="1" t="n">
        <v>45251</v>
      </c>
      <c r="E739" s="1" t="n">
        <v>46220</v>
      </c>
      <c r="F739" t="inlineStr">
        <is>
          <t>ÖREBRO LÄN</t>
        </is>
      </c>
      <c r="G739" t="inlineStr">
        <is>
          <t>LINDESBERG</t>
        </is>
      </c>
      <c r="I739" t="n">
        <v>6.3</v>
      </c>
      <c r="J739" t="n">
        <v>0</v>
      </c>
      <c r="K739" t="n">
        <v>0</v>
      </c>
      <c r="L739" t="n">
        <v>0</v>
      </c>
      <c r="M739" t="n">
        <v>0</v>
      </c>
      <c r="N739" t="n">
        <v>0</v>
      </c>
      <c r="O739" t="n">
        <v>0</v>
      </c>
      <c r="P739" t="n">
        <v>0</v>
      </c>
      <c r="Q739" t="n">
        <v>0</v>
      </c>
      <c r="R739" t="n">
        <v>0</v>
      </c>
      <c r="S739" t="n">
        <v>0</v>
      </c>
      <c r="T739" t="n">
        <v>0</v>
      </c>
      <c r="U739" s="2" t="inlineStr"/>
    </row>
    <row r="740" ht="15" customHeight="1">
      <c r="A740" t="inlineStr">
        <is>
          <t>A 31319-2026</t>
        </is>
      </c>
      <c r="B740" t="inlineStr">
        <is>
          <t>avverkningsanmälan</t>
        </is>
      </c>
      <c r="C740" t="inlineStr">
        <is>
          <t>Föryngringsavverkning</t>
        </is>
      </c>
      <c r="D740" s="1" t="n">
        <v>46219</v>
      </c>
      <c r="E740" s="1" t="n">
        <v>46220</v>
      </c>
      <c r="F740" t="inlineStr">
        <is>
          <t>ÖREBRO LÄN</t>
        </is>
      </c>
      <c r="G740" t="inlineStr">
        <is>
          <t>LINDESBERG</t>
        </is>
      </c>
      <c r="H740" t="inlineStr">
        <is>
          <t>Sveaskog</t>
        </is>
      </c>
      <c r="I740" t="n">
        <v>6.9</v>
      </c>
      <c r="J740" t="n">
        <v>0</v>
      </c>
      <c r="K740" t="n">
        <v>0</v>
      </c>
      <c r="L740" t="n">
        <v>0</v>
      </c>
      <c r="M740" t="n">
        <v>0</v>
      </c>
      <c r="N740" t="n">
        <v>0</v>
      </c>
      <c r="O740" t="n">
        <v>0</v>
      </c>
      <c r="P740" t="n">
        <v>0</v>
      </c>
      <c r="Q740" t="n">
        <v>0</v>
      </c>
      <c r="R740" t="n">
        <v>0</v>
      </c>
      <c r="S740" t="n">
        <v>0</v>
      </c>
      <c r="T740" t="n">
        <v>0</v>
      </c>
      <c r="U740" s="2" t="inlineStr"/>
    </row>
    <row r="741" ht="15" customHeight="1">
      <c r="A741" t="inlineStr">
        <is>
          <t>A 31338-2026</t>
        </is>
      </c>
      <c r="B741" t="inlineStr">
        <is>
          <t>avverkningsanmälan</t>
        </is>
      </c>
      <c r="C741" t="inlineStr">
        <is>
          <t>Föryngringsavverkning</t>
        </is>
      </c>
      <c r="D741" s="1" t="n">
        <v>46219</v>
      </c>
      <c r="E741" s="1" t="n">
        <v>46220</v>
      </c>
      <c r="F741" t="inlineStr">
        <is>
          <t>ÖREBRO LÄN</t>
        </is>
      </c>
      <c r="G741" t="inlineStr">
        <is>
          <t>LINDESBERG</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31340-2026</t>
        </is>
      </c>
      <c r="B742" t="inlineStr">
        <is>
          <t>avverkningsanmälan</t>
        </is>
      </c>
      <c r="C742" t="inlineStr">
        <is>
          <t>Föryngringsavverkning</t>
        </is>
      </c>
      <c r="D742" s="1" t="n">
        <v>46219</v>
      </c>
      <c r="E742" s="1" t="n">
        <v>46220</v>
      </c>
      <c r="F742" t="inlineStr">
        <is>
          <t>ÖREBRO LÄN</t>
        </is>
      </c>
      <c r="G742" t="inlineStr">
        <is>
          <t>LINDESBERG</t>
        </is>
      </c>
      <c r="I742" t="n">
        <v>2.4</v>
      </c>
      <c r="J742" t="n">
        <v>0</v>
      </c>
      <c r="K742" t="n">
        <v>0</v>
      </c>
      <c r="L742" t="n">
        <v>0</v>
      </c>
      <c r="M742" t="n">
        <v>0</v>
      </c>
      <c r="N742" t="n">
        <v>0</v>
      </c>
      <c r="O742" t="n">
        <v>0</v>
      </c>
      <c r="P742" t="n">
        <v>0</v>
      </c>
      <c r="Q742" t="n">
        <v>0</v>
      </c>
      <c r="R742" t="n">
        <v>0</v>
      </c>
      <c r="S742" t="n">
        <v>0</v>
      </c>
      <c r="T742" t="n">
        <v>0</v>
      </c>
      <c r="U742" s="2" t="inlineStr"/>
    </row>
    <row r="743" ht="15" customHeight="1">
      <c r="A743" t="inlineStr">
        <is>
          <t>A 60449-2024</t>
        </is>
      </c>
      <c r="B743" t="inlineStr">
        <is>
          <t>avverkningsanmälan</t>
        </is>
      </c>
      <c r="C743" t="inlineStr">
        <is>
          <t>Avverkning för annat ändamål</t>
        </is>
      </c>
      <c r="D743" s="1" t="n">
        <v>45643</v>
      </c>
      <c r="E743" s="1" t="n">
        <v>46220</v>
      </c>
      <c r="F743" t="inlineStr">
        <is>
          <t>ÖREBRO LÄN</t>
        </is>
      </c>
      <c r="G743" t="inlineStr">
        <is>
          <t>LINDESBERG</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43529-2024</t>
        </is>
      </c>
      <c r="B744" t="inlineStr">
        <is>
          <t>avverkningsanmälan</t>
        </is>
      </c>
      <c r="C744" t="inlineStr">
        <is>
          <t>Föryngringsavverkning</t>
        </is>
      </c>
      <c r="D744" s="1" t="n">
        <v>45569</v>
      </c>
      <c r="E744" s="1" t="n">
        <v>46220</v>
      </c>
      <c r="F744" t="inlineStr">
        <is>
          <t>ÖREBRO LÄN</t>
        </is>
      </c>
      <c r="G744" t="inlineStr">
        <is>
          <t>LINDESBERG</t>
        </is>
      </c>
      <c r="I744" t="n">
        <v>2.8</v>
      </c>
      <c r="J744" t="n">
        <v>0</v>
      </c>
      <c r="K744" t="n">
        <v>0</v>
      </c>
      <c r="L744" t="n">
        <v>0</v>
      </c>
      <c r="M744" t="n">
        <v>0</v>
      </c>
      <c r="N744" t="n">
        <v>0</v>
      </c>
      <c r="O744" t="n">
        <v>0</v>
      </c>
      <c r="P744" t="n">
        <v>0</v>
      </c>
      <c r="Q744" t="n">
        <v>0</v>
      </c>
      <c r="R744" t="n">
        <v>0</v>
      </c>
      <c r="S744" t="n">
        <v>0</v>
      </c>
      <c r="T744" t="n">
        <v>0</v>
      </c>
      <c r="U744" s="2" t="inlineStr"/>
    </row>
    <row r="745" ht="15" customHeight="1">
      <c r="A745" t="inlineStr">
        <is>
          <t>A 25117-2026</t>
        </is>
      </c>
      <c r="B745" t="inlineStr">
        <is>
          <t>avverkningsanmälan</t>
        </is>
      </c>
      <c r="C745" t="inlineStr">
        <is>
          <t>Föryngringsavverkning</t>
        </is>
      </c>
      <c r="D745" s="1" t="n">
        <v>46175</v>
      </c>
      <c r="E745" s="1" t="n">
        <v>46220</v>
      </c>
      <c r="F745" t="inlineStr">
        <is>
          <t>ÖREBRO LÄN</t>
        </is>
      </c>
      <c r="G745" t="inlineStr">
        <is>
          <t>LINDESBERG</t>
        </is>
      </c>
      <c r="H745" t="inlineStr">
        <is>
          <t>Sveaskog</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31309-2026</t>
        </is>
      </c>
      <c r="B746" t="inlineStr">
        <is>
          <t>avverkningsanmälan</t>
        </is>
      </c>
      <c r="C746" t="inlineStr">
        <is>
          <t>Föryngringsavverkning</t>
        </is>
      </c>
      <c r="D746" s="1" t="n">
        <v>46219</v>
      </c>
      <c r="E746" s="1" t="n">
        <v>46220</v>
      </c>
      <c r="F746" t="inlineStr">
        <is>
          <t>ÖREBRO LÄN</t>
        </is>
      </c>
      <c r="G746" t="inlineStr">
        <is>
          <t>LINDESBERG</t>
        </is>
      </c>
      <c r="H746" t="inlineStr">
        <is>
          <t>Sveaskog</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54864-2024</t>
        </is>
      </c>
      <c r="B747" t="inlineStr">
        <is>
          <t>avverkningsanmälan</t>
        </is>
      </c>
      <c r="C747" t="inlineStr">
        <is>
          <t>Avverkning för att bevara och utveckla /försöksver</t>
        </is>
      </c>
      <c r="D747" s="1" t="n">
        <v>45618</v>
      </c>
      <c r="E747" s="1" t="n">
        <v>46220</v>
      </c>
      <c r="F747" t="inlineStr">
        <is>
          <t>ÖREBRO LÄN</t>
        </is>
      </c>
      <c r="G747" t="inlineStr">
        <is>
          <t>LINDESBERG</t>
        </is>
      </c>
      <c r="H747" t="inlineStr">
        <is>
          <t>Sveaskog</t>
        </is>
      </c>
      <c r="I747" t="n">
        <v>4.4</v>
      </c>
      <c r="J747" t="n">
        <v>0</v>
      </c>
      <c r="K747" t="n">
        <v>0</v>
      </c>
      <c r="L747" t="n">
        <v>0</v>
      </c>
      <c r="M747" t="n">
        <v>0</v>
      </c>
      <c r="N747" t="n">
        <v>0</v>
      </c>
      <c r="O747" t="n">
        <v>0</v>
      </c>
      <c r="P747" t="n">
        <v>0</v>
      </c>
      <c r="Q747" t="n">
        <v>0</v>
      </c>
      <c r="R747" t="n">
        <v>0</v>
      </c>
      <c r="S747" t="n">
        <v>0</v>
      </c>
      <c r="T747" t="n">
        <v>0</v>
      </c>
      <c r="U747" s="2" t="inlineStr"/>
    </row>
    <row r="748" ht="15" customHeight="1">
      <c r="A748" t="inlineStr">
        <is>
          <t>A 32009-2023</t>
        </is>
      </c>
      <c r="B748" t="inlineStr">
        <is>
          <t>avverkningsanmälan</t>
        </is>
      </c>
      <c r="C748" t="inlineStr">
        <is>
          <t>Föryngringsavverkning</t>
        </is>
      </c>
      <c r="D748" s="1" t="n">
        <v>45119</v>
      </c>
      <c r="E748" s="1" t="n">
        <v>46220</v>
      </c>
      <c r="F748" t="inlineStr">
        <is>
          <t>ÖREBRO LÄN</t>
        </is>
      </c>
      <c r="G748" t="inlineStr">
        <is>
          <t>LINDESBERG</t>
        </is>
      </c>
      <c r="H748" t="inlineStr">
        <is>
          <t>Kyrkan</t>
        </is>
      </c>
      <c r="I748" t="n">
        <v>0.8</v>
      </c>
      <c r="J748" t="n">
        <v>0</v>
      </c>
      <c r="K748" t="n">
        <v>0</v>
      </c>
      <c r="L748" t="n">
        <v>0</v>
      </c>
      <c r="M748" t="n">
        <v>0</v>
      </c>
      <c r="N748" t="n">
        <v>0</v>
      </c>
      <c r="O748" t="n">
        <v>0</v>
      </c>
      <c r="P748" t="n">
        <v>0</v>
      </c>
      <c r="Q748" t="n">
        <v>0</v>
      </c>
      <c r="R748" t="n">
        <v>0</v>
      </c>
      <c r="S748" t="n">
        <v>0</v>
      </c>
      <c r="T748" t="n">
        <v>0</v>
      </c>
      <c r="U748" s="2" t="inlineStr"/>
    </row>
    <row r="749" ht="15" customHeight="1">
      <c r="A749" t="inlineStr">
        <is>
          <t>A 31318-2026</t>
        </is>
      </c>
      <c r="B749" t="inlineStr">
        <is>
          <t>avverkningsanmälan</t>
        </is>
      </c>
      <c r="C749" t="inlineStr">
        <is>
          <t>Föryngringsavverkning</t>
        </is>
      </c>
      <c r="D749" s="1" t="n">
        <v>46219</v>
      </c>
      <c r="E749" s="1" t="n">
        <v>46220</v>
      </c>
      <c r="F749" t="inlineStr">
        <is>
          <t>ÖREBRO LÄN</t>
        </is>
      </c>
      <c r="G749" t="inlineStr">
        <is>
          <t>LINDESBERG</t>
        </is>
      </c>
      <c r="H749" t="inlineStr">
        <is>
          <t>Sveaskog</t>
        </is>
      </c>
      <c r="I749" t="n">
        <v>2.3</v>
      </c>
      <c r="J749" t="n">
        <v>0</v>
      </c>
      <c r="K749" t="n">
        <v>0</v>
      </c>
      <c r="L749" t="n">
        <v>0</v>
      </c>
      <c r="M749" t="n">
        <v>0</v>
      </c>
      <c r="N749" t="n">
        <v>0</v>
      </c>
      <c r="O749" t="n">
        <v>0</v>
      </c>
      <c r="P749" t="n">
        <v>0</v>
      </c>
      <c r="Q749" t="n">
        <v>0</v>
      </c>
      <c r="R749" t="n">
        <v>0</v>
      </c>
      <c r="S749" t="n">
        <v>0</v>
      </c>
      <c r="T749" t="n">
        <v>0</v>
      </c>
      <c r="U749" s="2" t="inlineStr"/>
    </row>
    <row r="750" ht="15" customHeight="1">
      <c r="A750" t="inlineStr">
        <is>
          <t>A 31337-2026</t>
        </is>
      </c>
      <c r="B750" t="inlineStr">
        <is>
          <t>avverkningsanmälan</t>
        </is>
      </c>
      <c r="C750" t="inlineStr">
        <is>
          <t>Föryngringsavverkning</t>
        </is>
      </c>
      <c r="D750" s="1" t="n">
        <v>46219</v>
      </c>
      <c r="E750" s="1" t="n">
        <v>46220</v>
      </c>
      <c r="F750" t="inlineStr">
        <is>
          <t>ÖREBRO LÄN</t>
        </is>
      </c>
      <c r="G750" t="inlineStr">
        <is>
          <t>LINDESBERG</t>
        </is>
      </c>
      <c r="I750" t="n">
        <v>1.5</v>
      </c>
      <c r="J750" t="n">
        <v>0</v>
      </c>
      <c r="K750" t="n">
        <v>0</v>
      </c>
      <c r="L750" t="n">
        <v>0</v>
      </c>
      <c r="M750" t="n">
        <v>0</v>
      </c>
      <c r="N750" t="n">
        <v>0</v>
      </c>
      <c r="O750" t="n">
        <v>0</v>
      </c>
      <c r="P750" t="n">
        <v>0</v>
      </c>
      <c r="Q750" t="n">
        <v>0</v>
      </c>
      <c r="R750" t="n">
        <v>0</v>
      </c>
      <c r="S750" t="n">
        <v>0</v>
      </c>
      <c r="T750" t="n">
        <v>0</v>
      </c>
      <c r="U750" s="2" t="inlineStr"/>
    </row>
    <row r="751" ht="15" customHeight="1">
      <c r="A751" t="inlineStr">
        <is>
          <t>A 3148-2023</t>
        </is>
      </c>
      <c r="B751" t="inlineStr">
        <is>
          <t>avverkningsanmälan</t>
        </is>
      </c>
      <c r="C751" t="inlineStr">
        <is>
          <t>Föryngringsavverkning</t>
        </is>
      </c>
      <c r="D751" s="1" t="n">
        <v>44946</v>
      </c>
      <c r="E751" s="1" t="n">
        <v>46220</v>
      </c>
      <c r="F751" t="inlineStr">
        <is>
          <t>ÖREBRO LÄN</t>
        </is>
      </c>
      <c r="G751" t="inlineStr">
        <is>
          <t>LINDESBERG</t>
        </is>
      </c>
      <c r="I751" t="n">
        <v>5.5</v>
      </c>
      <c r="J751" t="n">
        <v>0</v>
      </c>
      <c r="K751" t="n">
        <v>0</v>
      </c>
      <c r="L751" t="n">
        <v>0</v>
      </c>
      <c r="M751" t="n">
        <v>0</v>
      </c>
      <c r="N751" t="n">
        <v>0</v>
      </c>
      <c r="O751" t="n">
        <v>0</v>
      </c>
      <c r="P751" t="n">
        <v>0</v>
      </c>
      <c r="Q751" t="n">
        <v>0</v>
      </c>
      <c r="R751" t="n">
        <v>0</v>
      </c>
      <c r="S751" t="n">
        <v>0</v>
      </c>
      <c r="T751" t="n">
        <v>0</v>
      </c>
      <c r="U751" s="2" t="inlineStr"/>
    </row>
    <row r="752" ht="15" customHeight="1">
      <c r="A752" t="inlineStr">
        <is>
          <t>A 37432-2022</t>
        </is>
      </c>
      <c r="B752" t="inlineStr">
        <is>
          <t>avverkningsanmälan</t>
        </is>
      </c>
      <c r="C752" t="inlineStr">
        <is>
          <t>Föryngringsavverkning</t>
        </is>
      </c>
      <c r="D752" s="1" t="n">
        <v>44809</v>
      </c>
      <c r="E752" s="1" t="n">
        <v>46220</v>
      </c>
      <c r="F752" t="inlineStr">
        <is>
          <t>ÖREBRO LÄN</t>
        </is>
      </c>
      <c r="G752" t="inlineStr">
        <is>
          <t>LINDESBERG</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61202-2023</t>
        </is>
      </c>
      <c r="B753" t="inlineStr">
        <is>
          <t>avverkningsanmälan</t>
        </is>
      </c>
      <c r="C753" t="inlineStr">
        <is>
          <t>Föryngringsavverkning</t>
        </is>
      </c>
      <c r="D753" s="1" t="n">
        <v>45264</v>
      </c>
      <c r="E753" s="1" t="n">
        <v>46220</v>
      </c>
      <c r="F753" t="inlineStr">
        <is>
          <t>ÖREBRO LÄN</t>
        </is>
      </c>
      <c r="G753" t="inlineStr">
        <is>
          <t>LINDESBERG</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7120-2025</t>
        </is>
      </c>
      <c r="B754" t="inlineStr">
        <is>
          <t>avverkningsanmälan</t>
        </is>
      </c>
      <c r="C754" t="inlineStr">
        <is>
          <t>Föryngringsavverkning</t>
        </is>
      </c>
      <c r="D754" s="1" t="n">
        <v>45702</v>
      </c>
      <c r="E754" s="1" t="n">
        <v>46220</v>
      </c>
      <c r="F754" t="inlineStr">
        <is>
          <t>ÖREBRO LÄN</t>
        </is>
      </c>
      <c r="G754" t="inlineStr">
        <is>
          <t>LINDESBERG</t>
        </is>
      </c>
      <c r="I754" t="n">
        <v>0.5</v>
      </c>
      <c r="J754" t="n">
        <v>0</v>
      </c>
      <c r="K754" t="n">
        <v>0</v>
      </c>
      <c r="L754" t="n">
        <v>0</v>
      </c>
      <c r="M754" t="n">
        <v>0</v>
      </c>
      <c r="N754" t="n">
        <v>0</v>
      </c>
      <c r="O754" t="n">
        <v>0</v>
      </c>
      <c r="P754" t="n">
        <v>0</v>
      </c>
      <c r="Q754" t="n">
        <v>0</v>
      </c>
      <c r="R754" t="n">
        <v>0</v>
      </c>
      <c r="S754" t="n">
        <v>0</v>
      </c>
      <c r="T754" t="n">
        <v>0</v>
      </c>
      <c r="U754" s="2" t="inlineStr"/>
    </row>
    <row r="755" ht="15" customHeight="1">
      <c r="A755" t="inlineStr">
        <is>
          <t>A 51379-2023</t>
        </is>
      </c>
      <c r="B755" t="inlineStr">
        <is>
          <t>avverkningsanmälan</t>
        </is>
      </c>
      <c r="C755" t="inlineStr">
        <is>
          <t>Föryngringsavverkning</t>
        </is>
      </c>
      <c r="D755" s="1" t="n">
        <v>45219</v>
      </c>
      <c r="E755" s="1" t="n">
        <v>46220</v>
      </c>
      <c r="F755" t="inlineStr">
        <is>
          <t>ÖREBRO LÄN</t>
        </is>
      </c>
      <c r="G755" t="inlineStr">
        <is>
          <t>LINDESBERG</t>
        </is>
      </c>
      <c r="H755" t="inlineStr">
        <is>
          <t>Sveaskog</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16054-2022</t>
        </is>
      </c>
      <c r="B756" t="inlineStr">
        <is>
          <t>avverkningsanmälan</t>
        </is>
      </c>
      <c r="C756" t="inlineStr">
        <is>
          <t>Föryngringsavverkning</t>
        </is>
      </c>
      <c r="D756" s="1" t="n">
        <v>44665</v>
      </c>
      <c r="E756" s="1" t="n">
        <v>46220</v>
      </c>
      <c r="F756" t="inlineStr">
        <is>
          <t>ÖREBRO LÄN</t>
        </is>
      </c>
      <c r="G756" t="inlineStr">
        <is>
          <t>LINDESBERG</t>
        </is>
      </c>
      <c r="I756" t="n">
        <v>6.9</v>
      </c>
      <c r="J756" t="n">
        <v>0</v>
      </c>
      <c r="K756" t="n">
        <v>0</v>
      </c>
      <c r="L756" t="n">
        <v>0</v>
      </c>
      <c r="M756" t="n">
        <v>0</v>
      </c>
      <c r="N756" t="n">
        <v>0</v>
      </c>
      <c r="O756" t="n">
        <v>0</v>
      </c>
      <c r="P756" t="n">
        <v>0</v>
      </c>
      <c r="Q756" t="n">
        <v>0</v>
      </c>
      <c r="R756" t="n">
        <v>0</v>
      </c>
      <c r="S756" t="n">
        <v>0</v>
      </c>
      <c r="T756" t="n">
        <v>0</v>
      </c>
      <c r="U756" s="2" t="inlineStr"/>
    </row>
    <row r="757" ht="15" customHeight="1">
      <c r="A757" t="inlineStr">
        <is>
          <t>A 49544-2023</t>
        </is>
      </c>
      <c r="B757" t="inlineStr">
        <is>
          <t>avverkningsanmälan</t>
        </is>
      </c>
      <c r="C757" t="inlineStr">
        <is>
          <t>Föryngringsavverkning</t>
        </is>
      </c>
      <c r="D757" s="1" t="n">
        <v>45211</v>
      </c>
      <c r="E757" s="1" t="n">
        <v>46220</v>
      </c>
      <c r="F757" t="inlineStr">
        <is>
          <t>ÖREBRO LÄN</t>
        </is>
      </c>
      <c r="G757" t="inlineStr">
        <is>
          <t>LINDESBERG</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23260-2024</t>
        </is>
      </c>
      <c r="B758" t="inlineStr">
        <is>
          <t>avverkningsanmälan</t>
        </is>
      </c>
      <c r="C758" t="inlineStr">
        <is>
          <t>Avverkning för annat ändamål</t>
        </is>
      </c>
      <c r="D758" s="1" t="n">
        <v>45453</v>
      </c>
      <c r="E758" s="1" t="n">
        <v>46220</v>
      </c>
      <c r="F758" t="inlineStr">
        <is>
          <t>ÖREBRO LÄN</t>
        </is>
      </c>
      <c r="G758" t="inlineStr">
        <is>
          <t>LINDESBERG</t>
        </is>
      </c>
      <c r="H758" t="inlineStr">
        <is>
          <t>Sveaskog</t>
        </is>
      </c>
      <c r="I758" t="n">
        <v>0.3</v>
      </c>
      <c r="J758" t="n">
        <v>0</v>
      </c>
      <c r="K758" t="n">
        <v>0</v>
      </c>
      <c r="L758" t="n">
        <v>0</v>
      </c>
      <c r="M758" t="n">
        <v>0</v>
      </c>
      <c r="N758" t="n">
        <v>0</v>
      </c>
      <c r="O758" t="n">
        <v>0</v>
      </c>
      <c r="P758" t="n">
        <v>0</v>
      </c>
      <c r="Q758" t="n">
        <v>0</v>
      </c>
      <c r="R758" t="n">
        <v>0</v>
      </c>
      <c r="S758" t="n">
        <v>0</v>
      </c>
      <c r="T758" t="n">
        <v>0</v>
      </c>
      <c r="U758" s="2" t="inlineStr"/>
    </row>
    <row r="759" ht="15" customHeight="1">
      <c r="A759" t="inlineStr">
        <is>
          <t>A 46607-2021</t>
        </is>
      </c>
      <c r="B759" t="inlineStr">
        <is>
          <t>avverkningsanmälan</t>
        </is>
      </c>
      <c r="C759" t="inlineStr">
        <is>
          <t>Föryngringsavverkning</t>
        </is>
      </c>
      <c r="D759" s="1" t="n">
        <v>44445</v>
      </c>
      <c r="E759" s="1" t="n">
        <v>46220</v>
      </c>
      <c r="F759" t="inlineStr">
        <is>
          <t>ÖREBRO LÄN</t>
        </is>
      </c>
      <c r="G759" t="inlineStr">
        <is>
          <t>LINDESBERG</t>
        </is>
      </c>
      <c r="H759" t="inlineStr">
        <is>
          <t>Sveaskog</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20944-2025</t>
        </is>
      </c>
      <c r="B760" t="inlineStr">
        <is>
          <t>avverkningsanmälan</t>
        </is>
      </c>
      <c r="C760" t="inlineStr">
        <is>
          <t>Avverkning för att bevara och utveckla /försöksver</t>
        </is>
      </c>
      <c r="D760" s="1" t="n">
        <v>45777</v>
      </c>
      <c r="E760" s="1" t="n">
        <v>46220</v>
      </c>
      <c r="F760" t="inlineStr">
        <is>
          <t>ÖREBRO LÄN</t>
        </is>
      </c>
      <c r="G760" t="inlineStr">
        <is>
          <t>LINDESBERG</t>
        </is>
      </c>
      <c r="H760" t="inlineStr">
        <is>
          <t>Sveaskog</t>
        </is>
      </c>
      <c r="I760" t="n">
        <v>2.6</v>
      </c>
      <c r="J760" t="n">
        <v>0</v>
      </c>
      <c r="K760" t="n">
        <v>0</v>
      </c>
      <c r="L760" t="n">
        <v>0</v>
      </c>
      <c r="M760" t="n">
        <v>0</v>
      </c>
      <c r="N760" t="n">
        <v>0</v>
      </c>
      <c r="O760" t="n">
        <v>0</v>
      </c>
      <c r="P760" t="n">
        <v>0</v>
      </c>
      <c r="Q760" t="n">
        <v>0</v>
      </c>
      <c r="R760" t="n">
        <v>0</v>
      </c>
      <c r="S760" t="n">
        <v>0</v>
      </c>
      <c r="T760" t="n">
        <v>0</v>
      </c>
      <c r="U760" s="2" t="inlineStr"/>
    </row>
    <row r="761" ht="15" customHeight="1">
      <c r="A761" t="inlineStr">
        <is>
          <t>A 20950-2025</t>
        </is>
      </c>
      <c r="B761" t="inlineStr">
        <is>
          <t>avverkningsanmälan</t>
        </is>
      </c>
      <c r="C761" t="inlineStr">
        <is>
          <t>Föryngringsavverkning</t>
        </is>
      </c>
      <c r="D761" s="1" t="n">
        <v>45777</v>
      </c>
      <c r="E761" s="1" t="n">
        <v>46220</v>
      </c>
      <c r="F761" t="inlineStr">
        <is>
          <t>ÖREBRO LÄN</t>
        </is>
      </c>
      <c r="G761" t="inlineStr">
        <is>
          <t>LINDESBERG</t>
        </is>
      </c>
      <c r="H761" t="inlineStr">
        <is>
          <t>Sveaskog</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20804-2025</t>
        </is>
      </c>
      <c r="B762" t="inlineStr">
        <is>
          <t>avverkningsanmälan</t>
        </is>
      </c>
      <c r="C762" t="inlineStr">
        <is>
          <t>Föryngringsavverkning</t>
        </is>
      </c>
      <c r="D762" s="1" t="n">
        <v>45776</v>
      </c>
      <c r="E762" s="1" t="n">
        <v>46220</v>
      </c>
      <c r="F762" t="inlineStr">
        <is>
          <t>ÖREBRO LÄN</t>
        </is>
      </c>
      <c r="G762" t="inlineStr">
        <is>
          <t>LINDESBERG</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A 21812-2025</t>
        </is>
      </c>
      <c r="B763" t="inlineStr">
        <is>
          <t>avverkningsanmälan</t>
        </is>
      </c>
      <c r="C763" t="inlineStr">
        <is>
          <t>Föryngringsavverkning</t>
        </is>
      </c>
      <c r="D763" s="1" t="n">
        <v>45783</v>
      </c>
      <c r="E763" s="1" t="n">
        <v>46220</v>
      </c>
      <c r="F763" t="inlineStr">
        <is>
          <t>ÖREBRO LÄN</t>
        </is>
      </c>
      <c r="G763" t="inlineStr">
        <is>
          <t>LINDESBERG</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43195-2024</t>
        </is>
      </c>
      <c r="B764" t="inlineStr">
        <is>
          <t>avverkningsanmälan</t>
        </is>
      </c>
      <c r="C764" t="inlineStr">
        <is>
          <t>Föryngringsavverkning</t>
        </is>
      </c>
      <c r="D764" s="1" t="n">
        <v>45567</v>
      </c>
      <c r="E764" s="1" t="n">
        <v>46220</v>
      </c>
      <c r="F764" t="inlineStr">
        <is>
          <t>ÖREBRO LÄN</t>
        </is>
      </c>
      <c r="G764" t="inlineStr">
        <is>
          <t>LINDESBERG</t>
        </is>
      </c>
      <c r="I764" t="n">
        <v>27.8</v>
      </c>
      <c r="J764" t="n">
        <v>0</v>
      </c>
      <c r="K764" t="n">
        <v>0</v>
      </c>
      <c r="L764" t="n">
        <v>0</v>
      </c>
      <c r="M764" t="n">
        <v>0</v>
      </c>
      <c r="N764" t="n">
        <v>0</v>
      </c>
      <c r="O764" t="n">
        <v>0</v>
      </c>
      <c r="P764" t="n">
        <v>0</v>
      </c>
      <c r="Q764" t="n">
        <v>0</v>
      </c>
      <c r="R764" t="n">
        <v>0</v>
      </c>
      <c r="S764" t="n">
        <v>0</v>
      </c>
      <c r="T764" t="n">
        <v>0</v>
      </c>
      <c r="U764" s="2" t="inlineStr"/>
    </row>
    <row r="765" ht="15" customHeight="1">
      <c r="A765" t="inlineStr">
        <is>
          <t>A 31861-2024</t>
        </is>
      </c>
      <c r="B765" t="inlineStr">
        <is>
          <t>avverkningsanmälan</t>
        </is>
      </c>
      <c r="C765" t="inlineStr">
        <is>
          <t>Föryngringsavverkning</t>
        </is>
      </c>
      <c r="D765" s="1" t="n">
        <v>45509</v>
      </c>
      <c r="E765" s="1" t="n">
        <v>46220</v>
      </c>
      <c r="F765" t="inlineStr">
        <is>
          <t>ÖREBRO LÄN</t>
        </is>
      </c>
      <c r="G765" t="inlineStr">
        <is>
          <t>LINDESBERG</t>
        </is>
      </c>
      <c r="I765" t="n">
        <v>8.300000000000001</v>
      </c>
      <c r="J765" t="n">
        <v>0</v>
      </c>
      <c r="K765" t="n">
        <v>0</v>
      </c>
      <c r="L765" t="n">
        <v>0</v>
      </c>
      <c r="M765" t="n">
        <v>0</v>
      </c>
      <c r="N765" t="n">
        <v>0</v>
      </c>
      <c r="O765" t="n">
        <v>0</v>
      </c>
      <c r="P765" t="n">
        <v>0</v>
      </c>
      <c r="Q765" t="n">
        <v>0</v>
      </c>
      <c r="R765" t="n">
        <v>0</v>
      </c>
      <c r="S765" t="n">
        <v>0</v>
      </c>
      <c r="T765" t="n">
        <v>0</v>
      </c>
      <c r="U765" s="2" t="inlineStr"/>
    </row>
    <row r="766" ht="15" customHeight="1">
      <c r="A766" t="inlineStr">
        <is>
          <t>A 24583-2024</t>
        </is>
      </c>
      <c r="B766" t="inlineStr">
        <is>
          <t>avverkningsanmälan</t>
        </is>
      </c>
      <c r="C766" t="inlineStr">
        <is>
          <t>Föryngringsavverkning</t>
        </is>
      </c>
      <c r="D766" s="1" t="n">
        <v>45460</v>
      </c>
      <c r="E766" s="1" t="n">
        <v>46220</v>
      </c>
      <c r="F766" t="inlineStr">
        <is>
          <t>ÖREBRO LÄN</t>
        </is>
      </c>
      <c r="G766" t="inlineStr">
        <is>
          <t>LINDESBERG</t>
        </is>
      </c>
      <c r="I766" t="n">
        <v>13.7</v>
      </c>
      <c r="J766" t="n">
        <v>0</v>
      </c>
      <c r="K766" t="n">
        <v>0</v>
      </c>
      <c r="L766" t="n">
        <v>0</v>
      </c>
      <c r="M766" t="n">
        <v>0</v>
      </c>
      <c r="N766" t="n">
        <v>0</v>
      </c>
      <c r="O766" t="n">
        <v>0</v>
      </c>
      <c r="P766" t="n">
        <v>0</v>
      </c>
      <c r="Q766" t="n">
        <v>0</v>
      </c>
      <c r="R766" t="n">
        <v>0</v>
      </c>
      <c r="S766" t="n">
        <v>0</v>
      </c>
      <c r="T766" t="n">
        <v>0</v>
      </c>
      <c r="U766" s="2" t="inlineStr"/>
    </row>
    <row r="767" ht="15" customHeight="1">
      <c r="A767" t="inlineStr">
        <is>
          <t>A 43532-2024</t>
        </is>
      </c>
      <c r="B767" t="inlineStr">
        <is>
          <t>avverkningsanmälan</t>
        </is>
      </c>
      <c r="C767" t="inlineStr">
        <is>
          <t>Föryngringsavverkning</t>
        </is>
      </c>
      <c r="D767" s="1" t="n">
        <v>45569</v>
      </c>
      <c r="E767" s="1" t="n">
        <v>46220</v>
      </c>
      <c r="F767" t="inlineStr">
        <is>
          <t>ÖREBRO LÄN</t>
        </is>
      </c>
      <c r="G767" t="inlineStr">
        <is>
          <t>LINDESBERG</t>
        </is>
      </c>
      <c r="I767" t="n">
        <v>2.4</v>
      </c>
      <c r="J767" t="n">
        <v>0</v>
      </c>
      <c r="K767" t="n">
        <v>0</v>
      </c>
      <c r="L767" t="n">
        <v>0</v>
      </c>
      <c r="M767" t="n">
        <v>0</v>
      </c>
      <c r="N767" t="n">
        <v>0</v>
      </c>
      <c r="O767" t="n">
        <v>0</v>
      </c>
      <c r="P767" t="n">
        <v>0</v>
      </c>
      <c r="Q767" t="n">
        <v>0</v>
      </c>
      <c r="R767" t="n">
        <v>0</v>
      </c>
      <c r="S767" t="n">
        <v>0</v>
      </c>
      <c r="T767" t="n">
        <v>0</v>
      </c>
      <c r="U767" s="2" t="inlineStr"/>
    </row>
    <row r="768" ht="15" customHeight="1">
      <c r="A768" t="inlineStr">
        <is>
          <t>A 59282-2023</t>
        </is>
      </c>
      <c r="B768" t="inlineStr">
        <is>
          <t>avverkningsanmälan</t>
        </is>
      </c>
      <c r="C768" t="inlineStr">
        <is>
          <t>Föryngringsavverkning</t>
        </is>
      </c>
      <c r="D768" s="1" t="n">
        <v>45253</v>
      </c>
      <c r="E768" s="1" t="n">
        <v>46220</v>
      </c>
      <c r="F768" t="inlineStr">
        <is>
          <t>ÖREBRO LÄN</t>
        </is>
      </c>
      <c r="G768" t="inlineStr">
        <is>
          <t>LINDESBERG</t>
        </is>
      </c>
      <c r="H768" t="inlineStr">
        <is>
          <t>Sveaskog</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47601-2023</t>
        </is>
      </c>
      <c r="B769" t="inlineStr">
        <is>
          <t>avverkningsanmälan</t>
        </is>
      </c>
      <c r="C769" t="inlineStr">
        <is>
          <t>Föryngringsavverkning</t>
        </is>
      </c>
      <c r="D769" s="1" t="n">
        <v>45203</v>
      </c>
      <c r="E769" s="1" t="n">
        <v>46220</v>
      </c>
      <c r="F769" t="inlineStr">
        <is>
          <t>ÖREBRO LÄN</t>
        </is>
      </c>
      <c r="G769" t="inlineStr">
        <is>
          <t>LINDESBERG</t>
        </is>
      </c>
      <c r="I769" t="n">
        <v>37.6</v>
      </c>
      <c r="J769" t="n">
        <v>0</v>
      </c>
      <c r="K769" t="n">
        <v>0</v>
      </c>
      <c r="L769" t="n">
        <v>0</v>
      </c>
      <c r="M769" t="n">
        <v>0</v>
      </c>
      <c r="N769" t="n">
        <v>0</v>
      </c>
      <c r="O769" t="n">
        <v>0</v>
      </c>
      <c r="P769" t="n">
        <v>0</v>
      </c>
      <c r="Q769" t="n">
        <v>0</v>
      </c>
      <c r="R769" t="n">
        <v>0</v>
      </c>
      <c r="S769" t="n">
        <v>0</v>
      </c>
      <c r="T769" t="n">
        <v>0</v>
      </c>
      <c r="U769" s="2" t="inlineStr"/>
    </row>
    <row r="770" ht="15" customHeight="1">
      <c r="A770" t="inlineStr">
        <is>
          <t>A 53355-2023</t>
        </is>
      </c>
      <c r="B770" t="inlineStr">
        <is>
          <t>avverkningsanmälan</t>
        </is>
      </c>
      <c r="C770" t="inlineStr">
        <is>
          <t>Föryngringsavverkning</t>
        </is>
      </c>
      <c r="D770" s="1" t="n">
        <v>45229</v>
      </c>
      <c r="E770" s="1" t="n">
        <v>46220</v>
      </c>
      <c r="F770" t="inlineStr">
        <is>
          <t>ÖREBRO LÄN</t>
        </is>
      </c>
      <c r="G770" t="inlineStr">
        <is>
          <t>LINDESBERG</t>
        </is>
      </c>
      <c r="H770" t="inlineStr">
        <is>
          <t>Sveaskog</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62308-2023</t>
        </is>
      </c>
      <c r="B771" t="inlineStr">
        <is>
          <t>avverkningsanmälan</t>
        </is>
      </c>
      <c r="C771" t="inlineStr">
        <is>
          <t>Föryngringsavverkning</t>
        </is>
      </c>
      <c r="D771" s="1" t="n">
        <v>45267</v>
      </c>
      <c r="E771" s="1" t="n">
        <v>46220</v>
      </c>
      <c r="F771" t="inlineStr">
        <is>
          <t>ÖREBRO LÄN</t>
        </is>
      </c>
      <c r="G771" t="inlineStr">
        <is>
          <t>LINDESBERG</t>
        </is>
      </c>
      <c r="H771" t="inlineStr">
        <is>
          <t>Naturvårdsverket</t>
        </is>
      </c>
      <c r="I771" t="n">
        <v>3.1</v>
      </c>
      <c r="J771" t="n">
        <v>0</v>
      </c>
      <c r="K771" t="n">
        <v>0</v>
      </c>
      <c r="L771" t="n">
        <v>0</v>
      </c>
      <c r="M771" t="n">
        <v>0</v>
      </c>
      <c r="N771" t="n">
        <v>0</v>
      </c>
      <c r="O771" t="n">
        <v>0</v>
      </c>
      <c r="P771" t="n">
        <v>0</v>
      </c>
      <c r="Q771" t="n">
        <v>0</v>
      </c>
      <c r="R771" t="n">
        <v>0</v>
      </c>
      <c r="S771" t="n">
        <v>0</v>
      </c>
      <c r="T771" t="n">
        <v>0</v>
      </c>
      <c r="U771" s="2" t="inlineStr"/>
    </row>
    <row r="772" ht="15" customHeight="1">
      <c r="A772" t="inlineStr">
        <is>
          <t>A 36680-2024</t>
        </is>
      </c>
      <c r="B772" t="inlineStr">
        <is>
          <t>avverkningsanmälan</t>
        </is>
      </c>
      <c r="C772" t="inlineStr">
        <is>
          <t>Föryngringsavverkning</t>
        </is>
      </c>
      <c r="D772" s="1" t="n">
        <v>45537</v>
      </c>
      <c r="E772" s="1" t="n">
        <v>46220</v>
      </c>
      <c r="F772" t="inlineStr">
        <is>
          <t>ÖREBRO LÄN</t>
        </is>
      </c>
      <c r="G772" t="inlineStr">
        <is>
          <t>LINDESBERG</t>
        </is>
      </c>
      <c r="H772" t="inlineStr">
        <is>
          <t>Sveaskog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36686-2024</t>
        </is>
      </c>
      <c r="B773" t="inlineStr">
        <is>
          <t>avverkningsanmälan</t>
        </is>
      </c>
      <c r="C773" t="inlineStr">
        <is>
          <t>Föryngringsavverkning</t>
        </is>
      </c>
      <c r="D773" s="1" t="n">
        <v>45537</v>
      </c>
      <c r="E773" s="1" t="n">
        <v>46220</v>
      </c>
      <c r="F773" t="inlineStr">
        <is>
          <t>ÖREBRO LÄN</t>
        </is>
      </c>
      <c r="G773" t="inlineStr">
        <is>
          <t>LINDESBERG</t>
        </is>
      </c>
      <c r="H773" t="inlineStr">
        <is>
          <t>Sveaskog</t>
        </is>
      </c>
      <c r="I773" t="n">
        <v>3.9</v>
      </c>
      <c r="J773" t="n">
        <v>0</v>
      </c>
      <c r="K773" t="n">
        <v>0</v>
      </c>
      <c r="L773" t="n">
        <v>0</v>
      </c>
      <c r="M773" t="n">
        <v>0</v>
      </c>
      <c r="N773" t="n">
        <v>0</v>
      </c>
      <c r="O773" t="n">
        <v>0</v>
      </c>
      <c r="P773" t="n">
        <v>0</v>
      </c>
      <c r="Q773" t="n">
        <v>0</v>
      </c>
      <c r="R773" t="n">
        <v>0</v>
      </c>
      <c r="S773" t="n">
        <v>0</v>
      </c>
      <c r="T773" t="n">
        <v>0</v>
      </c>
      <c r="U773" s="2" t="inlineStr"/>
    </row>
    <row r="774" ht="15" customHeight="1">
      <c r="A774" t="inlineStr">
        <is>
          <t>A 59641-2024</t>
        </is>
      </c>
      <c r="B774" t="inlineStr">
        <is>
          <t>avverkningsanmälan</t>
        </is>
      </c>
      <c r="C774" t="inlineStr">
        <is>
          <t>Föryngringsavverkning</t>
        </is>
      </c>
      <c r="D774" s="1" t="n">
        <v>45639</v>
      </c>
      <c r="E774" s="1" t="n">
        <v>46220</v>
      </c>
      <c r="F774" t="inlineStr">
        <is>
          <t>ÖREBRO LÄN</t>
        </is>
      </c>
      <c r="G774" t="inlineStr">
        <is>
          <t>LINDESBERG</t>
        </is>
      </c>
      <c r="I774" t="n">
        <v>2.1</v>
      </c>
      <c r="J774" t="n">
        <v>0</v>
      </c>
      <c r="K774" t="n">
        <v>0</v>
      </c>
      <c r="L774" t="n">
        <v>0</v>
      </c>
      <c r="M774" t="n">
        <v>0</v>
      </c>
      <c r="N774" t="n">
        <v>0</v>
      </c>
      <c r="O774" t="n">
        <v>0</v>
      </c>
      <c r="P774" t="n">
        <v>0</v>
      </c>
      <c r="Q774" t="n">
        <v>0</v>
      </c>
      <c r="R774" t="n">
        <v>0</v>
      </c>
      <c r="S774" t="n">
        <v>0</v>
      </c>
      <c r="T774" t="n">
        <v>0</v>
      </c>
      <c r="U774" s="2" t="inlineStr"/>
    </row>
    <row r="775" ht="15" customHeight="1">
      <c r="A775" t="inlineStr">
        <is>
          <t>A 42707-2023</t>
        </is>
      </c>
      <c r="B775" t="inlineStr">
        <is>
          <t>avverkningsanmälan</t>
        </is>
      </c>
      <c r="C775" t="inlineStr">
        <is>
          <t>Föryngringsavverkning</t>
        </is>
      </c>
      <c r="D775" s="1" t="n">
        <v>45181</v>
      </c>
      <c r="E775" s="1" t="n">
        <v>46220</v>
      </c>
      <c r="F775" t="inlineStr">
        <is>
          <t>ÖREBRO LÄN</t>
        </is>
      </c>
      <c r="G775" t="inlineStr">
        <is>
          <t>LINDESBERG</t>
        </is>
      </c>
      <c r="H775" t="inlineStr">
        <is>
          <t>Sveaskog</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17779-2024</t>
        </is>
      </c>
      <c r="B776" t="inlineStr">
        <is>
          <t>avverkningsanmälan</t>
        </is>
      </c>
      <c r="C776" t="inlineStr">
        <is>
          <t>Föryngringsavverkning</t>
        </is>
      </c>
      <c r="D776" s="1" t="n">
        <v>45418</v>
      </c>
      <c r="E776" s="1" t="n">
        <v>46220</v>
      </c>
      <c r="F776" t="inlineStr">
        <is>
          <t>ÖREBRO LÄN</t>
        </is>
      </c>
      <c r="G776" t="inlineStr">
        <is>
          <t>LINDESBERG</t>
        </is>
      </c>
      <c r="I776" t="n">
        <v>3.7</v>
      </c>
      <c r="J776" t="n">
        <v>0</v>
      </c>
      <c r="K776" t="n">
        <v>0</v>
      </c>
      <c r="L776" t="n">
        <v>0</v>
      </c>
      <c r="M776" t="n">
        <v>0</v>
      </c>
      <c r="N776" t="n">
        <v>0</v>
      </c>
      <c r="O776" t="n">
        <v>0</v>
      </c>
      <c r="P776" t="n">
        <v>0</v>
      </c>
      <c r="Q776" t="n">
        <v>0</v>
      </c>
      <c r="R776" t="n">
        <v>0</v>
      </c>
      <c r="S776" t="n">
        <v>0</v>
      </c>
      <c r="T776" t="n">
        <v>0</v>
      </c>
      <c r="U776" s="2" t="inlineStr"/>
    </row>
    <row r="777" ht="15" customHeight="1">
      <c r="A777" t="inlineStr">
        <is>
          <t>A 54793-2024</t>
        </is>
      </c>
      <c r="B777" t="inlineStr">
        <is>
          <t>avverkningsanmälan</t>
        </is>
      </c>
      <c r="C777" t="inlineStr">
        <is>
          <t>Föryngringsavverkning</t>
        </is>
      </c>
      <c r="D777" s="1" t="n">
        <v>45618</v>
      </c>
      <c r="E777" s="1" t="n">
        <v>46220</v>
      </c>
      <c r="F777" t="inlineStr">
        <is>
          <t>ÖREBRO LÄN</t>
        </is>
      </c>
      <c r="G777" t="inlineStr">
        <is>
          <t>LINDESBERG</t>
        </is>
      </c>
      <c r="I777" t="n">
        <v>3</v>
      </c>
      <c r="J777" t="n">
        <v>0</v>
      </c>
      <c r="K777" t="n">
        <v>0</v>
      </c>
      <c r="L777" t="n">
        <v>0</v>
      </c>
      <c r="M777" t="n">
        <v>0</v>
      </c>
      <c r="N777" t="n">
        <v>0</v>
      </c>
      <c r="O777" t="n">
        <v>0</v>
      </c>
      <c r="P777" t="n">
        <v>0</v>
      </c>
      <c r="Q777" t="n">
        <v>0</v>
      </c>
      <c r="R777" t="n">
        <v>0</v>
      </c>
      <c r="S777" t="n">
        <v>0</v>
      </c>
      <c r="T777" t="n">
        <v>0</v>
      </c>
      <c r="U777" s="2" t="inlineStr"/>
    </row>
    <row r="778" ht="15" customHeight="1">
      <c r="A778" t="inlineStr">
        <is>
          <t>A 1400-2025</t>
        </is>
      </c>
      <c r="B778" t="inlineStr">
        <is>
          <t>avverkningsanmälan</t>
        </is>
      </c>
      <c r="C778" t="inlineStr">
        <is>
          <t>Föryngringsavverkning</t>
        </is>
      </c>
      <c r="D778" s="1" t="n">
        <v>45667</v>
      </c>
      <c r="E778" s="1" t="n">
        <v>46220</v>
      </c>
      <c r="F778" t="inlineStr">
        <is>
          <t>ÖREBRO LÄN</t>
        </is>
      </c>
      <c r="G778" t="inlineStr">
        <is>
          <t>LINDESBERG</t>
        </is>
      </c>
      <c r="H778" t="inlineStr">
        <is>
          <t>Allmännings- och besparingsskogar</t>
        </is>
      </c>
      <c r="I778" t="n">
        <v>11.3</v>
      </c>
      <c r="J778" t="n">
        <v>0</v>
      </c>
      <c r="K778" t="n">
        <v>0</v>
      </c>
      <c r="L778" t="n">
        <v>0</v>
      </c>
      <c r="M778" t="n">
        <v>0</v>
      </c>
      <c r="N778" t="n">
        <v>0</v>
      </c>
      <c r="O778" t="n">
        <v>0</v>
      </c>
      <c r="P778" t="n">
        <v>0</v>
      </c>
      <c r="Q778" t="n">
        <v>0</v>
      </c>
      <c r="R778" t="n">
        <v>0</v>
      </c>
      <c r="S778" t="n">
        <v>0</v>
      </c>
      <c r="T778" t="n">
        <v>0</v>
      </c>
      <c r="U778" s="2" t="inlineStr"/>
    </row>
    <row r="779" ht="15" customHeight="1">
      <c r="A779" t="inlineStr">
        <is>
          <t>A 38380-2024</t>
        </is>
      </c>
      <c r="B779" t="inlineStr">
        <is>
          <t>avverkningsanmälan</t>
        </is>
      </c>
      <c r="C779" t="inlineStr">
        <is>
          <t>Föryngringsavverkning</t>
        </is>
      </c>
      <c r="D779" s="1" t="n">
        <v>45546</v>
      </c>
      <c r="E779" s="1" t="n">
        <v>46220</v>
      </c>
      <c r="F779" t="inlineStr">
        <is>
          <t>ÖREBRO LÄN</t>
        </is>
      </c>
      <c r="G779" t="inlineStr">
        <is>
          <t>LINDESBERG</t>
        </is>
      </c>
      <c r="I779" t="n">
        <v>6.8</v>
      </c>
      <c r="J779" t="n">
        <v>0</v>
      </c>
      <c r="K779" t="n">
        <v>0</v>
      </c>
      <c r="L779" t="n">
        <v>0</v>
      </c>
      <c r="M779" t="n">
        <v>0</v>
      </c>
      <c r="N779" t="n">
        <v>0</v>
      </c>
      <c r="O779" t="n">
        <v>0</v>
      </c>
      <c r="P779" t="n">
        <v>0</v>
      </c>
      <c r="Q779" t="n">
        <v>0</v>
      </c>
      <c r="R779" t="n">
        <v>0</v>
      </c>
      <c r="S779" t="n">
        <v>0</v>
      </c>
      <c r="T779" t="n">
        <v>0</v>
      </c>
      <c r="U779" s="2" t="inlineStr"/>
    </row>
    <row r="780" ht="15" customHeight="1">
      <c r="A780" t="inlineStr">
        <is>
          <t>A 21202-2024</t>
        </is>
      </c>
      <c r="B780" t="inlineStr">
        <is>
          <t>avverkningsanmälan</t>
        </is>
      </c>
      <c r="C780" t="inlineStr">
        <is>
          <t>Föryngringsavverkning</t>
        </is>
      </c>
      <c r="D780" s="1" t="n">
        <v>45440</v>
      </c>
      <c r="E780" s="1" t="n">
        <v>46220</v>
      </c>
      <c r="F780" t="inlineStr">
        <is>
          <t>ÖREBRO LÄN</t>
        </is>
      </c>
      <c r="G780" t="inlineStr">
        <is>
          <t>LINDESBERG</t>
        </is>
      </c>
      <c r="I780" t="n">
        <v>4</v>
      </c>
      <c r="J780" t="n">
        <v>0</v>
      </c>
      <c r="K780" t="n">
        <v>0</v>
      </c>
      <c r="L780" t="n">
        <v>0</v>
      </c>
      <c r="M780" t="n">
        <v>0</v>
      </c>
      <c r="N780" t="n">
        <v>0</v>
      </c>
      <c r="O780" t="n">
        <v>0</v>
      </c>
      <c r="P780" t="n">
        <v>0</v>
      </c>
      <c r="Q780" t="n">
        <v>0</v>
      </c>
      <c r="R780" t="n">
        <v>0</v>
      </c>
      <c r="S780" t="n">
        <v>0</v>
      </c>
      <c r="T780" t="n">
        <v>0</v>
      </c>
      <c r="U780" s="2" t="inlineStr"/>
    </row>
    <row r="781" ht="15" customHeight="1">
      <c r="A781" t="inlineStr">
        <is>
          <t>A 23844-2025</t>
        </is>
      </c>
      <c r="B781" t="inlineStr">
        <is>
          <t>avverkningsanmälan</t>
        </is>
      </c>
      <c r="C781" t="inlineStr">
        <is>
          <t>Avverkning för annat ändamål</t>
        </is>
      </c>
      <c r="D781" s="1" t="n">
        <v>45793</v>
      </c>
      <c r="E781" s="1" t="n">
        <v>46220</v>
      </c>
      <c r="F781" t="inlineStr">
        <is>
          <t>ÖREBRO LÄN</t>
        </is>
      </c>
      <c r="G781" t="inlineStr">
        <is>
          <t>LINDESBERG</t>
        </is>
      </c>
      <c r="H781" t="inlineStr">
        <is>
          <t>Sveaskog</t>
        </is>
      </c>
      <c r="I781" t="n">
        <v>0.4</v>
      </c>
      <c r="J781" t="n">
        <v>0</v>
      </c>
      <c r="K781" t="n">
        <v>0</v>
      </c>
      <c r="L781" t="n">
        <v>0</v>
      </c>
      <c r="M781" t="n">
        <v>0</v>
      </c>
      <c r="N781" t="n">
        <v>0</v>
      </c>
      <c r="O781" t="n">
        <v>0</v>
      </c>
      <c r="P781" t="n">
        <v>0</v>
      </c>
      <c r="Q781" t="n">
        <v>0</v>
      </c>
      <c r="R781" t="n">
        <v>0</v>
      </c>
      <c r="S781" t="n">
        <v>0</v>
      </c>
      <c r="T781" t="n">
        <v>0</v>
      </c>
      <c r="U781" s="2" t="inlineStr"/>
    </row>
    <row r="782" ht="15" customHeight="1">
      <c r="A782" t="inlineStr">
        <is>
          <t>S 2631-2020</t>
        </is>
      </c>
      <c r="B782" t="inlineStr">
        <is>
          <t>samrådsanmälan</t>
        </is>
      </c>
      <c r="C782" t="inlineStr">
        <is>
          <t>Åtgärd i nyckelbiotop</t>
        </is>
      </c>
      <c r="D782" s="1" t="n">
        <v>44172</v>
      </c>
      <c r="E782" s="1" t="n">
        <v>46220</v>
      </c>
      <c r="F782" t="inlineStr">
        <is>
          <t>ÖREBRO LÄN</t>
        </is>
      </c>
      <c r="G782" t="inlineStr">
        <is>
          <t>LINDESBERG</t>
        </is>
      </c>
      <c r="H782" t="inlineStr">
        <is>
          <t>Kommuner</t>
        </is>
      </c>
      <c r="I782" t="n">
        <v>0.1</v>
      </c>
      <c r="J782" t="n">
        <v>0</v>
      </c>
      <c r="K782" t="n">
        <v>0</v>
      </c>
      <c r="L782" t="n">
        <v>0</v>
      </c>
      <c r="M782" t="n">
        <v>0</v>
      </c>
      <c r="N782" t="n">
        <v>0</v>
      </c>
      <c r="O782" t="n">
        <v>0</v>
      </c>
      <c r="P782" t="n">
        <v>0</v>
      </c>
      <c r="Q782" t="n">
        <v>0</v>
      </c>
      <c r="R782" t="n">
        <v>0</v>
      </c>
      <c r="S782" t="n">
        <v>0</v>
      </c>
      <c r="T782" t="n">
        <v>0</v>
      </c>
      <c r="U782" s="2" t="inlineStr"/>
    </row>
    <row r="783" ht="15" customHeight="1">
      <c r="A783" t="inlineStr">
        <is>
          <t>S 2632-2020</t>
        </is>
      </c>
      <c r="B783" t="inlineStr">
        <is>
          <t>samrådsanmälan</t>
        </is>
      </c>
      <c r="C783" t="inlineStr">
        <is>
          <t>Åtgärd i nyckelbiotop</t>
        </is>
      </c>
      <c r="D783" s="1" t="n">
        <v>44172</v>
      </c>
      <c r="E783" s="1" t="n">
        <v>46220</v>
      </c>
      <c r="F783" t="inlineStr">
        <is>
          <t>ÖREBRO LÄN</t>
        </is>
      </c>
      <c r="G783" t="inlineStr">
        <is>
          <t>LINDESBERG</t>
        </is>
      </c>
      <c r="H783" t="inlineStr">
        <is>
          <t>Kommuner</t>
        </is>
      </c>
      <c r="I783" t="n">
        <v>0.1</v>
      </c>
      <c r="J783" t="n">
        <v>0</v>
      </c>
      <c r="K783" t="n">
        <v>0</v>
      </c>
      <c r="L783" t="n">
        <v>0</v>
      </c>
      <c r="M783" t="n">
        <v>0</v>
      </c>
      <c r="N783" t="n">
        <v>0</v>
      </c>
      <c r="O783" t="n">
        <v>0</v>
      </c>
      <c r="P783" t="n">
        <v>0</v>
      </c>
      <c r="Q783" t="n">
        <v>0</v>
      </c>
      <c r="R783" t="n">
        <v>0</v>
      </c>
      <c r="S783" t="n">
        <v>0</v>
      </c>
      <c r="T783" t="n">
        <v>0</v>
      </c>
      <c r="U783" s="2" t="inlineStr"/>
    </row>
    <row r="784" ht="15" customHeight="1">
      <c r="A784" t="inlineStr">
        <is>
          <t>S 311-2021</t>
        </is>
      </c>
      <c r="B784" t="inlineStr">
        <is>
          <t>samrådsanmälan</t>
        </is>
      </c>
      <c r="C784" t="inlineStr">
        <is>
          <t>Åtgärd i nyckelbiotop</t>
        </is>
      </c>
      <c r="D784" s="1" t="n">
        <v>44246</v>
      </c>
      <c r="E784" s="1" t="n">
        <v>46220</v>
      </c>
      <c r="F784" t="inlineStr">
        <is>
          <t>ÖREBRO LÄN</t>
        </is>
      </c>
      <c r="G784" t="inlineStr">
        <is>
          <t>LINDESBERG</t>
        </is>
      </c>
      <c r="H784" t="inlineStr">
        <is>
          <t>Sveaskog</t>
        </is>
      </c>
      <c r="I784" t="n">
        <v>2.7</v>
      </c>
      <c r="J784" t="n">
        <v>0</v>
      </c>
      <c r="K784" t="n">
        <v>0</v>
      </c>
      <c r="L784" t="n">
        <v>0</v>
      </c>
      <c r="M784" t="n">
        <v>0</v>
      </c>
      <c r="N784" t="n">
        <v>0</v>
      </c>
      <c r="O784" t="n">
        <v>0</v>
      </c>
      <c r="P784" t="n">
        <v>0</v>
      </c>
      <c r="Q784" t="n">
        <v>0</v>
      </c>
      <c r="R784" t="n">
        <v>0</v>
      </c>
      <c r="S784" t="n">
        <v>0</v>
      </c>
      <c r="T784" t="n">
        <v>0</v>
      </c>
      <c r="U784" s="2" t="inlineStr"/>
    </row>
    <row r="785" ht="15" customHeight="1">
      <c r="A785" t="inlineStr">
        <is>
          <t>S 4176-2024</t>
        </is>
      </c>
      <c r="B785" t="inlineStr">
        <is>
          <t>samrådsanmälan</t>
        </is>
      </c>
      <c r="C785" t="inlineStr">
        <is>
          <t>Annan skogsbruksåtgärd</t>
        </is>
      </c>
      <c r="D785" s="1" t="n">
        <v>45578</v>
      </c>
      <c r="E785" s="1" t="n">
        <v>46220</v>
      </c>
      <c r="F785" t="inlineStr">
        <is>
          <t>ÖREBRO LÄN</t>
        </is>
      </c>
      <c r="G785" t="inlineStr">
        <is>
          <t>LINDESBERG</t>
        </is>
      </c>
      <c r="I785" t="n">
        <v>0.4</v>
      </c>
      <c r="J785" t="n">
        <v>0</v>
      </c>
      <c r="K785" t="n">
        <v>0</v>
      </c>
      <c r="L785" t="n">
        <v>0</v>
      </c>
      <c r="M785" t="n">
        <v>0</v>
      </c>
      <c r="N785" t="n">
        <v>0</v>
      </c>
      <c r="O785" t="n">
        <v>0</v>
      </c>
      <c r="P785" t="n">
        <v>0</v>
      </c>
      <c r="Q785" t="n">
        <v>0</v>
      </c>
      <c r="R785" t="n">
        <v>0</v>
      </c>
      <c r="S785" t="n">
        <v>0</v>
      </c>
      <c r="T785" t="n">
        <v>0</v>
      </c>
      <c r="U785" s="2" t="inlineStr"/>
    </row>
    <row r="786" ht="15" customHeight="1">
      <c r="A786" t="inlineStr">
        <is>
          <t>S 3681-2023</t>
        </is>
      </c>
      <c r="B786" t="inlineStr">
        <is>
          <t>samrådsanmälan</t>
        </is>
      </c>
      <c r="C786" t="inlineStr">
        <is>
          <t>Annan skogsbruksåtgärd</t>
        </is>
      </c>
      <c r="D786" s="1" t="n">
        <v>45218</v>
      </c>
      <c r="E786" s="1" t="n">
        <v>46220</v>
      </c>
      <c r="F786" t="inlineStr">
        <is>
          <t>ÖREBRO LÄN</t>
        </is>
      </c>
      <c r="G786" t="inlineStr">
        <is>
          <t>LINDESBERG</t>
        </is>
      </c>
      <c r="H786" t="inlineStr">
        <is>
          <t>Sveaskog</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S 1338-2023</t>
        </is>
      </c>
      <c r="B787" t="inlineStr">
        <is>
          <t>samrådsanmälan</t>
        </is>
      </c>
      <c r="C787" t="inlineStr">
        <is>
          <t>Åtgärd i nyckelbiotop</t>
        </is>
      </c>
      <c r="D787" s="1" t="n">
        <v>45040</v>
      </c>
      <c r="E787" s="1" t="n">
        <v>46220</v>
      </c>
      <c r="F787" t="inlineStr">
        <is>
          <t>ÖREBRO LÄN</t>
        </is>
      </c>
      <c r="G787" t="inlineStr">
        <is>
          <t>LINDESBERG</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S 674-2025</t>
        </is>
      </c>
      <c r="B788" t="inlineStr">
        <is>
          <t>samrådsanmälan</t>
        </is>
      </c>
      <c r="C788" t="inlineStr">
        <is>
          <t>Annan skogsbruksåtgärd</t>
        </is>
      </c>
      <c r="D788" s="1" t="n">
        <v>45716</v>
      </c>
      <c r="E788" s="1" t="n">
        <v>46220</v>
      </c>
      <c r="F788" t="inlineStr">
        <is>
          <t>ÖREBRO LÄN</t>
        </is>
      </c>
      <c r="G788" t="inlineStr">
        <is>
          <t>LINDESBERG</t>
        </is>
      </c>
      <c r="H788" t="inlineStr">
        <is>
          <t>Sveaskog</t>
        </is>
      </c>
      <c r="I788" t="n">
        <v>2.9</v>
      </c>
      <c r="J788" t="n">
        <v>0</v>
      </c>
      <c r="K788" t="n">
        <v>0</v>
      </c>
      <c r="L788" t="n">
        <v>0</v>
      </c>
      <c r="M788" t="n">
        <v>0</v>
      </c>
      <c r="N788" t="n">
        <v>0</v>
      </c>
      <c r="O788" t="n">
        <v>0</v>
      </c>
      <c r="P788" t="n">
        <v>0</v>
      </c>
      <c r="Q788" t="n">
        <v>0</v>
      </c>
      <c r="R788" t="n">
        <v>0</v>
      </c>
      <c r="S788" t="n">
        <v>0</v>
      </c>
      <c r="T788" t="n">
        <v>0</v>
      </c>
      <c r="U788" s="2" t="inlineStr"/>
    </row>
    <row r="789" ht="15" customHeight="1">
      <c r="A789" t="inlineStr">
        <is>
          <t>S 1381-2025</t>
        </is>
      </c>
      <c r="B789" t="inlineStr">
        <is>
          <t>samrådsanmälan</t>
        </is>
      </c>
      <c r="C789" t="inlineStr">
        <is>
          <t>Annan skogsbruksåtgärd</t>
        </is>
      </c>
      <c r="D789" s="1" t="n">
        <v>45777</v>
      </c>
      <c r="E789" s="1" t="n">
        <v>46220</v>
      </c>
      <c r="F789" t="inlineStr">
        <is>
          <t>ÖREBRO LÄN</t>
        </is>
      </c>
      <c r="G789" t="inlineStr">
        <is>
          <t>LINDESBERG</t>
        </is>
      </c>
      <c r="H789" t="inlineStr">
        <is>
          <t>Sveaskog</t>
        </is>
      </c>
      <c r="I789" t="n">
        <v>2.6</v>
      </c>
      <c r="J789" t="n">
        <v>0</v>
      </c>
      <c r="K789" t="n">
        <v>0</v>
      </c>
      <c r="L789" t="n">
        <v>0</v>
      </c>
      <c r="M789" t="n">
        <v>0</v>
      </c>
      <c r="N789" t="n">
        <v>0</v>
      </c>
      <c r="O789" t="n">
        <v>0</v>
      </c>
      <c r="P789" t="n">
        <v>0</v>
      </c>
      <c r="Q789" t="n">
        <v>0</v>
      </c>
      <c r="R789" t="n">
        <v>0</v>
      </c>
      <c r="S789" t="n">
        <v>0</v>
      </c>
      <c r="T789" t="n">
        <v>0</v>
      </c>
      <c r="U789" s="2" t="inlineStr"/>
    </row>
    <row r="790" ht="15" customHeight="1">
      <c r="A790" t="inlineStr">
        <is>
          <t>S 619-2025</t>
        </is>
      </c>
      <c r="B790" t="inlineStr">
        <is>
          <t>samrådsanmälan</t>
        </is>
      </c>
      <c r="C790" t="inlineStr">
        <is>
          <t>Annan skogsbruksåtgärd</t>
        </is>
      </c>
      <c r="D790" s="1" t="n">
        <v>45714</v>
      </c>
      <c r="E790" s="1" t="n">
        <v>46220</v>
      </c>
      <c r="F790" t="inlineStr">
        <is>
          <t>ÖREBRO LÄN</t>
        </is>
      </c>
      <c r="G790" t="inlineStr">
        <is>
          <t>LINDESBERG</t>
        </is>
      </c>
      <c r="I790" t="n">
        <v>3.3</v>
      </c>
      <c r="J790" t="n">
        <v>0</v>
      </c>
      <c r="K790" t="n">
        <v>0</v>
      </c>
      <c r="L790" t="n">
        <v>0</v>
      </c>
      <c r="M790" t="n">
        <v>0</v>
      </c>
      <c r="N790" t="n">
        <v>0</v>
      </c>
      <c r="O790" t="n">
        <v>0</v>
      </c>
      <c r="P790" t="n">
        <v>0</v>
      </c>
      <c r="Q790" t="n">
        <v>0</v>
      </c>
      <c r="R790" t="n">
        <v>0</v>
      </c>
      <c r="S790" t="n">
        <v>0</v>
      </c>
      <c r="T790" t="n">
        <v>0</v>
      </c>
      <c r="U790" s="2" t="inlineStr"/>
    </row>
    <row r="791" ht="15" customHeight="1">
      <c r="A791" t="inlineStr">
        <is>
          <t>S 1983-2025</t>
        </is>
      </c>
      <c r="B791" t="inlineStr">
        <is>
          <t>samrådsanmälan</t>
        </is>
      </c>
      <c r="C791" t="inlineStr">
        <is>
          <t>Annan skogsbruksåtgärd</t>
        </is>
      </c>
      <c r="D791" s="1" t="n">
        <v>45832</v>
      </c>
      <c r="E791" s="1" t="n">
        <v>46220</v>
      </c>
      <c r="F791" t="inlineStr">
        <is>
          <t>ÖREBRO LÄN</t>
        </is>
      </c>
      <c r="G791" t="inlineStr">
        <is>
          <t>LINDESBERG</t>
        </is>
      </c>
      <c r="H791" t="inlineStr">
        <is>
          <t>Sveaskog</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S 3211-2025</t>
        </is>
      </c>
      <c r="B792" t="inlineStr">
        <is>
          <t>samrådsanmälan</t>
        </is>
      </c>
      <c r="C792" t="inlineStr">
        <is>
          <t>Annan skogsbruksåtgärd</t>
        </is>
      </c>
      <c r="D792" s="1" t="n">
        <v>45980</v>
      </c>
      <c r="E792" s="1" t="n">
        <v>46220</v>
      </c>
      <c r="F792" t="inlineStr">
        <is>
          <t>ÖREBRO LÄN</t>
        </is>
      </c>
      <c r="G792" t="inlineStr">
        <is>
          <t>LINDESBERG</t>
        </is>
      </c>
      <c r="H792" t="inlineStr">
        <is>
          <t>Sveaskog</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S 653-2026</t>
        </is>
      </c>
      <c r="B793" t="inlineStr">
        <is>
          <t>samrådsanmälan</t>
        </is>
      </c>
      <c r="C793" t="inlineStr">
        <is>
          <t>Skogsgödsling</t>
        </is>
      </c>
      <c r="D793" s="1" t="n">
        <v>46094</v>
      </c>
      <c r="E793" s="1" t="n">
        <v>46220</v>
      </c>
      <c r="F793" t="inlineStr">
        <is>
          <t>ÖREBRO LÄN</t>
        </is>
      </c>
      <c r="G793" t="inlineStr">
        <is>
          <t>LINDESBERG</t>
        </is>
      </c>
      <c r="H793" t="inlineStr">
        <is>
          <t>Naturvårdsverket</t>
        </is>
      </c>
      <c r="I793" t="n">
        <v>30.7</v>
      </c>
      <c r="J793" t="n">
        <v>0</v>
      </c>
      <c r="K793" t="n">
        <v>0</v>
      </c>
      <c r="L793" t="n">
        <v>0</v>
      </c>
      <c r="M793" t="n">
        <v>0</v>
      </c>
      <c r="N793" t="n">
        <v>0</v>
      </c>
      <c r="O793" t="n">
        <v>0</v>
      </c>
      <c r="P793" t="n">
        <v>0</v>
      </c>
      <c r="Q793" t="n">
        <v>0</v>
      </c>
      <c r="R793" t="n">
        <v>0</v>
      </c>
      <c r="S793" t="n">
        <v>0</v>
      </c>
      <c r="T793" t="n">
        <v>0</v>
      </c>
      <c r="U793" s="2" t="inlineStr"/>
    </row>
    <row r="794" ht="15" customHeight="1">
      <c r="A794" t="inlineStr">
        <is>
          <t>S 930-2026</t>
        </is>
      </c>
      <c r="B794" t="inlineStr">
        <is>
          <t>samrådsanmälan</t>
        </is>
      </c>
      <c r="C794" t="inlineStr">
        <is>
          <t>Annan skogsbruksåtgärd</t>
        </is>
      </c>
      <c r="D794" s="1" t="n">
        <v>46111</v>
      </c>
      <c r="E794" s="1" t="n">
        <v>46220</v>
      </c>
      <c r="F794" t="inlineStr">
        <is>
          <t>ÖREBRO LÄN</t>
        </is>
      </c>
      <c r="G794" t="inlineStr">
        <is>
          <t>LINDESBERG</t>
        </is>
      </c>
      <c r="I794" t="n">
        <v>17.7</v>
      </c>
      <c r="J794" t="n">
        <v>0</v>
      </c>
      <c r="K794" t="n">
        <v>0</v>
      </c>
      <c r="L794" t="n">
        <v>0</v>
      </c>
      <c r="M794" t="n">
        <v>0</v>
      </c>
      <c r="N794" t="n">
        <v>0</v>
      </c>
      <c r="O794" t="n">
        <v>0</v>
      </c>
      <c r="P794" t="n">
        <v>0</v>
      </c>
      <c r="Q794" t="n">
        <v>0</v>
      </c>
      <c r="R794" t="n">
        <v>0</v>
      </c>
      <c r="S794" t="n">
        <v>0</v>
      </c>
      <c r="T794" t="n">
        <v>0</v>
      </c>
      <c r="U794" s="2" t="inlineStr"/>
    </row>
    <row r="795">
      <c r="A795" t="inlineStr">
        <is>
          <t>S 1122-2026</t>
        </is>
      </c>
      <c r="B795" t="inlineStr">
        <is>
          <t>samrådsanmälan</t>
        </is>
      </c>
      <c r="C795" t="inlineStr">
        <is>
          <t>Annan skogsbruksåtgärd</t>
        </is>
      </c>
      <c r="D795" s="1" t="n">
        <v>46128</v>
      </c>
      <c r="E795" s="1" t="n">
        <v>46220</v>
      </c>
      <c r="F795" t="inlineStr">
        <is>
          <t>ÖREBRO LÄN</t>
        </is>
      </c>
      <c r="G795" t="inlineStr">
        <is>
          <t>LINDESBERG</t>
        </is>
      </c>
      <c r="H795" t="inlineStr">
        <is>
          <t>Sveaskog</t>
        </is>
      </c>
      <c r="I795" t="n">
        <v>6.4</v>
      </c>
      <c r="J795" t="n">
        <v>0</v>
      </c>
      <c r="K795" t="n">
        <v>0</v>
      </c>
      <c r="L795" t="n">
        <v>0</v>
      </c>
      <c r="M795" t="n">
        <v>0</v>
      </c>
      <c r="N795" t="n">
        <v>0</v>
      </c>
      <c r="O795" t="n">
        <v>0</v>
      </c>
      <c r="P795" t="n">
        <v>0</v>
      </c>
      <c r="Q795" t="n">
        <v>0</v>
      </c>
      <c r="R795" t="n">
        <v>0</v>
      </c>
      <c r="S795" t="n">
        <v>0</v>
      </c>
      <c r="T795" t="n">
        <v>0</v>
      </c>
      <c r="U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2026-07-17T01:42:56Z</dcterms:created>
  <dcterms:modified xmlns:dcterms="http://purl.org/dc/terms/" xmlns:xsi="http://www.w3.org/2001/XMLSchema-instance" xsi:type="dcterms:W3CDTF">2026-07-17T01:42:57Z</dcterms:modified>
</cp:coreProperties>
</file>