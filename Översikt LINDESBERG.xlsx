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46196</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46196</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46196</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46196</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46196</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46196</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46196</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46196</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8195-2026</t>
        </is>
      </c>
      <c r="B10" s="1" t="n">
        <v>46064</v>
      </c>
      <c r="C10" s="1" t="n">
        <v>46196</v>
      </c>
      <c r="D10" t="inlineStr">
        <is>
          <t>ÖREBRO LÄN</t>
        </is>
      </c>
      <c r="E10" t="inlineStr">
        <is>
          <t>LINDESBERG</t>
        </is>
      </c>
      <c r="G10" t="n">
        <v>2.3</v>
      </c>
      <c r="H10" t="n">
        <v>6</v>
      </c>
      <c r="I10" t="n">
        <v>5</v>
      </c>
      <c r="J10" t="n">
        <v>2</v>
      </c>
      <c r="K10" t="n">
        <v>0</v>
      </c>
      <c r="L10" t="n">
        <v>1</v>
      </c>
      <c r="M10" t="n">
        <v>0</v>
      </c>
      <c r="N10" t="n">
        <v>0</v>
      </c>
      <c r="O10" t="n">
        <v>3</v>
      </c>
      <c r="P10" t="n">
        <v>1</v>
      </c>
      <c r="Q10" t="n">
        <v>11</v>
      </c>
      <c r="R10" s="2" t="inlineStr">
        <is>
          <t>Ask
Grönsångare
Järnsparv
Rödgul trumpetsvamp
Svart trolldruva
Tvåblad
Västlig hakmossa
Vätteros
Spillkråka
Kungsfågel
Svartvit flugsnappare</t>
        </is>
      </c>
      <c r="S10">
        <f>HYPERLINK("https://klasma.github.io/Logging_1885/artfynd/A 8195-2026 artfynd.xlsx", "A 8195-2026")</f>
        <v/>
      </c>
      <c r="T10">
        <f>HYPERLINK("https://klasma.github.io/Logging_1885/kartor/A 8195-2026 karta.png", "A 8195-2026")</f>
        <v/>
      </c>
      <c r="V10">
        <f>HYPERLINK("https://klasma.github.io/Logging_1885/klagomål/A 8195-2026 FSC-klagomål.docx", "A 8195-2026")</f>
        <v/>
      </c>
      <c r="W10">
        <f>HYPERLINK("https://klasma.github.io/Logging_1885/klagomålsmail/A 8195-2026 FSC-klagomål mail.docx", "A 8195-2026")</f>
        <v/>
      </c>
      <c r="X10">
        <f>HYPERLINK("https://klasma.github.io/Logging_1885/tillsyn/A 8195-2026 tillsynsbegäran.docx", "A 8195-2026")</f>
        <v/>
      </c>
      <c r="Y10">
        <f>HYPERLINK("https://klasma.github.io/Logging_1885/tillsynsmail/A 8195-2026 tillsynsbegäran mail.docx", "A 8195-2026")</f>
        <v/>
      </c>
      <c r="Z10">
        <f>HYPERLINK("https://klasma.github.io/Logging_1885/fåglar/A 8195-2026 prioriterade fågelarter.docx", "A 8195-2026")</f>
        <v/>
      </c>
    </row>
    <row r="11" ht="15" customHeight="1">
      <c r="A11" t="inlineStr">
        <is>
          <t>A 8186-2026</t>
        </is>
      </c>
      <c r="B11" s="1" t="n">
        <v>46064</v>
      </c>
      <c r="C11" s="1" t="n">
        <v>46196</v>
      </c>
      <c r="D11" t="inlineStr">
        <is>
          <t>ÖREBRO LÄN</t>
        </is>
      </c>
      <c r="E11" t="inlineStr">
        <is>
          <t>LINDESBERG</t>
        </is>
      </c>
      <c r="G11" t="n">
        <v>2.4</v>
      </c>
      <c r="H11" t="n">
        <v>7</v>
      </c>
      <c r="I11" t="n">
        <v>4</v>
      </c>
      <c r="J11" t="n">
        <v>2</v>
      </c>
      <c r="K11" t="n">
        <v>0</v>
      </c>
      <c r="L11" t="n">
        <v>0</v>
      </c>
      <c r="M11" t="n">
        <v>0</v>
      </c>
      <c r="N11" t="n">
        <v>0</v>
      </c>
      <c r="O11" t="n">
        <v>2</v>
      </c>
      <c r="P11" t="n">
        <v>0</v>
      </c>
      <c r="Q11" t="n">
        <v>11</v>
      </c>
      <c r="R11" s="2" t="inlineStr">
        <is>
          <t>Grönsångare
Järnsparv
Svart trolldruva
Thomsons trägnagare
Tibast
Tvåblad
Ormbär
Grönsiska
Kungsfågel
Svartvit flugsnappare
Ärtsångare</t>
        </is>
      </c>
      <c r="S11">
        <f>HYPERLINK("https://klasma.github.io/Logging_1885/artfynd/A 8186-2026 artfynd.xlsx", "A 8186-2026")</f>
        <v/>
      </c>
      <c r="T11">
        <f>HYPERLINK("https://klasma.github.io/Logging_1885/kartor/A 8186-2026 karta.png", "A 8186-2026")</f>
        <v/>
      </c>
      <c r="V11">
        <f>HYPERLINK("https://klasma.github.io/Logging_1885/klagomål/A 8186-2026 FSC-klagomål.docx", "A 8186-2026")</f>
        <v/>
      </c>
      <c r="W11">
        <f>HYPERLINK("https://klasma.github.io/Logging_1885/klagomålsmail/A 8186-2026 FSC-klagomål mail.docx", "A 8186-2026")</f>
        <v/>
      </c>
      <c r="X11">
        <f>HYPERLINK("https://klasma.github.io/Logging_1885/tillsyn/A 8186-2026 tillsynsbegäran.docx", "A 8186-2026")</f>
        <v/>
      </c>
      <c r="Y11">
        <f>HYPERLINK("https://klasma.github.io/Logging_1885/tillsynsmail/A 8186-2026 tillsynsbegäran mail.docx", "A 8186-2026")</f>
        <v/>
      </c>
      <c r="Z11">
        <f>HYPERLINK("https://klasma.github.io/Logging_1885/fåglar/A 8186-2026 prioriterade fågelarter.docx", "A 8186-2026")</f>
        <v/>
      </c>
    </row>
    <row r="12" ht="15" customHeight="1">
      <c r="A12" t="inlineStr">
        <is>
          <t>A 55016-2025</t>
        </is>
      </c>
      <c r="B12" s="1" t="n">
        <v>45967</v>
      </c>
      <c r="C12" s="1" t="n">
        <v>46196</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46196</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46196</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46196</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46196</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34292-2023</t>
        </is>
      </c>
      <c r="B17" s="1" t="n">
        <v>45138</v>
      </c>
      <c r="C17" s="1" t="n">
        <v>46196</v>
      </c>
      <c r="D17" t="inlineStr">
        <is>
          <t>ÖREBRO LÄN</t>
        </is>
      </c>
      <c r="E17" t="inlineStr">
        <is>
          <t>LINDESBERG</t>
        </is>
      </c>
      <c r="F17" t="inlineStr">
        <is>
          <t>Sveaskog</t>
        </is>
      </c>
      <c r="G17" t="n">
        <v>0.2</v>
      </c>
      <c r="H17" t="n">
        <v>2</v>
      </c>
      <c r="I17" t="n">
        <v>2</v>
      </c>
      <c r="J17" t="n">
        <v>4</v>
      </c>
      <c r="K17" t="n">
        <v>1</v>
      </c>
      <c r="L17" t="n">
        <v>0</v>
      </c>
      <c r="M17" t="n">
        <v>0</v>
      </c>
      <c r="N17" t="n">
        <v>0</v>
      </c>
      <c r="O17" t="n">
        <v>5</v>
      </c>
      <c r="P17" t="n">
        <v>1</v>
      </c>
      <c r="Q17" t="n">
        <v>8</v>
      </c>
      <c r="R17" s="2" t="inlineStr">
        <is>
          <t>Knärot
Dropptaggsvamp
Fjällig taggsvamp s.str.
Motaggsvamp
Svartvit taggsvamp
Sotriska
Vedticka
Järpe</t>
        </is>
      </c>
      <c r="S17">
        <f>HYPERLINK("https://klasma.github.io/Logging_1885/artfynd/A 34292-2023 artfynd.xlsx", "A 34292-2023")</f>
        <v/>
      </c>
      <c r="T17">
        <f>HYPERLINK("https://klasma.github.io/Logging_1885/kartor/A 34292-2023 karta.png", "A 34292-2023")</f>
        <v/>
      </c>
      <c r="U17">
        <f>HYPERLINK("https://klasma.github.io/Logging_1885/knärot/A 34292-2023 karta knärot.png", "A 34292-2023")</f>
        <v/>
      </c>
      <c r="V17">
        <f>HYPERLINK("https://klasma.github.io/Logging_1885/klagomål/A 34292-2023 FSC-klagomål.docx", "A 34292-2023")</f>
        <v/>
      </c>
      <c r="W17">
        <f>HYPERLINK("https://klasma.github.io/Logging_1885/klagomålsmail/A 34292-2023 FSC-klagomål mail.docx", "A 34292-2023")</f>
        <v/>
      </c>
      <c r="X17">
        <f>HYPERLINK("https://klasma.github.io/Logging_1885/tillsyn/A 34292-2023 tillsynsbegäran.docx", "A 34292-2023")</f>
        <v/>
      </c>
      <c r="Y17">
        <f>HYPERLINK("https://klasma.github.io/Logging_1885/tillsynsmail/A 34292-2023 tillsynsbegäran mail.docx", "A 34292-2023")</f>
        <v/>
      </c>
      <c r="Z17">
        <f>HYPERLINK("https://klasma.github.io/Logging_1885/fåglar/A 34292-2023 prioriterade fågelarter.docx", "A 34292-2023")</f>
        <v/>
      </c>
    </row>
    <row r="18" ht="15" customHeight="1">
      <c r="A18" t="inlineStr">
        <is>
          <t>A 26749-2025</t>
        </is>
      </c>
      <c r="B18" s="1" t="n">
        <v>45810</v>
      </c>
      <c r="C18" s="1" t="n">
        <v>46196</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46196</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46196</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46196</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21467-2026</t>
        </is>
      </c>
      <c r="B22" s="1" t="n">
        <v>46148</v>
      </c>
      <c r="C22" s="1" t="n">
        <v>46196</v>
      </c>
      <c r="D22" t="inlineStr">
        <is>
          <t>ÖREBRO LÄN</t>
        </is>
      </c>
      <c r="E22" t="inlineStr">
        <is>
          <t>LINDESBERG</t>
        </is>
      </c>
      <c r="G22" t="n">
        <v>1.5</v>
      </c>
      <c r="H22" t="n">
        <v>5</v>
      </c>
      <c r="I22" t="n">
        <v>1</v>
      </c>
      <c r="J22" t="n">
        <v>2</v>
      </c>
      <c r="K22" t="n">
        <v>1</v>
      </c>
      <c r="L22" t="n">
        <v>0</v>
      </c>
      <c r="M22" t="n">
        <v>0</v>
      </c>
      <c r="N22" t="n">
        <v>0</v>
      </c>
      <c r="O22" t="n">
        <v>3</v>
      </c>
      <c r="P22" t="n">
        <v>1</v>
      </c>
      <c r="Q22" t="n">
        <v>7</v>
      </c>
      <c r="R22" s="2" t="inlineStr">
        <is>
          <t>Knärot
Grönsångare
Ullticka
Bronshjon
Spillkråka
Grönsiska
Fläcknycklar</t>
        </is>
      </c>
      <c r="S22">
        <f>HYPERLINK("https://klasma.github.io/Logging_1885/artfynd/A 21467-2026 artfynd.xlsx", "A 21467-2026")</f>
        <v/>
      </c>
      <c r="T22">
        <f>HYPERLINK("https://klasma.github.io/Logging_1885/kartor/A 21467-2026 karta.png", "A 21467-2026")</f>
        <v/>
      </c>
      <c r="U22">
        <f>HYPERLINK("https://klasma.github.io/Logging_1885/knärot/A 21467-2026 karta knärot.png", "A 21467-2026")</f>
        <v/>
      </c>
      <c r="V22">
        <f>HYPERLINK("https://klasma.github.io/Logging_1885/klagomål/A 21467-2026 FSC-klagomål.docx", "A 21467-2026")</f>
        <v/>
      </c>
      <c r="W22">
        <f>HYPERLINK("https://klasma.github.io/Logging_1885/klagomålsmail/A 21467-2026 FSC-klagomål mail.docx", "A 21467-2026")</f>
        <v/>
      </c>
      <c r="X22">
        <f>HYPERLINK("https://klasma.github.io/Logging_1885/tillsyn/A 21467-2026 tillsynsbegäran.docx", "A 21467-2026")</f>
        <v/>
      </c>
      <c r="Y22">
        <f>HYPERLINK("https://klasma.github.io/Logging_1885/tillsynsmail/A 21467-2026 tillsynsbegäran mail.docx", "A 21467-2026")</f>
        <v/>
      </c>
      <c r="Z22">
        <f>HYPERLINK("https://klasma.github.io/Logging_1885/fåglar/A 21467-2026 prioriterade fågelarter.docx", "A 21467-2026")</f>
        <v/>
      </c>
    </row>
    <row r="23" ht="15" customHeight="1">
      <c r="A23" t="inlineStr">
        <is>
          <t>A 54241-2025</t>
        </is>
      </c>
      <c r="B23" s="1" t="n">
        <v>45964</v>
      </c>
      <c r="C23" s="1" t="n">
        <v>46196</v>
      </c>
      <c r="D23" t="inlineStr">
        <is>
          <t>ÖREBRO LÄN</t>
        </is>
      </c>
      <c r="E23" t="inlineStr">
        <is>
          <t>LINDESBERG</t>
        </is>
      </c>
      <c r="G23" t="n">
        <v>4</v>
      </c>
      <c r="H23" t="n">
        <v>4</v>
      </c>
      <c r="I23" t="n">
        <v>1</v>
      </c>
      <c r="J23" t="n">
        <v>2</v>
      </c>
      <c r="K23" t="n">
        <v>1</v>
      </c>
      <c r="L23" t="n">
        <v>0</v>
      </c>
      <c r="M23" t="n">
        <v>0</v>
      </c>
      <c r="N23" t="n">
        <v>0</v>
      </c>
      <c r="O23" t="n">
        <v>3</v>
      </c>
      <c r="P23" t="n">
        <v>1</v>
      </c>
      <c r="Q23" t="n">
        <v>6</v>
      </c>
      <c r="R23" s="2" t="inlineStr">
        <is>
          <t>Knärot
Talltita
Ullticka
Grönpyrola
Spillkråka
Kungsfågel</t>
        </is>
      </c>
      <c r="S23">
        <f>HYPERLINK("https://klasma.github.io/Logging_1885/artfynd/A 54241-2025 artfynd.xlsx", "A 54241-2025")</f>
        <v/>
      </c>
      <c r="T23">
        <f>HYPERLINK("https://klasma.github.io/Logging_1885/kartor/A 54241-2025 karta.png", "A 54241-2025")</f>
        <v/>
      </c>
      <c r="U23">
        <f>HYPERLINK("https://klasma.github.io/Logging_1885/knärot/A 54241-2025 karta knärot.png", "A 54241-2025")</f>
        <v/>
      </c>
      <c r="V23">
        <f>HYPERLINK("https://klasma.github.io/Logging_1885/klagomål/A 54241-2025 FSC-klagomål.docx", "A 54241-2025")</f>
        <v/>
      </c>
      <c r="W23">
        <f>HYPERLINK("https://klasma.github.io/Logging_1885/klagomålsmail/A 54241-2025 FSC-klagomål mail.docx", "A 54241-2025")</f>
        <v/>
      </c>
      <c r="X23">
        <f>HYPERLINK("https://klasma.github.io/Logging_1885/tillsyn/A 54241-2025 tillsynsbegäran.docx", "A 54241-2025")</f>
        <v/>
      </c>
      <c r="Y23">
        <f>HYPERLINK("https://klasma.github.io/Logging_1885/tillsynsmail/A 54241-2025 tillsynsbegäran mail.docx", "A 54241-2025")</f>
        <v/>
      </c>
      <c r="Z23">
        <f>HYPERLINK("https://klasma.github.io/Logging_1885/fåglar/A 54241-2025 prioriterade fågelarter.docx", "A 54241-2025")</f>
        <v/>
      </c>
    </row>
    <row r="24" ht="15" customHeight="1">
      <c r="A24" t="inlineStr">
        <is>
          <t>A 42633-2025</t>
        </is>
      </c>
      <c r="B24" s="1" t="n">
        <v>45905</v>
      </c>
      <c r="C24" s="1" t="n">
        <v>46196</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43429-2024</t>
        </is>
      </c>
      <c r="B25" s="1" t="n">
        <v>45568</v>
      </c>
      <c r="C25" s="1" t="n">
        <v>46196</v>
      </c>
      <c r="D25" t="inlineStr">
        <is>
          <t>ÖREBRO LÄN</t>
        </is>
      </c>
      <c r="E25" t="inlineStr">
        <is>
          <t>LINDESBERG</t>
        </is>
      </c>
      <c r="F25" t="inlineStr">
        <is>
          <t>Sveaskog</t>
        </is>
      </c>
      <c r="G25" t="n">
        <v>9.699999999999999</v>
      </c>
      <c r="H25" t="n">
        <v>3</v>
      </c>
      <c r="I25" t="n">
        <v>0</v>
      </c>
      <c r="J25" t="n">
        <v>3</v>
      </c>
      <c r="K25" t="n">
        <v>1</v>
      </c>
      <c r="L25" t="n">
        <v>0</v>
      </c>
      <c r="M25" t="n">
        <v>0</v>
      </c>
      <c r="N25" t="n">
        <v>0</v>
      </c>
      <c r="O25" t="n">
        <v>4</v>
      </c>
      <c r="P25" t="n">
        <v>1</v>
      </c>
      <c r="Q25" t="n">
        <v>6</v>
      </c>
      <c r="R25" s="2" t="inlineStr">
        <is>
          <t>Lappuggla
Dropptaggsvamp
Tallfingersvamp
Tallriska
Fiskgjuse
Kungsfågel</t>
        </is>
      </c>
      <c r="S25">
        <f>HYPERLINK("https://klasma.github.io/Logging_1885/artfynd/A 43429-2024 artfynd.xlsx", "A 43429-2024")</f>
        <v/>
      </c>
      <c r="T25">
        <f>HYPERLINK("https://klasma.github.io/Logging_1885/kartor/A 43429-2024 karta.png", "A 43429-2024")</f>
        <v/>
      </c>
      <c r="V25">
        <f>HYPERLINK("https://klasma.github.io/Logging_1885/klagomål/A 43429-2024 FSC-klagomål.docx", "A 43429-2024")</f>
        <v/>
      </c>
      <c r="W25">
        <f>HYPERLINK("https://klasma.github.io/Logging_1885/klagomålsmail/A 43429-2024 FSC-klagomål mail.docx", "A 43429-2024")</f>
        <v/>
      </c>
      <c r="X25">
        <f>HYPERLINK("https://klasma.github.io/Logging_1885/tillsyn/A 43429-2024 tillsynsbegäran.docx", "A 43429-2024")</f>
        <v/>
      </c>
      <c r="Y25">
        <f>HYPERLINK("https://klasma.github.io/Logging_1885/tillsynsmail/A 43429-2024 tillsynsbegäran mail.docx", "A 43429-2024")</f>
        <v/>
      </c>
      <c r="Z25">
        <f>HYPERLINK("https://klasma.github.io/Logging_1885/fåglar/A 43429-2024 prioriterade fågelarter.docx", "A 43429-2024")</f>
        <v/>
      </c>
    </row>
    <row r="26" ht="15" customHeight="1">
      <c r="A26" t="inlineStr">
        <is>
          <t>A 15687-2023</t>
        </is>
      </c>
      <c r="B26" s="1" t="n">
        <v>45021</v>
      </c>
      <c r="C26" s="1" t="n">
        <v>46196</v>
      </c>
      <c r="D26" t="inlineStr">
        <is>
          <t>ÖREBRO LÄN</t>
        </is>
      </c>
      <c r="E26" t="inlineStr">
        <is>
          <t>LINDESBERG</t>
        </is>
      </c>
      <c r="G26" t="n">
        <v>1.4</v>
      </c>
      <c r="H26" t="n">
        <v>2</v>
      </c>
      <c r="I26" t="n">
        <v>5</v>
      </c>
      <c r="J26" t="n">
        <v>0</v>
      </c>
      <c r="K26" t="n">
        <v>0</v>
      </c>
      <c r="L26" t="n">
        <v>0</v>
      </c>
      <c r="M26" t="n">
        <v>0</v>
      </c>
      <c r="N26" t="n">
        <v>0</v>
      </c>
      <c r="O26" t="n">
        <v>0</v>
      </c>
      <c r="P26" t="n">
        <v>0</v>
      </c>
      <c r="Q26" t="n">
        <v>6</v>
      </c>
      <c r="R26" s="2" t="inlineStr">
        <is>
          <t>Rödgul trumpetsvamp
Svavelriska
Tibast
Trådticka
Tvåblad
Revlummer</t>
        </is>
      </c>
      <c r="S26">
        <f>HYPERLINK("https://klasma.github.io/Logging_1885/artfynd/A 15687-2023 artfynd.xlsx", "A 15687-2023")</f>
        <v/>
      </c>
      <c r="T26">
        <f>HYPERLINK("https://klasma.github.io/Logging_1885/kartor/A 15687-2023 karta.png", "A 15687-2023")</f>
        <v/>
      </c>
      <c r="V26">
        <f>HYPERLINK("https://klasma.github.io/Logging_1885/klagomål/A 15687-2023 FSC-klagomål.docx", "A 15687-2023")</f>
        <v/>
      </c>
      <c r="W26">
        <f>HYPERLINK("https://klasma.github.io/Logging_1885/klagomålsmail/A 15687-2023 FSC-klagomål mail.docx", "A 15687-2023")</f>
        <v/>
      </c>
      <c r="X26">
        <f>HYPERLINK("https://klasma.github.io/Logging_1885/tillsyn/A 15687-2023 tillsynsbegäran.docx", "A 15687-2023")</f>
        <v/>
      </c>
      <c r="Y26">
        <f>HYPERLINK("https://klasma.github.io/Logging_1885/tillsynsmail/A 15687-2023 tillsynsbegäran mail.docx", "A 15687-2023")</f>
        <v/>
      </c>
    </row>
    <row r="27" ht="15" customHeight="1">
      <c r="A27" t="inlineStr">
        <is>
          <t>A 28033-2023</t>
        </is>
      </c>
      <c r="B27" s="1" t="n">
        <v>45099</v>
      </c>
      <c r="C27" s="1" t="n">
        <v>46196</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49945-2025</t>
        </is>
      </c>
      <c r="B28" s="1" t="n">
        <v>45940</v>
      </c>
      <c r="C28" s="1" t="n">
        <v>46196</v>
      </c>
      <c r="D28" t="inlineStr">
        <is>
          <t>ÖREBRO LÄN</t>
        </is>
      </c>
      <c r="E28" t="inlineStr">
        <is>
          <t>LINDESBERG</t>
        </is>
      </c>
      <c r="F28" t="inlineStr">
        <is>
          <t>Sveaskog</t>
        </is>
      </c>
      <c r="G28" t="n">
        <v>2.4</v>
      </c>
      <c r="H28" t="n">
        <v>1</v>
      </c>
      <c r="I28" t="n">
        <v>3</v>
      </c>
      <c r="J28" t="n">
        <v>1</v>
      </c>
      <c r="K28" t="n">
        <v>0</v>
      </c>
      <c r="L28" t="n">
        <v>0</v>
      </c>
      <c r="M28" t="n">
        <v>0</v>
      </c>
      <c r="N28" t="n">
        <v>0</v>
      </c>
      <c r="O28" t="n">
        <v>1</v>
      </c>
      <c r="P28" t="n">
        <v>0</v>
      </c>
      <c r="Q28" t="n">
        <v>5</v>
      </c>
      <c r="R28" s="2" t="inlineStr">
        <is>
          <t>Motaggsvamp
Toppvaxing
Vanlig rörsvepemossa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28035-2023</t>
        </is>
      </c>
      <c r="B29" s="1" t="n">
        <v>45099</v>
      </c>
      <c r="C29" s="1" t="n">
        <v>46196</v>
      </c>
      <c r="D29" t="inlineStr">
        <is>
          <t>ÖREBRO LÄN</t>
        </is>
      </c>
      <c r="E29" t="inlineStr">
        <is>
          <t>LINDESBERG</t>
        </is>
      </c>
      <c r="F29" t="inlineStr">
        <is>
          <t>Kyrkan</t>
        </is>
      </c>
      <c r="G29" t="n">
        <v>1.1</v>
      </c>
      <c r="H29" t="n">
        <v>3</v>
      </c>
      <c r="I29" t="n">
        <v>1</v>
      </c>
      <c r="J29" t="n">
        <v>0</v>
      </c>
      <c r="K29" t="n">
        <v>0</v>
      </c>
      <c r="L29" t="n">
        <v>2</v>
      </c>
      <c r="M29" t="n">
        <v>0</v>
      </c>
      <c r="N29" t="n">
        <v>0</v>
      </c>
      <c r="O29" t="n">
        <v>2</v>
      </c>
      <c r="P29" t="n">
        <v>2</v>
      </c>
      <c r="Q29" t="n">
        <v>5</v>
      </c>
      <c r="R29" s="2" t="inlineStr">
        <is>
          <t>Ask
Asknätfjäril
Tibast
Blåsippa
Gullviva</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54332-2021</t>
        </is>
      </c>
      <c r="B30" s="1" t="n">
        <v>44472</v>
      </c>
      <c r="C30" s="1" t="n">
        <v>46196</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48618-2025</t>
        </is>
      </c>
      <c r="B31" s="1" t="n">
        <v>45936</v>
      </c>
      <c r="C31" s="1" t="n">
        <v>46196</v>
      </c>
      <c r="D31" t="inlineStr">
        <is>
          <t>ÖREBRO LÄN</t>
        </is>
      </c>
      <c r="E31" t="inlineStr">
        <is>
          <t>LINDESBERG</t>
        </is>
      </c>
      <c r="F31" t="inlineStr">
        <is>
          <t>Sveaskog</t>
        </is>
      </c>
      <c r="G31" t="n">
        <v>4.2</v>
      </c>
      <c r="H31" t="n">
        <v>1</v>
      </c>
      <c r="I31" t="n">
        <v>0</v>
      </c>
      <c r="J31" t="n">
        <v>3</v>
      </c>
      <c r="K31" t="n">
        <v>0</v>
      </c>
      <c r="L31" t="n">
        <v>0</v>
      </c>
      <c r="M31" t="n">
        <v>0</v>
      </c>
      <c r="N31" t="n">
        <v>0</v>
      </c>
      <c r="O31" t="n">
        <v>3</v>
      </c>
      <c r="P31" t="n">
        <v>0</v>
      </c>
      <c r="Q31" t="n">
        <v>4</v>
      </c>
      <c r="R31" s="2" t="inlineStr">
        <is>
          <t>Dropptaggsvamp
Motaggsvamp
Vedskivlav
Spillkråka</t>
        </is>
      </c>
      <c r="S31">
        <f>HYPERLINK("https://klasma.github.io/Logging_1885/artfynd/A 48618-2025 artfynd.xlsx", "A 48618-2025")</f>
        <v/>
      </c>
      <c r="T31">
        <f>HYPERLINK("https://klasma.github.io/Logging_1885/kartor/A 48618-2025 karta.png", "A 48618-2025")</f>
        <v/>
      </c>
      <c r="V31">
        <f>HYPERLINK("https://klasma.github.io/Logging_1885/klagomål/A 48618-2025 FSC-klagomål.docx", "A 48618-2025")</f>
        <v/>
      </c>
      <c r="W31">
        <f>HYPERLINK("https://klasma.github.io/Logging_1885/klagomålsmail/A 48618-2025 FSC-klagomål mail.docx", "A 48618-2025")</f>
        <v/>
      </c>
      <c r="X31">
        <f>HYPERLINK("https://klasma.github.io/Logging_1885/tillsyn/A 48618-2025 tillsynsbegäran.docx", "A 48618-2025")</f>
        <v/>
      </c>
      <c r="Y31">
        <f>HYPERLINK("https://klasma.github.io/Logging_1885/tillsynsmail/A 48618-2025 tillsynsbegäran mail.docx", "A 48618-2025")</f>
        <v/>
      </c>
      <c r="Z31">
        <f>HYPERLINK("https://klasma.github.io/Logging_1885/fåglar/A 48618-2025 prioriterade fågelarter.docx", "A 48618-2025")</f>
        <v/>
      </c>
    </row>
    <row r="32" ht="15" customHeight="1">
      <c r="A32" t="inlineStr">
        <is>
          <t>A 1475-2025</t>
        </is>
      </c>
      <c r="B32" s="1" t="n">
        <v>45670</v>
      </c>
      <c r="C32" s="1" t="n">
        <v>46196</v>
      </c>
      <c r="D32" t="inlineStr">
        <is>
          <t>ÖREBRO LÄN</t>
        </is>
      </c>
      <c r="E32" t="inlineStr">
        <is>
          <t>LINDESBERG</t>
        </is>
      </c>
      <c r="F32" t="inlineStr">
        <is>
          <t>Sveaskog</t>
        </is>
      </c>
      <c r="G32" t="n">
        <v>0.7</v>
      </c>
      <c r="H32" t="n">
        <v>0</v>
      </c>
      <c r="I32" t="n">
        <v>0</v>
      </c>
      <c r="J32" t="n">
        <v>4</v>
      </c>
      <c r="K32" t="n">
        <v>0</v>
      </c>
      <c r="L32" t="n">
        <v>0</v>
      </c>
      <c r="M32" t="n">
        <v>0</v>
      </c>
      <c r="N32" t="n">
        <v>0</v>
      </c>
      <c r="O32" t="n">
        <v>4</v>
      </c>
      <c r="P32" t="n">
        <v>0</v>
      </c>
      <c r="Q32" t="n">
        <v>4</v>
      </c>
      <c r="R32" s="2" t="inlineStr">
        <is>
          <t>Dropptaggsvamp
Motaggsvamp
Svartvit taggsvamp
Talltaggsvamp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3026-2026</t>
        </is>
      </c>
      <c r="B33" s="1" t="n">
        <v>46038</v>
      </c>
      <c r="C33" s="1" t="n">
        <v>46196</v>
      </c>
      <c r="D33" t="inlineStr">
        <is>
          <t>ÖREBRO LÄN</t>
        </is>
      </c>
      <c r="E33" t="inlineStr">
        <is>
          <t>LINDESBERG</t>
        </is>
      </c>
      <c r="G33" t="n">
        <v>10.3</v>
      </c>
      <c r="H33" t="n">
        <v>0</v>
      </c>
      <c r="I33" t="n">
        <v>0</v>
      </c>
      <c r="J33" t="n">
        <v>3</v>
      </c>
      <c r="K33" t="n">
        <v>1</v>
      </c>
      <c r="L33" t="n">
        <v>0</v>
      </c>
      <c r="M33" t="n">
        <v>0</v>
      </c>
      <c r="N33" t="n">
        <v>0</v>
      </c>
      <c r="O33" t="n">
        <v>4</v>
      </c>
      <c r="P33" t="n">
        <v>1</v>
      </c>
      <c r="Q33" t="n">
        <v>4</v>
      </c>
      <c r="R33" s="2" t="inlineStr">
        <is>
          <t>Gränsticka
Rosenticka
Tallticka
Ullticka</t>
        </is>
      </c>
      <c r="S33">
        <f>HYPERLINK("https://klasma.github.io/Logging_1885/artfynd/A 3026-2026 artfynd.xlsx", "A 3026-2026")</f>
        <v/>
      </c>
      <c r="T33">
        <f>HYPERLINK("https://klasma.github.io/Logging_1885/kartor/A 3026-2026 karta.png", "A 3026-2026")</f>
        <v/>
      </c>
      <c r="V33">
        <f>HYPERLINK("https://klasma.github.io/Logging_1885/klagomål/A 3026-2026 FSC-klagomål.docx", "A 3026-2026")</f>
        <v/>
      </c>
      <c r="W33">
        <f>HYPERLINK("https://klasma.github.io/Logging_1885/klagomålsmail/A 3026-2026 FSC-klagomål mail.docx", "A 3026-2026")</f>
        <v/>
      </c>
      <c r="X33">
        <f>HYPERLINK("https://klasma.github.io/Logging_1885/tillsyn/A 3026-2026 tillsynsbegäran.docx", "A 3026-2026")</f>
        <v/>
      </c>
      <c r="Y33">
        <f>HYPERLINK("https://klasma.github.io/Logging_1885/tillsynsmail/A 3026-2026 tillsynsbegäran mail.docx", "A 3026-2026")</f>
        <v/>
      </c>
    </row>
    <row r="34" ht="15" customHeight="1">
      <c r="A34" t="inlineStr">
        <is>
          <t>A 51851-2025</t>
        </is>
      </c>
      <c r="B34" s="1" t="n">
        <v>45952</v>
      </c>
      <c r="C34" s="1" t="n">
        <v>46196</v>
      </c>
      <c r="D34" t="inlineStr">
        <is>
          <t>ÖREBRO LÄN</t>
        </is>
      </c>
      <c r="E34" t="inlineStr">
        <is>
          <t>LINDESBERG</t>
        </is>
      </c>
      <c r="G34" t="n">
        <v>6.9</v>
      </c>
      <c r="H34" t="n">
        <v>2</v>
      </c>
      <c r="I34" t="n">
        <v>0</v>
      </c>
      <c r="J34" t="n">
        <v>1</v>
      </c>
      <c r="K34" t="n">
        <v>1</v>
      </c>
      <c r="L34" t="n">
        <v>0</v>
      </c>
      <c r="M34" t="n">
        <v>0</v>
      </c>
      <c r="N34" t="n">
        <v>0</v>
      </c>
      <c r="O34" t="n">
        <v>2</v>
      </c>
      <c r="P34" t="n">
        <v>1</v>
      </c>
      <c r="Q34" t="n">
        <v>4</v>
      </c>
      <c r="R34" s="2" t="inlineStr">
        <is>
          <t>Garnlav
Motaggsvamp
Spillkråka
Kungsfågel</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c r="Z34">
        <f>HYPERLINK("https://klasma.github.io/Logging_1885/fåglar/A 51851-2025 prioriterade fågelarter.docx", "A 51851-2025")</f>
        <v/>
      </c>
    </row>
    <row r="35" ht="15" customHeight="1">
      <c r="A35" t="inlineStr">
        <is>
          <t>A 20744-2026</t>
        </is>
      </c>
      <c r="B35" s="1" t="n">
        <v>46141</v>
      </c>
      <c r="C35" s="1" t="n">
        <v>46196</v>
      </c>
      <c r="D35" t="inlineStr">
        <is>
          <t>ÖREBRO LÄN</t>
        </is>
      </c>
      <c r="E35" t="inlineStr">
        <is>
          <t>LINDESBERG</t>
        </is>
      </c>
      <c r="G35" t="n">
        <v>3</v>
      </c>
      <c r="H35" t="n">
        <v>3</v>
      </c>
      <c r="I35" t="n">
        <v>0</v>
      </c>
      <c r="J35" t="n">
        <v>1</v>
      </c>
      <c r="K35" t="n">
        <v>0</v>
      </c>
      <c r="L35" t="n">
        <v>1</v>
      </c>
      <c r="M35" t="n">
        <v>0</v>
      </c>
      <c r="N35" t="n">
        <v>0</v>
      </c>
      <c r="O35" t="n">
        <v>2</v>
      </c>
      <c r="P35" t="n">
        <v>1</v>
      </c>
      <c r="Q35" t="n">
        <v>4</v>
      </c>
      <c r="R35" s="2" t="inlineStr">
        <is>
          <t>Asknätfjäril
Vitfläckig guldvinge
Spillkråka
Grönsiska</t>
        </is>
      </c>
      <c r="S35">
        <f>HYPERLINK("https://klasma.github.io/Logging_1885/artfynd/A 20744-2026 artfynd.xlsx", "A 20744-2026")</f>
        <v/>
      </c>
      <c r="T35">
        <f>HYPERLINK("https://klasma.github.io/Logging_1885/kartor/A 20744-2026 karta.png", "A 20744-2026")</f>
        <v/>
      </c>
      <c r="V35">
        <f>HYPERLINK("https://klasma.github.io/Logging_1885/klagomål/A 20744-2026 FSC-klagomål.docx", "A 20744-2026")</f>
        <v/>
      </c>
      <c r="W35">
        <f>HYPERLINK("https://klasma.github.io/Logging_1885/klagomålsmail/A 20744-2026 FSC-klagomål mail.docx", "A 20744-2026")</f>
        <v/>
      </c>
      <c r="X35">
        <f>HYPERLINK("https://klasma.github.io/Logging_1885/tillsyn/A 20744-2026 tillsynsbegäran.docx", "A 20744-2026")</f>
        <v/>
      </c>
      <c r="Y35">
        <f>HYPERLINK("https://klasma.github.io/Logging_1885/tillsynsmail/A 20744-2026 tillsynsbegäran mail.docx", "A 20744-2026")</f>
        <v/>
      </c>
      <c r="Z35">
        <f>HYPERLINK("https://klasma.github.io/Logging_1885/fåglar/A 20744-2026 prioriterade fågelarter.docx", "A 20744-2026")</f>
        <v/>
      </c>
    </row>
    <row r="36" ht="15" customHeight="1">
      <c r="A36" t="inlineStr">
        <is>
          <t>A 25012-2023</t>
        </is>
      </c>
      <c r="B36" s="1" t="n">
        <v>45085</v>
      </c>
      <c r="C36" s="1" t="n">
        <v>46196</v>
      </c>
      <c r="D36" t="inlineStr">
        <is>
          <t>ÖREBRO LÄN</t>
        </is>
      </c>
      <c r="E36" t="inlineStr">
        <is>
          <t>LINDESBERG</t>
        </is>
      </c>
      <c r="G36" t="n">
        <v>1.1</v>
      </c>
      <c r="H36" t="n">
        <v>1</v>
      </c>
      <c r="I36" t="n">
        <v>2</v>
      </c>
      <c r="J36" t="n">
        <v>2</v>
      </c>
      <c r="K36" t="n">
        <v>0</v>
      </c>
      <c r="L36" t="n">
        <v>0</v>
      </c>
      <c r="M36" t="n">
        <v>0</v>
      </c>
      <c r="N36" t="n">
        <v>0</v>
      </c>
      <c r="O36" t="n">
        <v>2</v>
      </c>
      <c r="P36" t="n">
        <v>0</v>
      </c>
      <c r="Q36" t="n">
        <v>4</v>
      </c>
      <c r="R36" s="2" t="inlineStr">
        <is>
          <t>Dofttaggsvamp
Jungfrulin
Kamjordstjärna
Tvåblad</t>
        </is>
      </c>
      <c r="S36">
        <f>HYPERLINK("https://klasma.github.io/Logging_1885/artfynd/A 25012-2023 artfynd.xlsx", "A 25012-2023")</f>
        <v/>
      </c>
      <c r="T36">
        <f>HYPERLINK("https://klasma.github.io/Logging_1885/kartor/A 25012-2023 karta.png", "A 25012-2023")</f>
        <v/>
      </c>
      <c r="V36">
        <f>HYPERLINK("https://klasma.github.io/Logging_1885/klagomål/A 25012-2023 FSC-klagomål.docx", "A 25012-2023")</f>
        <v/>
      </c>
      <c r="W36">
        <f>HYPERLINK("https://klasma.github.io/Logging_1885/klagomålsmail/A 25012-2023 FSC-klagomål mail.docx", "A 25012-2023")</f>
        <v/>
      </c>
      <c r="X36">
        <f>HYPERLINK("https://klasma.github.io/Logging_1885/tillsyn/A 25012-2023 tillsynsbegäran.docx", "A 25012-2023")</f>
        <v/>
      </c>
      <c r="Y36">
        <f>HYPERLINK("https://klasma.github.io/Logging_1885/tillsynsmail/A 25012-2023 tillsynsbegäran mail.docx", "A 25012-2023")</f>
        <v/>
      </c>
    </row>
    <row r="37" ht="15" customHeight="1">
      <c r="A37" t="inlineStr">
        <is>
          <t>A 33574-2022</t>
        </is>
      </c>
      <c r="B37" s="1" t="n">
        <v>44789</v>
      </c>
      <c r="C37" s="1" t="n">
        <v>46196</v>
      </c>
      <c r="D37" t="inlineStr">
        <is>
          <t>ÖREBRO LÄN</t>
        </is>
      </c>
      <c r="E37" t="inlineStr">
        <is>
          <t>LINDESBERG</t>
        </is>
      </c>
      <c r="G37" t="n">
        <v>11.5</v>
      </c>
      <c r="H37" t="n">
        <v>1</v>
      </c>
      <c r="I37" t="n">
        <v>2</v>
      </c>
      <c r="J37" t="n">
        <v>1</v>
      </c>
      <c r="K37" t="n">
        <v>1</v>
      </c>
      <c r="L37" t="n">
        <v>0</v>
      </c>
      <c r="M37" t="n">
        <v>0</v>
      </c>
      <c r="N37" t="n">
        <v>0</v>
      </c>
      <c r="O37" t="n">
        <v>2</v>
      </c>
      <c r="P37" t="n">
        <v>1</v>
      </c>
      <c r="Q37" t="n">
        <v>4</v>
      </c>
      <c r="R37" s="2" t="inlineStr">
        <is>
          <t>Knärot
Ullticka
Stuplav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54020-2024</t>
        </is>
      </c>
      <c r="B38" s="1" t="n">
        <v>45616</v>
      </c>
      <c r="C38" s="1" t="n">
        <v>46196</v>
      </c>
      <c r="D38" t="inlineStr">
        <is>
          <t>ÖREBRO LÄN</t>
        </is>
      </c>
      <c r="E38" t="inlineStr">
        <is>
          <t>LINDESBERG</t>
        </is>
      </c>
      <c r="G38" t="n">
        <v>2.8</v>
      </c>
      <c r="H38" t="n">
        <v>2</v>
      </c>
      <c r="I38" t="n">
        <v>1</v>
      </c>
      <c r="J38" t="n">
        <v>2</v>
      </c>
      <c r="K38" t="n">
        <v>1</v>
      </c>
      <c r="L38" t="n">
        <v>0</v>
      </c>
      <c r="M38" t="n">
        <v>0</v>
      </c>
      <c r="N38" t="n">
        <v>0</v>
      </c>
      <c r="O38" t="n">
        <v>3</v>
      </c>
      <c r="P38" t="n">
        <v>1</v>
      </c>
      <c r="Q38" t="n">
        <v>4</v>
      </c>
      <c r="R38" s="2" t="inlineStr">
        <is>
          <t>Väddnätfjäril
Mindre hackspett
Skogsklocka
Kambräken</t>
        </is>
      </c>
      <c r="S38">
        <f>HYPERLINK("https://klasma.github.io/Logging_1885/artfynd/A 54020-2024 artfynd.xlsx", "A 54020-2024")</f>
        <v/>
      </c>
      <c r="T38">
        <f>HYPERLINK("https://klasma.github.io/Logging_1885/kartor/A 54020-2024 karta.png", "A 54020-2024")</f>
        <v/>
      </c>
      <c r="V38">
        <f>HYPERLINK("https://klasma.github.io/Logging_1885/klagomål/A 54020-2024 FSC-klagomål.docx", "A 54020-2024")</f>
        <v/>
      </c>
      <c r="W38">
        <f>HYPERLINK("https://klasma.github.io/Logging_1885/klagomålsmail/A 54020-2024 FSC-klagomål mail.docx", "A 54020-2024")</f>
        <v/>
      </c>
      <c r="X38">
        <f>HYPERLINK("https://klasma.github.io/Logging_1885/tillsyn/A 54020-2024 tillsynsbegäran.docx", "A 54020-2024")</f>
        <v/>
      </c>
      <c r="Y38">
        <f>HYPERLINK("https://klasma.github.io/Logging_1885/tillsynsmail/A 54020-2024 tillsynsbegäran mail.docx", "A 54020-2024")</f>
        <v/>
      </c>
      <c r="Z38">
        <f>HYPERLINK("https://klasma.github.io/Logging_1885/fåglar/A 54020-2024 prioriterade fågelarter.docx", "A 54020-2024")</f>
        <v/>
      </c>
    </row>
    <row r="39" ht="15" customHeight="1">
      <c r="A39" t="inlineStr">
        <is>
          <t>A 57803-2021</t>
        </is>
      </c>
      <c r="B39" s="1" t="n">
        <v>44484</v>
      </c>
      <c r="C39" s="1" t="n">
        <v>46196</v>
      </c>
      <c r="D39" t="inlineStr">
        <is>
          <t>ÖREBRO LÄN</t>
        </is>
      </c>
      <c r="E39" t="inlineStr">
        <is>
          <t>LINDESBERG</t>
        </is>
      </c>
      <c r="G39" t="n">
        <v>9.4</v>
      </c>
      <c r="H39" t="n">
        <v>2</v>
      </c>
      <c r="I39" t="n">
        <v>0</v>
      </c>
      <c r="J39" t="n">
        <v>2</v>
      </c>
      <c r="K39" t="n">
        <v>0</v>
      </c>
      <c r="L39" t="n">
        <v>0</v>
      </c>
      <c r="M39" t="n">
        <v>0</v>
      </c>
      <c r="N39" t="n">
        <v>0</v>
      </c>
      <c r="O39" t="n">
        <v>2</v>
      </c>
      <c r="P39" t="n">
        <v>0</v>
      </c>
      <c r="Q39" t="n">
        <v>3</v>
      </c>
      <c r="R39" s="2" t="inlineStr">
        <is>
          <t>Motaggsvamp
Talltita
Tjäder</t>
        </is>
      </c>
      <c r="S39">
        <f>HYPERLINK("https://klasma.github.io/Logging_1885/artfynd/A 57803-2021 artfynd.xlsx", "A 57803-2021")</f>
        <v/>
      </c>
      <c r="T39">
        <f>HYPERLINK("https://klasma.github.io/Logging_1885/kartor/A 57803-2021 karta.png", "A 57803-2021")</f>
        <v/>
      </c>
      <c r="V39">
        <f>HYPERLINK("https://klasma.github.io/Logging_1885/klagomål/A 57803-2021 FSC-klagomål.docx", "A 57803-2021")</f>
        <v/>
      </c>
      <c r="W39">
        <f>HYPERLINK("https://klasma.github.io/Logging_1885/klagomålsmail/A 57803-2021 FSC-klagomål mail.docx", "A 57803-2021")</f>
        <v/>
      </c>
      <c r="X39">
        <f>HYPERLINK("https://klasma.github.io/Logging_1885/tillsyn/A 57803-2021 tillsynsbegäran.docx", "A 57803-2021")</f>
        <v/>
      </c>
      <c r="Y39">
        <f>HYPERLINK("https://klasma.github.io/Logging_1885/tillsynsmail/A 57803-2021 tillsynsbegäran mail.docx", "A 57803-2021")</f>
        <v/>
      </c>
      <c r="Z39">
        <f>HYPERLINK("https://klasma.github.io/Logging_1885/fåglar/A 57803-2021 prioriterade fågelarter.docx", "A 57803-2021")</f>
        <v/>
      </c>
    </row>
    <row r="40" ht="15" customHeight="1">
      <c r="A40" t="inlineStr">
        <is>
          <t>A 57319-2025</t>
        </is>
      </c>
      <c r="B40" s="1" t="n">
        <v>45980</v>
      </c>
      <c r="C40" s="1" t="n">
        <v>46196</v>
      </c>
      <c r="D40" t="inlineStr">
        <is>
          <t>ÖREBRO LÄN</t>
        </is>
      </c>
      <c r="E40" t="inlineStr">
        <is>
          <t>LINDESBERG</t>
        </is>
      </c>
      <c r="F40" t="inlineStr">
        <is>
          <t>Sveaskog</t>
        </is>
      </c>
      <c r="G40" t="n">
        <v>15.3</v>
      </c>
      <c r="H40" t="n">
        <v>1</v>
      </c>
      <c r="I40" t="n">
        <v>1</v>
      </c>
      <c r="J40" t="n">
        <v>2</v>
      </c>
      <c r="K40" t="n">
        <v>0</v>
      </c>
      <c r="L40" t="n">
        <v>0</v>
      </c>
      <c r="M40" t="n">
        <v>0</v>
      </c>
      <c r="N40" t="n">
        <v>0</v>
      </c>
      <c r="O40" t="n">
        <v>2</v>
      </c>
      <c r="P40" t="n">
        <v>0</v>
      </c>
      <c r="Q40" t="n">
        <v>3</v>
      </c>
      <c r="R40" s="2" t="inlineStr">
        <is>
          <t>Dropptaggsvamp
Gropticka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21986-2023</t>
        </is>
      </c>
      <c r="B41" s="1" t="n">
        <v>45068</v>
      </c>
      <c r="C41" s="1" t="n">
        <v>46196</v>
      </c>
      <c r="D41" t="inlineStr">
        <is>
          <t>ÖREBRO LÄN</t>
        </is>
      </c>
      <c r="E41" t="inlineStr">
        <is>
          <t>LINDESBERG</t>
        </is>
      </c>
      <c r="G41" t="n">
        <v>1.4</v>
      </c>
      <c r="H41" t="n">
        <v>2</v>
      </c>
      <c r="I41" t="n">
        <v>0</v>
      </c>
      <c r="J41" t="n">
        <v>0</v>
      </c>
      <c r="K41" t="n">
        <v>1</v>
      </c>
      <c r="L41" t="n">
        <v>2</v>
      </c>
      <c r="M41" t="n">
        <v>0</v>
      </c>
      <c r="N41" t="n">
        <v>0</v>
      </c>
      <c r="O41" t="n">
        <v>3</v>
      </c>
      <c r="P41" t="n">
        <v>3</v>
      </c>
      <c r="Q41" t="n">
        <v>3</v>
      </c>
      <c r="R41" s="2" t="inlineStr">
        <is>
          <t>Ask
Asknätfjäril
Väddnätfjäril</t>
        </is>
      </c>
      <c r="S41">
        <f>HYPERLINK("https://klasma.github.io/Logging_1885/artfynd/A 21986-2023 artfynd.xlsx", "A 21986-2023")</f>
        <v/>
      </c>
      <c r="T41">
        <f>HYPERLINK("https://klasma.github.io/Logging_1885/kartor/A 21986-2023 karta.png", "A 21986-2023")</f>
        <v/>
      </c>
      <c r="V41">
        <f>HYPERLINK("https://klasma.github.io/Logging_1885/klagomål/A 21986-2023 FSC-klagomål.docx", "A 21986-2023")</f>
        <v/>
      </c>
      <c r="W41">
        <f>HYPERLINK("https://klasma.github.io/Logging_1885/klagomålsmail/A 21986-2023 FSC-klagomål mail.docx", "A 21986-2023")</f>
        <v/>
      </c>
      <c r="X41">
        <f>HYPERLINK("https://klasma.github.io/Logging_1885/tillsyn/A 21986-2023 tillsynsbegäran.docx", "A 21986-2023")</f>
        <v/>
      </c>
      <c r="Y41">
        <f>HYPERLINK("https://klasma.github.io/Logging_1885/tillsynsmail/A 21986-2023 tillsynsbegäran mail.docx", "A 21986-2023")</f>
        <v/>
      </c>
    </row>
    <row r="42" ht="15" customHeight="1">
      <c r="A42" t="inlineStr">
        <is>
          <t>A 18180-2026</t>
        </is>
      </c>
      <c r="B42" s="1" t="n">
        <v>46125</v>
      </c>
      <c r="C42" s="1" t="n">
        <v>46196</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46196</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50989-2023</t>
        </is>
      </c>
      <c r="B44" s="1" t="n">
        <v>45218</v>
      </c>
      <c r="C44" s="1" t="n">
        <v>46196</v>
      </c>
      <c r="D44" t="inlineStr">
        <is>
          <t>ÖREBRO LÄN</t>
        </is>
      </c>
      <c r="E44" t="inlineStr">
        <is>
          <t>LINDESBERG</t>
        </is>
      </c>
      <c r="F44" t="inlineStr">
        <is>
          <t>Sveaskog</t>
        </is>
      </c>
      <c r="G44" t="n">
        <v>3.4</v>
      </c>
      <c r="H44" t="n">
        <v>0</v>
      </c>
      <c r="I44" t="n">
        <v>0</v>
      </c>
      <c r="J44" t="n">
        <v>3</v>
      </c>
      <c r="K44" t="n">
        <v>0</v>
      </c>
      <c r="L44" t="n">
        <v>0</v>
      </c>
      <c r="M44" t="n">
        <v>0</v>
      </c>
      <c r="N44" t="n">
        <v>0</v>
      </c>
      <c r="O44" t="n">
        <v>3</v>
      </c>
      <c r="P44" t="n">
        <v>0</v>
      </c>
      <c r="Q44" t="n">
        <v>3</v>
      </c>
      <c r="R44" s="2" t="inlineStr">
        <is>
          <t>Dropptaggsvamp
Grantaggsvamp
Svartvit taggsvamp</t>
        </is>
      </c>
      <c r="S44">
        <f>HYPERLINK("https://klasma.github.io/Logging_1885/artfynd/A 50989-2023 artfynd.xlsx", "A 50989-2023")</f>
        <v/>
      </c>
      <c r="T44">
        <f>HYPERLINK("https://klasma.github.io/Logging_1885/kartor/A 50989-2023 karta.png", "A 50989-2023")</f>
        <v/>
      </c>
      <c r="V44">
        <f>HYPERLINK("https://klasma.github.io/Logging_1885/klagomål/A 50989-2023 FSC-klagomål.docx", "A 50989-2023")</f>
        <v/>
      </c>
      <c r="W44">
        <f>HYPERLINK("https://klasma.github.io/Logging_1885/klagomålsmail/A 50989-2023 FSC-klagomål mail.docx", "A 50989-2023")</f>
        <v/>
      </c>
      <c r="X44">
        <f>HYPERLINK("https://klasma.github.io/Logging_1885/tillsyn/A 50989-2023 tillsynsbegäran.docx", "A 50989-2023")</f>
        <v/>
      </c>
      <c r="Y44">
        <f>HYPERLINK("https://klasma.github.io/Logging_1885/tillsynsmail/A 50989-2023 tillsynsbegäran mail.docx", "A 50989-2023")</f>
        <v/>
      </c>
    </row>
    <row r="45" ht="15" customHeight="1">
      <c r="A45" t="inlineStr">
        <is>
          <t>A 20364-2026</t>
        </is>
      </c>
      <c r="B45" s="1" t="n">
        <v>46139</v>
      </c>
      <c r="C45" s="1" t="n">
        <v>46196</v>
      </c>
      <c r="D45" t="inlineStr">
        <is>
          <t>ÖREBRO LÄN</t>
        </is>
      </c>
      <c r="E45" t="inlineStr">
        <is>
          <t>LINDESBERG</t>
        </is>
      </c>
      <c r="G45" t="n">
        <v>8.199999999999999</v>
      </c>
      <c r="H45" t="n">
        <v>2</v>
      </c>
      <c r="I45" t="n">
        <v>1</v>
      </c>
      <c r="J45" t="n">
        <v>1</v>
      </c>
      <c r="K45" t="n">
        <v>0</v>
      </c>
      <c r="L45" t="n">
        <v>0</v>
      </c>
      <c r="M45" t="n">
        <v>0</v>
      </c>
      <c r="N45" t="n">
        <v>0</v>
      </c>
      <c r="O45" t="n">
        <v>1</v>
      </c>
      <c r="P45" t="n">
        <v>0</v>
      </c>
      <c r="Q45" t="n">
        <v>3</v>
      </c>
      <c r="R45" s="2" t="inlineStr">
        <is>
          <t>Tretåig hackspett
Bronshjon
Spillkråka</t>
        </is>
      </c>
      <c r="S45">
        <f>HYPERLINK("https://klasma.github.io/Logging_1885/artfynd/A 20364-2026 artfynd.xlsx", "A 20364-2026")</f>
        <v/>
      </c>
      <c r="T45">
        <f>HYPERLINK("https://klasma.github.io/Logging_1885/kartor/A 20364-2026 karta.png", "A 20364-2026")</f>
        <v/>
      </c>
      <c r="V45">
        <f>HYPERLINK("https://klasma.github.io/Logging_1885/klagomål/A 20364-2026 FSC-klagomål.docx", "A 20364-2026")</f>
        <v/>
      </c>
      <c r="W45">
        <f>HYPERLINK("https://klasma.github.io/Logging_1885/klagomålsmail/A 20364-2026 FSC-klagomål mail.docx", "A 20364-2026")</f>
        <v/>
      </c>
      <c r="X45">
        <f>HYPERLINK("https://klasma.github.io/Logging_1885/tillsyn/A 20364-2026 tillsynsbegäran.docx", "A 20364-2026")</f>
        <v/>
      </c>
      <c r="Y45">
        <f>HYPERLINK("https://klasma.github.io/Logging_1885/tillsynsmail/A 20364-2026 tillsynsbegäran mail.docx", "A 20364-2026")</f>
        <v/>
      </c>
      <c r="Z45">
        <f>HYPERLINK("https://klasma.github.io/Logging_1885/fåglar/A 20364-2026 prioriterade fågelarter.docx", "A 20364-2026")</f>
        <v/>
      </c>
    </row>
    <row r="46" ht="15" customHeight="1">
      <c r="A46" t="inlineStr">
        <is>
          <t>A 43452-2021</t>
        </is>
      </c>
      <c r="B46" s="1" t="n">
        <v>44432</v>
      </c>
      <c r="C46" s="1" t="n">
        <v>46196</v>
      </c>
      <c r="D46" t="inlineStr">
        <is>
          <t>ÖREBRO LÄN</t>
        </is>
      </c>
      <c r="E46" t="inlineStr">
        <is>
          <t>LINDESBERG</t>
        </is>
      </c>
      <c r="F46" t="inlineStr">
        <is>
          <t>Sveaskog</t>
        </is>
      </c>
      <c r="G46" t="n">
        <v>1.1</v>
      </c>
      <c r="H46" t="n">
        <v>1</v>
      </c>
      <c r="I46" t="n">
        <v>1</v>
      </c>
      <c r="J46" t="n">
        <v>0</v>
      </c>
      <c r="K46" t="n">
        <v>1</v>
      </c>
      <c r="L46" t="n">
        <v>0</v>
      </c>
      <c r="M46" t="n">
        <v>0</v>
      </c>
      <c r="N46" t="n">
        <v>0</v>
      </c>
      <c r="O46" t="n">
        <v>1</v>
      </c>
      <c r="P46" t="n">
        <v>1</v>
      </c>
      <c r="Q46" t="n">
        <v>2</v>
      </c>
      <c r="R46" s="2" t="inlineStr">
        <is>
          <t>Knärot
Bågpraktmossa</t>
        </is>
      </c>
      <c r="S46">
        <f>HYPERLINK("https://klasma.github.io/Logging_1885/artfynd/A 43452-2021 artfynd.xlsx", "A 43452-2021")</f>
        <v/>
      </c>
      <c r="T46">
        <f>HYPERLINK("https://klasma.github.io/Logging_1885/kartor/A 43452-2021 karta.png", "A 43452-2021")</f>
        <v/>
      </c>
      <c r="U46">
        <f>HYPERLINK("https://klasma.github.io/Logging_1885/knärot/A 43452-2021 karta knärot.png", "A 43452-2021")</f>
        <v/>
      </c>
      <c r="V46">
        <f>HYPERLINK("https://klasma.github.io/Logging_1885/klagomål/A 43452-2021 FSC-klagomål.docx", "A 43452-2021")</f>
        <v/>
      </c>
      <c r="W46">
        <f>HYPERLINK("https://klasma.github.io/Logging_1885/klagomålsmail/A 43452-2021 FSC-klagomål mail.docx", "A 43452-2021")</f>
        <v/>
      </c>
      <c r="X46">
        <f>HYPERLINK("https://klasma.github.io/Logging_1885/tillsyn/A 43452-2021 tillsynsbegäran.docx", "A 43452-2021")</f>
        <v/>
      </c>
      <c r="Y46">
        <f>HYPERLINK("https://klasma.github.io/Logging_1885/tillsynsmail/A 43452-2021 tillsynsbegäran mail.docx", "A 43452-2021")</f>
        <v/>
      </c>
    </row>
    <row r="47" ht="15" customHeight="1">
      <c r="A47" t="inlineStr">
        <is>
          <t>A 42629-2025</t>
        </is>
      </c>
      <c r="B47" s="1" t="n">
        <v>45905</v>
      </c>
      <c r="C47" s="1" t="n">
        <v>46196</v>
      </c>
      <c r="D47" t="inlineStr">
        <is>
          <t>ÖREBRO LÄN</t>
        </is>
      </c>
      <c r="E47" t="inlineStr">
        <is>
          <t>LINDESBERG</t>
        </is>
      </c>
      <c r="F47" t="inlineStr">
        <is>
          <t>Sveaskog</t>
        </is>
      </c>
      <c r="G47" t="n">
        <v>4.7</v>
      </c>
      <c r="H47" t="n">
        <v>2</v>
      </c>
      <c r="I47" t="n">
        <v>0</v>
      </c>
      <c r="J47" t="n">
        <v>0</v>
      </c>
      <c r="K47" t="n">
        <v>0</v>
      </c>
      <c r="L47" t="n">
        <v>0</v>
      </c>
      <c r="M47" t="n">
        <v>0</v>
      </c>
      <c r="N47" t="n">
        <v>0</v>
      </c>
      <c r="O47" t="n">
        <v>0</v>
      </c>
      <c r="P47" t="n">
        <v>0</v>
      </c>
      <c r="Q47" t="n">
        <v>2</v>
      </c>
      <c r="R47" s="2" t="inlineStr">
        <is>
          <t>Tjäder
Orre</t>
        </is>
      </c>
      <c r="S47">
        <f>HYPERLINK("https://klasma.github.io/Logging_1885/artfynd/A 42629-2025 artfynd.xlsx", "A 42629-2025")</f>
        <v/>
      </c>
      <c r="T47">
        <f>HYPERLINK("https://klasma.github.io/Logging_1885/kartor/A 42629-2025 karta.png", "A 42629-2025")</f>
        <v/>
      </c>
      <c r="V47">
        <f>HYPERLINK("https://klasma.github.io/Logging_1885/klagomål/A 42629-2025 FSC-klagomål.docx", "A 42629-2025")</f>
        <v/>
      </c>
      <c r="W47">
        <f>HYPERLINK("https://klasma.github.io/Logging_1885/klagomålsmail/A 42629-2025 FSC-klagomål mail.docx", "A 42629-2025")</f>
        <v/>
      </c>
      <c r="X47">
        <f>HYPERLINK("https://klasma.github.io/Logging_1885/tillsyn/A 42629-2025 tillsynsbegäran.docx", "A 42629-2025")</f>
        <v/>
      </c>
      <c r="Y47">
        <f>HYPERLINK("https://klasma.github.io/Logging_1885/tillsynsmail/A 42629-2025 tillsynsbegäran mail.docx", "A 42629-2025")</f>
        <v/>
      </c>
      <c r="Z47">
        <f>HYPERLINK("https://klasma.github.io/Logging_1885/fåglar/A 42629-2025 prioriterade fågelarter.docx", "A 42629-2025")</f>
        <v/>
      </c>
    </row>
    <row r="48" ht="15" customHeight="1">
      <c r="A48" t="inlineStr">
        <is>
          <t>A 61129-2024</t>
        </is>
      </c>
      <c r="B48" s="1" t="n">
        <v>45645</v>
      </c>
      <c r="C48" s="1" t="n">
        <v>46196</v>
      </c>
      <c r="D48" t="inlineStr">
        <is>
          <t>ÖREBRO LÄN</t>
        </is>
      </c>
      <c r="E48" t="inlineStr">
        <is>
          <t>LINDESBERG</t>
        </is>
      </c>
      <c r="F48" t="inlineStr">
        <is>
          <t>Sveaskog</t>
        </is>
      </c>
      <c r="G48" t="n">
        <v>6.6</v>
      </c>
      <c r="H48" t="n">
        <v>1</v>
      </c>
      <c r="I48" t="n">
        <v>1</v>
      </c>
      <c r="J48" t="n">
        <v>1</v>
      </c>
      <c r="K48" t="n">
        <v>0</v>
      </c>
      <c r="L48" t="n">
        <v>0</v>
      </c>
      <c r="M48" t="n">
        <v>0</v>
      </c>
      <c r="N48" t="n">
        <v>0</v>
      </c>
      <c r="O48" t="n">
        <v>1</v>
      </c>
      <c r="P48" t="n">
        <v>0</v>
      </c>
      <c r="Q48" t="n">
        <v>2</v>
      </c>
      <c r="R48" s="2" t="inlineStr">
        <is>
          <t>Tretåig hackspett
Bollvitmossa</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8175-2026</t>
        </is>
      </c>
      <c r="B49" s="1" t="n">
        <v>46064</v>
      </c>
      <c r="C49" s="1" t="n">
        <v>46196</v>
      </c>
      <c r="D49" t="inlineStr">
        <is>
          <t>ÖREBRO LÄN</t>
        </is>
      </c>
      <c r="E49" t="inlineStr">
        <is>
          <t>LINDESBERG</t>
        </is>
      </c>
      <c r="G49" t="n">
        <v>2.4</v>
      </c>
      <c r="H49" t="n">
        <v>1</v>
      </c>
      <c r="I49" t="n">
        <v>1</v>
      </c>
      <c r="J49" t="n">
        <v>0</v>
      </c>
      <c r="K49" t="n">
        <v>0</v>
      </c>
      <c r="L49" t="n">
        <v>0</v>
      </c>
      <c r="M49" t="n">
        <v>0</v>
      </c>
      <c r="N49" t="n">
        <v>0</v>
      </c>
      <c r="O49" t="n">
        <v>0</v>
      </c>
      <c r="P49" t="n">
        <v>0</v>
      </c>
      <c r="Q49" t="n">
        <v>2</v>
      </c>
      <c r="R49" s="2" t="inlineStr">
        <is>
          <t>Svart trolldruva
Blåsippa</t>
        </is>
      </c>
      <c r="S49">
        <f>HYPERLINK("https://klasma.github.io/Logging_1885/artfynd/A 8175-2026 artfynd.xlsx", "A 8175-2026")</f>
        <v/>
      </c>
      <c r="T49">
        <f>HYPERLINK("https://klasma.github.io/Logging_1885/kartor/A 8175-2026 karta.png", "A 8175-2026")</f>
        <v/>
      </c>
      <c r="V49">
        <f>HYPERLINK("https://klasma.github.io/Logging_1885/klagomål/A 8175-2026 FSC-klagomål.docx", "A 8175-2026")</f>
        <v/>
      </c>
      <c r="W49">
        <f>HYPERLINK("https://klasma.github.io/Logging_1885/klagomålsmail/A 8175-2026 FSC-klagomål mail.docx", "A 8175-2026")</f>
        <v/>
      </c>
      <c r="X49">
        <f>HYPERLINK("https://klasma.github.io/Logging_1885/tillsyn/A 8175-2026 tillsynsbegäran.docx", "A 8175-2026")</f>
        <v/>
      </c>
      <c r="Y49">
        <f>HYPERLINK("https://klasma.github.io/Logging_1885/tillsynsmail/A 8175-2026 tillsynsbegäran mail.docx", "A 8175-2026")</f>
        <v/>
      </c>
    </row>
    <row r="50" ht="15" customHeight="1">
      <c r="A50" t="inlineStr">
        <is>
          <t>A 16103-2026</t>
        </is>
      </c>
      <c r="B50" s="1" t="n">
        <v>46108</v>
      </c>
      <c r="C50" s="1" t="n">
        <v>46196</v>
      </c>
      <c r="D50" t="inlineStr">
        <is>
          <t>ÖREBRO LÄN</t>
        </is>
      </c>
      <c r="E50" t="inlineStr">
        <is>
          <t>LINDESBERG</t>
        </is>
      </c>
      <c r="G50" t="n">
        <v>5.5</v>
      </c>
      <c r="H50" t="n">
        <v>1</v>
      </c>
      <c r="I50" t="n">
        <v>0</v>
      </c>
      <c r="J50" t="n">
        <v>0</v>
      </c>
      <c r="K50" t="n">
        <v>1</v>
      </c>
      <c r="L50" t="n">
        <v>0</v>
      </c>
      <c r="M50" t="n">
        <v>0</v>
      </c>
      <c r="N50" t="n">
        <v>0</v>
      </c>
      <c r="O50" t="n">
        <v>1</v>
      </c>
      <c r="P50" t="n">
        <v>1</v>
      </c>
      <c r="Q50" t="n">
        <v>2</v>
      </c>
      <c r="R50" s="2" t="inlineStr">
        <is>
          <t>Garnlav
Spillkråka</t>
        </is>
      </c>
      <c r="S50">
        <f>HYPERLINK("https://klasma.github.io/Logging_1885/artfynd/A 16103-2026 artfynd.xlsx", "A 16103-2026")</f>
        <v/>
      </c>
      <c r="T50">
        <f>HYPERLINK("https://klasma.github.io/Logging_1885/kartor/A 16103-2026 karta.png", "A 16103-2026")</f>
        <v/>
      </c>
      <c r="V50">
        <f>HYPERLINK("https://klasma.github.io/Logging_1885/klagomål/A 16103-2026 FSC-klagomål.docx", "A 16103-2026")</f>
        <v/>
      </c>
      <c r="W50">
        <f>HYPERLINK("https://klasma.github.io/Logging_1885/klagomålsmail/A 16103-2026 FSC-klagomål mail.docx", "A 16103-2026")</f>
        <v/>
      </c>
      <c r="X50">
        <f>HYPERLINK("https://klasma.github.io/Logging_1885/tillsyn/A 16103-2026 tillsynsbegäran.docx", "A 16103-2026")</f>
        <v/>
      </c>
      <c r="Y50">
        <f>HYPERLINK("https://klasma.github.io/Logging_1885/tillsynsmail/A 16103-2026 tillsynsbegäran mail.docx", "A 16103-2026")</f>
        <v/>
      </c>
      <c r="Z50">
        <f>HYPERLINK("https://klasma.github.io/Logging_1885/fåglar/A 16103-2026 prioriterade fågelarter.docx", "A 16103-2026")</f>
        <v/>
      </c>
    </row>
    <row r="51" ht="15" customHeight="1">
      <c r="A51" t="inlineStr">
        <is>
          <t>A 25096-2026</t>
        </is>
      </c>
      <c r="B51" s="1" t="n">
        <v>46175</v>
      </c>
      <c r="C51" s="1" t="n">
        <v>46196</v>
      </c>
      <c r="D51" t="inlineStr">
        <is>
          <t>ÖREBRO LÄN</t>
        </is>
      </c>
      <c r="E51" t="inlineStr">
        <is>
          <t>LINDESBERG</t>
        </is>
      </c>
      <c r="F51" t="inlineStr">
        <is>
          <t>Sveaskog</t>
        </is>
      </c>
      <c r="G51" t="n">
        <v>6.7</v>
      </c>
      <c r="H51" t="n">
        <v>1</v>
      </c>
      <c r="I51" t="n">
        <v>0</v>
      </c>
      <c r="J51" t="n">
        <v>1</v>
      </c>
      <c r="K51" t="n">
        <v>0</v>
      </c>
      <c r="L51" t="n">
        <v>0</v>
      </c>
      <c r="M51" t="n">
        <v>0</v>
      </c>
      <c r="N51" t="n">
        <v>0</v>
      </c>
      <c r="O51" t="n">
        <v>1</v>
      </c>
      <c r="P51" t="n">
        <v>0</v>
      </c>
      <c r="Q51" t="n">
        <v>2</v>
      </c>
      <c r="R51" s="2" t="inlineStr">
        <is>
          <t>Lunglav
Revlummer</t>
        </is>
      </c>
      <c r="S51">
        <f>HYPERLINK("https://klasma.github.io/Logging_1885/artfynd/A 25096-2026 artfynd.xlsx", "A 25096-2026")</f>
        <v/>
      </c>
      <c r="T51">
        <f>HYPERLINK("https://klasma.github.io/Logging_1885/kartor/A 25096-2026 karta.png", "A 25096-2026")</f>
        <v/>
      </c>
      <c r="V51">
        <f>HYPERLINK("https://klasma.github.io/Logging_1885/klagomål/A 25096-2026 FSC-klagomål.docx", "A 25096-2026")</f>
        <v/>
      </c>
      <c r="W51">
        <f>HYPERLINK("https://klasma.github.io/Logging_1885/klagomålsmail/A 25096-2026 FSC-klagomål mail.docx", "A 25096-2026")</f>
        <v/>
      </c>
      <c r="X51">
        <f>HYPERLINK("https://klasma.github.io/Logging_1885/tillsyn/A 25096-2026 tillsynsbegäran.docx", "A 25096-2026")</f>
        <v/>
      </c>
      <c r="Y51">
        <f>HYPERLINK("https://klasma.github.io/Logging_1885/tillsynsmail/A 25096-2026 tillsynsbegäran mail.docx", "A 25096-2026")</f>
        <v/>
      </c>
    </row>
    <row r="52" ht="15" customHeight="1">
      <c r="A52" t="inlineStr">
        <is>
          <t>A 27732-2026</t>
        </is>
      </c>
      <c r="B52" s="1" t="n">
        <v>46191</v>
      </c>
      <c r="C52" s="1" t="n">
        <v>46196</v>
      </c>
      <c r="D52" t="inlineStr">
        <is>
          <t>ÖREBRO LÄN</t>
        </is>
      </c>
      <c r="E52" t="inlineStr">
        <is>
          <t>LINDESBERG</t>
        </is>
      </c>
      <c r="F52" t="inlineStr">
        <is>
          <t>Sveaskog</t>
        </is>
      </c>
      <c r="G52" t="n">
        <v>5.9</v>
      </c>
      <c r="H52" t="n">
        <v>2</v>
      </c>
      <c r="I52" t="n">
        <v>0</v>
      </c>
      <c r="J52" t="n">
        <v>0</v>
      </c>
      <c r="K52" t="n">
        <v>0</v>
      </c>
      <c r="L52" t="n">
        <v>0</v>
      </c>
      <c r="M52" t="n">
        <v>0</v>
      </c>
      <c r="N52" t="n">
        <v>0</v>
      </c>
      <c r="O52" t="n">
        <v>0</v>
      </c>
      <c r="P52" t="n">
        <v>0</v>
      </c>
      <c r="Q52" t="n">
        <v>2</v>
      </c>
      <c r="R52" s="2" t="inlineStr">
        <is>
          <t>Fläcknycklar
Revlummer</t>
        </is>
      </c>
      <c r="S52">
        <f>HYPERLINK("https://klasma.github.io/Logging_1885/artfynd/A 27732-2026 artfynd.xlsx", "A 27732-2026")</f>
        <v/>
      </c>
      <c r="T52">
        <f>HYPERLINK("https://klasma.github.io/Logging_1885/kartor/A 27732-2026 karta.png", "A 27732-2026")</f>
        <v/>
      </c>
      <c r="V52">
        <f>HYPERLINK("https://klasma.github.io/Logging_1885/klagomål/A 27732-2026 FSC-klagomål.docx", "A 27732-2026")</f>
        <v/>
      </c>
      <c r="W52">
        <f>HYPERLINK("https://klasma.github.io/Logging_1885/klagomålsmail/A 27732-2026 FSC-klagomål mail.docx", "A 27732-2026")</f>
        <v/>
      </c>
      <c r="X52">
        <f>HYPERLINK("https://klasma.github.io/Logging_1885/tillsyn/A 27732-2026 tillsynsbegäran.docx", "A 27732-2026")</f>
        <v/>
      </c>
      <c r="Y52">
        <f>HYPERLINK("https://klasma.github.io/Logging_1885/tillsynsmail/A 27732-2026 tillsynsbegäran mail.docx", "A 27732-2026")</f>
        <v/>
      </c>
    </row>
    <row r="53" ht="15" customHeight="1">
      <c r="A53" t="inlineStr">
        <is>
          <t>A 14190-2024</t>
        </is>
      </c>
      <c r="B53" s="1" t="n">
        <v>45393</v>
      </c>
      <c r="C53" s="1" t="n">
        <v>46196</v>
      </c>
      <c r="D53" t="inlineStr">
        <is>
          <t>ÖREBRO LÄN</t>
        </is>
      </c>
      <c r="E53" t="inlineStr">
        <is>
          <t>LINDESBERG</t>
        </is>
      </c>
      <c r="F53" t="inlineStr">
        <is>
          <t>Sveaskog</t>
        </is>
      </c>
      <c r="G53" t="n">
        <v>2.5</v>
      </c>
      <c r="H53" t="n">
        <v>2</v>
      </c>
      <c r="I53" t="n">
        <v>0</v>
      </c>
      <c r="J53" t="n">
        <v>1</v>
      </c>
      <c r="K53" t="n">
        <v>0</v>
      </c>
      <c r="L53" t="n">
        <v>0</v>
      </c>
      <c r="M53" t="n">
        <v>0</v>
      </c>
      <c r="N53" t="n">
        <v>0</v>
      </c>
      <c r="O53" t="n">
        <v>1</v>
      </c>
      <c r="P53" t="n">
        <v>0</v>
      </c>
      <c r="Q53" t="n">
        <v>2</v>
      </c>
      <c r="R53" s="2" t="inlineStr">
        <is>
          <t>Nordfladdermus
Vattenfladdermus</t>
        </is>
      </c>
      <c r="S53">
        <f>HYPERLINK("https://klasma.github.io/Logging_1885/artfynd/A 14190-2024 artfynd.xlsx", "A 14190-2024")</f>
        <v/>
      </c>
      <c r="T53">
        <f>HYPERLINK("https://klasma.github.io/Logging_1885/kartor/A 14190-2024 karta.png", "A 14190-2024")</f>
        <v/>
      </c>
      <c r="V53">
        <f>HYPERLINK("https://klasma.github.io/Logging_1885/klagomål/A 14190-2024 FSC-klagomål.docx", "A 14190-2024")</f>
        <v/>
      </c>
      <c r="W53">
        <f>HYPERLINK("https://klasma.github.io/Logging_1885/klagomålsmail/A 14190-2024 FSC-klagomål mail.docx", "A 14190-2024")</f>
        <v/>
      </c>
      <c r="X53">
        <f>HYPERLINK("https://klasma.github.io/Logging_1885/tillsyn/A 14190-2024 tillsynsbegäran.docx", "A 14190-2024")</f>
        <v/>
      </c>
      <c r="Y53">
        <f>HYPERLINK("https://klasma.github.io/Logging_1885/tillsynsmail/A 14190-2024 tillsynsbegäran mail.docx", "A 14190-2024")</f>
        <v/>
      </c>
    </row>
    <row r="54" ht="15" customHeight="1">
      <c r="A54" t="inlineStr">
        <is>
          <t>A 57795-2021</t>
        </is>
      </c>
      <c r="B54" s="1" t="n">
        <v>44484</v>
      </c>
      <c r="C54" s="1" t="n">
        <v>46196</v>
      </c>
      <c r="D54" t="inlineStr">
        <is>
          <t>ÖREBRO LÄN</t>
        </is>
      </c>
      <c r="E54" t="inlineStr">
        <is>
          <t>LINDESBERG</t>
        </is>
      </c>
      <c r="G54" t="n">
        <v>39.4</v>
      </c>
      <c r="H54" t="n">
        <v>0</v>
      </c>
      <c r="I54" t="n">
        <v>0</v>
      </c>
      <c r="J54" t="n">
        <v>2</v>
      </c>
      <c r="K54" t="n">
        <v>0</v>
      </c>
      <c r="L54" t="n">
        <v>0</v>
      </c>
      <c r="M54" t="n">
        <v>0</v>
      </c>
      <c r="N54" t="n">
        <v>0</v>
      </c>
      <c r="O54" t="n">
        <v>2</v>
      </c>
      <c r="P54" t="n">
        <v>0</v>
      </c>
      <c r="Q54" t="n">
        <v>2</v>
      </c>
      <c r="R54" s="2" t="inlineStr">
        <is>
          <t>Dropptaggsvamp
Motaggsvamp</t>
        </is>
      </c>
      <c r="S54">
        <f>HYPERLINK("https://klasma.github.io/Logging_1885/artfynd/A 57795-2021 artfynd.xlsx", "A 57795-2021")</f>
        <v/>
      </c>
      <c r="T54">
        <f>HYPERLINK("https://klasma.github.io/Logging_1885/kartor/A 57795-2021 karta.png", "A 57795-2021")</f>
        <v/>
      </c>
      <c r="V54">
        <f>HYPERLINK("https://klasma.github.io/Logging_1885/klagomål/A 57795-2021 FSC-klagomål.docx", "A 57795-2021")</f>
        <v/>
      </c>
      <c r="W54">
        <f>HYPERLINK("https://klasma.github.io/Logging_1885/klagomålsmail/A 57795-2021 FSC-klagomål mail.docx", "A 57795-2021")</f>
        <v/>
      </c>
      <c r="X54">
        <f>HYPERLINK("https://klasma.github.io/Logging_1885/tillsyn/A 57795-2021 tillsynsbegäran.docx", "A 57795-2021")</f>
        <v/>
      </c>
      <c r="Y54">
        <f>HYPERLINK("https://klasma.github.io/Logging_1885/tillsynsmail/A 57795-2021 tillsynsbegäran mail.docx", "A 57795-2021")</f>
        <v/>
      </c>
    </row>
    <row r="55" ht="15" customHeight="1">
      <c r="A55" t="inlineStr">
        <is>
          <t>A 32713-2021</t>
        </is>
      </c>
      <c r="B55" s="1" t="n">
        <v>44375</v>
      </c>
      <c r="C55" s="1" t="n">
        <v>46196</v>
      </c>
      <c r="D55" t="inlineStr">
        <is>
          <t>ÖREBRO LÄN</t>
        </is>
      </c>
      <c r="E55" t="inlineStr">
        <is>
          <t>LINDESBERG</t>
        </is>
      </c>
      <c r="F55" t="inlineStr">
        <is>
          <t>Kommuner</t>
        </is>
      </c>
      <c r="G55" t="n">
        <v>3.9</v>
      </c>
      <c r="H55" t="n">
        <v>0</v>
      </c>
      <c r="I55" t="n">
        <v>0</v>
      </c>
      <c r="J55" t="n">
        <v>0</v>
      </c>
      <c r="K55" t="n">
        <v>0</v>
      </c>
      <c r="L55" t="n">
        <v>1</v>
      </c>
      <c r="M55" t="n">
        <v>0</v>
      </c>
      <c r="N55" t="n">
        <v>0</v>
      </c>
      <c r="O55" t="n">
        <v>1</v>
      </c>
      <c r="P55" t="n">
        <v>1</v>
      </c>
      <c r="Q55" t="n">
        <v>1</v>
      </c>
      <c r="R55" s="2" t="inlineStr">
        <is>
          <t>Ask</t>
        </is>
      </c>
      <c r="S55">
        <f>HYPERLINK("https://klasma.github.io/Logging_1885/artfynd/A 32713-2021 artfynd.xlsx", "A 32713-2021")</f>
        <v/>
      </c>
      <c r="T55">
        <f>HYPERLINK("https://klasma.github.io/Logging_1885/kartor/A 32713-2021 karta.png", "A 32713-2021")</f>
        <v/>
      </c>
      <c r="V55">
        <f>HYPERLINK("https://klasma.github.io/Logging_1885/klagomål/A 32713-2021 FSC-klagomål.docx", "A 32713-2021")</f>
        <v/>
      </c>
      <c r="W55">
        <f>HYPERLINK("https://klasma.github.io/Logging_1885/klagomålsmail/A 32713-2021 FSC-klagomål mail.docx", "A 32713-2021")</f>
        <v/>
      </c>
      <c r="X55">
        <f>HYPERLINK("https://klasma.github.io/Logging_1885/tillsyn/A 32713-2021 tillsynsbegäran.docx", "A 32713-2021")</f>
        <v/>
      </c>
      <c r="Y55">
        <f>HYPERLINK("https://klasma.github.io/Logging_1885/tillsynsmail/A 32713-2021 tillsynsbegäran mail.docx", "A 32713-2021")</f>
        <v/>
      </c>
    </row>
    <row r="56" ht="15" customHeight="1">
      <c r="A56" t="inlineStr">
        <is>
          <t>A 64874-2021</t>
        </is>
      </c>
      <c r="B56" s="1" t="n">
        <v>44512</v>
      </c>
      <c r="C56" s="1" t="n">
        <v>46196</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46196</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46196</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46196</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50777-2025</t>
        </is>
      </c>
      <c r="B60" s="1" t="n">
        <v>45946</v>
      </c>
      <c r="C60" s="1" t="n">
        <v>46196</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v>
      </c>
      <c r="C61" s="1" t="n">
        <v>46196</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50765-2025</t>
        </is>
      </c>
      <c r="B62" s="1" t="n">
        <v>45946</v>
      </c>
      <c r="C62" s="1" t="n">
        <v>46196</v>
      </c>
      <c r="D62" t="inlineStr">
        <is>
          <t>ÖREBRO LÄN</t>
        </is>
      </c>
      <c r="E62" t="inlineStr">
        <is>
          <t>LINDESBERG</t>
        </is>
      </c>
      <c r="F62" t="inlineStr">
        <is>
          <t>Sveaskog</t>
        </is>
      </c>
      <c r="G62" t="n">
        <v>9.300000000000001</v>
      </c>
      <c r="H62" t="n">
        <v>0</v>
      </c>
      <c r="I62" t="n">
        <v>0</v>
      </c>
      <c r="J62" t="n">
        <v>0</v>
      </c>
      <c r="K62" t="n">
        <v>1</v>
      </c>
      <c r="L62" t="n">
        <v>0</v>
      </c>
      <c r="M62" t="n">
        <v>0</v>
      </c>
      <c r="N62" t="n">
        <v>0</v>
      </c>
      <c r="O62" t="n">
        <v>1</v>
      </c>
      <c r="P62" t="n">
        <v>1</v>
      </c>
      <c r="Q62" t="n">
        <v>1</v>
      </c>
      <c r="R62" s="2" t="inlineStr">
        <is>
          <t>Rotfingersvamp</t>
        </is>
      </c>
      <c r="S62">
        <f>HYPERLINK("https://klasma.github.io/Logging_1885/artfynd/A 50765-2025 artfynd.xlsx", "A 50765-2025")</f>
        <v/>
      </c>
      <c r="T62">
        <f>HYPERLINK("https://klasma.github.io/Logging_1885/kartor/A 50765-2025 karta.png", "A 50765-2025")</f>
        <v/>
      </c>
      <c r="V62">
        <f>HYPERLINK("https://klasma.github.io/Logging_1885/klagomål/A 50765-2025 FSC-klagomål.docx", "A 50765-2025")</f>
        <v/>
      </c>
      <c r="W62">
        <f>HYPERLINK("https://klasma.github.io/Logging_1885/klagomålsmail/A 50765-2025 FSC-klagomål mail.docx", "A 50765-2025")</f>
        <v/>
      </c>
      <c r="X62">
        <f>HYPERLINK("https://klasma.github.io/Logging_1885/tillsyn/A 50765-2025 tillsynsbegäran.docx", "A 50765-2025")</f>
        <v/>
      </c>
      <c r="Y62">
        <f>HYPERLINK("https://klasma.github.io/Logging_1885/tillsynsmail/A 50765-2025 tillsynsbegäran mail.docx", "A 50765-2025")</f>
        <v/>
      </c>
    </row>
    <row r="63" ht="15" customHeight="1">
      <c r="A63" t="inlineStr">
        <is>
          <t>A 50768-2025</t>
        </is>
      </c>
      <c r="B63" s="1" t="n">
        <v>45946</v>
      </c>
      <c r="C63" s="1" t="n">
        <v>46196</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52337-2025</t>
        </is>
      </c>
      <c r="B64" s="1" t="n">
        <v>45953</v>
      </c>
      <c r="C64" s="1" t="n">
        <v>46196</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46647-2024</t>
        </is>
      </c>
      <c r="B65" s="1" t="n">
        <v>45583</v>
      </c>
      <c r="C65" s="1" t="n">
        <v>46196</v>
      </c>
      <c r="D65" t="inlineStr">
        <is>
          <t>ÖREBRO LÄN</t>
        </is>
      </c>
      <c r="E65" t="inlineStr">
        <is>
          <t>LINDESBERG</t>
        </is>
      </c>
      <c r="F65" t="inlineStr">
        <is>
          <t>Sveaskog</t>
        </is>
      </c>
      <c r="G65" t="n">
        <v>3.1</v>
      </c>
      <c r="H65" t="n">
        <v>0</v>
      </c>
      <c r="I65" t="n">
        <v>0</v>
      </c>
      <c r="J65" t="n">
        <v>0</v>
      </c>
      <c r="K65" t="n">
        <v>1</v>
      </c>
      <c r="L65" t="n">
        <v>0</v>
      </c>
      <c r="M65" t="n">
        <v>0</v>
      </c>
      <c r="N65" t="n">
        <v>0</v>
      </c>
      <c r="O65" t="n">
        <v>1</v>
      </c>
      <c r="P65" t="n">
        <v>1</v>
      </c>
      <c r="Q65" t="n">
        <v>1</v>
      </c>
      <c r="R65" s="2" t="inlineStr">
        <is>
          <t>Treuddsaftonfly</t>
        </is>
      </c>
      <c r="S65">
        <f>HYPERLINK("https://klasma.github.io/Logging_1885/artfynd/A 46647-2024 artfynd.xlsx", "A 46647-2024")</f>
        <v/>
      </c>
      <c r="T65">
        <f>HYPERLINK("https://klasma.github.io/Logging_1885/kartor/A 46647-2024 karta.png", "A 46647-2024")</f>
        <v/>
      </c>
      <c r="V65">
        <f>HYPERLINK("https://klasma.github.io/Logging_1885/klagomål/A 46647-2024 FSC-klagomål.docx", "A 46647-2024")</f>
        <v/>
      </c>
      <c r="W65">
        <f>HYPERLINK("https://klasma.github.io/Logging_1885/klagomålsmail/A 46647-2024 FSC-klagomål mail.docx", "A 46647-2024")</f>
        <v/>
      </c>
      <c r="X65">
        <f>HYPERLINK("https://klasma.github.io/Logging_1885/tillsyn/A 46647-2024 tillsynsbegäran.docx", "A 46647-2024")</f>
        <v/>
      </c>
      <c r="Y65">
        <f>HYPERLINK("https://klasma.github.io/Logging_1885/tillsynsmail/A 46647-2024 tillsynsbegäran mail.docx", "A 46647-2024")</f>
        <v/>
      </c>
    </row>
    <row r="66" ht="15" customHeight="1">
      <c r="A66" t="inlineStr">
        <is>
          <t>A 40357-2025</t>
        </is>
      </c>
      <c r="B66" s="1" t="n">
        <v>45895</v>
      </c>
      <c r="C66" s="1" t="n">
        <v>46196</v>
      </c>
      <c r="D66" t="inlineStr">
        <is>
          <t>ÖREBRO LÄN</t>
        </is>
      </c>
      <c r="E66" t="inlineStr">
        <is>
          <t>LINDESBERG</t>
        </is>
      </c>
      <c r="F66" t="inlineStr">
        <is>
          <t>Sveaskog</t>
        </is>
      </c>
      <c r="G66" t="n">
        <v>2.7</v>
      </c>
      <c r="H66" t="n">
        <v>1</v>
      </c>
      <c r="I66" t="n">
        <v>0</v>
      </c>
      <c r="J66" t="n">
        <v>0</v>
      </c>
      <c r="K66" t="n">
        <v>0</v>
      </c>
      <c r="L66" t="n">
        <v>0</v>
      </c>
      <c r="M66" t="n">
        <v>0</v>
      </c>
      <c r="N66" t="n">
        <v>0</v>
      </c>
      <c r="O66" t="n">
        <v>0</v>
      </c>
      <c r="P66" t="n">
        <v>0</v>
      </c>
      <c r="Q66" t="n">
        <v>1</v>
      </c>
      <c r="R66" s="2" t="inlineStr">
        <is>
          <t>Orre</t>
        </is>
      </c>
      <c r="S66">
        <f>HYPERLINK("https://klasma.github.io/Logging_1885/artfynd/A 40357-2025 artfynd.xlsx", "A 40357-2025")</f>
        <v/>
      </c>
      <c r="T66">
        <f>HYPERLINK("https://klasma.github.io/Logging_1885/kartor/A 40357-2025 karta.png", "A 40357-2025")</f>
        <v/>
      </c>
      <c r="V66">
        <f>HYPERLINK("https://klasma.github.io/Logging_1885/klagomål/A 40357-2025 FSC-klagomål.docx", "A 40357-2025")</f>
        <v/>
      </c>
      <c r="W66">
        <f>HYPERLINK("https://klasma.github.io/Logging_1885/klagomålsmail/A 40357-2025 FSC-klagomål mail.docx", "A 40357-2025")</f>
        <v/>
      </c>
      <c r="X66">
        <f>HYPERLINK("https://klasma.github.io/Logging_1885/tillsyn/A 40357-2025 tillsynsbegäran.docx", "A 40357-2025")</f>
        <v/>
      </c>
      <c r="Y66">
        <f>HYPERLINK("https://klasma.github.io/Logging_1885/tillsynsmail/A 40357-2025 tillsynsbegäran mail.docx", "A 40357-2025")</f>
        <v/>
      </c>
      <c r="Z66">
        <f>HYPERLINK("https://klasma.github.io/Logging_1885/fåglar/A 40357-2025 prioriterade fågelarter.docx", "A 40357-2025")</f>
        <v/>
      </c>
    </row>
    <row r="67" ht="15" customHeight="1">
      <c r="A67" t="inlineStr">
        <is>
          <t>A 57320-2025</t>
        </is>
      </c>
      <c r="B67" s="1" t="n">
        <v>45980</v>
      </c>
      <c r="C67" s="1" t="n">
        <v>46196</v>
      </c>
      <c r="D67" t="inlineStr">
        <is>
          <t>ÖREBRO LÄN</t>
        </is>
      </c>
      <c r="E67" t="inlineStr">
        <is>
          <t>LINDESBERG</t>
        </is>
      </c>
      <c r="F67" t="inlineStr">
        <is>
          <t>Sveaskog</t>
        </is>
      </c>
      <c r="G67" t="n">
        <v>2.8</v>
      </c>
      <c r="H67" t="n">
        <v>0</v>
      </c>
      <c r="I67" t="n">
        <v>0</v>
      </c>
      <c r="J67" t="n">
        <v>1</v>
      </c>
      <c r="K67" t="n">
        <v>0</v>
      </c>
      <c r="L67" t="n">
        <v>0</v>
      </c>
      <c r="M67" t="n">
        <v>0</v>
      </c>
      <c r="N67" t="n">
        <v>0</v>
      </c>
      <c r="O67" t="n">
        <v>1</v>
      </c>
      <c r="P67" t="n">
        <v>0</v>
      </c>
      <c r="Q67" t="n">
        <v>1</v>
      </c>
      <c r="R67" s="2" t="inlineStr">
        <is>
          <t>Dropptaggsvamp</t>
        </is>
      </c>
      <c r="S67">
        <f>HYPERLINK("https://klasma.github.io/Logging_1885/artfynd/A 57320-2025 artfynd.xlsx", "A 57320-2025")</f>
        <v/>
      </c>
      <c r="T67">
        <f>HYPERLINK("https://klasma.github.io/Logging_1885/kartor/A 57320-2025 karta.png", "A 57320-2025")</f>
        <v/>
      </c>
      <c r="V67">
        <f>HYPERLINK("https://klasma.github.io/Logging_1885/klagomål/A 57320-2025 FSC-klagomål.docx", "A 57320-2025")</f>
        <v/>
      </c>
      <c r="W67">
        <f>HYPERLINK("https://klasma.github.io/Logging_1885/klagomålsmail/A 57320-2025 FSC-klagomål mail.docx", "A 57320-2025")</f>
        <v/>
      </c>
      <c r="X67">
        <f>HYPERLINK("https://klasma.github.io/Logging_1885/tillsyn/A 57320-2025 tillsynsbegäran.docx", "A 57320-2025")</f>
        <v/>
      </c>
      <c r="Y67">
        <f>HYPERLINK("https://klasma.github.io/Logging_1885/tillsynsmail/A 57320-2025 tillsynsbegäran mail.docx", "A 57320-2025")</f>
        <v/>
      </c>
    </row>
    <row r="68" ht="15" customHeight="1">
      <c r="A68" t="inlineStr">
        <is>
          <t>A 57363-2025</t>
        </is>
      </c>
      <c r="B68" s="1" t="n">
        <v>45980</v>
      </c>
      <c r="C68" s="1" t="n">
        <v>46196</v>
      </c>
      <c r="D68" t="inlineStr">
        <is>
          <t>ÖREBRO LÄN</t>
        </is>
      </c>
      <c r="E68" t="inlineStr">
        <is>
          <t>LINDESBERG</t>
        </is>
      </c>
      <c r="F68" t="inlineStr">
        <is>
          <t>Sveaskog</t>
        </is>
      </c>
      <c r="G68" t="n">
        <v>2</v>
      </c>
      <c r="H68" t="n">
        <v>0</v>
      </c>
      <c r="I68" t="n">
        <v>0</v>
      </c>
      <c r="J68" t="n">
        <v>1</v>
      </c>
      <c r="K68" t="n">
        <v>0</v>
      </c>
      <c r="L68" t="n">
        <v>0</v>
      </c>
      <c r="M68" t="n">
        <v>0</v>
      </c>
      <c r="N68" t="n">
        <v>0</v>
      </c>
      <c r="O68" t="n">
        <v>1</v>
      </c>
      <c r="P68" t="n">
        <v>0</v>
      </c>
      <c r="Q68" t="n">
        <v>1</v>
      </c>
      <c r="R68" s="2" t="inlineStr">
        <is>
          <t>Barrviolspindling</t>
        </is>
      </c>
      <c r="S68">
        <f>HYPERLINK("https://klasma.github.io/Logging_1885/artfynd/A 57363-2025 artfynd.xlsx", "A 57363-2025")</f>
        <v/>
      </c>
      <c r="T68">
        <f>HYPERLINK("https://klasma.github.io/Logging_1885/kartor/A 57363-2025 karta.png", "A 57363-2025")</f>
        <v/>
      </c>
      <c r="V68">
        <f>HYPERLINK("https://klasma.github.io/Logging_1885/klagomål/A 57363-2025 FSC-klagomål.docx", "A 57363-2025")</f>
        <v/>
      </c>
      <c r="W68">
        <f>HYPERLINK("https://klasma.github.io/Logging_1885/klagomålsmail/A 57363-2025 FSC-klagomål mail.docx", "A 57363-2025")</f>
        <v/>
      </c>
      <c r="X68">
        <f>HYPERLINK("https://klasma.github.io/Logging_1885/tillsyn/A 57363-2025 tillsynsbegäran.docx", "A 57363-2025")</f>
        <v/>
      </c>
      <c r="Y68">
        <f>HYPERLINK("https://klasma.github.io/Logging_1885/tillsynsmail/A 57363-2025 tillsynsbegäran mail.docx", "A 57363-2025")</f>
        <v/>
      </c>
    </row>
    <row r="69" ht="15" customHeight="1">
      <c r="A69" t="inlineStr">
        <is>
          <t>A 57362-2025</t>
        </is>
      </c>
      <c r="B69" s="1" t="n">
        <v>45980</v>
      </c>
      <c r="C69" s="1" t="n">
        <v>46196</v>
      </c>
      <c r="D69" t="inlineStr">
        <is>
          <t>ÖREBRO LÄN</t>
        </is>
      </c>
      <c r="E69" t="inlineStr">
        <is>
          <t>LINDESBERG</t>
        </is>
      </c>
      <c r="F69" t="inlineStr">
        <is>
          <t>Sveaskog</t>
        </is>
      </c>
      <c r="G69" t="n">
        <v>1.2</v>
      </c>
      <c r="H69" t="n">
        <v>0</v>
      </c>
      <c r="I69" t="n">
        <v>1</v>
      </c>
      <c r="J69" t="n">
        <v>0</v>
      </c>
      <c r="K69" t="n">
        <v>0</v>
      </c>
      <c r="L69" t="n">
        <v>0</v>
      </c>
      <c r="M69" t="n">
        <v>0</v>
      </c>
      <c r="N69" t="n">
        <v>0</v>
      </c>
      <c r="O69" t="n">
        <v>0</v>
      </c>
      <c r="P69" t="n">
        <v>0</v>
      </c>
      <c r="Q69" t="n">
        <v>1</v>
      </c>
      <c r="R69" s="2" t="inlineStr">
        <is>
          <t>Svart trolldruva</t>
        </is>
      </c>
      <c r="S69">
        <f>HYPERLINK("https://klasma.github.io/Logging_1885/artfynd/A 57362-2025 artfynd.xlsx", "A 57362-2025")</f>
        <v/>
      </c>
      <c r="T69">
        <f>HYPERLINK("https://klasma.github.io/Logging_1885/kartor/A 57362-2025 karta.png", "A 57362-2025")</f>
        <v/>
      </c>
      <c r="V69">
        <f>HYPERLINK("https://klasma.github.io/Logging_1885/klagomål/A 57362-2025 FSC-klagomål.docx", "A 57362-2025")</f>
        <v/>
      </c>
      <c r="W69">
        <f>HYPERLINK("https://klasma.github.io/Logging_1885/klagomålsmail/A 57362-2025 FSC-klagomål mail.docx", "A 57362-2025")</f>
        <v/>
      </c>
      <c r="X69">
        <f>HYPERLINK("https://klasma.github.io/Logging_1885/tillsyn/A 57362-2025 tillsynsbegäran.docx", "A 57362-2025")</f>
        <v/>
      </c>
      <c r="Y69">
        <f>HYPERLINK("https://klasma.github.io/Logging_1885/tillsynsmail/A 57362-2025 tillsynsbegäran mail.docx", "A 57362-2025")</f>
        <v/>
      </c>
    </row>
    <row r="70" ht="15" customHeight="1">
      <c r="A70" t="inlineStr">
        <is>
          <t>A 45467-2025</t>
        </is>
      </c>
      <c r="B70" s="1" t="n">
        <v>45922</v>
      </c>
      <c r="C70" s="1" t="n">
        <v>46196</v>
      </c>
      <c r="D70" t="inlineStr">
        <is>
          <t>ÖREBRO LÄN</t>
        </is>
      </c>
      <c r="E70" t="inlineStr">
        <is>
          <t>LINDESBERG</t>
        </is>
      </c>
      <c r="F70" t="inlineStr">
        <is>
          <t>Sveaskog</t>
        </is>
      </c>
      <c r="G70" t="n">
        <v>2</v>
      </c>
      <c r="H70" t="n">
        <v>0</v>
      </c>
      <c r="I70" t="n">
        <v>0</v>
      </c>
      <c r="J70" t="n">
        <v>1</v>
      </c>
      <c r="K70" t="n">
        <v>0</v>
      </c>
      <c r="L70" t="n">
        <v>0</v>
      </c>
      <c r="M70" t="n">
        <v>0</v>
      </c>
      <c r="N70" t="n">
        <v>0</v>
      </c>
      <c r="O70" t="n">
        <v>1</v>
      </c>
      <c r="P70" t="n">
        <v>0</v>
      </c>
      <c r="Q70" t="n">
        <v>1</v>
      </c>
      <c r="R70" s="2" t="inlineStr">
        <is>
          <t>Svartvit taggsvamp</t>
        </is>
      </c>
      <c r="S70">
        <f>HYPERLINK("https://klasma.github.io/Logging_1885/artfynd/A 45467-2025 artfynd.xlsx", "A 45467-2025")</f>
        <v/>
      </c>
      <c r="T70">
        <f>HYPERLINK("https://klasma.github.io/Logging_1885/kartor/A 45467-2025 karta.png", "A 45467-2025")</f>
        <v/>
      </c>
      <c r="V70">
        <f>HYPERLINK("https://klasma.github.io/Logging_1885/klagomål/A 45467-2025 FSC-klagomål.docx", "A 45467-2025")</f>
        <v/>
      </c>
      <c r="W70">
        <f>HYPERLINK("https://klasma.github.io/Logging_1885/klagomålsmail/A 45467-2025 FSC-klagomål mail.docx", "A 45467-2025")</f>
        <v/>
      </c>
      <c r="X70">
        <f>HYPERLINK("https://klasma.github.io/Logging_1885/tillsyn/A 45467-2025 tillsynsbegäran.docx", "A 45467-2025")</f>
        <v/>
      </c>
      <c r="Y70">
        <f>HYPERLINK("https://klasma.github.io/Logging_1885/tillsynsmail/A 45467-2025 tillsynsbegäran mail.docx", "A 45467-2025")</f>
        <v/>
      </c>
    </row>
    <row r="71" ht="15" customHeight="1">
      <c r="A71" t="inlineStr">
        <is>
          <t>A 48956-2025</t>
        </is>
      </c>
      <c r="B71" s="1" t="n">
        <v>45937</v>
      </c>
      <c r="C71" s="1" t="n">
        <v>46196</v>
      </c>
      <c r="D71" t="inlineStr">
        <is>
          <t>ÖREBRO LÄN</t>
        </is>
      </c>
      <c r="E71" t="inlineStr">
        <is>
          <t>LINDESBERG</t>
        </is>
      </c>
      <c r="F71" t="inlineStr">
        <is>
          <t>Sveaskog</t>
        </is>
      </c>
      <c r="G71" t="n">
        <v>2.7</v>
      </c>
      <c r="H71" t="n">
        <v>1</v>
      </c>
      <c r="I71" t="n">
        <v>0</v>
      </c>
      <c r="J71" t="n">
        <v>0</v>
      </c>
      <c r="K71" t="n">
        <v>0</v>
      </c>
      <c r="L71" t="n">
        <v>0</v>
      </c>
      <c r="M71" t="n">
        <v>0</v>
      </c>
      <c r="N71" t="n">
        <v>0</v>
      </c>
      <c r="O71" t="n">
        <v>0</v>
      </c>
      <c r="P71" t="n">
        <v>0</v>
      </c>
      <c r="Q71" t="n">
        <v>1</v>
      </c>
      <c r="R71" s="2" t="inlineStr">
        <is>
          <t>Mattlummer</t>
        </is>
      </c>
      <c r="S71">
        <f>HYPERLINK("https://klasma.github.io/Logging_1885/artfynd/A 48956-2025 artfynd.xlsx", "A 48956-2025")</f>
        <v/>
      </c>
      <c r="T71">
        <f>HYPERLINK("https://klasma.github.io/Logging_1885/kartor/A 48956-2025 karta.png", "A 48956-2025")</f>
        <v/>
      </c>
      <c r="V71">
        <f>HYPERLINK("https://klasma.github.io/Logging_1885/klagomål/A 48956-2025 FSC-klagomål.docx", "A 48956-2025")</f>
        <v/>
      </c>
      <c r="W71">
        <f>HYPERLINK("https://klasma.github.io/Logging_1885/klagomålsmail/A 48956-2025 FSC-klagomål mail.docx", "A 48956-2025")</f>
        <v/>
      </c>
      <c r="X71">
        <f>HYPERLINK("https://klasma.github.io/Logging_1885/tillsyn/A 48956-2025 tillsynsbegäran.docx", "A 48956-2025")</f>
        <v/>
      </c>
      <c r="Y71">
        <f>HYPERLINK("https://klasma.github.io/Logging_1885/tillsynsmail/A 48956-2025 tillsynsbegäran mail.docx", "A 48956-2025")</f>
        <v/>
      </c>
    </row>
    <row r="72" ht="15" customHeight="1">
      <c r="A72" t="inlineStr">
        <is>
          <t>A 50086-2025</t>
        </is>
      </c>
      <c r="B72" s="1" t="n">
        <v>45943</v>
      </c>
      <c r="C72" s="1" t="n">
        <v>46196</v>
      </c>
      <c r="D72" t="inlineStr">
        <is>
          <t>ÖREBRO LÄN</t>
        </is>
      </c>
      <c r="E72" t="inlineStr">
        <is>
          <t>LINDESBERG</t>
        </is>
      </c>
      <c r="F72" t="inlineStr">
        <is>
          <t>Sveaskog</t>
        </is>
      </c>
      <c r="G72" t="n">
        <v>3.6</v>
      </c>
      <c r="H72" t="n">
        <v>1</v>
      </c>
      <c r="I72" t="n">
        <v>0</v>
      </c>
      <c r="J72" t="n">
        <v>0</v>
      </c>
      <c r="K72" t="n">
        <v>0</v>
      </c>
      <c r="L72" t="n">
        <v>0</v>
      </c>
      <c r="M72" t="n">
        <v>0</v>
      </c>
      <c r="N72" t="n">
        <v>0</v>
      </c>
      <c r="O72" t="n">
        <v>0</v>
      </c>
      <c r="P72" t="n">
        <v>0</v>
      </c>
      <c r="Q72" t="n">
        <v>1</v>
      </c>
      <c r="R72" s="2" t="inlineStr">
        <is>
          <t>Dubbelnycklar</t>
        </is>
      </c>
      <c r="S72">
        <f>HYPERLINK("https://klasma.github.io/Logging_1885/artfynd/A 50086-2025 artfynd.xlsx", "A 50086-2025")</f>
        <v/>
      </c>
      <c r="T72">
        <f>HYPERLINK("https://klasma.github.io/Logging_1885/kartor/A 50086-2025 karta.png", "A 50086-2025")</f>
        <v/>
      </c>
      <c r="V72">
        <f>HYPERLINK("https://klasma.github.io/Logging_1885/klagomål/A 50086-2025 FSC-klagomål.docx", "A 50086-2025")</f>
        <v/>
      </c>
      <c r="W72">
        <f>HYPERLINK("https://klasma.github.io/Logging_1885/klagomålsmail/A 50086-2025 FSC-klagomål mail.docx", "A 50086-2025")</f>
        <v/>
      </c>
      <c r="X72">
        <f>HYPERLINK("https://klasma.github.io/Logging_1885/tillsyn/A 50086-2025 tillsynsbegäran.docx", "A 50086-2025")</f>
        <v/>
      </c>
      <c r="Y72">
        <f>HYPERLINK("https://klasma.github.io/Logging_1885/tillsynsmail/A 50086-2025 tillsynsbegäran mail.docx", "A 50086-2025")</f>
        <v/>
      </c>
    </row>
    <row r="73" ht="15" customHeight="1">
      <c r="A73" t="inlineStr">
        <is>
          <t>A 31052-2025</t>
        </is>
      </c>
      <c r="B73" s="1" t="n">
        <v>45832</v>
      </c>
      <c r="C73" s="1" t="n">
        <v>46196</v>
      </c>
      <c r="D73" t="inlineStr">
        <is>
          <t>ÖREBRO LÄN</t>
        </is>
      </c>
      <c r="E73" t="inlineStr">
        <is>
          <t>LINDESBERG</t>
        </is>
      </c>
      <c r="F73" t="inlineStr">
        <is>
          <t>Sveaskog</t>
        </is>
      </c>
      <c r="G73" t="n">
        <v>1.1</v>
      </c>
      <c r="H73" t="n">
        <v>1</v>
      </c>
      <c r="I73" t="n">
        <v>0</v>
      </c>
      <c r="J73" t="n">
        <v>0</v>
      </c>
      <c r="K73" t="n">
        <v>0</v>
      </c>
      <c r="L73" t="n">
        <v>0</v>
      </c>
      <c r="M73" t="n">
        <v>0</v>
      </c>
      <c r="N73" t="n">
        <v>0</v>
      </c>
      <c r="O73" t="n">
        <v>0</v>
      </c>
      <c r="P73" t="n">
        <v>0</v>
      </c>
      <c r="Q73" t="n">
        <v>1</v>
      </c>
      <c r="R73" s="2" t="inlineStr">
        <is>
          <t>Fläcknycklar</t>
        </is>
      </c>
      <c r="S73">
        <f>HYPERLINK("https://klasma.github.io/Logging_1885/artfynd/A 31052-2025 artfynd.xlsx", "A 31052-2025")</f>
        <v/>
      </c>
      <c r="T73">
        <f>HYPERLINK("https://klasma.github.io/Logging_1885/kartor/A 31052-2025 karta.png", "A 31052-2025")</f>
        <v/>
      </c>
      <c r="V73">
        <f>HYPERLINK("https://klasma.github.io/Logging_1885/klagomål/A 31052-2025 FSC-klagomål.docx", "A 31052-2025")</f>
        <v/>
      </c>
      <c r="W73">
        <f>HYPERLINK("https://klasma.github.io/Logging_1885/klagomålsmail/A 31052-2025 FSC-klagomål mail.docx", "A 31052-2025")</f>
        <v/>
      </c>
      <c r="X73">
        <f>HYPERLINK("https://klasma.github.io/Logging_1885/tillsyn/A 31052-2025 tillsynsbegäran.docx", "A 31052-2025")</f>
        <v/>
      </c>
      <c r="Y73">
        <f>HYPERLINK("https://klasma.github.io/Logging_1885/tillsynsmail/A 31052-2025 tillsynsbegäran mail.docx", "A 31052-2025")</f>
        <v/>
      </c>
    </row>
    <row r="74" ht="15" customHeight="1">
      <c r="A74" t="inlineStr">
        <is>
          <t>A 36669-2024</t>
        </is>
      </c>
      <c r="B74" s="1" t="n">
        <v>45537</v>
      </c>
      <c r="C74" s="1" t="n">
        <v>46196</v>
      </c>
      <c r="D74" t="inlineStr">
        <is>
          <t>ÖREBRO LÄN</t>
        </is>
      </c>
      <c r="E74" t="inlineStr">
        <is>
          <t>LINDESBERG</t>
        </is>
      </c>
      <c r="F74" t="inlineStr">
        <is>
          <t>Sveaskog</t>
        </is>
      </c>
      <c r="G74" t="n">
        <v>2</v>
      </c>
      <c r="H74" t="n">
        <v>0</v>
      </c>
      <c r="I74" t="n">
        <v>0</v>
      </c>
      <c r="J74" t="n">
        <v>0</v>
      </c>
      <c r="K74" t="n">
        <v>1</v>
      </c>
      <c r="L74" t="n">
        <v>0</v>
      </c>
      <c r="M74" t="n">
        <v>0</v>
      </c>
      <c r="N74" t="n">
        <v>0</v>
      </c>
      <c r="O74" t="n">
        <v>1</v>
      </c>
      <c r="P74" t="n">
        <v>1</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11953-2024</t>
        </is>
      </c>
      <c r="B75" s="1" t="n">
        <v>45376</v>
      </c>
      <c r="C75" s="1" t="n">
        <v>46196</v>
      </c>
      <c r="D75" t="inlineStr">
        <is>
          <t>ÖREBRO LÄN</t>
        </is>
      </c>
      <c r="E75" t="inlineStr">
        <is>
          <t>LINDESBERG</t>
        </is>
      </c>
      <c r="G75" t="n">
        <v>5.7</v>
      </c>
      <c r="H75" t="n">
        <v>1</v>
      </c>
      <c r="I75" t="n">
        <v>0</v>
      </c>
      <c r="J75" t="n">
        <v>0</v>
      </c>
      <c r="K75" t="n">
        <v>0</v>
      </c>
      <c r="L75" t="n">
        <v>0</v>
      </c>
      <c r="M75" t="n">
        <v>0</v>
      </c>
      <c r="N75" t="n">
        <v>0</v>
      </c>
      <c r="O75" t="n">
        <v>0</v>
      </c>
      <c r="P75" t="n">
        <v>0</v>
      </c>
      <c r="Q75" t="n">
        <v>1</v>
      </c>
      <c r="R75" s="2" t="inlineStr">
        <is>
          <t>Utter</t>
        </is>
      </c>
      <c r="S75">
        <f>HYPERLINK("https://klasma.github.io/Logging_1885/artfynd/A 11953-2024 artfynd.xlsx", "A 11953-2024")</f>
        <v/>
      </c>
      <c r="T75">
        <f>HYPERLINK("https://klasma.github.io/Logging_1885/kartor/A 11953-2024 karta.png", "A 11953-2024")</f>
        <v/>
      </c>
      <c r="V75">
        <f>HYPERLINK("https://klasma.github.io/Logging_1885/klagomål/A 11953-2024 FSC-klagomål.docx", "A 11953-2024")</f>
        <v/>
      </c>
      <c r="W75">
        <f>HYPERLINK("https://klasma.github.io/Logging_1885/klagomålsmail/A 11953-2024 FSC-klagomål mail.docx", "A 11953-2024")</f>
        <v/>
      </c>
      <c r="X75">
        <f>HYPERLINK("https://klasma.github.io/Logging_1885/tillsyn/A 11953-2024 tillsynsbegäran.docx", "A 11953-2024")</f>
        <v/>
      </c>
      <c r="Y75">
        <f>HYPERLINK("https://klasma.github.io/Logging_1885/tillsynsmail/A 11953-2024 tillsynsbegäran mail.docx", "A 11953-2024")</f>
        <v/>
      </c>
    </row>
    <row r="76" ht="15" customHeight="1">
      <c r="A76" t="inlineStr">
        <is>
          <t>A 3729-2023</t>
        </is>
      </c>
      <c r="B76" s="1" t="n">
        <v>44949</v>
      </c>
      <c r="C76" s="1" t="n">
        <v>46196</v>
      </c>
      <c r="D76" t="inlineStr">
        <is>
          <t>ÖREBRO LÄN</t>
        </is>
      </c>
      <c r="E76" t="inlineStr">
        <is>
          <t>LINDESBERG</t>
        </is>
      </c>
      <c r="G76" t="n">
        <v>4</v>
      </c>
      <c r="H76" t="n">
        <v>0</v>
      </c>
      <c r="I76" t="n">
        <v>0</v>
      </c>
      <c r="J76" t="n">
        <v>1</v>
      </c>
      <c r="K76" t="n">
        <v>0</v>
      </c>
      <c r="L76" t="n">
        <v>0</v>
      </c>
      <c r="M76" t="n">
        <v>0</v>
      </c>
      <c r="N76" t="n">
        <v>0</v>
      </c>
      <c r="O76" t="n">
        <v>1</v>
      </c>
      <c r="P76" t="n">
        <v>0</v>
      </c>
      <c r="Q76" t="n">
        <v>1</v>
      </c>
      <c r="R76" s="2" t="inlineStr">
        <is>
          <t>Motaggsvamp</t>
        </is>
      </c>
      <c r="S76">
        <f>HYPERLINK("https://klasma.github.io/Logging_1885/artfynd/A 3729-2023 artfynd.xlsx", "A 3729-2023")</f>
        <v/>
      </c>
      <c r="T76">
        <f>HYPERLINK("https://klasma.github.io/Logging_1885/kartor/A 3729-2023 karta.png", "A 3729-2023")</f>
        <v/>
      </c>
      <c r="V76">
        <f>HYPERLINK("https://klasma.github.io/Logging_1885/klagomål/A 3729-2023 FSC-klagomål.docx", "A 3729-2023")</f>
        <v/>
      </c>
      <c r="W76">
        <f>HYPERLINK("https://klasma.github.io/Logging_1885/klagomålsmail/A 3729-2023 FSC-klagomål mail.docx", "A 3729-2023")</f>
        <v/>
      </c>
      <c r="X76">
        <f>HYPERLINK("https://klasma.github.io/Logging_1885/tillsyn/A 3729-2023 tillsynsbegäran.docx", "A 3729-2023")</f>
        <v/>
      </c>
      <c r="Y76">
        <f>HYPERLINK("https://klasma.github.io/Logging_1885/tillsynsmail/A 3729-2023 tillsynsbegäran mail.docx", "A 3729-2023")</f>
        <v/>
      </c>
    </row>
    <row r="77" ht="15" customHeight="1">
      <c r="A77" t="inlineStr">
        <is>
          <t>A 16692-2026</t>
        </is>
      </c>
      <c r="B77" s="1" t="n">
        <v>46112</v>
      </c>
      <c r="C77" s="1" t="n">
        <v>46196</v>
      </c>
      <c r="D77" t="inlineStr">
        <is>
          <t>ÖREBRO LÄN</t>
        </is>
      </c>
      <c r="E77" t="inlineStr">
        <is>
          <t>LINDESBERG</t>
        </is>
      </c>
      <c r="G77" t="n">
        <v>4.9</v>
      </c>
      <c r="H77" t="n">
        <v>1</v>
      </c>
      <c r="I77" t="n">
        <v>0</v>
      </c>
      <c r="J77" t="n">
        <v>0</v>
      </c>
      <c r="K77" t="n">
        <v>0</v>
      </c>
      <c r="L77" t="n">
        <v>0</v>
      </c>
      <c r="M77" t="n">
        <v>0</v>
      </c>
      <c r="N77" t="n">
        <v>0</v>
      </c>
      <c r="O77" t="n">
        <v>0</v>
      </c>
      <c r="P77" t="n">
        <v>0</v>
      </c>
      <c r="Q77" t="n">
        <v>1</v>
      </c>
      <c r="R77" s="2" t="inlineStr">
        <is>
          <t>Spillkråka</t>
        </is>
      </c>
      <c r="S77">
        <f>HYPERLINK("https://klasma.github.io/Logging_1885/artfynd/A 16692-2026 artfynd.xlsx", "A 16692-2026")</f>
        <v/>
      </c>
      <c r="T77">
        <f>HYPERLINK("https://klasma.github.io/Logging_1885/kartor/A 16692-2026 karta.png", "A 16692-2026")</f>
        <v/>
      </c>
      <c r="V77">
        <f>HYPERLINK("https://klasma.github.io/Logging_1885/klagomål/A 16692-2026 FSC-klagomål.docx", "A 16692-2026")</f>
        <v/>
      </c>
      <c r="W77">
        <f>HYPERLINK("https://klasma.github.io/Logging_1885/klagomålsmail/A 16692-2026 FSC-klagomål mail.docx", "A 16692-2026")</f>
        <v/>
      </c>
      <c r="X77">
        <f>HYPERLINK("https://klasma.github.io/Logging_1885/tillsyn/A 16692-2026 tillsynsbegäran.docx", "A 16692-2026")</f>
        <v/>
      </c>
      <c r="Y77">
        <f>HYPERLINK("https://klasma.github.io/Logging_1885/tillsynsmail/A 16692-2026 tillsynsbegäran mail.docx", "A 16692-2026")</f>
        <v/>
      </c>
      <c r="Z77">
        <f>HYPERLINK("https://klasma.github.io/Logging_1885/fåglar/A 16692-2026 prioriterade fågelarter.docx", "A 16692-2026")</f>
        <v/>
      </c>
    </row>
    <row r="78" ht="15" customHeight="1">
      <c r="A78" t="inlineStr">
        <is>
          <t>A 16693-2026</t>
        </is>
      </c>
      <c r="B78" s="1" t="n">
        <v>46112</v>
      </c>
      <c r="C78" s="1" t="n">
        <v>46196</v>
      </c>
      <c r="D78" t="inlineStr">
        <is>
          <t>ÖREBRO LÄN</t>
        </is>
      </c>
      <c r="E78" t="inlineStr">
        <is>
          <t>LINDESBERG</t>
        </is>
      </c>
      <c r="G78" t="n">
        <v>2.1</v>
      </c>
      <c r="H78" t="n">
        <v>1</v>
      </c>
      <c r="I78" t="n">
        <v>0</v>
      </c>
      <c r="J78" t="n">
        <v>0</v>
      </c>
      <c r="K78" t="n">
        <v>0</v>
      </c>
      <c r="L78" t="n">
        <v>0</v>
      </c>
      <c r="M78" t="n">
        <v>0</v>
      </c>
      <c r="N78" t="n">
        <v>0</v>
      </c>
      <c r="O78" t="n">
        <v>0</v>
      </c>
      <c r="P78" t="n">
        <v>0</v>
      </c>
      <c r="Q78" t="n">
        <v>1</v>
      </c>
      <c r="R78" s="2" t="inlineStr">
        <is>
          <t>Tjäder</t>
        </is>
      </c>
      <c r="S78">
        <f>HYPERLINK("https://klasma.github.io/Logging_1885/artfynd/A 16693-2026 artfynd.xlsx", "A 16693-2026")</f>
        <v/>
      </c>
      <c r="T78">
        <f>HYPERLINK("https://klasma.github.io/Logging_1885/kartor/A 16693-2026 karta.png", "A 16693-2026")</f>
        <v/>
      </c>
      <c r="V78">
        <f>HYPERLINK("https://klasma.github.io/Logging_1885/klagomål/A 16693-2026 FSC-klagomål.docx", "A 16693-2026")</f>
        <v/>
      </c>
      <c r="W78">
        <f>HYPERLINK("https://klasma.github.io/Logging_1885/klagomålsmail/A 16693-2026 FSC-klagomål mail.docx", "A 16693-2026")</f>
        <v/>
      </c>
      <c r="X78">
        <f>HYPERLINK("https://klasma.github.io/Logging_1885/tillsyn/A 16693-2026 tillsynsbegäran.docx", "A 16693-2026")</f>
        <v/>
      </c>
      <c r="Y78">
        <f>HYPERLINK("https://klasma.github.io/Logging_1885/tillsynsmail/A 16693-2026 tillsynsbegäran mail.docx", "A 16693-2026")</f>
        <v/>
      </c>
      <c r="Z78">
        <f>HYPERLINK("https://klasma.github.io/Logging_1885/fåglar/A 16693-2026 prioriterade fågelarter.docx", "A 16693-2026")</f>
        <v/>
      </c>
    </row>
    <row r="79" ht="15" customHeight="1">
      <c r="A79" t="inlineStr">
        <is>
          <t>A 22747-2026</t>
        </is>
      </c>
      <c r="B79" s="1" t="n">
        <v>46157</v>
      </c>
      <c r="C79" s="1" t="n">
        <v>46196</v>
      </c>
      <c r="D79" t="inlineStr">
        <is>
          <t>ÖREBRO LÄN</t>
        </is>
      </c>
      <c r="E79" t="inlineStr">
        <is>
          <t>LINDESBERG</t>
        </is>
      </c>
      <c r="G79" t="n">
        <v>4.4</v>
      </c>
      <c r="H79" t="n">
        <v>1</v>
      </c>
      <c r="I79" t="n">
        <v>0</v>
      </c>
      <c r="J79" t="n">
        <v>0</v>
      </c>
      <c r="K79" t="n">
        <v>0</v>
      </c>
      <c r="L79" t="n">
        <v>0</v>
      </c>
      <c r="M79" t="n">
        <v>0</v>
      </c>
      <c r="N79" t="n">
        <v>0</v>
      </c>
      <c r="O79" t="n">
        <v>0</v>
      </c>
      <c r="P79" t="n">
        <v>0</v>
      </c>
      <c r="Q79" t="n">
        <v>1</v>
      </c>
      <c r="R79" s="2" t="inlineStr">
        <is>
          <t>Fiskgjuse</t>
        </is>
      </c>
      <c r="S79">
        <f>HYPERLINK("https://klasma.github.io/Logging_1885/artfynd/A 22747-2026 artfynd.xlsx", "A 22747-2026")</f>
        <v/>
      </c>
      <c r="T79">
        <f>HYPERLINK("https://klasma.github.io/Logging_1885/kartor/A 22747-2026 karta.png", "A 22747-2026")</f>
        <v/>
      </c>
      <c r="V79">
        <f>HYPERLINK("https://klasma.github.io/Logging_1885/klagomål/A 22747-2026 FSC-klagomål.docx", "A 22747-2026")</f>
        <v/>
      </c>
      <c r="W79">
        <f>HYPERLINK("https://klasma.github.io/Logging_1885/klagomålsmail/A 22747-2026 FSC-klagomål mail.docx", "A 22747-2026")</f>
        <v/>
      </c>
      <c r="X79">
        <f>HYPERLINK("https://klasma.github.io/Logging_1885/tillsyn/A 22747-2026 tillsynsbegäran.docx", "A 22747-2026")</f>
        <v/>
      </c>
      <c r="Y79">
        <f>HYPERLINK("https://klasma.github.io/Logging_1885/tillsynsmail/A 22747-2026 tillsynsbegäran mail.docx", "A 22747-2026")</f>
        <v/>
      </c>
      <c r="Z79">
        <f>HYPERLINK("https://klasma.github.io/Logging_1885/fåglar/A 22747-2026 prioriterade fågelarter.docx", "A 22747-2026")</f>
        <v/>
      </c>
    </row>
    <row r="80" ht="15" customHeight="1">
      <c r="A80" t="inlineStr">
        <is>
          <t>A 23337-2026</t>
        </is>
      </c>
      <c r="B80" s="1" t="n">
        <v>46162</v>
      </c>
      <c r="C80" s="1" t="n">
        <v>46196</v>
      </c>
      <c r="D80" t="inlineStr">
        <is>
          <t>ÖREBRO LÄN</t>
        </is>
      </c>
      <c r="E80" t="inlineStr">
        <is>
          <t>LINDESBERG</t>
        </is>
      </c>
      <c r="F80" t="inlineStr">
        <is>
          <t>Naturvårdsverket</t>
        </is>
      </c>
      <c r="G80" t="n">
        <v>1.4</v>
      </c>
      <c r="H80" t="n">
        <v>1</v>
      </c>
      <c r="I80" t="n">
        <v>0</v>
      </c>
      <c r="J80" t="n">
        <v>0</v>
      </c>
      <c r="K80" t="n">
        <v>0</v>
      </c>
      <c r="L80" t="n">
        <v>0</v>
      </c>
      <c r="M80" t="n">
        <v>0</v>
      </c>
      <c r="N80" t="n">
        <v>0</v>
      </c>
      <c r="O80" t="n">
        <v>0</v>
      </c>
      <c r="P80" t="n">
        <v>0</v>
      </c>
      <c r="Q80" t="n">
        <v>1</v>
      </c>
      <c r="R80" s="2" t="inlineStr">
        <is>
          <t>Spillkråka</t>
        </is>
      </c>
      <c r="S80">
        <f>HYPERLINK("https://klasma.github.io/Logging_1885/artfynd/A 23337-2026 artfynd.xlsx", "A 23337-2026")</f>
        <v/>
      </c>
      <c r="T80">
        <f>HYPERLINK("https://klasma.github.io/Logging_1885/kartor/A 23337-2026 karta.png", "A 23337-2026")</f>
        <v/>
      </c>
      <c r="V80">
        <f>HYPERLINK("https://klasma.github.io/Logging_1885/klagomål/A 23337-2026 FSC-klagomål.docx", "A 23337-2026")</f>
        <v/>
      </c>
      <c r="W80">
        <f>HYPERLINK("https://klasma.github.io/Logging_1885/klagomålsmail/A 23337-2026 FSC-klagomål mail.docx", "A 23337-2026")</f>
        <v/>
      </c>
      <c r="X80">
        <f>HYPERLINK("https://klasma.github.io/Logging_1885/tillsyn/A 23337-2026 tillsynsbegäran.docx", "A 23337-2026")</f>
        <v/>
      </c>
      <c r="Y80">
        <f>HYPERLINK("https://klasma.github.io/Logging_1885/tillsynsmail/A 23337-2026 tillsynsbegäran mail.docx", "A 23337-2026")</f>
        <v/>
      </c>
      <c r="Z80">
        <f>HYPERLINK("https://klasma.github.io/Logging_1885/fåglar/A 23337-2026 prioriterade fågelarter.docx", "A 23337-2026")</f>
        <v/>
      </c>
    </row>
    <row r="81" ht="15" customHeight="1">
      <c r="A81" t="inlineStr">
        <is>
          <t>A 18178-2026</t>
        </is>
      </c>
      <c r="B81" s="1" t="n">
        <v>46125</v>
      </c>
      <c r="C81" s="1" t="n">
        <v>46196</v>
      </c>
      <c r="D81" t="inlineStr">
        <is>
          <t>ÖREBRO LÄN</t>
        </is>
      </c>
      <c r="E81" t="inlineStr">
        <is>
          <t>LINDESBERG</t>
        </is>
      </c>
      <c r="F81" t="inlineStr">
        <is>
          <t>Sveaskog</t>
        </is>
      </c>
      <c r="G81" t="n">
        <v>4.4</v>
      </c>
      <c r="H81" t="n">
        <v>0</v>
      </c>
      <c r="I81" t="n">
        <v>0</v>
      </c>
      <c r="J81" t="n">
        <v>1</v>
      </c>
      <c r="K81" t="n">
        <v>0</v>
      </c>
      <c r="L81" t="n">
        <v>0</v>
      </c>
      <c r="M81" t="n">
        <v>0</v>
      </c>
      <c r="N81" t="n">
        <v>0</v>
      </c>
      <c r="O81" t="n">
        <v>1</v>
      </c>
      <c r="P81" t="n">
        <v>0</v>
      </c>
      <c r="Q81" t="n">
        <v>1</v>
      </c>
      <c r="R81" s="2" t="inlineStr">
        <is>
          <t>Svartvit taggsvamp</t>
        </is>
      </c>
      <c r="S81">
        <f>HYPERLINK("https://klasma.github.io/Logging_1885/artfynd/A 18178-2026 artfynd.xlsx", "A 18178-2026")</f>
        <v/>
      </c>
      <c r="T81">
        <f>HYPERLINK("https://klasma.github.io/Logging_1885/kartor/A 18178-2026 karta.png", "A 18178-2026")</f>
        <v/>
      </c>
      <c r="V81">
        <f>HYPERLINK("https://klasma.github.io/Logging_1885/klagomål/A 18178-2026 FSC-klagomål.docx", "A 18178-2026")</f>
        <v/>
      </c>
      <c r="W81">
        <f>HYPERLINK("https://klasma.github.io/Logging_1885/klagomålsmail/A 18178-2026 FSC-klagomål mail.docx", "A 18178-2026")</f>
        <v/>
      </c>
      <c r="X81">
        <f>HYPERLINK("https://klasma.github.io/Logging_1885/tillsyn/A 18178-2026 tillsynsbegäran.docx", "A 18178-2026")</f>
        <v/>
      </c>
      <c r="Y81">
        <f>HYPERLINK("https://klasma.github.io/Logging_1885/tillsynsmail/A 18178-2026 tillsynsbegäran mail.docx", "A 18178-2026")</f>
        <v/>
      </c>
    </row>
    <row r="82" ht="15" customHeight="1">
      <c r="A82" t="inlineStr">
        <is>
          <t>A 18640-2026</t>
        </is>
      </c>
      <c r="B82" s="1" t="n">
        <v>46128</v>
      </c>
      <c r="C82" s="1" t="n">
        <v>46196</v>
      </c>
      <c r="D82" t="inlineStr">
        <is>
          <t>ÖREBRO LÄN</t>
        </is>
      </c>
      <c r="E82" t="inlineStr">
        <is>
          <t>LINDESBERG</t>
        </is>
      </c>
      <c r="F82" t="inlineStr">
        <is>
          <t>Sveaskog</t>
        </is>
      </c>
      <c r="G82" t="n">
        <v>0.3</v>
      </c>
      <c r="H82" t="n">
        <v>0</v>
      </c>
      <c r="I82" t="n">
        <v>0</v>
      </c>
      <c r="J82" t="n">
        <v>0</v>
      </c>
      <c r="K82" t="n">
        <v>1</v>
      </c>
      <c r="L82" t="n">
        <v>0</v>
      </c>
      <c r="M82" t="n">
        <v>0</v>
      </c>
      <c r="N82" t="n">
        <v>0</v>
      </c>
      <c r="O82" t="n">
        <v>1</v>
      </c>
      <c r="P82" t="n">
        <v>1</v>
      </c>
      <c r="Q82" t="n">
        <v>1</v>
      </c>
      <c r="R82" s="2" t="inlineStr">
        <is>
          <t>Garnlav</t>
        </is>
      </c>
      <c r="S82">
        <f>HYPERLINK("https://klasma.github.io/Logging_1885/artfynd/A 18640-2026 artfynd.xlsx", "A 18640-2026")</f>
        <v/>
      </c>
      <c r="T82">
        <f>HYPERLINK("https://klasma.github.io/Logging_1885/kartor/A 18640-2026 karta.png", "A 18640-2026")</f>
        <v/>
      </c>
      <c r="V82">
        <f>HYPERLINK("https://klasma.github.io/Logging_1885/klagomål/A 18640-2026 FSC-klagomål.docx", "A 18640-2026")</f>
        <v/>
      </c>
      <c r="W82">
        <f>HYPERLINK("https://klasma.github.io/Logging_1885/klagomålsmail/A 18640-2026 FSC-klagomål mail.docx", "A 18640-2026")</f>
        <v/>
      </c>
      <c r="X82">
        <f>HYPERLINK("https://klasma.github.io/Logging_1885/tillsyn/A 18640-2026 tillsynsbegäran.docx", "A 18640-2026")</f>
        <v/>
      </c>
      <c r="Y82">
        <f>HYPERLINK("https://klasma.github.io/Logging_1885/tillsynsmail/A 18640-2026 tillsynsbegäran mail.docx", "A 18640-2026")</f>
        <v/>
      </c>
    </row>
    <row r="83" ht="15" customHeight="1">
      <c r="A83" t="inlineStr">
        <is>
          <t>A 18639-2026</t>
        </is>
      </c>
      <c r="B83" s="1" t="n">
        <v>46128</v>
      </c>
      <c r="C83" s="1" t="n">
        <v>46196</v>
      </c>
      <c r="D83" t="inlineStr">
        <is>
          <t>ÖREBRO LÄN</t>
        </is>
      </c>
      <c r="E83" t="inlineStr">
        <is>
          <t>LINDESBERG</t>
        </is>
      </c>
      <c r="F83" t="inlineStr">
        <is>
          <t>Sveaskog</t>
        </is>
      </c>
      <c r="G83" t="n">
        <v>6</v>
      </c>
      <c r="H83" t="n">
        <v>1</v>
      </c>
      <c r="I83" t="n">
        <v>1</v>
      </c>
      <c r="J83" t="n">
        <v>0</v>
      </c>
      <c r="K83" t="n">
        <v>0</v>
      </c>
      <c r="L83" t="n">
        <v>0</v>
      </c>
      <c r="M83" t="n">
        <v>0</v>
      </c>
      <c r="N83" t="n">
        <v>0</v>
      </c>
      <c r="O83" t="n">
        <v>0</v>
      </c>
      <c r="P83" t="n">
        <v>0</v>
      </c>
      <c r="Q83" t="n">
        <v>1</v>
      </c>
      <c r="R83" s="2" t="inlineStr">
        <is>
          <t>Plattlummer</t>
        </is>
      </c>
      <c r="S83">
        <f>HYPERLINK("https://klasma.github.io/Logging_1885/artfynd/A 18639-2026 artfynd.xlsx", "A 18639-2026")</f>
        <v/>
      </c>
      <c r="T83">
        <f>HYPERLINK("https://klasma.github.io/Logging_1885/kartor/A 18639-2026 karta.png", "A 18639-2026")</f>
        <v/>
      </c>
      <c r="V83">
        <f>HYPERLINK("https://klasma.github.io/Logging_1885/klagomål/A 18639-2026 FSC-klagomål.docx", "A 18639-2026")</f>
        <v/>
      </c>
      <c r="W83">
        <f>HYPERLINK("https://klasma.github.io/Logging_1885/klagomålsmail/A 18639-2026 FSC-klagomål mail.docx", "A 18639-2026")</f>
        <v/>
      </c>
      <c r="X83">
        <f>HYPERLINK("https://klasma.github.io/Logging_1885/tillsyn/A 18639-2026 tillsynsbegäran.docx", "A 18639-2026")</f>
        <v/>
      </c>
      <c r="Y83">
        <f>HYPERLINK("https://klasma.github.io/Logging_1885/tillsynsmail/A 18639-2026 tillsynsbegäran mail.docx", "A 18639-2026")</f>
        <v/>
      </c>
    </row>
    <row r="84" ht="15" customHeight="1">
      <c r="A84" t="inlineStr">
        <is>
          <t>A 40755-2022</t>
        </is>
      </c>
      <c r="B84" s="1" t="n">
        <v>44820</v>
      </c>
      <c r="C84" s="1" t="n">
        <v>46196</v>
      </c>
      <c r="D84" t="inlineStr">
        <is>
          <t>ÖREBRO LÄN</t>
        </is>
      </c>
      <c r="E84" t="inlineStr">
        <is>
          <t>LINDESBERG</t>
        </is>
      </c>
      <c r="G84" t="n">
        <v>3.8</v>
      </c>
      <c r="H84" t="n">
        <v>1</v>
      </c>
      <c r="I84" t="n">
        <v>0</v>
      </c>
      <c r="J84" t="n">
        <v>0</v>
      </c>
      <c r="K84" t="n">
        <v>0</v>
      </c>
      <c r="L84" t="n">
        <v>0</v>
      </c>
      <c r="M84" t="n">
        <v>0</v>
      </c>
      <c r="N84" t="n">
        <v>0</v>
      </c>
      <c r="O84" t="n">
        <v>0</v>
      </c>
      <c r="P84" t="n">
        <v>0</v>
      </c>
      <c r="Q84" t="n">
        <v>1</v>
      </c>
      <c r="R84" s="2" t="inlineStr">
        <is>
          <t>Fläcknycklar</t>
        </is>
      </c>
      <c r="S84">
        <f>HYPERLINK("https://klasma.github.io/Logging_1885/artfynd/A 40755-2022 artfynd.xlsx", "A 40755-2022")</f>
        <v/>
      </c>
      <c r="T84">
        <f>HYPERLINK("https://klasma.github.io/Logging_1885/kartor/A 40755-2022 karta.png", "A 40755-2022")</f>
        <v/>
      </c>
      <c r="V84">
        <f>HYPERLINK("https://klasma.github.io/Logging_1885/klagomål/A 40755-2022 FSC-klagomål.docx", "A 40755-2022")</f>
        <v/>
      </c>
      <c r="W84">
        <f>HYPERLINK("https://klasma.github.io/Logging_1885/klagomålsmail/A 40755-2022 FSC-klagomål mail.docx", "A 40755-2022")</f>
        <v/>
      </c>
      <c r="X84">
        <f>HYPERLINK("https://klasma.github.io/Logging_1885/tillsyn/A 40755-2022 tillsynsbegäran.docx", "A 40755-2022")</f>
        <v/>
      </c>
      <c r="Y84">
        <f>HYPERLINK("https://klasma.github.io/Logging_1885/tillsynsmail/A 40755-2022 tillsynsbegäran mail.docx", "A 40755-2022")</f>
        <v/>
      </c>
    </row>
    <row r="85" ht="15" customHeight="1">
      <c r="A85" t="inlineStr">
        <is>
          <t>A 21084-2026</t>
        </is>
      </c>
      <c r="B85" s="1" t="n">
        <v>46146</v>
      </c>
      <c r="C85" s="1" t="n">
        <v>46196</v>
      </c>
      <c r="D85" t="inlineStr">
        <is>
          <t>ÖREBRO LÄN</t>
        </is>
      </c>
      <c r="E85" t="inlineStr">
        <is>
          <t>LINDESBERG</t>
        </is>
      </c>
      <c r="F85" t="inlineStr">
        <is>
          <t>Sveaskog</t>
        </is>
      </c>
      <c r="G85" t="n">
        <v>1.5</v>
      </c>
      <c r="H85" t="n">
        <v>0</v>
      </c>
      <c r="I85" t="n">
        <v>0</v>
      </c>
      <c r="J85" t="n">
        <v>0</v>
      </c>
      <c r="K85" t="n">
        <v>1</v>
      </c>
      <c r="L85" t="n">
        <v>0</v>
      </c>
      <c r="M85" t="n">
        <v>0</v>
      </c>
      <c r="N85" t="n">
        <v>0</v>
      </c>
      <c r="O85" t="n">
        <v>1</v>
      </c>
      <c r="P85" t="n">
        <v>1</v>
      </c>
      <c r="Q85" t="n">
        <v>1</v>
      </c>
      <c r="R85" s="2" t="inlineStr">
        <is>
          <t>Garnlav</t>
        </is>
      </c>
      <c r="S85">
        <f>HYPERLINK("https://klasma.github.io/Logging_1885/artfynd/A 21084-2026 artfynd.xlsx", "A 21084-2026")</f>
        <v/>
      </c>
      <c r="T85">
        <f>HYPERLINK("https://klasma.github.io/Logging_1885/kartor/A 21084-2026 karta.png", "A 21084-2026")</f>
        <v/>
      </c>
      <c r="V85">
        <f>HYPERLINK("https://klasma.github.io/Logging_1885/klagomål/A 21084-2026 FSC-klagomål.docx", "A 21084-2026")</f>
        <v/>
      </c>
      <c r="W85">
        <f>HYPERLINK("https://klasma.github.io/Logging_1885/klagomålsmail/A 21084-2026 FSC-klagomål mail.docx", "A 21084-2026")</f>
        <v/>
      </c>
      <c r="X85">
        <f>HYPERLINK("https://klasma.github.io/Logging_1885/tillsyn/A 21084-2026 tillsynsbegäran.docx", "A 21084-2026")</f>
        <v/>
      </c>
      <c r="Y85">
        <f>HYPERLINK("https://klasma.github.io/Logging_1885/tillsynsmail/A 21084-2026 tillsynsbegäran mail.docx", "A 21084-2026")</f>
        <v/>
      </c>
    </row>
    <row r="86" ht="15" customHeight="1">
      <c r="A86" t="inlineStr">
        <is>
          <t>A 27725-2026</t>
        </is>
      </c>
      <c r="B86" s="1" t="n">
        <v>46191</v>
      </c>
      <c r="C86" s="1" t="n">
        <v>46196</v>
      </c>
      <c r="D86" t="inlineStr">
        <is>
          <t>ÖREBRO LÄN</t>
        </is>
      </c>
      <c r="E86" t="inlineStr">
        <is>
          <t>LINDESBERG</t>
        </is>
      </c>
      <c r="F86" t="inlineStr">
        <is>
          <t>Sveaskog</t>
        </is>
      </c>
      <c r="G86" t="n">
        <v>9.300000000000001</v>
      </c>
      <c r="H86" t="n">
        <v>1</v>
      </c>
      <c r="I86" t="n">
        <v>0</v>
      </c>
      <c r="J86" t="n">
        <v>0</v>
      </c>
      <c r="K86" t="n">
        <v>0</v>
      </c>
      <c r="L86" t="n">
        <v>0</v>
      </c>
      <c r="M86" t="n">
        <v>0</v>
      </c>
      <c r="N86" t="n">
        <v>0</v>
      </c>
      <c r="O86" t="n">
        <v>0</v>
      </c>
      <c r="P86" t="n">
        <v>0</v>
      </c>
      <c r="Q86" t="n">
        <v>1</v>
      </c>
      <c r="R86" s="2" t="inlineStr">
        <is>
          <t>Revlummer</t>
        </is>
      </c>
      <c r="S86">
        <f>HYPERLINK("https://klasma.github.io/Logging_1885/artfynd/A 27725-2026 artfynd.xlsx", "A 27725-2026")</f>
        <v/>
      </c>
      <c r="T86">
        <f>HYPERLINK("https://klasma.github.io/Logging_1885/kartor/A 27725-2026 karta.png", "A 27725-2026")</f>
        <v/>
      </c>
      <c r="V86">
        <f>HYPERLINK("https://klasma.github.io/Logging_1885/klagomål/A 27725-2026 FSC-klagomål.docx", "A 27725-2026")</f>
        <v/>
      </c>
      <c r="W86">
        <f>HYPERLINK("https://klasma.github.io/Logging_1885/klagomålsmail/A 27725-2026 FSC-klagomål mail.docx", "A 27725-2026")</f>
        <v/>
      </c>
      <c r="X86">
        <f>HYPERLINK("https://klasma.github.io/Logging_1885/tillsyn/A 27725-2026 tillsynsbegäran.docx", "A 27725-2026")</f>
        <v/>
      </c>
      <c r="Y86">
        <f>HYPERLINK("https://klasma.github.io/Logging_1885/tillsynsmail/A 27725-2026 tillsynsbegäran mail.docx", "A 27725-2026")</f>
        <v/>
      </c>
    </row>
    <row r="87" ht="15" customHeight="1">
      <c r="A87" t="inlineStr">
        <is>
          <t>A 27733-2026</t>
        </is>
      </c>
      <c r="B87" s="1" t="n">
        <v>46191</v>
      </c>
      <c r="C87" s="1" t="n">
        <v>46196</v>
      </c>
      <c r="D87" t="inlineStr">
        <is>
          <t>ÖREBRO LÄN</t>
        </is>
      </c>
      <c r="E87" t="inlineStr">
        <is>
          <t>LINDESBERG</t>
        </is>
      </c>
      <c r="F87" t="inlineStr">
        <is>
          <t>Sveaskog</t>
        </is>
      </c>
      <c r="G87" t="n">
        <v>2.5</v>
      </c>
      <c r="H87" t="n">
        <v>1</v>
      </c>
      <c r="I87" t="n">
        <v>0</v>
      </c>
      <c r="J87" t="n">
        <v>0</v>
      </c>
      <c r="K87" t="n">
        <v>0</v>
      </c>
      <c r="L87" t="n">
        <v>0</v>
      </c>
      <c r="M87" t="n">
        <v>0</v>
      </c>
      <c r="N87" t="n">
        <v>0</v>
      </c>
      <c r="O87" t="n">
        <v>0</v>
      </c>
      <c r="P87" t="n">
        <v>0</v>
      </c>
      <c r="Q87" t="n">
        <v>1</v>
      </c>
      <c r="R87" s="2" t="inlineStr">
        <is>
          <t>Fläcknycklar</t>
        </is>
      </c>
      <c r="S87">
        <f>HYPERLINK("https://klasma.github.io/Logging_1885/artfynd/A 27733-2026 artfynd.xlsx", "A 27733-2026")</f>
        <v/>
      </c>
      <c r="T87">
        <f>HYPERLINK("https://klasma.github.io/Logging_1885/kartor/A 27733-2026 karta.png", "A 27733-2026")</f>
        <v/>
      </c>
      <c r="V87">
        <f>HYPERLINK("https://klasma.github.io/Logging_1885/klagomål/A 27733-2026 FSC-klagomål.docx", "A 27733-2026")</f>
        <v/>
      </c>
      <c r="W87">
        <f>HYPERLINK("https://klasma.github.io/Logging_1885/klagomålsmail/A 27733-2026 FSC-klagomål mail.docx", "A 27733-2026")</f>
        <v/>
      </c>
      <c r="X87">
        <f>HYPERLINK("https://klasma.github.io/Logging_1885/tillsyn/A 27733-2026 tillsynsbegäran.docx", "A 27733-2026")</f>
        <v/>
      </c>
      <c r="Y87">
        <f>HYPERLINK("https://klasma.github.io/Logging_1885/tillsynsmail/A 27733-2026 tillsynsbegäran mail.docx", "A 27733-2026")</f>
        <v/>
      </c>
    </row>
    <row r="88" ht="15" customHeight="1">
      <c r="A88" t="inlineStr">
        <is>
          <t>A 27726-2026</t>
        </is>
      </c>
      <c r="B88" s="1" t="n">
        <v>46191</v>
      </c>
      <c r="C88" s="1" t="n">
        <v>46196</v>
      </c>
      <c r="D88" t="inlineStr">
        <is>
          <t>ÖREBRO LÄN</t>
        </is>
      </c>
      <c r="E88" t="inlineStr">
        <is>
          <t>LINDESBERG</t>
        </is>
      </c>
      <c r="F88" t="inlineStr">
        <is>
          <t>Sveaskog</t>
        </is>
      </c>
      <c r="G88" t="n">
        <v>2.4</v>
      </c>
      <c r="H88" t="n">
        <v>0</v>
      </c>
      <c r="I88" t="n">
        <v>1</v>
      </c>
      <c r="J88" t="n">
        <v>0</v>
      </c>
      <c r="K88" t="n">
        <v>0</v>
      </c>
      <c r="L88" t="n">
        <v>0</v>
      </c>
      <c r="M88" t="n">
        <v>0</v>
      </c>
      <c r="N88" t="n">
        <v>0</v>
      </c>
      <c r="O88" t="n">
        <v>0</v>
      </c>
      <c r="P88" t="n">
        <v>0</v>
      </c>
      <c r="Q88" t="n">
        <v>1</v>
      </c>
      <c r="R88" s="2" t="inlineStr">
        <is>
          <t>Vågbandad barkbock</t>
        </is>
      </c>
      <c r="S88">
        <f>HYPERLINK("https://klasma.github.io/Logging_1885/artfynd/A 27726-2026 artfynd.xlsx", "A 27726-2026")</f>
        <v/>
      </c>
      <c r="T88">
        <f>HYPERLINK("https://klasma.github.io/Logging_1885/kartor/A 27726-2026 karta.png", "A 27726-2026")</f>
        <v/>
      </c>
      <c r="V88">
        <f>HYPERLINK("https://klasma.github.io/Logging_1885/klagomål/A 27726-2026 FSC-klagomål.docx", "A 27726-2026")</f>
        <v/>
      </c>
      <c r="W88">
        <f>HYPERLINK("https://klasma.github.io/Logging_1885/klagomålsmail/A 27726-2026 FSC-klagomål mail.docx", "A 27726-2026")</f>
        <v/>
      </c>
      <c r="X88">
        <f>HYPERLINK("https://klasma.github.io/Logging_1885/tillsyn/A 27726-2026 tillsynsbegäran.docx", "A 27726-2026")</f>
        <v/>
      </c>
      <c r="Y88">
        <f>HYPERLINK("https://klasma.github.io/Logging_1885/tillsynsmail/A 27726-2026 tillsynsbegäran mail.docx", "A 27726-2026")</f>
        <v/>
      </c>
    </row>
    <row r="89" ht="15" customHeight="1">
      <c r="A89" t="inlineStr">
        <is>
          <t>A 27730-2026</t>
        </is>
      </c>
      <c r="B89" s="1" t="n">
        <v>46191</v>
      </c>
      <c r="C89" s="1" t="n">
        <v>46196</v>
      </c>
      <c r="D89" t="inlineStr">
        <is>
          <t>ÖREBRO LÄN</t>
        </is>
      </c>
      <c r="E89" t="inlineStr">
        <is>
          <t>LINDESBERG</t>
        </is>
      </c>
      <c r="F89" t="inlineStr">
        <is>
          <t>Sveaskog</t>
        </is>
      </c>
      <c r="G89" t="n">
        <v>3.9</v>
      </c>
      <c r="H89" t="n">
        <v>1</v>
      </c>
      <c r="I89" t="n">
        <v>0</v>
      </c>
      <c r="J89" t="n">
        <v>0</v>
      </c>
      <c r="K89" t="n">
        <v>0</v>
      </c>
      <c r="L89" t="n">
        <v>0</v>
      </c>
      <c r="M89" t="n">
        <v>0</v>
      </c>
      <c r="N89" t="n">
        <v>0</v>
      </c>
      <c r="O89" t="n">
        <v>0</v>
      </c>
      <c r="P89" t="n">
        <v>0</v>
      </c>
      <c r="Q89" t="n">
        <v>1</v>
      </c>
      <c r="R89" s="2" t="inlineStr">
        <is>
          <t>Fläcknycklar</t>
        </is>
      </c>
      <c r="S89">
        <f>HYPERLINK("https://klasma.github.io/Logging_1885/artfynd/A 27730-2026 artfynd.xlsx", "A 27730-2026")</f>
        <v/>
      </c>
      <c r="T89">
        <f>HYPERLINK("https://klasma.github.io/Logging_1885/kartor/A 27730-2026 karta.png", "A 27730-2026")</f>
        <v/>
      </c>
      <c r="V89">
        <f>HYPERLINK("https://klasma.github.io/Logging_1885/klagomål/A 27730-2026 FSC-klagomål.docx", "A 27730-2026")</f>
        <v/>
      </c>
      <c r="W89">
        <f>HYPERLINK("https://klasma.github.io/Logging_1885/klagomålsmail/A 27730-2026 FSC-klagomål mail.docx", "A 27730-2026")</f>
        <v/>
      </c>
      <c r="X89">
        <f>HYPERLINK("https://klasma.github.io/Logging_1885/tillsyn/A 27730-2026 tillsynsbegäran.docx", "A 27730-2026")</f>
        <v/>
      </c>
      <c r="Y89">
        <f>HYPERLINK("https://klasma.github.io/Logging_1885/tillsynsmail/A 27730-2026 tillsynsbegäran mail.docx", "A 27730-2026")</f>
        <v/>
      </c>
    </row>
    <row r="90" ht="15" customHeight="1">
      <c r="A90" t="inlineStr">
        <is>
          <t>A 27727-2026</t>
        </is>
      </c>
      <c r="B90" s="1" t="n">
        <v>46191</v>
      </c>
      <c r="C90" s="1" t="n">
        <v>46196</v>
      </c>
      <c r="D90" t="inlineStr">
        <is>
          <t>ÖREBRO LÄN</t>
        </is>
      </c>
      <c r="E90" t="inlineStr">
        <is>
          <t>LINDESBERG</t>
        </is>
      </c>
      <c r="F90" t="inlineStr">
        <is>
          <t>Sveaskog</t>
        </is>
      </c>
      <c r="G90" t="n">
        <v>8</v>
      </c>
      <c r="H90" t="n">
        <v>0</v>
      </c>
      <c r="I90" t="n">
        <v>0</v>
      </c>
      <c r="J90" t="n">
        <v>1</v>
      </c>
      <c r="K90" t="n">
        <v>0</v>
      </c>
      <c r="L90" t="n">
        <v>0</v>
      </c>
      <c r="M90" t="n">
        <v>0</v>
      </c>
      <c r="N90" t="n">
        <v>0</v>
      </c>
      <c r="O90" t="n">
        <v>1</v>
      </c>
      <c r="P90" t="n">
        <v>0</v>
      </c>
      <c r="Q90" t="n">
        <v>1</v>
      </c>
      <c r="R90" s="2" t="inlineStr">
        <is>
          <t>Lunglav</t>
        </is>
      </c>
      <c r="S90">
        <f>HYPERLINK("https://klasma.github.io/Logging_1885/artfynd/A 27727-2026 artfynd.xlsx", "A 27727-2026")</f>
        <v/>
      </c>
      <c r="T90">
        <f>HYPERLINK("https://klasma.github.io/Logging_1885/kartor/A 27727-2026 karta.png", "A 27727-2026")</f>
        <v/>
      </c>
      <c r="V90">
        <f>HYPERLINK("https://klasma.github.io/Logging_1885/klagomål/A 27727-2026 FSC-klagomål.docx", "A 27727-2026")</f>
        <v/>
      </c>
      <c r="W90">
        <f>HYPERLINK("https://klasma.github.io/Logging_1885/klagomålsmail/A 27727-2026 FSC-klagomål mail.docx", "A 27727-2026")</f>
        <v/>
      </c>
      <c r="X90">
        <f>HYPERLINK("https://klasma.github.io/Logging_1885/tillsyn/A 27727-2026 tillsynsbegäran.docx", "A 27727-2026")</f>
        <v/>
      </c>
      <c r="Y90">
        <f>HYPERLINK("https://klasma.github.io/Logging_1885/tillsynsmail/A 27727-2026 tillsynsbegäran mail.docx", "A 27727-2026")</f>
        <v/>
      </c>
    </row>
    <row r="91" ht="15" customHeight="1">
      <c r="A91" t="inlineStr">
        <is>
          <t>A 64513-2023</t>
        </is>
      </c>
      <c r="B91" s="1" t="n">
        <v>45281</v>
      </c>
      <c r="C91" s="1" t="n">
        <v>46196</v>
      </c>
      <c r="D91" t="inlineStr">
        <is>
          <t>ÖREBRO LÄN</t>
        </is>
      </c>
      <c r="E91" t="inlineStr">
        <is>
          <t>LINDESBERG</t>
        </is>
      </c>
      <c r="G91" t="n">
        <v>4.7</v>
      </c>
      <c r="H91" t="n">
        <v>0</v>
      </c>
      <c r="I91" t="n">
        <v>1</v>
      </c>
      <c r="J91" t="n">
        <v>0</v>
      </c>
      <c r="K91" t="n">
        <v>0</v>
      </c>
      <c r="L91" t="n">
        <v>0</v>
      </c>
      <c r="M91" t="n">
        <v>0</v>
      </c>
      <c r="N91" t="n">
        <v>0</v>
      </c>
      <c r="O91" t="n">
        <v>0</v>
      </c>
      <c r="P91" t="n">
        <v>0</v>
      </c>
      <c r="Q91" t="n">
        <v>1</v>
      </c>
      <c r="R91" s="2" t="inlineStr">
        <is>
          <t>Västlig hakmossa</t>
        </is>
      </c>
      <c r="S91">
        <f>HYPERLINK("https://klasma.github.io/Logging_1885/artfynd/A 64513-2023 artfynd.xlsx", "A 64513-2023")</f>
        <v/>
      </c>
      <c r="T91">
        <f>HYPERLINK("https://klasma.github.io/Logging_1885/kartor/A 64513-2023 karta.png", "A 64513-2023")</f>
        <v/>
      </c>
      <c r="V91">
        <f>HYPERLINK("https://klasma.github.io/Logging_1885/klagomål/A 64513-2023 FSC-klagomål.docx", "A 64513-2023")</f>
        <v/>
      </c>
      <c r="W91">
        <f>HYPERLINK("https://klasma.github.io/Logging_1885/klagomålsmail/A 64513-2023 FSC-klagomål mail.docx", "A 64513-2023")</f>
        <v/>
      </c>
      <c r="X91">
        <f>HYPERLINK("https://klasma.github.io/Logging_1885/tillsyn/A 64513-2023 tillsynsbegäran.docx", "A 64513-2023")</f>
        <v/>
      </c>
      <c r="Y91">
        <f>HYPERLINK("https://klasma.github.io/Logging_1885/tillsynsmail/A 64513-2023 tillsynsbegäran mail.docx", "A 64513-2023")</f>
        <v/>
      </c>
    </row>
    <row r="92" ht="15" customHeight="1">
      <c r="A92" t="inlineStr">
        <is>
          <t>A 61132-2024</t>
        </is>
      </c>
      <c r="B92" s="1" t="n">
        <v>45645</v>
      </c>
      <c r="C92" s="1" t="n">
        <v>46196</v>
      </c>
      <c r="D92" t="inlineStr">
        <is>
          <t>ÖREBRO LÄN</t>
        </is>
      </c>
      <c r="E92" t="inlineStr">
        <is>
          <t>LINDESBERG</t>
        </is>
      </c>
      <c r="F92" t="inlineStr">
        <is>
          <t>Sveaskog</t>
        </is>
      </c>
      <c r="G92" t="n">
        <v>2.5</v>
      </c>
      <c r="H92" t="n">
        <v>0</v>
      </c>
      <c r="I92" t="n">
        <v>1</v>
      </c>
      <c r="J92" t="n">
        <v>0</v>
      </c>
      <c r="K92" t="n">
        <v>0</v>
      </c>
      <c r="L92" t="n">
        <v>0</v>
      </c>
      <c r="M92" t="n">
        <v>0</v>
      </c>
      <c r="N92" t="n">
        <v>0</v>
      </c>
      <c r="O92" t="n">
        <v>0</v>
      </c>
      <c r="P92" t="n">
        <v>0</v>
      </c>
      <c r="Q92" t="n">
        <v>1</v>
      </c>
      <c r="R92" s="2" t="inlineStr">
        <is>
          <t>Bollvitmossa</t>
        </is>
      </c>
      <c r="S92">
        <f>HYPERLINK("https://klasma.github.io/Logging_1885/artfynd/A 61132-2024 artfynd.xlsx", "A 61132-2024")</f>
        <v/>
      </c>
      <c r="T92">
        <f>HYPERLINK("https://klasma.github.io/Logging_1885/kartor/A 61132-2024 karta.png", "A 61132-2024")</f>
        <v/>
      </c>
      <c r="V92">
        <f>HYPERLINK("https://klasma.github.io/Logging_1885/klagomål/A 61132-2024 FSC-klagomål.docx", "A 61132-2024")</f>
        <v/>
      </c>
      <c r="W92">
        <f>HYPERLINK("https://klasma.github.io/Logging_1885/klagomålsmail/A 61132-2024 FSC-klagomål mail.docx", "A 61132-2024")</f>
        <v/>
      </c>
      <c r="X92">
        <f>HYPERLINK("https://klasma.github.io/Logging_1885/tillsyn/A 61132-2024 tillsynsbegäran.docx", "A 61132-2024")</f>
        <v/>
      </c>
      <c r="Y92">
        <f>HYPERLINK("https://klasma.github.io/Logging_1885/tillsynsmail/A 61132-2024 tillsynsbegäran mail.docx", "A 61132-2024")</f>
        <v/>
      </c>
    </row>
    <row r="93" ht="15" customHeight="1">
      <c r="A93" t="inlineStr">
        <is>
          <t>A 21871-2026</t>
        </is>
      </c>
      <c r="B93" s="1" t="n">
        <v>46150</v>
      </c>
      <c r="C93" s="1" t="n">
        <v>46196</v>
      </c>
      <c r="D93" t="inlineStr">
        <is>
          <t>ÖREBRO LÄN</t>
        </is>
      </c>
      <c r="E93" t="inlineStr">
        <is>
          <t>LINDESBERG</t>
        </is>
      </c>
      <c r="F93" t="inlineStr">
        <is>
          <t>Sveaskog</t>
        </is>
      </c>
      <c r="G93" t="n">
        <v>0.9</v>
      </c>
      <c r="H93" t="n">
        <v>0</v>
      </c>
      <c r="I93" t="n">
        <v>0</v>
      </c>
      <c r="J93" t="n">
        <v>1</v>
      </c>
      <c r="K93" t="n">
        <v>0</v>
      </c>
      <c r="L93" t="n">
        <v>0</v>
      </c>
      <c r="M93" t="n">
        <v>0</v>
      </c>
      <c r="N93" t="n">
        <v>0</v>
      </c>
      <c r="O93" t="n">
        <v>1</v>
      </c>
      <c r="P93" t="n">
        <v>0</v>
      </c>
      <c r="Q93" t="n">
        <v>1</v>
      </c>
      <c r="R93" s="2" t="inlineStr">
        <is>
          <t>Barrviolspindling</t>
        </is>
      </c>
      <c r="S93">
        <f>HYPERLINK("https://klasma.github.io/Logging_1885/artfynd/A 21871-2026 artfynd.xlsx", "A 21871-2026")</f>
        <v/>
      </c>
      <c r="T93">
        <f>HYPERLINK("https://klasma.github.io/Logging_1885/kartor/A 21871-2026 karta.png", "A 21871-2026")</f>
        <v/>
      </c>
      <c r="V93">
        <f>HYPERLINK("https://klasma.github.io/Logging_1885/klagomål/A 21871-2026 FSC-klagomål.docx", "A 21871-2026")</f>
        <v/>
      </c>
      <c r="W93">
        <f>HYPERLINK("https://klasma.github.io/Logging_1885/klagomålsmail/A 21871-2026 FSC-klagomål mail.docx", "A 21871-2026")</f>
        <v/>
      </c>
      <c r="X93">
        <f>HYPERLINK("https://klasma.github.io/Logging_1885/tillsyn/A 21871-2026 tillsynsbegäran.docx", "A 21871-2026")</f>
        <v/>
      </c>
      <c r="Y93">
        <f>HYPERLINK("https://klasma.github.io/Logging_1885/tillsynsmail/A 21871-2026 tillsynsbegäran mail.docx", "A 21871-2026")</f>
        <v/>
      </c>
    </row>
    <row r="94" ht="15" customHeight="1">
      <c r="A94" t="inlineStr">
        <is>
          <t>A 34237-2023</t>
        </is>
      </c>
      <c r="B94" s="1" t="n">
        <v>45138</v>
      </c>
      <c r="C94" s="1" t="n">
        <v>46196</v>
      </c>
      <c r="D94" t="inlineStr">
        <is>
          <t>ÖREBRO LÄN</t>
        </is>
      </c>
      <c r="E94" t="inlineStr">
        <is>
          <t>LINDESBERG</t>
        </is>
      </c>
      <c r="F94" t="inlineStr">
        <is>
          <t>Sveaskog</t>
        </is>
      </c>
      <c r="G94" t="n">
        <v>1.4</v>
      </c>
      <c r="H94" t="n">
        <v>1</v>
      </c>
      <c r="I94" t="n">
        <v>0</v>
      </c>
      <c r="J94" t="n">
        <v>0</v>
      </c>
      <c r="K94" t="n">
        <v>0</v>
      </c>
      <c r="L94" t="n">
        <v>0</v>
      </c>
      <c r="M94" t="n">
        <v>0</v>
      </c>
      <c r="N94" t="n">
        <v>0</v>
      </c>
      <c r="O94" t="n">
        <v>0</v>
      </c>
      <c r="P94" t="n">
        <v>0</v>
      </c>
      <c r="Q94" t="n">
        <v>1</v>
      </c>
      <c r="R94" s="2" t="inlineStr">
        <is>
          <t>Spillkråka</t>
        </is>
      </c>
      <c r="S94">
        <f>HYPERLINK("https://klasma.github.io/Logging_1885/artfynd/A 34237-2023 artfynd.xlsx", "A 34237-2023")</f>
        <v/>
      </c>
      <c r="T94">
        <f>HYPERLINK("https://klasma.github.io/Logging_1885/kartor/A 34237-2023 karta.png", "A 34237-2023")</f>
        <v/>
      </c>
      <c r="V94">
        <f>HYPERLINK("https://klasma.github.io/Logging_1885/klagomål/A 34237-2023 FSC-klagomål.docx", "A 34237-2023")</f>
        <v/>
      </c>
      <c r="W94">
        <f>HYPERLINK("https://klasma.github.io/Logging_1885/klagomålsmail/A 34237-2023 FSC-klagomål mail.docx", "A 34237-2023")</f>
        <v/>
      </c>
      <c r="X94">
        <f>HYPERLINK("https://klasma.github.io/Logging_1885/tillsyn/A 34237-2023 tillsynsbegäran.docx", "A 34237-2023")</f>
        <v/>
      </c>
      <c r="Y94">
        <f>HYPERLINK("https://klasma.github.io/Logging_1885/tillsynsmail/A 34237-2023 tillsynsbegäran mail.docx", "A 34237-2023")</f>
        <v/>
      </c>
      <c r="Z94">
        <f>HYPERLINK("https://klasma.github.io/Logging_1885/fåglar/A 34237-2023 prioriterade fågelarter.docx", "A 34237-2023")</f>
        <v/>
      </c>
    </row>
    <row r="95" ht="15" customHeight="1">
      <c r="A95" t="inlineStr">
        <is>
          <t>A 48265-2021</t>
        </is>
      </c>
      <c r="B95" s="1" t="n">
        <v>44449</v>
      </c>
      <c r="C95" s="1" t="n">
        <v>46196</v>
      </c>
      <c r="D95" t="inlineStr">
        <is>
          <t>ÖREBRO LÄN</t>
        </is>
      </c>
      <c r="E95" t="inlineStr">
        <is>
          <t>LINDESBERG</t>
        </is>
      </c>
      <c r="G95" t="n">
        <v>23.7</v>
      </c>
      <c r="H95" t="n">
        <v>1</v>
      </c>
      <c r="I95" t="n">
        <v>1</v>
      </c>
      <c r="J95" t="n">
        <v>0</v>
      </c>
      <c r="K95" t="n">
        <v>0</v>
      </c>
      <c r="L95" t="n">
        <v>0</v>
      </c>
      <c r="M95" t="n">
        <v>0</v>
      </c>
      <c r="N95" t="n">
        <v>0</v>
      </c>
      <c r="O95" t="n">
        <v>0</v>
      </c>
      <c r="P95" t="n">
        <v>0</v>
      </c>
      <c r="Q95" t="n">
        <v>1</v>
      </c>
      <c r="R95" s="2" t="inlineStr">
        <is>
          <t>Grön sköldmossa</t>
        </is>
      </c>
      <c r="S95">
        <f>HYPERLINK("https://klasma.github.io/Logging_1885/artfynd/A 48265-2021 artfynd.xlsx", "A 48265-2021")</f>
        <v/>
      </c>
      <c r="T95">
        <f>HYPERLINK("https://klasma.github.io/Logging_1885/kartor/A 48265-2021 karta.png", "A 48265-2021")</f>
        <v/>
      </c>
      <c r="V95">
        <f>HYPERLINK("https://klasma.github.io/Logging_1885/klagomål/A 48265-2021 FSC-klagomål.docx", "A 48265-2021")</f>
        <v/>
      </c>
      <c r="W95">
        <f>HYPERLINK("https://klasma.github.io/Logging_1885/klagomålsmail/A 48265-2021 FSC-klagomål mail.docx", "A 48265-2021")</f>
        <v/>
      </c>
      <c r="X95">
        <f>HYPERLINK("https://klasma.github.io/Logging_1885/tillsyn/A 48265-2021 tillsynsbegäran.docx", "A 48265-2021")</f>
        <v/>
      </c>
      <c r="Y95">
        <f>HYPERLINK("https://klasma.github.io/Logging_1885/tillsynsmail/A 48265-2021 tillsynsbegäran mail.docx", "A 48265-2021")</f>
        <v/>
      </c>
    </row>
    <row r="96" ht="15" customHeight="1">
      <c r="A96" t="inlineStr">
        <is>
          <t>A 67013-2021</t>
        </is>
      </c>
      <c r="B96" s="1" t="n">
        <v>44522</v>
      </c>
      <c r="C96" s="1" t="n">
        <v>46196</v>
      </c>
      <c r="D96" t="inlineStr">
        <is>
          <t>ÖREBRO LÄN</t>
        </is>
      </c>
      <c r="E96" t="inlineStr">
        <is>
          <t>LINDESBERG</t>
        </is>
      </c>
      <c r="G96" t="n">
        <v>0.5</v>
      </c>
      <c r="H96" t="n">
        <v>0</v>
      </c>
      <c r="I96" t="n">
        <v>0</v>
      </c>
      <c r="J96" t="n">
        <v>1</v>
      </c>
      <c r="K96" t="n">
        <v>0</v>
      </c>
      <c r="L96" t="n">
        <v>0</v>
      </c>
      <c r="M96" t="n">
        <v>0</v>
      </c>
      <c r="N96" t="n">
        <v>0</v>
      </c>
      <c r="O96" t="n">
        <v>1</v>
      </c>
      <c r="P96" t="n">
        <v>0</v>
      </c>
      <c r="Q96" t="n">
        <v>1</v>
      </c>
      <c r="R96" s="2" t="inlineStr">
        <is>
          <t>Skogsklocka</t>
        </is>
      </c>
      <c r="S96">
        <f>HYPERLINK("https://klasma.github.io/Logging_1885/artfynd/A 67013-2021 artfynd.xlsx", "A 67013-2021")</f>
        <v/>
      </c>
      <c r="T96">
        <f>HYPERLINK("https://klasma.github.io/Logging_1885/kartor/A 67013-2021 karta.png", "A 67013-2021")</f>
        <v/>
      </c>
      <c r="V96">
        <f>HYPERLINK("https://klasma.github.io/Logging_1885/klagomål/A 67013-2021 FSC-klagomål.docx", "A 67013-2021")</f>
        <v/>
      </c>
      <c r="W96">
        <f>HYPERLINK("https://klasma.github.io/Logging_1885/klagomålsmail/A 67013-2021 FSC-klagomål mail.docx", "A 67013-2021")</f>
        <v/>
      </c>
      <c r="X96">
        <f>HYPERLINK("https://klasma.github.io/Logging_1885/tillsyn/A 67013-2021 tillsynsbegäran.docx", "A 67013-2021")</f>
        <v/>
      </c>
      <c r="Y96">
        <f>HYPERLINK("https://klasma.github.io/Logging_1885/tillsynsmail/A 67013-2021 tillsynsbegäran mail.docx", "A 67013-2021")</f>
        <v/>
      </c>
    </row>
    <row r="97" ht="15" customHeight="1">
      <c r="A97" t="inlineStr">
        <is>
          <t>A 8139-2023</t>
        </is>
      </c>
      <c r="B97" s="1" t="n">
        <v>44970</v>
      </c>
      <c r="C97" s="1" t="n">
        <v>46196</v>
      </c>
      <c r="D97" t="inlineStr">
        <is>
          <t>ÖREBRO LÄN</t>
        </is>
      </c>
      <c r="E97" t="inlineStr">
        <is>
          <t>LINDESBERG</t>
        </is>
      </c>
      <c r="G97" t="n">
        <v>3.6</v>
      </c>
      <c r="H97" t="n">
        <v>1</v>
      </c>
      <c r="I97" t="n">
        <v>0</v>
      </c>
      <c r="J97" t="n">
        <v>0</v>
      </c>
      <c r="K97" t="n">
        <v>0</v>
      </c>
      <c r="L97" t="n">
        <v>0</v>
      </c>
      <c r="M97" t="n">
        <v>0</v>
      </c>
      <c r="N97" t="n">
        <v>0</v>
      </c>
      <c r="O97" t="n">
        <v>0</v>
      </c>
      <c r="P97" t="n">
        <v>0</v>
      </c>
      <c r="Q97" t="n">
        <v>1</v>
      </c>
      <c r="R97" s="2" t="inlineStr">
        <is>
          <t>Fläcknycklar</t>
        </is>
      </c>
      <c r="S97">
        <f>HYPERLINK("https://klasma.github.io/Logging_1885/artfynd/A 8139-2023 artfynd.xlsx", "A 8139-2023")</f>
        <v/>
      </c>
      <c r="T97">
        <f>HYPERLINK("https://klasma.github.io/Logging_1885/kartor/A 8139-2023 karta.png", "A 8139-2023")</f>
        <v/>
      </c>
      <c r="V97">
        <f>HYPERLINK("https://klasma.github.io/Logging_1885/klagomål/A 8139-2023 FSC-klagomål.docx", "A 8139-2023")</f>
        <v/>
      </c>
      <c r="W97">
        <f>HYPERLINK("https://klasma.github.io/Logging_1885/klagomålsmail/A 8139-2023 FSC-klagomål mail.docx", "A 8139-2023")</f>
        <v/>
      </c>
      <c r="X97">
        <f>HYPERLINK("https://klasma.github.io/Logging_1885/tillsyn/A 8139-2023 tillsynsbegäran.docx", "A 8139-2023")</f>
        <v/>
      </c>
      <c r="Y97">
        <f>HYPERLINK("https://klasma.github.io/Logging_1885/tillsynsmail/A 8139-2023 tillsynsbegäran mail.docx", "A 8139-2023")</f>
        <v/>
      </c>
    </row>
    <row r="98" ht="15" customHeight="1">
      <c r="A98" t="inlineStr">
        <is>
          <t>A 6192-2025</t>
        </is>
      </c>
      <c r="B98" s="1" t="n">
        <v>45698</v>
      </c>
      <c r="C98" s="1" t="n">
        <v>46196</v>
      </c>
      <c r="D98" t="inlineStr">
        <is>
          <t>ÖREBRO LÄN</t>
        </is>
      </c>
      <c r="E98" t="inlineStr">
        <is>
          <t>LINDESBERG</t>
        </is>
      </c>
      <c r="F98" t="inlineStr">
        <is>
          <t>BillerudKorsnäs AB</t>
        </is>
      </c>
      <c r="G98" t="n">
        <v>1.8</v>
      </c>
      <c r="H98" t="n">
        <v>1</v>
      </c>
      <c r="I98" t="n">
        <v>0</v>
      </c>
      <c r="J98" t="n">
        <v>0</v>
      </c>
      <c r="K98" t="n">
        <v>0</v>
      </c>
      <c r="L98" t="n">
        <v>0</v>
      </c>
      <c r="M98" t="n">
        <v>0</v>
      </c>
      <c r="N98" t="n">
        <v>0</v>
      </c>
      <c r="O98" t="n">
        <v>0</v>
      </c>
      <c r="P98" t="n">
        <v>0</v>
      </c>
      <c r="Q98" t="n">
        <v>1</v>
      </c>
      <c r="R98" s="2" t="inlineStr">
        <is>
          <t>Blåsippa</t>
        </is>
      </c>
      <c r="S98">
        <f>HYPERLINK("https://klasma.github.io/Logging_1885/artfynd/A 6192-2025 artfynd.xlsx", "A 6192-2025")</f>
        <v/>
      </c>
      <c r="T98">
        <f>HYPERLINK("https://klasma.github.io/Logging_1885/kartor/A 6192-2025 karta.png", "A 6192-2025")</f>
        <v/>
      </c>
      <c r="V98">
        <f>HYPERLINK("https://klasma.github.io/Logging_1885/klagomål/A 6192-2025 FSC-klagomål.docx", "A 6192-2025")</f>
        <v/>
      </c>
      <c r="W98">
        <f>HYPERLINK("https://klasma.github.io/Logging_1885/klagomålsmail/A 6192-2025 FSC-klagomål mail.docx", "A 6192-2025")</f>
        <v/>
      </c>
      <c r="X98">
        <f>HYPERLINK("https://klasma.github.io/Logging_1885/tillsyn/A 6192-2025 tillsynsbegäran.docx", "A 6192-2025")</f>
        <v/>
      </c>
      <c r="Y98">
        <f>HYPERLINK("https://klasma.github.io/Logging_1885/tillsynsmail/A 6192-2025 tillsynsbegäran mail.docx", "A 6192-2025")</f>
        <v/>
      </c>
    </row>
    <row r="99" ht="15" customHeight="1">
      <c r="A99" t="inlineStr">
        <is>
          <t>A 62866-2023</t>
        </is>
      </c>
      <c r="B99" s="1" t="n">
        <v>45272</v>
      </c>
      <c r="C99" s="1" t="n">
        <v>46196</v>
      </c>
      <c r="D99" t="inlineStr">
        <is>
          <t>ÖREBRO LÄN</t>
        </is>
      </c>
      <c r="E99" t="inlineStr">
        <is>
          <t>LINDESBERG</t>
        </is>
      </c>
      <c r="G99" t="n">
        <v>14.5</v>
      </c>
      <c r="H99" t="n">
        <v>1</v>
      </c>
      <c r="I99" t="n">
        <v>0</v>
      </c>
      <c r="J99" t="n">
        <v>0</v>
      </c>
      <c r="K99" t="n">
        <v>0</v>
      </c>
      <c r="L99" t="n">
        <v>0</v>
      </c>
      <c r="M99" t="n">
        <v>0</v>
      </c>
      <c r="N99" t="n">
        <v>0</v>
      </c>
      <c r="O99" t="n">
        <v>0</v>
      </c>
      <c r="P99" t="n">
        <v>0</v>
      </c>
      <c r="Q99" t="n">
        <v>1</v>
      </c>
      <c r="R99" s="2" t="inlineStr">
        <is>
          <t>Utter</t>
        </is>
      </c>
      <c r="S99">
        <f>HYPERLINK("https://klasma.github.io/Logging_1885/artfynd/A 62866-2023 artfynd.xlsx", "A 62866-2023")</f>
        <v/>
      </c>
      <c r="T99">
        <f>HYPERLINK("https://klasma.github.io/Logging_1885/kartor/A 62866-2023 karta.png", "A 62866-2023")</f>
        <v/>
      </c>
      <c r="V99">
        <f>HYPERLINK("https://klasma.github.io/Logging_1885/klagomål/A 62866-2023 FSC-klagomål.docx", "A 62866-2023")</f>
        <v/>
      </c>
      <c r="W99">
        <f>HYPERLINK("https://klasma.github.io/Logging_1885/klagomålsmail/A 62866-2023 FSC-klagomål mail.docx", "A 62866-2023")</f>
        <v/>
      </c>
      <c r="X99">
        <f>HYPERLINK("https://klasma.github.io/Logging_1885/tillsyn/A 62866-2023 tillsynsbegäran.docx", "A 62866-2023")</f>
        <v/>
      </c>
      <c r="Y99">
        <f>HYPERLINK("https://klasma.github.io/Logging_1885/tillsynsmail/A 62866-2023 tillsynsbegäran mail.docx", "A 62866-2023")</f>
        <v/>
      </c>
    </row>
    <row r="100" ht="15" customHeight="1">
      <c r="A100" t="inlineStr">
        <is>
          <t>A 13884-2023</t>
        </is>
      </c>
      <c r="B100" s="1" t="n">
        <v>45007</v>
      </c>
      <c r="C100" s="1" t="n">
        <v>46196</v>
      </c>
      <c r="D100" t="inlineStr">
        <is>
          <t>ÖREBRO LÄN</t>
        </is>
      </c>
      <c r="E100" t="inlineStr">
        <is>
          <t>LINDESBERG</t>
        </is>
      </c>
      <c r="F100" t="inlineStr">
        <is>
          <t>Kommuner</t>
        </is>
      </c>
      <c r="G100" t="n">
        <v>7.7</v>
      </c>
      <c r="H100" t="n">
        <v>0</v>
      </c>
      <c r="I100" t="n">
        <v>0</v>
      </c>
      <c r="J100" t="n">
        <v>1</v>
      </c>
      <c r="K100" t="n">
        <v>0</v>
      </c>
      <c r="L100" t="n">
        <v>0</v>
      </c>
      <c r="M100" t="n">
        <v>0</v>
      </c>
      <c r="N100" t="n">
        <v>0</v>
      </c>
      <c r="O100" t="n">
        <v>1</v>
      </c>
      <c r="P100" t="n">
        <v>0</v>
      </c>
      <c r="Q100" t="n">
        <v>1</v>
      </c>
      <c r="R100" s="2" t="inlineStr">
        <is>
          <t>Lunglav</t>
        </is>
      </c>
      <c r="S100">
        <f>HYPERLINK("https://klasma.github.io/Logging_1885/artfynd/A 13884-2023 artfynd.xlsx", "A 13884-2023")</f>
        <v/>
      </c>
      <c r="T100">
        <f>HYPERLINK("https://klasma.github.io/Logging_1885/kartor/A 13884-2023 karta.png", "A 13884-2023")</f>
        <v/>
      </c>
      <c r="V100">
        <f>HYPERLINK("https://klasma.github.io/Logging_1885/klagomål/A 13884-2023 FSC-klagomål.docx", "A 13884-2023")</f>
        <v/>
      </c>
      <c r="W100">
        <f>HYPERLINK("https://klasma.github.io/Logging_1885/klagomålsmail/A 13884-2023 FSC-klagomål mail.docx", "A 13884-2023")</f>
        <v/>
      </c>
      <c r="X100">
        <f>HYPERLINK("https://klasma.github.io/Logging_1885/tillsyn/A 13884-2023 tillsynsbegäran.docx", "A 13884-2023")</f>
        <v/>
      </c>
      <c r="Y100">
        <f>HYPERLINK("https://klasma.github.io/Logging_1885/tillsynsmail/A 13884-2023 tillsynsbegäran mail.docx", "A 13884-2023")</f>
        <v/>
      </c>
    </row>
    <row r="101" ht="15" customHeight="1">
      <c r="A101" t="inlineStr">
        <is>
          <t>A 16791-2024</t>
        </is>
      </c>
      <c r="B101" s="1" t="n">
        <v>45411</v>
      </c>
      <c r="C101" s="1" t="n">
        <v>46196</v>
      </c>
      <c r="D101" t="inlineStr">
        <is>
          <t>ÖREBRO LÄN</t>
        </is>
      </c>
      <c r="E101" t="inlineStr">
        <is>
          <t>LINDESBERG</t>
        </is>
      </c>
      <c r="G101" t="n">
        <v>16.1</v>
      </c>
      <c r="H101" t="n">
        <v>1</v>
      </c>
      <c r="I101" t="n">
        <v>0</v>
      </c>
      <c r="J101" t="n">
        <v>0</v>
      </c>
      <c r="K101" t="n">
        <v>0</v>
      </c>
      <c r="L101" t="n">
        <v>0</v>
      </c>
      <c r="M101" t="n">
        <v>0</v>
      </c>
      <c r="N101" t="n">
        <v>0</v>
      </c>
      <c r="O101" t="n">
        <v>0</v>
      </c>
      <c r="P101" t="n">
        <v>0</v>
      </c>
      <c r="Q101" t="n">
        <v>1</v>
      </c>
      <c r="R101" s="2" t="inlineStr">
        <is>
          <t>Spillkråka</t>
        </is>
      </c>
      <c r="S101">
        <f>HYPERLINK("https://klasma.github.io/Logging_1885/artfynd/A 16791-2024 artfynd.xlsx", "A 16791-2024")</f>
        <v/>
      </c>
      <c r="T101">
        <f>HYPERLINK("https://klasma.github.io/Logging_1885/kartor/A 16791-2024 karta.png", "A 16791-2024")</f>
        <v/>
      </c>
      <c r="V101">
        <f>HYPERLINK("https://klasma.github.io/Logging_1885/klagomål/A 16791-2024 FSC-klagomål.docx", "A 16791-2024")</f>
        <v/>
      </c>
      <c r="W101">
        <f>HYPERLINK("https://klasma.github.io/Logging_1885/klagomålsmail/A 16791-2024 FSC-klagomål mail.docx", "A 16791-2024")</f>
        <v/>
      </c>
      <c r="X101">
        <f>HYPERLINK("https://klasma.github.io/Logging_1885/tillsyn/A 16791-2024 tillsynsbegäran.docx", "A 16791-2024")</f>
        <v/>
      </c>
      <c r="Y101">
        <f>HYPERLINK("https://klasma.github.io/Logging_1885/tillsynsmail/A 16791-2024 tillsynsbegäran mail.docx", "A 16791-2024")</f>
        <v/>
      </c>
      <c r="Z101">
        <f>HYPERLINK("https://klasma.github.io/Logging_1885/fåglar/A 16791-2024 prioriterade fågelarter.docx", "A 16791-2024")</f>
        <v/>
      </c>
    </row>
    <row r="102" ht="15" customHeight="1">
      <c r="A102" t="inlineStr">
        <is>
          <t>A 53600-2024</t>
        </is>
      </c>
      <c r="B102" s="1" t="n">
        <v>45614</v>
      </c>
      <c r="C102" s="1" t="n">
        <v>46196</v>
      </c>
      <c r="D102" t="inlineStr">
        <is>
          <t>ÖREBRO LÄN</t>
        </is>
      </c>
      <c r="E102" t="inlineStr">
        <is>
          <t>LINDESBERG</t>
        </is>
      </c>
      <c r="G102" t="n">
        <v>2.2</v>
      </c>
      <c r="H102" t="n">
        <v>1</v>
      </c>
      <c r="I102" t="n">
        <v>0</v>
      </c>
      <c r="J102" t="n">
        <v>0</v>
      </c>
      <c r="K102" t="n">
        <v>0</v>
      </c>
      <c r="L102" t="n">
        <v>1</v>
      </c>
      <c r="M102" t="n">
        <v>0</v>
      </c>
      <c r="N102" t="n">
        <v>0</v>
      </c>
      <c r="O102" t="n">
        <v>1</v>
      </c>
      <c r="P102" t="n">
        <v>1</v>
      </c>
      <c r="Q102" t="n">
        <v>1</v>
      </c>
      <c r="R102" s="2" t="inlineStr">
        <is>
          <t>Asknätfjäril</t>
        </is>
      </c>
      <c r="S102">
        <f>HYPERLINK("https://klasma.github.io/Logging_1885/artfynd/A 53600-2024 artfynd.xlsx", "A 53600-2024")</f>
        <v/>
      </c>
      <c r="T102">
        <f>HYPERLINK("https://klasma.github.io/Logging_1885/kartor/A 53600-2024 karta.png", "A 53600-2024")</f>
        <v/>
      </c>
      <c r="V102">
        <f>HYPERLINK("https://klasma.github.io/Logging_1885/klagomål/A 53600-2024 FSC-klagomål.docx", "A 53600-2024")</f>
        <v/>
      </c>
      <c r="W102">
        <f>HYPERLINK("https://klasma.github.io/Logging_1885/klagomålsmail/A 53600-2024 FSC-klagomål mail.docx", "A 53600-2024")</f>
        <v/>
      </c>
      <c r="X102">
        <f>HYPERLINK("https://klasma.github.io/Logging_1885/tillsyn/A 53600-2024 tillsynsbegäran.docx", "A 53600-2024")</f>
        <v/>
      </c>
      <c r="Y102">
        <f>HYPERLINK("https://klasma.github.io/Logging_1885/tillsynsmail/A 53600-2024 tillsynsbegäran mail.docx", "A 53600-2024")</f>
        <v/>
      </c>
    </row>
    <row r="103" ht="15" customHeight="1">
      <c r="A103" t="inlineStr">
        <is>
          <t>A 70466-2021</t>
        </is>
      </c>
      <c r="B103" s="1" t="n">
        <v>44536</v>
      </c>
      <c r="C103" s="1" t="n">
        <v>46196</v>
      </c>
      <c r="D103" t="inlineStr">
        <is>
          <t>ÖREBRO LÄN</t>
        </is>
      </c>
      <c r="E103" t="inlineStr">
        <is>
          <t>LINDESBERG</t>
        </is>
      </c>
      <c r="G103" t="n">
        <v>4.4</v>
      </c>
      <c r="H103" t="n">
        <v>1</v>
      </c>
      <c r="I103" t="n">
        <v>0</v>
      </c>
      <c r="J103" t="n">
        <v>0</v>
      </c>
      <c r="K103" t="n">
        <v>1</v>
      </c>
      <c r="L103" t="n">
        <v>0</v>
      </c>
      <c r="M103" t="n">
        <v>0</v>
      </c>
      <c r="N103" t="n">
        <v>0</v>
      </c>
      <c r="O103" t="n">
        <v>1</v>
      </c>
      <c r="P103" t="n">
        <v>1</v>
      </c>
      <c r="Q103" t="n">
        <v>1</v>
      </c>
      <c r="R103" s="2" t="inlineStr">
        <is>
          <t>Knärot</t>
        </is>
      </c>
      <c r="S103">
        <f>HYPERLINK("https://klasma.github.io/Logging_1885/artfynd/A 70466-2021 artfynd.xlsx", "A 70466-2021")</f>
        <v/>
      </c>
      <c r="T103">
        <f>HYPERLINK("https://klasma.github.io/Logging_1885/kartor/A 70466-2021 karta.png", "A 70466-2021")</f>
        <v/>
      </c>
      <c r="U103">
        <f>HYPERLINK("https://klasma.github.io/Logging_1885/knärot/A 70466-2021 karta knärot.png", "A 70466-2021")</f>
        <v/>
      </c>
      <c r="V103">
        <f>HYPERLINK("https://klasma.github.io/Logging_1885/klagomål/A 70466-2021 FSC-klagomål.docx", "A 70466-2021")</f>
        <v/>
      </c>
      <c r="W103">
        <f>HYPERLINK("https://klasma.github.io/Logging_1885/klagomålsmail/A 70466-2021 FSC-klagomål mail.docx", "A 70466-2021")</f>
        <v/>
      </c>
      <c r="X103">
        <f>HYPERLINK("https://klasma.github.io/Logging_1885/tillsyn/A 70466-2021 tillsynsbegäran.docx", "A 70466-2021")</f>
        <v/>
      </c>
      <c r="Y103">
        <f>HYPERLINK("https://klasma.github.io/Logging_1885/tillsynsmail/A 70466-2021 tillsynsbegäran mail.docx", "A 70466-2021")</f>
        <v/>
      </c>
    </row>
    <row r="104" ht="15" customHeight="1">
      <c r="A104" t="inlineStr">
        <is>
          <t>A 50964-2023</t>
        </is>
      </c>
      <c r="B104" s="1" t="n">
        <v>45218</v>
      </c>
      <c r="C104" s="1" t="n">
        <v>46196</v>
      </c>
      <c r="D104" t="inlineStr">
        <is>
          <t>ÖREBRO LÄN</t>
        </is>
      </c>
      <c r="E104" t="inlineStr">
        <is>
          <t>LINDESBERG</t>
        </is>
      </c>
      <c r="F104" t="inlineStr">
        <is>
          <t>Sveaskog</t>
        </is>
      </c>
      <c r="G104" t="n">
        <v>0.7</v>
      </c>
      <c r="H104" t="n">
        <v>0</v>
      </c>
      <c r="I104" t="n">
        <v>1</v>
      </c>
      <c r="J104" t="n">
        <v>0</v>
      </c>
      <c r="K104" t="n">
        <v>0</v>
      </c>
      <c r="L104" t="n">
        <v>0</v>
      </c>
      <c r="M104" t="n">
        <v>0</v>
      </c>
      <c r="N104" t="n">
        <v>0</v>
      </c>
      <c r="O104" t="n">
        <v>0</v>
      </c>
      <c r="P104" t="n">
        <v>0</v>
      </c>
      <c r="Q104" t="n">
        <v>1</v>
      </c>
      <c r="R104" s="2" t="inlineStr">
        <is>
          <t>Gulnål</t>
        </is>
      </c>
      <c r="S104">
        <f>HYPERLINK("https://klasma.github.io/Logging_1885/artfynd/A 50964-2023 artfynd.xlsx", "A 50964-2023")</f>
        <v/>
      </c>
      <c r="T104">
        <f>HYPERLINK("https://klasma.github.io/Logging_1885/kartor/A 50964-2023 karta.png", "A 50964-2023")</f>
        <v/>
      </c>
      <c r="V104">
        <f>HYPERLINK("https://klasma.github.io/Logging_1885/klagomål/A 50964-2023 FSC-klagomål.docx", "A 50964-2023")</f>
        <v/>
      </c>
      <c r="W104">
        <f>HYPERLINK("https://klasma.github.io/Logging_1885/klagomålsmail/A 50964-2023 FSC-klagomål mail.docx", "A 50964-2023")</f>
        <v/>
      </c>
      <c r="X104">
        <f>HYPERLINK("https://klasma.github.io/Logging_1885/tillsyn/A 50964-2023 tillsynsbegäran.docx", "A 50964-2023")</f>
        <v/>
      </c>
      <c r="Y104">
        <f>HYPERLINK("https://klasma.github.io/Logging_1885/tillsynsmail/A 50964-2023 tillsynsbegäran mail.docx", "A 50964-2023")</f>
        <v/>
      </c>
    </row>
    <row r="105" ht="15" customHeight="1">
      <c r="A105" t="inlineStr">
        <is>
          <t>A 58206-2023</t>
        </is>
      </c>
      <c r="B105" s="1" t="n">
        <v>45250</v>
      </c>
      <c r="C105" s="1" t="n">
        <v>46196</v>
      </c>
      <c r="D105" t="inlineStr">
        <is>
          <t>ÖREBRO LÄN</t>
        </is>
      </c>
      <c r="E105" t="inlineStr">
        <is>
          <t>LINDESBERG</t>
        </is>
      </c>
      <c r="F105" t="inlineStr">
        <is>
          <t>Sveaskog</t>
        </is>
      </c>
      <c r="G105" t="n">
        <v>1.4</v>
      </c>
      <c r="H105" t="n">
        <v>1</v>
      </c>
      <c r="I105" t="n">
        <v>0</v>
      </c>
      <c r="J105" t="n">
        <v>0</v>
      </c>
      <c r="K105" t="n">
        <v>0</v>
      </c>
      <c r="L105" t="n">
        <v>0</v>
      </c>
      <c r="M105" t="n">
        <v>0</v>
      </c>
      <c r="N105" t="n">
        <v>0</v>
      </c>
      <c r="O105" t="n">
        <v>0</v>
      </c>
      <c r="P105" t="n">
        <v>0</v>
      </c>
      <c r="Q105" t="n">
        <v>1</v>
      </c>
      <c r="R105" s="2" t="inlineStr">
        <is>
          <t>Fläcknycklar</t>
        </is>
      </c>
      <c r="S105">
        <f>HYPERLINK("https://klasma.github.io/Logging_1885/artfynd/A 58206-2023 artfynd.xlsx", "A 58206-2023")</f>
        <v/>
      </c>
      <c r="T105">
        <f>HYPERLINK("https://klasma.github.io/Logging_1885/kartor/A 58206-2023 karta.png", "A 58206-2023")</f>
        <v/>
      </c>
      <c r="V105">
        <f>HYPERLINK("https://klasma.github.io/Logging_1885/klagomål/A 58206-2023 FSC-klagomål.docx", "A 58206-2023")</f>
        <v/>
      </c>
      <c r="W105">
        <f>HYPERLINK("https://klasma.github.io/Logging_1885/klagomålsmail/A 58206-2023 FSC-klagomål mail.docx", "A 58206-2023")</f>
        <v/>
      </c>
      <c r="X105">
        <f>HYPERLINK("https://klasma.github.io/Logging_1885/tillsyn/A 58206-2023 tillsynsbegäran.docx", "A 58206-2023")</f>
        <v/>
      </c>
      <c r="Y105">
        <f>HYPERLINK("https://klasma.github.io/Logging_1885/tillsynsmail/A 58206-2023 tillsynsbegäran mail.docx", "A 58206-2023")</f>
        <v/>
      </c>
    </row>
    <row r="106" ht="15" customHeight="1">
      <c r="A106" t="inlineStr">
        <is>
          <t>A 28787-2023</t>
        </is>
      </c>
      <c r="B106" s="1" t="n">
        <v>45104</v>
      </c>
      <c r="C106" s="1" t="n">
        <v>46196</v>
      </c>
      <c r="D106" t="inlineStr">
        <is>
          <t>ÖREBRO LÄN</t>
        </is>
      </c>
      <c r="E106" t="inlineStr">
        <is>
          <t>LINDESBERG</t>
        </is>
      </c>
      <c r="F106" t="inlineStr">
        <is>
          <t>Sveaskog</t>
        </is>
      </c>
      <c r="G106" t="n">
        <v>0.5</v>
      </c>
      <c r="H106" t="n">
        <v>1</v>
      </c>
      <c r="I106" t="n">
        <v>0</v>
      </c>
      <c r="J106" t="n">
        <v>0</v>
      </c>
      <c r="K106" t="n">
        <v>0</v>
      </c>
      <c r="L106" t="n">
        <v>0</v>
      </c>
      <c r="M106" t="n">
        <v>0</v>
      </c>
      <c r="N106" t="n">
        <v>0</v>
      </c>
      <c r="O106" t="n">
        <v>0</v>
      </c>
      <c r="P106" t="n">
        <v>0</v>
      </c>
      <c r="Q106" t="n">
        <v>1</v>
      </c>
      <c r="R106" s="2" t="inlineStr">
        <is>
          <t>Fläcknycklar</t>
        </is>
      </c>
      <c r="S106">
        <f>HYPERLINK("https://klasma.github.io/Logging_1885/artfynd/A 28787-2023 artfynd.xlsx", "A 28787-2023")</f>
        <v/>
      </c>
      <c r="T106">
        <f>HYPERLINK("https://klasma.github.io/Logging_1885/kartor/A 28787-2023 karta.png", "A 28787-2023")</f>
        <v/>
      </c>
      <c r="V106">
        <f>HYPERLINK("https://klasma.github.io/Logging_1885/klagomål/A 28787-2023 FSC-klagomål.docx", "A 28787-2023")</f>
        <v/>
      </c>
      <c r="W106">
        <f>HYPERLINK("https://klasma.github.io/Logging_1885/klagomålsmail/A 28787-2023 FSC-klagomål mail.docx", "A 28787-2023")</f>
        <v/>
      </c>
      <c r="X106">
        <f>HYPERLINK("https://klasma.github.io/Logging_1885/tillsyn/A 28787-2023 tillsynsbegäran.docx", "A 28787-2023")</f>
        <v/>
      </c>
      <c r="Y106">
        <f>HYPERLINK("https://klasma.github.io/Logging_1885/tillsynsmail/A 28787-2023 tillsynsbegäran mail.docx", "A 28787-2023")</f>
        <v/>
      </c>
    </row>
    <row r="107" ht="15" customHeight="1">
      <c r="A107" t="inlineStr">
        <is>
          <t>A 27130-2024</t>
        </is>
      </c>
      <c r="B107" s="1" t="n">
        <v>45471</v>
      </c>
      <c r="C107" s="1" t="n">
        <v>46196</v>
      </c>
      <c r="D107" t="inlineStr">
        <is>
          <t>ÖREBRO LÄN</t>
        </is>
      </c>
      <c r="E107" t="inlineStr">
        <is>
          <t>LINDESBERG</t>
        </is>
      </c>
      <c r="G107" t="n">
        <v>2</v>
      </c>
      <c r="H107" t="n">
        <v>1</v>
      </c>
      <c r="I107" t="n">
        <v>0</v>
      </c>
      <c r="J107" t="n">
        <v>0</v>
      </c>
      <c r="K107" t="n">
        <v>0</v>
      </c>
      <c r="L107" t="n">
        <v>0</v>
      </c>
      <c r="M107" t="n">
        <v>0</v>
      </c>
      <c r="N107" t="n">
        <v>0</v>
      </c>
      <c r="O107" t="n">
        <v>0</v>
      </c>
      <c r="P107" t="n">
        <v>0</v>
      </c>
      <c r="Q107" t="n">
        <v>1</v>
      </c>
      <c r="R107" s="2" t="inlineStr">
        <is>
          <t>Utter</t>
        </is>
      </c>
      <c r="S107">
        <f>HYPERLINK("https://klasma.github.io/Logging_1885/artfynd/A 27130-2024 artfynd.xlsx", "A 27130-2024")</f>
        <v/>
      </c>
      <c r="T107">
        <f>HYPERLINK("https://klasma.github.io/Logging_1885/kartor/A 27130-2024 karta.png", "A 27130-2024")</f>
        <v/>
      </c>
      <c r="V107">
        <f>HYPERLINK("https://klasma.github.io/Logging_1885/klagomål/A 27130-2024 FSC-klagomål.docx", "A 27130-2024")</f>
        <v/>
      </c>
      <c r="W107">
        <f>HYPERLINK("https://klasma.github.io/Logging_1885/klagomålsmail/A 27130-2024 FSC-klagomål mail.docx", "A 27130-2024")</f>
        <v/>
      </c>
      <c r="X107">
        <f>HYPERLINK("https://klasma.github.io/Logging_1885/tillsyn/A 27130-2024 tillsynsbegäran.docx", "A 27130-2024")</f>
        <v/>
      </c>
      <c r="Y107">
        <f>HYPERLINK("https://klasma.github.io/Logging_1885/tillsynsmail/A 27130-2024 tillsynsbegäran mail.docx", "A 27130-2024")</f>
        <v/>
      </c>
    </row>
    <row r="108" ht="15" customHeight="1">
      <c r="A108" t="inlineStr">
        <is>
          <t>A 6161-2025</t>
        </is>
      </c>
      <c r="B108" s="1" t="n">
        <v>45698</v>
      </c>
      <c r="C108" s="1" t="n">
        <v>46196</v>
      </c>
      <c r="D108" t="inlineStr">
        <is>
          <t>ÖREBRO LÄN</t>
        </is>
      </c>
      <c r="E108" t="inlineStr">
        <is>
          <t>LINDESBERG</t>
        </is>
      </c>
      <c r="F108" t="inlineStr">
        <is>
          <t>Sveaskog</t>
        </is>
      </c>
      <c r="G108" t="n">
        <v>3.7</v>
      </c>
      <c r="H108" t="n">
        <v>1</v>
      </c>
      <c r="I108" t="n">
        <v>0</v>
      </c>
      <c r="J108" t="n">
        <v>1</v>
      </c>
      <c r="K108" t="n">
        <v>0</v>
      </c>
      <c r="L108" t="n">
        <v>0</v>
      </c>
      <c r="M108" t="n">
        <v>0</v>
      </c>
      <c r="N108" t="n">
        <v>0</v>
      </c>
      <c r="O108" t="n">
        <v>1</v>
      </c>
      <c r="P108" t="n">
        <v>0</v>
      </c>
      <c r="Q108" t="n">
        <v>1</v>
      </c>
      <c r="R108" s="2" t="inlineStr">
        <is>
          <t>Nordfladdermus</t>
        </is>
      </c>
      <c r="S108">
        <f>HYPERLINK("https://klasma.github.io/Logging_1885/artfynd/A 6161-2025 artfynd.xlsx", "A 6161-2025")</f>
        <v/>
      </c>
      <c r="T108">
        <f>HYPERLINK("https://klasma.github.io/Logging_1885/kartor/A 6161-2025 karta.png", "A 6161-2025")</f>
        <v/>
      </c>
      <c r="V108">
        <f>HYPERLINK("https://klasma.github.io/Logging_1885/klagomål/A 6161-2025 FSC-klagomål.docx", "A 6161-2025")</f>
        <v/>
      </c>
      <c r="W108">
        <f>HYPERLINK("https://klasma.github.io/Logging_1885/klagomålsmail/A 6161-2025 FSC-klagomål mail.docx", "A 6161-2025")</f>
        <v/>
      </c>
      <c r="X108">
        <f>HYPERLINK("https://klasma.github.io/Logging_1885/tillsyn/A 6161-2025 tillsynsbegäran.docx", "A 6161-2025")</f>
        <v/>
      </c>
      <c r="Y108">
        <f>HYPERLINK("https://klasma.github.io/Logging_1885/tillsynsmail/A 6161-2025 tillsynsbegäran mail.docx", "A 6161-2025")</f>
        <v/>
      </c>
    </row>
    <row r="109" ht="15" customHeight="1">
      <c r="A109" t="inlineStr">
        <is>
          <t>A 6165-2025</t>
        </is>
      </c>
      <c r="B109" s="1" t="n">
        <v>45698</v>
      </c>
      <c r="C109" s="1" t="n">
        <v>46196</v>
      </c>
      <c r="D109" t="inlineStr">
        <is>
          <t>ÖREBRO LÄN</t>
        </is>
      </c>
      <c r="E109" t="inlineStr">
        <is>
          <t>LINDESBERG</t>
        </is>
      </c>
      <c r="F109" t="inlineStr">
        <is>
          <t>Sveaskog</t>
        </is>
      </c>
      <c r="G109" t="n">
        <v>1.4</v>
      </c>
      <c r="H109" t="n">
        <v>0</v>
      </c>
      <c r="I109" t="n">
        <v>1</v>
      </c>
      <c r="J109" t="n">
        <v>0</v>
      </c>
      <c r="K109" t="n">
        <v>0</v>
      </c>
      <c r="L109" t="n">
        <v>0</v>
      </c>
      <c r="M109" t="n">
        <v>0</v>
      </c>
      <c r="N109" t="n">
        <v>0</v>
      </c>
      <c r="O109" t="n">
        <v>0</v>
      </c>
      <c r="P109" t="n">
        <v>0</v>
      </c>
      <c r="Q109" t="n">
        <v>1</v>
      </c>
      <c r="R109" s="2" t="inlineStr">
        <is>
          <t>Bågpraktmossa</t>
        </is>
      </c>
      <c r="S109">
        <f>HYPERLINK("https://klasma.github.io/Logging_1885/artfynd/A 6165-2025 artfynd.xlsx", "A 6165-2025")</f>
        <v/>
      </c>
      <c r="T109">
        <f>HYPERLINK("https://klasma.github.io/Logging_1885/kartor/A 6165-2025 karta.png", "A 6165-2025")</f>
        <v/>
      </c>
      <c r="V109">
        <f>HYPERLINK("https://klasma.github.io/Logging_1885/klagomål/A 6165-2025 FSC-klagomål.docx", "A 6165-2025")</f>
        <v/>
      </c>
      <c r="W109">
        <f>HYPERLINK("https://klasma.github.io/Logging_1885/klagomålsmail/A 6165-2025 FSC-klagomål mail.docx", "A 6165-2025")</f>
        <v/>
      </c>
      <c r="X109">
        <f>HYPERLINK("https://klasma.github.io/Logging_1885/tillsyn/A 6165-2025 tillsynsbegäran.docx", "A 6165-2025")</f>
        <v/>
      </c>
      <c r="Y109">
        <f>HYPERLINK("https://klasma.github.io/Logging_1885/tillsynsmail/A 6165-2025 tillsynsbegäran mail.docx", "A 6165-2025")</f>
        <v/>
      </c>
    </row>
    <row r="110" ht="15" customHeight="1">
      <c r="A110" t="inlineStr">
        <is>
          <t>A 195-2022</t>
        </is>
      </c>
      <c r="B110" s="1" t="n">
        <v>44564</v>
      </c>
      <c r="C110" s="1" t="n">
        <v>46196</v>
      </c>
      <c r="D110" t="inlineStr">
        <is>
          <t>ÖREBRO LÄN</t>
        </is>
      </c>
      <c r="E110" t="inlineStr">
        <is>
          <t>LINDESBERG</t>
        </is>
      </c>
      <c r="G110" t="n">
        <v>4.7</v>
      </c>
      <c r="H110" t="n">
        <v>0</v>
      </c>
      <c r="I110" t="n">
        <v>0</v>
      </c>
      <c r="J110" t="n">
        <v>1</v>
      </c>
      <c r="K110" t="n">
        <v>0</v>
      </c>
      <c r="L110" t="n">
        <v>0</v>
      </c>
      <c r="M110" t="n">
        <v>0</v>
      </c>
      <c r="N110" t="n">
        <v>0</v>
      </c>
      <c r="O110" t="n">
        <v>1</v>
      </c>
      <c r="P110" t="n">
        <v>0</v>
      </c>
      <c r="Q110" t="n">
        <v>1</v>
      </c>
      <c r="R110" s="2" t="inlineStr">
        <is>
          <t>Dropptaggsvamp</t>
        </is>
      </c>
      <c r="S110">
        <f>HYPERLINK("https://klasma.github.io/Logging_1885/artfynd/A 195-2022 artfynd.xlsx", "A 195-2022")</f>
        <v/>
      </c>
      <c r="T110">
        <f>HYPERLINK("https://klasma.github.io/Logging_1885/kartor/A 195-2022 karta.png", "A 195-2022")</f>
        <v/>
      </c>
      <c r="V110">
        <f>HYPERLINK("https://klasma.github.io/Logging_1885/klagomål/A 195-2022 FSC-klagomål.docx", "A 195-2022")</f>
        <v/>
      </c>
      <c r="W110">
        <f>HYPERLINK("https://klasma.github.io/Logging_1885/klagomålsmail/A 195-2022 FSC-klagomål mail.docx", "A 195-2022")</f>
        <v/>
      </c>
      <c r="X110">
        <f>HYPERLINK("https://klasma.github.io/Logging_1885/tillsyn/A 195-2022 tillsynsbegäran.docx", "A 195-2022")</f>
        <v/>
      </c>
      <c r="Y110">
        <f>HYPERLINK("https://klasma.github.io/Logging_1885/tillsynsmail/A 195-2022 tillsynsbegäran mail.docx", "A 195-2022")</f>
        <v/>
      </c>
    </row>
    <row r="111" ht="15" customHeight="1">
      <c r="A111" t="inlineStr">
        <is>
          <t>A 21440-2025</t>
        </is>
      </c>
      <c r="B111" s="1" t="n">
        <v>45782</v>
      </c>
      <c r="C111" s="1" t="n">
        <v>46196</v>
      </c>
      <c r="D111" t="inlineStr">
        <is>
          <t>ÖREBRO LÄN</t>
        </is>
      </c>
      <c r="E111" t="inlineStr">
        <is>
          <t>LINDESBERG</t>
        </is>
      </c>
      <c r="F111" t="inlineStr">
        <is>
          <t>Sveaskog</t>
        </is>
      </c>
      <c r="G111" t="n">
        <v>1.3</v>
      </c>
      <c r="H111" t="n">
        <v>0</v>
      </c>
      <c r="I111" t="n">
        <v>0</v>
      </c>
      <c r="J111" t="n">
        <v>1</v>
      </c>
      <c r="K111" t="n">
        <v>0</v>
      </c>
      <c r="L111" t="n">
        <v>0</v>
      </c>
      <c r="M111" t="n">
        <v>0</v>
      </c>
      <c r="N111" t="n">
        <v>0</v>
      </c>
      <c r="O111" t="n">
        <v>1</v>
      </c>
      <c r="P111" t="n">
        <v>0</v>
      </c>
      <c r="Q111" t="n">
        <v>1</v>
      </c>
      <c r="R111" s="2" t="inlineStr">
        <is>
          <t>Motaggsvamp</t>
        </is>
      </c>
      <c r="S111">
        <f>HYPERLINK("https://klasma.github.io/Logging_1885/artfynd/A 21440-2025 artfynd.xlsx", "A 21440-2025")</f>
        <v/>
      </c>
      <c r="T111">
        <f>HYPERLINK("https://klasma.github.io/Logging_1885/kartor/A 21440-2025 karta.png", "A 21440-2025")</f>
        <v/>
      </c>
      <c r="V111">
        <f>HYPERLINK("https://klasma.github.io/Logging_1885/klagomål/A 21440-2025 FSC-klagomål.docx", "A 21440-2025")</f>
        <v/>
      </c>
      <c r="W111">
        <f>HYPERLINK("https://klasma.github.io/Logging_1885/klagomålsmail/A 21440-2025 FSC-klagomål mail.docx", "A 21440-2025")</f>
        <v/>
      </c>
      <c r="X111">
        <f>HYPERLINK("https://klasma.github.io/Logging_1885/tillsyn/A 21440-2025 tillsynsbegäran.docx", "A 21440-2025")</f>
        <v/>
      </c>
      <c r="Y111">
        <f>HYPERLINK("https://klasma.github.io/Logging_1885/tillsynsmail/A 21440-2025 tillsynsbegäran mail.docx", "A 21440-2025")</f>
        <v/>
      </c>
    </row>
    <row r="112" ht="15" customHeight="1">
      <c r="A112" t="inlineStr">
        <is>
          <t>A 56049-2022</t>
        </is>
      </c>
      <c r="B112" s="1" t="n">
        <v>44889</v>
      </c>
      <c r="C112" s="1" t="n">
        <v>46196</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43154-2021</t>
        </is>
      </c>
      <c r="B113" s="1" t="n">
        <v>44431</v>
      </c>
      <c r="C113" s="1" t="n">
        <v>46196</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47457-2022</t>
        </is>
      </c>
      <c r="B114" s="1" t="n">
        <v>44853</v>
      </c>
      <c r="C114" s="1" t="n">
        <v>46196</v>
      </c>
      <c r="D114" t="inlineStr">
        <is>
          <t>ÖREBRO LÄN</t>
        </is>
      </c>
      <c r="E114" t="inlineStr">
        <is>
          <t>LINDESBERG</t>
        </is>
      </c>
      <c r="G114" t="n">
        <v>3.7</v>
      </c>
      <c r="H114" t="n">
        <v>0</v>
      </c>
      <c r="I114" t="n">
        <v>0</v>
      </c>
      <c r="J114" t="n">
        <v>0</v>
      </c>
      <c r="K114" t="n">
        <v>0</v>
      </c>
      <c r="L114" t="n">
        <v>0</v>
      </c>
      <c r="M114" t="n">
        <v>0</v>
      </c>
      <c r="N114" t="n">
        <v>0</v>
      </c>
      <c r="O114" t="n">
        <v>0</v>
      </c>
      <c r="P114" t="n">
        <v>0</v>
      </c>
      <c r="Q114" t="n">
        <v>0</v>
      </c>
      <c r="R114" s="2" t="inlineStr"/>
    </row>
    <row r="115" ht="15" customHeight="1">
      <c r="A115" t="inlineStr">
        <is>
          <t>A 60302-2021</t>
        </is>
      </c>
      <c r="B115" s="1" t="n">
        <v>44495</v>
      </c>
      <c r="C115" s="1" t="n">
        <v>46196</v>
      </c>
      <c r="D115" t="inlineStr">
        <is>
          <t>ÖREBRO LÄN</t>
        </is>
      </c>
      <c r="E115" t="inlineStr">
        <is>
          <t>LINDESBERG</t>
        </is>
      </c>
      <c r="G115" t="n">
        <v>3.2</v>
      </c>
      <c r="H115" t="n">
        <v>0</v>
      </c>
      <c r="I115" t="n">
        <v>0</v>
      </c>
      <c r="J115" t="n">
        <v>0</v>
      </c>
      <c r="K115" t="n">
        <v>0</v>
      </c>
      <c r="L115" t="n">
        <v>0</v>
      </c>
      <c r="M115" t="n">
        <v>0</v>
      </c>
      <c r="N115" t="n">
        <v>0</v>
      </c>
      <c r="O115" t="n">
        <v>0</v>
      </c>
      <c r="P115" t="n">
        <v>0</v>
      </c>
      <c r="Q115" t="n">
        <v>0</v>
      </c>
      <c r="R115" s="2" t="inlineStr"/>
    </row>
    <row r="116" ht="15" customHeight="1">
      <c r="A116" t="inlineStr">
        <is>
          <t>A 47336-2021</t>
        </is>
      </c>
      <c r="B116" s="1" t="n">
        <v>44447</v>
      </c>
      <c r="C116" s="1" t="n">
        <v>46196</v>
      </c>
      <c r="D116" t="inlineStr">
        <is>
          <t>ÖREBRO LÄN</t>
        </is>
      </c>
      <c r="E116" t="inlineStr">
        <is>
          <t>LINDESBERG</t>
        </is>
      </c>
      <c r="F116" t="inlineStr">
        <is>
          <t>Kommuner</t>
        </is>
      </c>
      <c r="G116" t="n">
        <v>3.6</v>
      </c>
      <c r="H116" t="n">
        <v>0</v>
      </c>
      <c r="I116" t="n">
        <v>0</v>
      </c>
      <c r="J116" t="n">
        <v>0</v>
      </c>
      <c r="K116" t="n">
        <v>0</v>
      </c>
      <c r="L116" t="n">
        <v>0</v>
      </c>
      <c r="M116" t="n">
        <v>0</v>
      </c>
      <c r="N116" t="n">
        <v>0</v>
      </c>
      <c r="O116" t="n">
        <v>0</v>
      </c>
      <c r="P116" t="n">
        <v>0</v>
      </c>
      <c r="Q116" t="n">
        <v>0</v>
      </c>
      <c r="R116" s="2" t="inlineStr"/>
    </row>
    <row r="117" ht="15" customHeight="1">
      <c r="A117" t="inlineStr">
        <is>
          <t>A 48986-2021</t>
        </is>
      </c>
      <c r="B117" s="1" t="n">
        <v>44453</v>
      </c>
      <c r="C117" s="1" t="n">
        <v>46196</v>
      </c>
      <c r="D117" t="inlineStr">
        <is>
          <t>ÖREBRO LÄN</t>
        </is>
      </c>
      <c r="E117" t="inlineStr">
        <is>
          <t>LINDESBERG</t>
        </is>
      </c>
      <c r="G117" t="n">
        <v>1.5</v>
      </c>
      <c r="H117" t="n">
        <v>0</v>
      </c>
      <c r="I117" t="n">
        <v>0</v>
      </c>
      <c r="J117" t="n">
        <v>0</v>
      </c>
      <c r="K117" t="n">
        <v>0</v>
      </c>
      <c r="L117" t="n">
        <v>0</v>
      </c>
      <c r="M117" t="n">
        <v>0</v>
      </c>
      <c r="N117" t="n">
        <v>0</v>
      </c>
      <c r="O117" t="n">
        <v>0</v>
      </c>
      <c r="P117" t="n">
        <v>0</v>
      </c>
      <c r="Q117" t="n">
        <v>0</v>
      </c>
      <c r="R117" s="2" t="inlineStr"/>
    </row>
    <row r="118" ht="15" customHeight="1">
      <c r="A118" t="inlineStr">
        <is>
          <t>A 57817-2021</t>
        </is>
      </c>
      <c r="B118" s="1" t="n">
        <v>44484</v>
      </c>
      <c r="C118" s="1" t="n">
        <v>46196</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63285-2021</t>
        </is>
      </c>
      <c r="B119" s="1" t="n">
        <v>44508</v>
      </c>
      <c r="C119" s="1" t="n">
        <v>46196</v>
      </c>
      <c r="D119" t="inlineStr">
        <is>
          <t>ÖREBRO LÄN</t>
        </is>
      </c>
      <c r="E119" t="inlineStr">
        <is>
          <t>LINDESBERG</t>
        </is>
      </c>
      <c r="G119" t="n">
        <v>0.9</v>
      </c>
      <c r="H119" t="n">
        <v>0</v>
      </c>
      <c r="I119" t="n">
        <v>0</v>
      </c>
      <c r="J119" t="n">
        <v>0</v>
      </c>
      <c r="K119" t="n">
        <v>0</v>
      </c>
      <c r="L119" t="n">
        <v>0</v>
      </c>
      <c r="M119" t="n">
        <v>0</v>
      </c>
      <c r="N119" t="n">
        <v>0</v>
      </c>
      <c r="O119" t="n">
        <v>0</v>
      </c>
      <c r="P119" t="n">
        <v>0</v>
      </c>
      <c r="Q119" t="n">
        <v>0</v>
      </c>
      <c r="R119" s="2" t="inlineStr"/>
    </row>
    <row r="120" ht="15" customHeight="1">
      <c r="A120" t="inlineStr">
        <is>
          <t>A 62586-2021</t>
        </is>
      </c>
      <c r="B120" s="1" t="n">
        <v>44503</v>
      </c>
      <c r="C120" s="1" t="n">
        <v>46196</v>
      </c>
      <c r="D120" t="inlineStr">
        <is>
          <t>ÖREBRO LÄN</t>
        </is>
      </c>
      <c r="E120" t="inlineStr">
        <is>
          <t>LINDESBERG</t>
        </is>
      </c>
      <c r="G120" t="n">
        <v>3.9</v>
      </c>
      <c r="H120" t="n">
        <v>0</v>
      </c>
      <c r="I120" t="n">
        <v>0</v>
      </c>
      <c r="J120" t="n">
        <v>0</v>
      </c>
      <c r="K120" t="n">
        <v>0</v>
      </c>
      <c r="L120" t="n">
        <v>0</v>
      </c>
      <c r="M120" t="n">
        <v>0</v>
      </c>
      <c r="N120" t="n">
        <v>0</v>
      </c>
      <c r="O120" t="n">
        <v>0</v>
      </c>
      <c r="P120" t="n">
        <v>0</v>
      </c>
      <c r="Q120" t="n">
        <v>0</v>
      </c>
      <c r="R120" s="2" t="inlineStr"/>
    </row>
    <row r="121" ht="15" customHeight="1">
      <c r="A121" t="inlineStr">
        <is>
          <t>A 51468-2021</t>
        </is>
      </c>
      <c r="B121" s="1" t="n">
        <v>44462</v>
      </c>
      <c r="C121" s="1" t="n">
        <v>46196</v>
      </c>
      <c r="D121" t="inlineStr">
        <is>
          <t>ÖREBRO LÄN</t>
        </is>
      </c>
      <c r="E121" t="inlineStr">
        <is>
          <t>LINDESBERG</t>
        </is>
      </c>
      <c r="F121" t="inlineStr">
        <is>
          <t>Kyrkan</t>
        </is>
      </c>
      <c r="G121" t="n">
        <v>0.8</v>
      </c>
      <c r="H121" t="n">
        <v>0</v>
      </c>
      <c r="I121" t="n">
        <v>0</v>
      </c>
      <c r="J121" t="n">
        <v>0</v>
      </c>
      <c r="K121" t="n">
        <v>0</v>
      </c>
      <c r="L121" t="n">
        <v>0</v>
      </c>
      <c r="M121" t="n">
        <v>0</v>
      </c>
      <c r="N121" t="n">
        <v>0</v>
      </c>
      <c r="O121" t="n">
        <v>0</v>
      </c>
      <c r="P121" t="n">
        <v>0</v>
      </c>
      <c r="Q121" t="n">
        <v>0</v>
      </c>
      <c r="R121" s="2" t="inlineStr"/>
    </row>
    <row r="122" ht="15" customHeight="1">
      <c r="A122" t="inlineStr">
        <is>
          <t>A 35739-2021</t>
        </is>
      </c>
      <c r="B122" s="1" t="n">
        <v>44386</v>
      </c>
      <c r="C122" s="1" t="n">
        <v>46196</v>
      </c>
      <c r="D122" t="inlineStr">
        <is>
          <t>ÖREBRO LÄN</t>
        </is>
      </c>
      <c r="E122" t="inlineStr">
        <is>
          <t>LINDESBERG</t>
        </is>
      </c>
      <c r="G122" t="n">
        <v>5.5</v>
      </c>
      <c r="H122" t="n">
        <v>0</v>
      </c>
      <c r="I122" t="n">
        <v>0</v>
      </c>
      <c r="J122" t="n">
        <v>0</v>
      </c>
      <c r="K122" t="n">
        <v>0</v>
      </c>
      <c r="L122" t="n">
        <v>0</v>
      </c>
      <c r="M122" t="n">
        <v>0</v>
      </c>
      <c r="N122" t="n">
        <v>0</v>
      </c>
      <c r="O122" t="n">
        <v>0</v>
      </c>
      <c r="P122" t="n">
        <v>0</v>
      </c>
      <c r="Q122" t="n">
        <v>0</v>
      </c>
      <c r="R122" s="2" t="inlineStr"/>
    </row>
    <row r="123" ht="15" customHeight="1">
      <c r="A123" t="inlineStr">
        <is>
          <t>A 42511-2021</t>
        </is>
      </c>
      <c r="B123" s="1" t="n">
        <v>44427</v>
      </c>
      <c r="C123" s="1" t="n">
        <v>46196</v>
      </c>
      <c r="D123" t="inlineStr">
        <is>
          <t>ÖREBRO LÄN</t>
        </is>
      </c>
      <c r="E123" t="inlineStr">
        <is>
          <t>LINDESBERG</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45961-2021</t>
        </is>
      </c>
      <c r="B124" s="1" t="n">
        <v>44441</v>
      </c>
      <c r="C124" s="1" t="n">
        <v>46196</v>
      </c>
      <c r="D124" t="inlineStr">
        <is>
          <t>ÖREBRO LÄN</t>
        </is>
      </c>
      <c r="E124" t="inlineStr">
        <is>
          <t>LINDESBERG</t>
        </is>
      </c>
      <c r="G124" t="n">
        <v>1</v>
      </c>
      <c r="H124" t="n">
        <v>0</v>
      </c>
      <c r="I124" t="n">
        <v>0</v>
      </c>
      <c r="J124" t="n">
        <v>0</v>
      </c>
      <c r="K124" t="n">
        <v>0</v>
      </c>
      <c r="L124" t="n">
        <v>0</v>
      </c>
      <c r="M124" t="n">
        <v>0</v>
      </c>
      <c r="N124" t="n">
        <v>0</v>
      </c>
      <c r="O124" t="n">
        <v>0</v>
      </c>
      <c r="P124" t="n">
        <v>0</v>
      </c>
      <c r="Q124" t="n">
        <v>0</v>
      </c>
      <c r="R124" s="2" t="inlineStr"/>
    </row>
    <row r="125" ht="15" customHeight="1">
      <c r="A125" t="inlineStr">
        <is>
          <t>A 43153-2021</t>
        </is>
      </c>
      <c r="B125" s="1" t="n">
        <v>44431</v>
      </c>
      <c r="C125" s="1" t="n">
        <v>46196</v>
      </c>
      <c r="D125" t="inlineStr">
        <is>
          <t>ÖREBRO LÄN</t>
        </is>
      </c>
      <c r="E125" t="inlineStr">
        <is>
          <t>LINDESBERG</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8555-2022</t>
        </is>
      </c>
      <c r="B126" s="1" t="n">
        <v>44613</v>
      </c>
      <c r="C126" s="1" t="n">
        <v>46196</v>
      </c>
      <c r="D126" t="inlineStr">
        <is>
          <t>ÖREBRO LÄN</t>
        </is>
      </c>
      <c r="E126" t="inlineStr">
        <is>
          <t>LINDESBERG</t>
        </is>
      </c>
      <c r="G126" t="n">
        <v>8.1</v>
      </c>
      <c r="H126" t="n">
        <v>0</v>
      </c>
      <c r="I126" t="n">
        <v>0</v>
      </c>
      <c r="J126" t="n">
        <v>0</v>
      </c>
      <c r="K126" t="n">
        <v>0</v>
      </c>
      <c r="L126" t="n">
        <v>0</v>
      </c>
      <c r="M126" t="n">
        <v>0</v>
      </c>
      <c r="N126" t="n">
        <v>0</v>
      </c>
      <c r="O126" t="n">
        <v>0</v>
      </c>
      <c r="P126" t="n">
        <v>0</v>
      </c>
      <c r="Q126" t="n">
        <v>0</v>
      </c>
      <c r="R126" s="2" t="inlineStr"/>
    </row>
    <row r="127" ht="15" customHeight="1">
      <c r="A127" t="inlineStr">
        <is>
          <t>A 23583-2022</t>
        </is>
      </c>
      <c r="B127" s="1" t="n">
        <v>44721</v>
      </c>
      <c r="C127" s="1" t="n">
        <v>46196</v>
      </c>
      <c r="D127" t="inlineStr">
        <is>
          <t>ÖREBRO LÄN</t>
        </is>
      </c>
      <c r="E127" t="inlineStr">
        <is>
          <t>LINDESBERG</t>
        </is>
      </c>
      <c r="G127" t="n">
        <v>3.7</v>
      </c>
      <c r="H127" t="n">
        <v>0</v>
      </c>
      <c r="I127" t="n">
        <v>0</v>
      </c>
      <c r="J127" t="n">
        <v>0</v>
      </c>
      <c r="K127" t="n">
        <v>0</v>
      </c>
      <c r="L127" t="n">
        <v>0</v>
      </c>
      <c r="M127" t="n">
        <v>0</v>
      </c>
      <c r="N127" t="n">
        <v>0</v>
      </c>
      <c r="O127" t="n">
        <v>0</v>
      </c>
      <c r="P127" t="n">
        <v>0</v>
      </c>
      <c r="Q127" t="n">
        <v>0</v>
      </c>
      <c r="R127" s="2" t="inlineStr"/>
    </row>
    <row r="128" ht="15" customHeight="1">
      <c r="A128" t="inlineStr">
        <is>
          <t>A 23971-2022</t>
        </is>
      </c>
      <c r="B128" s="1" t="n">
        <v>44722</v>
      </c>
      <c r="C128" s="1" t="n">
        <v>46196</v>
      </c>
      <c r="D128" t="inlineStr">
        <is>
          <t>ÖREBRO LÄN</t>
        </is>
      </c>
      <c r="E128" t="inlineStr">
        <is>
          <t>LINDESBERG</t>
        </is>
      </c>
      <c r="G128" t="n">
        <v>6.1</v>
      </c>
      <c r="H128" t="n">
        <v>0</v>
      </c>
      <c r="I128" t="n">
        <v>0</v>
      </c>
      <c r="J128" t="n">
        <v>0</v>
      </c>
      <c r="K128" t="n">
        <v>0</v>
      </c>
      <c r="L128" t="n">
        <v>0</v>
      </c>
      <c r="M128" t="n">
        <v>0</v>
      </c>
      <c r="N128" t="n">
        <v>0</v>
      </c>
      <c r="O128" t="n">
        <v>0</v>
      </c>
      <c r="P128" t="n">
        <v>0</v>
      </c>
      <c r="Q128" t="n">
        <v>0</v>
      </c>
      <c r="R128" s="2" t="inlineStr"/>
    </row>
    <row r="129" ht="15" customHeight="1">
      <c r="A129" t="inlineStr">
        <is>
          <t>A 49743-2022</t>
        </is>
      </c>
      <c r="B129" s="1" t="n">
        <v>44862</v>
      </c>
      <c r="C129" s="1" t="n">
        <v>46196</v>
      </c>
      <c r="D129" t="inlineStr">
        <is>
          <t>ÖREBRO LÄN</t>
        </is>
      </c>
      <c r="E129" t="inlineStr">
        <is>
          <t>LINDESBERG</t>
        </is>
      </c>
      <c r="F129" t="inlineStr">
        <is>
          <t>Sveaskog</t>
        </is>
      </c>
      <c r="G129" t="n">
        <v>3.5</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46196</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51122-2021</t>
        </is>
      </c>
      <c r="B131" s="1" t="n">
        <v>44460</v>
      </c>
      <c r="C131" s="1" t="n">
        <v>46196</v>
      </c>
      <c r="D131" t="inlineStr">
        <is>
          <t>ÖREBRO LÄN</t>
        </is>
      </c>
      <c r="E131" t="inlineStr">
        <is>
          <t>LINDESBERG</t>
        </is>
      </c>
      <c r="G131" t="n">
        <v>1.9</v>
      </c>
      <c r="H131" t="n">
        <v>0</v>
      </c>
      <c r="I131" t="n">
        <v>0</v>
      </c>
      <c r="J131" t="n">
        <v>0</v>
      </c>
      <c r="K131" t="n">
        <v>0</v>
      </c>
      <c r="L131" t="n">
        <v>0</v>
      </c>
      <c r="M131" t="n">
        <v>0</v>
      </c>
      <c r="N131" t="n">
        <v>0</v>
      </c>
      <c r="O131" t="n">
        <v>0</v>
      </c>
      <c r="P131" t="n">
        <v>0</v>
      </c>
      <c r="Q131" t="n">
        <v>0</v>
      </c>
      <c r="R131" s="2" t="inlineStr"/>
    </row>
    <row r="132" ht="15" customHeight="1">
      <c r="A132" t="inlineStr">
        <is>
          <t>A 56695-2021</t>
        </is>
      </c>
      <c r="B132" s="1" t="n">
        <v>44481</v>
      </c>
      <c r="C132" s="1" t="n">
        <v>46196</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12522-2022</t>
        </is>
      </c>
      <c r="B133" s="1" t="n">
        <v>44638</v>
      </c>
      <c r="C133" s="1" t="n">
        <v>46196</v>
      </c>
      <c r="D133" t="inlineStr">
        <is>
          <t>ÖREBRO LÄN</t>
        </is>
      </c>
      <c r="E133" t="inlineStr">
        <is>
          <t>LINDESBERG</t>
        </is>
      </c>
      <c r="G133" t="n">
        <v>6.2</v>
      </c>
      <c r="H133" t="n">
        <v>0</v>
      </c>
      <c r="I133" t="n">
        <v>0</v>
      </c>
      <c r="J133" t="n">
        <v>0</v>
      </c>
      <c r="K133" t="n">
        <v>0</v>
      </c>
      <c r="L133" t="n">
        <v>0</v>
      </c>
      <c r="M133" t="n">
        <v>0</v>
      </c>
      <c r="N133" t="n">
        <v>0</v>
      </c>
      <c r="O133" t="n">
        <v>0</v>
      </c>
      <c r="P133" t="n">
        <v>0</v>
      </c>
      <c r="Q133" t="n">
        <v>0</v>
      </c>
      <c r="R133" s="2" t="inlineStr"/>
    </row>
    <row r="134" ht="15" customHeight="1">
      <c r="A134" t="inlineStr">
        <is>
          <t>A 29623-2022</t>
        </is>
      </c>
      <c r="B134" s="1" t="n">
        <v>44754</v>
      </c>
      <c r="C134" s="1" t="n">
        <v>46196</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22738-2022</t>
        </is>
      </c>
      <c r="B135" s="1" t="n">
        <v>44714</v>
      </c>
      <c r="C135" s="1" t="n">
        <v>46196</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10821-2022</t>
        </is>
      </c>
      <c r="B136" s="1" t="n">
        <v>44627</v>
      </c>
      <c r="C136" s="1" t="n">
        <v>46196</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33760-2022</t>
        </is>
      </c>
      <c r="B137" s="1" t="n">
        <v>44790</v>
      </c>
      <c r="C137" s="1" t="n">
        <v>46196</v>
      </c>
      <c r="D137" t="inlineStr">
        <is>
          <t>ÖREBRO LÄN</t>
        </is>
      </c>
      <c r="E137" t="inlineStr">
        <is>
          <t>LINDESBERG</t>
        </is>
      </c>
      <c r="G137" t="n">
        <v>0.5</v>
      </c>
      <c r="H137" t="n">
        <v>0</v>
      </c>
      <c r="I137" t="n">
        <v>0</v>
      </c>
      <c r="J137" t="n">
        <v>0</v>
      </c>
      <c r="K137" t="n">
        <v>0</v>
      </c>
      <c r="L137" t="n">
        <v>0</v>
      </c>
      <c r="M137" t="n">
        <v>0</v>
      </c>
      <c r="N137" t="n">
        <v>0</v>
      </c>
      <c r="O137" t="n">
        <v>0</v>
      </c>
      <c r="P137" t="n">
        <v>0</v>
      </c>
      <c r="Q137" t="n">
        <v>0</v>
      </c>
      <c r="R137" s="2" t="inlineStr"/>
    </row>
    <row r="138" ht="15" customHeight="1">
      <c r="A138" t="inlineStr">
        <is>
          <t>A 16939-2022</t>
        </is>
      </c>
      <c r="B138" s="1" t="n">
        <v>44676</v>
      </c>
      <c r="C138" s="1" t="n">
        <v>46196</v>
      </c>
      <c r="D138" t="inlineStr">
        <is>
          <t>ÖREBRO LÄN</t>
        </is>
      </c>
      <c r="E138" t="inlineStr">
        <is>
          <t>LINDESBERG</t>
        </is>
      </c>
      <c r="G138" t="n">
        <v>1.7</v>
      </c>
      <c r="H138" t="n">
        <v>0</v>
      </c>
      <c r="I138" t="n">
        <v>0</v>
      </c>
      <c r="J138" t="n">
        <v>0</v>
      </c>
      <c r="K138" t="n">
        <v>0</v>
      </c>
      <c r="L138" t="n">
        <v>0</v>
      </c>
      <c r="M138" t="n">
        <v>0</v>
      </c>
      <c r="N138" t="n">
        <v>0</v>
      </c>
      <c r="O138" t="n">
        <v>0</v>
      </c>
      <c r="P138" t="n">
        <v>0</v>
      </c>
      <c r="Q138" t="n">
        <v>0</v>
      </c>
      <c r="R138" s="2" t="inlineStr"/>
    </row>
    <row r="139" ht="15" customHeight="1">
      <c r="A139" t="inlineStr">
        <is>
          <t>A 33309-2021</t>
        </is>
      </c>
      <c r="B139" s="1" t="n">
        <v>44377</v>
      </c>
      <c r="C139" s="1" t="n">
        <v>46196</v>
      </c>
      <c r="D139" t="inlineStr">
        <is>
          <t>ÖREBRO LÄN</t>
        </is>
      </c>
      <c r="E139" t="inlineStr">
        <is>
          <t>LINDESBERG</t>
        </is>
      </c>
      <c r="G139" t="n">
        <v>2.2</v>
      </c>
      <c r="H139" t="n">
        <v>0</v>
      </c>
      <c r="I139" t="n">
        <v>0</v>
      </c>
      <c r="J139" t="n">
        <v>0</v>
      </c>
      <c r="K139" t="n">
        <v>0</v>
      </c>
      <c r="L139" t="n">
        <v>0</v>
      </c>
      <c r="M139" t="n">
        <v>0</v>
      </c>
      <c r="N139" t="n">
        <v>0</v>
      </c>
      <c r="O139" t="n">
        <v>0</v>
      </c>
      <c r="P139" t="n">
        <v>0</v>
      </c>
      <c r="Q139" t="n">
        <v>0</v>
      </c>
      <c r="R139" s="2" t="inlineStr"/>
    </row>
    <row r="140" ht="15" customHeight="1">
      <c r="A140" t="inlineStr">
        <is>
          <t>A 33322-2021</t>
        </is>
      </c>
      <c r="B140" s="1" t="n">
        <v>44377</v>
      </c>
      <c r="C140" s="1" t="n">
        <v>46196</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11361-2022</t>
        </is>
      </c>
      <c r="B141" s="1" t="n">
        <v>44630</v>
      </c>
      <c r="C141" s="1" t="n">
        <v>46196</v>
      </c>
      <c r="D141" t="inlineStr">
        <is>
          <t>ÖREBRO LÄN</t>
        </is>
      </c>
      <c r="E141" t="inlineStr">
        <is>
          <t>LINDESBERG</t>
        </is>
      </c>
      <c r="G141" t="n">
        <v>2.9</v>
      </c>
      <c r="H141" t="n">
        <v>0</v>
      </c>
      <c r="I141" t="n">
        <v>0</v>
      </c>
      <c r="J141" t="n">
        <v>0</v>
      </c>
      <c r="K141" t="n">
        <v>0</v>
      </c>
      <c r="L141" t="n">
        <v>0</v>
      </c>
      <c r="M141" t="n">
        <v>0</v>
      </c>
      <c r="N141" t="n">
        <v>0</v>
      </c>
      <c r="O141" t="n">
        <v>0</v>
      </c>
      <c r="P141" t="n">
        <v>0</v>
      </c>
      <c r="Q141" t="n">
        <v>0</v>
      </c>
      <c r="R141" s="2" t="inlineStr"/>
    </row>
    <row r="142" ht="15" customHeight="1">
      <c r="A142" t="inlineStr">
        <is>
          <t>A 49745-2022</t>
        </is>
      </c>
      <c r="B142" s="1" t="n">
        <v>44862</v>
      </c>
      <c r="C142" s="1" t="n">
        <v>46196</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6958-2022</t>
        </is>
      </c>
      <c r="B143" s="1" t="n">
        <v>44603</v>
      </c>
      <c r="C143" s="1" t="n">
        <v>46196</v>
      </c>
      <c r="D143" t="inlineStr">
        <is>
          <t>ÖREBRO LÄN</t>
        </is>
      </c>
      <c r="E143" t="inlineStr">
        <is>
          <t>LINDESBERG</t>
        </is>
      </c>
      <c r="G143" t="n">
        <v>1.4</v>
      </c>
      <c r="H143" t="n">
        <v>0</v>
      </c>
      <c r="I143" t="n">
        <v>0</v>
      </c>
      <c r="J143" t="n">
        <v>0</v>
      </c>
      <c r="K143" t="n">
        <v>0</v>
      </c>
      <c r="L143" t="n">
        <v>0</v>
      </c>
      <c r="M143" t="n">
        <v>0</v>
      </c>
      <c r="N143" t="n">
        <v>0</v>
      </c>
      <c r="O143" t="n">
        <v>0</v>
      </c>
      <c r="P143" t="n">
        <v>0</v>
      </c>
      <c r="Q143" t="n">
        <v>0</v>
      </c>
      <c r="R143" s="2" t="inlineStr"/>
    </row>
    <row r="144" ht="15" customHeight="1">
      <c r="A144" t="inlineStr">
        <is>
          <t>A 11164-2022</t>
        </is>
      </c>
      <c r="B144" s="1" t="n">
        <v>44629</v>
      </c>
      <c r="C144" s="1" t="n">
        <v>46196</v>
      </c>
      <c r="D144" t="inlineStr">
        <is>
          <t>ÖREBRO LÄN</t>
        </is>
      </c>
      <c r="E144" t="inlineStr">
        <is>
          <t>LINDESBERG</t>
        </is>
      </c>
      <c r="G144" t="n">
        <v>6.7</v>
      </c>
      <c r="H144" t="n">
        <v>0</v>
      </c>
      <c r="I144" t="n">
        <v>0</v>
      </c>
      <c r="J144" t="n">
        <v>0</v>
      </c>
      <c r="K144" t="n">
        <v>0</v>
      </c>
      <c r="L144" t="n">
        <v>0</v>
      </c>
      <c r="M144" t="n">
        <v>0</v>
      </c>
      <c r="N144" t="n">
        <v>0</v>
      </c>
      <c r="O144" t="n">
        <v>0</v>
      </c>
      <c r="P144" t="n">
        <v>0</v>
      </c>
      <c r="Q144" t="n">
        <v>0</v>
      </c>
      <c r="R144" s="2" t="inlineStr"/>
    </row>
    <row r="145" ht="15" customHeight="1">
      <c r="A145" t="inlineStr">
        <is>
          <t>A 22481-2022</t>
        </is>
      </c>
      <c r="B145" s="1" t="n">
        <v>44713</v>
      </c>
      <c r="C145" s="1" t="n">
        <v>46196</v>
      </c>
      <c r="D145" t="inlineStr">
        <is>
          <t>ÖREBRO LÄN</t>
        </is>
      </c>
      <c r="E145" t="inlineStr">
        <is>
          <t>LINDESBERG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16435-2022</t>
        </is>
      </c>
      <c r="B146" s="1" t="n">
        <v>44671</v>
      </c>
      <c r="C146" s="1" t="n">
        <v>46196</v>
      </c>
      <c r="D146" t="inlineStr">
        <is>
          <t>ÖREBRO LÄN</t>
        </is>
      </c>
      <c r="E146" t="inlineStr">
        <is>
          <t>LINDESBERG</t>
        </is>
      </c>
      <c r="G146" t="n">
        <v>3.2</v>
      </c>
      <c r="H146" t="n">
        <v>0</v>
      </c>
      <c r="I146" t="n">
        <v>0</v>
      </c>
      <c r="J146" t="n">
        <v>0</v>
      </c>
      <c r="K146" t="n">
        <v>0</v>
      </c>
      <c r="L146" t="n">
        <v>0</v>
      </c>
      <c r="M146" t="n">
        <v>0</v>
      </c>
      <c r="N146" t="n">
        <v>0</v>
      </c>
      <c r="O146" t="n">
        <v>0</v>
      </c>
      <c r="P146" t="n">
        <v>0</v>
      </c>
      <c r="Q146" t="n">
        <v>0</v>
      </c>
      <c r="R146" s="2" t="inlineStr"/>
    </row>
    <row r="147" ht="15" customHeight="1">
      <c r="A147" t="inlineStr">
        <is>
          <t>A 32615-2021</t>
        </is>
      </c>
      <c r="B147" s="1" t="n">
        <v>44375</v>
      </c>
      <c r="C147" s="1" t="n">
        <v>46196</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21606-2022</t>
        </is>
      </c>
      <c r="B148" s="1" t="n">
        <v>44706</v>
      </c>
      <c r="C148" s="1" t="n">
        <v>46196</v>
      </c>
      <c r="D148" t="inlineStr">
        <is>
          <t>ÖREBRO LÄN</t>
        </is>
      </c>
      <c r="E148" t="inlineStr">
        <is>
          <t>LINDESBERG</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53153-2021</t>
        </is>
      </c>
      <c r="B149" s="1" t="n">
        <v>44468</v>
      </c>
      <c r="C149" s="1" t="n">
        <v>46196</v>
      </c>
      <c r="D149" t="inlineStr">
        <is>
          <t>ÖREBRO LÄN</t>
        </is>
      </c>
      <c r="E149" t="inlineStr">
        <is>
          <t>LINDESBERG</t>
        </is>
      </c>
      <c r="F149" t="inlineStr">
        <is>
          <t>Sveaskog</t>
        </is>
      </c>
      <c r="G149" t="n">
        <v>3.9</v>
      </c>
      <c r="H149" t="n">
        <v>0</v>
      </c>
      <c r="I149" t="n">
        <v>0</v>
      </c>
      <c r="J149" t="n">
        <v>0</v>
      </c>
      <c r="K149" t="n">
        <v>0</v>
      </c>
      <c r="L149" t="n">
        <v>0</v>
      </c>
      <c r="M149" t="n">
        <v>0</v>
      </c>
      <c r="N149" t="n">
        <v>0</v>
      </c>
      <c r="O149" t="n">
        <v>0</v>
      </c>
      <c r="P149" t="n">
        <v>0</v>
      </c>
      <c r="Q149" t="n">
        <v>0</v>
      </c>
      <c r="R149" s="2" t="inlineStr"/>
    </row>
    <row r="150" ht="15" customHeight="1">
      <c r="A150" t="inlineStr">
        <is>
          <t>A 40099-2021</t>
        </is>
      </c>
      <c r="B150" s="1" t="n">
        <v>44418</v>
      </c>
      <c r="C150" s="1" t="n">
        <v>46196</v>
      </c>
      <c r="D150" t="inlineStr">
        <is>
          <t>ÖREBRO LÄN</t>
        </is>
      </c>
      <c r="E150" t="inlineStr">
        <is>
          <t>LINDESBERG</t>
        </is>
      </c>
      <c r="G150" t="n">
        <v>2.9</v>
      </c>
      <c r="H150" t="n">
        <v>0</v>
      </c>
      <c r="I150" t="n">
        <v>0</v>
      </c>
      <c r="J150" t="n">
        <v>0</v>
      </c>
      <c r="K150" t="n">
        <v>0</v>
      </c>
      <c r="L150" t="n">
        <v>0</v>
      </c>
      <c r="M150" t="n">
        <v>0</v>
      </c>
      <c r="N150" t="n">
        <v>0</v>
      </c>
      <c r="O150" t="n">
        <v>0</v>
      </c>
      <c r="P150" t="n">
        <v>0</v>
      </c>
      <c r="Q150" t="n">
        <v>0</v>
      </c>
      <c r="R150" s="2" t="inlineStr"/>
    </row>
    <row r="151" ht="15" customHeight="1">
      <c r="A151" t="inlineStr">
        <is>
          <t>A 16424-2022</t>
        </is>
      </c>
      <c r="B151" s="1" t="n">
        <v>44671</v>
      </c>
      <c r="C151" s="1" t="n">
        <v>46196</v>
      </c>
      <c r="D151" t="inlineStr">
        <is>
          <t>ÖREBRO LÄN</t>
        </is>
      </c>
      <c r="E151" t="inlineStr">
        <is>
          <t>LINDESBERG</t>
        </is>
      </c>
      <c r="G151" t="n">
        <v>5</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46196</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72713-2021</t>
        </is>
      </c>
      <c r="B153" s="1" t="n">
        <v>44546</v>
      </c>
      <c r="C153" s="1" t="n">
        <v>46196</v>
      </c>
      <c r="D153" t="inlineStr">
        <is>
          <t>ÖREBRO LÄN</t>
        </is>
      </c>
      <c r="E153" t="inlineStr">
        <is>
          <t>LINDESBERG</t>
        </is>
      </c>
      <c r="G153" t="n">
        <v>0.3</v>
      </c>
      <c r="H153" t="n">
        <v>0</v>
      </c>
      <c r="I153" t="n">
        <v>0</v>
      </c>
      <c r="J153" t="n">
        <v>0</v>
      </c>
      <c r="K153" t="n">
        <v>0</v>
      </c>
      <c r="L153" t="n">
        <v>0</v>
      </c>
      <c r="M153" t="n">
        <v>0</v>
      </c>
      <c r="N153" t="n">
        <v>0</v>
      </c>
      <c r="O153" t="n">
        <v>0</v>
      </c>
      <c r="P153" t="n">
        <v>0</v>
      </c>
      <c r="Q153" t="n">
        <v>0</v>
      </c>
      <c r="R153" s="2" t="inlineStr"/>
    </row>
    <row r="154" ht="15" customHeight="1">
      <c r="A154" t="inlineStr">
        <is>
          <t>A 33058-2021</t>
        </is>
      </c>
      <c r="B154" s="1" t="n">
        <v>44375</v>
      </c>
      <c r="C154" s="1" t="n">
        <v>46196</v>
      </c>
      <c r="D154" t="inlineStr">
        <is>
          <t>ÖREBRO LÄN</t>
        </is>
      </c>
      <c r="E154" t="inlineStr">
        <is>
          <t>LINDESBERG</t>
        </is>
      </c>
      <c r="G154" t="n">
        <v>1.8</v>
      </c>
      <c r="H154" t="n">
        <v>0</v>
      </c>
      <c r="I154" t="n">
        <v>0</v>
      </c>
      <c r="J154" t="n">
        <v>0</v>
      </c>
      <c r="K154" t="n">
        <v>0</v>
      </c>
      <c r="L154" t="n">
        <v>0</v>
      </c>
      <c r="M154" t="n">
        <v>0</v>
      </c>
      <c r="N154" t="n">
        <v>0</v>
      </c>
      <c r="O154" t="n">
        <v>0</v>
      </c>
      <c r="P154" t="n">
        <v>0</v>
      </c>
      <c r="Q154" t="n">
        <v>0</v>
      </c>
      <c r="R154" s="2" t="inlineStr"/>
    </row>
    <row r="155" ht="15" customHeight="1">
      <c r="A155" t="inlineStr">
        <is>
          <t>A 62981-2021</t>
        </is>
      </c>
      <c r="B155" s="1" t="n">
        <v>44505</v>
      </c>
      <c r="C155" s="1" t="n">
        <v>46196</v>
      </c>
      <c r="D155" t="inlineStr">
        <is>
          <t>ÖREBRO LÄN</t>
        </is>
      </c>
      <c r="E155" t="inlineStr">
        <is>
          <t>LINDESBERG</t>
        </is>
      </c>
      <c r="G155" t="n">
        <v>2.3</v>
      </c>
      <c r="H155" t="n">
        <v>0</v>
      </c>
      <c r="I155" t="n">
        <v>0</v>
      </c>
      <c r="J155" t="n">
        <v>0</v>
      </c>
      <c r="K155" t="n">
        <v>0</v>
      </c>
      <c r="L155" t="n">
        <v>0</v>
      </c>
      <c r="M155" t="n">
        <v>0</v>
      </c>
      <c r="N155" t="n">
        <v>0</v>
      </c>
      <c r="O155" t="n">
        <v>0</v>
      </c>
      <c r="P155" t="n">
        <v>0</v>
      </c>
      <c r="Q155" t="n">
        <v>0</v>
      </c>
      <c r="R155" s="2" t="inlineStr"/>
    </row>
    <row r="156" ht="15" customHeight="1">
      <c r="A156" t="inlineStr">
        <is>
          <t>A 40351-2022</t>
        </is>
      </c>
      <c r="B156" s="1" t="n">
        <v>44823</v>
      </c>
      <c r="C156" s="1" t="n">
        <v>46196</v>
      </c>
      <c r="D156" t="inlineStr">
        <is>
          <t>ÖREBRO LÄN</t>
        </is>
      </c>
      <c r="E156" t="inlineStr">
        <is>
          <t>LINDESBERG</t>
        </is>
      </c>
      <c r="G156" t="n">
        <v>0.3</v>
      </c>
      <c r="H156" t="n">
        <v>0</v>
      </c>
      <c r="I156" t="n">
        <v>0</v>
      </c>
      <c r="J156" t="n">
        <v>0</v>
      </c>
      <c r="K156" t="n">
        <v>0</v>
      </c>
      <c r="L156" t="n">
        <v>0</v>
      </c>
      <c r="M156" t="n">
        <v>0</v>
      </c>
      <c r="N156" t="n">
        <v>0</v>
      </c>
      <c r="O156" t="n">
        <v>0</v>
      </c>
      <c r="P156" t="n">
        <v>0</v>
      </c>
      <c r="Q156" t="n">
        <v>0</v>
      </c>
      <c r="R156" s="2" t="inlineStr"/>
    </row>
    <row r="157" ht="15" customHeight="1">
      <c r="A157" t="inlineStr">
        <is>
          <t>A 33785-2021</t>
        </is>
      </c>
      <c r="B157" s="1" t="n">
        <v>44378</v>
      </c>
      <c r="C157" s="1" t="n">
        <v>46196</v>
      </c>
      <c r="D157" t="inlineStr">
        <is>
          <t>ÖREBRO LÄN</t>
        </is>
      </c>
      <c r="E157" t="inlineStr">
        <is>
          <t>LINDESBERG</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67060-2021</t>
        </is>
      </c>
      <c r="B158" s="1" t="n">
        <v>44522</v>
      </c>
      <c r="C158" s="1" t="n">
        <v>46196</v>
      </c>
      <c r="D158" t="inlineStr">
        <is>
          <t>ÖREBRO LÄN</t>
        </is>
      </c>
      <c r="E158" t="inlineStr">
        <is>
          <t>LINDESBERG</t>
        </is>
      </c>
      <c r="G158" t="n">
        <v>6.3</v>
      </c>
      <c r="H158" t="n">
        <v>0</v>
      </c>
      <c r="I158" t="n">
        <v>0</v>
      </c>
      <c r="J158" t="n">
        <v>0</v>
      </c>
      <c r="K158" t="n">
        <v>0</v>
      </c>
      <c r="L158" t="n">
        <v>0</v>
      </c>
      <c r="M158" t="n">
        <v>0</v>
      </c>
      <c r="N158" t="n">
        <v>0</v>
      </c>
      <c r="O158" t="n">
        <v>0</v>
      </c>
      <c r="P158" t="n">
        <v>0</v>
      </c>
      <c r="Q158" t="n">
        <v>0</v>
      </c>
      <c r="R158" s="2" t="inlineStr"/>
    </row>
    <row r="159" ht="15" customHeight="1">
      <c r="A159" t="inlineStr">
        <is>
          <t>A 11926-2022</t>
        </is>
      </c>
      <c r="B159" s="1" t="n">
        <v>44635</v>
      </c>
      <c r="C159" s="1" t="n">
        <v>46196</v>
      </c>
      <c r="D159" t="inlineStr">
        <is>
          <t>ÖREBRO LÄN</t>
        </is>
      </c>
      <c r="E159" t="inlineStr">
        <is>
          <t>LINDESBERG</t>
        </is>
      </c>
      <c r="G159" t="n">
        <v>2.7</v>
      </c>
      <c r="H159" t="n">
        <v>0</v>
      </c>
      <c r="I159" t="n">
        <v>0</v>
      </c>
      <c r="J159" t="n">
        <v>0</v>
      </c>
      <c r="K159" t="n">
        <v>0</v>
      </c>
      <c r="L159" t="n">
        <v>0</v>
      </c>
      <c r="M159" t="n">
        <v>0</v>
      </c>
      <c r="N159" t="n">
        <v>0</v>
      </c>
      <c r="O159" t="n">
        <v>0</v>
      </c>
      <c r="P159" t="n">
        <v>0</v>
      </c>
      <c r="Q159" t="n">
        <v>0</v>
      </c>
      <c r="R159" s="2" t="inlineStr"/>
    </row>
    <row r="160" ht="15" customHeight="1">
      <c r="A160" t="inlineStr">
        <is>
          <t>A 44197-2021</t>
        </is>
      </c>
      <c r="B160" s="1" t="n">
        <v>44434</v>
      </c>
      <c r="C160" s="1" t="n">
        <v>46196</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57765-2021</t>
        </is>
      </c>
      <c r="B161" s="1" t="n">
        <v>44484</v>
      </c>
      <c r="C161" s="1" t="n">
        <v>46196</v>
      </c>
      <c r="D161" t="inlineStr">
        <is>
          <t>ÖREBRO LÄN</t>
        </is>
      </c>
      <c r="E161" t="inlineStr">
        <is>
          <t>LINDESBERG</t>
        </is>
      </c>
      <c r="G161" t="n">
        <v>3.4</v>
      </c>
      <c r="H161" t="n">
        <v>0</v>
      </c>
      <c r="I161" t="n">
        <v>0</v>
      </c>
      <c r="J161" t="n">
        <v>0</v>
      </c>
      <c r="K161" t="n">
        <v>0</v>
      </c>
      <c r="L161" t="n">
        <v>0</v>
      </c>
      <c r="M161" t="n">
        <v>0</v>
      </c>
      <c r="N161" t="n">
        <v>0</v>
      </c>
      <c r="O161" t="n">
        <v>0</v>
      </c>
      <c r="P161" t="n">
        <v>0</v>
      </c>
      <c r="Q161" t="n">
        <v>0</v>
      </c>
      <c r="R161" s="2" t="inlineStr"/>
    </row>
    <row r="162" ht="15" customHeight="1">
      <c r="A162" t="inlineStr">
        <is>
          <t>A 19612-2022</t>
        </is>
      </c>
      <c r="B162" s="1" t="n">
        <v>44694</v>
      </c>
      <c r="C162" s="1" t="n">
        <v>46196</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46196</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46196</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46196</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v>
      </c>
      <c r="C166" s="1" t="n">
        <v>46196</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47425-2021</t>
        </is>
      </c>
      <c r="B167" s="1" t="n">
        <v>44447</v>
      </c>
      <c r="C167" s="1" t="n">
        <v>46196</v>
      </c>
      <c r="D167" t="inlineStr">
        <is>
          <t>ÖREBRO LÄN</t>
        </is>
      </c>
      <c r="E167" t="inlineStr">
        <is>
          <t>LINDESBERG</t>
        </is>
      </c>
      <c r="G167" t="n">
        <v>0.4</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46196</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50498-2021</t>
        </is>
      </c>
      <c r="B169" s="1" t="n">
        <v>44459</v>
      </c>
      <c r="C169" s="1" t="n">
        <v>46196</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43453-2021</t>
        </is>
      </c>
      <c r="B170" s="1" t="n">
        <v>44432</v>
      </c>
      <c r="C170" s="1" t="n">
        <v>46196</v>
      </c>
      <c r="D170" t="inlineStr">
        <is>
          <t>ÖREBRO LÄN</t>
        </is>
      </c>
      <c r="E170" t="inlineStr">
        <is>
          <t>LINDESBERG</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46196</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58103-2021</t>
        </is>
      </c>
      <c r="B172" s="1" t="n">
        <v>44487</v>
      </c>
      <c r="C172" s="1" t="n">
        <v>46196</v>
      </c>
      <c r="D172" t="inlineStr">
        <is>
          <t>ÖREBRO LÄN</t>
        </is>
      </c>
      <c r="E172" t="inlineStr">
        <is>
          <t>LINDESBERG</t>
        </is>
      </c>
      <c r="G172" t="n">
        <v>0.6</v>
      </c>
      <c r="H172" t="n">
        <v>0</v>
      </c>
      <c r="I172" t="n">
        <v>0</v>
      </c>
      <c r="J172" t="n">
        <v>0</v>
      </c>
      <c r="K172" t="n">
        <v>0</v>
      </c>
      <c r="L172" t="n">
        <v>0</v>
      </c>
      <c r="M172" t="n">
        <v>0</v>
      </c>
      <c r="N172" t="n">
        <v>0</v>
      </c>
      <c r="O172" t="n">
        <v>0</v>
      </c>
      <c r="P172" t="n">
        <v>0</v>
      </c>
      <c r="Q172" t="n">
        <v>0</v>
      </c>
      <c r="R172" s="2" t="inlineStr"/>
    </row>
    <row r="173" ht="15" customHeight="1">
      <c r="A173" t="inlineStr">
        <is>
          <t>A 52187-2021</t>
        </is>
      </c>
      <c r="B173" s="1" t="n">
        <v>44463</v>
      </c>
      <c r="C173" s="1" t="n">
        <v>46196</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60900-2021</t>
        </is>
      </c>
      <c r="B174" s="1" t="n">
        <v>44497</v>
      </c>
      <c r="C174" s="1" t="n">
        <v>46196</v>
      </c>
      <c r="D174" t="inlineStr">
        <is>
          <t>ÖREBRO LÄN</t>
        </is>
      </c>
      <c r="E174" t="inlineStr">
        <is>
          <t>LINDESBERG</t>
        </is>
      </c>
      <c r="G174" t="n">
        <v>7.3</v>
      </c>
      <c r="H174" t="n">
        <v>0</v>
      </c>
      <c r="I174" t="n">
        <v>0</v>
      </c>
      <c r="J174" t="n">
        <v>0</v>
      </c>
      <c r="K174" t="n">
        <v>0</v>
      </c>
      <c r="L174" t="n">
        <v>0</v>
      </c>
      <c r="M174" t="n">
        <v>0</v>
      </c>
      <c r="N174" t="n">
        <v>0</v>
      </c>
      <c r="O174" t="n">
        <v>0</v>
      </c>
      <c r="P174" t="n">
        <v>0</v>
      </c>
      <c r="Q174" t="n">
        <v>0</v>
      </c>
      <c r="R174" s="2" t="inlineStr"/>
    </row>
    <row r="175" ht="15" customHeight="1">
      <c r="A175" t="inlineStr">
        <is>
          <t>A 50069-2021</t>
        </is>
      </c>
      <c r="B175" s="1" t="n">
        <v>44456</v>
      </c>
      <c r="C175" s="1" t="n">
        <v>46196</v>
      </c>
      <c r="D175" t="inlineStr">
        <is>
          <t>ÖREBRO LÄN</t>
        </is>
      </c>
      <c r="E175" t="inlineStr">
        <is>
          <t>LINDESBERG</t>
        </is>
      </c>
      <c r="G175" t="n">
        <v>14.5</v>
      </c>
      <c r="H175" t="n">
        <v>0</v>
      </c>
      <c r="I175" t="n">
        <v>0</v>
      </c>
      <c r="J175" t="n">
        <v>0</v>
      </c>
      <c r="K175" t="n">
        <v>0</v>
      </c>
      <c r="L175" t="n">
        <v>0</v>
      </c>
      <c r="M175" t="n">
        <v>0</v>
      </c>
      <c r="N175" t="n">
        <v>0</v>
      </c>
      <c r="O175" t="n">
        <v>0</v>
      </c>
      <c r="P175" t="n">
        <v>0</v>
      </c>
      <c r="Q175" t="n">
        <v>0</v>
      </c>
      <c r="R175" s="2" t="inlineStr"/>
    </row>
    <row r="176" ht="15" customHeight="1">
      <c r="A176" t="inlineStr">
        <is>
          <t>A 39773-2022</t>
        </is>
      </c>
      <c r="B176" s="1" t="n">
        <v>44819</v>
      </c>
      <c r="C176" s="1" t="n">
        <v>46196</v>
      </c>
      <c r="D176" t="inlineStr">
        <is>
          <t>ÖREBRO LÄN</t>
        </is>
      </c>
      <c r="E176" t="inlineStr">
        <is>
          <t>LINDESBERG</t>
        </is>
      </c>
      <c r="G176" t="n">
        <v>0.3</v>
      </c>
      <c r="H176" t="n">
        <v>0</v>
      </c>
      <c r="I176" t="n">
        <v>0</v>
      </c>
      <c r="J176" t="n">
        <v>0</v>
      </c>
      <c r="K176" t="n">
        <v>0</v>
      </c>
      <c r="L176" t="n">
        <v>0</v>
      </c>
      <c r="M176" t="n">
        <v>0</v>
      </c>
      <c r="N176" t="n">
        <v>0</v>
      </c>
      <c r="O176" t="n">
        <v>0</v>
      </c>
      <c r="P176" t="n">
        <v>0</v>
      </c>
      <c r="Q176" t="n">
        <v>0</v>
      </c>
      <c r="R176" s="2" t="inlineStr"/>
    </row>
    <row r="177" ht="15" customHeight="1">
      <c r="A177" t="inlineStr">
        <is>
          <t>A 25885-2022</t>
        </is>
      </c>
      <c r="B177" s="1" t="n">
        <v>44733</v>
      </c>
      <c r="C177" s="1" t="n">
        <v>46196</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16600-2022</t>
        </is>
      </c>
      <c r="B178" s="1" t="n">
        <v>44672</v>
      </c>
      <c r="C178" s="1" t="n">
        <v>46196</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41207-2022</t>
        </is>
      </c>
      <c r="B179" s="1" t="n">
        <v>44825</v>
      </c>
      <c r="C179" s="1" t="n">
        <v>46196</v>
      </c>
      <c r="D179" t="inlineStr">
        <is>
          <t>ÖREBRO LÄN</t>
        </is>
      </c>
      <c r="E179" t="inlineStr">
        <is>
          <t>LINDESBERG</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44677-2021</t>
        </is>
      </c>
      <c r="B180" s="1" t="n">
        <v>44438</v>
      </c>
      <c r="C180" s="1" t="n">
        <v>46196</v>
      </c>
      <c r="D180" t="inlineStr">
        <is>
          <t>ÖREBRO LÄN</t>
        </is>
      </c>
      <c r="E180" t="inlineStr">
        <is>
          <t>LINDESBERG</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46196</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v>
      </c>
      <c r="C182" s="1" t="n">
        <v>46196</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52851-2022</t>
        </is>
      </c>
      <c r="B183" s="1" t="n">
        <v>44875</v>
      </c>
      <c r="C183" s="1" t="n">
        <v>46196</v>
      </c>
      <c r="D183" t="inlineStr">
        <is>
          <t>ÖREBRO LÄN</t>
        </is>
      </c>
      <c r="E183" t="inlineStr">
        <is>
          <t>LINDESBERG</t>
        </is>
      </c>
      <c r="G183" t="n">
        <v>2.9</v>
      </c>
      <c r="H183" t="n">
        <v>0</v>
      </c>
      <c r="I183" t="n">
        <v>0</v>
      </c>
      <c r="J183" t="n">
        <v>0</v>
      </c>
      <c r="K183" t="n">
        <v>0</v>
      </c>
      <c r="L183" t="n">
        <v>0</v>
      </c>
      <c r="M183" t="n">
        <v>0</v>
      </c>
      <c r="N183" t="n">
        <v>0</v>
      </c>
      <c r="O183" t="n">
        <v>0</v>
      </c>
      <c r="P183" t="n">
        <v>0</v>
      </c>
      <c r="Q183" t="n">
        <v>0</v>
      </c>
      <c r="R183" s="2" t="inlineStr"/>
    </row>
    <row r="184" ht="15" customHeight="1">
      <c r="A184" t="inlineStr">
        <is>
          <t>A 59655-2021</t>
        </is>
      </c>
      <c r="B184" s="1" t="n">
        <v>44491</v>
      </c>
      <c r="C184" s="1" t="n">
        <v>46196</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68491-2021</t>
        </is>
      </c>
      <c r="B185" s="1" t="n">
        <v>44526</v>
      </c>
      <c r="C185" s="1" t="n">
        <v>46196</v>
      </c>
      <c r="D185" t="inlineStr">
        <is>
          <t>ÖREBRO LÄN</t>
        </is>
      </c>
      <c r="E185" t="inlineStr">
        <is>
          <t>LINDESBERG</t>
        </is>
      </c>
      <c r="G185" t="n">
        <v>1</v>
      </c>
      <c r="H185" t="n">
        <v>0</v>
      </c>
      <c r="I185" t="n">
        <v>0</v>
      </c>
      <c r="J185" t="n">
        <v>0</v>
      </c>
      <c r="K185" t="n">
        <v>0</v>
      </c>
      <c r="L185" t="n">
        <v>0</v>
      </c>
      <c r="M185" t="n">
        <v>0</v>
      </c>
      <c r="N185" t="n">
        <v>0</v>
      </c>
      <c r="O185" t="n">
        <v>0</v>
      </c>
      <c r="P185" t="n">
        <v>0</v>
      </c>
      <c r="Q185" t="n">
        <v>0</v>
      </c>
      <c r="R185" s="2" t="inlineStr"/>
    </row>
    <row r="186" ht="15" customHeight="1">
      <c r="A186" t="inlineStr">
        <is>
          <t>A 36221-2021</t>
        </is>
      </c>
      <c r="B186" s="1" t="n">
        <v>44389</v>
      </c>
      <c r="C186" s="1" t="n">
        <v>46196</v>
      </c>
      <c r="D186" t="inlineStr">
        <is>
          <t>ÖREBRO LÄN</t>
        </is>
      </c>
      <c r="E186" t="inlineStr">
        <is>
          <t>LINDESBERG</t>
        </is>
      </c>
      <c r="G186" t="n">
        <v>5.9</v>
      </c>
      <c r="H186" t="n">
        <v>0</v>
      </c>
      <c r="I186" t="n">
        <v>0</v>
      </c>
      <c r="J186" t="n">
        <v>0</v>
      </c>
      <c r="K186" t="n">
        <v>0</v>
      </c>
      <c r="L186" t="n">
        <v>0</v>
      </c>
      <c r="M186" t="n">
        <v>0</v>
      </c>
      <c r="N186" t="n">
        <v>0</v>
      </c>
      <c r="O186" t="n">
        <v>0</v>
      </c>
      <c r="P186" t="n">
        <v>0</v>
      </c>
      <c r="Q186" t="n">
        <v>0</v>
      </c>
      <c r="R186" s="2" t="inlineStr"/>
    </row>
    <row r="187" ht="15" customHeight="1">
      <c r="A187" t="inlineStr">
        <is>
          <t>A 47044-2021</t>
        </is>
      </c>
      <c r="B187" s="1" t="n">
        <v>44446</v>
      </c>
      <c r="C187" s="1" t="n">
        <v>46196</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56123-2022</t>
        </is>
      </c>
      <c r="B188" s="1" t="n">
        <v>44889</v>
      </c>
      <c r="C188" s="1" t="n">
        <v>46196</v>
      </c>
      <c r="D188" t="inlineStr">
        <is>
          <t>ÖREBRO LÄN</t>
        </is>
      </c>
      <c r="E188" t="inlineStr">
        <is>
          <t>LINDESBERG</t>
        </is>
      </c>
      <c r="G188" t="n">
        <v>2.2</v>
      </c>
      <c r="H188" t="n">
        <v>0</v>
      </c>
      <c r="I188" t="n">
        <v>0</v>
      </c>
      <c r="J188" t="n">
        <v>0</v>
      </c>
      <c r="K188" t="n">
        <v>0</v>
      </c>
      <c r="L188" t="n">
        <v>0</v>
      </c>
      <c r="M188" t="n">
        <v>0</v>
      </c>
      <c r="N188" t="n">
        <v>0</v>
      </c>
      <c r="O188" t="n">
        <v>0</v>
      </c>
      <c r="P188" t="n">
        <v>0</v>
      </c>
      <c r="Q188" t="n">
        <v>0</v>
      </c>
      <c r="R188" s="2" t="inlineStr"/>
    </row>
    <row r="189" ht="15" customHeight="1">
      <c r="A189" t="inlineStr">
        <is>
          <t>A 6726-2022</t>
        </is>
      </c>
      <c r="B189" s="1" t="n">
        <v>44602</v>
      </c>
      <c r="C189" s="1" t="n">
        <v>46196</v>
      </c>
      <c r="D189" t="inlineStr">
        <is>
          <t>ÖREBRO LÄN</t>
        </is>
      </c>
      <c r="E189" t="inlineStr">
        <is>
          <t>LINDESBERG</t>
        </is>
      </c>
      <c r="G189" t="n">
        <v>1.5</v>
      </c>
      <c r="H189" t="n">
        <v>0</v>
      </c>
      <c r="I189" t="n">
        <v>0</v>
      </c>
      <c r="J189" t="n">
        <v>0</v>
      </c>
      <c r="K189" t="n">
        <v>0</v>
      </c>
      <c r="L189" t="n">
        <v>0</v>
      </c>
      <c r="M189" t="n">
        <v>0</v>
      </c>
      <c r="N189" t="n">
        <v>0</v>
      </c>
      <c r="O189" t="n">
        <v>0</v>
      </c>
      <c r="P189" t="n">
        <v>0</v>
      </c>
      <c r="Q189" t="n">
        <v>0</v>
      </c>
      <c r="R189" s="2" t="inlineStr"/>
    </row>
    <row r="190" ht="15" customHeight="1">
      <c r="A190" t="inlineStr">
        <is>
          <t>A 36220-2021</t>
        </is>
      </c>
      <c r="B190" s="1" t="n">
        <v>44389</v>
      </c>
      <c r="C190" s="1" t="n">
        <v>46196</v>
      </c>
      <c r="D190" t="inlineStr">
        <is>
          <t>ÖREBRO LÄN</t>
        </is>
      </c>
      <c r="E190" t="inlineStr">
        <is>
          <t>LINDESBERG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31950-2022</t>
        </is>
      </c>
      <c r="B191" s="1" t="n">
        <v>44777</v>
      </c>
      <c r="C191" s="1" t="n">
        <v>46196</v>
      </c>
      <c r="D191" t="inlineStr">
        <is>
          <t>ÖREBRO LÄN</t>
        </is>
      </c>
      <c r="E191" t="inlineStr">
        <is>
          <t>LINDESBERG</t>
        </is>
      </c>
      <c r="G191" t="n">
        <v>1.2</v>
      </c>
      <c r="H191" t="n">
        <v>0</v>
      </c>
      <c r="I191" t="n">
        <v>0</v>
      </c>
      <c r="J191" t="n">
        <v>0</v>
      </c>
      <c r="K191" t="n">
        <v>0</v>
      </c>
      <c r="L191" t="n">
        <v>0</v>
      </c>
      <c r="M191" t="n">
        <v>0</v>
      </c>
      <c r="N191" t="n">
        <v>0</v>
      </c>
      <c r="O191" t="n">
        <v>0</v>
      </c>
      <c r="P191" t="n">
        <v>0</v>
      </c>
      <c r="Q191" t="n">
        <v>0</v>
      </c>
      <c r="R191" s="2" t="inlineStr"/>
    </row>
    <row r="192" ht="15" customHeight="1">
      <c r="A192" t="inlineStr">
        <is>
          <t>A 48365-2021</t>
        </is>
      </c>
      <c r="B192" s="1" t="n">
        <v>44451</v>
      </c>
      <c r="C192" s="1" t="n">
        <v>46196</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46196</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62010-2021</t>
        </is>
      </c>
      <c r="B194" s="1" t="n">
        <v>44502</v>
      </c>
      <c r="C194" s="1" t="n">
        <v>46196</v>
      </c>
      <c r="D194" t="inlineStr">
        <is>
          <t>ÖREBRO LÄN</t>
        </is>
      </c>
      <c r="E194" t="inlineStr">
        <is>
          <t>LINDESBERG</t>
        </is>
      </c>
      <c r="G194" t="n">
        <v>3.2</v>
      </c>
      <c r="H194" t="n">
        <v>0</v>
      </c>
      <c r="I194" t="n">
        <v>0</v>
      </c>
      <c r="J194" t="n">
        <v>0</v>
      </c>
      <c r="K194" t="n">
        <v>0</v>
      </c>
      <c r="L194" t="n">
        <v>0</v>
      </c>
      <c r="M194" t="n">
        <v>0</v>
      </c>
      <c r="N194" t="n">
        <v>0</v>
      </c>
      <c r="O194" t="n">
        <v>0</v>
      </c>
      <c r="P194" t="n">
        <v>0</v>
      </c>
      <c r="Q194" t="n">
        <v>0</v>
      </c>
      <c r="R194" s="2" t="inlineStr"/>
    </row>
    <row r="195" ht="15" customHeight="1">
      <c r="A195" t="inlineStr">
        <is>
          <t>A 62014-2021</t>
        </is>
      </c>
      <c r="B195" s="1" t="n">
        <v>44502</v>
      </c>
      <c r="C195" s="1" t="n">
        <v>46196</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56681-2021</t>
        </is>
      </c>
      <c r="B196" s="1" t="n">
        <v>44481</v>
      </c>
      <c r="C196" s="1" t="n">
        <v>46196</v>
      </c>
      <c r="D196" t="inlineStr">
        <is>
          <t>ÖREBRO LÄN</t>
        </is>
      </c>
      <c r="E196" t="inlineStr">
        <is>
          <t>LINDESBERG</t>
        </is>
      </c>
      <c r="G196" t="n">
        <v>2.6</v>
      </c>
      <c r="H196" t="n">
        <v>0</v>
      </c>
      <c r="I196" t="n">
        <v>0</v>
      </c>
      <c r="J196" t="n">
        <v>0</v>
      </c>
      <c r="K196" t="n">
        <v>0</v>
      </c>
      <c r="L196" t="n">
        <v>0</v>
      </c>
      <c r="M196" t="n">
        <v>0</v>
      </c>
      <c r="N196" t="n">
        <v>0</v>
      </c>
      <c r="O196" t="n">
        <v>0</v>
      </c>
      <c r="P196" t="n">
        <v>0</v>
      </c>
      <c r="Q196" t="n">
        <v>0</v>
      </c>
      <c r="R196" s="2" t="inlineStr"/>
    </row>
    <row r="197" ht="15" customHeight="1">
      <c r="A197" t="inlineStr">
        <is>
          <t>A 59671-2021</t>
        </is>
      </c>
      <c r="B197" s="1" t="n">
        <v>44491</v>
      </c>
      <c r="C197" s="1" t="n">
        <v>46196</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32907-2022</t>
        </is>
      </c>
      <c r="B198" s="1" t="n">
        <v>44784</v>
      </c>
      <c r="C198" s="1" t="n">
        <v>46196</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v>
      </c>
      <c r="C199" s="1" t="n">
        <v>46196</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48939-2021</t>
        </is>
      </c>
      <c r="B200" s="1" t="n">
        <v>44453</v>
      </c>
      <c r="C200" s="1" t="n">
        <v>46196</v>
      </c>
      <c r="D200" t="inlineStr">
        <is>
          <t>ÖREBRO LÄN</t>
        </is>
      </c>
      <c r="E200" t="inlineStr">
        <is>
          <t>LINDESBERG</t>
        </is>
      </c>
      <c r="G200" t="n">
        <v>5</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v>
      </c>
      <c r="C201" s="1" t="n">
        <v>46196</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46196</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46196</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v>
      </c>
      <c r="C204" s="1" t="n">
        <v>46196</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48363-2021</t>
        </is>
      </c>
      <c r="B205" s="1" t="n">
        <v>44451</v>
      </c>
      <c r="C205" s="1" t="n">
        <v>46196</v>
      </c>
      <c r="D205" t="inlineStr">
        <is>
          <t>ÖREBRO LÄN</t>
        </is>
      </c>
      <c r="E205" t="inlineStr">
        <is>
          <t>LINDESBERG</t>
        </is>
      </c>
      <c r="G205" t="n">
        <v>2.7</v>
      </c>
      <c r="H205" t="n">
        <v>0</v>
      </c>
      <c r="I205" t="n">
        <v>0</v>
      </c>
      <c r="J205" t="n">
        <v>0</v>
      </c>
      <c r="K205" t="n">
        <v>0</v>
      </c>
      <c r="L205" t="n">
        <v>0</v>
      </c>
      <c r="M205" t="n">
        <v>0</v>
      </c>
      <c r="N205" t="n">
        <v>0</v>
      </c>
      <c r="O205" t="n">
        <v>0</v>
      </c>
      <c r="P205" t="n">
        <v>0</v>
      </c>
      <c r="Q205" t="n">
        <v>0</v>
      </c>
      <c r="R205" s="2" t="inlineStr"/>
    </row>
    <row r="206" ht="15" customHeight="1">
      <c r="A206" t="inlineStr">
        <is>
          <t>A 70475-2021</t>
        </is>
      </c>
      <c r="B206" s="1" t="n">
        <v>44536</v>
      </c>
      <c r="C206" s="1" t="n">
        <v>46196</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46196</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46196</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46196</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v>
      </c>
      <c r="C210" s="1" t="n">
        <v>46196</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46196</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13943-2022</t>
        </is>
      </c>
      <c r="B212" s="1" t="n">
        <v>44650</v>
      </c>
      <c r="C212" s="1" t="n">
        <v>46196</v>
      </c>
      <c r="D212" t="inlineStr">
        <is>
          <t>ÖREBRO LÄN</t>
        </is>
      </c>
      <c r="E212" t="inlineStr">
        <is>
          <t>LINDESBERG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46196</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v>
      </c>
      <c r="C214" s="1" t="n">
        <v>46196</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12073-2022</t>
        </is>
      </c>
      <c r="B215" s="1" t="n">
        <v>44636</v>
      </c>
      <c r="C215" s="1" t="n">
        <v>46196</v>
      </c>
      <c r="D215" t="inlineStr">
        <is>
          <t>ÖREBRO LÄN</t>
        </is>
      </c>
      <c r="E215" t="inlineStr">
        <is>
          <t>LINDESBERG</t>
        </is>
      </c>
      <c r="G215" t="n">
        <v>2.3</v>
      </c>
      <c r="H215" t="n">
        <v>0</v>
      </c>
      <c r="I215" t="n">
        <v>0</v>
      </c>
      <c r="J215" t="n">
        <v>0</v>
      </c>
      <c r="K215" t="n">
        <v>0</v>
      </c>
      <c r="L215" t="n">
        <v>0</v>
      </c>
      <c r="M215" t="n">
        <v>0</v>
      </c>
      <c r="N215" t="n">
        <v>0</v>
      </c>
      <c r="O215" t="n">
        <v>0</v>
      </c>
      <c r="P215" t="n">
        <v>0</v>
      </c>
      <c r="Q215" t="n">
        <v>0</v>
      </c>
      <c r="R215" s="2" t="inlineStr"/>
    </row>
    <row r="216" ht="15" customHeight="1">
      <c r="A216" t="inlineStr">
        <is>
          <t>A 64372-2021</t>
        </is>
      </c>
      <c r="B216" s="1" t="n">
        <v>44511</v>
      </c>
      <c r="C216" s="1" t="n">
        <v>46196</v>
      </c>
      <c r="D216" t="inlineStr">
        <is>
          <t>ÖREBRO LÄN</t>
        </is>
      </c>
      <c r="E216" t="inlineStr">
        <is>
          <t>LINDESBERG</t>
        </is>
      </c>
      <c r="G216" t="n">
        <v>3.6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v>
      </c>
      <c r="C217" s="1" t="n">
        <v>46196</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46196</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46196</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v>
      </c>
      <c r="C220" s="1" t="n">
        <v>46196</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v>
      </c>
      <c r="C221" s="1" t="n">
        <v>46196</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35230-2024</t>
        </is>
      </c>
      <c r="B222" s="1" t="n">
        <v>45530</v>
      </c>
      <c r="C222" s="1" t="n">
        <v>46196</v>
      </c>
      <c r="D222" t="inlineStr">
        <is>
          <t>ÖREBRO LÄN</t>
        </is>
      </c>
      <c r="E222" t="inlineStr">
        <is>
          <t>LINDESBERG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65194-2023</t>
        </is>
      </c>
      <c r="B223" s="1" t="n">
        <v>45289</v>
      </c>
      <c r="C223" s="1" t="n">
        <v>46196</v>
      </c>
      <c r="D223" t="inlineStr">
        <is>
          <t>ÖREBRO LÄN</t>
        </is>
      </c>
      <c r="E223" t="inlineStr">
        <is>
          <t>LINDESBERG</t>
        </is>
      </c>
      <c r="G223" t="n">
        <v>1</v>
      </c>
      <c r="H223" t="n">
        <v>0</v>
      </c>
      <c r="I223" t="n">
        <v>0</v>
      </c>
      <c r="J223" t="n">
        <v>0</v>
      </c>
      <c r="K223" t="n">
        <v>0</v>
      </c>
      <c r="L223" t="n">
        <v>0</v>
      </c>
      <c r="M223" t="n">
        <v>0</v>
      </c>
      <c r="N223" t="n">
        <v>0</v>
      </c>
      <c r="O223" t="n">
        <v>0</v>
      </c>
      <c r="P223" t="n">
        <v>0</v>
      </c>
      <c r="Q223" t="n">
        <v>0</v>
      </c>
      <c r="R223" s="2" t="inlineStr"/>
    </row>
    <row r="224" ht="15" customHeight="1">
      <c r="A224" t="inlineStr">
        <is>
          <t>A 69208-2021</t>
        </is>
      </c>
      <c r="B224" s="1" t="n">
        <v>44531</v>
      </c>
      <c r="C224" s="1" t="n">
        <v>46196</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33282-2024</t>
        </is>
      </c>
      <c r="B225" s="1" t="n">
        <v>45518</v>
      </c>
      <c r="C225" s="1" t="n">
        <v>46196</v>
      </c>
      <c r="D225" t="inlineStr">
        <is>
          <t>ÖREBRO LÄN</t>
        </is>
      </c>
      <c r="E225" t="inlineStr">
        <is>
          <t>LINDESBERG</t>
        </is>
      </c>
      <c r="G225" t="n">
        <v>7.5</v>
      </c>
      <c r="H225" t="n">
        <v>0</v>
      </c>
      <c r="I225" t="n">
        <v>0</v>
      </c>
      <c r="J225" t="n">
        <v>0</v>
      </c>
      <c r="K225" t="n">
        <v>0</v>
      </c>
      <c r="L225" t="n">
        <v>0</v>
      </c>
      <c r="M225" t="n">
        <v>0</v>
      </c>
      <c r="N225" t="n">
        <v>0</v>
      </c>
      <c r="O225" t="n">
        <v>0</v>
      </c>
      <c r="P225" t="n">
        <v>0</v>
      </c>
      <c r="Q225" t="n">
        <v>0</v>
      </c>
      <c r="R225" s="2" t="inlineStr"/>
    </row>
    <row r="226" ht="15" customHeight="1">
      <c r="A226" t="inlineStr">
        <is>
          <t>A 6962-2023</t>
        </is>
      </c>
      <c r="B226" s="1" t="n">
        <v>44967</v>
      </c>
      <c r="C226" s="1" t="n">
        <v>46196</v>
      </c>
      <c r="D226" t="inlineStr">
        <is>
          <t>ÖREBRO LÄN</t>
        </is>
      </c>
      <c r="E226" t="inlineStr">
        <is>
          <t>LINDESBERG</t>
        </is>
      </c>
      <c r="G226" t="n">
        <v>11.4</v>
      </c>
      <c r="H226" t="n">
        <v>0</v>
      </c>
      <c r="I226" t="n">
        <v>0</v>
      </c>
      <c r="J226" t="n">
        <v>0</v>
      </c>
      <c r="K226" t="n">
        <v>0</v>
      </c>
      <c r="L226" t="n">
        <v>0</v>
      </c>
      <c r="M226" t="n">
        <v>0</v>
      </c>
      <c r="N226" t="n">
        <v>0</v>
      </c>
      <c r="O226" t="n">
        <v>0</v>
      </c>
      <c r="P226" t="n">
        <v>0</v>
      </c>
      <c r="Q226" t="n">
        <v>0</v>
      </c>
      <c r="R226" s="2" t="inlineStr"/>
    </row>
    <row r="227" ht="15" customHeight="1">
      <c r="A227" t="inlineStr">
        <is>
          <t>A 36015-2021</t>
        </is>
      </c>
      <c r="B227" s="1" t="n">
        <v>44389</v>
      </c>
      <c r="C227" s="1" t="n">
        <v>46196</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46196</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v>
      </c>
      <c r="C229" s="1" t="n">
        <v>46196</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29857-2023</t>
        </is>
      </c>
      <c r="B230" s="1" t="n">
        <v>45107</v>
      </c>
      <c r="C230" s="1" t="n">
        <v>46196</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35739-2024</t>
        </is>
      </c>
      <c r="B231" s="1" t="n">
        <v>45532</v>
      </c>
      <c r="C231" s="1" t="n">
        <v>46196</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33707-2021</t>
        </is>
      </c>
      <c r="B232" s="1" t="n">
        <v>44378</v>
      </c>
      <c r="C232" s="1" t="n">
        <v>46196</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v>
      </c>
      <c r="C233" s="1" t="n">
        <v>46196</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30767-2023</t>
        </is>
      </c>
      <c r="B234" s="1" t="n">
        <v>45112</v>
      </c>
      <c r="C234" s="1" t="n">
        <v>46196</v>
      </c>
      <c r="D234" t="inlineStr">
        <is>
          <t>ÖREBRO LÄN</t>
        </is>
      </c>
      <c r="E234" t="inlineStr">
        <is>
          <t>LINDESBERG</t>
        </is>
      </c>
      <c r="G234" t="n">
        <v>3.9</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46196</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17895-2022</t>
        </is>
      </c>
      <c r="B236" s="1" t="n">
        <v>44683</v>
      </c>
      <c r="C236" s="1" t="n">
        <v>46196</v>
      </c>
      <c r="D236" t="inlineStr">
        <is>
          <t>ÖREBRO LÄN</t>
        </is>
      </c>
      <c r="E236" t="inlineStr">
        <is>
          <t>LINDESBERG</t>
        </is>
      </c>
      <c r="G236" t="n">
        <v>1.3</v>
      </c>
      <c r="H236" t="n">
        <v>0</v>
      </c>
      <c r="I236" t="n">
        <v>0</v>
      </c>
      <c r="J236" t="n">
        <v>0</v>
      </c>
      <c r="K236" t="n">
        <v>0</v>
      </c>
      <c r="L236" t="n">
        <v>0</v>
      </c>
      <c r="M236" t="n">
        <v>0</v>
      </c>
      <c r="N236" t="n">
        <v>0</v>
      </c>
      <c r="O236" t="n">
        <v>0</v>
      </c>
      <c r="P236" t="n">
        <v>0</v>
      </c>
      <c r="Q236" t="n">
        <v>0</v>
      </c>
      <c r="R236" s="2" t="inlineStr"/>
    </row>
    <row r="237" ht="15" customHeight="1">
      <c r="A237" t="inlineStr">
        <is>
          <t>A 53046-2024</t>
        </is>
      </c>
      <c r="B237" s="1" t="n">
        <v>45611</v>
      </c>
      <c r="C237" s="1" t="n">
        <v>46196</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51539-2024</t>
        </is>
      </c>
      <c r="B238" s="1" t="n">
        <v>45604</v>
      </c>
      <c r="C238" s="1" t="n">
        <v>46196</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12692-2024</t>
        </is>
      </c>
      <c r="B239" s="1" t="n">
        <v>45384</v>
      </c>
      <c r="C239" s="1" t="n">
        <v>46196</v>
      </c>
      <c r="D239" t="inlineStr">
        <is>
          <t>ÖREBRO LÄN</t>
        </is>
      </c>
      <c r="E239" t="inlineStr">
        <is>
          <t>LINDESBERG</t>
        </is>
      </c>
      <c r="G239" t="n">
        <v>5.2</v>
      </c>
      <c r="H239" t="n">
        <v>0</v>
      </c>
      <c r="I239" t="n">
        <v>0</v>
      </c>
      <c r="J239" t="n">
        <v>0</v>
      </c>
      <c r="K239" t="n">
        <v>0</v>
      </c>
      <c r="L239" t="n">
        <v>0</v>
      </c>
      <c r="M239" t="n">
        <v>0</v>
      </c>
      <c r="N239" t="n">
        <v>0</v>
      </c>
      <c r="O239" t="n">
        <v>0</v>
      </c>
      <c r="P239" t="n">
        <v>0</v>
      </c>
      <c r="Q239" t="n">
        <v>0</v>
      </c>
      <c r="R239" s="2" t="inlineStr"/>
    </row>
    <row r="240" ht="15" customHeight="1">
      <c r="A240" t="inlineStr">
        <is>
          <t>A 43532-2024</t>
        </is>
      </c>
      <c r="B240" s="1" t="n">
        <v>45569</v>
      </c>
      <c r="C240" s="1" t="n">
        <v>46196</v>
      </c>
      <c r="D240" t="inlineStr">
        <is>
          <t>ÖREBRO LÄN</t>
        </is>
      </c>
      <c r="E240" t="inlineStr">
        <is>
          <t>LINDESBERG</t>
        </is>
      </c>
      <c r="G240" t="n">
        <v>2.4</v>
      </c>
      <c r="H240" t="n">
        <v>0</v>
      </c>
      <c r="I240" t="n">
        <v>0</v>
      </c>
      <c r="J240" t="n">
        <v>0</v>
      </c>
      <c r="K240" t="n">
        <v>0</v>
      </c>
      <c r="L240" t="n">
        <v>0</v>
      </c>
      <c r="M240" t="n">
        <v>0</v>
      </c>
      <c r="N240" t="n">
        <v>0</v>
      </c>
      <c r="O240" t="n">
        <v>0</v>
      </c>
      <c r="P240" t="n">
        <v>0</v>
      </c>
      <c r="Q240" t="n">
        <v>0</v>
      </c>
      <c r="R240" s="2" t="inlineStr"/>
    </row>
    <row r="241" ht="15" customHeight="1">
      <c r="A241" t="inlineStr">
        <is>
          <t>A 59282-2023</t>
        </is>
      </c>
      <c r="B241" s="1" t="n">
        <v>45253</v>
      </c>
      <c r="C241" s="1" t="n">
        <v>46196</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47601-2023</t>
        </is>
      </c>
      <c r="B242" s="1" t="n">
        <v>45203</v>
      </c>
      <c r="C242" s="1" t="n">
        <v>46196</v>
      </c>
      <c r="D242" t="inlineStr">
        <is>
          <t>ÖREBRO LÄN</t>
        </is>
      </c>
      <c r="E242" t="inlineStr">
        <is>
          <t>LINDESBERG</t>
        </is>
      </c>
      <c r="G242" t="n">
        <v>37.6</v>
      </c>
      <c r="H242" t="n">
        <v>0</v>
      </c>
      <c r="I242" t="n">
        <v>0</v>
      </c>
      <c r="J242" t="n">
        <v>0</v>
      </c>
      <c r="K242" t="n">
        <v>0</v>
      </c>
      <c r="L242" t="n">
        <v>0</v>
      </c>
      <c r="M242" t="n">
        <v>0</v>
      </c>
      <c r="N242" t="n">
        <v>0</v>
      </c>
      <c r="O242" t="n">
        <v>0</v>
      </c>
      <c r="P242" t="n">
        <v>0</v>
      </c>
      <c r="Q242" t="n">
        <v>0</v>
      </c>
      <c r="R242" s="2" t="inlineStr"/>
    </row>
    <row r="243" ht="15" customHeight="1">
      <c r="A243" t="inlineStr">
        <is>
          <t>A 22078-2025</t>
        </is>
      </c>
      <c r="B243" s="1" t="n">
        <v>45785</v>
      </c>
      <c r="C243" s="1" t="n">
        <v>46196</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53355-2023</t>
        </is>
      </c>
      <c r="B244" s="1" t="n">
        <v>45229</v>
      </c>
      <c r="C244" s="1" t="n">
        <v>46196</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62308-2023</t>
        </is>
      </c>
      <c r="B245" s="1" t="n">
        <v>45267</v>
      </c>
      <c r="C245" s="1" t="n">
        <v>46196</v>
      </c>
      <c r="D245" t="inlineStr">
        <is>
          <t>ÖREBRO LÄN</t>
        </is>
      </c>
      <c r="E245" t="inlineStr">
        <is>
          <t>LINDESBERG</t>
        </is>
      </c>
      <c r="F245" t="inlineStr">
        <is>
          <t>Naturvårdsverket</t>
        </is>
      </c>
      <c r="G245" t="n">
        <v>3.1</v>
      </c>
      <c r="H245" t="n">
        <v>0</v>
      </c>
      <c r="I245" t="n">
        <v>0</v>
      </c>
      <c r="J245" t="n">
        <v>0</v>
      </c>
      <c r="K245" t="n">
        <v>0</v>
      </c>
      <c r="L245" t="n">
        <v>0</v>
      </c>
      <c r="M245" t="n">
        <v>0</v>
      </c>
      <c r="N245" t="n">
        <v>0</v>
      </c>
      <c r="O245" t="n">
        <v>0</v>
      </c>
      <c r="P245" t="n">
        <v>0</v>
      </c>
      <c r="Q245" t="n">
        <v>0</v>
      </c>
      <c r="R245" s="2" t="inlineStr"/>
    </row>
    <row r="246" ht="15" customHeight="1">
      <c r="A246" t="inlineStr">
        <is>
          <t>A 51172-2025</t>
        </is>
      </c>
      <c r="B246" s="1" t="n">
        <v>45947</v>
      </c>
      <c r="C246" s="1" t="n">
        <v>46196</v>
      </c>
      <c r="D246" t="inlineStr">
        <is>
          <t>ÖREBRO LÄN</t>
        </is>
      </c>
      <c r="E246" t="inlineStr">
        <is>
          <t>LINDESBERG</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50933-2025</t>
        </is>
      </c>
      <c r="B247" s="1" t="n">
        <v>45946</v>
      </c>
      <c r="C247" s="1" t="n">
        <v>46196</v>
      </c>
      <c r="D247" t="inlineStr">
        <is>
          <t>ÖREBRO LÄN</t>
        </is>
      </c>
      <c r="E247" t="inlineStr">
        <is>
          <t>LINDESBERG</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51030-2025</t>
        </is>
      </c>
      <c r="B248" s="1" t="n">
        <v>45947</v>
      </c>
      <c r="C248" s="1" t="n">
        <v>46196</v>
      </c>
      <c r="D248" t="inlineStr">
        <is>
          <t>ÖREBRO LÄN</t>
        </is>
      </c>
      <c r="E248" t="inlineStr">
        <is>
          <t>LINDESBERG</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36680-2024</t>
        </is>
      </c>
      <c r="B249" s="1" t="n">
        <v>45537</v>
      </c>
      <c r="C249" s="1" t="n">
        <v>46196</v>
      </c>
      <c r="D249" t="inlineStr">
        <is>
          <t>ÖREBRO LÄN</t>
        </is>
      </c>
      <c r="E249" t="inlineStr">
        <is>
          <t>LINDESBERG</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50936-2025</t>
        </is>
      </c>
      <c r="B250" s="1" t="n">
        <v>45946</v>
      </c>
      <c r="C250" s="1" t="n">
        <v>46196</v>
      </c>
      <c r="D250" t="inlineStr">
        <is>
          <t>ÖREBRO LÄN</t>
        </is>
      </c>
      <c r="E250" t="inlineStr">
        <is>
          <t>LINDESBERG</t>
        </is>
      </c>
      <c r="G250" t="n">
        <v>2.9</v>
      </c>
      <c r="H250" t="n">
        <v>0</v>
      </c>
      <c r="I250" t="n">
        <v>0</v>
      </c>
      <c r="J250" t="n">
        <v>0</v>
      </c>
      <c r="K250" t="n">
        <v>0</v>
      </c>
      <c r="L250" t="n">
        <v>0</v>
      </c>
      <c r="M250" t="n">
        <v>0</v>
      </c>
      <c r="N250" t="n">
        <v>0</v>
      </c>
      <c r="O250" t="n">
        <v>0</v>
      </c>
      <c r="P250" t="n">
        <v>0</v>
      </c>
      <c r="Q250" t="n">
        <v>0</v>
      </c>
      <c r="R250" s="2" t="inlineStr"/>
    </row>
    <row r="251" ht="15" customHeight="1">
      <c r="A251" t="inlineStr">
        <is>
          <t>A 38509-2025</t>
        </is>
      </c>
      <c r="B251" s="1" t="n">
        <v>45884</v>
      </c>
      <c r="C251" s="1" t="n">
        <v>46196</v>
      </c>
      <c r="D251" t="inlineStr">
        <is>
          <t>ÖREBRO LÄN</t>
        </is>
      </c>
      <c r="E251" t="inlineStr">
        <is>
          <t>LINDESBERG</t>
        </is>
      </c>
      <c r="G251" t="n">
        <v>14.9</v>
      </c>
      <c r="H251" t="n">
        <v>0</v>
      </c>
      <c r="I251" t="n">
        <v>0</v>
      </c>
      <c r="J251" t="n">
        <v>0</v>
      </c>
      <c r="K251" t="n">
        <v>0</v>
      </c>
      <c r="L251" t="n">
        <v>0</v>
      </c>
      <c r="M251" t="n">
        <v>0</v>
      </c>
      <c r="N251" t="n">
        <v>0</v>
      </c>
      <c r="O251" t="n">
        <v>0</v>
      </c>
      <c r="P251" t="n">
        <v>0</v>
      </c>
      <c r="Q251" t="n">
        <v>0</v>
      </c>
      <c r="R251" s="2" t="inlineStr"/>
    </row>
    <row r="252" ht="15" customHeight="1">
      <c r="A252" t="inlineStr">
        <is>
          <t>A 36686-2024</t>
        </is>
      </c>
      <c r="B252" s="1" t="n">
        <v>45537</v>
      </c>
      <c r="C252" s="1" t="n">
        <v>46196</v>
      </c>
      <c r="D252" t="inlineStr">
        <is>
          <t>ÖREBRO LÄN</t>
        </is>
      </c>
      <c r="E252" t="inlineStr">
        <is>
          <t>LINDESBERG</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28776-2023</t>
        </is>
      </c>
      <c r="B253" s="1" t="n">
        <v>45104</v>
      </c>
      <c r="C253" s="1" t="n">
        <v>46196</v>
      </c>
      <c r="D253" t="inlineStr">
        <is>
          <t>ÖREBRO LÄN</t>
        </is>
      </c>
      <c r="E253" t="inlineStr">
        <is>
          <t>LINDESBERG</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52117-2025</t>
        </is>
      </c>
      <c r="B254" s="1" t="n">
        <v>45952</v>
      </c>
      <c r="C254" s="1" t="n">
        <v>46196</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52103-2025</t>
        </is>
      </c>
      <c r="B255" s="1" t="n">
        <v>45952</v>
      </c>
      <c r="C255" s="1" t="n">
        <v>46196</v>
      </c>
      <c r="D255" t="inlineStr">
        <is>
          <t>ÖREBRO LÄN</t>
        </is>
      </c>
      <c r="E255" t="inlineStr">
        <is>
          <t>LINDESBERG</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61594-2024</t>
        </is>
      </c>
      <c r="B256" s="1" t="n">
        <v>45646</v>
      </c>
      <c r="C256" s="1" t="n">
        <v>46196</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52104-2025</t>
        </is>
      </c>
      <c r="B257" s="1" t="n">
        <v>45952</v>
      </c>
      <c r="C257" s="1" t="n">
        <v>46196</v>
      </c>
      <c r="D257" t="inlineStr">
        <is>
          <t>ÖREBRO LÄN</t>
        </is>
      </c>
      <c r="E257" t="inlineStr">
        <is>
          <t>LINDESBERG</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59641-2024</t>
        </is>
      </c>
      <c r="B258" s="1" t="n">
        <v>45639</v>
      </c>
      <c r="C258" s="1" t="n">
        <v>46196</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52401-2025</t>
        </is>
      </c>
      <c r="B259" s="1" t="n">
        <v>45954</v>
      </c>
      <c r="C259" s="1" t="n">
        <v>46196</v>
      </c>
      <c r="D259" t="inlineStr">
        <is>
          <t>ÖREBRO LÄN</t>
        </is>
      </c>
      <c r="E259" t="inlineStr">
        <is>
          <t>LINDESBERG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52402-2025</t>
        </is>
      </c>
      <c r="B260" s="1" t="n">
        <v>45954</v>
      </c>
      <c r="C260" s="1" t="n">
        <v>46196</v>
      </c>
      <c r="D260" t="inlineStr">
        <is>
          <t>ÖREBRO LÄN</t>
        </is>
      </c>
      <c r="E260" t="inlineStr">
        <is>
          <t>LINDESBERG</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34676-2023</t>
        </is>
      </c>
      <c r="B261" s="1" t="n">
        <v>45140</v>
      </c>
      <c r="C261" s="1" t="n">
        <v>46196</v>
      </c>
      <c r="D261" t="inlineStr">
        <is>
          <t>ÖREBRO LÄN</t>
        </is>
      </c>
      <c r="E261" t="inlineStr">
        <is>
          <t>LINDESBERG</t>
        </is>
      </c>
      <c r="G261" t="n">
        <v>2.4</v>
      </c>
      <c r="H261" t="n">
        <v>0</v>
      </c>
      <c r="I261" t="n">
        <v>0</v>
      </c>
      <c r="J261" t="n">
        <v>0</v>
      </c>
      <c r="K261" t="n">
        <v>0</v>
      </c>
      <c r="L261" t="n">
        <v>0</v>
      </c>
      <c r="M261" t="n">
        <v>0</v>
      </c>
      <c r="N261" t="n">
        <v>0</v>
      </c>
      <c r="O261" t="n">
        <v>0</v>
      </c>
      <c r="P261" t="n">
        <v>0</v>
      </c>
      <c r="Q261" t="n">
        <v>0</v>
      </c>
      <c r="R261" s="2" t="inlineStr"/>
    </row>
    <row r="262" ht="15" customHeight="1">
      <c r="A262" t="inlineStr">
        <is>
          <t>A 16447-2025</t>
        </is>
      </c>
      <c r="B262" s="1" t="n">
        <v>45751</v>
      </c>
      <c r="C262" s="1" t="n">
        <v>46196</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42707-2023</t>
        </is>
      </c>
      <c r="B263" s="1" t="n">
        <v>45181</v>
      </c>
      <c r="C263" s="1" t="n">
        <v>46196</v>
      </c>
      <c r="D263" t="inlineStr">
        <is>
          <t>ÖREBRO LÄN</t>
        </is>
      </c>
      <c r="E263" t="inlineStr">
        <is>
          <t>LINDESBERG</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2569-2023</t>
        </is>
      </c>
      <c r="B264" s="1" t="n">
        <v>44943</v>
      </c>
      <c r="C264" s="1" t="n">
        <v>46196</v>
      </c>
      <c r="D264" t="inlineStr">
        <is>
          <t>ÖREBRO LÄN</t>
        </is>
      </c>
      <c r="E264" t="inlineStr">
        <is>
          <t>LINDESBERG</t>
        </is>
      </c>
      <c r="G264" t="n">
        <v>2.3</v>
      </c>
      <c r="H264" t="n">
        <v>0</v>
      </c>
      <c r="I264" t="n">
        <v>0</v>
      </c>
      <c r="J264" t="n">
        <v>0</v>
      </c>
      <c r="K264" t="n">
        <v>0</v>
      </c>
      <c r="L264" t="n">
        <v>0</v>
      </c>
      <c r="M264" t="n">
        <v>0</v>
      </c>
      <c r="N264" t="n">
        <v>0</v>
      </c>
      <c r="O264" t="n">
        <v>0</v>
      </c>
      <c r="P264" t="n">
        <v>0</v>
      </c>
      <c r="Q264" t="n">
        <v>0</v>
      </c>
      <c r="R264" s="2" t="inlineStr"/>
    </row>
    <row r="265" ht="15" customHeight="1">
      <c r="A265" t="inlineStr">
        <is>
          <t>A 17779-2024</t>
        </is>
      </c>
      <c r="B265" s="1" t="n">
        <v>45418</v>
      </c>
      <c r="C265" s="1" t="n">
        <v>46196</v>
      </c>
      <c r="D265" t="inlineStr">
        <is>
          <t>ÖREBRO LÄN</t>
        </is>
      </c>
      <c r="E265" t="inlineStr">
        <is>
          <t>LINDESBERG</t>
        </is>
      </c>
      <c r="G265" t="n">
        <v>3.7</v>
      </c>
      <c r="H265" t="n">
        <v>0</v>
      </c>
      <c r="I265" t="n">
        <v>0</v>
      </c>
      <c r="J265" t="n">
        <v>0</v>
      </c>
      <c r="K265" t="n">
        <v>0</v>
      </c>
      <c r="L265" t="n">
        <v>0</v>
      </c>
      <c r="M265" t="n">
        <v>0</v>
      </c>
      <c r="N265" t="n">
        <v>0</v>
      </c>
      <c r="O265" t="n">
        <v>0</v>
      </c>
      <c r="P265" t="n">
        <v>0</v>
      </c>
      <c r="Q265" t="n">
        <v>0</v>
      </c>
      <c r="R265" s="2" t="inlineStr"/>
    </row>
    <row r="266" ht="15" customHeight="1">
      <c r="A266" t="inlineStr">
        <is>
          <t>A 54793-2024</t>
        </is>
      </c>
      <c r="B266" s="1" t="n">
        <v>45618</v>
      </c>
      <c r="C266" s="1" t="n">
        <v>46196</v>
      </c>
      <c r="D266" t="inlineStr">
        <is>
          <t>ÖREBRO LÄN</t>
        </is>
      </c>
      <c r="E266" t="inlineStr">
        <is>
          <t>LINDESBERG</t>
        </is>
      </c>
      <c r="G266" t="n">
        <v>3</v>
      </c>
      <c r="H266" t="n">
        <v>0</v>
      </c>
      <c r="I266" t="n">
        <v>0</v>
      </c>
      <c r="J266" t="n">
        <v>0</v>
      </c>
      <c r="K266" t="n">
        <v>0</v>
      </c>
      <c r="L266" t="n">
        <v>0</v>
      </c>
      <c r="M266" t="n">
        <v>0</v>
      </c>
      <c r="N266" t="n">
        <v>0</v>
      </c>
      <c r="O266" t="n">
        <v>0</v>
      </c>
      <c r="P266" t="n">
        <v>0</v>
      </c>
      <c r="Q266" t="n">
        <v>0</v>
      </c>
      <c r="R266" s="2" t="inlineStr"/>
    </row>
    <row r="267" ht="15" customHeight="1">
      <c r="A267" t="inlineStr">
        <is>
          <t>A 1400-2025</t>
        </is>
      </c>
      <c r="B267" s="1" t="n">
        <v>45667</v>
      </c>
      <c r="C267" s="1" t="n">
        <v>46196</v>
      </c>
      <c r="D267" t="inlineStr">
        <is>
          <t>ÖREBRO LÄN</t>
        </is>
      </c>
      <c r="E267" t="inlineStr">
        <is>
          <t>LINDESBERG</t>
        </is>
      </c>
      <c r="F267" t="inlineStr">
        <is>
          <t>Allmännings- och besparingsskogar</t>
        </is>
      </c>
      <c r="G267" t="n">
        <v>11.3</v>
      </c>
      <c r="H267" t="n">
        <v>0</v>
      </c>
      <c r="I267" t="n">
        <v>0</v>
      </c>
      <c r="J267" t="n">
        <v>0</v>
      </c>
      <c r="K267" t="n">
        <v>0</v>
      </c>
      <c r="L267" t="n">
        <v>0</v>
      </c>
      <c r="M267" t="n">
        <v>0</v>
      </c>
      <c r="N267" t="n">
        <v>0</v>
      </c>
      <c r="O267" t="n">
        <v>0</v>
      </c>
      <c r="P267" t="n">
        <v>0</v>
      </c>
      <c r="Q267" t="n">
        <v>0</v>
      </c>
      <c r="R267" s="2" t="inlineStr"/>
    </row>
    <row r="268" ht="15" customHeight="1">
      <c r="A268" t="inlineStr">
        <is>
          <t>A 38380-2024</t>
        </is>
      </c>
      <c r="B268" s="1" t="n">
        <v>45546</v>
      </c>
      <c r="C268" s="1" t="n">
        <v>46196</v>
      </c>
      <c r="D268" t="inlineStr">
        <is>
          <t>ÖREBRO LÄN</t>
        </is>
      </c>
      <c r="E268" t="inlineStr">
        <is>
          <t>LINDESBERG</t>
        </is>
      </c>
      <c r="G268" t="n">
        <v>6.8</v>
      </c>
      <c r="H268" t="n">
        <v>0</v>
      </c>
      <c r="I268" t="n">
        <v>0</v>
      </c>
      <c r="J268" t="n">
        <v>0</v>
      </c>
      <c r="K268" t="n">
        <v>0</v>
      </c>
      <c r="L268" t="n">
        <v>0</v>
      </c>
      <c r="M268" t="n">
        <v>0</v>
      </c>
      <c r="N268" t="n">
        <v>0</v>
      </c>
      <c r="O268" t="n">
        <v>0</v>
      </c>
      <c r="P268" t="n">
        <v>0</v>
      </c>
      <c r="Q268" t="n">
        <v>0</v>
      </c>
      <c r="R268" s="2" t="inlineStr"/>
    </row>
    <row r="269" ht="15" customHeight="1">
      <c r="A269" t="inlineStr">
        <is>
          <t>A 21202-2024</t>
        </is>
      </c>
      <c r="B269" s="1" t="n">
        <v>45440</v>
      </c>
      <c r="C269" s="1" t="n">
        <v>46196</v>
      </c>
      <c r="D269" t="inlineStr">
        <is>
          <t>ÖREBRO LÄN</t>
        </is>
      </c>
      <c r="E269" t="inlineStr">
        <is>
          <t>LINDESBERG</t>
        </is>
      </c>
      <c r="G269" t="n">
        <v>4</v>
      </c>
      <c r="H269" t="n">
        <v>0</v>
      </c>
      <c r="I269" t="n">
        <v>0</v>
      </c>
      <c r="J269" t="n">
        <v>0</v>
      </c>
      <c r="K269" t="n">
        <v>0</v>
      </c>
      <c r="L269" t="n">
        <v>0</v>
      </c>
      <c r="M269" t="n">
        <v>0</v>
      </c>
      <c r="N269" t="n">
        <v>0</v>
      </c>
      <c r="O269" t="n">
        <v>0</v>
      </c>
      <c r="P269" t="n">
        <v>0</v>
      </c>
      <c r="Q269" t="n">
        <v>0</v>
      </c>
      <c r="R269" s="2" t="inlineStr"/>
    </row>
    <row r="270" ht="15" customHeight="1">
      <c r="A270" t="inlineStr">
        <is>
          <t>A 38861-2025</t>
        </is>
      </c>
      <c r="B270" s="1" t="n">
        <v>45887</v>
      </c>
      <c r="C270" s="1" t="n">
        <v>46196</v>
      </c>
      <c r="D270" t="inlineStr">
        <is>
          <t>ÖREBRO LÄN</t>
        </is>
      </c>
      <c r="E270" t="inlineStr">
        <is>
          <t>LINDESBERG</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54249-2025</t>
        </is>
      </c>
      <c r="B271" s="1" t="n">
        <v>45964</v>
      </c>
      <c r="C271" s="1" t="n">
        <v>46196</v>
      </c>
      <c r="D271" t="inlineStr">
        <is>
          <t>ÖREBRO LÄN</t>
        </is>
      </c>
      <c r="E271" t="inlineStr">
        <is>
          <t>LINDESBERG</t>
        </is>
      </c>
      <c r="F271" t="inlineStr">
        <is>
          <t>Sveaskog</t>
        </is>
      </c>
      <c r="G271" t="n">
        <v>5.2</v>
      </c>
      <c r="H271" t="n">
        <v>0</v>
      </c>
      <c r="I271" t="n">
        <v>0</v>
      </c>
      <c r="J271" t="n">
        <v>0</v>
      </c>
      <c r="K271" t="n">
        <v>0</v>
      </c>
      <c r="L271" t="n">
        <v>0</v>
      </c>
      <c r="M271" t="n">
        <v>0</v>
      </c>
      <c r="N271" t="n">
        <v>0</v>
      </c>
      <c r="O271" t="n">
        <v>0</v>
      </c>
      <c r="P271" t="n">
        <v>0</v>
      </c>
      <c r="Q271" t="n">
        <v>0</v>
      </c>
      <c r="R271" s="2" t="inlineStr"/>
    </row>
    <row r="272" ht="15" customHeight="1">
      <c r="A272" t="inlineStr">
        <is>
          <t>A 39429-2025</t>
        </is>
      </c>
      <c r="B272" s="1" t="n">
        <v>45889</v>
      </c>
      <c r="C272" s="1" t="n">
        <v>46196</v>
      </c>
      <c r="D272" t="inlineStr">
        <is>
          <t>ÖREBRO LÄN</t>
        </is>
      </c>
      <c r="E272" t="inlineStr">
        <is>
          <t>LINDESBERG</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54070-2025</t>
        </is>
      </c>
      <c r="B273" s="1" t="n">
        <v>45964</v>
      </c>
      <c r="C273" s="1" t="n">
        <v>46196</v>
      </c>
      <c r="D273" t="inlineStr">
        <is>
          <t>ÖREBRO LÄN</t>
        </is>
      </c>
      <c r="E273" t="inlineStr">
        <is>
          <t>LINDESBERG</t>
        </is>
      </c>
      <c r="G273" t="n">
        <v>0.5</v>
      </c>
      <c r="H273" t="n">
        <v>0</v>
      </c>
      <c r="I273" t="n">
        <v>0</v>
      </c>
      <c r="J273" t="n">
        <v>0</v>
      </c>
      <c r="K273" t="n">
        <v>0</v>
      </c>
      <c r="L273" t="n">
        <v>0</v>
      </c>
      <c r="M273" t="n">
        <v>0</v>
      </c>
      <c r="N273" t="n">
        <v>0</v>
      </c>
      <c r="O273" t="n">
        <v>0</v>
      </c>
      <c r="P273" t="n">
        <v>0</v>
      </c>
      <c r="Q273" t="n">
        <v>0</v>
      </c>
      <c r="R273" s="2" t="inlineStr"/>
    </row>
    <row r="274" ht="15" customHeight="1">
      <c r="A274" t="inlineStr">
        <is>
          <t>A 23844-2025</t>
        </is>
      </c>
      <c r="B274" s="1" t="n">
        <v>45793</v>
      </c>
      <c r="C274" s="1" t="n">
        <v>46196</v>
      </c>
      <c r="D274" t="inlineStr">
        <is>
          <t>ÖREBRO LÄN</t>
        </is>
      </c>
      <c r="E274" t="inlineStr">
        <is>
          <t>LINDESBERG</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24186-2024</t>
        </is>
      </c>
      <c r="B275" s="1" t="n">
        <v>45456</v>
      </c>
      <c r="C275" s="1" t="n">
        <v>46196</v>
      </c>
      <c r="D275" t="inlineStr">
        <is>
          <t>ÖREBRO LÄN</t>
        </is>
      </c>
      <c r="E275" t="inlineStr">
        <is>
          <t>LINDESBERG</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54072-2025</t>
        </is>
      </c>
      <c r="B276" s="1" t="n">
        <v>45964</v>
      </c>
      <c r="C276" s="1" t="n">
        <v>46196</v>
      </c>
      <c r="D276" t="inlineStr">
        <is>
          <t>ÖREBRO LÄN</t>
        </is>
      </c>
      <c r="E276" t="inlineStr">
        <is>
          <t>LINDESBERG</t>
        </is>
      </c>
      <c r="G276" t="n">
        <v>1.3</v>
      </c>
      <c r="H276" t="n">
        <v>0</v>
      </c>
      <c r="I276" t="n">
        <v>0</v>
      </c>
      <c r="J276" t="n">
        <v>0</v>
      </c>
      <c r="K276" t="n">
        <v>0</v>
      </c>
      <c r="L276" t="n">
        <v>0</v>
      </c>
      <c r="M276" t="n">
        <v>0</v>
      </c>
      <c r="N276" t="n">
        <v>0</v>
      </c>
      <c r="O276" t="n">
        <v>0</v>
      </c>
      <c r="P276" t="n">
        <v>0</v>
      </c>
      <c r="Q276" t="n">
        <v>0</v>
      </c>
      <c r="R276" s="2" t="inlineStr"/>
    </row>
    <row r="277" ht="15" customHeight="1">
      <c r="A277" t="inlineStr">
        <is>
          <t>A 54250-2025</t>
        </is>
      </c>
      <c r="B277" s="1" t="n">
        <v>45964</v>
      </c>
      <c r="C277" s="1" t="n">
        <v>46196</v>
      </c>
      <c r="D277" t="inlineStr">
        <is>
          <t>ÖREBRO LÄN</t>
        </is>
      </c>
      <c r="E277" t="inlineStr">
        <is>
          <t>LINDESBERG</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54251-2025</t>
        </is>
      </c>
      <c r="B278" s="1" t="n">
        <v>45964</v>
      </c>
      <c r="C278" s="1" t="n">
        <v>46196</v>
      </c>
      <c r="D278" t="inlineStr">
        <is>
          <t>ÖREBRO LÄN</t>
        </is>
      </c>
      <c r="E278" t="inlineStr">
        <is>
          <t>LINDESBERG</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39421-2025</t>
        </is>
      </c>
      <c r="B279" s="1" t="n">
        <v>45889</v>
      </c>
      <c r="C279" s="1" t="n">
        <v>46196</v>
      </c>
      <c r="D279" t="inlineStr">
        <is>
          <t>ÖREBRO LÄN</t>
        </is>
      </c>
      <c r="E279" t="inlineStr">
        <is>
          <t>LINDESBERG</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39424-2025</t>
        </is>
      </c>
      <c r="B280" s="1" t="n">
        <v>45889</v>
      </c>
      <c r="C280" s="1" t="n">
        <v>46196</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19960-2023</t>
        </is>
      </c>
      <c r="B281" s="1" t="n">
        <v>45054</v>
      </c>
      <c r="C281" s="1" t="n">
        <v>46196</v>
      </c>
      <c r="D281" t="inlineStr">
        <is>
          <t>ÖREBRO LÄN</t>
        </is>
      </c>
      <c r="E281" t="inlineStr">
        <is>
          <t>LINDESBERG</t>
        </is>
      </c>
      <c r="G281" t="n">
        <v>6.2</v>
      </c>
      <c r="H281" t="n">
        <v>0</v>
      </c>
      <c r="I281" t="n">
        <v>0</v>
      </c>
      <c r="J281" t="n">
        <v>0</v>
      </c>
      <c r="K281" t="n">
        <v>0</v>
      </c>
      <c r="L281" t="n">
        <v>0</v>
      </c>
      <c r="M281" t="n">
        <v>0</v>
      </c>
      <c r="N281" t="n">
        <v>0</v>
      </c>
      <c r="O281" t="n">
        <v>0</v>
      </c>
      <c r="P281" t="n">
        <v>0</v>
      </c>
      <c r="Q281" t="n">
        <v>0</v>
      </c>
      <c r="R281" s="2" t="inlineStr"/>
    </row>
    <row r="282" ht="15" customHeight="1">
      <c r="A282" t="inlineStr">
        <is>
          <t>A 23932-2025</t>
        </is>
      </c>
      <c r="B282" s="1" t="n">
        <v>45795</v>
      </c>
      <c r="C282" s="1" t="n">
        <v>46196</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37125-2023</t>
        </is>
      </c>
      <c r="B283" s="1" t="n">
        <v>45155</v>
      </c>
      <c r="C283" s="1" t="n">
        <v>46196</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57944-2023</t>
        </is>
      </c>
      <c r="B284" s="1" t="n">
        <v>45244</v>
      </c>
      <c r="C284" s="1" t="n">
        <v>46196</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v>
      </c>
      <c r="C285" s="1" t="n">
        <v>46196</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55255-2025</t>
        </is>
      </c>
      <c r="B286" s="1" t="n">
        <v>45968</v>
      </c>
      <c r="C286" s="1" t="n">
        <v>46196</v>
      </c>
      <c r="D286" t="inlineStr">
        <is>
          <t>ÖREBRO LÄN</t>
        </is>
      </c>
      <c r="E286" t="inlineStr">
        <is>
          <t>LINDESBERG</t>
        </is>
      </c>
      <c r="F286" t="inlineStr">
        <is>
          <t>Kyrkan</t>
        </is>
      </c>
      <c r="G286" t="n">
        <v>1</v>
      </c>
      <c r="H286" t="n">
        <v>0</v>
      </c>
      <c r="I286" t="n">
        <v>0</v>
      </c>
      <c r="J286" t="n">
        <v>0</v>
      </c>
      <c r="K286" t="n">
        <v>0</v>
      </c>
      <c r="L286" t="n">
        <v>0</v>
      </c>
      <c r="M286" t="n">
        <v>0</v>
      </c>
      <c r="N286" t="n">
        <v>0</v>
      </c>
      <c r="O286" t="n">
        <v>0</v>
      </c>
      <c r="P286" t="n">
        <v>0</v>
      </c>
      <c r="Q286" t="n">
        <v>0</v>
      </c>
      <c r="R286" s="2" t="inlineStr"/>
    </row>
    <row r="287" ht="15" customHeight="1">
      <c r="A287" t="inlineStr">
        <is>
          <t>A 24011-2025</t>
        </is>
      </c>
      <c r="B287" s="1" t="n">
        <v>45796</v>
      </c>
      <c r="C287" s="1" t="n">
        <v>46196</v>
      </c>
      <c r="D287" t="inlineStr">
        <is>
          <t>ÖREBRO LÄN</t>
        </is>
      </c>
      <c r="E287" t="inlineStr">
        <is>
          <t>LINDESBERG</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43247-2023</t>
        </is>
      </c>
      <c r="B288" s="1" t="n">
        <v>45183</v>
      </c>
      <c r="C288" s="1" t="n">
        <v>46196</v>
      </c>
      <c r="D288" t="inlineStr">
        <is>
          <t>ÖREBRO LÄN</t>
        </is>
      </c>
      <c r="E288" t="inlineStr">
        <is>
          <t>LINDESBERG</t>
        </is>
      </c>
      <c r="G288" t="n">
        <v>3</v>
      </c>
      <c r="H288" t="n">
        <v>0</v>
      </c>
      <c r="I288" t="n">
        <v>0</v>
      </c>
      <c r="J288" t="n">
        <v>0</v>
      </c>
      <c r="K288" t="n">
        <v>0</v>
      </c>
      <c r="L288" t="n">
        <v>0</v>
      </c>
      <c r="M288" t="n">
        <v>0</v>
      </c>
      <c r="N288" t="n">
        <v>0</v>
      </c>
      <c r="O288" t="n">
        <v>0</v>
      </c>
      <c r="P288" t="n">
        <v>0</v>
      </c>
      <c r="Q288" t="n">
        <v>0</v>
      </c>
      <c r="R288" s="2" t="inlineStr"/>
    </row>
    <row r="289" ht="15" customHeight="1">
      <c r="A289" t="inlineStr">
        <is>
          <t>A 24020-2025</t>
        </is>
      </c>
      <c r="B289" s="1" t="n">
        <v>45796</v>
      </c>
      <c r="C289" s="1" t="n">
        <v>46196</v>
      </c>
      <c r="D289" t="inlineStr">
        <is>
          <t>ÖREBRO LÄN</t>
        </is>
      </c>
      <c r="E289" t="inlineStr">
        <is>
          <t>LINDESBERG</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24043-2024</t>
        </is>
      </c>
      <c r="B290" s="1" t="n">
        <v>45456</v>
      </c>
      <c r="C290" s="1" t="n">
        <v>46196</v>
      </c>
      <c r="D290" t="inlineStr">
        <is>
          <t>ÖREBRO LÄN</t>
        </is>
      </c>
      <c r="E290" t="inlineStr">
        <is>
          <t>LINDESBERG</t>
        </is>
      </c>
      <c r="G290" t="n">
        <v>6.2</v>
      </c>
      <c r="H290" t="n">
        <v>0</v>
      </c>
      <c r="I290" t="n">
        <v>0</v>
      </c>
      <c r="J290" t="n">
        <v>0</v>
      </c>
      <c r="K290" t="n">
        <v>0</v>
      </c>
      <c r="L290" t="n">
        <v>0</v>
      </c>
      <c r="M290" t="n">
        <v>0</v>
      </c>
      <c r="N290" t="n">
        <v>0</v>
      </c>
      <c r="O290" t="n">
        <v>0</v>
      </c>
      <c r="P290" t="n">
        <v>0</v>
      </c>
      <c r="Q290" t="n">
        <v>0</v>
      </c>
      <c r="R290" s="2" t="inlineStr"/>
    </row>
    <row r="291" ht="15" customHeight="1">
      <c r="A291" t="inlineStr">
        <is>
          <t>A 55490-2025</t>
        </is>
      </c>
      <c r="B291" s="1" t="n">
        <v>45971</v>
      </c>
      <c r="C291" s="1" t="n">
        <v>46196</v>
      </c>
      <c r="D291" t="inlineStr">
        <is>
          <t>ÖREBRO LÄN</t>
        </is>
      </c>
      <c r="E291" t="inlineStr">
        <is>
          <t>LINDESBERG</t>
        </is>
      </c>
      <c r="G291" t="n">
        <v>1.1</v>
      </c>
      <c r="H291" t="n">
        <v>0</v>
      </c>
      <c r="I291" t="n">
        <v>0</v>
      </c>
      <c r="J291" t="n">
        <v>0</v>
      </c>
      <c r="K291" t="n">
        <v>0</v>
      </c>
      <c r="L291" t="n">
        <v>0</v>
      </c>
      <c r="M291" t="n">
        <v>0</v>
      </c>
      <c r="N291" t="n">
        <v>0</v>
      </c>
      <c r="O291" t="n">
        <v>0</v>
      </c>
      <c r="P291" t="n">
        <v>0</v>
      </c>
      <c r="Q291" t="n">
        <v>0</v>
      </c>
      <c r="R291" s="2" t="inlineStr"/>
    </row>
    <row r="292" ht="15" customHeight="1">
      <c r="A292" t="inlineStr">
        <is>
          <t>A 48231-2024</t>
        </is>
      </c>
      <c r="B292" s="1" t="n">
        <v>45590</v>
      </c>
      <c r="C292" s="1" t="n">
        <v>46196</v>
      </c>
      <c r="D292" t="inlineStr">
        <is>
          <t>ÖREBRO LÄN</t>
        </is>
      </c>
      <c r="E292" t="inlineStr">
        <is>
          <t>LINDESBERG</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37507-2023</t>
        </is>
      </c>
      <c r="B293" s="1" t="n">
        <v>45158</v>
      </c>
      <c r="C293" s="1" t="n">
        <v>46196</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56306-2025</t>
        </is>
      </c>
      <c r="B294" s="1" t="n">
        <v>45974</v>
      </c>
      <c r="C294" s="1" t="n">
        <v>46196</v>
      </c>
      <c r="D294" t="inlineStr">
        <is>
          <t>ÖREBRO LÄN</t>
        </is>
      </c>
      <c r="E294" t="inlineStr">
        <is>
          <t>LINDESBERG</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56308-2025</t>
        </is>
      </c>
      <c r="B295" s="1" t="n">
        <v>45974</v>
      </c>
      <c r="C295" s="1" t="n">
        <v>46196</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53189-2023</t>
        </is>
      </c>
      <c r="B296" s="1" t="n">
        <v>45194</v>
      </c>
      <c r="C296" s="1" t="n">
        <v>46196</v>
      </c>
      <c r="D296" t="inlineStr">
        <is>
          <t>ÖREBRO LÄN</t>
        </is>
      </c>
      <c r="E296" t="inlineStr">
        <is>
          <t>LINDESBERG</t>
        </is>
      </c>
      <c r="G296" t="n">
        <v>2</v>
      </c>
      <c r="H296" t="n">
        <v>0</v>
      </c>
      <c r="I296" t="n">
        <v>0</v>
      </c>
      <c r="J296" t="n">
        <v>0</v>
      </c>
      <c r="K296" t="n">
        <v>0</v>
      </c>
      <c r="L296" t="n">
        <v>0</v>
      </c>
      <c r="M296" t="n">
        <v>0</v>
      </c>
      <c r="N296" t="n">
        <v>0</v>
      </c>
      <c r="O296" t="n">
        <v>0</v>
      </c>
      <c r="P296" t="n">
        <v>0</v>
      </c>
      <c r="Q296" t="n">
        <v>0</v>
      </c>
      <c r="R296" s="2" t="inlineStr"/>
    </row>
    <row r="297" ht="15" customHeight="1">
      <c r="A297" t="inlineStr">
        <is>
          <t>A 56232-2025</t>
        </is>
      </c>
      <c r="B297" s="1" t="n">
        <v>45974</v>
      </c>
      <c r="C297" s="1" t="n">
        <v>46196</v>
      </c>
      <c r="D297" t="inlineStr">
        <is>
          <t>ÖREBRO LÄN</t>
        </is>
      </c>
      <c r="E297" t="inlineStr">
        <is>
          <t>LINDESBERG</t>
        </is>
      </c>
      <c r="G297" t="n">
        <v>3.2</v>
      </c>
      <c r="H297" t="n">
        <v>0</v>
      </c>
      <c r="I297" t="n">
        <v>0</v>
      </c>
      <c r="J297" t="n">
        <v>0</v>
      </c>
      <c r="K297" t="n">
        <v>0</v>
      </c>
      <c r="L297" t="n">
        <v>0</v>
      </c>
      <c r="M297" t="n">
        <v>0</v>
      </c>
      <c r="N297" t="n">
        <v>0</v>
      </c>
      <c r="O297" t="n">
        <v>0</v>
      </c>
      <c r="P297" t="n">
        <v>0</v>
      </c>
      <c r="Q297" t="n">
        <v>0</v>
      </c>
      <c r="R297" s="2" t="inlineStr"/>
    </row>
    <row r="298" ht="15" customHeight="1">
      <c r="A298" t="inlineStr">
        <is>
          <t>A 23649-2023</t>
        </is>
      </c>
      <c r="B298" s="1" t="n">
        <v>45074</v>
      </c>
      <c r="C298" s="1" t="n">
        <v>46196</v>
      </c>
      <c r="D298" t="inlineStr">
        <is>
          <t>ÖREBRO LÄN</t>
        </is>
      </c>
      <c r="E298" t="inlineStr">
        <is>
          <t>LINDESBERG</t>
        </is>
      </c>
      <c r="G298" t="n">
        <v>1.2</v>
      </c>
      <c r="H298" t="n">
        <v>0</v>
      </c>
      <c r="I298" t="n">
        <v>0</v>
      </c>
      <c r="J298" t="n">
        <v>0</v>
      </c>
      <c r="K298" t="n">
        <v>0</v>
      </c>
      <c r="L298" t="n">
        <v>0</v>
      </c>
      <c r="M298" t="n">
        <v>0</v>
      </c>
      <c r="N298" t="n">
        <v>0</v>
      </c>
      <c r="O298" t="n">
        <v>0</v>
      </c>
      <c r="P298" t="n">
        <v>0</v>
      </c>
      <c r="Q298" t="n">
        <v>0</v>
      </c>
      <c r="R298" s="2" t="inlineStr"/>
    </row>
    <row r="299" ht="15" customHeight="1">
      <c r="A299" t="inlineStr">
        <is>
          <t>A 41889-2025</t>
        </is>
      </c>
      <c r="B299" s="1" t="n">
        <v>45903</v>
      </c>
      <c r="C299" s="1" t="n">
        <v>46196</v>
      </c>
      <c r="D299" t="inlineStr">
        <is>
          <t>ÖREBRO LÄN</t>
        </is>
      </c>
      <c r="E299" t="inlineStr">
        <is>
          <t>LINDESBERG</t>
        </is>
      </c>
      <c r="F299" t="inlineStr">
        <is>
          <t>Sveaskog</t>
        </is>
      </c>
      <c r="G299" t="n">
        <v>7.7</v>
      </c>
      <c r="H299" t="n">
        <v>0</v>
      </c>
      <c r="I299" t="n">
        <v>0</v>
      </c>
      <c r="J299" t="n">
        <v>0</v>
      </c>
      <c r="K299" t="n">
        <v>0</v>
      </c>
      <c r="L299" t="n">
        <v>0</v>
      </c>
      <c r="M299" t="n">
        <v>0</v>
      </c>
      <c r="N299" t="n">
        <v>0</v>
      </c>
      <c r="O299" t="n">
        <v>0</v>
      </c>
      <c r="P299" t="n">
        <v>0</v>
      </c>
      <c r="Q299" t="n">
        <v>0</v>
      </c>
      <c r="R299" s="2" t="inlineStr"/>
    </row>
    <row r="300" ht="15" customHeight="1">
      <c r="A300" t="inlineStr">
        <is>
          <t>A 45041-2024</t>
        </is>
      </c>
      <c r="B300" s="1" t="n">
        <v>45575</v>
      </c>
      <c r="C300" s="1" t="n">
        <v>46196</v>
      </c>
      <c r="D300" t="inlineStr">
        <is>
          <t>ÖREBRO LÄN</t>
        </is>
      </c>
      <c r="E300" t="inlineStr">
        <is>
          <t>LINDESBERG</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56226-2025</t>
        </is>
      </c>
      <c r="B301" s="1" t="n">
        <v>45974</v>
      </c>
      <c r="C301" s="1" t="n">
        <v>46196</v>
      </c>
      <c r="D301" t="inlineStr">
        <is>
          <t>ÖREBRO LÄN</t>
        </is>
      </c>
      <c r="E301" t="inlineStr">
        <is>
          <t>LINDESBERG</t>
        </is>
      </c>
      <c r="G301" t="n">
        <v>1.8</v>
      </c>
      <c r="H301" t="n">
        <v>0</v>
      </c>
      <c r="I301" t="n">
        <v>0</v>
      </c>
      <c r="J301" t="n">
        <v>0</v>
      </c>
      <c r="K301" t="n">
        <v>0</v>
      </c>
      <c r="L301" t="n">
        <v>0</v>
      </c>
      <c r="M301" t="n">
        <v>0</v>
      </c>
      <c r="N301" t="n">
        <v>0</v>
      </c>
      <c r="O301" t="n">
        <v>0</v>
      </c>
      <c r="P301" t="n">
        <v>0</v>
      </c>
      <c r="Q301" t="n">
        <v>0</v>
      </c>
      <c r="R301" s="2" t="inlineStr"/>
    </row>
    <row r="302" ht="15" customHeight="1">
      <c r="A302" t="inlineStr">
        <is>
          <t>A 42631-2025</t>
        </is>
      </c>
      <c r="B302" s="1" t="n">
        <v>45905</v>
      </c>
      <c r="C302" s="1" t="n">
        <v>46196</v>
      </c>
      <c r="D302" t="inlineStr">
        <is>
          <t>ÖREBRO LÄN</t>
        </is>
      </c>
      <c r="E302" t="inlineStr">
        <is>
          <t>LINDESBERG</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57299-2025</t>
        </is>
      </c>
      <c r="B303" s="1" t="n">
        <v>45979</v>
      </c>
      <c r="C303" s="1" t="n">
        <v>46196</v>
      </c>
      <c r="D303" t="inlineStr">
        <is>
          <t>ÖREBRO LÄN</t>
        </is>
      </c>
      <c r="E303" t="inlineStr">
        <is>
          <t>LINDESBERG</t>
        </is>
      </c>
      <c r="F303" t="inlineStr">
        <is>
          <t>Sveaskog</t>
        </is>
      </c>
      <c r="G303" t="n">
        <v>4.5</v>
      </c>
      <c r="H303" t="n">
        <v>0</v>
      </c>
      <c r="I303" t="n">
        <v>0</v>
      </c>
      <c r="J303" t="n">
        <v>0</v>
      </c>
      <c r="K303" t="n">
        <v>0</v>
      </c>
      <c r="L303" t="n">
        <v>0</v>
      </c>
      <c r="M303" t="n">
        <v>0</v>
      </c>
      <c r="N303" t="n">
        <v>0</v>
      </c>
      <c r="O303" t="n">
        <v>0</v>
      </c>
      <c r="P303" t="n">
        <v>0</v>
      </c>
      <c r="Q303" t="n">
        <v>0</v>
      </c>
      <c r="R303" s="2" t="inlineStr"/>
    </row>
    <row r="304" ht="15" customHeight="1">
      <c r="A304" t="inlineStr">
        <is>
          <t>A 57317-2025</t>
        </is>
      </c>
      <c r="B304" s="1" t="n">
        <v>45980</v>
      </c>
      <c r="C304" s="1" t="n">
        <v>46196</v>
      </c>
      <c r="D304" t="inlineStr">
        <is>
          <t>ÖREBRO LÄN</t>
        </is>
      </c>
      <c r="E304" t="inlineStr">
        <is>
          <t>LINDESBERG</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57300-2025</t>
        </is>
      </c>
      <c r="B305" s="1" t="n">
        <v>45979</v>
      </c>
      <c r="C305" s="1" t="n">
        <v>46196</v>
      </c>
      <c r="D305" t="inlineStr">
        <is>
          <t>ÖREBRO LÄN</t>
        </is>
      </c>
      <c r="E305" t="inlineStr">
        <is>
          <t>LINDESBERG</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57359-2025</t>
        </is>
      </c>
      <c r="B306" s="1" t="n">
        <v>45980</v>
      </c>
      <c r="C306" s="1" t="n">
        <v>46196</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57361-2025</t>
        </is>
      </c>
      <c r="B307" s="1" t="n">
        <v>45980</v>
      </c>
      <c r="C307" s="1" t="n">
        <v>46196</v>
      </c>
      <c r="D307" t="inlineStr">
        <is>
          <t>ÖREBRO LÄN</t>
        </is>
      </c>
      <c r="E307" t="inlineStr">
        <is>
          <t>LINDESBERG</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25842-2025</t>
        </is>
      </c>
      <c r="B308" s="1" t="n">
        <v>45804</v>
      </c>
      <c r="C308" s="1" t="n">
        <v>46196</v>
      </c>
      <c r="D308" t="inlineStr">
        <is>
          <t>ÖREBRO LÄN</t>
        </is>
      </c>
      <c r="E308" t="inlineStr">
        <is>
          <t>LINDESBERG</t>
        </is>
      </c>
      <c r="G308" t="n">
        <v>1.7</v>
      </c>
      <c r="H308" t="n">
        <v>0</v>
      </c>
      <c r="I308" t="n">
        <v>0</v>
      </c>
      <c r="J308" t="n">
        <v>0</v>
      </c>
      <c r="K308" t="n">
        <v>0</v>
      </c>
      <c r="L308" t="n">
        <v>0</v>
      </c>
      <c r="M308" t="n">
        <v>0</v>
      </c>
      <c r="N308" t="n">
        <v>0</v>
      </c>
      <c r="O308" t="n">
        <v>0</v>
      </c>
      <c r="P308" t="n">
        <v>0</v>
      </c>
      <c r="Q308" t="n">
        <v>0</v>
      </c>
      <c r="R308" s="2" t="inlineStr"/>
    </row>
    <row r="309" ht="15" customHeight="1">
      <c r="A309" t="inlineStr">
        <is>
          <t>A 29938-2024</t>
        </is>
      </c>
      <c r="B309" s="1" t="n">
        <v>45488</v>
      </c>
      <c r="C309" s="1" t="n">
        <v>46196</v>
      </c>
      <c r="D309" t="inlineStr">
        <is>
          <t>ÖREBRO LÄN</t>
        </is>
      </c>
      <c r="E309" t="inlineStr">
        <is>
          <t>LINDESBERG</t>
        </is>
      </c>
      <c r="G309" t="n">
        <v>4</v>
      </c>
      <c r="H309" t="n">
        <v>0</v>
      </c>
      <c r="I309" t="n">
        <v>0</v>
      </c>
      <c r="J309" t="n">
        <v>0</v>
      </c>
      <c r="K309" t="n">
        <v>0</v>
      </c>
      <c r="L309" t="n">
        <v>0</v>
      </c>
      <c r="M309" t="n">
        <v>0</v>
      </c>
      <c r="N309" t="n">
        <v>0</v>
      </c>
      <c r="O309" t="n">
        <v>0</v>
      </c>
      <c r="P309" t="n">
        <v>0</v>
      </c>
      <c r="Q309" t="n">
        <v>0</v>
      </c>
      <c r="R309" s="2" t="inlineStr"/>
    </row>
    <row r="310" ht="15" customHeight="1">
      <c r="A310" t="inlineStr">
        <is>
          <t>A 57313-2025</t>
        </is>
      </c>
      <c r="B310" s="1" t="n">
        <v>45979</v>
      </c>
      <c r="C310" s="1" t="n">
        <v>46196</v>
      </c>
      <c r="D310" t="inlineStr">
        <is>
          <t>ÖREBRO LÄN</t>
        </is>
      </c>
      <c r="E310" t="inlineStr">
        <is>
          <t>LINDESBERG</t>
        </is>
      </c>
      <c r="F310" t="inlineStr">
        <is>
          <t>Sveaskog</t>
        </is>
      </c>
      <c r="G310" t="n">
        <v>9.1</v>
      </c>
      <c r="H310" t="n">
        <v>0</v>
      </c>
      <c r="I310" t="n">
        <v>0</v>
      </c>
      <c r="J310" t="n">
        <v>0</v>
      </c>
      <c r="K310" t="n">
        <v>0</v>
      </c>
      <c r="L310" t="n">
        <v>0</v>
      </c>
      <c r="M310" t="n">
        <v>0</v>
      </c>
      <c r="N310" t="n">
        <v>0</v>
      </c>
      <c r="O310" t="n">
        <v>0</v>
      </c>
      <c r="P310" t="n">
        <v>0</v>
      </c>
      <c r="Q310" t="n">
        <v>0</v>
      </c>
      <c r="R310" s="2" t="inlineStr"/>
    </row>
    <row r="311" ht="15" customHeight="1">
      <c r="A311" t="inlineStr">
        <is>
          <t>A 57314-2025</t>
        </is>
      </c>
      <c r="B311" s="1" t="n">
        <v>45980</v>
      </c>
      <c r="C311" s="1" t="n">
        <v>46196</v>
      </c>
      <c r="D311" t="inlineStr">
        <is>
          <t>ÖREBRO LÄN</t>
        </is>
      </c>
      <c r="E311" t="inlineStr">
        <is>
          <t>LINDESBERG</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57315-2025</t>
        </is>
      </c>
      <c r="B312" s="1" t="n">
        <v>45980</v>
      </c>
      <c r="C312" s="1" t="n">
        <v>46196</v>
      </c>
      <c r="D312" t="inlineStr">
        <is>
          <t>ÖREBRO LÄN</t>
        </is>
      </c>
      <c r="E312" t="inlineStr">
        <is>
          <t>LINDESBERG</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57316-2025</t>
        </is>
      </c>
      <c r="B313" s="1" t="n">
        <v>45980</v>
      </c>
      <c r="C313" s="1" t="n">
        <v>46196</v>
      </c>
      <c r="D313" t="inlineStr">
        <is>
          <t>ÖREBRO LÄN</t>
        </is>
      </c>
      <c r="E313" t="inlineStr">
        <is>
          <t>LINDESBERG</t>
        </is>
      </c>
      <c r="F313" t="inlineStr">
        <is>
          <t>Sveaskog</t>
        </is>
      </c>
      <c r="G313" t="n">
        <v>6.5</v>
      </c>
      <c r="H313" t="n">
        <v>0</v>
      </c>
      <c r="I313" t="n">
        <v>0</v>
      </c>
      <c r="J313" t="n">
        <v>0</v>
      </c>
      <c r="K313" t="n">
        <v>0</v>
      </c>
      <c r="L313" t="n">
        <v>0</v>
      </c>
      <c r="M313" t="n">
        <v>0</v>
      </c>
      <c r="N313" t="n">
        <v>0</v>
      </c>
      <c r="O313" t="n">
        <v>0</v>
      </c>
      <c r="P313" t="n">
        <v>0</v>
      </c>
      <c r="Q313" t="n">
        <v>0</v>
      </c>
      <c r="R313" s="2" t="inlineStr"/>
    </row>
    <row r="314" ht="15" customHeight="1">
      <c r="A314" t="inlineStr">
        <is>
          <t>A 37843-2025</t>
        </is>
      </c>
      <c r="B314" s="1" t="n">
        <v>45881</v>
      </c>
      <c r="C314" s="1" t="n">
        <v>46196</v>
      </c>
      <c r="D314" t="inlineStr">
        <is>
          <t>ÖREBRO LÄN</t>
        </is>
      </c>
      <c r="E314" t="inlineStr">
        <is>
          <t>LINDESBERG</t>
        </is>
      </c>
      <c r="G314" t="n">
        <v>5.2</v>
      </c>
      <c r="H314" t="n">
        <v>0</v>
      </c>
      <c r="I314" t="n">
        <v>0</v>
      </c>
      <c r="J314" t="n">
        <v>0</v>
      </c>
      <c r="K314" t="n">
        <v>0</v>
      </c>
      <c r="L314" t="n">
        <v>0</v>
      </c>
      <c r="M314" t="n">
        <v>0</v>
      </c>
      <c r="N314" t="n">
        <v>0</v>
      </c>
      <c r="O314" t="n">
        <v>0</v>
      </c>
      <c r="P314" t="n">
        <v>0</v>
      </c>
      <c r="Q314" t="n">
        <v>0</v>
      </c>
      <c r="R314" s="2" t="inlineStr"/>
    </row>
    <row r="315" ht="15" customHeight="1">
      <c r="A315" t="inlineStr">
        <is>
          <t>A 47535-2022</t>
        </is>
      </c>
      <c r="B315" s="1" t="n">
        <v>44853</v>
      </c>
      <c r="C315" s="1" t="n">
        <v>46196</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43433-2024</t>
        </is>
      </c>
      <c r="B316" s="1" t="n">
        <v>45568</v>
      </c>
      <c r="C316" s="1" t="n">
        <v>46196</v>
      </c>
      <c r="D316" t="inlineStr">
        <is>
          <t>ÖREBRO LÄN</t>
        </is>
      </c>
      <c r="E316" t="inlineStr">
        <is>
          <t>LINDESBERG</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43847-2025</t>
        </is>
      </c>
      <c r="B317" s="1" t="n">
        <v>45912</v>
      </c>
      <c r="C317" s="1" t="n">
        <v>46196</v>
      </c>
      <c r="D317" t="inlineStr">
        <is>
          <t>ÖREBRO LÄN</t>
        </is>
      </c>
      <c r="E317" t="inlineStr">
        <is>
          <t>LINDESBERG</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23102-2023</t>
        </is>
      </c>
      <c r="B318" s="1" t="n">
        <v>45075</v>
      </c>
      <c r="C318" s="1" t="n">
        <v>46196</v>
      </c>
      <c r="D318" t="inlineStr">
        <is>
          <t>ÖREBRO LÄN</t>
        </is>
      </c>
      <c r="E318" t="inlineStr">
        <is>
          <t>LINDESBERG</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2414-2024</t>
        </is>
      </c>
      <c r="B319" s="1" t="n">
        <v>45310</v>
      </c>
      <c r="C319" s="1" t="n">
        <v>46196</v>
      </c>
      <c r="D319" t="inlineStr">
        <is>
          <t>ÖREBRO LÄN</t>
        </is>
      </c>
      <c r="E319" t="inlineStr">
        <is>
          <t>LINDESBERG</t>
        </is>
      </c>
      <c r="G319" t="n">
        <v>7.2</v>
      </c>
      <c r="H319" t="n">
        <v>0</v>
      </c>
      <c r="I319" t="n">
        <v>0</v>
      </c>
      <c r="J319" t="n">
        <v>0</v>
      </c>
      <c r="K319" t="n">
        <v>0</v>
      </c>
      <c r="L319" t="n">
        <v>0</v>
      </c>
      <c r="M319" t="n">
        <v>0</v>
      </c>
      <c r="N319" t="n">
        <v>0</v>
      </c>
      <c r="O319" t="n">
        <v>0</v>
      </c>
      <c r="P319" t="n">
        <v>0</v>
      </c>
      <c r="Q319" t="n">
        <v>0</v>
      </c>
      <c r="R319" s="2" t="inlineStr"/>
    </row>
    <row r="320" ht="15" customHeight="1">
      <c r="A320" t="inlineStr">
        <is>
          <t>A 1490-2024</t>
        </is>
      </c>
      <c r="B320" s="1" t="n">
        <v>45305</v>
      </c>
      <c r="C320" s="1" t="n">
        <v>46196</v>
      </c>
      <c r="D320" t="inlineStr">
        <is>
          <t>ÖREBRO LÄN</t>
        </is>
      </c>
      <c r="E320" t="inlineStr">
        <is>
          <t>LINDESBERG</t>
        </is>
      </c>
      <c r="G320" t="n">
        <v>17.6</v>
      </c>
      <c r="H320" t="n">
        <v>0</v>
      </c>
      <c r="I320" t="n">
        <v>0</v>
      </c>
      <c r="J320" t="n">
        <v>0</v>
      </c>
      <c r="K320" t="n">
        <v>0</v>
      </c>
      <c r="L320" t="n">
        <v>0</v>
      </c>
      <c r="M320" t="n">
        <v>0</v>
      </c>
      <c r="N320" t="n">
        <v>0</v>
      </c>
      <c r="O320" t="n">
        <v>0</v>
      </c>
      <c r="P320" t="n">
        <v>0</v>
      </c>
      <c r="Q320" t="n">
        <v>0</v>
      </c>
      <c r="R320" s="2" t="inlineStr"/>
    </row>
    <row r="321" ht="15" customHeight="1">
      <c r="A321" t="inlineStr">
        <is>
          <t>A 27434-2023</t>
        </is>
      </c>
      <c r="B321" s="1" t="n">
        <v>45097</v>
      </c>
      <c r="C321" s="1" t="n">
        <v>46196</v>
      </c>
      <c r="D321" t="inlineStr">
        <is>
          <t>ÖREBRO LÄN</t>
        </is>
      </c>
      <c r="E321" t="inlineStr">
        <is>
          <t>LINDESBERG</t>
        </is>
      </c>
      <c r="G321" t="n">
        <v>10.7</v>
      </c>
      <c r="H321" t="n">
        <v>0</v>
      </c>
      <c r="I321" t="n">
        <v>0</v>
      </c>
      <c r="J321" t="n">
        <v>0</v>
      </c>
      <c r="K321" t="n">
        <v>0</v>
      </c>
      <c r="L321" t="n">
        <v>0</v>
      </c>
      <c r="M321" t="n">
        <v>0</v>
      </c>
      <c r="N321" t="n">
        <v>0</v>
      </c>
      <c r="O321" t="n">
        <v>0</v>
      </c>
      <c r="P321" t="n">
        <v>0</v>
      </c>
      <c r="Q321" t="n">
        <v>0</v>
      </c>
      <c r="R321" s="2" t="inlineStr"/>
    </row>
    <row r="322" ht="15" customHeight="1">
      <c r="A322" t="inlineStr">
        <is>
          <t>A 7201-2024</t>
        </is>
      </c>
      <c r="B322" s="1" t="n">
        <v>45344</v>
      </c>
      <c r="C322" s="1" t="n">
        <v>46196</v>
      </c>
      <c r="D322" t="inlineStr">
        <is>
          <t>ÖREBRO LÄN</t>
        </is>
      </c>
      <c r="E322" t="inlineStr">
        <is>
          <t>LINDESBERG</t>
        </is>
      </c>
      <c r="G322" t="n">
        <v>4.7</v>
      </c>
      <c r="H322" t="n">
        <v>0</v>
      </c>
      <c r="I322" t="n">
        <v>0</v>
      </c>
      <c r="J322" t="n">
        <v>0</v>
      </c>
      <c r="K322" t="n">
        <v>0</v>
      </c>
      <c r="L322" t="n">
        <v>0</v>
      </c>
      <c r="M322" t="n">
        <v>0</v>
      </c>
      <c r="N322" t="n">
        <v>0</v>
      </c>
      <c r="O322" t="n">
        <v>0</v>
      </c>
      <c r="P322" t="n">
        <v>0</v>
      </c>
      <c r="Q322" t="n">
        <v>0</v>
      </c>
      <c r="R322" s="2" t="inlineStr"/>
    </row>
    <row r="323" ht="15" customHeight="1">
      <c r="A323" t="inlineStr">
        <is>
          <t>A 5080-2024</t>
        </is>
      </c>
      <c r="B323" s="1" t="n">
        <v>45330</v>
      </c>
      <c r="C323" s="1" t="n">
        <v>46196</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15899-2025</t>
        </is>
      </c>
      <c r="B324" s="1" t="n">
        <v>45749</v>
      </c>
      <c r="C324" s="1" t="n">
        <v>46196</v>
      </c>
      <c r="D324" t="inlineStr">
        <is>
          <t>ÖREBRO LÄN</t>
        </is>
      </c>
      <c r="E324" t="inlineStr">
        <is>
          <t>LINDESBERG</t>
        </is>
      </c>
      <c r="G324" t="n">
        <v>6.6</v>
      </c>
      <c r="H324" t="n">
        <v>0</v>
      </c>
      <c r="I324" t="n">
        <v>0</v>
      </c>
      <c r="J324" t="n">
        <v>0</v>
      </c>
      <c r="K324" t="n">
        <v>0</v>
      </c>
      <c r="L324" t="n">
        <v>0</v>
      </c>
      <c r="M324" t="n">
        <v>0</v>
      </c>
      <c r="N324" t="n">
        <v>0</v>
      </c>
      <c r="O324" t="n">
        <v>0</v>
      </c>
      <c r="P324" t="n">
        <v>0</v>
      </c>
      <c r="Q324" t="n">
        <v>0</v>
      </c>
      <c r="R324" s="2" t="inlineStr"/>
    </row>
    <row r="325" ht="15" customHeight="1">
      <c r="A325" t="inlineStr">
        <is>
          <t>A 52284-2024</t>
        </is>
      </c>
      <c r="B325" s="1" t="n">
        <v>45608</v>
      </c>
      <c r="C325" s="1" t="n">
        <v>46196</v>
      </c>
      <c r="D325" t="inlineStr">
        <is>
          <t>ÖREBRO LÄN</t>
        </is>
      </c>
      <c r="E325" t="inlineStr">
        <is>
          <t>LINDESBERG</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15895-2025</t>
        </is>
      </c>
      <c r="B326" s="1" t="n">
        <v>45749</v>
      </c>
      <c r="C326" s="1" t="n">
        <v>46196</v>
      </c>
      <c r="D326" t="inlineStr">
        <is>
          <t>ÖREBRO LÄN</t>
        </is>
      </c>
      <c r="E326" t="inlineStr">
        <is>
          <t>LINDESBERG</t>
        </is>
      </c>
      <c r="G326" t="n">
        <v>1</v>
      </c>
      <c r="H326" t="n">
        <v>0</v>
      </c>
      <c r="I326" t="n">
        <v>0</v>
      </c>
      <c r="J326" t="n">
        <v>0</v>
      </c>
      <c r="K326" t="n">
        <v>0</v>
      </c>
      <c r="L326" t="n">
        <v>0</v>
      </c>
      <c r="M326" t="n">
        <v>0</v>
      </c>
      <c r="N326" t="n">
        <v>0</v>
      </c>
      <c r="O326" t="n">
        <v>0</v>
      </c>
      <c r="P326" t="n">
        <v>0</v>
      </c>
      <c r="Q326" t="n">
        <v>0</v>
      </c>
      <c r="R326" s="2" t="inlineStr"/>
    </row>
    <row r="327" ht="15" customHeight="1">
      <c r="A327" t="inlineStr">
        <is>
          <t>A 56561-2023</t>
        </is>
      </c>
      <c r="B327" s="1" t="n">
        <v>45243</v>
      </c>
      <c r="C327" s="1" t="n">
        <v>46196</v>
      </c>
      <c r="D327" t="inlineStr">
        <is>
          <t>ÖREBRO LÄN</t>
        </is>
      </c>
      <c r="E327" t="inlineStr">
        <is>
          <t>LINDESBERG</t>
        </is>
      </c>
      <c r="G327" t="n">
        <v>1.9</v>
      </c>
      <c r="H327" t="n">
        <v>0</v>
      </c>
      <c r="I327" t="n">
        <v>0</v>
      </c>
      <c r="J327" t="n">
        <v>0</v>
      </c>
      <c r="K327" t="n">
        <v>0</v>
      </c>
      <c r="L327" t="n">
        <v>0</v>
      </c>
      <c r="M327" t="n">
        <v>0</v>
      </c>
      <c r="N327" t="n">
        <v>0</v>
      </c>
      <c r="O327" t="n">
        <v>0</v>
      </c>
      <c r="P327" t="n">
        <v>0</v>
      </c>
      <c r="Q327" t="n">
        <v>0</v>
      </c>
      <c r="R327" s="2" t="inlineStr"/>
    </row>
    <row r="328" ht="15" customHeight="1">
      <c r="A328" t="inlineStr">
        <is>
          <t>A 52930-2024</t>
        </is>
      </c>
      <c r="B328" s="1" t="n">
        <v>45610</v>
      </c>
      <c r="C328" s="1" t="n">
        <v>46196</v>
      </c>
      <c r="D328" t="inlineStr">
        <is>
          <t>ÖREBRO LÄN</t>
        </is>
      </c>
      <c r="E328" t="inlineStr">
        <is>
          <t>LINDESBERG</t>
        </is>
      </c>
      <c r="G328" t="n">
        <v>2.8</v>
      </c>
      <c r="H328" t="n">
        <v>0</v>
      </c>
      <c r="I328" t="n">
        <v>0</v>
      </c>
      <c r="J328" t="n">
        <v>0</v>
      </c>
      <c r="K328" t="n">
        <v>0</v>
      </c>
      <c r="L328" t="n">
        <v>0</v>
      </c>
      <c r="M328" t="n">
        <v>0</v>
      </c>
      <c r="N328" t="n">
        <v>0</v>
      </c>
      <c r="O328" t="n">
        <v>0</v>
      </c>
      <c r="P328" t="n">
        <v>0</v>
      </c>
      <c r="Q328" t="n">
        <v>0</v>
      </c>
      <c r="R328" s="2" t="inlineStr"/>
    </row>
    <row r="329" ht="15" customHeight="1">
      <c r="A329" t="inlineStr">
        <is>
          <t>A 56579-2023</t>
        </is>
      </c>
      <c r="B329" s="1" t="n">
        <v>45243</v>
      </c>
      <c r="C329" s="1" t="n">
        <v>46196</v>
      </c>
      <c r="D329" t="inlineStr">
        <is>
          <t>ÖREBRO LÄN</t>
        </is>
      </c>
      <c r="E329" t="inlineStr">
        <is>
          <t>LINDESBERG</t>
        </is>
      </c>
      <c r="F329" t="inlineStr">
        <is>
          <t>Naturvårdsverket</t>
        </is>
      </c>
      <c r="G329" t="n">
        <v>1.6</v>
      </c>
      <c r="H329" t="n">
        <v>0</v>
      </c>
      <c r="I329" t="n">
        <v>0</v>
      </c>
      <c r="J329" t="n">
        <v>0</v>
      </c>
      <c r="K329" t="n">
        <v>0</v>
      </c>
      <c r="L329" t="n">
        <v>0</v>
      </c>
      <c r="M329" t="n">
        <v>0</v>
      </c>
      <c r="N329" t="n">
        <v>0</v>
      </c>
      <c r="O329" t="n">
        <v>0</v>
      </c>
      <c r="P329" t="n">
        <v>0</v>
      </c>
      <c r="Q329" t="n">
        <v>0</v>
      </c>
      <c r="R329" s="2" t="inlineStr"/>
    </row>
    <row r="330" ht="15" customHeight="1">
      <c r="A330" t="inlineStr">
        <is>
          <t>A 56582-2023</t>
        </is>
      </c>
      <c r="B330" s="1" t="n">
        <v>45243</v>
      </c>
      <c r="C330" s="1" t="n">
        <v>46196</v>
      </c>
      <c r="D330" t="inlineStr">
        <is>
          <t>ÖREBRO LÄN</t>
        </is>
      </c>
      <c r="E330" t="inlineStr">
        <is>
          <t>LINDESBERG</t>
        </is>
      </c>
      <c r="F330" t="inlineStr">
        <is>
          <t>Naturvårdsverket</t>
        </is>
      </c>
      <c r="G330" t="n">
        <v>2.3</v>
      </c>
      <c r="H330" t="n">
        <v>0</v>
      </c>
      <c r="I330" t="n">
        <v>0</v>
      </c>
      <c r="J330" t="n">
        <v>0</v>
      </c>
      <c r="K330" t="n">
        <v>0</v>
      </c>
      <c r="L330" t="n">
        <v>0</v>
      </c>
      <c r="M330" t="n">
        <v>0</v>
      </c>
      <c r="N330" t="n">
        <v>0</v>
      </c>
      <c r="O330" t="n">
        <v>0</v>
      </c>
      <c r="P330" t="n">
        <v>0</v>
      </c>
      <c r="Q330" t="n">
        <v>0</v>
      </c>
      <c r="R330" s="2" t="inlineStr"/>
    </row>
    <row r="331" ht="15" customHeight="1">
      <c r="A331" t="inlineStr">
        <is>
          <t>A 41947-2023</t>
        </is>
      </c>
      <c r="B331" s="1" t="n">
        <v>45177</v>
      </c>
      <c r="C331" s="1" t="n">
        <v>46196</v>
      </c>
      <c r="D331" t="inlineStr">
        <is>
          <t>ÖREBRO LÄN</t>
        </is>
      </c>
      <c r="E331" t="inlineStr">
        <is>
          <t>LINDESBERG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37738-2024</t>
        </is>
      </c>
      <c r="B332" s="1" t="n">
        <v>45541</v>
      </c>
      <c r="C332" s="1" t="n">
        <v>46196</v>
      </c>
      <c r="D332" t="inlineStr">
        <is>
          <t>ÖREBRO LÄN</t>
        </is>
      </c>
      <c r="E332" t="inlineStr">
        <is>
          <t>LINDESBERG</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46404-2025</t>
        </is>
      </c>
      <c r="B333" s="1" t="n">
        <v>45925</v>
      </c>
      <c r="C333" s="1" t="n">
        <v>46196</v>
      </c>
      <c r="D333" t="inlineStr">
        <is>
          <t>ÖREBRO LÄN</t>
        </is>
      </c>
      <c r="E333" t="inlineStr">
        <is>
          <t>LINDESBERG</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15933-2025</t>
        </is>
      </c>
      <c r="B334" s="1" t="n">
        <v>45749</v>
      </c>
      <c r="C334" s="1" t="n">
        <v>46196</v>
      </c>
      <c r="D334" t="inlineStr">
        <is>
          <t>ÖREBRO LÄN</t>
        </is>
      </c>
      <c r="E334" t="inlineStr">
        <is>
          <t>LINDESBERG</t>
        </is>
      </c>
      <c r="G334" t="n">
        <v>6.1</v>
      </c>
      <c r="H334" t="n">
        <v>0</v>
      </c>
      <c r="I334" t="n">
        <v>0</v>
      </c>
      <c r="J334" t="n">
        <v>0</v>
      </c>
      <c r="K334" t="n">
        <v>0</v>
      </c>
      <c r="L334" t="n">
        <v>0</v>
      </c>
      <c r="M334" t="n">
        <v>0</v>
      </c>
      <c r="N334" t="n">
        <v>0</v>
      </c>
      <c r="O334" t="n">
        <v>0</v>
      </c>
      <c r="P334" t="n">
        <v>0</v>
      </c>
      <c r="Q334" t="n">
        <v>0</v>
      </c>
      <c r="R334" s="2" t="inlineStr"/>
    </row>
    <row r="335" ht="15" customHeight="1">
      <c r="A335" t="inlineStr">
        <is>
          <t>A 62968-2023</t>
        </is>
      </c>
      <c r="B335" s="1" t="n">
        <v>45272</v>
      </c>
      <c r="C335" s="1" t="n">
        <v>46196</v>
      </c>
      <c r="D335" t="inlineStr">
        <is>
          <t>ÖREBRO LÄN</t>
        </is>
      </c>
      <c r="E335" t="inlineStr">
        <is>
          <t>LINDESBERG</t>
        </is>
      </c>
      <c r="G335" t="n">
        <v>0.6</v>
      </c>
      <c r="H335" t="n">
        <v>0</v>
      </c>
      <c r="I335" t="n">
        <v>0</v>
      </c>
      <c r="J335" t="n">
        <v>0</v>
      </c>
      <c r="K335" t="n">
        <v>0</v>
      </c>
      <c r="L335" t="n">
        <v>0</v>
      </c>
      <c r="M335" t="n">
        <v>0</v>
      </c>
      <c r="N335" t="n">
        <v>0</v>
      </c>
      <c r="O335" t="n">
        <v>0</v>
      </c>
      <c r="P335" t="n">
        <v>0</v>
      </c>
      <c r="Q335" t="n">
        <v>0</v>
      </c>
      <c r="R335" s="2" t="inlineStr"/>
    </row>
    <row r="336" ht="15" customHeight="1">
      <c r="A336" t="inlineStr">
        <is>
          <t>A 46484-2025</t>
        </is>
      </c>
      <c r="B336" s="1" t="n">
        <v>45925</v>
      </c>
      <c r="C336" s="1" t="n">
        <v>46196</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27296-2025</t>
        </is>
      </c>
      <c r="B337" s="1" t="n">
        <v>45812</v>
      </c>
      <c r="C337" s="1" t="n">
        <v>46196</v>
      </c>
      <c r="D337" t="inlineStr">
        <is>
          <t>ÖREBRO LÄN</t>
        </is>
      </c>
      <c r="E337" t="inlineStr">
        <is>
          <t>LINDESBERG</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60400-2025</t>
        </is>
      </c>
      <c r="B338" s="1" t="n">
        <v>45995</v>
      </c>
      <c r="C338" s="1" t="n">
        <v>46196</v>
      </c>
      <c r="D338" t="inlineStr">
        <is>
          <t>ÖREBRO LÄN</t>
        </is>
      </c>
      <c r="E338" t="inlineStr">
        <is>
          <t>LINDESBERG</t>
        </is>
      </c>
      <c r="G338" t="n">
        <v>11.2</v>
      </c>
      <c r="H338" t="n">
        <v>0</v>
      </c>
      <c r="I338" t="n">
        <v>0</v>
      </c>
      <c r="J338" t="n">
        <v>0</v>
      </c>
      <c r="K338" t="n">
        <v>0</v>
      </c>
      <c r="L338" t="n">
        <v>0</v>
      </c>
      <c r="M338" t="n">
        <v>0</v>
      </c>
      <c r="N338" t="n">
        <v>0</v>
      </c>
      <c r="O338" t="n">
        <v>0</v>
      </c>
      <c r="P338" t="n">
        <v>0</v>
      </c>
      <c r="Q338" t="n">
        <v>0</v>
      </c>
      <c r="R338" s="2" t="inlineStr"/>
    </row>
    <row r="339" ht="15" customHeight="1">
      <c r="A339" t="inlineStr">
        <is>
          <t>A 60450-2025</t>
        </is>
      </c>
      <c r="B339" s="1" t="n">
        <v>45995</v>
      </c>
      <c r="C339" s="1" t="n">
        <v>46196</v>
      </c>
      <c r="D339" t="inlineStr">
        <is>
          <t>ÖREBRO LÄN</t>
        </is>
      </c>
      <c r="E339" t="inlineStr">
        <is>
          <t>LINDESBERG</t>
        </is>
      </c>
      <c r="G339" t="n">
        <v>4.1</v>
      </c>
      <c r="H339" t="n">
        <v>0</v>
      </c>
      <c r="I339" t="n">
        <v>0</v>
      </c>
      <c r="J339" t="n">
        <v>0</v>
      </c>
      <c r="K339" t="n">
        <v>0</v>
      </c>
      <c r="L339" t="n">
        <v>0</v>
      </c>
      <c r="M339" t="n">
        <v>0</v>
      </c>
      <c r="N339" t="n">
        <v>0</v>
      </c>
      <c r="O339" t="n">
        <v>0</v>
      </c>
      <c r="P339" t="n">
        <v>0</v>
      </c>
      <c r="Q339" t="n">
        <v>0</v>
      </c>
      <c r="R339" s="2" t="inlineStr"/>
    </row>
    <row r="340" ht="15" customHeight="1">
      <c r="A340" t="inlineStr">
        <is>
          <t>A 47678-2025</t>
        </is>
      </c>
      <c r="B340" s="1" t="n">
        <v>45931</v>
      </c>
      <c r="C340" s="1" t="n">
        <v>46196</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47676-2025</t>
        </is>
      </c>
      <c r="B341" s="1" t="n">
        <v>45931</v>
      </c>
      <c r="C341" s="1" t="n">
        <v>46196</v>
      </c>
      <c r="D341" t="inlineStr">
        <is>
          <t>ÖREBRO LÄN</t>
        </is>
      </c>
      <c r="E341" t="inlineStr">
        <is>
          <t>LINDESBERG</t>
        </is>
      </c>
      <c r="G341" t="n">
        <v>0.8</v>
      </c>
      <c r="H341" t="n">
        <v>0</v>
      </c>
      <c r="I341" t="n">
        <v>0</v>
      </c>
      <c r="J341" t="n">
        <v>0</v>
      </c>
      <c r="K341" t="n">
        <v>0</v>
      </c>
      <c r="L341" t="n">
        <v>0</v>
      </c>
      <c r="M341" t="n">
        <v>0</v>
      </c>
      <c r="N341" t="n">
        <v>0</v>
      </c>
      <c r="O341" t="n">
        <v>0</v>
      </c>
      <c r="P341" t="n">
        <v>0</v>
      </c>
      <c r="Q341" t="n">
        <v>0</v>
      </c>
      <c r="R341" s="2" t="inlineStr"/>
    </row>
    <row r="342" ht="15" customHeight="1">
      <c r="A342" t="inlineStr">
        <is>
          <t>A 28040-2025</t>
        </is>
      </c>
      <c r="B342" s="1" t="n">
        <v>45817</v>
      </c>
      <c r="C342" s="1" t="n">
        <v>46196</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15936-2025</t>
        </is>
      </c>
      <c r="B343" s="1" t="n">
        <v>45749</v>
      </c>
      <c r="C343" s="1" t="n">
        <v>46196</v>
      </c>
      <c r="D343" t="inlineStr">
        <is>
          <t>ÖREBRO LÄN</t>
        </is>
      </c>
      <c r="E343" t="inlineStr">
        <is>
          <t>LINDESBERG</t>
        </is>
      </c>
      <c r="G343" t="n">
        <v>22.3</v>
      </c>
      <c r="H343" t="n">
        <v>0</v>
      </c>
      <c r="I343" t="n">
        <v>0</v>
      </c>
      <c r="J343" t="n">
        <v>0</v>
      </c>
      <c r="K343" t="n">
        <v>0</v>
      </c>
      <c r="L343" t="n">
        <v>0</v>
      </c>
      <c r="M343" t="n">
        <v>0</v>
      </c>
      <c r="N343" t="n">
        <v>0</v>
      </c>
      <c r="O343" t="n">
        <v>0</v>
      </c>
      <c r="P343" t="n">
        <v>0</v>
      </c>
      <c r="Q343" t="n">
        <v>0</v>
      </c>
      <c r="R343" s="2" t="inlineStr"/>
    </row>
    <row r="344" ht="15" customHeight="1">
      <c r="A344" t="inlineStr">
        <is>
          <t>A 10564-2023</t>
        </is>
      </c>
      <c r="B344" s="1" t="n">
        <v>44988</v>
      </c>
      <c r="C344" s="1" t="n">
        <v>46196</v>
      </c>
      <c r="D344" t="inlineStr">
        <is>
          <t>ÖREBRO LÄN</t>
        </is>
      </c>
      <c r="E344" t="inlineStr">
        <is>
          <t>LINDESBERG</t>
        </is>
      </c>
      <c r="F344" t="inlineStr">
        <is>
          <t>Kyrkan</t>
        </is>
      </c>
      <c r="G344" t="n">
        <v>1.6</v>
      </c>
      <c r="H344" t="n">
        <v>0</v>
      </c>
      <c r="I344" t="n">
        <v>0</v>
      </c>
      <c r="J344" t="n">
        <v>0</v>
      </c>
      <c r="K344" t="n">
        <v>0</v>
      </c>
      <c r="L344" t="n">
        <v>0</v>
      </c>
      <c r="M344" t="n">
        <v>0</v>
      </c>
      <c r="N344" t="n">
        <v>0</v>
      </c>
      <c r="O344" t="n">
        <v>0</v>
      </c>
      <c r="P344" t="n">
        <v>0</v>
      </c>
      <c r="Q344" t="n">
        <v>0</v>
      </c>
      <c r="R344" s="2" t="inlineStr"/>
    </row>
    <row r="345" ht="15" customHeight="1">
      <c r="A345" t="inlineStr">
        <is>
          <t>A 61761-2025</t>
        </is>
      </c>
      <c r="B345" s="1" t="n">
        <v>46002</v>
      </c>
      <c r="C345" s="1" t="n">
        <v>46196</v>
      </c>
      <c r="D345" t="inlineStr">
        <is>
          <t>ÖREBRO LÄN</t>
        </is>
      </c>
      <c r="E345" t="inlineStr">
        <is>
          <t>LINDESBERG</t>
        </is>
      </c>
      <c r="G345" t="n">
        <v>3.8</v>
      </c>
      <c r="H345" t="n">
        <v>0</v>
      </c>
      <c r="I345" t="n">
        <v>0</v>
      </c>
      <c r="J345" t="n">
        <v>0</v>
      </c>
      <c r="K345" t="n">
        <v>0</v>
      </c>
      <c r="L345" t="n">
        <v>0</v>
      </c>
      <c r="M345" t="n">
        <v>0</v>
      </c>
      <c r="N345" t="n">
        <v>0</v>
      </c>
      <c r="O345" t="n">
        <v>0</v>
      </c>
      <c r="P345" t="n">
        <v>0</v>
      </c>
      <c r="Q345" t="n">
        <v>0</v>
      </c>
      <c r="R345" s="2" t="inlineStr"/>
    </row>
    <row r="346" ht="15" customHeight="1">
      <c r="A346" t="inlineStr">
        <is>
          <t>A 30830-2024</t>
        </is>
      </c>
      <c r="B346" s="1" t="n">
        <v>45497</v>
      </c>
      <c r="C346" s="1" t="n">
        <v>46196</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61745-2025</t>
        </is>
      </c>
      <c r="B347" s="1" t="n">
        <v>46002</v>
      </c>
      <c r="C347" s="1" t="n">
        <v>46196</v>
      </c>
      <c r="D347" t="inlineStr">
        <is>
          <t>ÖREBRO LÄN</t>
        </is>
      </c>
      <c r="E347" t="inlineStr">
        <is>
          <t>LINDESBERG</t>
        </is>
      </c>
      <c r="G347" t="n">
        <v>1.8</v>
      </c>
      <c r="H347" t="n">
        <v>0</v>
      </c>
      <c r="I347" t="n">
        <v>0</v>
      </c>
      <c r="J347" t="n">
        <v>0</v>
      </c>
      <c r="K347" t="n">
        <v>0</v>
      </c>
      <c r="L347" t="n">
        <v>0</v>
      </c>
      <c r="M347" t="n">
        <v>0</v>
      </c>
      <c r="N347" t="n">
        <v>0</v>
      </c>
      <c r="O347" t="n">
        <v>0</v>
      </c>
      <c r="P347" t="n">
        <v>0</v>
      </c>
      <c r="Q347" t="n">
        <v>0</v>
      </c>
      <c r="R347" s="2" t="inlineStr"/>
    </row>
    <row r="348" ht="15" customHeight="1">
      <c r="A348" t="inlineStr">
        <is>
          <t>A 36291-2022</t>
        </is>
      </c>
      <c r="B348" s="1" t="n">
        <v>44803</v>
      </c>
      <c r="C348" s="1" t="n">
        <v>46196</v>
      </c>
      <c r="D348" t="inlineStr">
        <is>
          <t>ÖREBRO LÄN</t>
        </is>
      </c>
      <c r="E348" t="inlineStr">
        <is>
          <t>LINDESBERG</t>
        </is>
      </c>
      <c r="G348" t="n">
        <v>3.8</v>
      </c>
      <c r="H348" t="n">
        <v>0</v>
      </c>
      <c r="I348" t="n">
        <v>0</v>
      </c>
      <c r="J348" t="n">
        <v>0</v>
      </c>
      <c r="K348" t="n">
        <v>0</v>
      </c>
      <c r="L348" t="n">
        <v>0</v>
      </c>
      <c r="M348" t="n">
        <v>0</v>
      </c>
      <c r="N348" t="n">
        <v>0</v>
      </c>
      <c r="O348" t="n">
        <v>0</v>
      </c>
      <c r="P348" t="n">
        <v>0</v>
      </c>
      <c r="Q348" t="n">
        <v>0</v>
      </c>
      <c r="R348" s="2" t="inlineStr"/>
    </row>
    <row r="349" ht="15" customHeight="1">
      <c r="A349" t="inlineStr">
        <is>
          <t>A 61758-2025</t>
        </is>
      </c>
      <c r="B349" s="1" t="n">
        <v>46002</v>
      </c>
      <c r="C349" s="1" t="n">
        <v>46196</v>
      </c>
      <c r="D349" t="inlineStr">
        <is>
          <t>ÖREBRO LÄN</t>
        </is>
      </c>
      <c r="E349" t="inlineStr">
        <is>
          <t>LINDESBERG</t>
        </is>
      </c>
      <c r="G349" t="n">
        <v>1.8</v>
      </c>
      <c r="H349" t="n">
        <v>0</v>
      </c>
      <c r="I349" t="n">
        <v>0</v>
      </c>
      <c r="J349" t="n">
        <v>0</v>
      </c>
      <c r="K349" t="n">
        <v>0</v>
      </c>
      <c r="L349" t="n">
        <v>0</v>
      </c>
      <c r="M349" t="n">
        <v>0</v>
      </c>
      <c r="N349" t="n">
        <v>0</v>
      </c>
      <c r="O349" t="n">
        <v>0</v>
      </c>
      <c r="P349" t="n">
        <v>0</v>
      </c>
      <c r="Q349" t="n">
        <v>0</v>
      </c>
      <c r="R349" s="2" t="inlineStr"/>
    </row>
    <row r="350" ht="15" customHeight="1">
      <c r="A350" t="inlineStr">
        <is>
          <t>A 48620-2025</t>
        </is>
      </c>
      <c r="B350" s="1" t="n">
        <v>45936</v>
      </c>
      <c r="C350" s="1" t="n">
        <v>46196</v>
      </c>
      <c r="D350" t="inlineStr">
        <is>
          <t>ÖREBRO LÄN</t>
        </is>
      </c>
      <c r="E350" t="inlineStr">
        <is>
          <t>LINDESBERG</t>
        </is>
      </c>
      <c r="F350" t="inlineStr">
        <is>
          <t>Sveaskog</t>
        </is>
      </c>
      <c r="G350" t="n">
        <v>5.2</v>
      </c>
      <c r="H350" t="n">
        <v>0</v>
      </c>
      <c r="I350" t="n">
        <v>0</v>
      </c>
      <c r="J350" t="n">
        <v>0</v>
      </c>
      <c r="K350" t="n">
        <v>0</v>
      </c>
      <c r="L350" t="n">
        <v>0</v>
      </c>
      <c r="M350" t="n">
        <v>0</v>
      </c>
      <c r="N350" t="n">
        <v>0</v>
      </c>
      <c r="O350" t="n">
        <v>0</v>
      </c>
      <c r="P350" t="n">
        <v>0</v>
      </c>
      <c r="Q350" t="n">
        <v>0</v>
      </c>
      <c r="R350" s="2" t="inlineStr"/>
    </row>
    <row r="351" ht="15" customHeight="1">
      <c r="A351" t="inlineStr">
        <is>
          <t>A 58050-2025</t>
        </is>
      </c>
      <c r="B351" s="1" t="n">
        <v>45982</v>
      </c>
      <c r="C351" s="1" t="n">
        <v>46196</v>
      </c>
      <c r="D351" t="inlineStr">
        <is>
          <t>ÖREBRO LÄN</t>
        </is>
      </c>
      <c r="E351" t="inlineStr">
        <is>
          <t>LINDESBERG</t>
        </is>
      </c>
      <c r="G351" t="n">
        <v>0.6</v>
      </c>
      <c r="H351" t="n">
        <v>0</v>
      </c>
      <c r="I351" t="n">
        <v>0</v>
      </c>
      <c r="J351" t="n">
        <v>0</v>
      </c>
      <c r="K351" t="n">
        <v>0</v>
      </c>
      <c r="L351" t="n">
        <v>0</v>
      </c>
      <c r="M351" t="n">
        <v>0</v>
      </c>
      <c r="N351" t="n">
        <v>0</v>
      </c>
      <c r="O351" t="n">
        <v>0</v>
      </c>
      <c r="P351" t="n">
        <v>0</v>
      </c>
      <c r="Q351" t="n">
        <v>0</v>
      </c>
      <c r="R351" s="2" t="inlineStr"/>
    </row>
    <row r="352" ht="15" customHeight="1">
      <c r="A352" t="inlineStr">
        <is>
          <t>A 58056-2025</t>
        </is>
      </c>
      <c r="B352" s="1" t="n">
        <v>45982</v>
      </c>
      <c r="C352" s="1" t="n">
        <v>46196</v>
      </c>
      <c r="D352" t="inlineStr">
        <is>
          <t>ÖREBRO LÄN</t>
        </is>
      </c>
      <c r="E352" t="inlineStr">
        <is>
          <t>LINDESBERG</t>
        </is>
      </c>
      <c r="G352" t="n">
        <v>0.9</v>
      </c>
      <c r="H352" t="n">
        <v>0</v>
      </c>
      <c r="I352" t="n">
        <v>0</v>
      </c>
      <c r="J352" t="n">
        <v>0</v>
      </c>
      <c r="K352" t="n">
        <v>0</v>
      </c>
      <c r="L352" t="n">
        <v>0</v>
      </c>
      <c r="M352" t="n">
        <v>0</v>
      </c>
      <c r="N352" t="n">
        <v>0</v>
      </c>
      <c r="O352" t="n">
        <v>0</v>
      </c>
      <c r="P352" t="n">
        <v>0</v>
      </c>
      <c r="Q352" t="n">
        <v>0</v>
      </c>
      <c r="R352" s="2" t="inlineStr"/>
    </row>
    <row r="353" ht="15" customHeight="1">
      <c r="A353" t="inlineStr">
        <is>
          <t>A 48867-2025</t>
        </is>
      </c>
      <c r="B353" s="1" t="n">
        <v>45937</v>
      </c>
      <c r="C353" s="1" t="n">
        <v>46196</v>
      </c>
      <c r="D353" t="inlineStr">
        <is>
          <t>ÖREBRO LÄN</t>
        </is>
      </c>
      <c r="E353" t="inlineStr">
        <is>
          <t>LINDESBERG</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49133-2025</t>
        </is>
      </c>
      <c r="B354" s="1" t="n">
        <v>45937</v>
      </c>
      <c r="C354" s="1" t="n">
        <v>46196</v>
      </c>
      <c r="D354" t="inlineStr">
        <is>
          <t>ÖREBRO LÄN</t>
        </is>
      </c>
      <c r="E354" t="inlineStr">
        <is>
          <t>LINDESBERG</t>
        </is>
      </c>
      <c r="G354" t="n">
        <v>5</v>
      </c>
      <c r="H354" t="n">
        <v>0</v>
      </c>
      <c r="I354" t="n">
        <v>0</v>
      </c>
      <c r="J354" t="n">
        <v>0</v>
      </c>
      <c r="K354" t="n">
        <v>0</v>
      </c>
      <c r="L354" t="n">
        <v>0</v>
      </c>
      <c r="M354" t="n">
        <v>0</v>
      </c>
      <c r="N354" t="n">
        <v>0</v>
      </c>
      <c r="O354" t="n">
        <v>0</v>
      </c>
      <c r="P354" t="n">
        <v>0</v>
      </c>
      <c r="Q354" t="n">
        <v>0</v>
      </c>
      <c r="R354" s="2" t="inlineStr"/>
    </row>
    <row r="355" ht="15" customHeight="1">
      <c r="A355" t="inlineStr">
        <is>
          <t>A 63083-2025</t>
        </is>
      </c>
      <c r="B355" s="1" t="n">
        <v>46009</v>
      </c>
      <c r="C355" s="1" t="n">
        <v>46196</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27702-2025</t>
        </is>
      </c>
      <c r="B356" s="1" t="n">
        <v>45813</v>
      </c>
      <c r="C356" s="1" t="n">
        <v>46196</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48993-2025</t>
        </is>
      </c>
      <c r="B357" s="1" t="n">
        <v>45937</v>
      </c>
      <c r="C357" s="1" t="n">
        <v>46196</v>
      </c>
      <c r="D357" t="inlineStr">
        <is>
          <t>ÖREBRO LÄN</t>
        </is>
      </c>
      <c r="E357" t="inlineStr">
        <is>
          <t>LINDESBERG</t>
        </is>
      </c>
      <c r="F357" t="inlineStr">
        <is>
          <t>Kyrkan</t>
        </is>
      </c>
      <c r="G357" t="n">
        <v>4</v>
      </c>
      <c r="H357" t="n">
        <v>0</v>
      </c>
      <c r="I357" t="n">
        <v>0</v>
      </c>
      <c r="J357" t="n">
        <v>0</v>
      </c>
      <c r="K357" t="n">
        <v>0</v>
      </c>
      <c r="L357" t="n">
        <v>0</v>
      </c>
      <c r="M357" t="n">
        <v>0</v>
      </c>
      <c r="N357" t="n">
        <v>0</v>
      </c>
      <c r="O357" t="n">
        <v>0</v>
      </c>
      <c r="P357" t="n">
        <v>0</v>
      </c>
      <c r="Q357" t="n">
        <v>0</v>
      </c>
      <c r="R357" s="2" t="inlineStr"/>
    </row>
    <row r="358" ht="15" customHeight="1">
      <c r="A358" t="inlineStr">
        <is>
          <t>A 28991-2025</t>
        </is>
      </c>
      <c r="B358" s="1" t="n">
        <v>45821</v>
      </c>
      <c r="C358" s="1" t="n">
        <v>46196</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49183-2025</t>
        </is>
      </c>
      <c r="B359" s="1" t="n">
        <v>45938</v>
      </c>
      <c r="C359" s="1" t="n">
        <v>46196</v>
      </c>
      <c r="D359" t="inlineStr">
        <is>
          <t>ÖREBRO LÄN</t>
        </is>
      </c>
      <c r="E359" t="inlineStr">
        <is>
          <t>LINDESBERG</t>
        </is>
      </c>
      <c r="G359" t="n">
        <v>4.4</v>
      </c>
      <c r="H359" t="n">
        <v>0</v>
      </c>
      <c r="I359" t="n">
        <v>0</v>
      </c>
      <c r="J359" t="n">
        <v>0</v>
      </c>
      <c r="K359" t="n">
        <v>0</v>
      </c>
      <c r="L359" t="n">
        <v>0</v>
      </c>
      <c r="M359" t="n">
        <v>0</v>
      </c>
      <c r="N359" t="n">
        <v>0</v>
      </c>
      <c r="O359" t="n">
        <v>0</v>
      </c>
      <c r="P359" t="n">
        <v>0</v>
      </c>
      <c r="Q359" t="n">
        <v>0</v>
      </c>
      <c r="R359" s="2" t="inlineStr"/>
    </row>
    <row r="360" ht="15" customHeight="1">
      <c r="A360" t="inlineStr">
        <is>
          <t>A 49707-2025</t>
        </is>
      </c>
      <c r="B360" s="1" t="n">
        <v>45939</v>
      </c>
      <c r="C360" s="1" t="n">
        <v>46196</v>
      </c>
      <c r="D360" t="inlineStr">
        <is>
          <t>ÖREBRO LÄN</t>
        </is>
      </c>
      <c r="E360" t="inlineStr">
        <is>
          <t>LINDESBERG</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63526-2025</t>
        </is>
      </c>
      <c r="B361" s="1" t="n">
        <v>46013</v>
      </c>
      <c r="C361" s="1" t="n">
        <v>46196</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49946-2025</t>
        </is>
      </c>
      <c r="B362" s="1" t="n">
        <v>45940</v>
      </c>
      <c r="C362" s="1" t="n">
        <v>46196</v>
      </c>
      <c r="D362" t="inlineStr">
        <is>
          <t>ÖREBRO LÄN</t>
        </is>
      </c>
      <c r="E362" t="inlineStr">
        <is>
          <t>LINDESBERG</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10836-2024</t>
        </is>
      </c>
      <c r="B363" s="1" t="n">
        <v>45369</v>
      </c>
      <c r="C363" s="1" t="n">
        <v>46196</v>
      </c>
      <c r="D363" t="inlineStr">
        <is>
          <t>ÖREBRO LÄN</t>
        </is>
      </c>
      <c r="E363" t="inlineStr">
        <is>
          <t>LINDESBERG</t>
        </is>
      </c>
      <c r="G363" t="n">
        <v>2.8</v>
      </c>
      <c r="H363" t="n">
        <v>0</v>
      </c>
      <c r="I363" t="n">
        <v>0</v>
      </c>
      <c r="J363" t="n">
        <v>0</v>
      </c>
      <c r="K363" t="n">
        <v>0</v>
      </c>
      <c r="L363" t="n">
        <v>0</v>
      </c>
      <c r="M363" t="n">
        <v>0</v>
      </c>
      <c r="N363" t="n">
        <v>0</v>
      </c>
      <c r="O363" t="n">
        <v>0</v>
      </c>
      <c r="P363" t="n">
        <v>0</v>
      </c>
      <c r="Q363" t="n">
        <v>0</v>
      </c>
      <c r="R363" s="2" t="inlineStr"/>
    </row>
    <row r="364" ht="15" customHeight="1">
      <c r="A364" t="inlineStr">
        <is>
          <t>A 49943-2025</t>
        </is>
      </c>
      <c r="B364" s="1" t="n">
        <v>45940</v>
      </c>
      <c r="C364" s="1" t="n">
        <v>46196</v>
      </c>
      <c r="D364" t="inlineStr">
        <is>
          <t>ÖREBRO LÄN</t>
        </is>
      </c>
      <c r="E364" t="inlineStr">
        <is>
          <t>LINDESBERG</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49944-2025</t>
        </is>
      </c>
      <c r="B365" s="1" t="n">
        <v>45940</v>
      </c>
      <c r="C365" s="1" t="n">
        <v>46196</v>
      </c>
      <c r="D365" t="inlineStr">
        <is>
          <t>ÖREBRO LÄN</t>
        </is>
      </c>
      <c r="E365" t="inlineStr">
        <is>
          <t>LINDESBERG</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49947-2025</t>
        </is>
      </c>
      <c r="B366" s="1" t="n">
        <v>45940</v>
      </c>
      <c r="C366" s="1" t="n">
        <v>46196</v>
      </c>
      <c r="D366" t="inlineStr">
        <is>
          <t>ÖREBRO LÄN</t>
        </is>
      </c>
      <c r="E366" t="inlineStr">
        <is>
          <t>LINDESBERG</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50072-2025</t>
        </is>
      </c>
      <c r="B367" s="1" t="n">
        <v>45943</v>
      </c>
      <c r="C367" s="1" t="n">
        <v>46196</v>
      </c>
      <c r="D367" t="inlineStr">
        <is>
          <t>ÖREBRO LÄN</t>
        </is>
      </c>
      <c r="E367" t="inlineStr">
        <is>
          <t>LINDESBERG</t>
        </is>
      </c>
      <c r="G367" t="n">
        <v>1.5</v>
      </c>
      <c r="H367" t="n">
        <v>0</v>
      </c>
      <c r="I367" t="n">
        <v>0</v>
      </c>
      <c r="J367" t="n">
        <v>0</v>
      </c>
      <c r="K367" t="n">
        <v>0</v>
      </c>
      <c r="L367" t="n">
        <v>0</v>
      </c>
      <c r="M367" t="n">
        <v>0</v>
      </c>
      <c r="N367" t="n">
        <v>0</v>
      </c>
      <c r="O367" t="n">
        <v>0</v>
      </c>
      <c r="P367" t="n">
        <v>0</v>
      </c>
      <c r="Q367" t="n">
        <v>0</v>
      </c>
      <c r="R367" s="2" t="inlineStr"/>
    </row>
    <row r="368" ht="15" customHeight="1">
      <c r="A368" t="inlineStr">
        <is>
          <t>A 33716-2021</t>
        </is>
      </c>
      <c r="B368" s="1" t="n">
        <v>44378</v>
      </c>
      <c r="C368" s="1" t="n">
        <v>46196</v>
      </c>
      <c r="D368" t="inlineStr">
        <is>
          <t>ÖREBRO LÄN</t>
        </is>
      </c>
      <c r="E368" t="inlineStr">
        <is>
          <t>LINDESBERG</t>
        </is>
      </c>
      <c r="G368" t="n">
        <v>4.6</v>
      </c>
      <c r="H368" t="n">
        <v>0</v>
      </c>
      <c r="I368" t="n">
        <v>0</v>
      </c>
      <c r="J368" t="n">
        <v>0</v>
      </c>
      <c r="K368" t="n">
        <v>0</v>
      </c>
      <c r="L368" t="n">
        <v>0</v>
      </c>
      <c r="M368" t="n">
        <v>0</v>
      </c>
      <c r="N368" t="n">
        <v>0</v>
      </c>
      <c r="O368" t="n">
        <v>0</v>
      </c>
      <c r="P368" t="n">
        <v>0</v>
      </c>
      <c r="Q368" t="n">
        <v>0</v>
      </c>
      <c r="R368" s="2" t="inlineStr"/>
    </row>
    <row r="369" ht="15" customHeight="1">
      <c r="A369" t="inlineStr">
        <is>
          <t>A 30341-2025</t>
        </is>
      </c>
      <c r="B369" s="1" t="n">
        <v>45827</v>
      </c>
      <c r="C369" s="1" t="n">
        <v>46196</v>
      </c>
      <c r="D369" t="inlineStr">
        <is>
          <t>ÖREBRO LÄN</t>
        </is>
      </c>
      <c r="E369" t="inlineStr">
        <is>
          <t>LINDESBERG</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30340-2025</t>
        </is>
      </c>
      <c r="B370" s="1" t="n">
        <v>45827</v>
      </c>
      <c r="C370" s="1" t="n">
        <v>46196</v>
      </c>
      <c r="D370" t="inlineStr">
        <is>
          <t>ÖREBRO LÄN</t>
        </is>
      </c>
      <c r="E370" t="inlineStr">
        <is>
          <t>LINDESBERG</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30339-2025</t>
        </is>
      </c>
      <c r="B371" s="1" t="n">
        <v>45827</v>
      </c>
      <c r="C371" s="1" t="n">
        <v>46196</v>
      </c>
      <c r="D371" t="inlineStr">
        <is>
          <t>ÖREBRO LÄN</t>
        </is>
      </c>
      <c r="E371" t="inlineStr">
        <is>
          <t>LINDESBERG</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34029-2024</t>
        </is>
      </c>
      <c r="B372" s="1" t="n">
        <v>45523</v>
      </c>
      <c r="C372" s="1" t="n">
        <v>46196</v>
      </c>
      <c r="D372" t="inlineStr">
        <is>
          <t>ÖREBRO LÄN</t>
        </is>
      </c>
      <c r="E372" t="inlineStr">
        <is>
          <t>LINDESBERG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610-2026</t>
        </is>
      </c>
      <c r="B373" s="1" t="n">
        <v>46029</v>
      </c>
      <c r="C373" s="1" t="n">
        <v>46196</v>
      </c>
      <c r="D373" t="inlineStr">
        <is>
          <t>ÖREBRO LÄN</t>
        </is>
      </c>
      <c r="E373" t="inlineStr">
        <is>
          <t>LINDESBERG</t>
        </is>
      </c>
      <c r="G373" t="n">
        <v>0.8</v>
      </c>
      <c r="H373" t="n">
        <v>0</v>
      </c>
      <c r="I373" t="n">
        <v>0</v>
      </c>
      <c r="J373" t="n">
        <v>0</v>
      </c>
      <c r="K373" t="n">
        <v>0</v>
      </c>
      <c r="L373" t="n">
        <v>0</v>
      </c>
      <c r="M373" t="n">
        <v>0</v>
      </c>
      <c r="N373" t="n">
        <v>0</v>
      </c>
      <c r="O373" t="n">
        <v>0</v>
      </c>
      <c r="P373" t="n">
        <v>0</v>
      </c>
      <c r="Q373" t="n">
        <v>0</v>
      </c>
      <c r="R373" s="2" t="inlineStr"/>
    </row>
    <row r="374" ht="15" customHeight="1">
      <c r="A374" t="inlineStr">
        <is>
          <t>A 23536-2023</t>
        </is>
      </c>
      <c r="B374" s="1" t="n">
        <v>45077</v>
      </c>
      <c r="C374" s="1" t="n">
        <v>46196</v>
      </c>
      <c r="D374" t="inlineStr">
        <is>
          <t>ÖREBRO LÄN</t>
        </is>
      </c>
      <c r="E374" t="inlineStr">
        <is>
          <t>LINDESBERG</t>
        </is>
      </c>
      <c r="F374" t="inlineStr">
        <is>
          <t>Kyrkan</t>
        </is>
      </c>
      <c r="G374" t="n">
        <v>0.5</v>
      </c>
      <c r="H374" t="n">
        <v>0</v>
      </c>
      <c r="I374" t="n">
        <v>0</v>
      </c>
      <c r="J374" t="n">
        <v>0</v>
      </c>
      <c r="K374" t="n">
        <v>0</v>
      </c>
      <c r="L374" t="n">
        <v>0</v>
      </c>
      <c r="M374" t="n">
        <v>0</v>
      </c>
      <c r="N374" t="n">
        <v>0</v>
      </c>
      <c r="O374" t="n">
        <v>0</v>
      </c>
      <c r="P374" t="n">
        <v>0</v>
      </c>
      <c r="Q374" t="n">
        <v>0</v>
      </c>
      <c r="R374" s="2" t="inlineStr"/>
    </row>
    <row r="375" ht="15" customHeight="1">
      <c r="A375" t="inlineStr">
        <is>
          <t>A 38552-2023</t>
        </is>
      </c>
      <c r="B375" s="1" t="n">
        <v>45162</v>
      </c>
      <c r="C375" s="1" t="n">
        <v>46196</v>
      </c>
      <c r="D375" t="inlineStr">
        <is>
          <t>ÖREBRO LÄN</t>
        </is>
      </c>
      <c r="E375" t="inlineStr">
        <is>
          <t>LINDESBERG</t>
        </is>
      </c>
      <c r="G375" t="n">
        <v>10.4</v>
      </c>
      <c r="H375" t="n">
        <v>0</v>
      </c>
      <c r="I375" t="n">
        <v>0</v>
      </c>
      <c r="J375" t="n">
        <v>0</v>
      </c>
      <c r="K375" t="n">
        <v>0</v>
      </c>
      <c r="L375" t="n">
        <v>0</v>
      </c>
      <c r="M375" t="n">
        <v>0</v>
      </c>
      <c r="N375" t="n">
        <v>0</v>
      </c>
      <c r="O375" t="n">
        <v>0</v>
      </c>
      <c r="P375" t="n">
        <v>0</v>
      </c>
      <c r="Q375" t="n">
        <v>0</v>
      </c>
      <c r="R375" s="2" t="inlineStr"/>
    </row>
    <row r="376" ht="15" customHeight="1">
      <c r="A376" t="inlineStr">
        <is>
          <t>A 19914-2024</t>
        </is>
      </c>
      <c r="B376" s="1" t="n">
        <v>45433</v>
      </c>
      <c r="C376" s="1" t="n">
        <v>46196</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55631-2022</t>
        </is>
      </c>
      <c r="B377" s="1" t="n">
        <v>44888</v>
      </c>
      <c r="C377" s="1" t="n">
        <v>46196</v>
      </c>
      <c r="D377" t="inlineStr">
        <is>
          <t>ÖREBRO LÄN</t>
        </is>
      </c>
      <c r="E377" t="inlineStr">
        <is>
          <t>LINDESBERG</t>
        </is>
      </c>
      <c r="G377" t="n">
        <v>4.4</v>
      </c>
      <c r="H377" t="n">
        <v>0</v>
      </c>
      <c r="I377" t="n">
        <v>0</v>
      </c>
      <c r="J377" t="n">
        <v>0</v>
      </c>
      <c r="K377" t="n">
        <v>0</v>
      </c>
      <c r="L377" t="n">
        <v>0</v>
      </c>
      <c r="M377" t="n">
        <v>0</v>
      </c>
      <c r="N377" t="n">
        <v>0</v>
      </c>
      <c r="O377" t="n">
        <v>0</v>
      </c>
      <c r="P377" t="n">
        <v>0</v>
      </c>
      <c r="Q377" t="n">
        <v>0</v>
      </c>
      <c r="R377" s="2" t="inlineStr"/>
    </row>
    <row r="378" ht="15" customHeight="1">
      <c r="A378" t="inlineStr">
        <is>
          <t>A 31018-2025</t>
        </is>
      </c>
      <c r="B378" s="1" t="n">
        <v>45832</v>
      </c>
      <c r="C378" s="1" t="n">
        <v>46196</v>
      </c>
      <c r="D378" t="inlineStr">
        <is>
          <t>ÖREBRO LÄN</t>
        </is>
      </c>
      <c r="E378" t="inlineStr">
        <is>
          <t>LINDESBERG</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911-2026</t>
        </is>
      </c>
      <c r="B379" s="1" t="n">
        <v>46030</v>
      </c>
      <c r="C379" s="1" t="n">
        <v>46196</v>
      </c>
      <c r="D379" t="inlineStr">
        <is>
          <t>ÖREBRO LÄN</t>
        </is>
      </c>
      <c r="E379" t="inlineStr">
        <is>
          <t>LINDESBERG</t>
        </is>
      </c>
      <c r="G379" t="n">
        <v>1.6</v>
      </c>
      <c r="H379" t="n">
        <v>0</v>
      </c>
      <c r="I379" t="n">
        <v>0</v>
      </c>
      <c r="J379" t="n">
        <v>0</v>
      </c>
      <c r="K379" t="n">
        <v>0</v>
      </c>
      <c r="L379" t="n">
        <v>0</v>
      </c>
      <c r="M379" t="n">
        <v>0</v>
      </c>
      <c r="N379" t="n">
        <v>0</v>
      </c>
      <c r="O379" t="n">
        <v>0</v>
      </c>
      <c r="P379" t="n">
        <v>0</v>
      </c>
      <c r="Q379" t="n">
        <v>0</v>
      </c>
      <c r="R379" s="2" t="inlineStr"/>
    </row>
    <row r="380" ht="15" customHeight="1">
      <c r="A380" t="inlineStr">
        <is>
          <t>A 31085-2025</t>
        </is>
      </c>
      <c r="B380" s="1" t="n">
        <v>45832</v>
      </c>
      <c r="C380" s="1" t="n">
        <v>46196</v>
      </c>
      <c r="D380" t="inlineStr">
        <is>
          <t>ÖREBRO LÄN</t>
        </is>
      </c>
      <c r="E380" t="inlineStr">
        <is>
          <t>LINDESBERG</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31003-2025</t>
        </is>
      </c>
      <c r="B381" s="1" t="n">
        <v>45832</v>
      </c>
      <c r="C381" s="1" t="n">
        <v>46196</v>
      </c>
      <c r="D381" t="inlineStr">
        <is>
          <t>ÖREBRO LÄN</t>
        </is>
      </c>
      <c r="E381" t="inlineStr">
        <is>
          <t>LINDESBERG</t>
        </is>
      </c>
      <c r="F381" t="inlineStr">
        <is>
          <t>Sveaskog</t>
        </is>
      </c>
      <c r="G381" t="n">
        <v>0.5</v>
      </c>
      <c r="H381" t="n">
        <v>0</v>
      </c>
      <c r="I381" t="n">
        <v>0</v>
      </c>
      <c r="J381" t="n">
        <v>0</v>
      </c>
      <c r="K381" t="n">
        <v>0</v>
      </c>
      <c r="L381" t="n">
        <v>0</v>
      </c>
      <c r="M381" t="n">
        <v>0</v>
      </c>
      <c r="N381" t="n">
        <v>0</v>
      </c>
      <c r="O381" t="n">
        <v>0</v>
      </c>
      <c r="P381" t="n">
        <v>0</v>
      </c>
      <c r="Q381" t="n">
        <v>0</v>
      </c>
      <c r="R381" s="2" t="inlineStr"/>
    </row>
    <row r="382" ht="15" customHeight="1">
      <c r="A382" t="inlineStr">
        <is>
          <t>A 31014-2025</t>
        </is>
      </c>
      <c r="B382" s="1" t="n">
        <v>45832</v>
      </c>
      <c r="C382" s="1" t="n">
        <v>46196</v>
      </c>
      <c r="D382" t="inlineStr">
        <is>
          <t>ÖREBRO LÄN</t>
        </is>
      </c>
      <c r="E382" t="inlineStr">
        <is>
          <t>LINDESBERG</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2556-2026</t>
        </is>
      </c>
      <c r="B383" s="1" t="n">
        <v>46035</v>
      </c>
      <c r="C383" s="1" t="n">
        <v>46196</v>
      </c>
      <c r="D383" t="inlineStr">
        <is>
          <t>ÖREBRO LÄN</t>
        </is>
      </c>
      <c r="E383" t="inlineStr">
        <is>
          <t>LINDESBERG</t>
        </is>
      </c>
      <c r="G383" t="n">
        <v>3.4</v>
      </c>
      <c r="H383" t="n">
        <v>0</v>
      </c>
      <c r="I383" t="n">
        <v>0</v>
      </c>
      <c r="J383" t="n">
        <v>0</v>
      </c>
      <c r="K383" t="n">
        <v>0</v>
      </c>
      <c r="L383" t="n">
        <v>0</v>
      </c>
      <c r="M383" t="n">
        <v>0</v>
      </c>
      <c r="N383" t="n">
        <v>0</v>
      </c>
      <c r="O383" t="n">
        <v>0</v>
      </c>
      <c r="P383" t="n">
        <v>0</v>
      </c>
      <c r="Q383" t="n">
        <v>0</v>
      </c>
      <c r="R383" s="2" t="inlineStr"/>
    </row>
    <row r="384" ht="15" customHeight="1">
      <c r="A384" t="inlineStr">
        <is>
          <t>A 32284-2025</t>
        </is>
      </c>
      <c r="B384" s="1" t="n">
        <v>45835</v>
      </c>
      <c r="C384" s="1" t="n">
        <v>46196</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1749-2026</t>
        </is>
      </c>
      <c r="B385" s="1" t="n">
        <v>46034</v>
      </c>
      <c r="C385" s="1" t="n">
        <v>46196</v>
      </c>
      <c r="D385" t="inlineStr">
        <is>
          <t>ÖREBRO LÄN</t>
        </is>
      </c>
      <c r="E385" t="inlineStr">
        <is>
          <t>LINDESBERG</t>
        </is>
      </c>
      <c r="G385" t="n">
        <v>2.2</v>
      </c>
      <c r="H385" t="n">
        <v>0</v>
      </c>
      <c r="I385" t="n">
        <v>0</v>
      </c>
      <c r="J385" t="n">
        <v>0</v>
      </c>
      <c r="K385" t="n">
        <v>0</v>
      </c>
      <c r="L385" t="n">
        <v>0</v>
      </c>
      <c r="M385" t="n">
        <v>0</v>
      </c>
      <c r="N385" t="n">
        <v>0</v>
      </c>
      <c r="O385" t="n">
        <v>0</v>
      </c>
      <c r="P385" t="n">
        <v>0</v>
      </c>
      <c r="Q385" t="n">
        <v>0</v>
      </c>
      <c r="R385" s="2" t="inlineStr"/>
    </row>
    <row r="386" ht="15" customHeight="1">
      <c r="A386" t="inlineStr">
        <is>
          <t>A 2704-2026</t>
        </is>
      </c>
      <c r="B386" s="1" t="n">
        <v>46037</v>
      </c>
      <c r="C386" s="1" t="n">
        <v>46196</v>
      </c>
      <c r="D386" t="inlineStr">
        <is>
          <t>ÖREBRO LÄN</t>
        </is>
      </c>
      <c r="E386" t="inlineStr">
        <is>
          <t>LINDESBERG</t>
        </is>
      </c>
      <c r="G386" t="n">
        <v>1.9</v>
      </c>
      <c r="H386" t="n">
        <v>0</v>
      </c>
      <c r="I386" t="n">
        <v>0</v>
      </c>
      <c r="J386" t="n">
        <v>0</v>
      </c>
      <c r="K386" t="n">
        <v>0</v>
      </c>
      <c r="L386" t="n">
        <v>0</v>
      </c>
      <c r="M386" t="n">
        <v>0</v>
      </c>
      <c r="N386" t="n">
        <v>0</v>
      </c>
      <c r="O386" t="n">
        <v>0</v>
      </c>
      <c r="P386" t="n">
        <v>0</v>
      </c>
      <c r="Q386" t="n">
        <v>0</v>
      </c>
      <c r="R386" s="2" t="inlineStr"/>
    </row>
    <row r="387" ht="15" customHeight="1">
      <c r="A387" t="inlineStr">
        <is>
          <t>A 265-2023</t>
        </is>
      </c>
      <c r="B387" s="1" t="n">
        <v>44928</v>
      </c>
      <c r="C387" s="1" t="n">
        <v>46196</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60115-2022</t>
        </is>
      </c>
      <c r="B388" s="1" t="n">
        <v>44902</v>
      </c>
      <c r="C388" s="1" t="n">
        <v>46196</v>
      </c>
      <c r="D388" t="inlineStr">
        <is>
          <t>ÖREBRO LÄN</t>
        </is>
      </c>
      <c r="E388" t="inlineStr">
        <is>
          <t>LINDESBERG</t>
        </is>
      </c>
      <c r="G388" t="n">
        <v>0.5</v>
      </c>
      <c r="H388" t="n">
        <v>0</v>
      </c>
      <c r="I388" t="n">
        <v>0</v>
      </c>
      <c r="J388" t="n">
        <v>0</v>
      </c>
      <c r="K388" t="n">
        <v>0</v>
      </c>
      <c r="L388" t="n">
        <v>0</v>
      </c>
      <c r="M388" t="n">
        <v>0</v>
      </c>
      <c r="N388" t="n">
        <v>0</v>
      </c>
      <c r="O388" t="n">
        <v>0</v>
      </c>
      <c r="P388" t="n">
        <v>0</v>
      </c>
      <c r="Q388" t="n">
        <v>0</v>
      </c>
      <c r="R388" s="2" t="inlineStr"/>
    </row>
    <row r="389" ht="15" customHeight="1">
      <c r="A389" t="inlineStr">
        <is>
          <t>A 3315-2026</t>
        </is>
      </c>
      <c r="B389" s="1" t="n">
        <v>46041</v>
      </c>
      <c r="C389" s="1" t="n">
        <v>46196</v>
      </c>
      <c r="D389" t="inlineStr">
        <is>
          <t>ÖREBRO LÄN</t>
        </is>
      </c>
      <c r="E389" t="inlineStr">
        <is>
          <t>LINDESBERG</t>
        </is>
      </c>
      <c r="G389" t="n">
        <v>7.6</v>
      </c>
      <c r="H389" t="n">
        <v>0</v>
      </c>
      <c r="I389" t="n">
        <v>0</v>
      </c>
      <c r="J389" t="n">
        <v>0</v>
      </c>
      <c r="K389" t="n">
        <v>0</v>
      </c>
      <c r="L389" t="n">
        <v>0</v>
      </c>
      <c r="M389" t="n">
        <v>0</v>
      </c>
      <c r="N389" t="n">
        <v>0</v>
      </c>
      <c r="O389" t="n">
        <v>0</v>
      </c>
      <c r="P389" t="n">
        <v>0</v>
      </c>
      <c r="Q389" t="n">
        <v>0</v>
      </c>
      <c r="R389" s="2" t="inlineStr"/>
    </row>
    <row r="390" ht="15" customHeight="1">
      <c r="A390" t="inlineStr">
        <is>
          <t>A 2969-2026</t>
        </is>
      </c>
      <c r="B390" s="1" t="n">
        <v>46038</v>
      </c>
      <c r="C390" s="1" t="n">
        <v>46196</v>
      </c>
      <c r="D390" t="inlineStr">
        <is>
          <t>ÖREBRO LÄN</t>
        </is>
      </c>
      <c r="E390" t="inlineStr">
        <is>
          <t>LINDESBERG</t>
        </is>
      </c>
      <c r="G390" t="n">
        <v>2.6</v>
      </c>
      <c r="H390" t="n">
        <v>0</v>
      </c>
      <c r="I390" t="n">
        <v>0</v>
      </c>
      <c r="J390" t="n">
        <v>0</v>
      </c>
      <c r="K390" t="n">
        <v>0</v>
      </c>
      <c r="L390" t="n">
        <v>0</v>
      </c>
      <c r="M390" t="n">
        <v>0</v>
      </c>
      <c r="N390" t="n">
        <v>0</v>
      </c>
      <c r="O390" t="n">
        <v>0</v>
      </c>
      <c r="P390" t="n">
        <v>0</v>
      </c>
      <c r="Q390" t="n">
        <v>0</v>
      </c>
      <c r="R390" s="2" t="inlineStr"/>
    </row>
    <row r="391" ht="15" customHeight="1">
      <c r="A391" t="inlineStr">
        <is>
          <t>A 2902-2026</t>
        </is>
      </c>
      <c r="B391" s="1" t="n">
        <v>46038</v>
      </c>
      <c r="C391" s="1" t="n">
        <v>46196</v>
      </c>
      <c r="D391" t="inlineStr">
        <is>
          <t>ÖREBRO LÄN</t>
        </is>
      </c>
      <c r="E391" t="inlineStr">
        <is>
          <t>LINDESBERG</t>
        </is>
      </c>
      <c r="G391" t="n">
        <v>2.1</v>
      </c>
      <c r="H391" t="n">
        <v>0</v>
      </c>
      <c r="I391" t="n">
        <v>0</v>
      </c>
      <c r="J391" t="n">
        <v>0</v>
      </c>
      <c r="K391" t="n">
        <v>0</v>
      </c>
      <c r="L391" t="n">
        <v>0</v>
      </c>
      <c r="M391" t="n">
        <v>0</v>
      </c>
      <c r="N391" t="n">
        <v>0</v>
      </c>
      <c r="O391" t="n">
        <v>0</v>
      </c>
      <c r="P391" t="n">
        <v>0</v>
      </c>
      <c r="Q391" t="n">
        <v>0</v>
      </c>
      <c r="R391" s="2" t="inlineStr"/>
    </row>
    <row r="392" ht="15" customHeight="1">
      <c r="A392" t="inlineStr">
        <is>
          <t>A 29975-2023</t>
        </is>
      </c>
      <c r="B392" s="1" t="n">
        <v>45108</v>
      </c>
      <c r="C392" s="1" t="n">
        <v>46196</v>
      </c>
      <c r="D392" t="inlineStr">
        <is>
          <t>ÖREBRO LÄN</t>
        </is>
      </c>
      <c r="E392" t="inlineStr">
        <is>
          <t>LINDESBERG</t>
        </is>
      </c>
      <c r="G392" t="n">
        <v>6.4</v>
      </c>
      <c r="H392" t="n">
        <v>0</v>
      </c>
      <c r="I392" t="n">
        <v>0</v>
      </c>
      <c r="J392" t="n">
        <v>0</v>
      </c>
      <c r="K392" t="n">
        <v>0</v>
      </c>
      <c r="L392" t="n">
        <v>0</v>
      </c>
      <c r="M392" t="n">
        <v>0</v>
      </c>
      <c r="N392" t="n">
        <v>0</v>
      </c>
      <c r="O392" t="n">
        <v>0</v>
      </c>
      <c r="P392" t="n">
        <v>0</v>
      </c>
      <c r="Q392" t="n">
        <v>0</v>
      </c>
      <c r="R392" s="2" t="inlineStr"/>
    </row>
    <row r="393" ht="15" customHeight="1">
      <c r="A393" t="inlineStr">
        <is>
          <t>A 32727-2024</t>
        </is>
      </c>
      <c r="B393" s="1" t="n">
        <v>45516</v>
      </c>
      <c r="C393" s="1" t="n">
        <v>46196</v>
      </c>
      <c r="D393" t="inlineStr">
        <is>
          <t>ÖREBRO LÄN</t>
        </is>
      </c>
      <c r="E393" t="inlineStr">
        <is>
          <t>LINDESBERG</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2929-2026</t>
        </is>
      </c>
      <c r="B394" s="1" t="n">
        <v>46038</v>
      </c>
      <c r="C394" s="1" t="n">
        <v>46196</v>
      </c>
      <c r="D394" t="inlineStr">
        <is>
          <t>ÖREBRO LÄN</t>
        </is>
      </c>
      <c r="E394" t="inlineStr">
        <is>
          <t>LINDESBERG</t>
        </is>
      </c>
      <c r="G394" t="n">
        <v>1.8</v>
      </c>
      <c r="H394" t="n">
        <v>0</v>
      </c>
      <c r="I394" t="n">
        <v>0</v>
      </c>
      <c r="J394" t="n">
        <v>0</v>
      </c>
      <c r="K394" t="n">
        <v>0</v>
      </c>
      <c r="L394" t="n">
        <v>0</v>
      </c>
      <c r="M394" t="n">
        <v>0</v>
      </c>
      <c r="N394" t="n">
        <v>0</v>
      </c>
      <c r="O394" t="n">
        <v>0</v>
      </c>
      <c r="P394" t="n">
        <v>0</v>
      </c>
      <c r="Q394" t="n">
        <v>0</v>
      </c>
      <c r="R394" s="2" t="inlineStr"/>
    </row>
    <row r="395" ht="15" customHeight="1">
      <c r="A395" t="inlineStr">
        <is>
          <t>A 2949-2026</t>
        </is>
      </c>
      <c r="B395" s="1" t="n">
        <v>46038</v>
      </c>
      <c r="C395" s="1" t="n">
        <v>46196</v>
      </c>
      <c r="D395" t="inlineStr">
        <is>
          <t>ÖREBRO LÄN</t>
        </is>
      </c>
      <c r="E395" t="inlineStr">
        <is>
          <t>LINDESBERG</t>
        </is>
      </c>
      <c r="G395" t="n">
        <v>4</v>
      </c>
      <c r="H395" t="n">
        <v>0</v>
      </c>
      <c r="I395" t="n">
        <v>0</v>
      </c>
      <c r="J395" t="n">
        <v>0</v>
      </c>
      <c r="K395" t="n">
        <v>0</v>
      </c>
      <c r="L395" t="n">
        <v>0</v>
      </c>
      <c r="M395" t="n">
        <v>0</v>
      </c>
      <c r="N395" t="n">
        <v>0</v>
      </c>
      <c r="O395" t="n">
        <v>0</v>
      </c>
      <c r="P395" t="n">
        <v>0</v>
      </c>
      <c r="Q395" t="n">
        <v>0</v>
      </c>
      <c r="R395" s="2" t="inlineStr"/>
    </row>
    <row r="396" ht="15" customHeight="1">
      <c r="A396" t="inlineStr">
        <is>
          <t>A 2859-2026</t>
        </is>
      </c>
      <c r="B396" s="1" t="n">
        <v>46038</v>
      </c>
      <c r="C396" s="1" t="n">
        <v>46196</v>
      </c>
      <c r="D396" t="inlineStr">
        <is>
          <t>ÖREBRO LÄN</t>
        </is>
      </c>
      <c r="E396" t="inlineStr">
        <is>
          <t>LINDESBERG</t>
        </is>
      </c>
      <c r="G396" t="n">
        <v>2.1</v>
      </c>
      <c r="H396" t="n">
        <v>0</v>
      </c>
      <c r="I396" t="n">
        <v>0</v>
      </c>
      <c r="J396" t="n">
        <v>0</v>
      </c>
      <c r="K396" t="n">
        <v>0</v>
      </c>
      <c r="L396" t="n">
        <v>0</v>
      </c>
      <c r="M396" t="n">
        <v>0</v>
      </c>
      <c r="N396" t="n">
        <v>0</v>
      </c>
      <c r="O396" t="n">
        <v>0</v>
      </c>
      <c r="P396" t="n">
        <v>0</v>
      </c>
      <c r="Q396" t="n">
        <v>0</v>
      </c>
      <c r="R396" s="2" t="inlineStr"/>
    </row>
    <row r="397" ht="15" customHeight="1">
      <c r="A397" t="inlineStr">
        <is>
          <t>A 2958-2026</t>
        </is>
      </c>
      <c r="B397" s="1" t="n">
        <v>46038</v>
      </c>
      <c r="C397" s="1" t="n">
        <v>46196</v>
      </c>
      <c r="D397" t="inlineStr">
        <is>
          <t>ÖREBRO LÄN</t>
        </is>
      </c>
      <c r="E397" t="inlineStr">
        <is>
          <t>LINDESBERG</t>
        </is>
      </c>
      <c r="G397" t="n">
        <v>5.8</v>
      </c>
      <c r="H397" t="n">
        <v>0</v>
      </c>
      <c r="I397" t="n">
        <v>0</v>
      </c>
      <c r="J397" t="n">
        <v>0</v>
      </c>
      <c r="K397" t="n">
        <v>0</v>
      </c>
      <c r="L397" t="n">
        <v>0</v>
      </c>
      <c r="M397" t="n">
        <v>0</v>
      </c>
      <c r="N397" t="n">
        <v>0</v>
      </c>
      <c r="O397" t="n">
        <v>0</v>
      </c>
      <c r="P397" t="n">
        <v>0</v>
      </c>
      <c r="Q397" t="n">
        <v>0</v>
      </c>
      <c r="R397" s="2" t="inlineStr"/>
    </row>
    <row r="398" ht="15" customHeight="1">
      <c r="A398" t="inlineStr">
        <is>
          <t>A 3660-2026</t>
        </is>
      </c>
      <c r="B398" s="1" t="n">
        <v>46043</v>
      </c>
      <c r="C398" s="1" t="n">
        <v>46196</v>
      </c>
      <c r="D398" t="inlineStr">
        <is>
          <t>ÖREBRO LÄN</t>
        </is>
      </c>
      <c r="E398" t="inlineStr">
        <is>
          <t>LINDESBERG</t>
        </is>
      </c>
      <c r="G398" t="n">
        <v>3.4</v>
      </c>
      <c r="H398" t="n">
        <v>0</v>
      </c>
      <c r="I398" t="n">
        <v>0</v>
      </c>
      <c r="J398" t="n">
        <v>0</v>
      </c>
      <c r="K398" t="n">
        <v>0</v>
      </c>
      <c r="L398" t="n">
        <v>0</v>
      </c>
      <c r="M398" t="n">
        <v>0</v>
      </c>
      <c r="N398" t="n">
        <v>0</v>
      </c>
      <c r="O398" t="n">
        <v>0</v>
      </c>
      <c r="P398" t="n">
        <v>0</v>
      </c>
      <c r="Q398" t="n">
        <v>0</v>
      </c>
      <c r="R398" s="2" t="inlineStr"/>
    </row>
    <row r="399" ht="15" customHeight="1">
      <c r="A399" t="inlineStr">
        <is>
          <t>A 3659-2026</t>
        </is>
      </c>
      <c r="B399" s="1" t="n">
        <v>46043</v>
      </c>
      <c r="C399" s="1" t="n">
        <v>46196</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34104-2025</t>
        </is>
      </c>
      <c r="B400" s="1" t="n">
        <v>45845</v>
      </c>
      <c r="C400" s="1" t="n">
        <v>46196</v>
      </c>
      <c r="D400" t="inlineStr">
        <is>
          <t>ÖREBRO LÄN</t>
        </is>
      </c>
      <c r="E400" t="inlineStr">
        <is>
          <t>LINDESBERG</t>
        </is>
      </c>
      <c r="G400" t="n">
        <v>1</v>
      </c>
      <c r="H400" t="n">
        <v>0</v>
      </c>
      <c r="I400" t="n">
        <v>0</v>
      </c>
      <c r="J400" t="n">
        <v>0</v>
      </c>
      <c r="K400" t="n">
        <v>0</v>
      </c>
      <c r="L400" t="n">
        <v>0</v>
      </c>
      <c r="M400" t="n">
        <v>0</v>
      </c>
      <c r="N400" t="n">
        <v>0</v>
      </c>
      <c r="O400" t="n">
        <v>0</v>
      </c>
      <c r="P400" t="n">
        <v>0</v>
      </c>
      <c r="Q400" t="n">
        <v>0</v>
      </c>
      <c r="R400" s="2" t="inlineStr"/>
    </row>
    <row r="401" ht="15" customHeight="1">
      <c r="A401" t="inlineStr">
        <is>
          <t>A 33574-2024</t>
        </is>
      </c>
      <c r="B401" s="1" t="n">
        <v>45520</v>
      </c>
      <c r="C401" s="1" t="n">
        <v>46196</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34097-2025</t>
        </is>
      </c>
      <c r="B402" s="1" t="n">
        <v>45845</v>
      </c>
      <c r="C402" s="1" t="n">
        <v>46196</v>
      </c>
      <c r="D402" t="inlineStr">
        <is>
          <t>ÖREBRO LÄN</t>
        </is>
      </c>
      <c r="E402" t="inlineStr">
        <is>
          <t>LINDESBERG</t>
        </is>
      </c>
      <c r="G402" t="n">
        <v>1.2</v>
      </c>
      <c r="H402" t="n">
        <v>0</v>
      </c>
      <c r="I402" t="n">
        <v>0</v>
      </c>
      <c r="J402" t="n">
        <v>0</v>
      </c>
      <c r="K402" t="n">
        <v>0</v>
      </c>
      <c r="L402" t="n">
        <v>0</v>
      </c>
      <c r="M402" t="n">
        <v>0</v>
      </c>
      <c r="N402" t="n">
        <v>0</v>
      </c>
      <c r="O402" t="n">
        <v>0</v>
      </c>
      <c r="P402" t="n">
        <v>0</v>
      </c>
      <c r="Q402" t="n">
        <v>0</v>
      </c>
      <c r="R402" s="2" t="inlineStr"/>
    </row>
    <row r="403" ht="15" customHeight="1">
      <c r="A403" t="inlineStr">
        <is>
          <t>A 3951-2026</t>
        </is>
      </c>
      <c r="B403" s="1" t="n">
        <v>46044</v>
      </c>
      <c r="C403" s="1" t="n">
        <v>46196</v>
      </c>
      <c r="D403" t="inlineStr">
        <is>
          <t>ÖREBRO LÄN</t>
        </is>
      </c>
      <c r="E403" t="inlineStr">
        <is>
          <t>LINDESBERG</t>
        </is>
      </c>
      <c r="G403" t="n">
        <v>0.6</v>
      </c>
      <c r="H403" t="n">
        <v>0</v>
      </c>
      <c r="I403" t="n">
        <v>0</v>
      </c>
      <c r="J403" t="n">
        <v>0</v>
      </c>
      <c r="K403" t="n">
        <v>0</v>
      </c>
      <c r="L403" t="n">
        <v>0</v>
      </c>
      <c r="M403" t="n">
        <v>0</v>
      </c>
      <c r="N403" t="n">
        <v>0</v>
      </c>
      <c r="O403" t="n">
        <v>0</v>
      </c>
      <c r="P403" t="n">
        <v>0</v>
      </c>
      <c r="Q403" t="n">
        <v>0</v>
      </c>
      <c r="R403" s="2" t="inlineStr"/>
    </row>
    <row r="404" ht="15" customHeight="1">
      <c r="A404" t="inlineStr">
        <is>
          <t>A 40905-2023</t>
        </is>
      </c>
      <c r="B404" s="1" t="n">
        <v>45173</v>
      </c>
      <c r="C404" s="1" t="n">
        <v>46196</v>
      </c>
      <c r="D404" t="inlineStr">
        <is>
          <t>ÖREBRO LÄN</t>
        </is>
      </c>
      <c r="E404" t="inlineStr">
        <is>
          <t>LINDESBERG</t>
        </is>
      </c>
      <c r="G404" t="n">
        <v>0.5</v>
      </c>
      <c r="H404" t="n">
        <v>0</v>
      </c>
      <c r="I404" t="n">
        <v>0</v>
      </c>
      <c r="J404" t="n">
        <v>0</v>
      </c>
      <c r="K404" t="n">
        <v>0</v>
      </c>
      <c r="L404" t="n">
        <v>0</v>
      </c>
      <c r="M404" t="n">
        <v>0</v>
      </c>
      <c r="N404" t="n">
        <v>0</v>
      </c>
      <c r="O404" t="n">
        <v>0</v>
      </c>
      <c r="P404" t="n">
        <v>0</v>
      </c>
      <c r="Q404" t="n">
        <v>0</v>
      </c>
      <c r="R404" s="2" t="inlineStr"/>
    </row>
    <row r="405" ht="15" customHeight="1">
      <c r="A405" t="inlineStr">
        <is>
          <t>A 24916-2022</t>
        </is>
      </c>
      <c r="B405" s="1" t="n">
        <v>44728</v>
      </c>
      <c r="C405" s="1" t="n">
        <v>46196</v>
      </c>
      <c r="D405" t="inlineStr">
        <is>
          <t>ÖREBRO LÄN</t>
        </is>
      </c>
      <c r="E405" t="inlineStr">
        <is>
          <t>LINDESBERG</t>
        </is>
      </c>
      <c r="G405" t="n">
        <v>8.1</v>
      </c>
      <c r="H405" t="n">
        <v>0</v>
      </c>
      <c r="I405" t="n">
        <v>0</v>
      </c>
      <c r="J405" t="n">
        <v>0</v>
      </c>
      <c r="K405" t="n">
        <v>0</v>
      </c>
      <c r="L405" t="n">
        <v>0</v>
      </c>
      <c r="M405" t="n">
        <v>0</v>
      </c>
      <c r="N405" t="n">
        <v>0</v>
      </c>
      <c r="O405" t="n">
        <v>0</v>
      </c>
      <c r="P405" t="n">
        <v>0</v>
      </c>
      <c r="Q405" t="n">
        <v>0</v>
      </c>
      <c r="R405" s="2" t="inlineStr"/>
    </row>
    <row r="406" ht="15" customHeight="1">
      <c r="A406" t="inlineStr">
        <is>
          <t>A 5677-2025</t>
        </is>
      </c>
      <c r="B406" s="1" t="n">
        <v>45694</v>
      </c>
      <c r="C406" s="1" t="n">
        <v>46196</v>
      </c>
      <c r="D406" t="inlineStr">
        <is>
          <t>ÖREBRO LÄN</t>
        </is>
      </c>
      <c r="E406" t="inlineStr">
        <is>
          <t>LINDESBERG</t>
        </is>
      </c>
      <c r="G406" t="n">
        <v>1.6</v>
      </c>
      <c r="H406" t="n">
        <v>0</v>
      </c>
      <c r="I406" t="n">
        <v>0</v>
      </c>
      <c r="J406" t="n">
        <v>0</v>
      </c>
      <c r="K406" t="n">
        <v>0</v>
      </c>
      <c r="L406" t="n">
        <v>0</v>
      </c>
      <c r="M406" t="n">
        <v>0</v>
      </c>
      <c r="N406" t="n">
        <v>0</v>
      </c>
      <c r="O406" t="n">
        <v>0</v>
      </c>
      <c r="P406" t="n">
        <v>0</v>
      </c>
      <c r="Q406" t="n">
        <v>0</v>
      </c>
      <c r="R406" s="2" t="inlineStr"/>
    </row>
    <row r="407" ht="15" customHeight="1">
      <c r="A407" t="inlineStr">
        <is>
          <t>A 5235-2026</t>
        </is>
      </c>
      <c r="B407" s="1" t="n">
        <v>46049</v>
      </c>
      <c r="C407" s="1" t="n">
        <v>46196</v>
      </c>
      <c r="D407" t="inlineStr">
        <is>
          <t>ÖREBRO LÄN</t>
        </is>
      </c>
      <c r="E407" t="inlineStr">
        <is>
          <t>LINDESBERG</t>
        </is>
      </c>
      <c r="G407" t="n">
        <v>4.8</v>
      </c>
      <c r="H407" t="n">
        <v>0</v>
      </c>
      <c r="I407" t="n">
        <v>0</v>
      </c>
      <c r="J407" t="n">
        <v>0</v>
      </c>
      <c r="K407" t="n">
        <v>0</v>
      </c>
      <c r="L407" t="n">
        <v>0</v>
      </c>
      <c r="M407" t="n">
        <v>0</v>
      </c>
      <c r="N407" t="n">
        <v>0</v>
      </c>
      <c r="O407" t="n">
        <v>0</v>
      </c>
      <c r="P407" t="n">
        <v>0</v>
      </c>
      <c r="Q407" t="n">
        <v>0</v>
      </c>
      <c r="R407" s="2" t="inlineStr"/>
    </row>
    <row r="408" ht="15" customHeight="1">
      <c r="A408" t="inlineStr">
        <is>
          <t>A 1681-2025</t>
        </is>
      </c>
      <c r="B408" s="1" t="n">
        <v>45670</v>
      </c>
      <c r="C408" s="1" t="n">
        <v>46196</v>
      </c>
      <c r="D408" t="inlineStr">
        <is>
          <t>ÖREBRO LÄN</t>
        </is>
      </c>
      <c r="E408" t="inlineStr">
        <is>
          <t>LINDESBERG</t>
        </is>
      </c>
      <c r="G408" t="n">
        <v>1.9</v>
      </c>
      <c r="H408" t="n">
        <v>0</v>
      </c>
      <c r="I408" t="n">
        <v>0</v>
      </c>
      <c r="J408" t="n">
        <v>0</v>
      </c>
      <c r="K408" t="n">
        <v>0</v>
      </c>
      <c r="L408" t="n">
        <v>0</v>
      </c>
      <c r="M408" t="n">
        <v>0</v>
      </c>
      <c r="N408" t="n">
        <v>0</v>
      </c>
      <c r="O408" t="n">
        <v>0</v>
      </c>
      <c r="P408" t="n">
        <v>0</v>
      </c>
      <c r="Q408" t="n">
        <v>0</v>
      </c>
      <c r="R408" s="2" t="inlineStr"/>
    </row>
    <row r="409" ht="15" customHeight="1">
      <c r="A409" t="inlineStr">
        <is>
          <t>A 5715-2026</t>
        </is>
      </c>
      <c r="B409" s="1" t="n">
        <v>46051</v>
      </c>
      <c r="C409" s="1" t="n">
        <v>46196</v>
      </c>
      <c r="D409" t="inlineStr">
        <is>
          <t>ÖREBRO LÄN</t>
        </is>
      </c>
      <c r="E409" t="inlineStr">
        <is>
          <t>LINDESBERG</t>
        </is>
      </c>
      <c r="G409" t="n">
        <v>0.7</v>
      </c>
      <c r="H409" t="n">
        <v>0</v>
      </c>
      <c r="I409" t="n">
        <v>0</v>
      </c>
      <c r="J409" t="n">
        <v>0</v>
      </c>
      <c r="K409" t="n">
        <v>0</v>
      </c>
      <c r="L409" t="n">
        <v>0</v>
      </c>
      <c r="M409" t="n">
        <v>0</v>
      </c>
      <c r="N409" t="n">
        <v>0</v>
      </c>
      <c r="O409" t="n">
        <v>0</v>
      </c>
      <c r="P409" t="n">
        <v>0</v>
      </c>
      <c r="Q409" t="n">
        <v>0</v>
      </c>
      <c r="R409" s="2" t="inlineStr"/>
    </row>
    <row r="410" ht="15" customHeight="1">
      <c r="A410" t="inlineStr">
        <is>
          <t>A 6616-2026</t>
        </is>
      </c>
      <c r="B410" s="1" t="n">
        <v>46056</v>
      </c>
      <c r="C410" s="1" t="n">
        <v>46196</v>
      </c>
      <c r="D410" t="inlineStr">
        <is>
          <t>ÖREBRO LÄN</t>
        </is>
      </c>
      <c r="E410" t="inlineStr">
        <is>
          <t>LINDESBERG</t>
        </is>
      </c>
      <c r="G410" t="n">
        <v>9</v>
      </c>
      <c r="H410" t="n">
        <v>0</v>
      </c>
      <c r="I410" t="n">
        <v>0</v>
      </c>
      <c r="J410" t="n">
        <v>0</v>
      </c>
      <c r="K410" t="n">
        <v>0</v>
      </c>
      <c r="L410" t="n">
        <v>0</v>
      </c>
      <c r="M410" t="n">
        <v>0</v>
      </c>
      <c r="N410" t="n">
        <v>0</v>
      </c>
      <c r="O410" t="n">
        <v>0</v>
      </c>
      <c r="P410" t="n">
        <v>0</v>
      </c>
      <c r="Q410" t="n">
        <v>0</v>
      </c>
      <c r="R410" s="2" t="inlineStr"/>
    </row>
    <row r="411" ht="15" customHeight="1">
      <c r="A411" t="inlineStr">
        <is>
          <t>A 47304-2024</t>
        </is>
      </c>
      <c r="B411" s="1" t="n">
        <v>45587</v>
      </c>
      <c r="C411" s="1" t="n">
        <v>46196</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40085-2023</t>
        </is>
      </c>
      <c r="B412" s="1" t="n">
        <v>45168</v>
      </c>
      <c r="C412" s="1" t="n">
        <v>46196</v>
      </c>
      <c r="D412" t="inlineStr">
        <is>
          <t>ÖREBRO LÄN</t>
        </is>
      </c>
      <c r="E412" t="inlineStr">
        <is>
          <t>LINDESBERG</t>
        </is>
      </c>
      <c r="G412" t="n">
        <v>6.1</v>
      </c>
      <c r="H412" t="n">
        <v>0</v>
      </c>
      <c r="I412" t="n">
        <v>0</v>
      </c>
      <c r="J412" t="n">
        <v>0</v>
      </c>
      <c r="K412" t="n">
        <v>0</v>
      </c>
      <c r="L412" t="n">
        <v>0</v>
      </c>
      <c r="M412" t="n">
        <v>0</v>
      </c>
      <c r="N412" t="n">
        <v>0</v>
      </c>
      <c r="O412" t="n">
        <v>0</v>
      </c>
      <c r="P412" t="n">
        <v>0</v>
      </c>
      <c r="Q412" t="n">
        <v>0</v>
      </c>
      <c r="R412" s="2" t="inlineStr"/>
    </row>
    <row r="413" ht="15" customHeight="1">
      <c r="A413" t="inlineStr">
        <is>
          <t>A 40117-2023</t>
        </is>
      </c>
      <c r="B413" s="1" t="n">
        <v>45168</v>
      </c>
      <c r="C413" s="1" t="n">
        <v>46196</v>
      </c>
      <c r="D413" t="inlineStr">
        <is>
          <t>ÖREBRO LÄN</t>
        </is>
      </c>
      <c r="E413" t="inlineStr">
        <is>
          <t>LINDESBERG</t>
        </is>
      </c>
      <c r="G413" t="n">
        <v>2.3</v>
      </c>
      <c r="H413" t="n">
        <v>0</v>
      </c>
      <c r="I413" t="n">
        <v>0</v>
      </c>
      <c r="J413" t="n">
        <v>0</v>
      </c>
      <c r="K413" t="n">
        <v>0</v>
      </c>
      <c r="L413" t="n">
        <v>0</v>
      </c>
      <c r="M413" t="n">
        <v>0</v>
      </c>
      <c r="N413" t="n">
        <v>0</v>
      </c>
      <c r="O413" t="n">
        <v>0</v>
      </c>
      <c r="P413" t="n">
        <v>0</v>
      </c>
      <c r="Q413" t="n">
        <v>0</v>
      </c>
      <c r="R413" s="2" t="inlineStr"/>
    </row>
    <row r="414" ht="15" customHeight="1">
      <c r="A414" t="inlineStr">
        <is>
          <t>A 21390-2024</t>
        </is>
      </c>
      <c r="B414" s="1" t="n">
        <v>45441</v>
      </c>
      <c r="C414" s="1" t="n">
        <v>46196</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21392-2024</t>
        </is>
      </c>
      <c r="B415" s="1" t="n">
        <v>45441</v>
      </c>
      <c r="C415" s="1" t="n">
        <v>46196</v>
      </c>
      <c r="D415" t="inlineStr">
        <is>
          <t>ÖREBRO LÄN</t>
        </is>
      </c>
      <c r="E415" t="inlineStr">
        <is>
          <t>LINDESBERG</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36253-2024</t>
        </is>
      </c>
      <c r="B416" s="1" t="n">
        <v>45534</v>
      </c>
      <c r="C416" s="1" t="n">
        <v>46196</v>
      </c>
      <c r="D416" t="inlineStr">
        <is>
          <t>ÖREBRO LÄN</t>
        </is>
      </c>
      <c r="E416" t="inlineStr">
        <is>
          <t>LINDESBERG</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9966-2023</t>
        </is>
      </c>
      <c r="B417" s="1" t="n">
        <v>44979</v>
      </c>
      <c r="C417" s="1" t="n">
        <v>46196</v>
      </c>
      <c r="D417" t="inlineStr">
        <is>
          <t>ÖREBRO LÄN</t>
        </is>
      </c>
      <c r="E417" t="inlineStr">
        <is>
          <t>LINDESBERG</t>
        </is>
      </c>
      <c r="G417" t="n">
        <v>4.1</v>
      </c>
      <c r="H417" t="n">
        <v>0</v>
      </c>
      <c r="I417" t="n">
        <v>0</v>
      </c>
      <c r="J417" t="n">
        <v>0</v>
      </c>
      <c r="K417" t="n">
        <v>0</v>
      </c>
      <c r="L417" t="n">
        <v>0</v>
      </c>
      <c r="M417" t="n">
        <v>0</v>
      </c>
      <c r="N417" t="n">
        <v>0</v>
      </c>
      <c r="O417" t="n">
        <v>0</v>
      </c>
      <c r="P417" t="n">
        <v>0</v>
      </c>
      <c r="Q417" t="n">
        <v>0</v>
      </c>
      <c r="R417" s="2" t="inlineStr"/>
    </row>
    <row r="418" ht="15" customHeight="1">
      <c r="A418" t="inlineStr">
        <is>
          <t>A 30514-2025</t>
        </is>
      </c>
      <c r="B418" s="1" t="n">
        <v>45831</v>
      </c>
      <c r="C418" s="1" t="n">
        <v>46196</v>
      </c>
      <c r="D418" t="inlineStr">
        <is>
          <t>ÖREBRO LÄN</t>
        </is>
      </c>
      <c r="E418" t="inlineStr">
        <is>
          <t>LINDESBERG</t>
        </is>
      </c>
      <c r="G418" t="n">
        <v>1.6</v>
      </c>
      <c r="H418" t="n">
        <v>0</v>
      </c>
      <c r="I418" t="n">
        <v>0</v>
      </c>
      <c r="J418" t="n">
        <v>0</v>
      </c>
      <c r="K418" t="n">
        <v>0</v>
      </c>
      <c r="L418" t="n">
        <v>0</v>
      </c>
      <c r="M418" t="n">
        <v>0</v>
      </c>
      <c r="N418" t="n">
        <v>0</v>
      </c>
      <c r="O418" t="n">
        <v>0</v>
      </c>
      <c r="P418" t="n">
        <v>0</v>
      </c>
      <c r="Q418" t="n">
        <v>0</v>
      </c>
      <c r="R418" s="2" t="inlineStr"/>
    </row>
    <row r="419" ht="15" customHeight="1">
      <c r="A419" t="inlineStr">
        <is>
          <t>A 45173-2024</t>
        </is>
      </c>
      <c r="B419" s="1" t="n">
        <v>45575</v>
      </c>
      <c r="C419" s="1" t="n">
        <v>46196</v>
      </c>
      <c r="D419" t="inlineStr">
        <is>
          <t>ÖREBRO LÄN</t>
        </is>
      </c>
      <c r="E419" t="inlineStr">
        <is>
          <t>LINDESBERG</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30512-2025</t>
        </is>
      </c>
      <c r="B420" s="1" t="n">
        <v>45831</v>
      </c>
      <c r="C420" s="1" t="n">
        <v>46196</v>
      </c>
      <c r="D420" t="inlineStr">
        <is>
          <t>ÖREBRO LÄN</t>
        </is>
      </c>
      <c r="E420" t="inlineStr">
        <is>
          <t>LINDESBERG</t>
        </is>
      </c>
      <c r="G420" t="n">
        <v>4.5</v>
      </c>
      <c r="H420" t="n">
        <v>0</v>
      </c>
      <c r="I420" t="n">
        <v>0</v>
      </c>
      <c r="J420" t="n">
        <v>0</v>
      </c>
      <c r="K420" t="n">
        <v>0</v>
      </c>
      <c r="L420" t="n">
        <v>0</v>
      </c>
      <c r="M420" t="n">
        <v>0</v>
      </c>
      <c r="N420" t="n">
        <v>0</v>
      </c>
      <c r="O420" t="n">
        <v>0</v>
      </c>
      <c r="P420" t="n">
        <v>0</v>
      </c>
      <c r="Q420" t="n">
        <v>0</v>
      </c>
      <c r="R420" s="2" t="inlineStr"/>
    </row>
    <row r="421" ht="15" customHeight="1">
      <c r="A421" t="inlineStr">
        <is>
          <t>A 6989-2026</t>
        </is>
      </c>
      <c r="B421" s="1" t="n">
        <v>46057</v>
      </c>
      <c r="C421" s="1" t="n">
        <v>46196</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6524-2026</t>
        </is>
      </c>
      <c r="B422" s="1" t="n">
        <v>46056</v>
      </c>
      <c r="C422" s="1" t="n">
        <v>46196</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36859-2025</t>
        </is>
      </c>
      <c r="B423" s="1" t="n">
        <v>45874</v>
      </c>
      <c r="C423" s="1" t="n">
        <v>46196</v>
      </c>
      <c r="D423" t="inlineStr">
        <is>
          <t>ÖREBRO LÄN</t>
        </is>
      </c>
      <c r="E423" t="inlineStr">
        <is>
          <t>LINDESBERG</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60941-2024</t>
        </is>
      </c>
      <c r="B424" s="1" t="n">
        <v>45645</v>
      </c>
      <c r="C424" s="1" t="n">
        <v>46196</v>
      </c>
      <c r="D424" t="inlineStr">
        <is>
          <t>ÖREBRO LÄN</t>
        </is>
      </c>
      <c r="E424" t="inlineStr">
        <is>
          <t>LINDESBERG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7202-2026</t>
        </is>
      </c>
      <c r="B425" s="1" t="n">
        <v>46058</v>
      </c>
      <c r="C425" s="1" t="n">
        <v>46196</v>
      </c>
      <c r="D425" t="inlineStr">
        <is>
          <t>ÖREBRO LÄN</t>
        </is>
      </c>
      <c r="E425" t="inlineStr">
        <is>
          <t>LINDESBERG</t>
        </is>
      </c>
      <c r="G425" t="n">
        <v>2.8</v>
      </c>
      <c r="H425" t="n">
        <v>0</v>
      </c>
      <c r="I425" t="n">
        <v>0</v>
      </c>
      <c r="J425" t="n">
        <v>0</v>
      </c>
      <c r="K425" t="n">
        <v>0</v>
      </c>
      <c r="L425" t="n">
        <v>0</v>
      </c>
      <c r="M425" t="n">
        <v>0</v>
      </c>
      <c r="N425" t="n">
        <v>0</v>
      </c>
      <c r="O425" t="n">
        <v>0</v>
      </c>
      <c r="P425" t="n">
        <v>0</v>
      </c>
      <c r="Q425" t="n">
        <v>0</v>
      </c>
      <c r="R425" s="2" t="inlineStr"/>
    </row>
    <row r="426" ht="15" customHeight="1">
      <c r="A426" t="inlineStr">
        <is>
          <t>A 37301-2025</t>
        </is>
      </c>
      <c r="B426" s="1" t="n">
        <v>45876</v>
      </c>
      <c r="C426" s="1" t="n">
        <v>46196</v>
      </c>
      <c r="D426" t="inlineStr">
        <is>
          <t>ÖREBRO LÄN</t>
        </is>
      </c>
      <c r="E426" t="inlineStr">
        <is>
          <t>LINDESBERG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56507-2021</t>
        </is>
      </c>
      <c r="B427" s="1" t="n">
        <v>44480</v>
      </c>
      <c r="C427" s="1" t="n">
        <v>46196</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7069-2026</t>
        </is>
      </c>
      <c r="B428" s="1" t="n">
        <v>46058</v>
      </c>
      <c r="C428" s="1" t="n">
        <v>46196</v>
      </c>
      <c r="D428" t="inlineStr">
        <is>
          <t>ÖREBRO LÄN</t>
        </is>
      </c>
      <c r="E428" t="inlineStr">
        <is>
          <t>LINDESBERG</t>
        </is>
      </c>
      <c r="G428" t="n">
        <v>0.9</v>
      </c>
      <c r="H428" t="n">
        <v>0</v>
      </c>
      <c r="I428" t="n">
        <v>0</v>
      </c>
      <c r="J428" t="n">
        <v>0</v>
      </c>
      <c r="K428" t="n">
        <v>0</v>
      </c>
      <c r="L428" t="n">
        <v>0</v>
      </c>
      <c r="M428" t="n">
        <v>0</v>
      </c>
      <c r="N428" t="n">
        <v>0</v>
      </c>
      <c r="O428" t="n">
        <v>0</v>
      </c>
      <c r="P428" t="n">
        <v>0</v>
      </c>
      <c r="Q428" t="n">
        <v>0</v>
      </c>
      <c r="R428" s="2" t="inlineStr"/>
    </row>
    <row r="429" ht="15" customHeight="1">
      <c r="A429" t="inlineStr">
        <is>
          <t>A 37837-2025</t>
        </is>
      </c>
      <c r="B429" s="1" t="n">
        <v>45881</v>
      </c>
      <c r="C429" s="1" t="n">
        <v>46196</v>
      </c>
      <c r="D429" t="inlineStr">
        <is>
          <t>ÖREBRO LÄN</t>
        </is>
      </c>
      <c r="E429" t="inlineStr">
        <is>
          <t>LINDESBERG</t>
        </is>
      </c>
      <c r="G429" t="n">
        <v>1.3</v>
      </c>
      <c r="H429" t="n">
        <v>0</v>
      </c>
      <c r="I429" t="n">
        <v>0</v>
      </c>
      <c r="J429" t="n">
        <v>0</v>
      </c>
      <c r="K429" t="n">
        <v>0</v>
      </c>
      <c r="L429" t="n">
        <v>0</v>
      </c>
      <c r="M429" t="n">
        <v>0</v>
      </c>
      <c r="N429" t="n">
        <v>0</v>
      </c>
      <c r="O429" t="n">
        <v>0</v>
      </c>
      <c r="P429" t="n">
        <v>0</v>
      </c>
      <c r="Q429" t="n">
        <v>0</v>
      </c>
      <c r="R429" s="2" t="inlineStr"/>
    </row>
    <row r="430" ht="15" customHeight="1">
      <c r="A430" t="inlineStr">
        <is>
          <t>A 37602-2025</t>
        </is>
      </c>
      <c r="B430" s="1" t="n">
        <v>45880</v>
      </c>
      <c r="C430" s="1" t="n">
        <v>46196</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37625-2025</t>
        </is>
      </c>
      <c r="B431" s="1" t="n">
        <v>45880</v>
      </c>
      <c r="C431" s="1" t="n">
        <v>46196</v>
      </c>
      <c r="D431" t="inlineStr">
        <is>
          <t>ÖREBRO LÄN</t>
        </is>
      </c>
      <c r="E431" t="inlineStr">
        <is>
          <t>LINDESBERG</t>
        </is>
      </c>
      <c r="G431" t="n">
        <v>12.5</v>
      </c>
      <c r="H431" t="n">
        <v>0</v>
      </c>
      <c r="I431" t="n">
        <v>0</v>
      </c>
      <c r="J431" t="n">
        <v>0</v>
      </c>
      <c r="K431" t="n">
        <v>0</v>
      </c>
      <c r="L431" t="n">
        <v>0</v>
      </c>
      <c r="M431" t="n">
        <v>0</v>
      </c>
      <c r="N431" t="n">
        <v>0</v>
      </c>
      <c r="O431" t="n">
        <v>0</v>
      </c>
      <c r="P431" t="n">
        <v>0</v>
      </c>
      <c r="Q431" t="n">
        <v>0</v>
      </c>
      <c r="R431" s="2" t="inlineStr"/>
    </row>
    <row r="432" ht="15" customHeight="1">
      <c r="A432" t="inlineStr">
        <is>
          <t>A 37834-2025</t>
        </is>
      </c>
      <c r="B432" s="1" t="n">
        <v>45881</v>
      </c>
      <c r="C432" s="1" t="n">
        <v>46196</v>
      </c>
      <c r="D432" t="inlineStr">
        <is>
          <t>ÖREBRO LÄN</t>
        </is>
      </c>
      <c r="E432" t="inlineStr">
        <is>
          <t>LINDESBERG</t>
        </is>
      </c>
      <c r="G432" t="n">
        <v>3.1</v>
      </c>
      <c r="H432" t="n">
        <v>0</v>
      </c>
      <c r="I432" t="n">
        <v>0</v>
      </c>
      <c r="J432" t="n">
        <v>0</v>
      </c>
      <c r="K432" t="n">
        <v>0</v>
      </c>
      <c r="L432" t="n">
        <v>0</v>
      </c>
      <c r="M432" t="n">
        <v>0</v>
      </c>
      <c r="N432" t="n">
        <v>0</v>
      </c>
      <c r="O432" t="n">
        <v>0</v>
      </c>
      <c r="P432" t="n">
        <v>0</v>
      </c>
      <c r="Q432" t="n">
        <v>0</v>
      </c>
      <c r="R432" s="2" t="inlineStr"/>
    </row>
    <row r="433" ht="15" customHeight="1">
      <c r="A433" t="inlineStr">
        <is>
          <t>A 37553-2025</t>
        </is>
      </c>
      <c r="B433" s="1" t="n">
        <v>45880</v>
      </c>
      <c r="C433" s="1" t="n">
        <v>46196</v>
      </c>
      <c r="D433" t="inlineStr">
        <is>
          <t>ÖREBRO LÄN</t>
        </is>
      </c>
      <c r="E433" t="inlineStr">
        <is>
          <t>LINDESBERG</t>
        </is>
      </c>
      <c r="G433" t="n">
        <v>0.6</v>
      </c>
      <c r="H433" t="n">
        <v>0</v>
      </c>
      <c r="I433" t="n">
        <v>0</v>
      </c>
      <c r="J433" t="n">
        <v>0</v>
      </c>
      <c r="K433" t="n">
        <v>0</v>
      </c>
      <c r="L433" t="n">
        <v>0</v>
      </c>
      <c r="M433" t="n">
        <v>0</v>
      </c>
      <c r="N433" t="n">
        <v>0</v>
      </c>
      <c r="O433" t="n">
        <v>0</v>
      </c>
      <c r="P433" t="n">
        <v>0</v>
      </c>
      <c r="Q433" t="n">
        <v>0</v>
      </c>
      <c r="R433" s="2" t="inlineStr"/>
    </row>
    <row r="434" ht="15" customHeight="1">
      <c r="A434" t="inlineStr">
        <is>
          <t>A 9432-2026</t>
        </is>
      </c>
      <c r="B434" s="1" t="n">
        <v>46071</v>
      </c>
      <c r="C434" s="1" t="n">
        <v>46196</v>
      </c>
      <c r="D434" t="inlineStr">
        <is>
          <t>ÖREBRO LÄN</t>
        </is>
      </c>
      <c r="E434" t="inlineStr">
        <is>
          <t>LINDESBERG</t>
        </is>
      </c>
      <c r="G434" t="n">
        <v>1.6</v>
      </c>
      <c r="H434" t="n">
        <v>0</v>
      </c>
      <c r="I434" t="n">
        <v>0</v>
      </c>
      <c r="J434" t="n">
        <v>0</v>
      </c>
      <c r="K434" t="n">
        <v>0</v>
      </c>
      <c r="L434" t="n">
        <v>0</v>
      </c>
      <c r="M434" t="n">
        <v>0</v>
      </c>
      <c r="N434" t="n">
        <v>0</v>
      </c>
      <c r="O434" t="n">
        <v>0</v>
      </c>
      <c r="P434" t="n">
        <v>0</v>
      </c>
      <c r="Q434" t="n">
        <v>0</v>
      </c>
      <c r="R434" s="2" t="inlineStr"/>
    </row>
    <row r="435" ht="15" customHeight="1">
      <c r="A435" t="inlineStr">
        <is>
          <t>A 38534-2025</t>
        </is>
      </c>
      <c r="B435" s="1" t="n">
        <v>45884</v>
      </c>
      <c r="C435" s="1" t="n">
        <v>46196</v>
      </c>
      <c r="D435" t="inlineStr">
        <is>
          <t>ÖREBRO LÄN</t>
        </is>
      </c>
      <c r="E435" t="inlineStr">
        <is>
          <t>LINDESBERG</t>
        </is>
      </c>
      <c r="G435" t="n">
        <v>4.9</v>
      </c>
      <c r="H435" t="n">
        <v>0</v>
      </c>
      <c r="I435" t="n">
        <v>0</v>
      </c>
      <c r="J435" t="n">
        <v>0</v>
      </c>
      <c r="K435" t="n">
        <v>0</v>
      </c>
      <c r="L435" t="n">
        <v>0</v>
      </c>
      <c r="M435" t="n">
        <v>0</v>
      </c>
      <c r="N435" t="n">
        <v>0</v>
      </c>
      <c r="O435" t="n">
        <v>0</v>
      </c>
      <c r="P435" t="n">
        <v>0</v>
      </c>
      <c r="Q435" t="n">
        <v>0</v>
      </c>
      <c r="R435" s="2" t="inlineStr"/>
    </row>
    <row r="436" ht="15" customHeight="1">
      <c r="A436" t="inlineStr">
        <is>
          <t>A 9577-2026</t>
        </is>
      </c>
      <c r="B436" s="1" t="n">
        <v>46071</v>
      </c>
      <c r="C436" s="1" t="n">
        <v>46196</v>
      </c>
      <c r="D436" t="inlineStr">
        <is>
          <t>ÖREBRO LÄN</t>
        </is>
      </c>
      <c r="E436" t="inlineStr">
        <is>
          <t>LINDESBERG</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47069-2023</t>
        </is>
      </c>
      <c r="B437" s="1" t="n">
        <v>45201</v>
      </c>
      <c r="C437" s="1" t="n">
        <v>46196</v>
      </c>
      <c r="D437" t="inlineStr">
        <is>
          <t>ÖREBRO LÄN</t>
        </is>
      </c>
      <c r="E437" t="inlineStr">
        <is>
          <t>LINDESBERG</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47074-2023</t>
        </is>
      </c>
      <c r="B438" s="1" t="n">
        <v>45201</v>
      </c>
      <c r="C438" s="1" t="n">
        <v>46196</v>
      </c>
      <c r="D438" t="inlineStr">
        <is>
          <t>ÖREBRO LÄN</t>
        </is>
      </c>
      <c r="E438" t="inlineStr">
        <is>
          <t>LINDESBERG</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4997-2024</t>
        </is>
      </c>
      <c r="B439" s="1" t="n">
        <v>45329</v>
      </c>
      <c r="C439" s="1" t="n">
        <v>46196</v>
      </c>
      <c r="D439" t="inlineStr">
        <is>
          <t>ÖREBRO LÄN</t>
        </is>
      </c>
      <c r="E439" t="inlineStr">
        <is>
          <t>LINDESBERG</t>
        </is>
      </c>
      <c r="F439" t="inlineStr">
        <is>
          <t>BillerudKorsnäs AB</t>
        </is>
      </c>
      <c r="G439" t="n">
        <v>3</v>
      </c>
      <c r="H439" t="n">
        <v>0</v>
      </c>
      <c r="I439" t="n">
        <v>0</v>
      </c>
      <c r="J439" t="n">
        <v>0</v>
      </c>
      <c r="K439" t="n">
        <v>0</v>
      </c>
      <c r="L439" t="n">
        <v>0</v>
      </c>
      <c r="M439" t="n">
        <v>0</v>
      </c>
      <c r="N439" t="n">
        <v>0</v>
      </c>
      <c r="O439" t="n">
        <v>0</v>
      </c>
      <c r="P439" t="n">
        <v>0</v>
      </c>
      <c r="Q439" t="n">
        <v>0</v>
      </c>
      <c r="R439" s="2" t="inlineStr"/>
    </row>
    <row r="440" ht="15" customHeight="1">
      <c r="A440" t="inlineStr">
        <is>
          <t>A 33284-2024</t>
        </is>
      </c>
      <c r="B440" s="1" t="n">
        <v>45518</v>
      </c>
      <c r="C440" s="1" t="n">
        <v>46196</v>
      </c>
      <c r="D440" t="inlineStr">
        <is>
          <t>ÖREBRO LÄN</t>
        </is>
      </c>
      <c r="E440" t="inlineStr">
        <is>
          <t>LINDESBERG</t>
        </is>
      </c>
      <c r="G440" t="n">
        <v>1.7</v>
      </c>
      <c r="H440" t="n">
        <v>0</v>
      </c>
      <c r="I440" t="n">
        <v>0</v>
      </c>
      <c r="J440" t="n">
        <v>0</v>
      </c>
      <c r="K440" t="n">
        <v>0</v>
      </c>
      <c r="L440" t="n">
        <v>0</v>
      </c>
      <c r="M440" t="n">
        <v>0</v>
      </c>
      <c r="N440" t="n">
        <v>0</v>
      </c>
      <c r="O440" t="n">
        <v>0</v>
      </c>
      <c r="P440" t="n">
        <v>0</v>
      </c>
      <c r="Q440" t="n">
        <v>0</v>
      </c>
      <c r="R440" s="2" t="inlineStr"/>
    </row>
    <row r="441" ht="15" customHeight="1">
      <c r="A441" t="inlineStr">
        <is>
          <t>A 38696-2024</t>
        </is>
      </c>
      <c r="B441" s="1" t="n">
        <v>45547</v>
      </c>
      <c r="C441" s="1" t="n">
        <v>46196</v>
      </c>
      <c r="D441" t="inlineStr">
        <is>
          <t>ÖREBRO LÄN</t>
        </is>
      </c>
      <c r="E441" t="inlineStr">
        <is>
          <t>LINDESBERG</t>
        </is>
      </c>
      <c r="G441" t="n">
        <v>2</v>
      </c>
      <c r="H441" t="n">
        <v>0</v>
      </c>
      <c r="I441" t="n">
        <v>0</v>
      </c>
      <c r="J441" t="n">
        <v>0</v>
      </c>
      <c r="K441" t="n">
        <v>0</v>
      </c>
      <c r="L441" t="n">
        <v>0</v>
      </c>
      <c r="M441" t="n">
        <v>0</v>
      </c>
      <c r="N441" t="n">
        <v>0</v>
      </c>
      <c r="O441" t="n">
        <v>0</v>
      </c>
      <c r="P441" t="n">
        <v>0</v>
      </c>
      <c r="Q441" t="n">
        <v>0</v>
      </c>
      <c r="R441" s="2" t="inlineStr"/>
    </row>
    <row r="442" ht="15" customHeight="1">
      <c r="A442" t="inlineStr">
        <is>
          <t>A 19219-2023</t>
        </is>
      </c>
      <c r="B442" s="1" t="n">
        <v>45048</v>
      </c>
      <c r="C442" s="1" t="n">
        <v>46196</v>
      </c>
      <c r="D442" t="inlineStr">
        <is>
          <t>ÖREBRO LÄN</t>
        </is>
      </c>
      <c r="E442" t="inlineStr">
        <is>
          <t>LINDESBERG</t>
        </is>
      </c>
      <c r="G442" t="n">
        <v>1</v>
      </c>
      <c r="H442" t="n">
        <v>0</v>
      </c>
      <c r="I442" t="n">
        <v>0</v>
      </c>
      <c r="J442" t="n">
        <v>0</v>
      </c>
      <c r="K442" t="n">
        <v>0</v>
      </c>
      <c r="L442" t="n">
        <v>0</v>
      </c>
      <c r="M442" t="n">
        <v>0</v>
      </c>
      <c r="N442" t="n">
        <v>0</v>
      </c>
      <c r="O442" t="n">
        <v>0</v>
      </c>
      <c r="P442" t="n">
        <v>0</v>
      </c>
      <c r="Q442" t="n">
        <v>0</v>
      </c>
      <c r="R442" s="2" t="inlineStr"/>
    </row>
    <row r="443" ht="15" customHeight="1">
      <c r="A443" t="inlineStr">
        <is>
          <t>A 1742-2022</t>
        </is>
      </c>
      <c r="B443" s="1" t="n">
        <v>44574</v>
      </c>
      <c r="C443" s="1" t="n">
        <v>46196</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52928-2024</t>
        </is>
      </c>
      <c r="B444" s="1" t="n">
        <v>45610</v>
      </c>
      <c r="C444" s="1" t="n">
        <v>46196</v>
      </c>
      <c r="D444" t="inlineStr">
        <is>
          <t>ÖREBRO LÄN</t>
        </is>
      </c>
      <c r="E444" t="inlineStr">
        <is>
          <t>LINDESBERG</t>
        </is>
      </c>
      <c r="G444" t="n">
        <v>8.6</v>
      </c>
      <c r="H444" t="n">
        <v>0</v>
      </c>
      <c r="I444" t="n">
        <v>0</v>
      </c>
      <c r="J444" t="n">
        <v>0</v>
      </c>
      <c r="K444" t="n">
        <v>0</v>
      </c>
      <c r="L444" t="n">
        <v>0</v>
      </c>
      <c r="M444" t="n">
        <v>0</v>
      </c>
      <c r="N444" t="n">
        <v>0</v>
      </c>
      <c r="O444" t="n">
        <v>0</v>
      </c>
      <c r="P444" t="n">
        <v>0</v>
      </c>
      <c r="Q444" t="n">
        <v>0</v>
      </c>
      <c r="R444" s="2" t="inlineStr"/>
    </row>
    <row r="445" ht="15" customHeight="1">
      <c r="A445" t="inlineStr">
        <is>
          <t>A 73500-2021</t>
        </is>
      </c>
      <c r="B445" s="1" t="n">
        <v>44551</v>
      </c>
      <c r="C445" s="1" t="n">
        <v>46196</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16864-2022</t>
        </is>
      </c>
      <c r="B446" s="1" t="n">
        <v>44675</v>
      </c>
      <c r="C446" s="1" t="n">
        <v>46196</v>
      </c>
      <c r="D446" t="inlineStr">
        <is>
          <t>ÖREBRO LÄN</t>
        </is>
      </c>
      <c r="E446" t="inlineStr">
        <is>
          <t>LINDESBERG</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50170-2022</t>
        </is>
      </c>
      <c r="B447" s="1" t="n">
        <v>44865</v>
      </c>
      <c r="C447" s="1" t="n">
        <v>46196</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28469-2023</t>
        </is>
      </c>
      <c r="B448" s="1" t="n">
        <v>45103</v>
      </c>
      <c r="C448" s="1" t="n">
        <v>46196</v>
      </c>
      <c r="D448" t="inlineStr">
        <is>
          <t>ÖREBRO LÄN</t>
        </is>
      </c>
      <c r="E448" t="inlineStr">
        <is>
          <t>LINDESBERG</t>
        </is>
      </c>
      <c r="G448" t="n">
        <v>0.3</v>
      </c>
      <c r="H448" t="n">
        <v>0</v>
      </c>
      <c r="I448" t="n">
        <v>0</v>
      </c>
      <c r="J448" t="n">
        <v>0</v>
      </c>
      <c r="K448" t="n">
        <v>0</v>
      </c>
      <c r="L448" t="n">
        <v>0</v>
      </c>
      <c r="M448" t="n">
        <v>0</v>
      </c>
      <c r="N448" t="n">
        <v>0</v>
      </c>
      <c r="O448" t="n">
        <v>0</v>
      </c>
      <c r="P448" t="n">
        <v>0</v>
      </c>
      <c r="Q448" t="n">
        <v>0</v>
      </c>
      <c r="R448" s="2" t="inlineStr"/>
    </row>
    <row r="449" ht="15" customHeight="1">
      <c r="A449" t="inlineStr">
        <is>
          <t>A 72706-2021</t>
        </is>
      </c>
      <c r="B449" s="1" t="n">
        <v>44546</v>
      </c>
      <c r="C449" s="1" t="n">
        <v>46196</v>
      </c>
      <c r="D449" t="inlineStr">
        <is>
          <t>ÖREBRO LÄN</t>
        </is>
      </c>
      <c r="E449" t="inlineStr">
        <is>
          <t>LINDESBERG</t>
        </is>
      </c>
      <c r="G449" t="n">
        <v>1.7</v>
      </c>
      <c r="H449" t="n">
        <v>0</v>
      </c>
      <c r="I449" t="n">
        <v>0</v>
      </c>
      <c r="J449" t="n">
        <v>0</v>
      </c>
      <c r="K449" t="n">
        <v>0</v>
      </c>
      <c r="L449" t="n">
        <v>0</v>
      </c>
      <c r="M449" t="n">
        <v>0</v>
      </c>
      <c r="N449" t="n">
        <v>0</v>
      </c>
      <c r="O449" t="n">
        <v>0</v>
      </c>
      <c r="P449" t="n">
        <v>0</v>
      </c>
      <c r="Q449" t="n">
        <v>0</v>
      </c>
      <c r="R449" s="2" t="inlineStr"/>
    </row>
    <row r="450" ht="15" customHeight="1">
      <c r="A450" t="inlineStr">
        <is>
          <t>A 45481-2023</t>
        </is>
      </c>
      <c r="B450" s="1" t="n">
        <v>45194</v>
      </c>
      <c r="C450" s="1" t="n">
        <v>46196</v>
      </c>
      <c r="D450" t="inlineStr">
        <is>
          <t>ÖREBRO LÄN</t>
        </is>
      </c>
      <c r="E450" t="inlineStr">
        <is>
          <t>LINDESBERG</t>
        </is>
      </c>
      <c r="G450" t="n">
        <v>2.1</v>
      </c>
      <c r="H450" t="n">
        <v>0</v>
      </c>
      <c r="I450" t="n">
        <v>0</v>
      </c>
      <c r="J450" t="n">
        <v>0</v>
      </c>
      <c r="K450" t="n">
        <v>0</v>
      </c>
      <c r="L450" t="n">
        <v>0</v>
      </c>
      <c r="M450" t="n">
        <v>0</v>
      </c>
      <c r="N450" t="n">
        <v>0</v>
      </c>
      <c r="O450" t="n">
        <v>0</v>
      </c>
      <c r="P450" t="n">
        <v>0</v>
      </c>
      <c r="Q450" t="n">
        <v>0</v>
      </c>
      <c r="R450" s="2" t="inlineStr"/>
    </row>
    <row r="451" ht="15" customHeight="1">
      <c r="A451" t="inlineStr">
        <is>
          <t>A 59766-2022</t>
        </is>
      </c>
      <c r="B451" s="1" t="n">
        <v>44908</v>
      </c>
      <c r="C451" s="1" t="n">
        <v>46196</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27013-2024</t>
        </is>
      </c>
      <c r="B452" s="1" t="n">
        <v>45471</v>
      </c>
      <c r="C452" s="1" t="n">
        <v>46196</v>
      </c>
      <c r="D452" t="inlineStr">
        <is>
          <t>ÖREBRO LÄN</t>
        </is>
      </c>
      <c r="E452" t="inlineStr">
        <is>
          <t>LINDESBERG</t>
        </is>
      </c>
      <c r="G452" t="n">
        <v>5.2</v>
      </c>
      <c r="H452" t="n">
        <v>0</v>
      </c>
      <c r="I452" t="n">
        <v>0</v>
      </c>
      <c r="J452" t="n">
        <v>0</v>
      </c>
      <c r="K452" t="n">
        <v>0</v>
      </c>
      <c r="L452" t="n">
        <v>0</v>
      </c>
      <c r="M452" t="n">
        <v>0</v>
      </c>
      <c r="N452" t="n">
        <v>0</v>
      </c>
      <c r="O452" t="n">
        <v>0</v>
      </c>
      <c r="P452" t="n">
        <v>0</v>
      </c>
      <c r="Q452" t="n">
        <v>0</v>
      </c>
      <c r="R452" s="2" t="inlineStr"/>
    </row>
    <row r="453" ht="15" customHeight="1">
      <c r="A453" t="inlineStr">
        <is>
          <t>A 27134-2024</t>
        </is>
      </c>
      <c r="B453" s="1" t="n">
        <v>45471</v>
      </c>
      <c r="C453" s="1" t="n">
        <v>46196</v>
      </c>
      <c r="D453" t="inlineStr">
        <is>
          <t>ÖREBRO LÄN</t>
        </is>
      </c>
      <c r="E453" t="inlineStr">
        <is>
          <t>LINDESBERG</t>
        </is>
      </c>
      <c r="G453" t="n">
        <v>0.7</v>
      </c>
      <c r="H453" t="n">
        <v>0</v>
      </c>
      <c r="I453" t="n">
        <v>0</v>
      </c>
      <c r="J453" t="n">
        <v>0</v>
      </c>
      <c r="K453" t="n">
        <v>0</v>
      </c>
      <c r="L453" t="n">
        <v>0</v>
      </c>
      <c r="M453" t="n">
        <v>0</v>
      </c>
      <c r="N453" t="n">
        <v>0</v>
      </c>
      <c r="O453" t="n">
        <v>0</v>
      </c>
      <c r="P453" t="n">
        <v>0</v>
      </c>
      <c r="Q453" t="n">
        <v>0</v>
      </c>
      <c r="R453" s="2" t="inlineStr"/>
    </row>
    <row r="454" ht="15" customHeight="1">
      <c r="A454" t="inlineStr">
        <is>
          <t>A 20387-2026</t>
        </is>
      </c>
      <c r="B454" s="1" t="n">
        <v>46139</v>
      </c>
      <c r="C454" s="1" t="n">
        <v>46196</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36121-2023</t>
        </is>
      </c>
      <c r="B455" s="1" t="n">
        <v>45148</v>
      </c>
      <c r="C455" s="1" t="n">
        <v>46196</v>
      </c>
      <c r="D455" t="inlineStr">
        <is>
          <t>ÖREBRO LÄN</t>
        </is>
      </c>
      <c r="E455" t="inlineStr">
        <is>
          <t>LINDESBERG</t>
        </is>
      </c>
      <c r="G455" t="n">
        <v>7.1</v>
      </c>
      <c r="H455" t="n">
        <v>0</v>
      </c>
      <c r="I455" t="n">
        <v>0</v>
      </c>
      <c r="J455" t="n">
        <v>0</v>
      </c>
      <c r="K455" t="n">
        <v>0</v>
      </c>
      <c r="L455" t="n">
        <v>0</v>
      </c>
      <c r="M455" t="n">
        <v>0</v>
      </c>
      <c r="N455" t="n">
        <v>0</v>
      </c>
      <c r="O455" t="n">
        <v>0</v>
      </c>
      <c r="P455" t="n">
        <v>0</v>
      </c>
      <c r="Q455" t="n">
        <v>0</v>
      </c>
      <c r="R455" s="2" t="inlineStr"/>
    </row>
    <row r="456" ht="15" customHeight="1">
      <c r="A456" t="inlineStr">
        <is>
          <t>A 36280-2023</t>
        </is>
      </c>
      <c r="B456" s="1" t="n">
        <v>45152</v>
      </c>
      <c r="C456" s="1" t="n">
        <v>46196</v>
      </c>
      <c r="D456" t="inlineStr">
        <is>
          <t>ÖREBRO LÄN</t>
        </is>
      </c>
      <c r="E456" t="inlineStr">
        <is>
          <t>LINDESBERG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44449-2023</t>
        </is>
      </c>
      <c r="B457" s="1" t="n">
        <v>45189</v>
      </c>
      <c r="C457" s="1" t="n">
        <v>46196</v>
      </c>
      <c r="D457" t="inlineStr">
        <is>
          <t>ÖREBRO LÄN</t>
        </is>
      </c>
      <c r="E457" t="inlineStr">
        <is>
          <t>LINDESBERG</t>
        </is>
      </c>
      <c r="G457" t="n">
        <v>13.7</v>
      </c>
      <c r="H457" t="n">
        <v>0</v>
      </c>
      <c r="I457" t="n">
        <v>0</v>
      </c>
      <c r="J457" t="n">
        <v>0</v>
      </c>
      <c r="K457" t="n">
        <v>0</v>
      </c>
      <c r="L457" t="n">
        <v>0</v>
      </c>
      <c r="M457" t="n">
        <v>0</v>
      </c>
      <c r="N457" t="n">
        <v>0</v>
      </c>
      <c r="O457" t="n">
        <v>0</v>
      </c>
      <c r="P457" t="n">
        <v>0</v>
      </c>
      <c r="Q457" t="n">
        <v>0</v>
      </c>
      <c r="R457" s="2" t="inlineStr"/>
    </row>
    <row r="458" ht="15" customHeight="1">
      <c r="A458" t="inlineStr">
        <is>
          <t>A 2103-2022</t>
        </is>
      </c>
      <c r="B458" s="1" t="n">
        <v>44577</v>
      </c>
      <c r="C458" s="1" t="n">
        <v>46196</v>
      </c>
      <c r="D458" t="inlineStr">
        <is>
          <t>ÖREBRO LÄN</t>
        </is>
      </c>
      <c r="E458" t="inlineStr">
        <is>
          <t>LINDESBERG</t>
        </is>
      </c>
      <c r="G458" t="n">
        <v>1.4</v>
      </c>
      <c r="H458" t="n">
        <v>0</v>
      </c>
      <c r="I458" t="n">
        <v>0</v>
      </c>
      <c r="J458" t="n">
        <v>0</v>
      </c>
      <c r="K458" t="n">
        <v>0</v>
      </c>
      <c r="L458" t="n">
        <v>0</v>
      </c>
      <c r="M458" t="n">
        <v>0</v>
      </c>
      <c r="N458" t="n">
        <v>0</v>
      </c>
      <c r="O458" t="n">
        <v>0</v>
      </c>
      <c r="P458" t="n">
        <v>0</v>
      </c>
      <c r="Q458" t="n">
        <v>0</v>
      </c>
      <c r="R458" s="2" t="inlineStr"/>
    </row>
    <row r="459" ht="15" customHeight="1">
      <c r="A459" t="inlineStr">
        <is>
          <t>A 14034-2026</t>
        </is>
      </c>
      <c r="B459" s="1" t="n">
        <v>46098</v>
      </c>
      <c r="C459" s="1" t="n">
        <v>46196</v>
      </c>
      <c r="D459" t="inlineStr">
        <is>
          <t>ÖREBRO LÄN</t>
        </is>
      </c>
      <c r="E459" t="inlineStr">
        <is>
          <t>LINDESBERG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14680-2026</t>
        </is>
      </c>
      <c r="B460" s="1" t="n">
        <v>46101</v>
      </c>
      <c r="C460" s="1" t="n">
        <v>46196</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33424-2024</t>
        </is>
      </c>
      <c r="B461" s="1" t="n">
        <v>45519</v>
      </c>
      <c r="C461" s="1" t="n">
        <v>46196</v>
      </c>
      <c r="D461" t="inlineStr">
        <is>
          <t>ÖREBRO LÄN</t>
        </is>
      </c>
      <c r="E461" t="inlineStr">
        <is>
          <t>LINDESBERG</t>
        </is>
      </c>
      <c r="F461" t="inlineStr">
        <is>
          <t>Sveaskog</t>
        </is>
      </c>
      <c r="G461" t="n">
        <v>0.1</v>
      </c>
      <c r="H461" t="n">
        <v>0</v>
      </c>
      <c r="I461" t="n">
        <v>0</v>
      </c>
      <c r="J461" t="n">
        <v>0</v>
      </c>
      <c r="K461" t="n">
        <v>0</v>
      </c>
      <c r="L461" t="n">
        <v>0</v>
      </c>
      <c r="M461" t="n">
        <v>0</v>
      </c>
      <c r="N461" t="n">
        <v>0</v>
      </c>
      <c r="O461" t="n">
        <v>0</v>
      </c>
      <c r="P461" t="n">
        <v>0</v>
      </c>
      <c r="Q461" t="n">
        <v>0</v>
      </c>
      <c r="R461" s="2" t="inlineStr"/>
    </row>
    <row r="462" ht="15" customHeight="1">
      <c r="A462" t="inlineStr">
        <is>
          <t>A 16092-2026</t>
        </is>
      </c>
      <c r="B462" s="1" t="n">
        <v>46108</v>
      </c>
      <c r="C462" s="1" t="n">
        <v>46196</v>
      </c>
      <c r="D462" t="inlineStr">
        <is>
          <t>ÖREBRO LÄN</t>
        </is>
      </c>
      <c r="E462" t="inlineStr">
        <is>
          <t>LINDESBERG</t>
        </is>
      </c>
      <c r="G462" t="n">
        <v>2.3</v>
      </c>
      <c r="H462" t="n">
        <v>0</v>
      </c>
      <c r="I462" t="n">
        <v>0</v>
      </c>
      <c r="J462" t="n">
        <v>0</v>
      </c>
      <c r="K462" t="n">
        <v>0</v>
      </c>
      <c r="L462" t="n">
        <v>0</v>
      </c>
      <c r="M462" t="n">
        <v>0</v>
      </c>
      <c r="N462" t="n">
        <v>0</v>
      </c>
      <c r="O462" t="n">
        <v>0</v>
      </c>
      <c r="P462" t="n">
        <v>0</v>
      </c>
      <c r="Q462" t="n">
        <v>0</v>
      </c>
      <c r="R462" s="2" t="inlineStr"/>
    </row>
    <row r="463" ht="15" customHeight="1">
      <c r="A463" t="inlineStr">
        <is>
          <t>A 57911-2022</t>
        </is>
      </c>
      <c r="B463" s="1" t="n">
        <v>44900</v>
      </c>
      <c r="C463" s="1" t="n">
        <v>46196</v>
      </c>
      <c r="D463" t="inlineStr">
        <is>
          <t>ÖREBRO LÄN</t>
        </is>
      </c>
      <c r="E463" t="inlineStr">
        <is>
          <t>LINDESBERG</t>
        </is>
      </c>
      <c r="G463" t="n">
        <v>4.9</v>
      </c>
      <c r="H463" t="n">
        <v>0</v>
      </c>
      <c r="I463" t="n">
        <v>0</v>
      </c>
      <c r="J463" t="n">
        <v>0</v>
      </c>
      <c r="K463" t="n">
        <v>0</v>
      </c>
      <c r="L463" t="n">
        <v>0</v>
      </c>
      <c r="M463" t="n">
        <v>0</v>
      </c>
      <c r="N463" t="n">
        <v>0</v>
      </c>
      <c r="O463" t="n">
        <v>0</v>
      </c>
      <c r="P463" t="n">
        <v>0</v>
      </c>
      <c r="Q463" t="n">
        <v>0</v>
      </c>
      <c r="R463" s="2" t="inlineStr"/>
    </row>
    <row r="464" ht="15" customHeight="1">
      <c r="A464" t="inlineStr">
        <is>
          <t>A 16090-2026</t>
        </is>
      </c>
      <c r="B464" s="1" t="n">
        <v>46108</v>
      </c>
      <c r="C464" s="1" t="n">
        <v>46196</v>
      </c>
      <c r="D464" t="inlineStr">
        <is>
          <t>ÖREBRO LÄN</t>
        </is>
      </c>
      <c r="E464" t="inlineStr">
        <is>
          <t>LINDESBERG</t>
        </is>
      </c>
      <c r="G464" t="n">
        <v>4</v>
      </c>
      <c r="H464" t="n">
        <v>0</v>
      </c>
      <c r="I464" t="n">
        <v>0</v>
      </c>
      <c r="J464" t="n">
        <v>0</v>
      </c>
      <c r="K464" t="n">
        <v>0</v>
      </c>
      <c r="L464" t="n">
        <v>0</v>
      </c>
      <c r="M464" t="n">
        <v>0</v>
      </c>
      <c r="N464" t="n">
        <v>0</v>
      </c>
      <c r="O464" t="n">
        <v>0</v>
      </c>
      <c r="P464" t="n">
        <v>0</v>
      </c>
      <c r="Q464" t="n">
        <v>0</v>
      </c>
      <c r="R464" s="2" t="inlineStr"/>
    </row>
    <row r="465" ht="15" customHeight="1">
      <c r="A465" t="inlineStr">
        <is>
          <t>A 16094-2026</t>
        </is>
      </c>
      <c r="B465" s="1" t="n">
        <v>46108</v>
      </c>
      <c r="C465" s="1" t="n">
        <v>46196</v>
      </c>
      <c r="D465" t="inlineStr">
        <is>
          <t>ÖREBRO LÄN</t>
        </is>
      </c>
      <c r="E465" t="inlineStr">
        <is>
          <t>LINDESBERG</t>
        </is>
      </c>
      <c r="G465" t="n">
        <v>3.9</v>
      </c>
      <c r="H465" t="n">
        <v>0</v>
      </c>
      <c r="I465" t="n">
        <v>0</v>
      </c>
      <c r="J465" t="n">
        <v>0</v>
      </c>
      <c r="K465" t="n">
        <v>0</v>
      </c>
      <c r="L465" t="n">
        <v>0</v>
      </c>
      <c r="M465" t="n">
        <v>0</v>
      </c>
      <c r="N465" t="n">
        <v>0</v>
      </c>
      <c r="O465" t="n">
        <v>0</v>
      </c>
      <c r="P465" t="n">
        <v>0</v>
      </c>
      <c r="Q465" t="n">
        <v>0</v>
      </c>
      <c r="R465" s="2" t="inlineStr"/>
    </row>
    <row r="466" ht="15" customHeight="1">
      <c r="A466" t="inlineStr">
        <is>
          <t>A 28032-2023</t>
        </is>
      </c>
      <c r="B466" s="1" t="n">
        <v>45099</v>
      </c>
      <c r="C466" s="1" t="n">
        <v>46196</v>
      </c>
      <c r="D466" t="inlineStr">
        <is>
          <t>ÖREBRO LÄN</t>
        </is>
      </c>
      <c r="E466" t="inlineStr">
        <is>
          <t>LINDESBERG</t>
        </is>
      </c>
      <c r="F466" t="inlineStr">
        <is>
          <t>Kyrkan</t>
        </is>
      </c>
      <c r="G466" t="n">
        <v>0.7</v>
      </c>
      <c r="H466" t="n">
        <v>0</v>
      </c>
      <c r="I466" t="n">
        <v>0</v>
      </c>
      <c r="J466" t="n">
        <v>0</v>
      </c>
      <c r="K466" t="n">
        <v>0</v>
      </c>
      <c r="L466" t="n">
        <v>0</v>
      </c>
      <c r="M466" t="n">
        <v>0</v>
      </c>
      <c r="N466" t="n">
        <v>0</v>
      </c>
      <c r="O466" t="n">
        <v>0</v>
      </c>
      <c r="P466" t="n">
        <v>0</v>
      </c>
      <c r="Q466" t="n">
        <v>0</v>
      </c>
      <c r="R466" s="2" t="inlineStr"/>
    </row>
    <row r="467" ht="15" customHeight="1">
      <c r="A467" t="inlineStr">
        <is>
          <t>A 62608-2021</t>
        </is>
      </c>
      <c r="B467" s="1" t="n">
        <v>44503</v>
      </c>
      <c r="C467" s="1" t="n">
        <v>46196</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17010-2026</t>
        </is>
      </c>
      <c r="B468" s="1" t="n">
        <v>46114</v>
      </c>
      <c r="C468" s="1" t="n">
        <v>46196</v>
      </c>
      <c r="D468" t="inlineStr">
        <is>
          <t>ÖREBRO LÄN</t>
        </is>
      </c>
      <c r="E468" t="inlineStr">
        <is>
          <t>LINDESBERG</t>
        </is>
      </c>
      <c r="G468" t="n">
        <v>3.7</v>
      </c>
      <c r="H468" t="n">
        <v>0</v>
      </c>
      <c r="I468" t="n">
        <v>0</v>
      </c>
      <c r="J468" t="n">
        <v>0</v>
      </c>
      <c r="K468" t="n">
        <v>0</v>
      </c>
      <c r="L468" t="n">
        <v>0</v>
      </c>
      <c r="M468" t="n">
        <v>0</v>
      </c>
      <c r="N468" t="n">
        <v>0</v>
      </c>
      <c r="O468" t="n">
        <v>0</v>
      </c>
      <c r="P468" t="n">
        <v>0</v>
      </c>
      <c r="Q468" t="n">
        <v>0</v>
      </c>
      <c r="R468" s="2" t="inlineStr"/>
    </row>
    <row r="469" ht="15" customHeight="1">
      <c r="A469" t="inlineStr">
        <is>
          <t>A 73860-2021</t>
        </is>
      </c>
      <c r="B469" s="1" t="n">
        <v>44553</v>
      </c>
      <c r="C469" s="1" t="n">
        <v>46196</v>
      </c>
      <c r="D469" t="inlineStr">
        <is>
          <t>ÖREBRO LÄN</t>
        </is>
      </c>
      <c r="E469" t="inlineStr">
        <is>
          <t>LINDESBERG</t>
        </is>
      </c>
      <c r="G469" t="n">
        <v>12.7</v>
      </c>
      <c r="H469" t="n">
        <v>0</v>
      </c>
      <c r="I469" t="n">
        <v>0</v>
      </c>
      <c r="J469" t="n">
        <v>0</v>
      </c>
      <c r="K469" t="n">
        <v>0</v>
      </c>
      <c r="L469" t="n">
        <v>0</v>
      </c>
      <c r="M469" t="n">
        <v>0</v>
      </c>
      <c r="N469" t="n">
        <v>0</v>
      </c>
      <c r="O469" t="n">
        <v>0</v>
      </c>
      <c r="P469" t="n">
        <v>0</v>
      </c>
      <c r="Q469" t="n">
        <v>0</v>
      </c>
      <c r="R469" s="2" t="inlineStr"/>
    </row>
    <row r="470" ht="15" customHeight="1">
      <c r="A470" t="inlineStr">
        <is>
          <t>A 3803-2023</t>
        </is>
      </c>
      <c r="B470" s="1" t="n">
        <v>44951</v>
      </c>
      <c r="C470" s="1" t="n">
        <v>46196</v>
      </c>
      <c r="D470" t="inlineStr">
        <is>
          <t>ÖREBRO LÄN</t>
        </is>
      </c>
      <c r="E470" t="inlineStr">
        <is>
          <t>LINDESBERG</t>
        </is>
      </c>
      <c r="G470" t="n">
        <v>0.9</v>
      </c>
      <c r="H470" t="n">
        <v>0</v>
      </c>
      <c r="I470" t="n">
        <v>0</v>
      </c>
      <c r="J470" t="n">
        <v>0</v>
      </c>
      <c r="K470" t="n">
        <v>0</v>
      </c>
      <c r="L470" t="n">
        <v>0</v>
      </c>
      <c r="M470" t="n">
        <v>0</v>
      </c>
      <c r="N470" t="n">
        <v>0</v>
      </c>
      <c r="O470" t="n">
        <v>0</v>
      </c>
      <c r="P470" t="n">
        <v>0</v>
      </c>
      <c r="Q470" t="n">
        <v>0</v>
      </c>
      <c r="R470" s="2" t="inlineStr"/>
    </row>
    <row r="471" ht="15" customHeight="1">
      <c r="A471" t="inlineStr">
        <is>
          <t>A 16812-2026</t>
        </is>
      </c>
      <c r="B471" s="1" t="n">
        <v>46113</v>
      </c>
      <c r="C471" s="1" t="n">
        <v>46196</v>
      </c>
      <c r="D471" t="inlineStr">
        <is>
          <t>ÖREBRO LÄN</t>
        </is>
      </c>
      <c r="E471" t="inlineStr">
        <is>
          <t>LINDESBERG</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17013-2026</t>
        </is>
      </c>
      <c r="B472" s="1" t="n">
        <v>46114</v>
      </c>
      <c r="C472" s="1" t="n">
        <v>46196</v>
      </c>
      <c r="D472" t="inlineStr">
        <is>
          <t>ÖREBRO LÄN</t>
        </is>
      </c>
      <c r="E472" t="inlineStr">
        <is>
          <t>LINDESBERG</t>
        </is>
      </c>
      <c r="G472" t="n">
        <v>1.3</v>
      </c>
      <c r="H472" t="n">
        <v>0</v>
      </c>
      <c r="I472" t="n">
        <v>0</v>
      </c>
      <c r="J472" t="n">
        <v>0</v>
      </c>
      <c r="K472" t="n">
        <v>0</v>
      </c>
      <c r="L472" t="n">
        <v>0</v>
      </c>
      <c r="M472" t="n">
        <v>0</v>
      </c>
      <c r="N472" t="n">
        <v>0</v>
      </c>
      <c r="O472" t="n">
        <v>0</v>
      </c>
      <c r="P472" t="n">
        <v>0</v>
      </c>
      <c r="Q472" t="n">
        <v>0</v>
      </c>
      <c r="R472" s="2" t="inlineStr"/>
    </row>
    <row r="473" ht="15" customHeight="1">
      <c r="A473" t="inlineStr">
        <is>
          <t>A 33507-2023</t>
        </is>
      </c>
      <c r="B473" s="1" t="n">
        <v>45131</v>
      </c>
      <c r="C473" s="1" t="n">
        <v>46196</v>
      </c>
      <c r="D473" t="inlineStr">
        <is>
          <t>ÖREBRO LÄN</t>
        </is>
      </c>
      <c r="E473" t="inlineStr">
        <is>
          <t>LINDESBERG</t>
        </is>
      </c>
      <c r="G473" t="n">
        <v>3.2</v>
      </c>
      <c r="H473" t="n">
        <v>0</v>
      </c>
      <c r="I473" t="n">
        <v>0</v>
      </c>
      <c r="J473" t="n">
        <v>0</v>
      </c>
      <c r="K473" t="n">
        <v>0</v>
      </c>
      <c r="L473" t="n">
        <v>0</v>
      </c>
      <c r="M473" t="n">
        <v>0</v>
      </c>
      <c r="N473" t="n">
        <v>0</v>
      </c>
      <c r="O473" t="n">
        <v>0</v>
      </c>
      <c r="P473" t="n">
        <v>0</v>
      </c>
      <c r="Q473" t="n">
        <v>0</v>
      </c>
      <c r="R473" s="2" t="inlineStr"/>
    </row>
    <row r="474" ht="15" customHeight="1">
      <c r="A474" t="inlineStr">
        <is>
          <t>A 24030-2023</t>
        </is>
      </c>
      <c r="B474" s="1" t="n">
        <v>45078</v>
      </c>
      <c r="C474" s="1" t="n">
        <v>46196</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22745-2026</t>
        </is>
      </c>
      <c r="B475" s="1" t="n">
        <v>46157</v>
      </c>
      <c r="C475" s="1" t="n">
        <v>46196</v>
      </c>
      <c r="D475" t="inlineStr">
        <is>
          <t>ÖREBRO LÄN</t>
        </is>
      </c>
      <c r="E475" t="inlineStr">
        <is>
          <t>LINDESBERG</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22752-2026</t>
        </is>
      </c>
      <c r="B476" s="1" t="n">
        <v>46157</v>
      </c>
      <c r="C476" s="1" t="n">
        <v>46196</v>
      </c>
      <c r="D476" t="inlineStr">
        <is>
          <t>ÖREBRO LÄN</t>
        </is>
      </c>
      <c r="E476" t="inlineStr">
        <is>
          <t>LINDESBERG</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22748-2026</t>
        </is>
      </c>
      <c r="B477" s="1" t="n">
        <v>46157</v>
      </c>
      <c r="C477" s="1" t="n">
        <v>46196</v>
      </c>
      <c r="D477" t="inlineStr">
        <is>
          <t>ÖREBRO LÄN</t>
        </is>
      </c>
      <c r="E477" t="inlineStr">
        <is>
          <t>LINDESBERG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17158-2026</t>
        </is>
      </c>
      <c r="B478" s="1" t="n">
        <v>46115</v>
      </c>
      <c r="C478" s="1" t="n">
        <v>46196</v>
      </c>
      <c r="D478" t="inlineStr">
        <is>
          <t>ÖREBRO LÄN</t>
        </is>
      </c>
      <c r="E478" t="inlineStr">
        <is>
          <t>LINDESBERG</t>
        </is>
      </c>
      <c r="G478" t="n">
        <v>7.8</v>
      </c>
      <c r="H478" t="n">
        <v>0</v>
      </c>
      <c r="I478" t="n">
        <v>0</v>
      </c>
      <c r="J478" t="n">
        <v>0</v>
      </c>
      <c r="K478" t="n">
        <v>0</v>
      </c>
      <c r="L478" t="n">
        <v>0</v>
      </c>
      <c r="M478" t="n">
        <v>0</v>
      </c>
      <c r="N478" t="n">
        <v>0</v>
      </c>
      <c r="O478" t="n">
        <v>0</v>
      </c>
      <c r="P478" t="n">
        <v>0</v>
      </c>
      <c r="Q478" t="n">
        <v>0</v>
      </c>
      <c r="R478" s="2" t="inlineStr"/>
    </row>
    <row r="479" ht="15" customHeight="1">
      <c r="A479" t="inlineStr">
        <is>
          <t>A 22861-2026</t>
        </is>
      </c>
      <c r="B479" s="1" t="n">
        <v>46160</v>
      </c>
      <c r="C479" s="1" t="n">
        <v>46196</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22862-2026</t>
        </is>
      </c>
      <c r="B480" s="1" t="n">
        <v>46160</v>
      </c>
      <c r="C480" s="1" t="n">
        <v>46196</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17154-2026</t>
        </is>
      </c>
      <c r="B481" s="1" t="n">
        <v>46115</v>
      </c>
      <c r="C481" s="1" t="n">
        <v>46196</v>
      </c>
      <c r="D481" t="inlineStr">
        <is>
          <t>ÖREBRO LÄN</t>
        </is>
      </c>
      <c r="E481" t="inlineStr">
        <is>
          <t>LINDESBERG</t>
        </is>
      </c>
      <c r="G481" t="n">
        <v>1</v>
      </c>
      <c r="H481" t="n">
        <v>0</v>
      </c>
      <c r="I481" t="n">
        <v>0</v>
      </c>
      <c r="J481" t="n">
        <v>0</v>
      </c>
      <c r="K481" t="n">
        <v>0</v>
      </c>
      <c r="L481" t="n">
        <v>0</v>
      </c>
      <c r="M481" t="n">
        <v>0</v>
      </c>
      <c r="N481" t="n">
        <v>0</v>
      </c>
      <c r="O481" t="n">
        <v>0</v>
      </c>
      <c r="P481" t="n">
        <v>0</v>
      </c>
      <c r="Q481" t="n">
        <v>0</v>
      </c>
      <c r="R481" s="2" t="inlineStr"/>
    </row>
    <row r="482" ht="15" customHeight="1">
      <c r="A482" t="inlineStr">
        <is>
          <t>A 17157-2026</t>
        </is>
      </c>
      <c r="B482" s="1" t="n">
        <v>46115</v>
      </c>
      <c r="C482" s="1" t="n">
        <v>46196</v>
      </c>
      <c r="D482" t="inlineStr">
        <is>
          <t>ÖREBRO LÄN</t>
        </is>
      </c>
      <c r="E482" t="inlineStr">
        <is>
          <t>LINDESBERG</t>
        </is>
      </c>
      <c r="G482" t="n">
        <v>1.2</v>
      </c>
      <c r="H482" t="n">
        <v>0</v>
      </c>
      <c r="I482" t="n">
        <v>0</v>
      </c>
      <c r="J482" t="n">
        <v>0</v>
      </c>
      <c r="K482" t="n">
        <v>0</v>
      </c>
      <c r="L482" t="n">
        <v>0</v>
      </c>
      <c r="M482" t="n">
        <v>0</v>
      </c>
      <c r="N482" t="n">
        <v>0</v>
      </c>
      <c r="O482" t="n">
        <v>0</v>
      </c>
      <c r="P482" t="n">
        <v>0</v>
      </c>
      <c r="Q482" t="n">
        <v>0</v>
      </c>
      <c r="R482" s="2" t="inlineStr"/>
    </row>
    <row r="483" ht="15" customHeight="1">
      <c r="A483" t="inlineStr">
        <is>
          <t>A 17159-2026</t>
        </is>
      </c>
      <c r="B483" s="1" t="n">
        <v>46115</v>
      </c>
      <c r="C483" s="1" t="n">
        <v>46196</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17155-2026</t>
        </is>
      </c>
      <c r="B484" s="1" t="n">
        <v>46115</v>
      </c>
      <c r="C484" s="1" t="n">
        <v>46196</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17156-2026</t>
        </is>
      </c>
      <c r="B485" s="1" t="n">
        <v>46115</v>
      </c>
      <c r="C485" s="1" t="n">
        <v>46196</v>
      </c>
      <c r="D485" t="inlineStr">
        <is>
          <t>ÖREBRO LÄN</t>
        </is>
      </c>
      <c r="E485" t="inlineStr">
        <is>
          <t>LINDESBERG</t>
        </is>
      </c>
      <c r="G485" t="n">
        <v>2.2</v>
      </c>
      <c r="H485" t="n">
        <v>0</v>
      </c>
      <c r="I485" t="n">
        <v>0</v>
      </c>
      <c r="J485" t="n">
        <v>0</v>
      </c>
      <c r="K485" t="n">
        <v>0</v>
      </c>
      <c r="L485" t="n">
        <v>0</v>
      </c>
      <c r="M485" t="n">
        <v>0</v>
      </c>
      <c r="N485" t="n">
        <v>0</v>
      </c>
      <c r="O485" t="n">
        <v>0</v>
      </c>
      <c r="P485" t="n">
        <v>0</v>
      </c>
      <c r="Q485" t="n">
        <v>0</v>
      </c>
      <c r="R485" s="2" t="inlineStr"/>
    </row>
    <row r="486" ht="15" customHeight="1">
      <c r="A486" t="inlineStr">
        <is>
          <t>A 17161-2026</t>
        </is>
      </c>
      <c r="B486" s="1" t="n">
        <v>46115</v>
      </c>
      <c r="C486" s="1" t="n">
        <v>46196</v>
      </c>
      <c r="D486" t="inlineStr">
        <is>
          <t>ÖREBRO LÄN</t>
        </is>
      </c>
      <c r="E486" t="inlineStr">
        <is>
          <t>LINDESBERG</t>
        </is>
      </c>
      <c r="G486" t="n">
        <v>3.3</v>
      </c>
      <c r="H486" t="n">
        <v>0</v>
      </c>
      <c r="I486" t="n">
        <v>0</v>
      </c>
      <c r="J486" t="n">
        <v>0</v>
      </c>
      <c r="K486" t="n">
        <v>0</v>
      </c>
      <c r="L486" t="n">
        <v>0</v>
      </c>
      <c r="M486" t="n">
        <v>0</v>
      </c>
      <c r="N486" t="n">
        <v>0</v>
      </c>
      <c r="O486" t="n">
        <v>0</v>
      </c>
      <c r="P486" t="n">
        <v>0</v>
      </c>
      <c r="Q486" t="n">
        <v>0</v>
      </c>
      <c r="R486" s="2" t="inlineStr"/>
    </row>
    <row r="487" ht="15" customHeight="1">
      <c r="A487" t="inlineStr">
        <is>
          <t>A 17162-2026</t>
        </is>
      </c>
      <c r="B487" s="1" t="n">
        <v>46115</v>
      </c>
      <c r="C487" s="1" t="n">
        <v>46196</v>
      </c>
      <c r="D487" t="inlineStr">
        <is>
          <t>ÖREBRO LÄN</t>
        </is>
      </c>
      <c r="E487" t="inlineStr">
        <is>
          <t>LINDESBERG</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23187-2026</t>
        </is>
      </c>
      <c r="B488" s="1" t="n">
        <v>46161</v>
      </c>
      <c r="C488" s="1" t="n">
        <v>46196</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23174-2026</t>
        </is>
      </c>
      <c r="B489" s="1" t="n">
        <v>46161</v>
      </c>
      <c r="C489" s="1" t="n">
        <v>46196</v>
      </c>
      <c r="D489" t="inlineStr">
        <is>
          <t>ÖREBRO LÄN</t>
        </is>
      </c>
      <c r="E489" t="inlineStr">
        <is>
          <t>LINDESBERG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23393-2026</t>
        </is>
      </c>
      <c r="B490" s="1" t="n">
        <v>46162</v>
      </c>
      <c r="C490" s="1" t="n">
        <v>46196</v>
      </c>
      <c r="D490" t="inlineStr">
        <is>
          <t>ÖREBRO LÄN</t>
        </is>
      </c>
      <c r="E490" t="inlineStr">
        <is>
          <t>LINDESBERG</t>
        </is>
      </c>
      <c r="F490" t="inlineStr">
        <is>
          <t>Naturvårdsverket</t>
        </is>
      </c>
      <c r="G490" t="n">
        <v>1.9</v>
      </c>
      <c r="H490" t="n">
        <v>0</v>
      </c>
      <c r="I490" t="n">
        <v>0</v>
      </c>
      <c r="J490" t="n">
        <v>0</v>
      </c>
      <c r="K490" t="n">
        <v>0</v>
      </c>
      <c r="L490" t="n">
        <v>0</v>
      </c>
      <c r="M490" t="n">
        <v>0</v>
      </c>
      <c r="N490" t="n">
        <v>0</v>
      </c>
      <c r="O490" t="n">
        <v>0</v>
      </c>
      <c r="P490" t="n">
        <v>0</v>
      </c>
      <c r="Q490" t="n">
        <v>0</v>
      </c>
      <c r="R490" s="2" t="inlineStr"/>
    </row>
    <row r="491" ht="15" customHeight="1">
      <c r="A491" t="inlineStr">
        <is>
          <t>A 23181-2026</t>
        </is>
      </c>
      <c r="B491" s="1" t="n">
        <v>46161</v>
      </c>
      <c r="C491" s="1" t="n">
        <v>46196</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23184-2026</t>
        </is>
      </c>
      <c r="B492" s="1" t="n">
        <v>46161</v>
      </c>
      <c r="C492" s="1" t="n">
        <v>46196</v>
      </c>
      <c r="D492" t="inlineStr">
        <is>
          <t>ÖREBRO LÄN</t>
        </is>
      </c>
      <c r="E492" t="inlineStr">
        <is>
          <t>LINDESBERG</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23190-2026</t>
        </is>
      </c>
      <c r="B493" s="1" t="n">
        <v>46161</v>
      </c>
      <c r="C493" s="1" t="n">
        <v>46196</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23191-2026</t>
        </is>
      </c>
      <c r="B494" s="1" t="n">
        <v>46161</v>
      </c>
      <c r="C494" s="1" t="n">
        <v>46196</v>
      </c>
      <c r="D494" t="inlineStr">
        <is>
          <t>ÖREBRO LÄN</t>
        </is>
      </c>
      <c r="E494" t="inlineStr">
        <is>
          <t>LINDESBERG</t>
        </is>
      </c>
      <c r="F494" t="inlineStr">
        <is>
          <t>Sveaskog</t>
        </is>
      </c>
      <c r="G494" t="n">
        <v>1.8</v>
      </c>
      <c r="H494" t="n">
        <v>0</v>
      </c>
      <c r="I494" t="n">
        <v>0</v>
      </c>
      <c r="J494" t="n">
        <v>0</v>
      </c>
      <c r="K494" t="n">
        <v>0</v>
      </c>
      <c r="L494" t="n">
        <v>0</v>
      </c>
      <c r="M494" t="n">
        <v>0</v>
      </c>
      <c r="N494" t="n">
        <v>0</v>
      </c>
      <c r="O494" t="n">
        <v>0</v>
      </c>
      <c r="P494" t="n">
        <v>0</v>
      </c>
      <c r="Q494" t="n">
        <v>0</v>
      </c>
      <c r="R494" s="2" t="inlineStr"/>
    </row>
    <row r="495" ht="15" customHeight="1">
      <c r="A495" t="inlineStr">
        <is>
          <t>A 23338-2026</t>
        </is>
      </c>
      <c r="B495" s="1" t="n">
        <v>46162</v>
      </c>
      <c r="C495" s="1" t="n">
        <v>46196</v>
      </c>
      <c r="D495" t="inlineStr">
        <is>
          <t>ÖREBRO LÄN</t>
        </is>
      </c>
      <c r="E495" t="inlineStr">
        <is>
          <t>LINDESBERG</t>
        </is>
      </c>
      <c r="F495" t="inlineStr">
        <is>
          <t>Naturvårdsverket</t>
        </is>
      </c>
      <c r="G495" t="n">
        <v>2.2</v>
      </c>
      <c r="H495" t="n">
        <v>0</v>
      </c>
      <c r="I495" t="n">
        <v>0</v>
      </c>
      <c r="J495" t="n">
        <v>0</v>
      </c>
      <c r="K495" t="n">
        <v>0</v>
      </c>
      <c r="L495" t="n">
        <v>0</v>
      </c>
      <c r="M495" t="n">
        <v>0</v>
      </c>
      <c r="N495" t="n">
        <v>0</v>
      </c>
      <c r="O495" t="n">
        <v>0</v>
      </c>
      <c r="P495" t="n">
        <v>0</v>
      </c>
      <c r="Q495" t="n">
        <v>0</v>
      </c>
      <c r="R495" s="2" t="inlineStr"/>
    </row>
    <row r="496" ht="15" customHeight="1">
      <c r="A496" t="inlineStr">
        <is>
          <t>A 23173-2026</t>
        </is>
      </c>
      <c r="B496" s="1" t="n">
        <v>46161</v>
      </c>
      <c r="C496" s="1" t="n">
        <v>46196</v>
      </c>
      <c r="D496" t="inlineStr">
        <is>
          <t>ÖREBRO LÄN</t>
        </is>
      </c>
      <c r="E496" t="inlineStr">
        <is>
          <t>LINDESBERG</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23180-2026</t>
        </is>
      </c>
      <c r="B497" s="1" t="n">
        <v>46161</v>
      </c>
      <c r="C497" s="1" t="n">
        <v>46196</v>
      </c>
      <c r="D497" t="inlineStr">
        <is>
          <t>ÖREBRO LÄN</t>
        </is>
      </c>
      <c r="E497" t="inlineStr">
        <is>
          <t>LINDESBERG</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23175-2026</t>
        </is>
      </c>
      <c r="B498" s="1" t="n">
        <v>46161</v>
      </c>
      <c r="C498" s="1" t="n">
        <v>46196</v>
      </c>
      <c r="D498" t="inlineStr">
        <is>
          <t>ÖREBRO LÄN</t>
        </is>
      </c>
      <c r="E498" t="inlineStr">
        <is>
          <t>LINDESBERG</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23177-2026</t>
        </is>
      </c>
      <c r="B499" s="1" t="n">
        <v>46161</v>
      </c>
      <c r="C499" s="1" t="n">
        <v>46196</v>
      </c>
      <c r="D499" t="inlineStr">
        <is>
          <t>ÖREBRO LÄN</t>
        </is>
      </c>
      <c r="E499" t="inlineStr">
        <is>
          <t>LINDESBERG</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23188-2026</t>
        </is>
      </c>
      <c r="B500" s="1" t="n">
        <v>46161</v>
      </c>
      <c r="C500" s="1" t="n">
        <v>46196</v>
      </c>
      <c r="D500" t="inlineStr">
        <is>
          <t>ÖREBRO LÄN</t>
        </is>
      </c>
      <c r="E500" t="inlineStr">
        <is>
          <t>LINDESBERG</t>
        </is>
      </c>
      <c r="F500" t="inlineStr">
        <is>
          <t>Sveaskog</t>
        </is>
      </c>
      <c r="G500" t="n">
        <v>0.4</v>
      </c>
      <c r="H500" t="n">
        <v>0</v>
      </c>
      <c r="I500" t="n">
        <v>0</v>
      </c>
      <c r="J500" t="n">
        <v>0</v>
      </c>
      <c r="K500" t="n">
        <v>0</v>
      </c>
      <c r="L500" t="n">
        <v>0</v>
      </c>
      <c r="M500" t="n">
        <v>0</v>
      </c>
      <c r="N500" t="n">
        <v>0</v>
      </c>
      <c r="O500" t="n">
        <v>0</v>
      </c>
      <c r="P500" t="n">
        <v>0</v>
      </c>
      <c r="Q500" t="n">
        <v>0</v>
      </c>
      <c r="R500" s="2" t="inlineStr"/>
    </row>
    <row r="501" ht="15" customHeight="1">
      <c r="A501" t="inlineStr">
        <is>
          <t>A 17663-2026</t>
        </is>
      </c>
      <c r="B501" s="1" t="n">
        <v>46121</v>
      </c>
      <c r="C501" s="1" t="n">
        <v>46196</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23910-2026</t>
        </is>
      </c>
      <c r="B502" s="1" t="n">
        <v>46167</v>
      </c>
      <c r="C502" s="1" t="n">
        <v>46196</v>
      </c>
      <c r="D502" t="inlineStr">
        <is>
          <t>ÖREBRO LÄN</t>
        </is>
      </c>
      <c r="E502" t="inlineStr">
        <is>
          <t>LINDESBERG</t>
        </is>
      </c>
      <c r="F502" t="inlineStr">
        <is>
          <t>Naturvårdsverket</t>
        </is>
      </c>
      <c r="G502" t="n">
        <v>2.7</v>
      </c>
      <c r="H502" t="n">
        <v>0</v>
      </c>
      <c r="I502" t="n">
        <v>0</v>
      </c>
      <c r="J502" t="n">
        <v>0</v>
      </c>
      <c r="K502" t="n">
        <v>0</v>
      </c>
      <c r="L502" t="n">
        <v>0</v>
      </c>
      <c r="M502" t="n">
        <v>0</v>
      </c>
      <c r="N502" t="n">
        <v>0</v>
      </c>
      <c r="O502" t="n">
        <v>0</v>
      </c>
      <c r="P502" t="n">
        <v>0</v>
      </c>
      <c r="Q502" t="n">
        <v>0</v>
      </c>
      <c r="R502" s="2" t="inlineStr"/>
    </row>
    <row r="503" ht="15" customHeight="1">
      <c r="A503" t="inlineStr">
        <is>
          <t>A 18220-2026</t>
        </is>
      </c>
      <c r="B503" s="1" t="n">
        <v>46126</v>
      </c>
      <c r="C503" s="1" t="n">
        <v>46196</v>
      </c>
      <c r="D503" t="inlineStr">
        <is>
          <t>ÖREBRO LÄN</t>
        </is>
      </c>
      <c r="E503" t="inlineStr">
        <is>
          <t>LINDESBERG</t>
        </is>
      </c>
      <c r="G503" t="n">
        <v>5.7</v>
      </c>
      <c r="H503" t="n">
        <v>0</v>
      </c>
      <c r="I503" t="n">
        <v>0</v>
      </c>
      <c r="J503" t="n">
        <v>0</v>
      </c>
      <c r="K503" t="n">
        <v>0</v>
      </c>
      <c r="L503" t="n">
        <v>0</v>
      </c>
      <c r="M503" t="n">
        <v>0</v>
      </c>
      <c r="N503" t="n">
        <v>0</v>
      </c>
      <c r="O503" t="n">
        <v>0</v>
      </c>
      <c r="P503" t="n">
        <v>0</v>
      </c>
      <c r="Q503" t="n">
        <v>0</v>
      </c>
      <c r="R503" s="2" t="inlineStr"/>
    </row>
    <row r="504" ht="15" customHeight="1">
      <c r="A504" t="inlineStr">
        <is>
          <t>A 23912-2026</t>
        </is>
      </c>
      <c r="B504" s="1" t="n">
        <v>46167</v>
      </c>
      <c r="C504" s="1" t="n">
        <v>46196</v>
      </c>
      <c r="D504" t="inlineStr">
        <is>
          <t>ÖREBRO LÄN</t>
        </is>
      </c>
      <c r="E504" t="inlineStr">
        <is>
          <t>LINDESBERG</t>
        </is>
      </c>
      <c r="F504" t="inlineStr">
        <is>
          <t>Naturvårdsverket</t>
        </is>
      </c>
      <c r="G504" t="n">
        <v>5.5</v>
      </c>
      <c r="H504" t="n">
        <v>0</v>
      </c>
      <c r="I504" t="n">
        <v>0</v>
      </c>
      <c r="J504" t="n">
        <v>0</v>
      </c>
      <c r="K504" t="n">
        <v>0</v>
      </c>
      <c r="L504" t="n">
        <v>0</v>
      </c>
      <c r="M504" t="n">
        <v>0</v>
      </c>
      <c r="N504" t="n">
        <v>0</v>
      </c>
      <c r="O504" t="n">
        <v>0</v>
      </c>
      <c r="P504" t="n">
        <v>0</v>
      </c>
      <c r="Q504" t="n">
        <v>0</v>
      </c>
      <c r="R504" s="2" t="inlineStr"/>
    </row>
    <row r="505" ht="15" customHeight="1">
      <c r="A505" t="inlineStr">
        <is>
          <t>A 23914-2026</t>
        </is>
      </c>
      <c r="B505" s="1" t="n">
        <v>46167</v>
      </c>
      <c r="C505" s="1" t="n">
        <v>46196</v>
      </c>
      <c r="D505" t="inlineStr">
        <is>
          <t>ÖREBRO LÄN</t>
        </is>
      </c>
      <c r="E505" t="inlineStr">
        <is>
          <t>LINDESBERG</t>
        </is>
      </c>
      <c r="F505" t="inlineStr">
        <is>
          <t>Naturvårdsverket</t>
        </is>
      </c>
      <c r="G505" t="n">
        <v>3</v>
      </c>
      <c r="H505" t="n">
        <v>0</v>
      </c>
      <c r="I505" t="n">
        <v>0</v>
      </c>
      <c r="J505" t="n">
        <v>0</v>
      </c>
      <c r="K505" t="n">
        <v>0</v>
      </c>
      <c r="L505" t="n">
        <v>0</v>
      </c>
      <c r="M505" t="n">
        <v>0</v>
      </c>
      <c r="N505" t="n">
        <v>0</v>
      </c>
      <c r="O505" t="n">
        <v>0</v>
      </c>
      <c r="P505" t="n">
        <v>0</v>
      </c>
      <c r="Q505" t="n">
        <v>0</v>
      </c>
      <c r="R505" s="2" t="inlineStr"/>
    </row>
    <row r="506" ht="15" customHeight="1">
      <c r="A506" t="inlineStr">
        <is>
          <t>A 18061-2026</t>
        </is>
      </c>
      <c r="B506" s="1" t="n">
        <v>46125</v>
      </c>
      <c r="C506" s="1" t="n">
        <v>46196</v>
      </c>
      <c r="D506" t="inlineStr">
        <is>
          <t>ÖREBRO LÄN</t>
        </is>
      </c>
      <c r="E506" t="inlineStr">
        <is>
          <t>LINDESBERG</t>
        </is>
      </c>
      <c r="G506" t="n">
        <v>0.7</v>
      </c>
      <c r="H506" t="n">
        <v>0</v>
      </c>
      <c r="I506" t="n">
        <v>0</v>
      </c>
      <c r="J506" t="n">
        <v>0</v>
      </c>
      <c r="K506" t="n">
        <v>0</v>
      </c>
      <c r="L506" t="n">
        <v>0</v>
      </c>
      <c r="M506" t="n">
        <v>0</v>
      </c>
      <c r="N506" t="n">
        <v>0</v>
      </c>
      <c r="O506" t="n">
        <v>0</v>
      </c>
      <c r="P506" t="n">
        <v>0</v>
      </c>
      <c r="Q506" t="n">
        <v>0</v>
      </c>
      <c r="R506" s="2" t="inlineStr"/>
    </row>
    <row r="507" ht="15" customHeight="1">
      <c r="A507" t="inlineStr">
        <is>
          <t>A 18636-2026</t>
        </is>
      </c>
      <c r="B507" s="1" t="n">
        <v>46128</v>
      </c>
      <c r="C507" s="1" t="n">
        <v>46196</v>
      </c>
      <c r="D507" t="inlineStr">
        <is>
          <t>ÖREBRO LÄN</t>
        </is>
      </c>
      <c r="E507" t="inlineStr">
        <is>
          <t>LINDESBERG</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18634-2026</t>
        </is>
      </c>
      <c r="B508" s="1" t="n">
        <v>46128</v>
      </c>
      <c r="C508" s="1" t="n">
        <v>46196</v>
      </c>
      <c r="D508" t="inlineStr">
        <is>
          <t>ÖREBRO LÄN</t>
        </is>
      </c>
      <c r="E508" t="inlineStr">
        <is>
          <t>LINDESBERG</t>
        </is>
      </c>
      <c r="F508" t="inlineStr">
        <is>
          <t>Sveaskog</t>
        </is>
      </c>
      <c r="G508" t="n">
        <v>11.7</v>
      </c>
      <c r="H508" t="n">
        <v>0</v>
      </c>
      <c r="I508" t="n">
        <v>0</v>
      </c>
      <c r="J508" t="n">
        <v>0</v>
      </c>
      <c r="K508" t="n">
        <v>0</v>
      </c>
      <c r="L508" t="n">
        <v>0</v>
      </c>
      <c r="M508" t="n">
        <v>0</v>
      </c>
      <c r="N508" t="n">
        <v>0</v>
      </c>
      <c r="O508" t="n">
        <v>0</v>
      </c>
      <c r="P508" t="n">
        <v>0</v>
      </c>
      <c r="Q508" t="n">
        <v>0</v>
      </c>
      <c r="R508" s="2" t="inlineStr"/>
    </row>
    <row r="509" ht="15" customHeight="1">
      <c r="A509" t="inlineStr">
        <is>
          <t>A 24565-2026</t>
        </is>
      </c>
      <c r="B509" s="1" t="n">
        <v>46170</v>
      </c>
      <c r="C509" s="1" t="n">
        <v>46196</v>
      </c>
      <c r="D509" t="inlineStr">
        <is>
          <t>ÖREBRO LÄN</t>
        </is>
      </c>
      <c r="E509" t="inlineStr">
        <is>
          <t>LINDESBERG</t>
        </is>
      </c>
      <c r="F509" t="inlineStr">
        <is>
          <t>Kommuner</t>
        </is>
      </c>
      <c r="G509" t="n">
        <v>2.6</v>
      </c>
      <c r="H509" t="n">
        <v>0</v>
      </c>
      <c r="I509" t="n">
        <v>0</v>
      </c>
      <c r="J509" t="n">
        <v>0</v>
      </c>
      <c r="K509" t="n">
        <v>0</v>
      </c>
      <c r="L509" t="n">
        <v>0</v>
      </c>
      <c r="M509" t="n">
        <v>0</v>
      </c>
      <c r="N509" t="n">
        <v>0</v>
      </c>
      <c r="O509" t="n">
        <v>0</v>
      </c>
      <c r="P509" t="n">
        <v>0</v>
      </c>
      <c r="Q509" t="n">
        <v>0</v>
      </c>
      <c r="R509" s="2" t="inlineStr"/>
    </row>
    <row r="510" ht="15" customHeight="1">
      <c r="A510" t="inlineStr">
        <is>
          <t>A 18637-2026</t>
        </is>
      </c>
      <c r="B510" s="1" t="n">
        <v>46128</v>
      </c>
      <c r="C510" s="1" t="n">
        <v>46196</v>
      </c>
      <c r="D510" t="inlineStr">
        <is>
          <t>ÖREBRO LÄN</t>
        </is>
      </c>
      <c r="E510" t="inlineStr">
        <is>
          <t>LINDESBERG</t>
        </is>
      </c>
      <c r="F510" t="inlineStr">
        <is>
          <t>Sveaskog</t>
        </is>
      </c>
      <c r="G510" t="n">
        <v>2.6</v>
      </c>
      <c r="H510" t="n">
        <v>0</v>
      </c>
      <c r="I510" t="n">
        <v>0</v>
      </c>
      <c r="J510" t="n">
        <v>0</v>
      </c>
      <c r="K510" t="n">
        <v>0</v>
      </c>
      <c r="L510" t="n">
        <v>0</v>
      </c>
      <c r="M510" t="n">
        <v>0</v>
      </c>
      <c r="N510" t="n">
        <v>0</v>
      </c>
      <c r="O510" t="n">
        <v>0</v>
      </c>
      <c r="P510" t="n">
        <v>0</v>
      </c>
      <c r="Q510" t="n">
        <v>0</v>
      </c>
      <c r="R510" s="2" t="inlineStr"/>
    </row>
    <row r="511" ht="15" customHeight="1">
      <c r="A511" t="inlineStr">
        <is>
          <t>A 24601-2026</t>
        </is>
      </c>
      <c r="B511" s="1" t="n">
        <v>46170</v>
      </c>
      <c r="C511" s="1" t="n">
        <v>46196</v>
      </c>
      <c r="D511" t="inlineStr">
        <is>
          <t>ÖREBRO LÄN</t>
        </is>
      </c>
      <c r="E511" t="inlineStr">
        <is>
          <t>LINDESBERG</t>
        </is>
      </c>
      <c r="G511" t="n">
        <v>2.7</v>
      </c>
      <c r="H511" t="n">
        <v>0</v>
      </c>
      <c r="I511" t="n">
        <v>0</v>
      </c>
      <c r="J511" t="n">
        <v>0</v>
      </c>
      <c r="K511" t="n">
        <v>0</v>
      </c>
      <c r="L511" t="n">
        <v>0</v>
      </c>
      <c r="M511" t="n">
        <v>0</v>
      </c>
      <c r="N511" t="n">
        <v>0</v>
      </c>
      <c r="O511" t="n">
        <v>0</v>
      </c>
      <c r="P511" t="n">
        <v>0</v>
      </c>
      <c r="Q511" t="n">
        <v>0</v>
      </c>
      <c r="R511" s="2" t="inlineStr"/>
    </row>
    <row r="512" ht="15" customHeight="1">
      <c r="A512" t="inlineStr">
        <is>
          <t>A 24600-2026</t>
        </is>
      </c>
      <c r="B512" s="1" t="n">
        <v>46170</v>
      </c>
      <c r="C512" s="1" t="n">
        <v>46196</v>
      </c>
      <c r="D512" t="inlineStr">
        <is>
          <t>ÖREBRO LÄN</t>
        </is>
      </c>
      <c r="E512" t="inlineStr">
        <is>
          <t>LINDESBERG</t>
        </is>
      </c>
      <c r="G512" t="n">
        <v>1.1</v>
      </c>
      <c r="H512" t="n">
        <v>0</v>
      </c>
      <c r="I512" t="n">
        <v>0</v>
      </c>
      <c r="J512" t="n">
        <v>0</v>
      </c>
      <c r="K512" t="n">
        <v>0</v>
      </c>
      <c r="L512" t="n">
        <v>0</v>
      </c>
      <c r="M512" t="n">
        <v>0</v>
      </c>
      <c r="N512" t="n">
        <v>0</v>
      </c>
      <c r="O512" t="n">
        <v>0</v>
      </c>
      <c r="P512" t="n">
        <v>0</v>
      </c>
      <c r="Q512" t="n">
        <v>0</v>
      </c>
      <c r="R512" s="2" t="inlineStr"/>
    </row>
    <row r="513" ht="15" customHeight="1">
      <c r="A513" t="inlineStr">
        <is>
          <t>A 24638-2026</t>
        </is>
      </c>
      <c r="B513" s="1" t="n">
        <v>46171</v>
      </c>
      <c r="C513" s="1" t="n">
        <v>46196</v>
      </c>
      <c r="D513" t="inlineStr">
        <is>
          <t>ÖREBRO LÄN</t>
        </is>
      </c>
      <c r="E513" t="inlineStr">
        <is>
          <t>LINDESBERG</t>
        </is>
      </c>
      <c r="G513" t="n">
        <v>2.8</v>
      </c>
      <c r="H513" t="n">
        <v>0</v>
      </c>
      <c r="I513" t="n">
        <v>0</v>
      </c>
      <c r="J513" t="n">
        <v>0</v>
      </c>
      <c r="K513" t="n">
        <v>0</v>
      </c>
      <c r="L513" t="n">
        <v>0</v>
      </c>
      <c r="M513" t="n">
        <v>0</v>
      </c>
      <c r="N513" t="n">
        <v>0</v>
      </c>
      <c r="O513" t="n">
        <v>0</v>
      </c>
      <c r="P513" t="n">
        <v>0</v>
      </c>
      <c r="Q513" t="n">
        <v>0</v>
      </c>
      <c r="R513" s="2" t="inlineStr"/>
    </row>
    <row r="514" ht="15" customHeight="1">
      <c r="A514" t="inlineStr">
        <is>
          <t>A 25117-2026</t>
        </is>
      </c>
      <c r="B514" s="1" t="n">
        <v>46175</v>
      </c>
      <c r="C514" s="1" t="n">
        <v>46196</v>
      </c>
      <c r="D514" t="inlineStr">
        <is>
          <t>ÖREBRO LÄN</t>
        </is>
      </c>
      <c r="E514" t="inlineStr">
        <is>
          <t>LINDESBERG</t>
        </is>
      </c>
      <c r="F514" t="inlineStr">
        <is>
          <t>Sveaskog</t>
        </is>
      </c>
      <c r="G514" t="n">
        <v>3.9</v>
      </c>
      <c r="H514" t="n">
        <v>0</v>
      </c>
      <c r="I514" t="n">
        <v>0</v>
      </c>
      <c r="J514" t="n">
        <v>0</v>
      </c>
      <c r="K514" t="n">
        <v>0</v>
      </c>
      <c r="L514" t="n">
        <v>0</v>
      </c>
      <c r="M514" t="n">
        <v>0</v>
      </c>
      <c r="N514" t="n">
        <v>0</v>
      </c>
      <c r="O514" t="n">
        <v>0</v>
      </c>
      <c r="P514" t="n">
        <v>0</v>
      </c>
      <c r="Q514" t="n">
        <v>0</v>
      </c>
      <c r="R514" s="2" t="inlineStr"/>
    </row>
    <row r="515" ht="15" customHeight="1">
      <c r="A515" t="inlineStr">
        <is>
          <t>A 24975-2026</t>
        </is>
      </c>
      <c r="B515" s="1" t="n">
        <v>46174</v>
      </c>
      <c r="C515" s="1" t="n">
        <v>46196</v>
      </c>
      <c r="D515" t="inlineStr">
        <is>
          <t>ÖREBRO LÄN</t>
        </is>
      </c>
      <c r="E515" t="inlineStr">
        <is>
          <t>LINDESBERG</t>
        </is>
      </c>
      <c r="G515" t="n">
        <v>1.3</v>
      </c>
      <c r="H515" t="n">
        <v>0</v>
      </c>
      <c r="I515" t="n">
        <v>0</v>
      </c>
      <c r="J515" t="n">
        <v>0</v>
      </c>
      <c r="K515" t="n">
        <v>0</v>
      </c>
      <c r="L515" t="n">
        <v>0</v>
      </c>
      <c r="M515" t="n">
        <v>0</v>
      </c>
      <c r="N515" t="n">
        <v>0</v>
      </c>
      <c r="O515" t="n">
        <v>0</v>
      </c>
      <c r="P515" t="n">
        <v>0</v>
      </c>
      <c r="Q515" t="n">
        <v>0</v>
      </c>
      <c r="R515" s="2" t="inlineStr"/>
    </row>
    <row r="516" ht="15" customHeight="1">
      <c r="A516" t="inlineStr">
        <is>
          <t>A 44010-2023</t>
        </is>
      </c>
      <c r="B516" s="1" t="n">
        <v>45188</v>
      </c>
      <c r="C516" s="1" t="n">
        <v>46196</v>
      </c>
      <c r="D516" t="inlineStr">
        <is>
          <t>ÖREBRO LÄN</t>
        </is>
      </c>
      <c r="E516" t="inlineStr">
        <is>
          <t>LINDESBERG</t>
        </is>
      </c>
      <c r="G516" t="n">
        <v>2.3</v>
      </c>
      <c r="H516" t="n">
        <v>0</v>
      </c>
      <c r="I516" t="n">
        <v>0</v>
      </c>
      <c r="J516" t="n">
        <v>0</v>
      </c>
      <c r="K516" t="n">
        <v>0</v>
      </c>
      <c r="L516" t="n">
        <v>0</v>
      </c>
      <c r="M516" t="n">
        <v>0</v>
      </c>
      <c r="N516" t="n">
        <v>0</v>
      </c>
      <c r="O516" t="n">
        <v>0</v>
      </c>
      <c r="P516" t="n">
        <v>0</v>
      </c>
      <c r="Q516" t="n">
        <v>0</v>
      </c>
      <c r="R516" s="2" t="inlineStr"/>
    </row>
    <row r="517" ht="15" customHeight="1">
      <c r="A517" t="inlineStr">
        <is>
          <t>A 19292-2026</t>
        </is>
      </c>
      <c r="B517" s="1" t="n">
        <v>46133</v>
      </c>
      <c r="C517" s="1" t="n">
        <v>46196</v>
      </c>
      <c r="D517" t="inlineStr">
        <is>
          <t>ÖREBRO LÄN</t>
        </is>
      </c>
      <c r="E517" t="inlineStr">
        <is>
          <t>LINDESBERG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25116-2026</t>
        </is>
      </c>
      <c r="B518" s="1" t="n">
        <v>46175</v>
      </c>
      <c r="C518" s="1" t="n">
        <v>46196</v>
      </c>
      <c r="D518" t="inlineStr">
        <is>
          <t>ÖREBRO LÄN</t>
        </is>
      </c>
      <c r="E518" t="inlineStr">
        <is>
          <t>LINDESBERG</t>
        </is>
      </c>
      <c r="F518" t="inlineStr">
        <is>
          <t>Sveaskog</t>
        </is>
      </c>
      <c r="G518" t="n">
        <v>3.8</v>
      </c>
      <c r="H518" t="n">
        <v>0</v>
      </c>
      <c r="I518" t="n">
        <v>0</v>
      </c>
      <c r="J518" t="n">
        <v>0</v>
      </c>
      <c r="K518" t="n">
        <v>0</v>
      </c>
      <c r="L518" t="n">
        <v>0</v>
      </c>
      <c r="M518" t="n">
        <v>0</v>
      </c>
      <c r="N518" t="n">
        <v>0</v>
      </c>
      <c r="O518" t="n">
        <v>0</v>
      </c>
      <c r="P518" t="n">
        <v>0</v>
      </c>
      <c r="Q518" t="n">
        <v>0</v>
      </c>
      <c r="R518" s="2" t="inlineStr"/>
    </row>
    <row r="519" ht="15" customHeight="1">
      <c r="A519" t="inlineStr">
        <is>
          <t>A 25023-2026</t>
        </is>
      </c>
      <c r="B519" s="1" t="n">
        <v>46174</v>
      </c>
      <c r="C519" s="1" t="n">
        <v>46196</v>
      </c>
      <c r="D519" t="inlineStr">
        <is>
          <t>ÖREBRO LÄN</t>
        </is>
      </c>
      <c r="E519" t="inlineStr">
        <is>
          <t>LINDESBERG</t>
        </is>
      </c>
      <c r="F519" t="inlineStr">
        <is>
          <t>Kommuner</t>
        </is>
      </c>
      <c r="G519" t="n">
        <v>2.3</v>
      </c>
      <c r="H519" t="n">
        <v>0</v>
      </c>
      <c r="I519" t="n">
        <v>0</v>
      </c>
      <c r="J519" t="n">
        <v>0</v>
      </c>
      <c r="K519" t="n">
        <v>0</v>
      </c>
      <c r="L519" t="n">
        <v>0</v>
      </c>
      <c r="M519" t="n">
        <v>0</v>
      </c>
      <c r="N519" t="n">
        <v>0</v>
      </c>
      <c r="O519" t="n">
        <v>0</v>
      </c>
      <c r="P519" t="n">
        <v>0</v>
      </c>
      <c r="Q519" t="n">
        <v>0</v>
      </c>
      <c r="R519" s="2" t="inlineStr"/>
    </row>
    <row r="520" ht="15" customHeight="1">
      <c r="A520" t="inlineStr">
        <is>
          <t>A 24958-2026</t>
        </is>
      </c>
      <c r="B520" s="1" t="n">
        <v>46174</v>
      </c>
      <c r="C520" s="1" t="n">
        <v>46196</v>
      </c>
      <c r="D520" t="inlineStr">
        <is>
          <t>ÖREBRO LÄN</t>
        </is>
      </c>
      <c r="E520" t="inlineStr">
        <is>
          <t>LINDESBERG</t>
        </is>
      </c>
      <c r="G520" t="n">
        <v>4.1</v>
      </c>
      <c r="H520" t="n">
        <v>0</v>
      </c>
      <c r="I520" t="n">
        <v>0</v>
      </c>
      <c r="J520" t="n">
        <v>0</v>
      </c>
      <c r="K520" t="n">
        <v>0</v>
      </c>
      <c r="L520" t="n">
        <v>0</v>
      </c>
      <c r="M520" t="n">
        <v>0</v>
      </c>
      <c r="N520" t="n">
        <v>0</v>
      </c>
      <c r="O520" t="n">
        <v>0</v>
      </c>
      <c r="P520" t="n">
        <v>0</v>
      </c>
      <c r="Q520" t="n">
        <v>0</v>
      </c>
      <c r="R520" s="2" t="inlineStr"/>
    </row>
    <row r="521" ht="15" customHeight="1">
      <c r="A521" t="inlineStr">
        <is>
          <t>A 24970-2026</t>
        </is>
      </c>
      <c r="B521" s="1" t="n">
        <v>46174</v>
      </c>
      <c r="C521" s="1" t="n">
        <v>46196</v>
      </c>
      <c r="D521" t="inlineStr">
        <is>
          <t>ÖREBRO LÄN</t>
        </is>
      </c>
      <c r="E521" t="inlineStr">
        <is>
          <t>LINDESBERG</t>
        </is>
      </c>
      <c r="G521" t="n">
        <v>3.3</v>
      </c>
      <c r="H521" t="n">
        <v>0</v>
      </c>
      <c r="I521" t="n">
        <v>0</v>
      </c>
      <c r="J521" t="n">
        <v>0</v>
      </c>
      <c r="K521" t="n">
        <v>0</v>
      </c>
      <c r="L521" t="n">
        <v>0</v>
      </c>
      <c r="M521" t="n">
        <v>0</v>
      </c>
      <c r="N521" t="n">
        <v>0</v>
      </c>
      <c r="O521" t="n">
        <v>0</v>
      </c>
      <c r="P521" t="n">
        <v>0</v>
      </c>
      <c r="Q521" t="n">
        <v>0</v>
      </c>
      <c r="R521" s="2" t="inlineStr"/>
    </row>
    <row r="522" ht="15" customHeight="1">
      <c r="A522" t="inlineStr">
        <is>
          <t>A 24977-2026</t>
        </is>
      </c>
      <c r="B522" s="1" t="n">
        <v>46174</v>
      </c>
      <c r="C522" s="1" t="n">
        <v>46196</v>
      </c>
      <c r="D522" t="inlineStr">
        <is>
          <t>ÖREBRO LÄN</t>
        </is>
      </c>
      <c r="E522" t="inlineStr">
        <is>
          <t>LINDESBERG</t>
        </is>
      </c>
      <c r="G522" t="n">
        <v>11.3</v>
      </c>
      <c r="H522" t="n">
        <v>0</v>
      </c>
      <c r="I522" t="n">
        <v>0</v>
      </c>
      <c r="J522" t="n">
        <v>0</v>
      </c>
      <c r="K522" t="n">
        <v>0</v>
      </c>
      <c r="L522" t="n">
        <v>0</v>
      </c>
      <c r="M522" t="n">
        <v>0</v>
      </c>
      <c r="N522" t="n">
        <v>0</v>
      </c>
      <c r="O522" t="n">
        <v>0</v>
      </c>
      <c r="P522" t="n">
        <v>0</v>
      </c>
      <c r="Q522" t="n">
        <v>0</v>
      </c>
      <c r="R522" s="2" t="inlineStr"/>
    </row>
    <row r="523" ht="15" customHeight="1">
      <c r="A523" t="inlineStr">
        <is>
          <t>A 50986-2023</t>
        </is>
      </c>
      <c r="B523" s="1" t="n">
        <v>45218</v>
      </c>
      <c r="C523" s="1" t="n">
        <v>46196</v>
      </c>
      <c r="D523" t="inlineStr">
        <is>
          <t>ÖREBRO LÄN</t>
        </is>
      </c>
      <c r="E523" t="inlineStr">
        <is>
          <t>LINDESBERG</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61969-2023</t>
        </is>
      </c>
      <c r="B524" s="1" t="n">
        <v>45266</v>
      </c>
      <c r="C524" s="1" t="n">
        <v>46196</v>
      </c>
      <c r="D524" t="inlineStr">
        <is>
          <t>ÖREBRO LÄN</t>
        </is>
      </c>
      <c r="E524" t="inlineStr">
        <is>
          <t>LINDESBERG</t>
        </is>
      </c>
      <c r="G524" t="n">
        <v>10.5</v>
      </c>
      <c r="H524" t="n">
        <v>0</v>
      </c>
      <c r="I524" t="n">
        <v>0</v>
      </c>
      <c r="J524" t="n">
        <v>0</v>
      </c>
      <c r="K524" t="n">
        <v>0</v>
      </c>
      <c r="L524" t="n">
        <v>0</v>
      </c>
      <c r="M524" t="n">
        <v>0</v>
      </c>
      <c r="N524" t="n">
        <v>0</v>
      </c>
      <c r="O524" t="n">
        <v>0</v>
      </c>
      <c r="P524" t="n">
        <v>0</v>
      </c>
      <c r="Q524" t="n">
        <v>0</v>
      </c>
      <c r="R524" s="2" t="inlineStr"/>
    </row>
    <row r="525" ht="15" customHeight="1">
      <c r="A525" t="inlineStr">
        <is>
          <t>A 23245-2025</t>
        </is>
      </c>
      <c r="B525" s="1" t="n">
        <v>45791</v>
      </c>
      <c r="C525" s="1" t="n">
        <v>46196</v>
      </c>
      <c r="D525" t="inlineStr">
        <is>
          <t>ÖREBRO LÄN</t>
        </is>
      </c>
      <c r="E525" t="inlineStr">
        <is>
          <t>LINDESBERG</t>
        </is>
      </c>
      <c r="G525" t="n">
        <v>6.8</v>
      </c>
      <c r="H525" t="n">
        <v>0</v>
      </c>
      <c r="I525" t="n">
        <v>0</v>
      </c>
      <c r="J525" t="n">
        <v>0</v>
      </c>
      <c r="K525" t="n">
        <v>0</v>
      </c>
      <c r="L525" t="n">
        <v>0</v>
      </c>
      <c r="M525" t="n">
        <v>0</v>
      </c>
      <c r="N525" t="n">
        <v>0</v>
      </c>
      <c r="O525" t="n">
        <v>0</v>
      </c>
      <c r="P525" t="n">
        <v>0</v>
      </c>
      <c r="Q525" t="n">
        <v>0</v>
      </c>
      <c r="R525" s="2" t="inlineStr"/>
    </row>
    <row r="526" ht="15" customHeight="1">
      <c r="A526" t="inlineStr">
        <is>
          <t>A 32504-2025</t>
        </is>
      </c>
      <c r="B526" s="1" t="n">
        <v>45838</v>
      </c>
      <c r="C526" s="1" t="n">
        <v>46196</v>
      </c>
      <c r="D526" t="inlineStr">
        <is>
          <t>ÖREBRO LÄN</t>
        </is>
      </c>
      <c r="E526" t="inlineStr">
        <is>
          <t>LINDESBERG</t>
        </is>
      </c>
      <c r="F526" t="inlineStr">
        <is>
          <t>Sveaskog</t>
        </is>
      </c>
      <c r="G526" t="n">
        <v>16.9</v>
      </c>
      <c r="H526" t="n">
        <v>0</v>
      </c>
      <c r="I526" t="n">
        <v>0</v>
      </c>
      <c r="J526" t="n">
        <v>0</v>
      </c>
      <c r="K526" t="n">
        <v>0</v>
      </c>
      <c r="L526" t="n">
        <v>0</v>
      </c>
      <c r="M526" t="n">
        <v>0</v>
      </c>
      <c r="N526" t="n">
        <v>0</v>
      </c>
      <c r="O526" t="n">
        <v>0</v>
      </c>
      <c r="P526" t="n">
        <v>0</v>
      </c>
      <c r="Q526" t="n">
        <v>0</v>
      </c>
      <c r="R526" s="2" t="inlineStr"/>
    </row>
    <row r="527" ht="15" customHeight="1">
      <c r="A527" t="inlineStr">
        <is>
          <t>A 48061-2025</t>
        </is>
      </c>
      <c r="B527" s="1" t="n">
        <v>45932</v>
      </c>
      <c r="C527" s="1" t="n">
        <v>46196</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34434-2023</t>
        </is>
      </c>
      <c r="B528" s="1" t="n">
        <v>45139</v>
      </c>
      <c r="C528" s="1" t="n">
        <v>46196</v>
      </c>
      <c r="D528" t="inlineStr">
        <is>
          <t>ÖREBRO LÄN</t>
        </is>
      </c>
      <c r="E528" t="inlineStr">
        <is>
          <t>LINDESBERG</t>
        </is>
      </c>
      <c r="F528" t="inlineStr">
        <is>
          <t>Kyrkan</t>
        </is>
      </c>
      <c r="G528" t="n">
        <v>1.7</v>
      </c>
      <c r="H528" t="n">
        <v>0</v>
      </c>
      <c r="I528" t="n">
        <v>0</v>
      </c>
      <c r="J528" t="n">
        <v>0</v>
      </c>
      <c r="K528" t="n">
        <v>0</v>
      </c>
      <c r="L528" t="n">
        <v>0</v>
      </c>
      <c r="M528" t="n">
        <v>0</v>
      </c>
      <c r="N528" t="n">
        <v>0</v>
      </c>
      <c r="O528" t="n">
        <v>0</v>
      </c>
      <c r="P528" t="n">
        <v>0</v>
      </c>
      <c r="Q528" t="n">
        <v>0</v>
      </c>
      <c r="R528" s="2" t="inlineStr"/>
    </row>
    <row r="529" ht="15" customHeight="1">
      <c r="A529" t="inlineStr">
        <is>
          <t>A 36754-2024</t>
        </is>
      </c>
      <c r="B529" s="1" t="n">
        <v>45538</v>
      </c>
      <c r="C529" s="1" t="n">
        <v>46196</v>
      </c>
      <c r="D529" t="inlineStr">
        <is>
          <t>ÖREBRO LÄN</t>
        </is>
      </c>
      <c r="E529" t="inlineStr">
        <is>
          <t>LINDESBERG</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31221-2025</t>
        </is>
      </c>
      <c r="B530" s="1" t="n">
        <v>45832</v>
      </c>
      <c r="C530" s="1" t="n">
        <v>46196</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40450-2023</t>
        </is>
      </c>
      <c r="B531" s="1" t="n">
        <v>45170</v>
      </c>
      <c r="C531" s="1" t="n">
        <v>46196</v>
      </c>
      <c r="D531" t="inlineStr">
        <is>
          <t>ÖREBRO LÄN</t>
        </is>
      </c>
      <c r="E531" t="inlineStr">
        <is>
          <t>LINDESBERG</t>
        </is>
      </c>
      <c r="F531" t="inlineStr">
        <is>
          <t>Kyrkan</t>
        </is>
      </c>
      <c r="G531" t="n">
        <v>4.3</v>
      </c>
      <c r="H531" t="n">
        <v>0</v>
      </c>
      <c r="I531" t="n">
        <v>0</v>
      </c>
      <c r="J531" t="n">
        <v>0</v>
      </c>
      <c r="K531" t="n">
        <v>0</v>
      </c>
      <c r="L531" t="n">
        <v>0</v>
      </c>
      <c r="M531" t="n">
        <v>0</v>
      </c>
      <c r="N531" t="n">
        <v>0</v>
      </c>
      <c r="O531" t="n">
        <v>0</v>
      </c>
      <c r="P531" t="n">
        <v>0</v>
      </c>
      <c r="Q531" t="n">
        <v>0</v>
      </c>
      <c r="R531" s="2" t="inlineStr"/>
    </row>
    <row r="532" ht="15" customHeight="1">
      <c r="A532" t="inlineStr">
        <is>
          <t>A 53510-2024</t>
        </is>
      </c>
      <c r="B532" s="1" t="n">
        <v>45614</v>
      </c>
      <c r="C532" s="1" t="n">
        <v>46196</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53062-2023</t>
        </is>
      </c>
      <c r="B533" s="1" t="n">
        <v>45227</v>
      </c>
      <c r="C533" s="1" t="n">
        <v>46196</v>
      </c>
      <c r="D533" t="inlineStr">
        <is>
          <t>ÖREBRO LÄN</t>
        </is>
      </c>
      <c r="E533" t="inlineStr">
        <is>
          <t>LINDESBERG</t>
        </is>
      </c>
      <c r="G533" t="n">
        <v>3.1</v>
      </c>
      <c r="H533" t="n">
        <v>0</v>
      </c>
      <c r="I533" t="n">
        <v>0</v>
      </c>
      <c r="J533" t="n">
        <v>0</v>
      </c>
      <c r="K533" t="n">
        <v>0</v>
      </c>
      <c r="L533" t="n">
        <v>0</v>
      </c>
      <c r="M533" t="n">
        <v>0</v>
      </c>
      <c r="N533" t="n">
        <v>0</v>
      </c>
      <c r="O533" t="n">
        <v>0</v>
      </c>
      <c r="P533" t="n">
        <v>0</v>
      </c>
      <c r="Q533" t="n">
        <v>0</v>
      </c>
      <c r="R533" s="2" t="inlineStr"/>
    </row>
    <row r="534" ht="15" customHeight="1">
      <c r="A534" t="inlineStr">
        <is>
          <t>A 52098-2025</t>
        </is>
      </c>
      <c r="B534" s="1" t="n">
        <v>45952</v>
      </c>
      <c r="C534" s="1" t="n">
        <v>46196</v>
      </c>
      <c r="D534" t="inlineStr">
        <is>
          <t>ÖREBRO LÄN</t>
        </is>
      </c>
      <c r="E534" t="inlineStr">
        <is>
          <t>LINDESBERG</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12739-2024</t>
        </is>
      </c>
      <c r="B535" s="1" t="n">
        <v>45384</v>
      </c>
      <c r="C535" s="1" t="n">
        <v>46196</v>
      </c>
      <c r="D535" t="inlineStr">
        <is>
          <t>ÖREBRO LÄN</t>
        </is>
      </c>
      <c r="E535" t="inlineStr">
        <is>
          <t>LINDESBERG</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60492-2024</t>
        </is>
      </c>
      <c r="B536" s="1" t="n">
        <v>45642</v>
      </c>
      <c r="C536" s="1" t="n">
        <v>46196</v>
      </c>
      <c r="D536" t="inlineStr">
        <is>
          <t>ÖREBRO LÄN</t>
        </is>
      </c>
      <c r="E536" t="inlineStr">
        <is>
          <t>LINDESBERG</t>
        </is>
      </c>
      <c r="G536" t="n">
        <v>2.6</v>
      </c>
      <c r="H536" t="n">
        <v>0</v>
      </c>
      <c r="I536" t="n">
        <v>0</v>
      </c>
      <c r="J536" t="n">
        <v>0</v>
      </c>
      <c r="K536" t="n">
        <v>0</v>
      </c>
      <c r="L536" t="n">
        <v>0</v>
      </c>
      <c r="M536" t="n">
        <v>0</v>
      </c>
      <c r="N536" t="n">
        <v>0</v>
      </c>
      <c r="O536" t="n">
        <v>0</v>
      </c>
      <c r="P536" t="n">
        <v>0</v>
      </c>
      <c r="Q536" t="n">
        <v>0</v>
      </c>
      <c r="R536" s="2" t="inlineStr"/>
    </row>
    <row r="537" ht="15" customHeight="1">
      <c r="A537" t="inlineStr">
        <is>
          <t>A 31215-2025</t>
        </is>
      </c>
      <c r="B537" s="1" t="n">
        <v>45832</v>
      </c>
      <c r="C537" s="1" t="n">
        <v>46196</v>
      </c>
      <c r="D537" t="inlineStr">
        <is>
          <t>ÖREBRO LÄN</t>
        </is>
      </c>
      <c r="E537" t="inlineStr">
        <is>
          <t>LINDESBERG</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26778-2023</t>
        </is>
      </c>
      <c r="B538" s="1" t="n">
        <v>45093</v>
      </c>
      <c r="C538" s="1" t="n">
        <v>46196</v>
      </c>
      <c r="D538" t="inlineStr">
        <is>
          <t>ÖREBRO LÄN</t>
        </is>
      </c>
      <c r="E538" t="inlineStr">
        <is>
          <t>LINDESBERG</t>
        </is>
      </c>
      <c r="G538" t="n">
        <v>7.5</v>
      </c>
      <c r="H538" t="n">
        <v>0</v>
      </c>
      <c r="I538" t="n">
        <v>0</v>
      </c>
      <c r="J538" t="n">
        <v>0</v>
      </c>
      <c r="K538" t="n">
        <v>0</v>
      </c>
      <c r="L538" t="n">
        <v>0</v>
      </c>
      <c r="M538" t="n">
        <v>0</v>
      </c>
      <c r="N538" t="n">
        <v>0</v>
      </c>
      <c r="O538" t="n">
        <v>0</v>
      </c>
      <c r="P538" t="n">
        <v>0</v>
      </c>
      <c r="Q538" t="n">
        <v>0</v>
      </c>
      <c r="R538" s="2" t="inlineStr"/>
    </row>
    <row r="539" ht="15" customHeight="1">
      <c r="A539" t="inlineStr">
        <is>
          <t>A 29500-2023</t>
        </is>
      </c>
      <c r="B539" s="1" t="n">
        <v>45106</v>
      </c>
      <c r="C539" s="1" t="n">
        <v>46196</v>
      </c>
      <c r="D539" t="inlineStr">
        <is>
          <t>ÖREBRO LÄN</t>
        </is>
      </c>
      <c r="E539" t="inlineStr">
        <is>
          <t>LINDESBERG</t>
        </is>
      </c>
      <c r="G539" t="n">
        <v>1.6</v>
      </c>
      <c r="H539" t="n">
        <v>0</v>
      </c>
      <c r="I539" t="n">
        <v>0</v>
      </c>
      <c r="J539" t="n">
        <v>0</v>
      </c>
      <c r="K539" t="n">
        <v>0</v>
      </c>
      <c r="L539" t="n">
        <v>0</v>
      </c>
      <c r="M539" t="n">
        <v>0</v>
      </c>
      <c r="N539" t="n">
        <v>0</v>
      </c>
      <c r="O539" t="n">
        <v>0</v>
      </c>
      <c r="P539" t="n">
        <v>0</v>
      </c>
      <c r="Q539" t="n">
        <v>0</v>
      </c>
      <c r="R539" s="2" t="inlineStr"/>
    </row>
    <row r="540" ht="15" customHeight="1">
      <c r="A540" t="inlineStr">
        <is>
          <t>A 34093-2022</t>
        </is>
      </c>
      <c r="B540" s="1" t="n">
        <v>44791</v>
      </c>
      <c r="C540" s="1" t="n">
        <v>46196</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44067-2025</t>
        </is>
      </c>
      <c r="B541" s="1" t="n">
        <v>45915</v>
      </c>
      <c r="C541" s="1" t="n">
        <v>46196</v>
      </c>
      <c r="D541" t="inlineStr">
        <is>
          <t>ÖREBRO LÄN</t>
        </is>
      </c>
      <c r="E541" t="inlineStr">
        <is>
          <t>LINDESBERG</t>
        </is>
      </c>
      <c r="G541" t="n">
        <v>2.8</v>
      </c>
      <c r="H541" t="n">
        <v>0</v>
      </c>
      <c r="I541" t="n">
        <v>0</v>
      </c>
      <c r="J541" t="n">
        <v>0</v>
      </c>
      <c r="K541" t="n">
        <v>0</v>
      </c>
      <c r="L541" t="n">
        <v>0</v>
      </c>
      <c r="M541" t="n">
        <v>0</v>
      </c>
      <c r="N541" t="n">
        <v>0</v>
      </c>
      <c r="O541" t="n">
        <v>0</v>
      </c>
      <c r="P541" t="n">
        <v>0</v>
      </c>
      <c r="Q541" t="n">
        <v>0</v>
      </c>
      <c r="R541" s="2" t="inlineStr"/>
    </row>
    <row r="542" ht="15" customHeight="1">
      <c r="A542" t="inlineStr">
        <is>
          <t>A 41353-2024</t>
        </is>
      </c>
      <c r="B542" s="1" t="n">
        <v>45559</v>
      </c>
      <c r="C542" s="1" t="n">
        <v>46196</v>
      </c>
      <c r="D542" t="inlineStr">
        <is>
          <t>ÖREBRO LÄN</t>
        </is>
      </c>
      <c r="E542" t="inlineStr">
        <is>
          <t>LINDESBERG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26093-2023</t>
        </is>
      </c>
      <c r="B543" s="1" t="n">
        <v>45091</v>
      </c>
      <c r="C543" s="1" t="n">
        <v>46196</v>
      </c>
      <c r="D543" t="inlineStr">
        <is>
          <t>ÖREBRO LÄN</t>
        </is>
      </c>
      <c r="E543" t="inlineStr">
        <is>
          <t>LINDESBERG</t>
        </is>
      </c>
      <c r="G543" t="n">
        <v>0.4</v>
      </c>
      <c r="H543" t="n">
        <v>0</v>
      </c>
      <c r="I543" t="n">
        <v>0</v>
      </c>
      <c r="J543" t="n">
        <v>0</v>
      </c>
      <c r="K543" t="n">
        <v>0</v>
      </c>
      <c r="L543" t="n">
        <v>0</v>
      </c>
      <c r="M543" t="n">
        <v>0</v>
      </c>
      <c r="N543" t="n">
        <v>0</v>
      </c>
      <c r="O543" t="n">
        <v>0</v>
      </c>
      <c r="P543" t="n">
        <v>0</v>
      </c>
      <c r="Q543" t="n">
        <v>0</v>
      </c>
      <c r="R543" s="2" t="inlineStr"/>
    </row>
    <row r="544" ht="15" customHeight="1">
      <c r="A544" t="inlineStr">
        <is>
          <t>A 4603-2024</t>
        </is>
      </c>
      <c r="B544" s="1" t="n">
        <v>45328</v>
      </c>
      <c r="C544" s="1" t="n">
        <v>46196</v>
      </c>
      <c r="D544" t="inlineStr">
        <is>
          <t>ÖREBRO LÄN</t>
        </is>
      </c>
      <c r="E544" t="inlineStr">
        <is>
          <t>LINDESBERG</t>
        </is>
      </c>
      <c r="F544" t="inlineStr">
        <is>
          <t>BillerudKorsnäs AB</t>
        </is>
      </c>
      <c r="G544" t="n">
        <v>4.3</v>
      </c>
      <c r="H544" t="n">
        <v>0</v>
      </c>
      <c r="I544" t="n">
        <v>0</v>
      </c>
      <c r="J544" t="n">
        <v>0</v>
      </c>
      <c r="K544" t="n">
        <v>0</v>
      </c>
      <c r="L544" t="n">
        <v>0</v>
      </c>
      <c r="M544" t="n">
        <v>0</v>
      </c>
      <c r="N544" t="n">
        <v>0</v>
      </c>
      <c r="O544" t="n">
        <v>0</v>
      </c>
      <c r="P544" t="n">
        <v>0</v>
      </c>
      <c r="Q544" t="n">
        <v>0</v>
      </c>
      <c r="R544" s="2" t="inlineStr"/>
    </row>
    <row r="545" ht="15" customHeight="1">
      <c r="A545" t="inlineStr">
        <is>
          <t>A 59052-2023</t>
        </is>
      </c>
      <c r="B545" s="1" t="n">
        <v>45252</v>
      </c>
      <c r="C545" s="1" t="n">
        <v>46196</v>
      </c>
      <c r="D545" t="inlineStr">
        <is>
          <t>ÖREBRO LÄN</t>
        </is>
      </c>
      <c r="E545" t="inlineStr">
        <is>
          <t>LINDESBERG</t>
        </is>
      </c>
      <c r="G545" t="n">
        <v>4.2</v>
      </c>
      <c r="H545" t="n">
        <v>0</v>
      </c>
      <c r="I545" t="n">
        <v>0</v>
      </c>
      <c r="J545" t="n">
        <v>0</v>
      </c>
      <c r="K545" t="n">
        <v>0</v>
      </c>
      <c r="L545" t="n">
        <v>0</v>
      </c>
      <c r="M545" t="n">
        <v>0</v>
      </c>
      <c r="N545" t="n">
        <v>0</v>
      </c>
      <c r="O545" t="n">
        <v>0</v>
      </c>
      <c r="P545" t="n">
        <v>0</v>
      </c>
      <c r="Q545" t="n">
        <v>0</v>
      </c>
      <c r="R545" s="2" t="inlineStr"/>
    </row>
    <row r="546" ht="15" customHeight="1">
      <c r="A546" t="inlineStr">
        <is>
          <t>A 47066-2023</t>
        </is>
      </c>
      <c r="B546" s="1" t="n">
        <v>45201</v>
      </c>
      <c r="C546" s="1" t="n">
        <v>46196</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36773-2024</t>
        </is>
      </c>
      <c r="B547" s="1" t="n">
        <v>45538</v>
      </c>
      <c r="C547" s="1" t="n">
        <v>46196</v>
      </c>
      <c r="D547" t="inlineStr">
        <is>
          <t>ÖREBRO LÄN</t>
        </is>
      </c>
      <c r="E547" t="inlineStr">
        <is>
          <t>LINDESBERG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20970-2026</t>
        </is>
      </c>
      <c r="B548" s="1" t="n">
        <v>46142</v>
      </c>
      <c r="C548" s="1" t="n">
        <v>46196</v>
      </c>
      <c r="D548" t="inlineStr">
        <is>
          <t>ÖREBRO LÄN</t>
        </is>
      </c>
      <c r="E548" t="inlineStr">
        <is>
          <t>LINDESBERG</t>
        </is>
      </c>
      <c r="F548" t="inlineStr">
        <is>
          <t>Naturvårdsverket</t>
        </is>
      </c>
      <c r="G548" t="n">
        <v>5</v>
      </c>
      <c r="H548" t="n">
        <v>0</v>
      </c>
      <c r="I548" t="n">
        <v>0</v>
      </c>
      <c r="J548" t="n">
        <v>0</v>
      </c>
      <c r="K548" t="n">
        <v>0</v>
      </c>
      <c r="L548" t="n">
        <v>0</v>
      </c>
      <c r="M548" t="n">
        <v>0</v>
      </c>
      <c r="N548" t="n">
        <v>0</v>
      </c>
      <c r="O548" t="n">
        <v>0</v>
      </c>
      <c r="P548" t="n">
        <v>0</v>
      </c>
      <c r="Q548" t="n">
        <v>0</v>
      </c>
      <c r="R548" s="2" t="inlineStr"/>
    </row>
    <row r="549" ht="15" customHeight="1">
      <c r="A549" t="inlineStr">
        <is>
          <t>A 20971-2026</t>
        </is>
      </c>
      <c r="B549" s="1" t="n">
        <v>46142</v>
      </c>
      <c r="C549" s="1" t="n">
        <v>46196</v>
      </c>
      <c r="D549" t="inlineStr">
        <is>
          <t>ÖREBRO LÄN</t>
        </is>
      </c>
      <c r="E549" t="inlineStr">
        <is>
          <t>LINDESBERG</t>
        </is>
      </c>
      <c r="F549" t="inlineStr">
        <is>
          <t>Naturvårdsverket</t>
        </is>
      </c>
      <c r="G549" t="n">
        <v>4.5</v>
      </c>
      <c r="H549" t="n">
        <v>0</v>
      </c>
      <c r="I549" t="n">
        <v>0</v>
      </c>
      <c r="J549" t="n">
        <v>0</v>
      </c>
      <c r="K549" t="n">
        <v>0</v>
      </c>
      <c r="L549" t="n">
        <v>0</v>
      </c>
      <c r="M549" t="n">
        <v>0</v>
      </c>
      <c r="N549" t="n">
        <v>0</v>
      </c>
      <c r="O549" t="n">
        <v>0</v>
      </c>
      <c r="P549" t="n">
        <v>0</v>
      </c>
      <c r="Q549" t="n">
        <v>0</v>
      </c>
      <c r="R549" s="2" t="inlineStr"/>
    </row>
    <row r="550" ht="15" customHeight="1">
      <c r="A550" t="inlineStr">
        <is>
          <t>A 26707-2026</t>
        </is>
      </c>
      <c r="B550" s="1" t="n">
        <v>46184</v>
      </c>
      <c r="C550" s="1" t="n">
        <v>46196</v>
      </c>
      <c r="D550" t="inlineStr">
        <is>
          <t>ÖREBRO LÄN</t>
        </is>
      </c>
      <c r="E550" t="inlineStr">
        <is>
          <t>LINDESBERG</t>
        </is>
      </c>
      <c r="G550" t="n">
        <v>3.6</v>
      </c>
      <c r="H550" t="n">
        <v>0</v>
      </c>
      <c r="I550" t="n">
        <v>0</v>
      </c>
      <c r="J550" t="n">
        <v>0</v>
      </c>
      <c r="K550" t="n">
        <v>0</v>
      </c>
      <c r="L550" t="n">
        <v>0</v>
      </c>
      <c r="M550" t="n">
        <v>0</v>
      </c>
      <c r="N550" t="n">
        <v>0</v>
      </c>
      <c r="O550" t="n">
        <v>0</v>
      </c>
      <c r="P550" t="n">
        <v>0</v>
      </c>
      <c r="Q550" t="n">
        <v>0</v>
      </c>
      <c r="R550" s="2" t="inlineStr"/>
    </row>
    <row r="551" ht="15" customHeight="1">
      <c r="A551" t="inlineStr">
        <is>
          <t>A 27432-2026</t>
        </is>
      </c>
      <c r="B551" s="1" t="n">
        <v>46189</v>
      </c>
      <c r="C551" s="1" t="n">
        <v>46196</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27438-2026</t>
        </is>
      </c>
      <c r="B552" s="1" t="n">
        <v>46189</v>
      </c>
      <c r="C552" s="1" t="n">
        <v>46196</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27501-2026</t>
        </is>
      </c>
      <c r="B553" s="1" t="n">
        <v>46189</v>
      </c>
      <c r="C553" s="1" t="n">
        <v>46196</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27769-2026</t>
        </is>
      </c>
      <c r="B554" s="1" t="n">
        <v>46191</v>
      </c>
      <c r="C554" s="1" t="n">
        <v>46196</v>
      </c>
      <c r="D554" t="inlineStr">
        <is>
          <t>ÖREBRO LÄN</t>
        </is>
      </c>
      <c r="E554" t="inlineStr">
        <is>
          <t>LINDESBERG</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27914-2026</t>
        </is>
      </c>
      <c r="B555" s="1" t="n">
        <v>46191</v>
      </c>
      <c r="C555" s="1" t="n">
        <v>46196</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27714-2026</t>
        </is>
      </c>
      <c r="B556" s="1" t="n">
        <v>46190</v>
      </c>
      <c r="C556" s="1" t="n">
        <v>46196</v>
      </c>
      <c r="D556" t="inlineStr">
        <is>
          <t>ÖREBRO LÄN</t>
        </is>
      </c>
      <c r="E556" t="inlineStr">
        <is>
          <t>LINDESBERG</t>
        </is>
      </c>
      <c r="G556" t="n">
        <v>1.5</v>
      </c>
      <c r="H556" t="n">
        <v>0</v>
      </c>
      <c r="I556" t="n">
        <v>0</v>
      </c>
      <c r="J556" t="n">
        <v>0</v>
      </c>
      <c r="K556" t="n">
        <v>0</v>
      </c>
      <c r="L556" t="n">
        <v>0</v>
      </c>
      <c r="M556" t="n">
        <v>0</v>
      </c>
      <c r="N556" t="n">
        <v>0</v>
      </c>
      <c r="O556" t="n">
        <v>0</v>
      </c>
      <c r="P556" t="n">
        <v>0</v>
      </c>
      <c r="Q556" t="n">
        <v>0</v>
      </c>
      <c r="R556" s="2" t="inlineStr"/>
    </row>
    <row r="557" ht="15" customHeight="1">
      <c r="A557" t="inlineStr">
        <is>
          <t>A 27766-2026</t>
        </is>
      </c>
      <c r="B557" s="1" t="n">
        <v>46191</v>
      </c>
      <c r="C557" s="1" t="n">
        <v>46196</v>
      </c>
      <c r="D557" t="inlineStr">
        <is>
          <t>ÖREBRO LÄN</t>
        </is>
      </c>
      <c r="E557" t="inlineStr">
        <is>
          <t>LINDESBERG</t>
        </is>
      </c>
      <c r="F557" t="inlineStr">
        <is>
          <t>Sveaskog</t>
        </is>
      </c>
      <c r="G557" t="n">
        <v>5.1</v>
      </c>
      <c r="H557" t="n">
        <v>0</v>
      </c>
      <c r="I557" t="n">
        <v>0</v>
      </c>
      <c r="J557" t="n">
        <v>0</v>
      </c>
      <c r="K557" t="n">
        <v>0</v>
      </c>
      <c r="L557" t="n">
        <v>0</v>
      </c>
      <c r="M557" t="n">
        <v>0</v>
      </c>
      <c r="N557" t="n">
        <v>0</v>
      </c>
      <c r="O557" t="n">
        <v>0</v>
      </c>
      <c r="P557" t="n">
        <v>0</v>
      </c>
      <c r="Q557" t="n">
        <v>0</v>
      </c>
      <c r="R557" s="2" t="inlineStr"/>
    </row>
    <row r="558" ht="15" customHeight="1">
      <c r="A558" t="inlineStr">
        <is>
          <t>A 27775-2026</t>
        </is>
      </c>
      <c r="B558" s="1" t="n">
        <v>46191</v>
      </c>
      <c r="C558" s="1" t="n">
        <v>46196</v>
      </c>
      <c r="D558" t="inlineStr">
        <is>
          <t>ÖREBRO LÄN</t>
        </is>
      </c>
      <c r="E558" t="inlineStr">
        <is>
          <t>LINDESBERG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27756-2026</t>
        </is>
      </c>
      <c r="B559" s="1" t="n">
        <v>46191</v>
      </c>
      <c r="C559" s="1" t="n">
        <v>46196</v>
      </c>
      <c r="D559" t="inlineStr">
        <is>
          <t>ÖREBRO LÄN</t>
        </is>
      </c>
      <c r="E559" t="inlineStr">
        <is>
          <t>LINDESBERG</t>
        </is>
      </c>
      <c r="F559" t="inlineStr">
        <is>
          <t>Sveaskog</t>
        </is>
      </c>
      <c r="G559" t="n">
        <v>17.8</v>
      </c>
      <c r="H559" t="n">
        <v>0</v>
      </c>
      <c r="I559" t="n">
        <v>0</v>
      </c>
      <c r="J559" t="n">
        <v>0</v>
      </c>
      <c r="K559" t="n">
        <v>0</v>
      </c>
      <c r="L559" t="n">
        <v>0</v>
      </c>
      <c r="M559" t="n">
        <v>0</v>
      </c>
      <c r="N559" t="n">
        <v>0</v>
      </c>
      <c r="O559" t="n">
        <v>0</v>
      </c>
      <c r="P559" t="n">
        <v>0</v>
      </c>
      <c r="Q559" t="n">
        <v>0</v>
      </c>
      <c r="R559" s="2" t="inlineStr"/>
    </row>
    <row r="560" ht="15" customHeight="1">
      <c r="A560" t="inlineStr">
        <is>
          <t>A 27761-2026</t>
        </is>
      </c>
      <c r="B560" s="1" t="n">
        <v>46191</v>
      </c>
      <c r="C560" s="1" t="n">
        <v>46196</v>
      </c>
      <c r="D560" t="inlineStr">
        <is>
          <t>ÖREBRO LÄN</t>
        </is>
      </c>
      <c r="E560" t="inlineStr">
        <is>
          <t>LINDESBERG</t>
        </is>
      </c>
      <c r="F560" t="inlineStr">
        <is>
          <t>Sveaskog</t>
        </is>
      </c>
      <c r="G560" t="n">
        <v>0.3</v>
      </c>
      <c r="H560" t="n">
        <v>0</v>
      </c>
      <c r="I560" t="n">
        <v>0</v>
      </c>
      <c r="J560" t="n">
        <v>0</v>
      </c>
      <c r="K560" t="n">
        <v>0</v>
      </c>
      <c r="L560" t="n">
        <v>0</v>
      </c>
      <c r="M560" t="n">
        <v>0</v>
      </c>
      <c r="N560" t="n">
        <v>0</v>
      </c>
      <c r="O560" t="n">
        <v>0</v>
      </c>
      <c r="P560" t="n">
        <v>0</v>
      </c>
      <c r="Q560" t="n">
        <v>0</v>
      </c>
      <c r="R560" s="2" t="inlineStr"/>
    </row>
    <row r="561" ht="15" customHeight="1">
      <c r="A561" t="inlineStr">
        <is>
          <t>A 27917-2026</t>
        </is>
      </c>
      <c r="B561" s="1" t="n">
        <v>46191</v>
      </c>
      <c r="C561" s="1" t="n">
        <v>46196</v>
      </c>
      <c r="D561" t="inlineStr">
        <is>
          <t>ÖREBRO LÄN</t>
        </is>
      </c>
      <c r="E561" t="inlineStr">
        <is>
          <t>LINDESBERG</t>
        </is>
      </c>
      <c r="F561" t="inlineStr">
        <is>
          <t>Sveaskog</t>
        </is>
      </c>
      <c r="G561" t="n">
        <v>6.9</v>
      </c>
      <c r="H561" t="n">
        <v>0</v>
      </c>
      <c r="I561" t="n">
        <v>0</v>
      </c>
      <c r="J561" t="n">
        <v>0</v>
      </c>
      <c r="K561" t="n">
        <v>0</v>
      </c>
      <c r="L561" t="n">
        <v>0</v>
      </c>
      <c r="M561" t="n">
        <v>0</v>
      </c>
      <c r="N561" t="n">
        <v>0</v>
      </c>
      <c r="O561" t="n">
        <v>0</v>
      </c>
      <c r="P561" t="n">
        <v>0</v>
      </c>
      <c r="Q561" t="n">
        <v>0</v>
      </c>
      <c r="R561" s="2" t="inlineStr"/>
    </row>
    <row r="562" ht="15" customHeight="1">
      <c r="A562" t="inlineStr">
        <is>
          <t>A 27763-2026</t>
        </is>
      </c>
      <c r="B562" s="1" t="n">
        <v>46191</v>
      </c>
      <c r="C562" s="1" t="n">
        <v>46196</v>
      </c>
      <c r="D562" t="inlineStr">
        <is>
          <t>ÖREBRO LÄN</t>
        </is>
      </c>
      <c r="E562" t="inlineStr">
        <is>
          <t>LINDESBERG</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27773-2026</t>
        </is>
      </c>
      <c r="B563" s="1" t="n">
        <v>46191</v>
      </c>
      <c r="C563" s="1" t="n">
        <v>46196</v>
      </c>
      <c r="D563" t="inlineStr">
        <is>
          <t>ÖREBRO LÄN</t>
        </is>
      </c>
      <c r="E563" t="inlineStr">
        <is>
          <t>LINDESBERG</t>
        </is>
      </c>
      <c r="F563" t="inlineStr">
        <is>
          <t>Sveaskog</t>
        </is>
      </c>
      <c r="G563" t="n">
        <v>1.8</v>
      </c>
      <c r="H563" t="n">
        <v>0</v>
      </c>
      <c r="I563" t="n">
        <v>0</v>
      </c>
      <c r="J563" t="n">
        <v>0</v>
      </c>
      <c r="K563" t="n">
        <v>0</v>
      </c>
      <c r="L563" t="n">
        <v>0</v>
      </c>
      <c r="M563" t="n">
        <v>0</v>
      </c>
      <c r="N563" t="n">
        <v>0</v>
      </c>
      <c r="O563" t="n">
        <v>0</v>
      </c>
      <c r="P563" t="n">
        <v>0</v>
      </c>
      <c r="Q563" t="n">
        <v>0</v>
      </c>
      <c r="R563" s="2" t="inlineStr"/>
    </row>
    <row r="564" ht="15" customHeight="1">
      <c r="A564" t="inlineStr">
        <is>
          <t>A 59804-2023</t>
        </is>
      </c>
      <c r="B564" s="1" t="n">
        <v>45257</v>
      </c>
      <c r="C564" s="1" t="n">
        <v>46196</v>
      </c>
      <c r="D564" t="inlineStr">
        <is>
          <t>ÖREBRO LÄN</t>
        </is>
      </c>
      <c r="E564" t="inlineStr">
        <is>
          <t>LINDESBERG</t>
        </is>
      </c>
      <c r="G564" t="n">
        <v>1.2</v>
      </c>
      <c r="H564" t="n">
        <v>0</v>
      </c>
      <c r="I564" t="n">
        <v>0</v>
      </c>
      <c r="J564" t="n">
        <v>0</v>
      </c>
      <c r="K564" t="n">
        <v>0</v>
      </c>
      <c r="L564" t="n">
        <v>0</v>
      </c>
      <c r="M564" t="n">
        <v>0</v>
      </c>
      <c r="N564" t="n">
        <v>0</v>
      </c>
      <c r="O564" t="n">
        <v>0</v>
      </c>
      <c r="P564" t="n">
        <v>0</v>
      </c>
      <c r="Q564" t="n">
        <v>0</v>
      </c>
      <c r="R564" s="2" t="inlineStr"/>
    </row>
    <row r="565" ht="15" customHeight="1">
      <c r="A565" t="inlineStr">
        <is>
          <t>A 27909-2026</t>
        </is>
      </c>
      <c r="B565" s="1" t="n">
        <v>46191</v>
      </c>
      <c r="C565" s="1" t="n">
        <v>46196</v>
      </c>
      <c r="D565" t="inlineStr">
        <is>
          <t>ÖREBRO LÄN</t>
        </is>
      </c>
      <c r="E565" t="inlineStr">
        <is>
          <t>LINDESBERG</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27728-2026</t>
        </is>
      </c>
      <c r="B566" s="1" t="n">
        <v>46191</v>
      </c>
      <c r="C566" s="1" t="n">
        <v>46196</v>
      </c>
      <c r="D566" t="inlineStr">
        <is>
          <t>ÖREBRO LÄN</t>
        </is>
      </c>
      <c r="E566" t="inlineStr">
        <is>
          <t>LINDESBERG</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27731-2026</t>
        </is>
      </c>
      <c r="B567" s="1" t="n">
        <v>46191</v>
      </c>
      <c r="C567" s="1" t="n">
        <v>46196</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27715-2026</t>
        </is>
      </c>
      <c r="B568" s="1" t="n">
        <v>46190</v>
      </c>
      <c r="C568" s="1" t="n">
        <v>46196</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61691-2023</t>
        </is>
      </c>
      <c r="B569" s="1" t="n">
        <v>45265</v>
      </c>
      <c r="C569" s="1" t="n">
        <v>46196</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27918-2026</t>
        </is>
      </c>
      <c r="B570" s="1" t="n">
        <v>46191</v>
      </c>
      <c r="C570" s="1" t="n">
        <v>46196</v>
      </c>
      <c r="D570" t="inlineStr">
        <is>
          <t>ÖREBRO LÄN</t>
        </is>
      </c>
      <c r="E570" t="inlineStr">
        <is>
          <t>LINDESBERG</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27724-2026</t>
        </is>
      </c>
      <c r="B571" s="1" t="n">
        <v>46191</v>
      </c>
      <c r="C571" s="1" t="n">
        <v>46196</v>
      </c>
      <c r="D571" t="inlineStr">
        <is>
          <t>ÖREBRO LÄN</t>
        </is>
      </c>
      <c r="E571" t="inlineStr">
        <is>
          <t>LINDESBERG</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27772-2026</t>
        </is>
      </c>
      <c r="B572" s="1" t="n">
        <v>46191</v>
      </c>
      <c r="C572" s="1" t="n">
        <v>46196</v>
      </c>
      <c r="D572" t="inlineStr">
        <is>
          <t>ÖREBRO LÄN</t>
        </is>
      </c>
      <c r="E572" t="inlineStr">
        <is>
          <t>LINDESBERG</t>
        </is>
      </c>
      <c r="F572" t="inlineStr">
        <is>
          <t>Sveaskog</t>
        </is>
      </c>
      <c r="G572" t="n">
        <v>0.5</v>
      </c>
      <c r="H572" t="n">
        <v>0</v>
      </c>
      <c r="I572" t="n">
        <v>0</v>
      </c>
      <c r="J572" t="n">
        <v>0</v>
      </c>
      <c r="K572" t="n">
        <v>0</v>
      </c>
      <c r="L572" t="n">
        <v>0</v>
      </c>
      <c r="M572" t="n">
        <v>0</v>
      </c>
      <c r="N572" t="n">
        <v>0</v>
      </c>
      <c r="O572" t="n">
        <v>0</v>
      </c>
      <c r="P572" t="n">
        <v>0</v>
      </c>
      <c r="Q572" t="n">
        <v>0</v>
      </c>
      <c r="R572" s="2" t="inlineStr"/>
    </row>
    <row r="573" ht="15" customHeight="1">
      <c r="A573" t="inlineStr">
        <is>
          <t>A 21796-2026</t>
        </is>
      </c>
      <c r="B573" s="1" t="n">
        <v>46150</v>
      </c>
      <c r="C573" s="1" t="n">
        <v>46196</v>
      </c>
      <c r="D573" t="inlineStr">
        <is>
          <t>ÖREBRO LÄN</t>
        </is>
      </c>
      <c r="E573" t="inlineStr">
        <is>
          <t>LINDESBERG</t>
        </is>
      </c>
      <c r="F573" t="inlineStr">
        <is>
          <t>Naturvårdsverket</t>
        </is>
      </c>
      <c r="G573" t="n">
        <v>5.1</v>
      </c>
      <c r="H573" t="n">
        <v>0</v>
      </c>
      <c r="I573" t="n">
        <v>0</v>
      </c>
      <c r="J573" t="n">
        <v>0</v>
      </c>
      <c r="K573" t="n">
        <v>0</v>
      </c>
      <c r="L573" t="n">
        <v>0</v>
      </c>
      <c r="M573" t="n">
        <v>0</v>
      </c>
      <c r="N573" t="n">
        <v>0</v>
      </c>
      <c r="O573" t="n">
        <v>0</v>
      </c>
      <c r="P573" t="n">
        <v>0</v>
      </c>
      <c r="Q573" t="n">
        <v>0</v>
      </c>
      <c r="R573" s="2" t="inlineStr"/>
    </row>
    <row r="574" ht="15" customHeight="1">
      <c r="A574" t="inlineStr">
        <is>
          <t>A 43081-2021</t>
        </is>
      </c>
      <c r="B574" s="1" t="n">
        <v>44431</v>
      </c>
      <c r="C574" s="1" t="n">
        <v>46196</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37497-2025</t>
        </is>
      </c>
      <c r="B575" s="1" t="n">
        <v>45877</v>
      </c>
      <c r="C575" s="1" t="n">
        <v>46196</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32002-2023</t>
        </is>
      </c>
      <c r="B576" s="1" t="n">
        <v>45119</v>
      </c>
      <c r="C576" s="1" t="n">
        <v>46196</v>
      </c>
      <c r="D576" t="inlineStr">
        <is>
          <t>ÖREBRO LÄN</t>
        </is>
      </c>
      <c r="E576" t="inlineStr">
        <is>
          <t>LINDESBERG</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7661-2024</t>
        </is>
      </c>
      <c r="B577" s="1" t="n">
        <v>45348</v>
      </c>
      <c r="C577" s="1" t="n">
        <v>46196</v>
      </c>
      <c r="D577" t="inlineStr">
        <is>
          <t>ÖREBRO LÄN</t>
        </is>
      </c>
      <c r="E577" t="inlineStr">
        <is>
          <t>LINDESBERG</t>
        </is>
      </c>
      <c r="G577" t="n">
        <v>4.1</v>
      </c>
      <c r="H577" t="n">
        <v>0</v>
      </c>
      <c r="I577" t="n">
        <v>0</v>
      </c>
      <c r="J577" t="n">
        <v>0</v>
      </c>
      <c r="K577" t="n">
        <v>0</v>
      </c>
      <c r="L577" t="n">
        <v>0</v>
      </c>
      <c r="M577" t="n">
        <v>0</v>
      </c>
      <c r="N577" t="n">
        <v>0</v>
      </c>
      <c r="O577" t="n">
        <v>0</v>
      </c>
      <c r="P577" t="n">
        <v>0</v>
      </c>
      <c r="Q577" t="n">
        <v>0</v>
      </c>
      <c r="R577" s="2" t="inlineStr"/>
    </row>
    <row r="578" ht="15" customHeight="1">
      <c r="A578" t="inlineStr">
        <is>
          <t>A 12278-2025</t>
        </is>
      </c>
      <c r="B578" s="1" t="n">
        <v>45729</v>
      </c>
      <c r="C578" s="1" t="n">
        <v>46196</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29942-2024</t>
        </is>
      </c>
      <c r="B579" s="1" t="n">
        <v>45488</v>
      </c>
      <c r="C579" s="1" t="n">
        <v>46196</v>
      </c>
      <c r="D579" t="inlineStr">
        <is>
          <t>ÖREBRO LÄN</t>
        </is>
      </c>
      <c r="E579" t="inlineStr">
        <is>
          <t>LINDESBERG</t>
        </is>
      </c>
      <c r="G579" t="n">
        <v>2.4</v>
      </c>
      <c r="H579" t="n">
        <v>0</v>
      </c>
      <c r="I579" t="n">
        <v>0</v>
      </c>
      <c r="J579" t="n">
        <v>0</v>
      </c>
      <c r="K579" t="n">
        <v>0</v>
      </c>
      <c r="L579" t="n">
        <v>0</v>
      </c>
      <c r="M579" t="n">
        <v>0</v>
      </c>
      <c r="N579" t="n">
        <v>0</v>
      </c>
      <c r="O579" t="n">
        <v>0</v>
      </c>
      <c r="P579" t="n">
        <v>0</v>
      </c>
      <c r="Q579" t="n">
        <v>0</v>
      </c>
      <c r="R579" s="2" t="inlineStr"/>
    </row>
    <row r="580" ht="15" customHeight="1">
      <c r="A580" t="inlineStr">
        <is>
          <t>A 3294-2024</t>
        </is>
      </c>
      <c r="B580" s="1" t="n">
        <v>45316</v>
      </c>
      <c r="C580" s="1" t="n">
        <v>46196</v>
      </c>
      <c r="D580" t="inlineStr">
        <is>
          <t>ÖREBRO LÄN</t>
        </is>
      </c>
      <c r="E580" t="inlineStr">
        <is>
          <t>LINDESBERG</t>
        </is>
      </c>
      <c r="G580" t="n">
        <v>3</v>
      </c>
      <c r="H580" t="n">
        <v>0</v>
      </c>
      <c r="I580" t="n">
        <v>0</v>
      </c>
      <c r="J580" t="n">
        <v>0</v>
      </c>
      <c r="K580" t="n">
        <v>0</v>
      </c>
      <c r="L580" t="n">
        <v>0</v>
      </c>
      <c r="M580" t="n">
        <v>0</v>
      </c>
      <c r="N580" t="n">
        <v>0</v>
      </c>
      <c r="O580" t="n">
        <v>0</v>
      </c>
      <c r="P580" t="n">
        <v>0</v>
      </c>
      <c r="Q580" t="n">
        <v>0</v>
      </c>
      <c r="R580" s="2" t="inlineStr"/>
    </row>
    <row r="581" ht="15" customHeight="1">
      <c r="A581" t="inlineStr">
        <is>
          <t>A 14185-2024</t>
        </is>
      </c>
      <c r="B581" s="1" t="n">
        <v>45393</v>
      </c>
      <c r="C581" s="1" t="n">
        <v>46196</v>
      </c>
      <c r="D581" t="inlineStr">
        <is>
          <t>ÖREBRO LÄN</t>
        </is>
      </c>
      <c r="E581" t="inlineStr">
        <is>
          <t>LINDESBERG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51656-2023</t>
        </is>
      </c>
      <c r="B582" s="1" t="n">
        <v>45222</v>
      </c>
      <c r="C582" s="1" t="n">
        <v>46196</v>
      </c>
      <c r="D582" t="inlineStr">
        <is>
          <t>ÖREBRO LÄN</t>
        </is>
      </c>
      <c r="E582" t="inlineStr">
        <is>
          <t>LINDESBERG</t>
        </is>
      </c>
      <c r="G582" t="n">
        <v>1.2</v>
      </c>
      <c r="H582" t="n">
        <v>0</v>
      </c>
      <c r="I582" t="n">
        <v>0</v>
      </c>
      <c r="J582" t="n">
        <v>0</v>
      </c>
      <c r="K582" t="n">
        <v>0</v>
      </c>
      <c r="L582" t="n">
        <v>0</v>
      </c>
      <c r="M582" t="n">
        <v>0</v>
      </c>
      <c r="N582" t="n">
        <v>0</v>
      </c>
      <c r="O582" t="n">
        <v>0</v>
      </c>
      <c r="P582" t="n">
        <v>0</v>
      </c>
      <c r="Q582" t="n">
        <v>0</v>
      </c>
      <c r="R582" s="2" t="inlineStr"/>
    </row>
    <row r="583" ht="15" customHeight="1">
      <c r="A583" t="inlineStr">
        <is>
          <t>A 3732-2023</t>
        </is>
      </c>
      <c r="B583" s="1" t="n">
        <v>44949</v>
      </c>
      <c r="C583" s="1" t="n">
        <v>46196</v>
      </c>
      <c r="D583" t="inlineStr">
        <is>
          <t>ÖREBRO LÄN</t>
        </is>
      </c>
      <c r="E583" t="inlineStr">
        <is>
          <t>LINDESBERG</t>
        </is>
      </c>
      <c r="G583" t="n">
        <v>3.3</v>
      </c>
      <c r="H583" t="n">
        <v>0</v>
      </c>
      <c r="I583" t="n">
        <v>0</v>
      </c>
      <c r="J583" t="n">
        <v>0</v>
      </c>
      <c r="K583" t="n">
        <v>0</v>
      </c>
      <c r="L583" t="n">
        <v>0</v>
      </c>
      <c r="M583" t="n">
        <v>0</v>
      </c>
      <c r="N583" t="n">
        <v>0</v>
      </c>
      <c r="O583" t="n">
        <v>0</v>
      </c>
      <c r="P583" t="n">
        <v>0</v>
      </c>
      <c r="Q583" t="n">
        <v>0</v>
      </c>
      <c r="R583" s="2" t="inlineStr"/>
    </row>
    <row r="584" ht="15" customHeight="1">
      <c r="A584" t="inlineStr">
        <is>
          <t>A 57069-2022</t>
        </is>
      </c>
      <c r="B584" s="1" t="n">
        <v>44895</v>
      </c>
      <c r="C584" s="1" t="n">
        <v>46196</v>
      </c>
      <c r="D584" t="inlineStr">
        <is>
          <t>ÖREBRO LÄN</t>
        </is>
      </c>
      <c r="E584" t="inlineStr">
        <is>
          <t>LINDESBERG</t>
        </is>
      </c>
      <c r="G584" t="n">
        <v>2.3</v>
      </c>
      <c r="H584" t="n">
        <v>0</v>
      </c>
      <c r="I584" t="n">
        <v>0</v>
      </c>
      <c r="J584" t="n">
        <v>0</v>
      </c>
      <c r="K584" t="n">
        <v>0</v>
      </c>
      <c r="L584" t="n">
        <v>0</v>
      </c>
      <c r="M584" t="n">
        <v>0</v>
      </c>
      <c r="N584" t="n">
        <v>0</v>
      </c>
      <c r="O584" t="n">
        <v>0</v>
      </c>
      <c r="P584" t="n">
        <v>0</v>
      </c>
      <c r="Q584" t="n">
        <v>0</v>
      </c>
      <c r="R584" s="2" t="inlineStr"/>
    </row>
    <row r="585" ht="15" customHeight="1">
      <c r="A585" t="inlineStr">
        <is>
          <t>A 4067-2024</t>
        </is>
      </c>
      <c r="B585" s="1" t="n">
        <v>45323</v>
      </c>
      <c r="C585" s="1" t="n">
        <v>46196</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10823-2023</t>
        </is>
      </c>
      <c r="B586" s="1" t="n">
        <v>44990</v>
      </c>
      <c r="C586" s="1" t="n">
        <v>46196</v>
      </c>
      <c r="D586" t="inlineStr">
        <is>
          <t>ÖREBRO LÄN</t>
        </is>
      </c>
      <c r="E586" t="inlineStr">
        <is>
          <t>LINDESBERG</t>
        </is>
      </c>
      <c r="G586" t="n">
        <v>1.8</v>
      </c>
      <c r="H586" t="n">
        <v>0</v>
      </c>
      <c r="I586" t="n">
        <v>0</v>
      </c>
      <c r="J586" t="n">
        <v>0</v>
      </c>
      <c r="K586" t="n">
        <v>0</v>
      </c>
      <c r="L586" t="n">
        <v>0</v>
      </c>
      <c r="M586" t="n">
        <v>0</v>
      </c>
      <c r="N586" t="n">
        <v>0</v>
      </c>
      <c r="O586" t="n">
        <v>0</v>
      </c>
      <c r="P586" t="n">
        <v>0</v>
      </c>
      <c r="Q586" t="n">
        <v>0</v>
      </c>
      <c r="R586" s="2" t="inlineStr"/>
    </row>
    <row r="587" ht="15" customHeight="1">
      <c r="A587" t="inlineStr">
        <is>
          <t>A 8902-2024</t>
        </is>
      </c>
      <c r="B587" s="1" t="n">
        <v>45357</v>
      </c>
      <c r="C587" s="1" t="n">
        <v>46196</v>
      </c>
      <c r="D587" t="inlineStr">
        <is>
          <t>ÖREBRO LÄN</t>
        </is>
      </c>
      <c r="E587" t="inlineStr">
        <is>
          <t>LINDESBERG</t>
        </is>
      </c>
      <c r="F587" t="inlineStr">
        <is>
          <t>Kommuner</t>
        </is>
      </c>
      <c r="G587" t="n">
        <v>0.5</v>
      </c>
      <c r="H587" t="n">
        <v>0</v>
      </c>
      <c r="I587" t="n">
        <v>0</v>
      </c>
      <c r="J587" t="n">
        <v>0</v>
      </c>
      <c r="K587" t="n">
        <v>0</v>
      </c>
      <c r="L587" t="n">
        <v>0</v>
      </c>
      <c r="M587" t="n">
        <v>0</v>
      </c>
      <c r="N587" t="n">
        <v>0</v>
      </c>
      <c r="O587" t="n">
        <v>0</v>
      </c>
      <c r="P587" t="n">
        <v>0</v>
      </c>
      <c r="Q587" t="n">
        <v>0</v>
      </c>
      <c r="R587" s="2" t="inlineStr"/>
    </row>
    <row r="588" ht="15" customHeight="1">
      <c r="A588" t="inlineStr">
        <is>
          <t>A 40305-2024</t>
        </is>
      </c>
      <c r="B588" s="1" t="n">
        <v>45554</v>
      </c>
      <c r="C588" s="1" t="n">
        <v>46196</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19436-2025</t>
        </is>
      </c>
      <c r="B589" s="1" t="n">
        <v>45769</v>
      </c>
      <c r="C589" s="1" t="n">
        <v>46196</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22829-2023</t>
        </is>
      </c>
      <c r="B590" s="1" t="n">
        <v>45072</v>
      </c>
      <c r="C590" s="1" t="n">
        <v>46196</v>
      </c>
      <c r="D590" t="inlineStr">
        <is>
          <t>ÖREBRO LÄN</t>
        </is>
      </c>
      <c r="E590" t="inlineStr">
        <is>
          <t>LINDESBERG</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28463-2024</t>
        </is>
      </c>
      <c r="B591" s="1" t="n">
        <v>45477</v>
      </c>
      <c r="C591" s="1" t="n">
        <v>46196</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15822-2024</t>
        </is>
      </c>
      <c r="B592" s="1" t="n">
        <v>45404</v>
      </c>
      <c r="C592" s="1" t="n">
        <v>46196</v>
      </c>
      <c r="D592" t="inlineStr">
        <is>
          <t>ÖREBRO LÄN</t>
        </is>
      </c>
      <c r="E592" t="inlineStr">
        <is>
          <t>LINDESBERG</t>
        </is>
      </c>
      <c r="F592" t="inlineStr">
        <is>
          <t>Sveaskog</t>
        </is>
      </c>
      <c r="G592" t="n">
        <v>6.7</v>
      </c>
      <c r="H592" t="n">
        <v>0</v>
      </c>
      <c r="I592" t="n">
        <v>0</v>
      </c>
      <c r="J592" t="n">
        <v>0</v>
      </c>
      <c r="K592" t="n">
        <v>0</v>
      </c>
      <c r="L592" t="n">
        <v>0</v>
      </c>
      <c r="M592" t="n">
        <v>0</v>
      </c>
      <c r="N592" t="n">
        <v>0</v>
      </c>
      <c r="O592" t="n">
        <v>0</v>
      </c>
      <c r="P592" t="n">
        <v>0</v>
      </c>
      <c r="Q592" t="n">
        <v>0</v>
      </c>
      <c r="R592" s="2" t="inlineStr"/>
    </row>
    <row r="593" ht="15" customHeight="1">
      <c r="A593" t="inlineStr">
        <is>
          <t>A 2107-2022</t>
        </is>
      </c>
      <c r="B593" s="1" t="n">
        <v>44577</v>
      </c>
      <c r="C593" s="1" t="n">
        <v>46196</v>
      </c>
      <c r="D593" t="inlineStr">
        <is>
          <t>ÖREBRO LÄN</t>
        </is>
      </c>
      <c r="E593" t="inlineStr">
        <is>
          <t>LINDESBERG</t>
        </is>
      </c>
      <c r="G593" t="n">
        <v>2.9</v>
      </c>
      <c r="H593" t="n">
        <v>0</v>
      </c>
      <c r="I593" t="n">
        <v>0</v>
      </c>
      <c r="J593" t="n">
        <v>0</v>
      </c>
      <c r="K593" t="n">
        <v>0</v>
      </c>
      <c r="L593" t="n">
        <v>0</v>
      </c>
      <c r="M593" t="n">
        <v>0</v>
      </c>
      <c r="N593" t="n">
        <v>0</v>
      </c>
      <c r="O593" t="n">
        <v>0</v>
      </c>
      <c r="P593" t="n">
        <v>0</v>
      </c>
      <c r="Q593" t="n">
        <v>0</v>
      </c>
      <c r="R593" s="2" t="inlineStr"/>
    </row>
    <row r="594" ht="15" customHeight="1">
      <c r="A594" t="inlineStr">
        <is>
          <t>A 23607-2023</t>
        </is>
      </c>
      <c r="B594" s="1" t="n">
        <v>45077</v>
      </c>
      <c r="C594" s="1" t="n">
        <v>46196</v>
      </c>
      <c r="D594" t="inlineStr">
        <is>
          <t>ÖREBRO LÄN</t>
        </is>
      </c>
      <c r="E594" t="inlineStr">
        <is>
          <t>LINDESBERG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46219-2022</t>
        </is>
      </c>
      <c r="B595" s="1" t="n">
        <v>44846</v>
      </c>
      <c r="C595" s="1" t="n">
        <v>46196</v>
      </c>
      <c r="D595" t="inlineStr">
        <is>
          <t>ÖREBRO LÄN</t>
        </is>
      </c>
      <c r="E595" t="inlineStr">
        <is>
          <t>LINDESBERG</t>
        </is>
      </c>
      <c r="G595" t="n">
        <v>6</v>
      </c>
      <c r="H595" t="n">
        <v>0</v>
      </c>
      <c r="I595" t="n">
        <v>0</v>
      </c>
      <c r="J595" t="n">
        <v>0</v>
      </c>
      <c r="K595" t="n">
        <v>0</v>
      </c>
      <c r="L595" t="n">
        <v>0</v>
      </c>
      <c r="M595" t="n">
        <v>0</v>
      </c>
      <c r="N595" t="n">
        <v>0</v>
      </c>
      <c r="O595" t="n">
        <v>0</v>
      </c>
      <c r="P595" t="n">
        <v>0</v>
      </c>
      <c r="Q595" t="n">
        <v>0</v>
      </c>
      <c r="R595" s="2" t="inlineStr"/>
    </row>
    <row r="596" ht="15" customHeight="1">
      <c r="A596" t="inlineStr">
        <is>
          <t>A 5358-2022</t>
        </is>
      </c>
      <c r="B596" s="1" t="n">
        <v>44594</v>
      </c>
      <c r="C596" s="1" t="n">
        <v>46196</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60943-2024</t>
        </is>
      </c>
      <c r="B597" s="1" t="n">
        <v>45645</v>
      </c>
      <c r="C597" s="1" t="n">
        <v>46196</v>
      </c>
      <c r="D597" t="inlineStr">
        <is>
          <t>ÖREBRO LÄN</t>
        </is>
      </c>
      <c r="E597" t="inlineStr">
        <is>
          <t>LINDESBERG</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41948-2023</t>
        </is>
      </c>
      <c r="B598" s="1" t="n">
        <v>45177</v>
      </c>
      <c r="C598" s="1" t="n">
        <v>46196</v>
      </c>
      <c r="D598" t="inlineStr">
        <is>
          <t>ÖREBRO LÄN</t>
        </is>
      </c>
      <c r="E598" t="inlineStr">
        <is>
          <t>LINDESBERG</t>
        </is>
      </c>
      <c r="F598" t="inlineStr">
        <is>
          <t>Kyrkan</t>
        </is>
      </c>
      <c r="G598" t="n">
        <v>1.4</v>
      </c>
      <c r="H598" t="n">
        <v>0</v>
      </c>
      <c r="I598" t="n">
        <v>0</v>
      </c>
      <c r="J598" t="n">
        <v>0</v>
      </c>
      <c r="K598" t="n">
        <v>0</v>
      </c>
      <c r="L598" t="n">
        <v>0</v>
      </c>
      <c r="M598" t="n">
        <v>0</v>
      </c>
      <c r="N598" t="n">
        <v>0</v>
      </c>
      <c r="O598" t="n">
        <v>0</v>
      </c>
      <c r="P598" t="n">
        <v>0</v>
      </c>
      <c r="Q598" t="n">
        <v>0</v>
      </c>
      <c r="R598" s="2" t="inlineStr"/>
    </row>
    <row r="599" ht="15" customHeight="1">
      <c r="A599" t="inlineStr">
        <is>
          <t>A 61597-2023</t>
        </is>
      </c>
      <c r="B599" s="1" t="n">
        <v>45265</v>
      </c>
      <c r="C599" s="1" t="n">
        <v>46196</v>
      </c>
      <c r="D599" t="inlineStr">
        <is>
          <t>ÖREBRO LÄN</t>
        </is>
      </c>
      <c r="E599" t="inlineStr">
        <is>
          <t>LINDESBERG</t>
        </is>
      </c>
      <c r="G599" t="n">
        <v>10.3</v>
      </c>
      <c r="H599" t="n">
        <v>0</v>
      </c>
      <c r="I599" t="n">
        <v>0</v>
      </c>
      <c r="J599" t="n">
        <v>0</v>
      </c>
      <c r="K599" t="n">
        <v>0</v>
      </c>
      <c r="L599" t="n">
        <v>0</v>
      </c>
      <c r="M599" t="n">
        <v>0</v>
      </c>
      <c r="N599" t="n">
        <v>0</v>
      </c>
      <c r="O599" t="n">
        <v>0</v>
      </c>
      <c r="P599" t="n">
        <v>0</v>
      </c>
      <c r="Q599" t="n">
        <v>0</v>
      </c>
      <c r="R599" s="2" t="inlineStr"/>
    </row>
    <row r="600" ht="15" customHeight="1">
      <c r="A600" t="inlineStr">
        <is>
          <t>A 41582-2021</t>
        </is>
      </c>
      <c r="B600" s="1" t="n">
        <v>44425</v>
      </c>
      <c r="C600" s="1" t="n">
        <v>46196</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67016-2021</t>
        </is>
      </c>
      <c r="B601" s="1" t="n">
        <v>44522</v>
      </c>
      <c r="C601" s="1" t="n">
        <v>46196</v>
      </c>
      <c r="D601" t="inlineStr">
        <is>
          <t>ÖREBRO LÄN</t>
        </is>
      </c>
      <c r="E601" t="inlineStr">
        <is>
          <t>LINDESBERG</t>
        </is>
      </c>
      <c r="G601" t="n">
        <v>8</v>
      </c>
      <c r="H601" t="n">
        <v>0</v>
      </c>
      <c r="I601" t="n">
        <v>0</v>
      </c>
      <c r="J601" t="n">
        <v>0</v>
      </c>
      <c r="K601" t="n">
        <v>0</v>
      </c>
      <c r="L601" t="n">
        <v>0</v>
      </c>
      <c r="M601" t="n">
        <v>0</v>
      </c>
      <c r="N601" t="n">
        <v>0</v>
      </c>
      <c r="O601" t="n">
        <v>0</v>
      </c>
      <c r="P601" t="n">
        <v>0</v>
      </c>
      <c r="Q601" t="n">
        <v>0</v>
      </c>
      <c r="R601" s="2" t="inlineStr"/>
    </row>
    <row r="602" ht="15" customHeight="1">
      <c r="A602" t="inlineStr">
        <is>
          <t>A 7026-2024</t>
        </is>
      </c>
      <c r="B602" s="1" t="n">
        <v>45343</v>
      </c>
      <c r="C602" s="1" t="n">
        <v>46196</v>
      </c>
      <c r="D602" t="inlineStr">
        <is>
          <t>ÖREBRO LÄN</t>
        </is>
      </c>
      <c r="E602" t="inlineStr">
        <is>
          <t>LINDESBERG</t>
        </is>
      </c>
      <c r="G602" t="n">
        <v>2.4</v>
      </c>
      <c r="H602" t="n">
        <v>0</v>
      </c>
      <c r="I602" t="n">
        <v>0</v>
      </c>
      <c r="J602" t="n">
        <v>0</v>
      </c>
      <c r="K602" t="n">
        <v>0</v>
      </c>
      <c r="L602" t="n">
        <v>0</v>
      </c>
      <c r="M602" t="n">
        <v>0</v>
      </c>
      <c r="N602" t="n">
        <v>0</v>
      </c>
      <c r="O602" t="n">
        <v>0</v>
      </c>
      <c r="P602" t="n">
        <v>0</v>
      </c>
      <c r="Q602" t="n">
        <v>0</v>
      </c>
      <c r="R602" s="2" t="inlineStr"/>
    </row>
    <row r="603" ht="15" customHeight="1">
      <c r="A603" t="inlineStr">
        <is>
          <t>A 4013-2025</t>
        </is>
      </c>
      <c r="B603" s="1" t="n">
        <v>45684</v>
      </c>
      <c r="C603" s="1" t="n">
        <v>46196</v>
      </c>
      <c r="D603" t="inlineStr">
        <is>
          <t>ÖREBRO LÄN</t>
        </is>
      </c>
      <c r="E603" t="inlineStr">
        <is>
          <t>LINDESBERG</t>
        </is>
      </c>
      <c r="G603" t="n">
        <v>0.9</v>
      </c>
      <c r="H603" t="n">
        <v>0</v>
      </c>
      <c r="I603" t="n">
        <v>0</v>
      </c>
      <c r="J603" t="n">
        <v>0</v>
      </c>
      <c r="K603" t="n">
        <v>0</v>
      </c>
      <c r="L603" t="n">
        <v>0</v>
      </c>
      <c r="M603" t="n">
        <v>0</v>
      </c>
      <c r="N603" t="n">
        <v>0</v>
      </c>
      <c r="O603" t="n">
        <v>0</v>
      </c>
      <c r="P603" t="n">
        <v>0</v>
      </c>
      <c r="Q603" t="n">
        <v>0</v>
      </c>
      <c r="R603" s="2" t="inlineStr"/>
    </row>
    <row r="604" ht="15" customHeight="1">
      <c r="A604" t="inlineStr">
        <is>
          <t>A 33978-2023</t>
        </is>
      </c>
      <c r="B604" s="1" t="n">
        <v>45134</v>
      </c>
      <c r="C604" s="1" t="n">
        <v>46196</v>
      </c>
      <c r="D604" t="inlineStr">
        <is>
          <t>ÖREBRO LÄN</t>
        </is>
      </c>
      <c r="E604" t="inlineStr">
        <is>
          <t>LINDESBERG</t>
        </is>
      </c>
      <c r="G604" t="n">
        <v>4.1</v>
      </c>
      <c r="H604" t="n">
        <v>0</v>
      </c>
      <c r="I604" t="n">
        <v>0</v>
      </c>
      <c r="J604" t="n">
        <v>0</v>
      </c>
      <c r="K604" t="n">
        <v>0</v>
      </c>
      <c r="L604" t="n">
        <v>0</v>
      </c>
      <c r="M604" t="n">
        <v>0</v>
      </c>
      <c r="N604" t="n">
        <v>0</v>
      </c>
      <c r="O604" t="n">
        <v>0</v>
      </c>
      <c r="P604" t="n">
        <v>0</v>
      </c>
      <c r="Q604" t="n">
        <v>0</v>
      </c>
      <c r="R604" s="2" t="inlineStr"/>
    </row>
    <row r="605" ht="15" customHeight="1">
      <c r="A605" t="inlineStr">
        <is>
          <t>A 55272-2023</t>
        </is>
      </c>
      <c r="B605" s="1" t="n">
        <v>45237</v>
      </c>
      <c r="C605" s="1" t="n">
        <v>46196</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12307-2025</t>
        </is>
      </c>
      <c r="B606" s="1" t="n">
        <v>45729</v>
      </c>
      <c r="C606" s="1" t="n">
        <v>46196</v>
      </c>
      <c r="D606" t="inlineStr">
        <is>
          <t>ÖREBRO LÄN</t>
        </is>
      </c>
      <c r="E606" t="inlineStr">
        <is>
          <t>LINDESBERG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8834-2023</t>
        </is>
      </c>
      <c r="B607" s="1" t="n">
        <v>44978</v>
      </c>
      <c r="C607" s="1" t="n">
        <v>46196</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51071-2022</t>
        </is>
      </c>
      <c r="B608" s="1" t="n">
        <v>44868</v>
      </c>
      <c r="C608" s="1" t="n">
        <v>46196</v>
      </c>
      <c r="D608" t="inlineStr">
        <is>
          <t>ÖREBRO LÄN</t>
        </is>
      </c>
      <c r="E608" t="inlineStr">
        <is>
          <t>LINDESBERG</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60926-2024</t>
        </is>
      </c>
      <c r="B609" s="1" t="n">
        <v>45645</v>
      </c>
      <c r="C609" s="1" t="n">
        <v>46196</v>
      </c>
      <c r="D609" t="inlineStr">
        <is>
          <t>ÖREBRO LÄN</t>
        </is>
      </c>
      <c r="E609" t="inlineStr">
        <is>
          <t>LINDESBERG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35229-2024</t>
        </is>
      </c>
      <c r="B610" s="1" t="n">
        <v>45530</v>
      </c>
      <c r="C610" s="1" t="n">
        <v>46196</v>
      </c>
      <c r="D610" t="inlineStr">
        <is>
          <t>ÖREBRO LÄN</t>
        </is>
      </c>
      <c r="E610" t="inlineStr">
        <is>
          <t>LINDESBERG</t>
        </is>
      </c>
      <c r="G610" t="n">
        <v>0.8</v>
      </c>
      <c r="H610" t="n">
        <v>0</v>
      </c>
      <c r="I610" t="n">
        <v>0</v>
      </c>
      <c r="J610" t="n">
        <v>0</v>
      </c>
      <c r="K610" t="n">
        <v>0</v>
      </c>
      <c r="L610" t="n">
        <v>0</v>
      </c>
      <c r="M610" t="n">
        <v>0</v>
      </c>
      <c r="N610" t="n">
        <v>0</v>
      </c>
      <c r="O610" t="n">
        <v>0</v>
      </c>
      <c r="P610" t="n">
        <v>0</v>
      </c>
      <c r="Q610" t="n">
        <v>0</v>
      </c>
      <c r="R610" s="2" t="inlineStr"/>
    </row>
    <row r="611" ht="15" customHeight="1">
      <c r="A611" t="inlineStr">
        <is>
          <t>A 10822-2023</t>
        </is>
      </c>
      <c r="B611" s="1" t="n">
        <v>44990</v>
      </c>
      <c r="C611" s="1" t="n">
        <v>46196</v>
      </c>
      <c r="D611" t="inlineStr">
        <is>
          <t>ÖREBRO LÄN</t>
        </is>
      </c>
      <c r="E611" t="inlineStr">
        <is>
          <t>LINDESBERG</t>
        </is>
      </c>
      <c r="G611" t="n">
        <v>1.3</v>
      </c>
      <c r="H611" t="n">
        <v>0</v>
      </c>
      <c r="I611" t="n">
        <v>0</v>
      </c>
      <c r="J611" t="n">
        <v>0</v>
      </c>
      <c r="K611" t="n">
        <v>0</v>
      </c>
      <c r="L611" t="n">
        <v>0</v>
      </c>
      <c r="M611" t="n">
        <v>0</v>
      </c>
      <c r="N611" t="n">
        <v>0</v>
      </c>
      <c r="O611" t="n">
        <v>0</v>
      </c>
      <c r="P611" t="n">
        <v>0</v>
      </c>
      <c r="Q611" t="n">
        <v>0</v>
      </c>
      <c r="R611" s="2" t="inlineStr"/>
    </row>
    <row r="612" ht="15" customHeight="1">
      <c r="A612" t="inlineStr">
        <is>
          <t>A 3233-2023</t>
        </is>
      </c>
      <c r="B612" s="1" t="n">
        <v>44946</v>
      </c>
      <c r="C612" s="1" t="n">
        <v>46196</v>
      </c>
      <c r="D612" t="inlineStr">
        <is>
          <t>ÖREBRO LÄN</t>
        </is>
      </c>
      <c r="E612" t="inlineStr">
        <is>
          <t>LINDESBERG</t>
        </is>
      </c>
      <c r="G612" t="n">
        <v>3</v>
      </c>
      <c r="H612" t="n">
        <v>0</v>
      </c>
      <c r="I612" t="n">
        <v>0</v>
      </c>
      <c r="J612" t="n">
        <v>0</v>
      </c>
      <c r="K612" t="n">
        <v>0</v>
      </c>
      <c r="L612" t="n">
        <v>0</v>
      </c>
      <c r="M612" t="n">
        <v>0</v>
      </c>
      <c r="N612" t="n">
        <v>0</v>
      </c>
      <c r="O612" t="n">
        <v>0</v>
      </c>
      <c r="P612" t="n">
        <v>0</v>
      </c>
      <c r="Q612" t="n">
        <v>0</v>
      </c>
      <c r="R612" s="2" t="inlineStr"/>
    </row>
    <row r="613" ht="15" customHeight="1">
      <c r="A613" t="inlineStr">
        <is>
          <t>A 15325-2024</t>
        </is>
      </c>
      <c r="B613" s="1" t="n">
        <v>45400</v>
      </c>
      <c r="C613" s="1" t="n">
        <v>46196</v>
      </c>
      <c r="D613" t="inlineStr">
        <is>
          <t>ÖREBRO LÄN</t>
        </is>
      </c>
      <c r="E613" t="inlineStr">
        <is>
          <t>LINDESBERG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40970-2023</t>
        </is>
      </c>
      <c r="B614" s="1" t="n">
        <v>45173</v>
      </c>
      <c r="C614" s="1" t="n">
        <v>46196</v>
      </c>
      <c r="D614" t="inlineStr">
        <is>
          <t>ÖREBRO LÄN</t>
        </is>
      </c>
      <c r="E614" t="inlineStr">
        <is>
          <t>LINDESBERG</t>
        </is>
      </c>
      <c r="G614" t="n">
        <v>2.1</v>
      </c>
      <c r="H614" t="n">
        <v>0</v>
      </c>
      <c r="I614" t="n">
        <v>0</v>
      </c>
      <c r="J614" t="n">
        <v>0</v>
      </c>
      <c r="K614" t="n">
        <v>0</v>
      </c>
      <c r="L614" t="n">
        <v>0</v>
      </c>
      <c r="M614" t="n">
        <v>0</v>
      </c>
      <c r="N614" t="n">
        <v>0</v>
      </c>
      <c r="O614" t="n">
        <v>0</v>
      </c>
      <c r="P614" t="n">
        <v>0</v>
      </c>
      <c r="Q614" t="n">
        <v>0</v>
      </c>
      <c r="R614" s="2" t="inlineStr"/>
    </row>
    <row r="615" ht="15" customHeight="1">
      <c r="A615" t="inlineStr">
        <is>
          <t>A 58662-2022</t>
        </is>
      </c>
      <c r="B615" s="1" t="n">
        <v>44902</v>
      </c>
      <c r="C615" s="1" t="n">
        <v>46196</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28031-2023</t>
        </is>
      </c>
      <c r="B616" s="1" t="n">
        <v>45099</v>
      </c>
      <c r="C616" s="1" t="n">
        <v>46196</v>
      </c>
      <c r="D616" t="inlineStr">
        <is>
          <t>ÖREBRO LÄN</t>
        </is>
      </c>
      <c r="E616" t="inlineStr">
        <is>
          <t>LINDESBERG</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4310-2025</t>
        </is>
      </c>
      <c r="B617" s="1" t="n">
        <v>45685</v>
      </c>
      <c r="C617" s="1" t="n">
        <v>46196</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47110-2024</t>
        </is>
      </c>
      <c r="B618" s="1" t="n">
        <v>45586</v>
      </c>
      <c r="C618" s="1" t="n">
        <v>46196</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27440-2023</t>
        </is>
      </c>
      <c r="B619" s="1" t="n">
        <v>45097</v>
      </c>
      <c r="C619" s="1" t="n">
        <v>46196</v>
      </c>
      <c r="D619" t="inlineStr">
        <is>
          <t>ÖREBRO LÄN</t>
        </is>
      </c>
      <c r="E619" t="inlineStr">
        <is>
          <t>LINDESBERG</t>
        </is>
      </c>
      <c r="G619" t="n">
        <v>6.6</v>
      </c>
      <c r="H619" t="n">
        <v>0</v>
      </c>
      <c r="I619" t="n">
        <v>0</v>
      </c>
      <c r="J619" t="n">
        <v>0</v>
      </c>
      <c r="K619" t="n">
        <v>0</v>
      </c>
      <c r="L619" t="n">
        <v>0</v>
      </c>
      <c r="M619" t="n">
        <v>0</v>
      </c>
      <c r="N619" t="n">
        <v>0</v>
      </c>
      <c r="O619" t="n">
        <v>0</v>
      </c>
      <c r="P619" t="n">
        <v>0</v>
      </c>
      <c r="Q619" t="n">
        <v>0</v>
      </c>
      <c r="R619" s="2" t="inlineStr"/>
    </row>
    <row r="620" ht="15" customHeight="1">
      <c r="A620" t="inlineStr">
        <is>
          <t>A 39137-2024</t>
        </is>
      </c>
      <c r="B620" s="1" t="n">
        <v>45548</v>
      </c>
      <c r="C620" s="1" t="n">
        <v>46196</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39152-2024</t>
        </is>
      </c>
      <c r="B621" s="1" t="n">
        <v>45548</v>
      </c>
      <c r="C621" s="1" t="n">
        <v>46196</v>
      </c>
      <c r="D621" t="inlineStr">
        <is>
          <t>ÖREBRO LÄN</t>
        </is>
      </c>
      <c r="E621" t="inlineStr">
        <is>
          <t>LINDESBERG</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21245-2024</t>
        </is>
      </c>
      <c r="B622" s="1" t="n">
        <v>45440</v>
      </c>
      <c r="C622" s="1" t="n">
        <v>46196</v>
      </c>
      <c r="D622" t="inlineStr">
        <is>
          <t>ÖREBRO LÄN</t>
        </is>
      </c>
      <c r="E622" t="inlineStr">
        <is>
          <t>LINDESBERG</t>
        </is>
      </c>
      <c r="G622" t="n">
        <v>2</v>
      </c>
      <c r="H622" t="n">
        <v>0</v>
      </c>
      <c r="I622" t="n">
        <v>0</v>
      </c>
      <c r="J622" t="n">
        <v>0</v>
      </c>
      <c r="K622" t="n">
        <v>0</v>
      </c>
      <c r="L622" t="n">
        <v>0</v>
      </c>
      <c r="M622" t="n">
        <v>0</v>
      </c>
      <c r="N622" t="n">
        <v>0</v>
      </c>
      <c r="O622" t="n">
        <v>0</v>
      </c>
      <c r="P622" t="n">
        <v>0</v>
      </c>
      <c r="Q622" t="n">
        <v>0</v>
      </c>
      <c r="R622" s="2" t="inlineStr"/>
    </row>
    <row r="623" ht="15" customHeight="1">
      <c r="A623" t="inlineStr">
        <is>
          <t>A 61601-2024</t>
        </is>
      </c>
      <c r="B623" s="1" t="n">
        <v>45646</v>
      </c>
      <c r="C623" s="1" t="n">
        <v>46196</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6604-2024</t>
        </is>
      </c>
      <c r="B624" s="1" t="n">
        <v>45341</v>
      </c>
      <c r="C624" s="1" t="n">
        <v>46196</v>
      </c>
      <c r="D624" t="inlineStr">
        <is>
          <t>ÖREBRO LÄN</t>
        </is>
      </c>
      <c r="E624" t="inlineStr">
        <is>
          <t>LINDESBERG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42410-2024</t>
        </is>
      </c>
      <c r="B625" s="1" t="n">
        <v>45565</v>
      </c>
      <c r="C625" s="1" t="n">
        <v>46196</v>
      </c>
      <c r="D625" t="inlineStr">
        <is>
          <t>ÖREBRO LÄN</t>
        </is>
      </c>
      <c r="E625" t="inlineStr">
        <is>
          <t>LINDESBERG</t>
        </is>
      </c>
      <c r="G625" t="n">
        <v>1.1</v>
      </c>
      <c r="H625" t="n">
        <v>0</v>
      </c>
      <c r="I625" t="n">
        <v>0</v>
      </c>
      <c r="J625" t="n">
        <v>0</v>
      </c>
      <c r="K625" t="n">
        <v>0</v>
      </c>
      <c r="L625" t="n">
        <v>0</v>
      </c>
      <c r="M625" t="n">
        <v>0</v>
      </c>
      <c r="N625" t="n">
        <v>0</v>
      </c>
      <c r="O625" t="n">
        <v>0</v>
      </c>
      <c r="P625" t="n">
        <v>0</v>
      </c>
      <c r="Q625" t="n">
        <v>0</v>
      </c>
      <c r="R625" s="2" t="inlineStr"/>
    </row>
    <row r="626" ht="15" customHeight="1">
      <c r="A626" t="inlineStr">
        <is>
          <t>A 9140-2025</t>
        </is>
      </c>
      <c r="B626" s="1" t="n">
        <v>45714</v>
      </c>
      <c r="C626" s="1" t="n">
        <v>46196</v>
      </c>
      <c r="D626" t="inlineStr">
        <is>
          <t>ÖREBRO LÄN</t>
        </is>
      </c>
      <c r="E626" t="inlineStr">
        <is>
          <t>LINDESBERG</t>
        </is>
      </c>
      <c r="G626" t="n">
        <v>0.8</v>
      </c>
      <c r="H626" t="n">
        <v>0</v>
      </c>
      <c r="I626" t="n">
        <v>0</v>
      </c>
      <c r="J626" t="n">
        <v>0</v>
      </c>
      <c r="K626" t="n">
        <v>0</v>
      </c>
      <c r="L626" t="n">
        <v>0</v>
      </c>
      <c r="M626" t="n">
        <v>0</v>
      </c>
      <c r="N626" t="n">
        <v>0</v>
      </c>
      <c r="O626" t="n">
        <v>0</v>
      </c>
      <c r="P626" t="n">
        <v>0</v>
      </c>
      <c r="Q626" t="n">
        <v>0</v>
      </c>
      <c r="R626" s="2" t="inlineStr"/>
    </row>
    <row r="627" ht="15" customHeight="1">
      <c r="A627" t="inlineStr">
        <is>
          <t>A 53168-2023</t>
        </is>
      </c>
      <c r="B627" s="1" t="n">
        <v>45229</v>
      </c>
      <c r="C627" s="1" t="n">
        <v>46196</v>
      </c>
      <c r="D627" t="inlineStr">
        <is>
          <t>ÖREBRO LÄN</t>
        </is>
      </c>
      <c r="E627" t="inlineStr">
        <is>
          <t>LINDESBERG</t>
        </is>
      </c>
      <c r="G627" t="n">
        <v>1.5</v>
      </c>
      <c r="H627" t="n">
        <v>0</v>
      </c>
      <c r="I627" t="n">
        <v>0</v>
      </c>
      <c r="J627" t="n">
        <v>0</v>
      </c>
      <c r="K627" t="n">
        <v>0</v>
      </c>
      <c r="L627" t="n">
        <v>0</v>
      </c>
      <c r="M627" t="n">
        <v>0</v>
      </c>
      <c r="N627" t="n">
        <v>0</v>
      </c>
      <c r="O627" t="n">
        <v>0</v>
      </c>
      <c r="P627" t="n">
        <v>0</v>
      </c>
      <c r="Q627" t="n">
        <v>0</v>
      </c>
      <c r="R627" s="2" t="inlineStr"/>
    </row>
    <row r="628" ht="15" customHeight="1">
      <c r="A628" t="inlineStr">
        <is>
          <t>A 36748-2024</t>
        </is>
      </c>
      <c r="B628" s="1" t="n">
        <v>45538</v>
      </c>
      <c r="C628" s="1" t="n">
        <v>46196</v>
      </c>
      <c r="D628" t="inlineStr">
        <is>
          <t>ÖREBRO LÄN</t>
        </is>
      </c>
      <c r="E628" t="inlineStr">
        <is>
          <t>LINDESBERG</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64427-2021</t>
        </is>
      </c>
      <c r="B629" s="1" t="n">
        <v>44511</v>
      </c>
      <c r="C629" s="1" t="n">
        <v>46196</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53352-2023</t>
        </is>
      </c>
      <c r="B630" s="1" t="n">
        <v>45229</v>
      </c>
      <c r="C630" s="1" t="n">
        <v>46196</v>
      </c>
      <c r="D630" t="inlineStr">
        <is>
          <t>ÖREBRO LÄN</t>
        </is>
      </c>
      <c r="E630" t="inlineStr">
        <is>
          <t>LINDESBERG</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6727-2022</t>
        </is>
      </c>
      <c r="B631" s="1" t="n">
        <v>44602</v>
      </c>
      <c r="C631" s="1" t="n">
        <v>46196</v>
      </c>
      <c r="D631" t="inlineStr">
        <is>
          <t>ÖREBRO LÄN</t>
        </is>
      </c>
      <c r="E631" t="inlineStr">
        <is>
          <t>LINDESBERG</t>
        </is>
      </c>
      <c r="G631" t="n">
        <v>0.8</v>
      </c>
      <c r="H631" t="n">
        <v>0</v>
      </c>
      <c r="I631" t="n">
        <v>0</v>
      </c>
      <c r="J631" t="n">
        <v>0</v>
      </c>
      <c r="K631" t="n">
        <v>0</v>
      </c>
      <c r="L631" t="n">
        <v>0</v>
      </c>
      <c r="M631" t="n">
        <v>0</v>
      </c>
      <c r="N631" t="n">
        <v>0</v>
      </c>
      <c r="O631" t="n">
        <v>0</v>
      </c>
      <c r="P631" t="n">
        <v>0</v>
      </c>
      <c r="Q631" t="n">
        <v>0</v>
      </c>
      <c r="R631" s="2" t="inlineStr"/>
    </row>
    <row r="632" ht="15" customHeight="1">
      <c r="A632" t="inlineStr">
        <is>
          <t>A 13969-2025</t>
        </is>
      </c>
      <c r="B632" s="1" t="n">
        <v>45738</v>
      </c>
      <c r="C632" s="1" t="n">
        <v>46196</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53366-2023</t>
        </is>
      </c>
      <c r="B633" s="1" t="n">
        <v>45229</v>
      </c>
      <c r="C633" s="1" t="n">
        <v>46196</v>
      </c>
      <c r="D633" t="inlineStr">
        <is>
          <t>ÖREBRO LÄN</t>
        </is>
      </c>
      <c r="E633" t="inlineStr">
        <is>
          <t>LINDESBERG</t>
        </is>
      </c>
      <c r="G633" t="n">
        <v>1.9</v>
      </c>
      <c r="H633" t="n">
        <v>0</v>
      </c>
      <c r="I633" t="n">
        <v>0</v>
      </c>
      <c r="J633" t="n">
        <v>0</v>
      </c>
      <c r="K633" t="n">
        <v>0</v>
      </c>
      <c r="L633" t="n">
        <v>0</v>
      </c>
      <c r="M633" t="n">
        <v>0</v>
      </c>
      <c r="N633" t="n">
        <v>0</v>
      </c>
      <c r="O633" t="n">
        <v>0</v>
      </c>
      <c r="P633" t="n">
        <v>0</v>
      </c>
      <c r="Q633" t="n">
        <v>0</v>
      </c>
      <c r="R633" s="2" t="inlineStr"/>
    </row>
    <row r="634" ht="15" customHeight="1">
      <c r="A634" t="inlineStr">
        <is>
          <t>A 42430-2024</t>
        </is>
      </c>
      <c r="B634" s="1" t="n">
        <v>45565</v>
      </c>
      <c r="C634" s="1" t="n">
        <v>46196</v>
      </c>
      <c r="D634" t="inlineStr">
        <is>
          <t>ÖREBRO LÄN</t>
        </is>
      </c>
      <c r="E634" t="inlineStr">
        <is>
          <t>LINDESBERG</t>
        </is>
      </c>
      <c r="G634" t="n">
        <v>4</v>
      </c>
      <c r="H634" t="n">
        <v>0</v>
      </c>
      <c r="I634" t="n">
        <v>0</v>
      </c>
      <c r="J634" t="n">
        <v>0</v>
      </c>
      <c r="K634" t="n">
        <v>0</v>
      </c>
      <c r="L634" t="n">
        <v>0</v>
      </c>
      <c r="M634" t="n">
        <v>0</v>
      </c>
      <c r="N634" t="n">
        <v>0</v>
      </c>
      <c r="O634" t="n">
        <v>0</v>
      </c>
      <c r="P634" t="n">
        <v>0</v>
      </c>
      <c r="Q634" t="n">
        <v>0</v>
      </c>
      <c r="R634" s="2" t="inlineStr"/>
    </row>
    <row r="635" ht="15" customHeight="1">
      <c r="A635" t="inlineStr">
        <is>
          <t>A 1354-2024</t>
        </is>
      </c>
      <c r="B635" s="1" t="n">
        <v>45303</v>
      </c>
      <c r="C635" s="1" t="n">
        <v>46196</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27001-2024</t>
        </is>
      </c>
      <c r="B636" s="1" t="n">
        <v>45471</v>
      </c>
      <c r="C636" s="1" t="n">
        <v>46196</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26067-2022</t>
        </is>
      </c>
      <c r="B637" s="1" t="n">
        <v>44734</v>
      </c>
      <c r="C637" s="1" t="n">
        <v>46196</v>
      </c>
      <c r="D637" t="inlineStr">
        <is>
          <t>ÖREBRO LÄN</t>
        </is>
      </c>
      <c r="E637" t="inlineStr">
        <is>
          <t>LINDESBERG</t>
        </is>
      </c>
      <c r="G637" t="n">
        <v>3.1</v>
      </c>
      <c r="H637" t="n">
        <v>0</v>
      </c>
      <c r="I637" t="n">
        <v>0</v>
      </c>
      <c r="J637" t="n">
        <v>0</v>
      </c>
      <c r="K637" t="n">
        <v>0</v>
      </c>
      <c r="L637" t="n">
        <v>0</v>
      </c>
      <c r="M637" t="n">
        <v>0</v>
      </c>
      <c r="N637" t="n">
        <v>0</v>
      </c>
      <c r="O637" t="n">
        <v>0</v>
      </c>
      <c r="P637" t="n">
        <v>0</v>
      </c>
      <c r="Q637" t="n">
        <v>0</v>
      </c>
      <c r="R637" s="2" t="inlineStr"/>
    </row>
    <row r="638" ht="15" customHeight="1">
      <c r="A638" t="inlineStr">
        <is>
          <t>A 59395-2022</t>
        </is>
      </c>
      <c r="B638" s="1" t="n">
        <v>44906</v>
      </c>
      <c r="C638" s="1" t="n">
        <v>46196</v>
      </c>
      <c r="D638" t="inlineStr">
        <is>
          <t>ÖREBRO LÄN</t>
        </is>
      </c>
      <c r="E638" t="inlineStr">
        <is>
          <t>LINDESBERG</t>
        </is>
      </c>
      <c r="G638" t="n">
        <v>4.3</v>
      </c>
      <c r="H638" t="n">
        <v>0</v>
      </c>
      <c r="I638" t="n">
        <v>0</v>
      </c>
      <c r="J638" t="n">
        <v>0</v>
      </c>
      <c r="K638" t="n">
        <v>0</v>
      </c>
      <c r="L638" t="n">
        <v>0</v>
      </c>
      <c r="M638" t="n">
        <v>0</v>
      </c>
      <c r="N638" t="n">
        <v>0</v>
      </c>
      <c r="O638" t="n">
        <v>0</v>
      </c>
      <c r="P638" t="n">
        <v>0</v>
      </c>
      <c r="Q638" t="n">
        <v>0</v>
      </c>
      <c r="R638" s="2" t="inlineStr"/>
    </row>
    <row r="639" ht="15" customHeight="1">
      <c r="A639" t="inlineStr">
        <is>
          <t>A 19043-2023</t>
        </is>
      </c>
      <c r="B639" s="1" t="n">
        <v>45047</v>
      </c>
      <c r="C639" s="1" t="n">
        <v>46196</v>
      </c>
      <c r="D639" t="inlineStr">
        <is>
          <t>ÖREBRO LÄN</t>
        </is>
      </c>
      <c r="E639" t="inlineStr">
        <is>
          <t>LINDESBERG</t>
        </is>
      </c>
      <c r="G639" t="n">
        <v>2.6</v>
      </c>
      <c r="H639" t="n">
        <v>0</v>
      </c>
      <c r="I639" t="n">
        <v>0</v>
      </c>
      <c r="J639" t="n">
        <v>0</v>
      </c>
      <c r="K639" t="n">
        <v>0</v>
      </c>
      <c r="L639" t="n">
        <v>0</v>
      </c>
      <c r="M639" t="n">
        <v>0</v>
      </c>
      <c r="N639" t="n">
        <v>0</v>
      </c>
      <c r="O639" t="n">
        <v>0</v>
      </c>
      <c r="P639" t="n">
        <v>0</v>
      </c>
      <c r="Q639" t="n">
        <v>0</v>
      </c>
      <c r="R639" s="2" t="inlineStr"/>
    </row>
    <row r="640" ht="15" customHeight="1">
      <c r="A640" t="inlineStr">
        <is>
          <t>A 41343-2021</t>
        </is>
      </c>
      <c r="B640" s="1" t="n">
        <v>44424</v>
      </c>
      <c r="C640" s="1" t="n">
        <v>46196</v>
      </c>
      <c r="D640" t="inlineStr">
        <is>
          <t>ÖREBRO LÄN</t>
        </is>
      </c>
      <c r="E640" t="inlineStr">
        <is>
          <t>LINDESBERG</t>
        </is>
      </c>
      <c r="G640" t="n">
        <v>8.9</v>
      </c>
      <c r="H640" t="n">
        <v>0</v>
      </c>
      <c r="I640" t="n">
        <v>0</v>
      </c>
      <c r="J640" t="n">
        <v>0</v>
      </c>
      <c r="K640" t="n">
        <v>0</v>
      </c>
      <c r="L640" t="n">
        <v>0</v>
      </c>
      <c r="M640" t="n">
        <v>0</v>
      </c>
      <c r="N640" t="n">
        <v>0</v>
      </c>
      <c r="O640" t="n">
        <v>0</v>
      </c>
      <c r="P640" t="n">
        <v>0</v>
      </c>
      <c r="Q640" t="n">
        <v>0</v>
      </c>
      <c r="R640" s="2" t="inlineStr"/>
    </row>
    <row r="641" ht="15" customHeight="1">
      <c r="A641" t="inlineStr">
        <is>
          <t>A 43416-2024</t>
        </is>
      </c>
      <c r="B641" s="1" t="n">
        <v>45568</v>
      </c>
      <c r="C641" s="1" t="n">
        <v>46196</v>
      </c>
      <c r="D641" t="inlineStr">
        <is>
          <t>ÖREBRO LÄN</t>
        </is>
      </c>
      <c r="E641" t="inlineStr">
        <is>
          <t>LINDESBERG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10654-2023</t>
        </is>
      </c>
      <c r="B642" s="1" t="n">
        <v>44984</v>
      </c>
      <c r="C642" s="1" t="n">
        <v>46196</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63125-2023</t>
        </is>
      </c>
      <c r="B643" s="1" t="n">
        <v>45273</v>
      </c>
      <c r="C643" s="1" t="n">
        <v>46196</v>
      </c>
      <c r="D643" t="inlineStr">
        <is>
          <t>ÖREBRO LÄN</t>
        </is>
      </c>
      <c r="E643" t="inlineStr">
        <is>
          <t>LINDESBERG</t>
        </is>
      </c>
      <c r="G643" t="n">
        <v>1.7</v>
      </c>
      <c r="H643" t="n">
        <v>0</v>
      </c>
      <c r="I643" t="n">
        <v>0</v>
      </c>
      <c r="J643" t="n">
        <v>0</v>
      </c>
      <c r="K643" t="n">
        <v>0</v>
      </c>
      <c r="L643" t="n">
        <v>0</v>
      </c>
      <c r="M643" t="n">
        <v>0</v>
      </c>
      <c r="N643" t="n">
        <v>0</v>
      </c>
      <c r="O643" t="n">
        <v>0</v>
      </c>
      <c r="P643" t="n">
        <v>0</v>
      </c>
      <c r="Q643" t="n">
        <v>0</v>
      </c>
      <c r="R643" s="2" t="inlineStr"/>
    </row>
    <row r="644" ht="15" customHeight="1">
      <c r="A644" t="inlineStr">
        <is>
          <t>A 14454-2024</t>
        </is>
      </c>
      <c r="B644" s="1" t="n">
        <v>45394</v>
      </c>
      <c r="C644" s="1" t="n">
        <v>46196</v>
      </c>
      <c r="D644" t="inlineStr">
        <is>
          <t>ÖREBRO LÄN</t>
        </is>
      </c>
      <c r="E644" t="inlineStr">
        <is>
          <t>LINDESBERG</t>
        </is>
      </c>
      <c r="G644" t="n">
        <v>1.9</v>
      </c>
      <c r="H644" t="n">
        <v>0</v>
      </c>
      <c r="I644" t="n">
        <v>0</v>
      </c>
      <c r="J644" t="n">
        <v>0</v>
      </c>
      <c r="K644" t="n">
        <v>0</v>
      </c>
      <c r="L644" t="n">
        <v>0</v>
      </c>
      <c r="M644" t="n">
        <v>0</v>
      </c>
      <c r="N644" t="n">
        <v>0</v>
      </c>
      <c r="O644" t="n">
        <v>0</v>
      </c>
      <c r="P644" t="n">
        <v>0</v>
      </c>
      <c r="Q644" t="n">
        <v>0</v>
      </c>
      <c r="R644" s="2" t="inlineStr"/>
    </row>
    <row r="645" ht="15" customHeight="1">
      <c r="A645" t="inlineStr">
        <is>
          <t>A 54860-2024</t>
        </is>
      </c>
      <c r="B645" s="1" t="n">
        <v>45618</v>
      </c>
      <c r="C645" s="1" t="n">
        <v>46196</v>
      </c>
      <c r="D645" t="inlineStr">
        <is>
          <t>ÖREBRO LÄN</t>
        </is>
      </c>
      <c r="E645" t="inlineStr">
        <is>
          <t>LINDESBERG</t>
        </is>
      </c>
      <c r="F645" t="inlineStr">
        <is>
          <t>Sveaskog</t>
        </is>
      </c>
      <c r="G645" t="n">
        <v>0.3</v>
      </c>
      <c r="H645" t="n">
        <v>0</v>
      </c>
      <c r="I645" t="n">
        <v>0</v>
      </c>
      <c r="J645" t="n">
        <v>0</v>
      </c>
      <c r="K645" t="n">
        <v>0</v>
      </c>
      <c r="L645" t="n">
        <v>0</v>
      </c>
      <c r="M645" t="n">
        <v>0</v>
      </c>
      <c r="N645" t="n">
        <v>0</v>
      </c>
      <c r="O645" t="n">
        <v>0</v>
      </c>
      <c r="P645" t="n">
        <v>0</v>
      </c>
      <c r="Q645" t="n">
        <v>0</v>
      </c>
      <c r="R645" s="2" t="inlineStr"/>
    </row>
    <row r="646" ht="15" customHeight="1">
      <c r="A646" t="inlineStr">
        <is>
          <t>A 8612-2024</t>
        </is>
      </c>
      <c r="B646" s="1" t="n">
        <v>45355</v>
      </c>
      <c r="C646" s="1" t="n">
        <v>46196</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7126-2025</t>
        </is>
      </c>
      <c r="B647" s="1" t="n">
        <v>45702</v>
      </c>
      <c r="C647" s="1" t="n">
        <v>46196</v>
      </c>
      <c r="D647" t="inlineStr">
        <is>
          <t>ÖREBRO LÄN</t>
        </is>
      </c>
      <c r="E647" t="inlineStr">
        <is>
          <t>LINDESBERG</t>
        </is>
      </c>
      <c r="G647" t="n">
        <v>1.3</v>
      </c>
      <c r="H647" t="n">
        <v>0</v>
      </c>
      <c r="I647" t="n">
        <v>0</v>
      </c>
      <c r="J647" t="n">
        <v>0</v>
      </c>
      <c r="K647" t="n">
        <v>0</v>
      </c>
      <c r="L647" t="n">
        <v>0</v>
      </c>
      <c r="M647" t="n">
        <v>0</v>
      </c>
      <c r="N647" t="n">
        <v>0</v>
      </c>
      <c r="O647" t="n">
        <v>0</v>
      </c>
      <c r="P647" t="n">
        <v>0</v>
      </c>
      <c r="Q647" t="n">
        <v>0</v>
      </c>
      <c r="R647" s="2" t="inlineStr"/>
    </row>
    <row r="648" ht="15" customHeight="1">
      <c r="A648" t="inlineStr">
        <is>
          <t>A 9961-2023</t>
        </is>
      </c>
      <c r="B648" s="1" t="n">
        <v>44979</v>
      </c>
      <c r="C648" s="1" t="n">
        <v>46196</v>
      </c>
      <c r="D648" t="inlineStr">
        <is>
          <t>ÖREBRO LÄN</t>
        </is>
      </c>
      <c r="E648" t="inlineStr">
        <is>
          <t>LINDESBERG</t>
        </is>
      </c>
      <c r="G648" t="n">
        <v>4.8</v>
      </c>
      <c r="H648" t="n">
        <v>0</v>
      </c>
      <c r="I648" t="n">
        <v>0</v>
      </c>
      <c r="J648" t="n">
        <v>0</v>
      </c>
      <c r="K648" t="n">
        <v>0</v>
      </c>
      <c r="L648" t="n">
        <v>0</v>
      </c>
      <c r="M648" t="n">
        <v>0</v>
      </c>
      <c r="N648" t="n">
        <v>0</v>
      </c>
      <c r="O648" t="n">
        <v>0</v>
      </c>
      <c r="P648" t="n">
        <v>0</v>
      </c>
      <c r="Q648" t="n">
        <v>0</v>
      </c>
      <c r="R648" s="2" t="inlineStr"/>
    </row>
    <row r="649" ht="15" customHeight="1">
      <c r="A649" t="inlineStr">
        <is>
          <t>A 5047-2023</t>
        </is>
      </c>
      <c r="B649" s="1" t="n">
        <v>44958</v>
      </c>
      <c r="C649" s="1" t="n">
        <v>46196</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18590-2023</t>
        </is>
      </c>
      <c r="B650" s="1" t="n">
        <v>45043</v>
      </c>
      <c r="C650" s="1" t="n">
        <v>46196</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5784-2025</t>
        </is>
      </c>
      <c r="B651" s="1" t="n">
        <v>45694</v>
      </c>
      <c r="C651" s="1" t="n">
        <v>46196</v>
      </c>
      <c r="D651" t="inlineStr">
        <is>
          <t>ÖREBRO LÄN</t>
        </is>
      </c>
      <c r="E651" t="inlineStr">
        <is>
          <t>LINDESBERG</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16448-2025</t>
        </is>
      </c>
      <c r="B652" s="1" t="n">
        <v>45751</v>
      </c>
      <c r="C652" s="1" t="n">
        <v>46196</v>
      </c>
      <c r="D652" t="inlineStr">
        <is>
          <t>ÖREBRO LÄN</t>
        </is>
      </c>
      <c r="E652" t="inlineStr">
        <is>
          <t>LINDESBERG</t>
        </is>
      </c>
      <c r="G652" t="n">
        <v>20.1</v>
      </c>
      <c r="H652" t="n">
        <v>0</v>
      </c>
      <c r="I652" t="n">
        <v>0</v>
      </c>
      <c r="J652" t="n">
        <v>0</v>
      </c>
      <c r="K652" t="n">
        <v>0</v>
      </c>
      <c r="L652" t="n">
        <v>0</v>
      </c>
      <c r="M652" t="n">
        <v>0</v>
      </c>
      <c r="N652" t="n">
        <v>0</v>
      </c>
      <c r="O652" t="n">
        <v>0</v>
      </c>
      <c r="P652" t="n">
        <v>0</v>
      </c>
      <c r="Q652" t="n">
        <v>0</v>
      </c>
      <c r="R652" s="2" t="inlineStr"/>
    </row>
    <row r="653" ht="15" customHeight="1">
      <c r="A653" t="inlineStr">
        <is>
          <t>A 54432-2023</t>
        </is>
      </c>
      <c r="B653" s="1" t="n">
        <v>45233</v>
      </c>
      <c r="C653" s="1" t="n">
        <v>46196</v>
      </c>
      <c r="D653" t="inlineStr">
        <is>
          <t>ÖREBRO LÄN</t>
        </is>
      </c>
      <c r="E653" t="inlineStr">
        <is>
          <t>LINDESBERG</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9436-2023</t>
        </is>
      </c>
      <c r="B654" s="1" t="n">
        <v>44981</v>
      </c>
      <c r="C654" s="1" t="n">
        <v>46196</v>
      </c>
      <c r="D654" t="inlineStr">
        <is>
          <t>ÖREBRO LÄN</t>
        </is>
      </c>
      <c r="E654" t="inlineStr">
        <is>
          <t>LINDESBERG</t>
        </is>
      </c>
      <c r="G654" t="n">
        <v>2.8</v>
      </c>
      <c r="H654" t="n">
        <v>0</v>
      </c>
      <c r="I654" t="n">
        <v>0</v>
      </c>
      <c r="J654" t="n">
        <v>0</v>
      </c>
      <c r="K654" t="n">
        <v>0</v>
      </c>
      <c r="L654" t="n">
        <v>0</v>
      </c>
      <c r="M654" t="n">
        <v>0</v>
      </c>
      <c r="N654" t="n">
        <v>0</v>
      </c>
      <c r="O654" t="n">
        <v>0</v>
      </c>
      <c r="P654" t="n">
        <v>0</v>
      </c>
      <c r="Q654" t="n">
        <v>0</v>
      </c>
      <c r="R654" s="2" t="inlineStr"/>
    </row>
    <row r="655" ht="15" customHeight="1">
      <c r="A655" t="inlineStr">
        <is>
          <t>A 36747-2024</t>
        </is>
      </c>
      <c r="B655" s="1" t="n">
        <v>45538</v>
      </c>
      <c r="C655" s="1" t="n">
        <v>46196</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13305-2023</t>
        </is>
      </c>
      <c r="B656" s="1" t="n">
        <v>45005</v>
      </c>
      <c r="C656" s="1" t="n">
        <v>46196</v>
      </c>
      <c r="D656" t="inlineStr">
        <is>
          <t>ÖREBRO LÄN</t>
        </is>
      </c>
      <c r="E656" t="inlineStr">
        <is>
          <t>LINDESBERG</t>
        </is>
      </c>
      <c r="G656" t="n">
        <v>5.5</v>
      </c>
      <c r="H656" t="n">
        <v>0</v>
      </c>
      <c r="I656" t="n">
        <v>0</v>
      </c>
      <c r="J656" t="n">
        <v>0</v>
      </c>
      <c r="K656" t="n">
        <v>0</v>
      </c>
      <c r="L656" t="n">
        <v>0</v>
      </c>
      <c r="M656" t="n">
        <v>0</v>
      </c>
      <c r="N656" t="n">
        <v>0</v>
      </c>
      <c r="O656" t="n">
        <v>0</v>
      </c>
      <c r="P656" t="n">
        <v>0</v>
      </c>
      <c r="Q656" t="n">
        <v>0</v>
      </c>
      <c r="R656" s="2" t="inlineStr"/>
    </row>
    <row r="657" ht="15" customHeight="1">
      <c r="A657" t="inlineStr">
        <is>
          <t>A 13368-2023</t>
        </is>
      </c>
      <c r="B657" s="1" t="n">
        <v>45005</v>
      </c>
      <c r="C657" s="1" t="n">
        <v>46196</v>
      </c>
      <c r="D657" t="inlineStr">
        <is>
          <t>ÖREBRO LÄN</t>
        </is>
      </c>
      <c r="E657" t="inlineStr">
        <is>
          <t>LINDESBERG</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56912-2024</t>
        </is>
      </c>
      <c r="B658" s="1" t="n">
        <v>45628</v>
      </c>
      <c r="C658" s="1" t="n">
        <v>46196</v>
      </c>
      <c r="D658" t="inlineStr">
        <is>
          <t>ÖREBRO LÄN</t>
        </is>
      </c>
      <c r="E658" t="inlineStr">
        <is>
          <t>LINDESBERG</t>
        </is>
      </c>
      <c r="G658" t="n">
        <v>1</v>
      </c>
      <c r="H658" t="n">
        <v>0</v>
      </c>
      <c r="I658" t="n">
        <v>0</v>
      </c>
      <c r="J658" t="n">
        <v>0</v>
      </c>
      <c r="K658" t="n">
        <v>0</v>
      </c>
      <c r="L658" t="n">
        <v>0</v>
      </c>
      <c r="M658" t="n">
        <v>0</v>
      </c>
      <c r="N658" t="n">
        <v>0</v>
      </c>
      <c r="O658" t="n">
        <v>0</v>
      </c>
      <c r="P658" t="n">
        <v>0</v>
      </c>
      <c r="Q658" t="n">
        <v>0</v>
      </c>
      <c r="R658" s="2" t="inlineStr"/>
    </row>
    <row r="659" ht="15" customHeight="1">
      <c r="A659" t="inlineStr">
        <is>
          <t>A 15750-2024</t>
        </is>
      </c>
      <c r="B659" s="1" t="n">
        <v>45404</v>
      </c>
      <c r="C659" s="1" t="n">
        <v>46196</v>
      </c>
      <c r="D659" t="inlineStr">
        <is>
          <t>ÖREBRO LÄN</t>
        </is>
      </c>
      <c r="E659" t="inlineStr">
        <is>
          <t>LINDESBERG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72698-2021</t>
        </is>
      </c>
      <c r="B660" s="1" t="n">
        <v>44546</v>
      </c>
      <c r="C660" s="1" t="n">
        <v>46196</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19110-2025</t>
        </is>
      </c>
      <c r="B661" s="1" t="n">
        <v>45768</v>
      </c>
      <c r="C661" s="1" t="n">
        <v>46196</v>
      </c>
      <c r="D661" t="inlineStr">
        <is>
          <t>ÖREBRO LÄN</t>
        </is>
      </c>
      <c r="E661" t="inlineStr">
        <is>
          <t>LINDESBERG</t>
        </is>
      </c>
      <c r="G661" t="n">
        <v>2.6</v>
      </c>
      <c r="H661" t="n">
        <v>0</v>
      </c>
      <c r="I661" t="n">
        <v>0</v>
      </c>
      <c r="J661" t="n">
        <v>0</v>
      </c>
      <c r="K661" t="n">
        <v>0</v>
      </c>
      <c r="L661" t="n">
        <v>0</v>
      </c>
      <c r="M661" t="n">
        <v>0</v>
      </c>
      <c r="N661" t="n">
        <v>0</v>
      </c>
      <c r="O661" t="n">
        <v>0</v>
      </c>
      <c r="P661" t="n">
        <v>0</v>
      </c>
      <c r="Q661" t="n">
        <v>0</v>
      </c>
      <c r="R661" s="2" t="inlineStr"/>
    </row>
    <row r="662" ht="15" customHeight="1">
      <c r="A662" t="inlineStr">
        <is>
          <t>A 46678-2023</t>
        </is>
      </c>
      <c r="B662" s="1" t="n">
        <v>45194</v>
      </c>
      <c r="C662" s="1" t="n">
        <v>46196</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23579-2022</t>
        </is>
      </c>
      <c r="B663" s="1" t="n">
        <v>44721</v>
      </c>
      <c r="C663" s="1" t="n">
        <v>46196</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53054-2022</t>
        </is>
      </c>
      <c r="B664" s="1" t="n">
        <v>44876</v>
      </c>
      <c r="C664" s="1" t="n">
        <v>46196</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20467-2023</t>
        </is>
      </c>
      <c r="B665" s="1" t="n">
        <v>45057</v>
      </c>
      <c r="C665" s="1" t="n">
        <v>46196</v>
      </c>
      <c r="D665" t="inlineStr">
        <is>
          <t>ÖREBRO LÄN</t>
        </is>
      </c>
      <c r="E665" t="inlineStr">
        <is>
          <t>LINDESBERG</t>
        </is>
      </c>
      <c r="G665" t="n">
        <v>2.1</v>
      </c>
      <c r="H665" t="n">
        <v>0</v>
      </c>
      <c r="I665" t="n">
        <v>0</v>
      </c>
      <c r="J665" t="n">
        <v>0</v>
      </c>
      <c r="K665" t="n">
        <v>0</v>
      </c>
      <c r="L665" t="n">
        <v>0</v>
      </c>
      <c r="M665" t="n">
        <v>0</v>
      </c>
      <c r="N665" t="n">
        <v>0</v>
      </c>
      <c r="O665" t="n">
        <v>0</v>
      </c>
      <c r="P665" t="n">
        <v>0</v>
      </c>
      <c r="Q665" t="n">
        <v>0</v>
      </c>
      <c r="R665" s="2" t="inlineStr"/>
    </row>
    <row r="666" ht="15" customHeight="1">
      <c r="A666" t="inlineStr">
        <is>
          <t>A 35140-2023</t>
        </is>
      </c>
      <c r="B666" s="1" t="n">
        <v>45145</v>
      </c>
      <c r="C666" s="1" t="n">
        <v>46196</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38762-2021</t>
        </is>
      </c>
      <c r="B667" s="1" t="n">
        <v>44410</v>
      </c>
      <c r="C667" s="1" t="n">
        <v>46196</v>
      </c>
      <c r="D667" t="inlineStr">
        <is>
          <t>ÖREBRO LÄN</t>
        </is>
      </c>
      <c r="E667" t="inlineStr">
        <is>
          <t>LINDESBERG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39419-2023</t>
        </is>
      </c>
      <c r="B668" s="1" t="n">
        <v>45166</v>
      </c>
      <c r="C668" s="1" t="n">
        <v>46196</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6470-2024</t>
        </is>
      </c>
      <c r="B669" s="1" t="n">
        <v>45338</v>
      </c>
      <c r="C669" s="1" t="n">
        <v>46196</v>
      </c>
      <c r="D669" t="inlineStr">
        <is>
          <t>ÖREBRO LÄN</t>
        </is>
      </c>
      <c r="E669" t="inlineStr">
        <is>
          <t>LINDESBERG</t>
        </is>
      </c>
      <c r="G669" t="n">
        <v>1.2</v>
      </c>
      <c r="H669" t="n">
        <v>0</v>
      </c>
      <c r="I669" t="n">
        <v>0</v>
      </c>
      <c r="J669" t="n">
        <v>0</v>
      </c>
      <c r="K669" t="n">
        <v>0</v>
      </c>
      <c r="L669" t="n">
        <v>0</v>
      </c>
      <c r="M669" t="n">
        <v>0</v>
      </c>
      <c r="N669" t="n">
        <v>0</v>
      </c>
      <c r="O669" t="n">
        <v>0</v>
      </c>
      <c r="P669" t="n">
        <v>0</v>
      </c>
      <c r="Q669" t="n">
        <v>0</v>
      </c>
      <c r="R669" s="2" t="inlineStr"/>
    </row>
    <row r="670" ht="15" customHeight="1">
      <c r="A670" t="inlineStr">
        <is>
          <t>A 45978-2021</t>
        </is>
      </c>
      <c r="B670" s="1" t="n">
        <v>44441</v>
      </c>
      <c r="C670" s="1" t="n">
        <v>46196</v>
      </c>
      <c r="D670" t="inlineStr">
        <is>
          <t>ÖREBRO LÄN</t>
        </is>
      </c>
      <c r="E670" t="inlineStr">
        <is>
          <t>LINDESBERG</t>
        </is>
      </c>
      <c r="G670" t="n">
        <v>4.4</v>
      </c>
      <c r="H670" t="n">
        <v>0</v>
      </c>
      <c r="I670" t="n">
        <v>0</v>
      </c>
      <c r="J670" t="n">
        <v>0</v>
      </c>
      <c r="K670" t="n">
        <v>0</v>
      </c>
      <c r="L670" t="n">
        <v>0</v>
      </c>
      <c r="M670" t="n">
        <v>0</v>
      </c>
      <c r="N670" t="n">
        <v>0</v>
      </c>
      <c r="O670" t="n">
        <v>0</v>
      </c>
      <c r="P670" t="n">
        <v>0</v>
      </c>
      <c r="Q670" t="n">
        <v>0</v>
      </c>
      <c r="R670" s="2" t="inlineStr"/>
    </row>
    <row r="671" ht="15" customHeight="1">
      <c r="A671" t="inlineStr">
        <is>
          <t>A 11218-2025</t>
        </is>
      </c>
      <c r="B671" s="1" t="n">
        <v>45726</v>
      </c>
      <c r="C671" s="1" t="n">
        <v>46196</v>
      </c>
      <c r="D671" t="inlineStr">
        <is>
          <t>ÖREBRO LÄN</t>
        </is>
      </c>
      <c r="E671" t="inlineStr">
        <is>
          <t>LINDESBERG</t>
        </is>
      </c>
      <c r="G671" t="n">
        <v>0.4</v>
      </c>
      <c r="H671" t="n">
        <v>0</v>
      </c>
      <c r="I671" t="n">
        <v>0</v>
      </c>
      <c r="J671" t="n">
        <v>0</v>
      </c>
      <c r="K671" t="n">
        <v>0</v>
      </c>
      <c r="L671" t="n">
        <v>0</v>
      </c>
      <c r="M671" t="n">
        <v>0</v>
      </c>
      <c r="N671" t="n">
        <v>0</v>
      </c>
      <c r="O671" t="n">
        <v>0</v>
      </c>
      <c r="P671" t="n">
        <v>0</v>
      </c>
      <c r="Q671" t="n">
        <v>0</v>
      </c>
      <c r="R671" s="2" t="inlineStr"/>
    </row>
    <row r="672" ht="15" customHeight="1">
      <c r="A672" t="inlineStr">
        <is>
          <t>A 11220-2025</t>
        </is>
      </c>
      <c r="B672" s="1" t="n">
        <v>45726</v>
      </c>
      <c r="C672" s="1" t="n">
        <v>46196</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37616-2023</t>
        </is>
      </c>
      <c r="B673" s="1" t="n">
        <v>45159</v>
      </c>
      <c r="C673" s="1" t="n">
        <v>46196</v>
      </c>
      <c r="D673" t="inlineStr">
        <is>
          <t>ÖREBRO LÄN</t>
        </is>
      </c>
      <c r="E673" t="inlineStr">
        <is>
          <t>LINDESBERG</t>
        </is>
      </c>
      <c r="G673" t="n">
        <v>5.3</v>
      </c>
      <c r="H673" t="n">
        <v>0</v>
      </c>
      <c r="I673" t="n">
        <v>0</v>
      </c>
      <c r="J673" t="n">
        <v>0</v>
      </c>
      <c r="K673" t="n">
        <v>0</v>
      </c>
      <c r="L673" t="n">
        <v>0</v>
      </c>
      <c r="M673" t="n">
        <v>0</v>
      </c>
      <c r="N673" t="n">
        <v>0</v>
      </c>
      <c r="O673" t="n">
        <v>0</v>
      </c>
      <c r="P673" t="n">
        <v>0</v>
      </c>
      <c r="Q673" t="n">
        <v>0</v>
      </c>
      <c r="R673" s="2" t="inlineStr"/>
    </row>
    <row r="674" ht="15" customHeight="1">
      <c r="A674" t="inlineStr">
        <is>
          <t>A 28562-2023</t>
        </is>
      </c>
      <c r="B674" s="1" t="n">
        <v>45103</v>
      </c>
      <c r="C674" s="1" t="n">
        <v>46196</v>
      </c>
      <c r="D674" t="inlineStr">
        <is>
          <t>ÖREBRO LÄN</t>
        </is>
      </c>
      <c r="E674" t="inlineStr">
        <is>
          <t>LINDESBERG</t>
        </is>
      </c>
      <c r="G674" t="n">
        <v>2</v>
      </c>
      <c r="H674" t="n">
        <v>0</v>
      </c>
      <c r="I674" t="n">
        <v>0</v>
      </c>
      <c r="J674" t="n">
        <v>0</v>
      </c>
      <c r="K674" t="n">
        <v>0</v>
      </c>
      <c r="L674" t="n">
        <v>0</v>
      </c>
      <c r="M674" t="n">
        <v>0</v>
      </c>
      <c r="N674" t="n">
        <v>0</v>
      </c>
      <c r="O674" t="n">
        <v>0</v>
      </c>
      <c r="P674" t="n">
        <v>0</v>
      </c>
      <c r="Q674" t="n">
        <v>0</v>
      </c>
      <c r="R674" s="2" t="inlineStr"/>
    </row>
    <row r="675" ht="15" customHeight="1">
      <c r="A675" t="inlineStr">
        <is>
          <t>A 21016-2023</t>
        </is>
      </c>
      <c r="B675" s="1" t="n">
        <v>45061</v>
      </c>
      <c r="C675" s="1" t="n">
        <v>46196</v>
      </c>
      <c r="D675" t="inlineStr">
        <is>
          <t>ÖREBRO LÄN</t>
        </is>
      </c>
      <c r="E675" t="inlineStr">
        <is>
          <t>LINDESBERG</t>
        </is>
      </c>
      <c r="G675" t="n">
        <v>8.1</v>
      </c>
      <c r="H675" t="n">
        <v>0</v>
      </c>
      <c r="I675" t="n">
        <v>0</v>
      </c>
      <c r="J675" t="n">
        <v>0</v>
      </c>
      <c r="K675" t="n">
        <v>0</v>
      </c>
      <c r="L675" t="n">
        <v>0</v>
      </c>
      <c r="M675" t="n">
        <v>0</v>
      </c>
      <c r="N675" t="n">
        <v>0</v>
      </c>
      <c r="O675" t="n">
        <v>0</v>
      </c>
      <c r="P675" t="n">
        <v>0</v>
      </c>
      <c r="Q675" t="n">
        <v>0</v>
      </c>
      <c r="R675" s="2" t="inlineStr"/>
    </row>
    <row r="676" ht="15" customHeight="1">
      <c r="A676" t="inlineStr">
        <is>
          <t>A 64084-2023</t>
        </is>
      </c>
      <c r="B676" s="1" t="n">
        <v>45279</v>
      </c>
      <c r="C676" s="1" t="n">
        <v>46196</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33886-2024</t>
        </is>
      </c>
      <c r="B677" s="1" t="n">
        <v>45523</v>
      </c>
      <c r="C677" s="1" t="n">
        <v>46196</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43046-2022</t>
        </is>
      </c>
      <c r="B678" s="1" t="n">
        <v>44833</v>
      </c>
      <c r="C678" s="1" t="n">
        <v>46196</v>
      </c>
      <c r="D678" t="inlineStr">
        <is>
          <t>ÖREBRO LÄN</t>
        </is>
      </c>
      <c r="E678" t="inlineStr">
        <is>
          <t>LINDESBERG</t>
        </is>
      </c>
      <c r="G678" t="n">
        <v>0.9</v>
      </c>
      <c r="H678" t="n">
        <v>0</v>
      </c>
      <c r="I678" t="n">
        <v>0</v>
      </c>
      <c r="J678" t="n">
        <v>0</v>
      </c>
      <c r="K678" t="n">
        <v>0</v>
      </c>
      <c r="L678" t="n">
        <v>0</v>
      </c>
      <c r="M678" t="n">
        <v>0</v>
      </c>
      <c r="N678" t="n">
        <v>0</v>
      </c>
      <c r="O678" t="n">
        <v>0</v>
      </c>
      <c r="P678" t="n">
        <v>0</v>
      </c>
      <c r="Q678" t="n">
        <v>0</v>
      </c>
      <c r="R678" s="2" t="inlineStr"/>
    </row>
    <row r="679" ht="15" customHeight="1">
      <c r="A679" t="inlineStr">
        <is>
          <t>A 6-2023</t>
        </is>
      </c>
      <c r="B679" s="1" t="n">
        <v>44927</v>
      </c>
      <c r="C679" s="1" t="n">
        <v>46196</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63508-2023</t>
        </is>
      </c>
      <c r="B680" s="1" t="n">
        <v>45274</v>
      </c>
      <c r="C680" s="1" t="n">
        <v>46196</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36136-2023</t>
        </is>
      </c>
      <c r="B681" s="1" t="n">
        <v>45149</v>
      </c>
      <c r="C681" s="1" t="n">
        <v>46196</v>
      </c>
      <c r="D681" t="inlineStr">
        <is>
          <t>ÖREBRO LÄN</t>
        </is>
      </c>
      <c r="E681" t="inlineStr">
        <is>
          <t>LINDESBERG</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34025-2024</t>
        </is>
      </c>
      <c r="B682" s="1" t="n">
        <v>45523</v>
      </c>
      <c r="C682" s="1" t="n">
        <v>46196</v>
      </c>
      <c r="D682" t="inlineStr">
        <is>
          <t>ÖREBRO LÄN</t>
        </is>
      </c>
      <c r="E682" t="inlineStr">
        <is>
          <t>LINDESBERG</t>
        </is>
      </c>
      <c r="G682" t="n">
        <v>1.3</v>
      </c>
      <c r="H682" t="n">
        <v>0</v>
      </c>
      <c r="I682" t="n">
        <v>0</v>
      </c>
      <c r="J682" t="n">
        <v>0</v>
      </c>
      <c r="K682" t="n">
        <v>0</v>
      </c>
      <c r="L682" t="n">
        <v>0</v>
      </c>
      <c r="M682" t="n">
        <v>0</v>
      </c>
      <c r="N682" t="n">
        <v>0</v>
      </c>
      <c r="O682" t="n">
        <v>0</v>
      </c>
      <c r="P682" t="n">
        <v>0</v>
      </c>
      <c r="Q682" t="n">
        <v>0</v>
      </c>
      <c r="R682" s="2" t="inlineStr"/>
    </row>
    <row r="683" ht="15" customHeight="1">
      <c r="A683" t="inlineStr">
        <is>
          <t>A 19077-2025</t>
        </is>
      </c>
      <c r="B683" s="1" t="n">
        <v>45766</v>
      </c>
      <c r="C683" s="1" t="n">
        <v>46196</v>
      </c>
      <c r="D683" t="inlineStr">
        <is>
          <t>ÖREBRO LÄN</t>
        </is>
      </c>
      <c r="E683" t="inlineStr">
        <is>
          <t>LINDESBERG</t>
        </is>
      </c>
      <c r="G683" t="n">
        <v>0</v>
      </c>
      <c r="H683" t="n">
        <v>0</v>
      </c>
      <c r="I683" t="n">
        <v>0</v>
      </c>
      <c r="J683" t="n">
        <v>0</v>
      </c>
      <c r="K683" t="n">
        <v>0</v>
      </c>
      <c r="L683" t="n">
        <v>0</v>
      </c>
      <c r="M683" t="n">
        <v>0</v>
      </c>
      <c r="N683" t="n">
        <v>0</v>
      </c>
      <c r="O683" t="n">
        <v>0</v>
      </c>
      <c r="P683" t="n">
        <v>0</v>
      </c>
      <c r="Q683" t="n">
        <v>0</v>
      </c>
      <c r="R683" s="2" t="inlineStr"/>
    </row>
    <row r="684" ht="15" customHeight="1">
      <c r="A684" t="inlineStr">
        <is>
          <t>A 50275-2024</t>
        </is>
      </c>
      <c r="B684" s="1" t="n">
        <v>45600</v>
      </c>
      <c r="C684" s="1" t="n">
        <v>46196</v>
      </c>
      <c r="D684" t="inlineStr">
        <is>
          <t>ÖREBRO LÄN</t>
        </is>
      </c>
      <c r="E684" t="inlineStr">
        <is>
          <t>LINDESBERG</t>
        </is>
      </c>
      <c r="G684" t="n">
        <v>4.3</v>
      </c>
      <c r="H684" t="n">
        <v>0</v>
      </c>
      <c r="I684" t="n">
        <v>0</v>
      </c>
      <c r="J684" t="n">
        <v>0</v>
      </c>
      <c r="K684" t="n">
        <v>0</v>
      </c>
      <c r="L684" t="n">
        <v>0</v>
      </c>
      <c r="M684" t="n">
        <v>0</v>
      </c>
      <c r="N684" t="n">
        <v>0</v>
      </c>
      <c r="O684" t="n">
        <v>0</v>
      </c>
      <c r="P684" t="n">
        <v>0</v>
      </c>
      <c r="Q684" t="n">
        <v>0</v>
      </c>
      <c r="R684" s="2" t="inlineStr"/>
    </row>
    <row r="685" ht="15" customHeight="1">
      <c r="A685" t="inlineStr">
        <is>
          <t>A 17463-2023</t>
        </is>
      </c>
      <c r="B685" s="1" t="n">
        <v>45036</v>
      </c>
      <c r="C685" s="1" t="n">
        <v>46196</v>
      </c>
      <c r="D685" t="inlineStr">
        <is>
          <t>ÖREBRO LÄN</t>
        </is>
      </c>
      <c r="E685" t="inlineStr">
        <is>
          <t>LINDESBERG</t>
        </is>
      </c>
      <c r="G685" t="n">
        <v>0.6</v>
      </c>
      <c r="H685" t="n">
        <v>0</v>
      </c>
      <c r="I685" t="n">
        <v>0</v>
      </c>
      <c r="J685" t="n">
        <v>0</v>
      </c>
      <c r="K685" t="n">
        <v>0</v>
      </c>
      <c r="L685" t="n">
        <v>0</v>
      </c>
      <c r="M685" t="n">
        <v>0</v>
      </c>
      <c r="N685" t="n">
        <v>0</v>
      </c>
      <c r="O685" t="n">
        <v>0</v>
      </c>
      <c r="P685" t="n">
        <v>0</v>
      </c>
      <c r="Q685" t="n">
        <v>0</v>
      </c>
      <c r="R685" s="2" t="inlineStr"/>
    </row>
    <row r="686" ht="15" customHeight="1">
      <c r="A686" t="inlineStr">
        <is>
          <t>A 28569-2024</t>
        </is>
      </c>
      <c r="B686" s="1" t="n">
        <v>45478</v>
      </c>
      <c r="C686" s="1" t="n">
        <v>46196</v>
      </c>
      <c r="D686" t="inlineStr">
        <is>
          <t>ÖREBRO LÄN</t>
        </is>
      </c>
      <c r="E686" t="inlineStr">
        <is>
          <t>LINDESBERG</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36001-2021</t>
        </is>
      </c>
      <c r="B687" s="1" t="n">
        <v>44389</v>
      </c>
      <c r="C687" s="1" t="n">
        <v>46196</v>
      </c>
      <c r="D687" t="inlineStr">
        <is>
          <t>ÖREBRO LÄN</t>
        </is>
      </c>
      <c r="E687" t="inlineStr">
        <is>
          <t>LINDESBERG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33280-2024</t>
        </is>
      </c>
      <c r="B688" s="1" t="n">
        <v>45518</v>
      </c>
      <c r="C688" s="1" t="n">
        <v>46196</v>
      </c>
      <c r="D688" t="inlineStr">
        <is>
          <t>ÖREBRO LÄN</t>
        </is>
      </c>
      <c r="E688" t="inlineStr">
        <is>
          <t>LINDESBERG</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33281-2024</t>
        </is>
      </c>
      <c r="B689" s="1" t="n">
        <v>45518</v>
      </c>
      <c r="C689" s="1" t="n">
        <v>46196</v>
      </c>
      <c r="D689" t="inlineStr">
        <is>
          <t>ÖREBRO LÄN</t>
        </is>
      </c>
      <c r="E689" t="inlineStr">
        <is>
          <t>LINDESBERG</t>
        </is>
      </c>
      <c r="G689" t="n">
        <v>2</v>
      </c>
      <c r="H689" t="n">
        <v>0</v>
      </c>
      <c r="I689" t="n">
        <v>0</v>
      </c>
      <c r="J689" t="n">
        <v>0</v>
      </c>
      <c r="K689" t="n">
        <v>0</v>
      </c>
      <c r="L689" t="n">
        <v>0</v>
      </c>
      <c r="M689" t="n">
        <v>0</v>
      </c>
      <c r="N689" t="n">
        <v>0</v>
      </c>
      <c r="O689" t="n">
        <v>0</v>
      </c>
      <c r="P689" t="n">
        <v>0</v>
      </c>
      <c r="Q689" t="n">
        <v>0</v>
      </c>
      <c r="R689" s="2" t="inlineStr"/>
    </row>
    <row r="690" ht="15" customHeight="1">
      <c r="A690" t="inlineStr">
        <is>
          <t>A 33283-2024</t>
        </is>
      </c>
      <c r="B690" s="1" t="n">
        <v>45518</v>
      </c>
      <c r="C690" s="1" t="n">
        <v>46196</v>
      </c>
      <c r="D690" t="inlineStr">
        <is>
          <t>ÖREBRO LÄN</t>
        </is>
      </c>
      <c r="E690" t="inlineStr">
        <is>
          <t>LINDESBERG</t>
        </is>
      </c>
      <c r="G690" t="n">
        <v>3.9</v>
      </c>
      <c r="H690" t="n">
        <v>0</v>
      </c>
      <c r="I690" t="n">
        <v>0</v>
      </c>
      <c r="J690" t="n">
        <v>0</v>
      </c>
      <c r="K690" t="n">
        <v>0</v>
      </c>
      <c r="L690" t="n">
        <v>0</v>
      </c>
      <c r="M690" t="n">
        <v>0</v>
      </c>
      <c r="N690" t="n">
        <v>0</v>
      </c>
      <c r="O690" t="n">
        <v>0</v>
      </c>
      <c r="P690" t="n">
        <v>0</v>
      </c>
      <c r="Q690" t="n">
        <v>0</v>
      </c>
      <c r="R690" s="2" t="inlineStr"/>
    </row>
    <row r="691" ht="15" customHeight="1">
      <c r="A691" t="inlineStr">
        <is>
          <t>A 39140-2024</t>
        </is>
      </c>
      <c r="B691" s="1" t="n">
        <v>45548</v>
      </c>
      <c r="C691" s="1" t="n">
        <v>46196</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32928-2023</t>
        </is>
      </c>
      <c r="B692" s="1" t="n">
        <v>45125</v>
      </c>
      <c r="C692" s="1" t="n">
        <v>46196</v>
      </c>
      <c r="D692" t="inlineStr">
        <is>
          <t>ÖREBRO LÄN</t>
        </is>
      </c>
      <c r="E692" t="inlineStr">
        <is>
          <t>LINDESBERG</t>
        </is>
      </c>
      <c r="G692" t="n">
        <v>4.8</v>
      </c>
      <c r="H692" t="n">
        <v>0</v>
      </c>
      <c r="I692" t="n">
        <v>0</v>
      </c>
      <c r="J692" t="n">
        <v>0</v>
      </c>
      <c r="K692" t="n">
        <v>0</v>
      </c>
      <c r="L692" t="n">
        <v>0</v>
      </c>
      <c r="M692" t="n">
        <v>0</v>
      </c>
      <c r="N692" t="n">
        <v>0</v>
      </c>
      <c r="O692" t="n">
        <v>0</v>
      </c>
      <c r="P692" t="n">
        <v>0</v>
      </c>
      <c r="Q692" t="n">
        <v>0</v>
      </c>
      <c r="R692" s="2" t="inlineStr"/>
    </row>
    <row r="693" ht="15" customHeight="1">
      <c r="A693" t="inlineStr">
        <is>
          <t>A 32994-2023</t>
        </is>
      </c>
      <c r="B693" s="1" t="n">
        <v>45113</v>
      </c>
      <c r="C693" s="1" t="n">
        <v>46196</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45062-2022</t>
        </is>
      </c>
      <c r="B694" s="1" t="n">
        <v>44841</v>
      </c>
      <c r="C694" s="1" t="n">
        <v>46196</v>
      </c>
      <c r="D694" t="inlineStr">
        <is>
          <t>ÖREBRO LÄN</t>
        </is>
      </c>
      <c r="E694" t="inlineStr">
        <is>
          <t>LINDESBERG</t>
        </is>
      </c>
      <c r="G694" t="n">
        <v>2</v>
      </c>
      <c r="H694" t="n">
        <v>0</v>
      </c>
      <c r="I694" t="n">
        <v>0</v>
      </c>
      <c r="J694" t="n">
        <v>0</v>
      </c>
      <c r="K694" t="n">
        <v>0</v>
      </c>
      <c r="L694" t="n">
        <v>0</v>
      </c>
      <c r="M694" t="n">
        <v>0</v>
      </c>
      <c r="N694" t="n">
        <v>0</v>
      </c>
      <c r="O694" t="n">
        <v>0</v>
      </c>
      <c r="P694" t="n">
        <v>0</v>
      </c>
      <c r="Q694" t="n">
        <v>0</v>
      </c>
      <c r="R694" s="2" t="inlineStr"/>
    </row>
    <row r="695" ht="15" customHeight="1">
      <c r="A695" t="inlineStr">
        <is>
          <t>A 21012-2023</t>
        </is>
      </c>
      <c r="B695" s="1" t="n">
        <v>45061</v>
      </c>
      <c r="C695" s="1" t="n">
        <v>46196</v>
      </c>
      <c r="D695" t="inlineStr">
        <is>
          <t>ÖREBRO LÄN</t>
        </is>
      </c>
      <c r="E695" t="inlineStr">
        <is>
          <t>LINDESBERG</t>
        </is>
      </c>
      <c r="G695" t="n">
        <v>0.5</v>
      </c>
      <c r="H695" t="n">
        <v>0</v>
      </c>
      <c r="I695" t="n">
        <v>0</v>
      </c>
      <c r="J695" t="n">
        <v>0</v>
      </c>
      <c r="K695" t="n">
        <v>0</v>
      </c>
      <c r="L695" t="n">
        <v>0</v>
      </c>
      <c r="M695" t="n">
        <v>0</v>
      </c>
      <c r="N695" t="n">
        <v>0</v>
      </c>
      <c r="O695" t="n">
        <v>0</v>
      </c>
      <c r="P695" t="n">
        <v>0</v>
      </c>
      <c r="Q695" t="n">
        <v>0</v>
      </c>
      <c r="R695" s="2" t="inlineStr"/>
    </row>
    <row r="696" ht="15" customHeight="1">
      <c r="A696" t="inlineStr">
        <is>
          <t>A 40456-2023</t>
        </is>
      </c>
      <c r="B696" s="1" t="n">
        <v>45170</v>
      </c>
      <c r="C696" s="1" t="n">
        <v>46196</v>
      </c>
      <c r="D696" t="inlineStr">
        <is>
          <t>ÖREBRO LÄN</t>
        </is>
      </c>
      <c r="E696" t="inlineStr">
        <is>
          <t>LINDESBERG</t>
        </is>
      </c>
      <c r="F696" t="inlineStr">
        <is>
          <t>Kyrkan</t>
        </is>
      </c>
      <c r="G696" t="n">
        <v>0.6</v>
      </c>
      <c r="H696" t="n">
        <v>0</v>
      </c>
      <c r="I696" t="n">
        <v>0</v>
      </c>
      <c r="J696" t="n">
        <v>0</v>
      </c>
      <c r="K696" t="n">
        <v>0</v>
      </c>
      <c r="L696" t="n">
        <v>0</v>
      </c>
      <c r="M696" t="n">
        <v>0</v>
      </c>
      <c r="N696" t="n">
        <v>0</v>
      </c>
      <c r="O696" t="n">
        <v>0</v>
      </c>
      <c r="P696" t="n">
        <v>0</v>
      </c>
      <c r="Q696" t="n">
        <v>0</v>
      </c>
      <c r="R696" s="2" t="inlineStr"/>
    </row>
    <row r="697" ht="15" customHeight="1">
      <c r="A697" t="inlineStr">
        <is>
          <t>A 42282-2024</t>
        </is>
      </c>
      <c r="B697" s="1" t="n">
        <v>45562</v>
      </c>
      <c r="C697" s="1" t="n">
        <v>46196</v>
      </c>
      <c r="D697" t="inlineStr">
        <is>
          <t>ÖREBRO LÄN</t>
        </is>
      </c>
      <c r="E697" t="inlineStr">
        <is>
          <t>LINDESBERG</t>
        </is>
      </c>
      <c r="G697" t="n">
        <v>0.8</v>
      </c>
      <c r="H697" t="n">
        <v>0</v>
      </c>
      <c r="I697" t="n">
        <v>0</v>
      </c>
      <c r="J697" t="n">
        <v>0</v>
      </c>
      <c r="K697" t="n">
        <v>0</v>
      </c>
      <c r="L697" t="n">
        <v>0</v>
      </c>
      <c r="M697" t="n">
        <v>0</v>
      </c>
      <c r="N697" t="n">
        <v>0</v>
      </c>
      <c r="O697" t="n">
        <v>0</v>
      </c>
      <c r="P697" t="n">
        <v>0</v>
      </c>
      <c r="Q697" t="n">
        <v>0</v>
      </c>
      <c r="R697" s="2" t="inlineStr"/>
    </row>
    <row r="698" ht="15" customHeight="1">
      <c r="A698" t="inlineStr">
        <is>
          <t>A 32262-2021</t>
        </is>
      </c>
      <c r="B698" s="1" t="n">
        <v>44371</v>
      </c>
      <c r="C698" s="1" t="n">
        <v>46196</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27576-2024</t>
        </is>
      </c>
      <c r="B699" s="1" t="n">
        <v>45474</v>
      </c>
      <c r="C699" s="1" t="n">
        <v>46196</v>
      </c>
      <c r="D699" t="inlineStr">
        <is>
          <t>ÖREBRO LÄN</t>
        </is>
      </c>
      <c r="E699" t="inlineStr">
        <is>
          <t>LINDESBERG</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32099-2024</t>
        </is>
      </c>
      <c r="B700" s="1" t="n">
        <v>45511</v>
      </c>
      <c r="C700" s="1" t="n">
        <v>46196</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8836-2023</t>
        </is>
      </c>
      <c r="B701" s="1" t="n">
        <v>44978</v>
      </c>
      <c r="C701" s="1" t="n">
        <v>46196</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5772-2023</t>
        </is>
      </c>
      <c r="B702" s="1" t="n">
        <v>44963</v>
      </c>
      <c r="C702" s="1" t="n">
        <v>46196</v>
      </c>
      <c r="D702" t="inlineStr">
        <is>
          <t>ÖREBRO LÄN</t>
        </is>
      </c>
      <c r="E702" t="inlineStr">
        <is>
          <t>LINDESBERG</t>
        </is>
      </c>
      <c r="G702" t="n">
        <v>3</v>
      </c>
      <c r="H702" t="n">
        <v>0</v>
      </c>
      <c r="I702" t="n">
        <v>0</v>
      </c>
      <c r="J702" t="n">
        <v>0</v>
      </c>
      <c r="K702" t="n">
        <v>0</v>
      </c>
      <c r="L702" t="n">
        <v>0</v>
      </c>
      <c r="M702" t="n">
        <v>0</v>
      </c>
      <c r="N702" t="n">
        <v>0</v>
      </c>
      <c r="O702" t="n">
        <v>0</v>
      </c>
      <c r="P702" t="n">
        <v>0</v>
      </c>
      <c r="Q702" t="n">
        <v>0</v>
      </c>
      <c r="R702" s="2" t="inlineStr"/>
    </row>
    <row r="703" ht="15" customHeight="1">
      <c r="A703" t="inlineStr">
        <is>
          <t>A 36024-2021</t>
        </is>
      </c>
      <c r="B703" s="1" t="n">
        <v>44389</v>
      </c>
      <c r="C703" s="1" t="n">
        <v>46196</v>
      </c>
      <c r="D703" t="inlineStr">
        <is>
          <t>ÖREBRO LÄN</t>
        </is>
      </c>
      <c r="E703" t="inlineStr">
        <is>
          <t>LINDESBERG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13472-2023</t>
        </is>
      </c>
      <c r="B704" s="1" t="n">
        <v>45005</v>
      </c>
      <c r="C704" s="1" t="n">
        <v>46196</v>
      </c>
      <c r="D704" t="inlineStr">
        <is>
          <t>ÖREBRO LÄN</t>
        </is>
      </c>
      <c r="E704" t="inlineStr">
        <is>
          <t>LINDESBERG</t>
        </is>
      </c>
      <c r="G704" t="n">
        <v>2.5</v>
      </c>
      <c r="H704" t="n">
        <v>0</v>
      </c>
      <c r="I704" t="n">
        <v>0</v>
      </c>
      <c r="J704" t="n">
        <v>0</v>
      </c>
      <c r="K704" t="n">
        <v>0</v>
      </c>
      <c r="L704" t="n">
        <v>0</v>
      </c>
      <c r="M704" t="n">
        <v>0</v>
      </c>
      <c r="N704" t="n">
        <v>0</v>
      </c>
      <c r="O704" t="n">
        <v>0</v>
      </c>
      <c r="P704" t="n">
        <v>0</v>
      </c>
      <c r="Q704" t="n">
        <v>0</v>
      </c>
      <c r="R704" s="2" t="inlineStr"/>
    </row>
    <row r="705" ht="15" customHeight="1">
      <c r="A705" t="inlineStr">
        <is>
          <t>A 17087-2023</t>
        </is>
      </c>
      <c r="B705" s="1" t="n">
        <v>45034</v>
      </c>
      <c r="C705" s="1" t="n">
        <v>46196</v>
      </c>
      <c r="D705" t="inlineStr">
        <is>
          <t>ÖREBRO LÄN</t>
        </is>
      </c>
      <c r="E705" t="inlineStr">
        <is>
          <t>LINDESBERG</t>
        </is>
      </c>
      <c r="G705" t="n">
        <v>2.7</v>
      </c>
      <c r="H705" t="n">
        <v>0</v>
      </c>
      <c r="I705" t="n">
        <v>0</v>
      </c>
      <c r="J705" t="n">
        <v>0</v>
      </c>
      <c r="K705" t="n">
        <v>0</v>
      </c>
      <c r="L705" t="n">
        <v>0</v>
      </c>
      <c r="M705" t="n">
        <v>0</v>
      </c>
      <c r="N705" t="n">
        <v>0</v>
      </c>
      <c r="O705" t="n">
        <v>0</v>
      </c>
      <c r="P705" t="n">
        <v>0</v>
      </c>
      <c r="Q705" t="n">
        <v>0</v>
      </c>
      <c r="R705" s="2" t="inlineStr"/>
    </row>
    <row r="706" ht="15" customHeight="1">
      <c r="A706" t="inlineStr">
        <is>
          <t>A 46484-2024</t>
        </is>
      </c>
      <c r="B706" s="1" t="n">
        <v>45582</v>
      </c>
      <c r="C706" s="1" t="n">
        <v>46196</v>
      </c>
      <c r="D706" t="inlineStr">
        <is>
          <t>ÖREBRO LÄN</t>
        </is>
      </c>
      <c r="E706" t="inlineStr">
        <is>
          <t>LINDESBERG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41576-2021</t>
        </is>
      </c>
      <c r="B707" s="1" t="n">
        <v>44425</v>
      </c>
      <c r="C707" s="1" t="n">
        <v>46196</v>
      </c>
      <c r="D707" t="inlineStr">
        <is>
          <t>ÖREBRO LÄN</t>
        </is>
      </c>
      <c r="E707" t="inlineStr">
        <is>
          <t>LINDESBERG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58741-2024</t>
        </is>
      </c>
      <c r="B708" s="1" t="n">
        <v>45635</v>
      </c>
      <c r="C708" s="1" t="n">
        <v>46196</v>
      </c>
      <c r="D708" t="inlineStr">
        <is>
          <t>ÖREBRO LÄN</t>
        </is>
      </c>
      <c r="E708" t="inlineStr">
        <is>
          <t>LINDESBERG</t>
        </is>
      </c>
      <c r="G708" t="n">
        <v>1.5</v>
      </c>
      <c r="H708" t="n">
        <v>0</v>
      </c>
      <c r="I708" t="n">
        <v>0</v>
      </c>
      <c r="J708" t="n">
        <v>0</v>
      </c>
      <c r="K708" t="n">
        <v>0</v>
      </c>
      <c r="L708" t="n">
        <v>0</v>
      </c>
      <c r="M708" t="n">
        <v>0</v>
      </c>
      <c r="N708" t="n">
        <v>0</v>
      </c>
      <c r="O708" t="n">
        <v>0</v>
      </c>
      <c r="P708" t="n">
        <v>0</v>
      </c>
      <c r="Q708" t="n">
        <v>0</v>
      </c>
      <c r="R708" s="2" t="inlineStr"/>
    </row>
    <row r="709" ht="15" customHeight="1">
      <c r="A709" t="inlineStr">
        <is>
          <t>A 26967-2022</t>
        </is>
      </c>
      <c r="B709" s="1" t="n">
        <v>44740</v>
      </c>
      <c r="C709" s="1" t="n">
        <v>46196</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43066-2021</t>
        </is>
      </c>
      <c r="B710" s="1" t="n">
        <v>44431</v>
      </c>
      <c r="C710" s="1" t="n">
        <v>46196</v>
      </c>
      <c r="D710" t="inlineStr">
        <is>
          <t>ÖREBRO LÄN</t>
        </is>
      </c>
      <c r="E710" t="inlineStr">
        <is>
          <t>LINDESBERG</t>
        </is>
      </c>
      <c r="G710" t="n">
        <v>0.6</v>
      </c>
      <c r="H710" t="n">
        <v>0</v>
      </c>
      <c r="I710" t="n">
        <v>0</v>
      </c>
      <c r="J710" t="n">
        <v>0</v>
      </c>
      <c r="K710" t="n">
        <v>0</v>
      </c>
      <c r="L710" t="n">
        <v>0</v>
      </c>
      <c r="M710" t="n">
        <v>0</v>
      </c>
      <c r="N710" t="n">
        <v>0</v>
      </c>
      <c r="O710" t="n">
        <v>0</v>
      </c>
      <c r="P710" t="n">
        <v>0</v>
      </c>
      <c r="Q710" t="n">
        <v>0</v>
      </c>
      <c r="R710" s="2" t="inlineStr"/>
    </row>
    <row r="711" ht="15" customHeight="1">
      <c r="A711" t="inlineStr">
        <is>
          <t>A 45428-2023</t>
        </is>
      </c>
      <c r="B711" s="1" t="n">
        <v>45194</v>
      </c>
      <c r="C711" s="1" t="n">
        <v>46196</v>
      </c>
      <c r="D711" t="inlineStr">
        <is>
          <t>ÖREBRO LÄN</t>
        </is>
      </c>
      <c r="E711" t="inlineStr">
        <is>
          <t>LINDESBERG</t>
        </is>
      </c>
      <c r="G711" t="n">
        <v>7.7</v>
      </c>
      <c r="H711" t="n">
        <v>0</v>
      </c>
      <c r="I711" t="n">
        <v>0</v>
      </c>
      <c r="J711" t="n">
        <v>0</v>
      </c>
      <c r="K711" t="n">
        <v>0</v>
      </c>
      <c r="L711" t="n">
        <v>0</v>
      </c>
      <c r="M711" t="n">
        <v>0</v>
      </c>
      <c r="N711" t="n">
        <v>0</v>
      </c>
      <c r="O711" t="n">
        <v>0</v>
      </c>
      <c r="P711" t="n">
        <v>0</v>
      </c>
      <c r="Q711" t="n">
        <v>0</v>
      </c>
      <c r="R711" s="2" t="inlineStr"/>
    </row>
    <row r="712" ht="15" customHeight="1">
      <c r="A712" t="inlineStr">
        <is>
          <t>A 53897-2024</t>
        </is>
      </c>
      <c r="B712" s="1" t="n">
        <v>45615</v>
      </c>
      <c r="C712" s="1" t="n">
        <v>46196</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56907-2024</t>
        </is>
      </c>
      <c r="B713" s="1" t="n">
        <v>45628</v>
      </c>
      <c r="C713" s="1" t="n">
        <v>46196</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17242-2025</t>
        </is>
      </c>
      <c r="B714" s="1" t="n">
        <v>45756</v>
      </c>
      <c r="C714" s="1" t="n">
        <v>46196</v>
      </c>
      <c r="D714" t="inlineStr">
        <is>
          <t>ÖREBRO LÄN</t>
        </is>
      </c>
      <c r="E714" t="inlineStr">
        <is>
          <t>LINDESBERG</t>
        </is>
      </c>
      <c r="G714" t="n">
        <v>7.3</v>
      </c>
      <c r="H714" t="n">
        <v>0</v>
      </c>
      <c r="I714" t="n">
        <v>0</v>
      </c>
      <c r="J714" t="n">
        <v>0</v>
      </c>
      <c r="K714" t="n">
        <v>0</v>
      </c>
      <c r="L714" t="n">
        <v>0</v>
      </c>
      <c r="M714" t="n">
        <v>0</v>
      </c>
      <c r="N714" t="n">
        <v>0</v>
      </c>
      <c r="O714" t="n">
        <v>0</v>
      </c>
      <c r="P714" t="n">
        <v>0</v>
      </c>
      <c r="Q714" t="n">
        <v>0</v>
      </c>
      <c r="R714" s="2" t="inlineStr"/>
    </row>
    <row r="715" ht="15" customHeight="1">
      <c r="A715" t="inlineStr">
        <is>
          <t>A 7119-2025</t>
        </is>
      </c>
      <c r="B715" s="1" t="n">
        <v>45702</v>
      </c>
      <c r="C715" s="1" t="n">
        <v>46196</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45060-2024</t>
        </is>
      </c>
      <c r="B716" s="1" t="n">
        <v>45575</v>
      </c>
      <c r="C716" s="1" t="n">
        <v>46196</v>
      </c>
      <c r="D716" t="inlineStr">
        <is>
          <t>ÖREBRO LÄN</t>
        </is>
      </c>
      <c r="E716" t="inlineStr">
        <is>
          <t>LINDESBERG</t>
        </is>
      </c>
      <c r="F716" t="inlineStr">
        <is>
          <t>Sveaskog</t>
        </is>
      </c>
      <c r="G716" t="n">
        <v>4.6</v>
      </c>
      <c r="H716" t="n">
        <v>0</v>
      </c>
      <c r="I716" t="n">
        <v>0</v>
      </c>
      <c r="J716" t="n">
        <v>0</v>
      </c>
      <c r="K716" t="n">
        <v>0</v>
      </c>
      <c r="L716" t="n">
        <v>0</v>
      </c>
      <c r="M716" t="n">
        <v>0</v>
      </c>
      <c r="N716" t="n">
        <v>0</v>
      </c>
      <c r="O716" t="n">
        <v>0</v>
      </c>
      <c r="P716" t="n">
        <v>0</v>
      </c>
      <c r="Q716" t="n">
        <v>0</v>
      </c>
      <c r="R716" s="2" t="inlineStr"/>
    </row>
    <row r="717" ht="15" customHeight="1">
      <c r="A717" t="inlineStr">
        <is>
          <t>A 50972-2023</t>
        </is>
      </c>
      <c r="B717" s="1" t="n">
        <v>45218</v>
      </c>
      <c r="C717" s="1" t="n">
        <v>46196</v>
      </c>
      <c r="D717" t="inlineStr">
        <is>
          <t>ÖREBRO LÄN</t>
        </is>
      </c>
      <c r="E717" t="inlineStr">
        <is>
          <t>LINDESBERG</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50225-2021</t>
        </is>
      </c>
      <c r="B718" s="1" t="n">
        <v>44457</v>
      </c>
      <c r="C718" s="1" t="n">
        <v>46196</v>
      </c>
      <c r="D718" t="inlineStr">
        <is>
          <t>ÖREBRO LÄN</t>
        </is>
      </c>
      <c r="E718" t="inlineStr">
        <is>
          <t>LINDESBERG</t>
        </is>
      </c>
      <c r="G718" t="n">
        <v>2.5</v>
      </c>
      <c r="H718" t="n">
        <v>0</v>
      </c>
      <c r="I718" t="n">
        <v>0</v>
      </c>
      <c r="J718" t="n">
        <v>0</v>
      </c>
      <c r="K718" t="n">
        <v>0</v>
      </c>
      <c r="L718" t="n">
        <v>0</v>
      </c>
      <c r="M718" t="n">
        <v>0</v>
      </c>
      <c r="N718" t="n">
        <v>0</v>
      </c>
      <c r="O718" t="n">
        <v>0</v>
      </c>
      <c r="P718" t="n">
        <v>0</v>
      </c>
      <c r="Q718" t="n">
        <v>0</v>
      </c>
      <c r="R718" s="2" t="inlineStr"/>
    </row>
    <row r="719" ht="15" customHeight="1">
      <c r="A719" t="inlineStr">
        <is>
          <t>A 48244-2024</t>
        </is>
      </c>
      <c r="B719" s="1" t="n">
        <v>45590</v>
      </c>
      <c r="C719" s="1" t="n">
        <v>46196</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20210-2024</t>
        </is>
      </c>
      <c r="B720" s="1" t="n">
        <v>45434</v>
      </c>
      <c r="C720" s="1" t="n">
        <v>46196</v>
      </c>
      <c r="D720" t="inlineStr">
        <is>
          <t>ÖREBRO LÄN</t>
        </is>
      </c>
      <c r="E720" t="inlineStr">
        <is>
          <t>LINDESBERG</t>
        </is>
      </c>
      <c r="G720" t="n">
        <v>5.5</v>
      </c>
      <c r="H720" t="n">
        <v>0</v>
      </c>
      <c r="I720" t="n">
        <v>0</v>
      </c>
      <c r="J720" t="n">
        <v>0</v>
      </c>
      <c r="K720" t="n">
        <v>0</v>
      </c>
      <c r="L720" t="n">
        <v>0</v>
      </c>
      <c r="M720" t="n">
        <v>0</v>
      </c>
      <c r="N720" t="n">
        <v>0</v>
      </c>
      <c r="O720" t="n">
        <v>0</v>
      </c>
      <c r="P720" t="n">
        <v>0</v>
      </c>
      <c r="Q720" t="n">
        <v>0</v>
      </c>
      <c r="R720" s="2" t="inlineStr"/>
    </row>
    <row r="721" ht="15" customHeight="1">
      <c r="A721" t="inlineStr">
        <is>
          <t>A 24352-2023</t>
        </is>
      </c>
      <c r="B721" s="1" t="n">
        <v>45082</v>
      </c>
      <c r="C721" s="1" t="n">
        <v>46196</v>
      </c>
      <c r="D721" t="inlineStr">
        <is>
          <t>ÖREBRO LÄN</t>
        </is>
      </c>
      <c r="E721" t="inlineStr">
        <is>
          <t>LINDESBERG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22824-2023</t>
        </is>
      </c>
      <c r="B722" s="1" t="n">
        <v>45072</v>
      </c>
      <c r="C722" s="1" t="n">
        <v>46196</v>
      </c>
      <c r="D722" t="inlineStr">
        <is>
          <t>ÖREBRO LÄN</t>
        </is>
      </c>
      <c r="E722" t="inlineStr">
        <is>
          <t>LINDESBERG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36509-2024</t>
        </is>
      </c>
      <c r="B723" s="1" t="n">
        <v>45537</v>
      </c>
      <c r="C723" s="1" t="n">
        <v>46196</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33428-2024</t>
        </is>
      </c>
      <c r="B724" s="1" t="n">
        <v>45519</v>
      </c>
      <c r="C724" s="1" t="n">
        <v>46196</v>
      </c>
      <c r="D724" t="inlineStr">
        <is>
          <t>ÖREBRO LÄN</t>
        </is>
      </c>
      <c r="E724" t="inlineStr">
        <is>
          <t>LINDESBERG</t>
        </is>
      </c>
      <c r="F724" t="inlineStr">
        <is>
          <t>Sveaskog</t>
        </is>
      </c>
      <c r="G724" t="n">
        <v>0.2</v>
      </c>
      <c r="H724" t="n">
        <v>0</v>
      </c>
      <c r="I724" t="n">
        <v>0</v>
      </c>
      <c r="J724" t="n">
        <v>0</v>
      </c>
      <c r="K724" t="n">
        <v>0</v>
      </c>
      <c r="L724" t="n">
        <v>0</v>
      </c>
      <c r="M724" t="n">
        <v>0</v>
      </c>
      <c r="N724" t="n">
        <v>0</v>
      </c>
      <c r="O724" t="n">
        <v>0</v>
      </c>
      <c r="P724" t="n">
        <v>0</v>
      </c>
      <c r="Q724" t="n">
        <v>0</v>
      </c>
      <c r="R724" s="2" t="inlineStr"/>
    </row>
    <row r="725" ht="15" customHeight="1">
      <c r="A725" t="inlineStr">
        <is>
          <t>A 17104-2024</t>
        </is>
      </c>
      <c r="B725" s="1" t="n">
        <v>45412</v>
      </c>
      <c r="C725" s="1" t="n">
        <v>46196</v>
      </c>
      <c r="D725" t="inlineStr">
        <is>
          <t>ÖREBRO LÄN</t>
        </is>
      </c>
      <c r="E725" t="inlineStr">
        <is>
          <t>LINDESBERG</t>
        </is>
      </c>
      <c r="G725" t="n">
        <v>2.2</v>
      </c>
      <c r="H725" t="n">
        <v>0</v>
      </c>
      <c r="I725" t="n">
        <v>0</v>
      </c>
      <c r="J725" t="n">
        <v>0</v>
      </c>
      <c r="K725" t="n">
        <v>0</v>
      </c>
      <c r="L725" t="n">
        <v>0</v>
      </c>
      <c r="M725" t="n">
        <v>0</v>
      </c>
      <c r="N725" t="n">
        <v>0</v>
      </c>
      <c r="O725" t="n">
        <v>0</v>
      </c>
      <c r="P725" t="n">
        <v>0</v>
      </c>
      <c r="Q725" t="n">
        <v>0</v>
      </c>
      <c r="R725" s="2" t="inlineStr"/>
    </row>
    <row r="726" ht="15" customHeight="1">
      <c r="A726" t="inlineStr">
        <is>
          <t>A 13350-2024</t>
        </is>
      </c>
      <c r="B726" s="1" t="n">
        <v>45387</v>
      </c>
      <c r="C726" s="1" t="n">
        <v>46196</v>
      </c>
      <c r="D726" t="inlineStr">
        <is>
          <t>ÖREBRO LÄN</t>
        </is>
      </c>
      <c r="E726" t="inlineStr">
        <is>
          <t>LINDESBERG</t>
        </is>
      </c>
      <c r="G726" t="n">
        <v>4.1</v>
      </c>
      <c r="H726" t="n">
        <v>0</v>
      </c>
      <c r="I726" t="n">
        <v>0</v>
      </c>
      <c r="J726" t="n">
        <v>0</v>
      </c>
      <c r="K726" t="n">
        <v>0</v>
      </c>
      <c r="L726" t="n">
        <v>0</v>
      </c>
      <c r="M726" t="n">
        <v>0</v>
      </c>
      <c r="N726" t="n">
        <v>0</v>
      </c>
      <c r="O726" t="n">
        <v>0</v>
      </c>
      <c r="P726" t="n">
        <v>0</v>
      </c>
      <c r="Q726" t="n">
        <v>0</v>
      </c>
      <c r="R726" s="2" t="inlineStr"/>
    </row>
    <row r="727" ht="15" customHeight="1">
      <c r="A727" t="inlineStr">
        <is>
          <t>A 13351-2024</t>
        </is>
      </c>
      <c r="B727" s="1" t="n">
        <v>45387</v>
      </c>
      <c r="C727" s="1" t="n">
        <v>46196</v>
      </c>
      <c r="D727" t="inlineStr">
        <is>
          <t>ÖREBRO LÄN</t>
        </is>
      </c>
      <c r="E727" t="inlineStr">
        <is>
          <t>LINDESBERG</t>
        </is>
      </c>
      <c r="G727" t="n">
        <v>1.7</v>
      </c>
      <c r="H727" t="n">
        <v>0</v>
      </c>
      <c r="I727" t="n">
        <v>0</v>
      </c>
      <c r="J727" t="n">
        <v>0</v>
      </c>
      <c r="K727" t="n">
        <v>0</v>
      </c>
      <c r="L727" t="n">
        <v>0</v>
      </c>
      <c r="M727" t="n">
        <v>0</v>
      </c>
      <c r="N727" t="n">
        <v>0</v>
      </c>
      <c r="O727" t="n">
        <v>0</v>
      </c>
      <c r="P727" t="n">
        <v>0</v>
      </c>
      <c r="Q727" t="n">
        <v>0</v>
      </c>
      <c r="R727" s="2" t="inlineStr"/>
    </row>
    <row r="728" ht="15" customHeight="1">
      <c r="A728" t="inlineStr">
        <is>
          <t>A 34838-2023</t>
        </is>
      </c>
      <c r="B728" s="1" t="n">
        <v>45141</v>
      </c>
      <c r="C728" s="1" t="n">
        <v>46196</v>
      </c>
      <c r="D728" t="inlineStr">
        <is>
          <t>ÖREBRO LÄN</t>
        </is>
      </c>
      <c r="E728" t="inlineStr">
        <is>
          <t>LINDESBERG</t>
        </is>
      </c>
      <c r="G728" t="n">
        <v>3</v>
      </c>
      <c r="H728" t="n">
        <v>0</v>
      </c>
      <c r="I728" t="n">
        <v>0</v>
      </c>
      <c r="J728" t="n">
        <v>0</v>
      </c>
      <c r="K728" t="n">
        <v>0</v>
      </c>
      <c r="L728" t="n">
        <v>0</v>
      </c>
      <c r="M728" t="n">
        <v>0</v>
      </c>
      <c r="N728" t="n">
        <v>0</v>
      </c>
      <c r="O728" t="n">
        <v>0</v>
      </c>
      <c r="P728" t="n">
        <v>0</v>
      </c>
      <c r="Q728" t="n">
        <v>0</v>
      </c>
      <c r="R728" s="2" t="inlineStr"/>
    </row>
    <row r="729" ht="15" customHeight="1">
      <c r="A729" t="inlineStr">
        <is>
          <t>A 15324-2024</t>
        </is>
      </c>
      <c r="B729" s="1" t="n">
        <v>45400</v>
      </c>
      <c r="C729" s="1" t="n">
        <v>46196</v>
      </c>
      <c r="D729" t="inlineStr">
        <is>
          <t>ÖREBRO LÄN</t>
        </is>
      </c>
      <c r="E729" t="inlineStr">
        <is>
          <t>LINDESBERG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36170-2021</t>
        </is>
      </c>
      <c r="B730" s="1" t="n">
        <v>44389</v>
      </c>
      <c r="C730" s="1" t="n">
        <v>46196</v>
      </c>
      <c r="D730" t="inlineStr">
        <is>
          <t>ÖREBRO LÄN</t>
        </is>
      </c>
      <c r="E730" t="inlineStr">
        <is>
          <t>LINDESBERG</t>
        </is>
      </c>
      <c r="G730" t="n">
        <v>0.4</v>
      </c>
      <c r="H730" t="n">
        <v>0</v>
      </c>
      <c r="I730" t="n">
        <v>0</v>
      </c>
      <c r="J730" t="n">
        <v>0</v>
      </c>
      <c r="K730" t="n">
        <v>0</v>
      </c>
      <c r="L730" t="n">
        <v>0</v>
      </c>
      <c r="M730" t="n">
        <v>0</v>
      </c>
      <c r="N730" t="n">
        <v>0</v>
      </c>
      <c r="O730" t="n">
        <v>0</v>
      </c>
      <c r="P730" t="n">
        <v>0</v>
      </c>
      <c r="Q730" t="n">
        <v>0</v>
      </c>
      <c r="R730" s="2" t="inlineStr"/>
    </row>
    <row r="731" ht="15" customHeight="1">
      <c r="A731" t="inlineStr">
        <is>
          <t>A 7180-2023</t>
        </is>
      </c>
      <c r="B731" s="1" t="n">
        <v>44970</v>
      </c>
      <c r="C731" s="1" t="n">
        <v>46196</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46675-2023</t>
        </is>
      </c>
      <c r="B732" s="1" t="n">
        <v>45194</v>
      </c>
      <c r="C732" s="1" t="n">
        <v>46196</v>
      </c>
      <c r="D732" t="inlineStr">
        <is>
          <t>ÖREBRO LÄN</t>
        </is>
      </c>
      <c r="E732" t="inlineStr">
        <is>
          <t>LINDESBERG</t>
        </is>
      </c>
      <c r="G732" t="n">
        <v>3.8</v>
      </c>
      <c r="H732" t="n">
        <v>0</v>
      </c>
      <c r="I732" t="n">
        <v>0</v>
      </c>
      <c r="J732" t="n">
        <v>0</v>
      </c>
      <c r="K732" t="n">
        <v>0</v>
      </c>
      <c r="L732" t="n">
        <v>0</v>
      </c>
      <c r="M732" t="n">
        <v>0</v>
      </c>
      <c r="N732" t="n">
        <v>0</v>
      </c>
      <c r="O732" t="n">
        <v>0</v>
      </c>
      <c r="P732" t="n">
        <v>0</v>
      </c>
      <c r="Q732" t="n">
        <v>0</v>
      </c>
      <c r="R732" s="2" t="inlineStr"/>
    </row>
    <row r="733" ht="15" customHeight="1">
      <c r="A733" t="inlineStr">
        <is>
          <t>A 50619-2022</t>
        </is>
      </c>
      <c r="B733" s="1" t="n">
        <v>44866</v>
      </c>
      <c r="C733" s="1" t="n">
        <v>46196</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36893-2024</t>
        </is>
      </c>
      <c r="B734" s="1" t="n">
        <v>45538</v>
      </c>
      <c r="C734" s="1" t="n">
        <v>46196</v>
      </c>
      <c r="D734" t="inlineStr">
        <is>
          <t>ÖREBRO LÄN</t>
        </is>
      </c>
      <c r="E734" t="inlineStr">
        <is>
          <t>LINDESBERG</t>
        </is>
      </c>
      <c r="G734" t="n">
        <v>1.1</v>
      </c>
      <c r="H734" t="n">
        <v>0</v>
      </c>
      <c r="I734" t="n">
        <v>0</v>
      </c>
      <c r="J734" t="n">
        <v>0</v>
      </c>
      <c r="K734" t="n">
        <v>0</v>
      </c>
      <c r="L734" t="n">
        <v>0</v>
      </c>
      <c r="M734" t="n">
        <v>0</v>
      </c>
      <c r="N734" t="n">
        <v>0</v>
      </c>
      <c r="O734" t="n">
        <v>0</v>
      </c>
      <c r="P734" t="n">
        <v>0</v>
      </c>
      <c r="Q734" t="n">
        <v>0</v>
      </c>
      <c r="R734" s="2" t="inlineStr"/>
    </row>
    <row r="735" ht="15" customHeight="1">
      <c r="A735" t="inlineStr">
        <is>
          <t>A 10111-2022</t>
        </is>
      </c>
      <c r="B735" s="1" t="n">
        <v>44621</v>
      </c>
      <c r="C735" s="1" t="n">
        <v>46196</v>
      </c>
      <c r="D735" t="inlineStr">
        <is>
          <t>ÖREBRO LÄN</t>
        </is>
      </c>
      <c r="E735" t="inlineStr">
        <is>
          <t>LINDESBERG</t>
        </is>
      </c>
      <c r="G735" t="n">
        <v>2.4</v>
      </c>
      <c r="H735" t="n">
        <v>0</v>
      </c>
      <c r="I735" t="n">
        <v>0</v>
      </c>
      <c r="J735" t="n">
        <v>0</v>
      </c>
      <c r="K735" t="n">
        <v>0</v>
      </c>
      <c r="L735" t="n">
        <v>0</v>
      </c>
      <c r="M735" t="n">
        <v>0</v>
      </c>
      <c r="N735" t="n">
        <v>0</v>
      </c>
      <c r="O735" t="n">
        <v>0</v>
      </c>
      <c r="P735" t="n">
        <v>0</v>
      </c>
      <c r="Q735" t="n">
        <v>0</v>
      </c>
      <c r="R735" s="2" t="inlineStr"/>
    </row>
    <row r="736" ht="15" customHeight="1">
      <c r="A736" t="inlineStr">
        <is>
          <t>A 14231-2023</t>
        </is>
      </c>
      <c r="B736" s="1" t="n">
        <v>45009</v>
      </c>
      <c r="C736" s="1" t="n">
        <v>46196</v>
      </c>
      <c r="D736" t="inlineStr">
        <is>
          <t>ÖREBRO LÄN</t>
        </is>
      </c>
      <c r="E736" t="inlineStr">
        <is>
          <t>LINDESBERG</t>
        </is>
      </c>
      <c r="G736" t="n">
        <v>4.3</v>
      </c>
      <c r="H736" t="n">
        <v>0</v>
      </c>
      <c r="I736" t="n">
        <v>0</v>
      </c>
      <c r="J736" t="n">
        <v>0</v>
      </c>
      <c r="K736" t="n">
        <v>0</v>
      </c>
      <c r="L736" t="n">
        <v>0</v>
      </c>
      <c r="M736" t="n">
        <v>0</v>
      </c>
      <c r="N736" t="n">
        <v>0</v>
      </c>
      <c r="O736" t="n">
        <v>0</v>
      </c>
      <c r="P736" t="n">
        <v>0</v>
      </c>
      <c r="Q736" t="n">
        <v>0</v>
      </c>
      <c r="R736" s="2" t="inlineStr"/>
    </row>
    <row r="737" ht="15" customHeight="1">
      <c r="A737" t="inlineStr">
        <is>
          <t>A 484-2022</t>
        </is>
      </c>
      <c r="B737" s="1" t="n">
        <v>44566</v>
      </c>
      <c r="C737" s="1" t="n">
        <v>46196</v>
      </c>
      <c r="D737" t="inlineStr">
        <is>
          <t>ÖREBRO LÄN</t>
        </is>
      </c>
      <c r="E737" t="inlineStr">
        <is>
          <t>LINDESBERG</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1395-2025</t>
        </is>
      </c>
      <c r="B738" s="1" t="n">
        <v>45667</v>
      </c>
      <c r="C738" s="1" t="n">
        <v>46196</v>
      </c>
      <c r="D738" t="inlineStr">
        <is>
          <t>ÖREBRO LÄN</t>
        </is>
      </c>
      <c r="E738" t="inlineStr">
        <is>
          <t>LINDESBERG</t>
        </is>
      </c>
      <c r="G738" t="n">
        <v>4.6</v>
      </c>
      <c r="H738" t="n">
        <v>0</v>
      </c>
      <c r="I738" t="n">
        <v>0</v>
      </c>
      <c r="J738" t="n">
        <v>0</v>
      </c>
      <c r="K738" t="n">
        <v>0</v>
      </c>
      <c r="L738" t="n">
        <v>0</v>
      </c>
      <c r="M738" t="n">
        <v>0</v>
      </c>
      <c r="N738" t="n">
        <v>0</v>
      </c>
      <c r="O738" t="n">
        <v>0</v>
      </c>
      <c r="P738" t="n">
        <v>0</v>
      </c>
      <c r="Q738" t="n">
        <v>0</v>
      </c>
      <c r="R738" s="2" t="inlineStr"/>
    </row>
    <row r="739" ht="15" customHeight="1">
      <c r="A739" t="inlineStr">
        <is>
          <t>A 1405-2025</t>
        </is>
      </c>
      <c r="B739" s="1" t="n">
        <v>45667</v>
      </c>
      <c r="C739" s="1" t="n">
        <v>46196</v>
      </c>
      <c r="D739" t="inlineStr">
        <is>
          <t>ÖREBRO LÄN</t>
        </is>
      </c>
      <c r="E739" t="inlineStr">
        <is>
          <t>LINDESBERG</t>
        </is>
      </c>
      <c r="F739" t="inlineStr">
        <is>
          <t>Allmännings- och besparingsskogar</t>
        </is>
      </c>
      <c r="G739" t="n">
        <v>3.1</v>
      </c>
      <c r="H739" t="n">
        <v>0</v>
      </c>
      <c r="I739" t="n">
        <v>0</v>
      </c>
      <c r="J739" t="n">
        <v>0</v>
      </c>
      <c r="K739" t="n">
        <v>0</v>
      </c>
      <c r="L739" t="n">
        <v>0</v>
      </c>
      <c r="M739" t="n">
        <v>0</v>
      </c>
      <c r="N739" t="n">
        <v>0</v>
      </c>
      <c r="O739" t="n">
        <v>0</v>
      </c>
      <c r="P739" t="n">
        <v>0</v>
      </c>
      <c r="Q739" t="n">
        <v>0</v>
      </c>
      <c r="R739" s="2" t="inlineStr"/>
    </row>
    <row r="740" ht="15" customHeight="1">
      <c r="A740" t="inlineStr">
        <is>
          <t>A 45078-2024</t>
        </is>
      </c>
      <c r="B740" s="1" t="n">
        <v>45575</v>
      </c>
      <c r="C740" s="1" t="n">
        <v>46196</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6723-2022</t>
        </is>
      </c>
      <c r="B741" s="1" t="n">
        <v>44602</v>
      </c>
      <c r="C741" s="1" t="n">
        <v>46196</v>
      </c>
      <c r="D741" t="inlineStr">
        <is>
          <t>ÖREBRO LÄN</t>
        </is>
      </c>
      <c r="E741" t="inlineStr">
        <is>
          <t>LINDESBERG</t>
        </is>
      </c>
      <c r="G741" t="n">
        <v>4.2</v>
      </c>
      <c r="H741" t="n">
        <v>0</v>
      </c>
      <c r="I741" t="n">
        <v>0</v>
      </c>
      <c r="J741" t="n">
        <v>0</v>
      </c>
      <c r="K741" t="n">
        <v>0</v>
      </c>
      <c r="L741" t="n">
        <v>0</v>
      </c>
      <c r="M741" t="n">
        <v>0</v>
      </c>
      <c r="N741" t="n">
        <v>0</v>
      </c>
      <c r="O741" t="n">
        <v>0</v>
      </c>
      <c r="P741" t="n">
        <v>0</v>
      </c>
      <c r="Q741" t="n">
        <v>0</v>
      </c>
      <c r="R741" s="2" t="inlineStr"/>
    </row>
    <row r="742" ht="15" customHeight="1">
      <c r="A742" t="inlineStr">
        <is>
          <t>A 28470-2023</t>
        </is>
      </c>
      <c r="B742" s="1" t="n">
        <v>45103</v>
      </c>
      <c r="C742" s="1" t="n">
        <v>46196</v>
      </c>
      <c r="D742" t="inlineStr">
        <is>
          <t>ÖREBRO LÄN</t>
        </is>
      </c>
      <c r="E742" t="inlineStr">
        <is>
          <t>LINDESBERG</t>
        </is>
      </c>
      <c r="G742" t="n">
        <v>6.7</v>
      </c>
      <c r="H742" t="n">
        <v>0</v>
      </c>
      <c r="I742" t="n">
        <v>0</v>
      </c>
      <c r="J742" t="n">
        <v>0</v>
      </c>
      <c r="K742" t="n">
        <v>0</v>
      </c>
      <c r="L742" t="n">
        <v>0</v>
      </c>
      <c r="M742" t="n">
        <v>0</v>
      </c>
      <c r="N742" t="n">
        <v>0</v>
      </c>
      <c r="O742" t="n">
        <v>0</v>
      </c>
      <c r="P742" t="n">
        <v>0</v>
      </c>
      <c r="Q742" t="n">
        <v>0</v>
      </c>
      <c r="R742" s="2" t="inlineStr"/>
    </row>
    <row r="743" ht="15" customHeight="1">
      <c r="A743" t="inlineStr">
        <is>
          <t>A 32097-2024</t>
        </is>
      </c>
      <c r="B743" s="1" t="n">
        <v>45511</v>
      </c>
      <c r="C743" s="1" t="n">
        <v>46196</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26340-2022</t>
        </is>
      </c>
      <c r="B744" s="1" t="n">
        <v>44735</v>
      </c>
      <c r="C744" s="1" t="n">
        <v>46196</v>
      </c>
      <c r="D744" t="inlineStr">
        <is>
          <t>ÖREBRO LÄN</t>
        </is>
      </c>
      <c r="E744" t="inlineStr">
        <is>
          <t>LINDESBERG</t>
        </is>
      </c>
      <c r="F744" t="inlineStr">
        <is>
          <t>Sveaskog</t>
        </is>
      </c>
      <c r="G744" t="n">
        <v>2.6</v>
      </c>
      <c r="H744" t="n">
        <v>0</v>
      </c>
      <c r="I744" t="n">
        <v>0</v>
      </c>
      <c r="J744" t="n">
        <v>0</v>
      </c>
      <c r="K744" t="n">
        <v>0</v>
      </c>
      <c r="L744" t="n">
        <v>0</v>
      </c>
      <c r="M744" t="n">
        <v>0</v>
      </c>
      <c r="N744" t="n">
        <v>0</v>
      </c>
      <c r="O744" t="n">
        <v>0</v>
      </c>
      <c r="P744" t="n">
        <v>0</v>
      </c>
      <c r="Q744" t="n">
        <v>0</v>
      </c>
      <c r="R744" s="2" t="inlineStr"/>
    </row>
    <row r="745" ht="15" customHeight="1">
      <c r="A745" t="inlineStr">
        <is>
          <t>A 30534-2023</t>
        </is>
      </c>
      <c r="B745" s="1" t="n">
        <v>45111</v>
      </c>
      <c r="C745" s="1" t="n">
        <v>46196</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54705-2022</t>
        </is>
      </c>
      <c r="B746" s="1" t="n">
        <v>44883</v>
      </c>
      <c r="C746" s="1" t="n">
        <v>46196</v>
      </c>
      <c r="D746" t="inlineStr">
        <is>
          <t>ÖREBRO LÄN</t>
        </is>
      </c>
      <c r="E746" t="inlineStr">
        <is>
          <t>LINDESBERG</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59631-2023</t>
        </is>
      </c>
      <c r="B747" s="1" t="n">
        <v>45254</v>
      </c>
      <c r="C747" s="1" t="n">
        <v>46196</v>
      </c>
      <c r="D747" t="inlineStr">
        <is>
          <t>ÖREBRO LÄN</t>
        </is>
      </c>
      <c r="E747" t="inlineStr">
        <is>
          <t>LINDESBERG</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34539-2024</t>
        </is>
      </c>
      <c r="B748" s="1" t="n">
        <v>45525</v>
      </c>
      <c r="C748" s="1" t="n">
        <v>46196</v>
      </c>
      <c r="D748" t="inlineStr">
        <is>
          <t>ÖREBRO LÄN</t>
        </is>
      </c>
      <c r="E748" t="inlineStr">
        <is>
          <t>LINDESBERG</t>
        </is>
      </c>
      <c r="G748" t="n">
        <v>5.4</v>
      </c>
      <c r="H748" t="n">
        <v>0</v>
      </c>
      <c r="I748" t="n">
        <v>0</v>
      </c>
      <c r="J748" t="n">
        <v>0</v>
      </c>
      <c r="K748" t="n">
        <v>0</v>
      </c>
      <c r="L748" t="n">
        <v>0</v>
      </c>
      <c r="M748" t="n">
        <v>0</v>
      </c>
      <c r="N748" t="n">
        <v>0</v>
      </c>
      <c r="O748" t="n">
        <v>0</v>
      </c>
      <c r="P748" t="n">
        <v>0</v>
      </c>
      <c r="Q748" t="n">
        <v>0</v>
      </c>
      <c r="R748" s="2" t="inlineStr"/>
    </row>
    <row r="749" ht="15" customHeight="1">
      <c r="A749" t="inlineStr">
        <is>
          <t>A 41951-2023</t>
        </is>
      </c>
      <c r="B749" s="1" t="n">
        <v>45177</v>
      </c>
      <c r="C749" s="1" t="n">
        <v>46196</v>
      </c>
      <c r="D749" t="inlineStr">
        <is>
          <t>ÖREBRO LÄN</t>
        </is>
      </c>
      <c r="E749" t="inlineStr">
        <is>
          <t>LINDESBERG</t>
        </is>
      </c>
      <c r="F749" t="inlineStr">
        <is>
          <t>Kyrkan</t>
        </is>
      </c>
      <c r="G749" t="n">
        <v>3.3</v>
      </c>
      <c r="H749" t="n">
        <v>0</v>
      </c>
      <c r="I749" t="n">
        <v>0</v>
      </c>
      <c r="J749" t="n">
        <v>0</v>
      </c>
      <c r="K749" t="n">
        <v>0</v>
      </c>
      <c r="L749" t="n">
        <v>0</v>
      </c>
      <c r="M749" t="n">
        <v>0</v>
      </c>
      <c r="N749" t="n">
        <v>0</v>
      </c>
      <c r="O749" t="n">
        <v>0</v>
      </c>
      <c r="P749" t="n">
        <v>0</v>
      </c>
      <c r="Q749" t="n">
        <v>0</v>
      </c>
      <c r="R749" s="2" t="inlineStr"/>
    </row>
    <row r="750" ht="15" customHeight="1">
      <c r="A750" t="inlineStr">
        <is>
          <t>A 58603-2023</t>
        </is>
      </c>
      <c r="B750" s="1" t="n">
        <v>45251</v>
      </c>
      <c r="C750" s="1" t="n">
        <v>46196</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14187-2024</t>
        </is>
      </c>
      <c r="B751" s="1" t="n">
        <v>45393</v>
      </c>
      <c r="C751" s="1" t="n">
        <v>46196</v>
      </c>
      <c r="D751" t="inlineStr">
        <is>
          <t>ÖREBRO LÄN</t>
        </is>
      </c>
      <c r="E751" t="inlineStr">
        <is>
          <t>LINDESBERG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18418-2025</t>
        </is>
      </c>
      <c r="B752" s="1" t="n">
        <v>45762</v>
      </c>
      <c r="C752" s="1" t="n">
        <v>46196</v>
      </c>
      <c r="D752" t="inlineStr">
        <is>
          <t>ÖREBRO LÄN</t>
        </is>
      </c>
      <c r="E752" t="inlineStr">
        <is>
          <t>LINDESBERG</t>
        </is>
      </c>
      <c r="G752" t="n">
        <v>2.3</v>
      </c>
      <c r="H752" t="n">
        <v>0</v>
      </c>
      <c r="I752" t="n">
        <v>0</v>
      </c>
      <c r="J752" t="n">
        <v>0</v>
      </c>
      <c r="K752" t="n">
        <v>0</v>
      </c>
      <c r="L752" t="n">
        <v>0</v>
      </c>
      <c r="M752" t="n">
        <v>0</v>
      </c>
      <c r="N752" t="n">
        <v>0</v>
      </c>
      <c r="O752" t="n">
        <v>0</v>
      </c>
      <c r="P752" t="n">
        <v>0</v>
      </c>
      <c r="Q752" t="n">
        <v>0</v>
      </c>
      <c r="R752" s="2" t="inlineStr"/>
    </row>
    <row r="753" ht="15" customHeight="1">
      <c r="A753" t="inlineStr">
        <is>
          <t>A 29849-2023</t>
        </is>
      </c>
      <c r="B753" s="1" t="n">
        <v>45107</v>
      </c>
      <c r="C753" s="1" t="n">
        <v>46196</v>
      </c>
      <c r="D753" t="inlineStr">
        <is>
          <t>ÖREBRO LÄN</t>
        </is>
      </c>
      <c r="E753" t="inlineStr">
        <is>
          <t>LINDESBERG</t>
        </is>
      </c>
      <c r="G753" t="n">
        <v>2.1</v>
      </c>
      <c r="H753" t="n">
        <v>0</v>
      </c>
      <c r="I753" t="n">
        <v>0</v>
      </c>
      <c r="J753" t="n">
        <v>0</v>
      </c>
      <c r="K753" t="n">
        <v>0</v>
      </c>
      <c r="L753" t="n">
        <v>0</v>
      </c>
      <c r="M753" t="n">
        <v>0</v>
      </c>
      <c r="N753" t="n">
        <v>0</v>
      </c>
      <c r="O753" t="n">
        <v>0</v>
      </c>
      <c r="P753" t="n">
        <v>0</v>
      </c>
      <c r="Q753" t="n">
        <v>0</v>
      </c>
      <c r="R753" s="2" t="inlineStr"/>
    </row>
    <row r="754" ht="15" customHeight="1">
      <c r="A754" t="inlineStr">
        <is>
          <t>A 60105-2022</t>
        </is>
      </c>
      <c r="B754" s="1" t="n">
        <v>44902</v>
      </c>
      <c r="C754" s="1" t="n">
        <v>46196</v>
      </c>
      <c r="D754" t="inlineStr">
        <is>
          <t>ÖREBRO LÄN</t>
        </is>
      </c>
      <c r="E754" t="inlineStr">
        <is>
          <t>LINDESBERG</t>
        </is>
      </c>
      <c r="G754" t="n">
        <v>0.5</v>
      </c>
      <c r="H754" t="n">
        <v>0</v>
      </c>
      <c r="I754" t="n">
        <v>0</v>
      </c>
      <c r="J754" t="n">
        <v>0</v>
      </c>
      <c r="K754" t="n">
        <v>0</v>
      </c>
      <c r="L754" t="n">
        <v>0</v>
      </c>
      <c r="M754" t="n">
        <v>0</v>
      </c>
      <c r="N754" t="n">
        <v>0</v>
      </c>
      <c r="O754" t="n">
        <v>0</v>
      </c>
      <c r="P754" t="n">
        <v>0</v>
      </c>
      <c r="Q754" t="n">
        <v>0</v>
      </c>
      <c r="R754" s="2" t="inlineStr"/>
    </row>
    <row r="755" ht="15" customHeight="1">
      <c r="A755" t="inlineStr">
        <is>
          <t>A 33427-2024</t>
        </is>
      </c>
      <c r="B755" s="1" t="n">
        <v>45519</v>
      </c>
      <c r="C755" s="1" t="n">
        <v>46196</v>
      </c>
      <c r="D755" t="inlineStr">
        <is>
          <t>ÖREBRO LÄN</t>
        </is>
      </c>
      <c r="E755" t="inlineStr">
        <is>
          <t>LINDESBERG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29894-2023</t>
        </is>
      </c>
      <c r="B756" s="1" t="n">
        <v>45107</v>
      </c>
      <c r="C756" s="1" t="n">
        <v>46196</v>
      </c>
      <c r="D756" t="inlineStr">
        <is>
          <t>ÖREBRO LÄN</t>
        </is>
      </c>
      <c r="E756" t="inlineStr">
        <is>
          <t>LINDESBERG</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40306-2022</t>
        </is>
      </c>
      <c r="B757" s="1" t="n">
        <v>44822</v>
      </c>
      <c r="C757" s="1" t="n">
        <v>46196</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63668-2023</t>
        </is>
      </c>
      <c r="B758" s="1" t="n">
        <v>45274</v>
      </c>
      <c r="C758" s="1" t="n">
        <v>46196</v>
      </c>
      <c r="D758" t="inlineStr">
        <is>
          <t>ÖREBRO LÄN</t>
        </is>
      </c>
      <c r="E758" t="inlineStr">
        <is>
          <t>LINDESBERG</t>
        </is>
      </c>
      <c r="G758" t="n">
        <v>0.7</v>
      </c>
      <c r="H758" t="n">
        <v>0</v>
      </c>
      <c r="I758" t="n">
        <v>0</v>
      </c>
      <c r="J758" t="n">
        <v>0</v>
      </c>
      <c r="K758" t="n">
        <v>0</v>
      </c>
      <c r="L758" t="n">
        <v>0</v>
      </c>
      <c r="M758" t="n">
        <v>0</v>
      </c>
      <c r="N758" t="n">
        <v>0</v>
      </c>
      <c r="O758" t="n">
        <v>0</v>
      </c>
      <c r="P758" t="n">
        <v>0</v>
      </c>
      <c r="Q758" t="n">
        <v>0</v>
      </c>
      <c r="R758" s="2" t="inlineStr"/>
    </row>
    <row r="759" ht="15" customHeight="1">
      <c r="A759" t="inlineStr">
        <is>
          <t>A 44675-2021</t>
        </is>
      </c>
      <c r="B759" s="1" t="n">
        <v>44438</v>
      </c>
      <c r="C759" s="1" t="n">
        <v>46196</v>
      </c>
      <c r="D759" t="inlineStr">
        <is>
          <t>ÖREBRO LÄN</t>
        </is>
      </c>
      <c r="E759" t="inlineStr">
        <is>
          <t>LINDESBERG</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59633-2023</t>
        </is>
      </c>
      <c r="B760" s="1" t="n">
        <v>45254</v>
      </c>
      <c r="C760" s="1" t="n">
        <v>46196</v>
      </c>
      <c r="D760" t="inlineStr">
        <is>
          <t>ÖREBRO LÄN</t>
        </is>
      </c>
      <c r="E760" t="inlineStr">
        <is>
          <t>LINDESBERG</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13416-2025</t>
        </is>
      </c>
      <c r="B761" s="1" t="n">
        <v>45736</v>
      </c>
      <c r="C761" s="1" t="n">
        <v>46196</v>
      </c>
      <c r="D761" t="inlineStr">
        <is>
          <t>ÖREBRO LÄN</t>
        </is>
      </c>
      <c r="E761" t="inlineStr">
        <is>
          <t>LINDESBERG</t>
        </is>
      </c>
      <c r="G761" t="n">
        <v>2.2</v>
      </c>
      <c r="H761" t="n">
        <v>0</v>
      </c>
      <c r="I761" t="n">
        <v>0</v>
      </c>
      <c r="J761" t="n">
        <v>0</v>
      </c>
      <c r="K761" t="n">
        <v>0</v>
      </c>
      <c r="L761" t="n">
        <v>0</v>
      </c>
      <c r="M761" t="n">
        <v>0</v>
      </c>
      <c r="N761" t="n">
        <v>0</v>
      </c>
      <c r="O761" t="n">
        <v>0</v>
      </c>
      <c r="P761" t="n">
        <v>0</v>
      </c>
      <c r="Q761" t="n">
        <v>0</v>
      </c>
      <c r="R761" s="2" t="inlineStr"/>
    </row>
    <row r="762" ht="15" customHeight="1">
      <c r="A762" t="inlineStr">
        <is>
          <t>A 27051-2023</t>
        </is>
      </c>
      <c r="B762" s="1" t="n">
        <v>45095</v>
      </c>
      <c r="C762" s="1" t="n">
        <v>46196</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43801-2024</t>
        </is>
      </c>
      <c r="B763" s="1" t="n">
        <v>45571</v>
      </c>
      <c r="C763" s="1" t="n">
        <v>46196</v>
      </c>
      <c r="D763" t="inlineStr">
        <is>
          <t>ÖREBRO LÄN</t>
        </is>
      </c>
      <c r="E763" t="inlineStr">
        <is>
          <t>LINDESBERG</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45072-2024</t>
        </is>
      </c>
      <c r="B764" s="1" t="n">
        <v>45575</v>
      </c>
      <c r="C764" s="1" t="n">
        <v>46196</v>
      </c>
      <c r="D764" t="inlineStr">
        <is>
          <t>ÖREBRO LÄN</t>
        </is>
      </c>
      <c r="E764" t="inlineStr">
        <is>
          <t>LINDESBERG</t>
        </is>
      </c>
      <c r="F764" t="inlineStr">
        <is>
          <t>Sveaskog</t>
        </is>
      </c>
      <c r="G764" t="n">
        <v>2</v>
      </c>
      <c r="H764" t="n">
        <v>0</v>
      </c>
      <c r="I764" t="n">
        <v>0</v>
      </c>
      <c r="J764" t="n">
        <v>0</v>
      </c>
      <c r="K764" t="n">
        <v>0</v>
      </c>
      <c r="L764" t="n">
        <v>0</v>
      </c>
      <c r="M764" t="n">
        <v>0</v>
      </c>
      <c r="N764" t="n">
        <v>0</v>
      </c>
      <c r="O764" t="n">
        <v>0</v>
      </c>
      <c r="P764" t="n">
        <v>0</v>
      </c>
      <c r="Q764" t="n">
        <v>0</v>
      </c>
      <c r="R764" s="2" t="inlineStr"/>
    </row>
    <row r="765" ht="15" customHeight="1">
      <c r="A765" t="inlineStr">
        <is>
          <t>A 45075-2024</t>
        </is>
      </c>
      <c r="B765" s="1" t="n">
        <v>45575</v>
      </c>
      <c r="C765" s="1" t="n">
        <v>46196</v>
      </c>
      <c r="D765" t="inlineStr">
        <is>
          <t>ÖREBRO LÄN</t>
        </is>
      </c>
      <c r="E765" t="inlineStr">
        <is>
          <t>LINDESBERG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61405-2022</t>
        </is>
      </c>
      <c r="B766" s="1" t="n">
        <v>44916</v>
      </c>
      <c r="C766" s="1" t="n">
        <v>46196</v>
      </c>
      <c r="D766" t="inlineStr">
        <is>
          <t>ÖREBRO LÄN</t>
        </is>
      </c>
      <c r="E766" t="inlineStr">
        <is>
          <t>LINDESBERG</t>
        </is>
      </c>
      <c r="G766" t="n">
        <v>4.4</v>
      </c>
      <c r="H766" t="n">
        <v>0</v>
      </c>
      <c r="I766" t="n">
        <v>0</v>
      </c>
      <c r="J766" t="n">
        <v>0</v>
      </c>
      <c r="K766" t="n">
        <v>0</v>
      </c>
      <c r="L766" t="n">
        <v>0</v>
      </c>
      <c r="M766" t="n">
        <v>0</v>
      </c>
      <c r="N766" t="n">
        <v>0</v>
      </c>
      <c r="O766" t="n">
        <v>0</v>
      </c>
      <c r="P766" t="n">
        <v>0</v>
      </c>
      <c r="Q766" t="n">
        <v>0</v>
      </c>
      <c r="R766" s="2" t="inlineStr"/>
    </row>
    <row r="767" ht="15" customHeight="1">
      <c r="A767" t="inlineStr">
        <is>
          <t>A 40563-2023</t>
        </is>
      </c>
      <c r="B767" s="1" t="n">
        <v>45170</v>
      </c>
      <c r="C767" s="1" t="n">
        <v>46196</v>
      </c>
      <c r="D767" t="inlineStr">
        <is>
          <t>ÖREBRO LÄN</t>
        </is>
      </c>
      <c r="E767" t="inlineStr">
        <is>
          <t>LINDESBERG</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38613-2024</t>
        </is>
      </c>
      <c r="B768" s="1" t="n">
        <v>45546</v>
      </c>
      <c r="C768" s="1" t="n">
        <v>46196</v>
      </c>
      <c r="D768" t="inlineStr">
        <is>
          <t>ÖREBRO LÄN</t>
        </is>
      </c>
      <c r="E768" t="inlineStr">
        <is>
          <t>LINDESBERG</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49358-2023</t>
        </is>
      </c>
      <c r="B769" s="1" t="n">
        <v>45211</v>
      </c>
      <c r="C769" s="1" t="n">
        <v>46196</v>
      </c>
      <c r="D769" t="inlineStr">
        <is>
          <t>ÖREBRO LÄN</t>
        </is>
      </c>
      <c r="E769" t="inlineStr">
        <is>
          <t>LINDESBERG</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72331-2021</t>
        </is>
      </c>
      <c r="B770" s="1" t="n">
        <v>44544</v>
      </c>
      <c r="C770" s="1" t="n">
        <v>46196</v>
      </c>
      <c r="D770" t="inlineStr">
        <is>
          <t>ÖREBRO LÄN</t>
        </is>
      </c>
      <c r="E770" t="inlineStr">
        <is>
          <t>LINDESBERG</t>
        </is>
      </c>
      <c r="G770" t="n">
        <v>1.5</v>
      </c>
      <c r="H770" t="n">
        <v>0</v>
      </c>
      <c r="I770" t="n">
        <v>0</v>
      </c>
      <c r="J770" t="n">
        <v>0</v>
      </c>
      <c r="K770" t="n">
        <v>0</v>
      </c>
      <c r="L770" t="n">
        <v>0</v>
      </c>
      <c r="M770" t="n">
        <v>0</v>
      </c>
      <c r="N770" t="n">
        <v>0</v>
      </c>
      <c r="O770" t="n">
        <v>0</v>
      </c>
      <c r="P770" t="n">
        <v>0</v>
      </c>
      <c r="Q770" t="n">
        <v>0</v>
      </c>
      <c r="R770" s="2" t="inlineStr"/>
    </row>
    <row r="771" ht="15" customHeight="1">
      <c r="A771" t="inlineStr">
        <is>
          <t>A 54663-2021</t>
        </is>
      </c>
      <c r="B771" s="1" t="n">
        <v>44473</v>
      </c>
      <c r="C771" s="1" t="n">
        <v>46196</v>
      </c>
      <c r="D771" t="inlineStr">
        <is>
          <t>ÖREBRO LÄN</t>
        </is>
      </c>
      <c r="E771" t="inlineStr">
        <is>
          <t>LINDESBERG</t>
        </is>
      </c>
      <c r="G771" t="n">
        <v>1.2</v>
      </c>
      <c r="H771" t="n">
        <v>0</v>
      </c>
      <c r="I771" t="n">
        <v>0</v>
      </c>
      <c r="J771" t="n">
        <v>0</v>
      </c>
      <c r="K771" t="n">
        <v>0</v>
      </c>
      <c r="L771" t="n">
        <v>0</v>
      </c>
      <c r="M771" t="n">
        <v>0</v>
      </c>
      <c r="N771" t="n">
        <v>0</v>
      </c>
      <c r="O771" t="n">
        <v>0</v>
      </c>
      <c r="P771" t="n">
        <v>0</v>
      </c>
      <c r="Q771" t="n">
        <v>0</v>
      </c>
      <c r="R771" s="2" t="inlineStr"/>
    </row>
    <row r="772" ht="15" customHeight="1">
      <c r="A772" t="inlineStr">
        <is>
          <t>A 27031-2024</t>
        </is>
      </c>
      <c r="B772" s="1" t="n">
        <v>45471</v>
      </c>
      <c r="C772" s="1" t="n">
        <v>46196</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44664-2023</t>
        </is>
      </c>
      <c r="B773" s="1" t="n">
        <v>45189</v>
      </c>
      <c r="C773" s="1" t="n">
        <v>46196</v>
      </c>
      <c r="D773" t="inlineStr">
        <is>
          <t>ÖREBRO LÄN</t>
        </is>
      </c>
      <c r="E773" t="inlineStr">
        <is>
          <t>LINDESBERG</t>
        </is>
      </c>
      <c r="G773" t="n">
        <v>2.1</v>
      </c>
      <c r="H773" t="n">
        <v>0</v>
      </c>
      <c r="I773" t="n">
        <v>0</v>
      </c>
      <c r="J773" t="n">
        <v>0</v>
      </c>
      <c r="K773" t="n">
        <v>0</v>
      </c>
      <c r="L773" t="n">
        <v>0</v>
      </c>
      <c r="M773" t="n">
        <v>0</v>
      </c>
      <c r="N773" t="n">
        <v>0</v>
      </c>
      <c r="O773" t="n">
        <v>0</v>
      </c>
      <c r="P773" t="n">
        <v>0</v>
      </c>
      <c r="Q773" t="n">
        <v>0</v>
      </c>
      <c r="R773" s="2" t="inlineStr"/>
    </row>
    <row r="774" ht="15" customHeight="1">
      <c r="A774" t="inlineStr">
        <is>
          <t>A 11366-2024</t>
        </is>
      </c>
      <c r="B774" s="1" t="n">
        <v>45372</v>
      </c>
      <c r="C774" s="1" t="n">
        <v>46196</v>
      </c>
      <c r="D774" t="inlineStr">
        <is>
          <t>ÖREBRO LÄN</t>
        </is>
      </c>
      <c r="E774" t="inlineStr">
        <is>
          <t>LINDESBERG</t>
        </is>
      </c>
      <c r="G774" t="n">
        <v>4.4</v>
      </c>
      <c r="H774" t="n">
        <v>0</v>
      </c>
      <c r="I774" t="n">
        <v>0</v>
      </c>
      <c r="J774" t="n">
        <v>0</v>
      </c>
      <c r="K774" t="n">
        <v>0</v>
      </c>
      <c r="L774" t="n">
        <v>0</v>
      </c>
      <c r="M774" t="n">
        <v>0</v>
      </c>
      <c r="N774" t="n">
        <v>0</v>
      </c>
      <c r="O774" t="n">
        <v>0</v>
      </c>
      <c r="P774" t="n">
        <v>0</v>
      </c>
      <c r="Q774" t="n">
        <v>0</v>
      </c>
      <c r="R774" s="2" t="inlineStr"/>
    </row>
    <row r="775" ht="15" customHeight="1">
      <c r="A775" t="inlineStr">
        <is>
          <t>A 24270-2023</t>
        </is>
      </c>
      <c r="B775" s="1" t="n">
        <v>45079</v>
      </c>
      <c r="C775" s="1" t="n">
        <v>46196</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24271-2023</t>
        </is>
      </c>
      <c r="B776" s="1" t="n">
        <v>45079</v>
      </c>
      <c r="C776" s="1" t="n">
        <v>46196</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25046-2024</t>
        </is>
      </c>
      <c r="B777" s="1" t="n">
        <v>45462</v>
      </c>
      <c r="C777" s="1" t="n">
        <v>46196</v>
      </c>
      <c r="D777" t="inlineStr">
        <is>
          <t>ÖREBRO LÄN</t>
        </is>
      </c>
      <c r="E777" t="inlineStr">
        <is>
          <t>LINDESBERG</t>
        </is>
      </c>
      <c r="G777" t="n">
        <v>4.1</v>
      </c>
      <c r="H777" t="n">
        <v>0</v>
      </c>
      <c r="I777" t="n">
        <v>0</v>
      </c>
      <c r="J777" t="n">
        <v>0</v>
      </c>
      <c r="K777" t="n">
        <v>0</v>
      </c>
      <c r="L777" t="n">
        <v>0</v>
      </c>
      <c r="M777" t="n">
        <v>0</v>
      </c>
      <c r="N777" t="n">
        <v>0</v>
      </c>
      <c r="O777" t="n">
        <v>0</v>
      </c>
      <c r="P777" t="n">
        <v>0</v>
      </c>
      <c r="Q777" t="n">
        <v>0</v>
      </c>
      <c r="R777" s="2" t="inlineStr"/>
    </row>
    <row r="778" ht="15" customHeight="1">
      <c r="A778" t="inlineStr">
        <is>
          <t>A 45038-2024</t>
        </is>
      </c>
      <c r="B778" s="1" t="n">
        <v>45575</v>
      </c>
      <c r="C778" s="1" t="n">
        <v>46196</v>
      </c>
      <c r="D778" t="inlineStr">
        <is>
          <t>ÖREBRO LÄN</t>
        </is>
      </c>
      <c r="E778" t="inlineStr">
        <is>
          <t>LINDESBERG</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21468-2024</t>
        </is>
      </c>
      <c r="B779" s="1" t="n">
        <v>45441</v>
      </c>
      <c r="C779" s="1" t="n">
        <v>46196</v>
      </c>
      <c r="D779" t="inlineStr">
        <is>
          <t>ÖREBRO LÄN</t>
        </is>
      </c>
      <c r="E779" t="inlineStr">
        <is>
          <t>LINDESBERG</t>
        </is>
      </c>
      <c r="G779" t="n">
        <v>1</v>
      </c>
      <c r="H779" t="n">
        <v>0</v>
      </c>
      <c r="I779" t="n">
        <v>0</v>
      </c>
      <c r="J779" t="n">
        <v>0</v>
      </c>
      <c r="K779" t="n">
        <v>0</v>
      </c>
      <c r="L779" t="n">
        <v>0</v>
      </c>
      <c r="M779" t="n">
        <v>0</v>
      </c>
      <c r="N779" t="n">
        <v>0</v>
      </c>
      <c r="O779" t="n">
        <v>0</v>
      </c>
      <c r="P779" t="n">
        <v>0</v>
      </c>
      <c r="Q779" t="n">
        <v>0</v>
      </c>
      <c r="R779" s="2" t="inlineStr"/>
    </row>
    <row r="780" ht="15" customHeight="1">
      <c r="A780" t="inlineStr">
        <is>
          <t>A 40038-2024</t>
        </is>
      </c>
      <c r="B780" s="1" t="n">
        <v>45553</v>
      </c>
      <c r="C780" s="1" t="n">
        <v>46196</v>
      </c>
      <c r="D780" t="inlineStr">
        <is>
          <t>ÖREBRO LÄN</t>
        </is>
      </c>
      <c r="E780" t="inlineStr">
        <is>
          <t>LINDESBERG</t>
        </is>
      </c>
      <c r="F780" t="inlineStr">
        <is>
          <t>Sveaskog</t>
        </is>
      </c>
      <c r="G780" t="n">
        <v>1.7</v>
      </c>
      <c r="H780" t="n">
        <v>0</v>
      </c>
      <c r="I780" t="n">
        <v>0</v>
      </c>
      <c r="J780" t="n">
        <v>0</v>
      </c>
      <c r="K780" t="n">
        <v>0</v>
      </c>
      <c r="L780" t="n">
        <v>0</v>
      </c>
      <c r="M780" t="n">
        <v>0</v>
      </c>
      <c r="N780" t="n">
        <v>0</v>
      </c>
      <c r="O780" t="n">
        <v>0</v>
      </c>
      <c r="P780" t="n">
        <v>0</v>
      </c>
      <c r="Q780" t="n">
        <v>0</v>
      </c>
      <c r="R780" s="2" t="inlineStr"/>
    </row>
    <row r="781" ht="15" customHeight="1">
      <c r="A781" t="inlineStr">
        <is>
          <t>A 12276-2025</t>
        </is>
      </c>
      <c r="B781" s="1" t="n">
        <v>45729</v>
      </c>
      <c r="C781" s="1" t="n">
        <v>46196</v>
      </c>
      <c r="D781" t="inlineStr">
        <is>
          <t>ÖREBRO LÄN</t>
        </is>
      </c>
      <c r="E781" t="inlineStr">
        <is>
          <t>LINDESBERG</t>
        </is>
      </c>
      <c r="G781" t="n">
        <v>7.6</v>
      </c>
      <c r="H781" t="n">
        <v>0</v>
      </c>
      <c r="I781" t="n">
        <v>0</v>
      </c>
      <c r="J781" t="n">
        <v>0</v>
      </c>
      <c r="K781" t="n">
        <v>0</v>
      </c>
      <c r="L781" t="n">
        <v>0</v>
      </c>
      <c r="M781" t="n">
        <v>0</v>
      </c>
      <c r="N781" t="n">
        <v>0</v>
      </c>
      <c r="O781" t="n">
        <v>0</v>
      </c>
      <c r="P781" t="n">
        <v>0</v>
      </c>
      <c r="Q781" t="n">
        <v>0</v>
      </c>
      <c r="R781" s="2" t="inlineStr"/>
    </row>
    <row r="782" ht="15" customHeight="1">
      <c r="A782" t="inlineStr">
        <is>
          <t>A 14028-2023</t>
        </is>
      </c>
      <c r="B782" s="1" t="n">
        <v>45008</v>
      </c>
      <c r="C782" s="1" t="n">
        <v>46196</v>
      </c>
      <c r="D782" t="inlineStr">
        <is>
          <t>ÖREBRO LÄN</t>
        </is>
      </c>
      <c r="E782" t="inlineStr">
        <is>
          <t>LINDESBERG</t>
        </is>
      </c>
      <c r="F782" t="inlineStr">
        <is>
          <t>Kyrkan</t>
        </is>
      </c>
      <c r="G782" t="n">
        <v>1.1</v>
      </c>
      <c r="H782" t="n">
        <v>0</v>
      </c>
      <c r="I782" t="n">
        <v>0</v>
      </c>
      <c r="J782" t="n">
        <v>0</v>
      </c>
      <c r="K782" t="n">
        <v>0</v>
      </c>
      <c r="L782" t="n">
        <v>0</v>
      </c>
      <c r="M782" t="n">
        <v>0</v>
      </c>
      <c r="N782" t="n">
        <v>0</v>
      </c>
      <c r="O782" t="n">
        <v>0</v>
      </c>
      <c r="P782" t="n">
        <v>0</v>
      </c>
      <c r="Q782" t="n">
        <v>0</v>
      </c>
      <c r="R782" s="2" t="inlineStr"/>
    </row>
    <row r="783" ht="15" customHeight="1">
      <c r="A783" t="inlineStr">
        <is>
          <t>A 31024-2023</t>
        </is>
      </c>
      <c r="B783" s="1" t="n">
        <v>45113</v>
      </c>
      <c r="C783" s="1" t="n">
        <v>46196</v>
      </c>
      <c r="D783" t="inlineStr">
        <is>
          <t>ÖREBRO LÄN</t>
        </is>
      </c>
      <c r="E783" t="inlineStr">
        <is>
          <t>LINDESBERG</t>
        </is>
      </c>
      <c r="G783" t="n">
        <v>5.1</v>
      </c>
      <c r="H783" t="n">
        <v>0</v>
      </c>
      <c r="I783" t="n">
        <v>0</v>
      </c>
      <c r="J783" t="n">
        <v>0</v>
      </c>
      <c r="K783" t="n">
        <v>0</v>
      </c>
      <c r="L783" t="n">
        <v>0</v>
      </c>
      <c r="M783" t="n">
        <v>0</v>
      </c>
      <c r="N783" t="n">
        <v>0</v>
      </c>
      <c r="O783" t="n">
        <v>0</v>
      </c>
      <c r="P783" t="n">
        <v>0</v>
      </c>
      <c r="Q783" t="n">
        <v>0</v>
      </c>
      <c r="R783" s="2" t="inlineStr"/>
    </row>
    <row r="784" ht="15" customHeight="1">
      <c r="A784" t="inlineStr">
        <is>
          <t>A 27052-2023</t>
        </is>
      </c>
      <c r="B784" s="1" t="n">
        <v>45095</v>
      </c>
      <c r="C784" s="1" t="n">
        <v>46196</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12053-2024</t>
        </is>
      </c>
      <c r="B785" s="1" t="n">
        <v>45377</v>
      </c>
      <c r="C785" s="1" t="n">
        <v>46196</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626-2025</t>
        </is>
      </c>
      <c r="B786" s="1" t="n">
        <v>45664</v>
      </c>
      <c r="C786" s="1" t="n">
        <v>46196</v>
      </c>
      <c r="D786" t="inlineStr">
        <is>
          <t>ÖREBRO LÄN</t>
        </is>
      </c>
      <c r="E786" t="inlineStr">
        <is>
          <t>LINDESBERG</t>
        </is>
      </c>
      <c r="G786" t="n">
        <v>0.5</v>
      </c>
      <c r="H786" t="n">
        <v>0</v>
      </c>
      <c r="I786" t="n">
        <v>0</v>
      </c>
      <c r="J786" t="n">
        <v>0</v>
      </c>
      <c r="K786" t="n">
        <v>0</v>
      </c>
      <c r="L786" t="n">
        <v>0</v>
      </c>
      <c r="M786" t="n">
        <v>0</v>
      </c>
      <c r="N786" t="n">
        <v>0</v>
      </c>
      <c r="O786" t="n">
        <v>0</v>
      </c>
      <c r="P786" t="n">
        <v>0</v>
      </c>
      <c r="Q786" t="n">
        <v>0</v>
      </c>
      <c r="R786" s="2" t="inlineStr"/>
    </row>
    <row r="787" ht="15" customHeight="1">
      <c r="A787" t="inlineStr">
        <is>
          <t>A 63686-2023</t>
        </is>
      </c>
      <c r="B787" s="1" t="n">
        <v>45274</v>
      </c>
      <c r="C787" s="1" t="n">
        <v>46196</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64365-2023</t>
        </is>
      </c>
      <c r="B788" s="1" t="n">
        <v>45280</v>
      </c>
      <c r="C788" s="1" t="n">
        <v>46196</v>
      </c>
      <c r="D788" t="inlineStr">
        <is>
          <t>ÖREBRO LÄN</t>
        </is>
      </c>
      <c r="E788" t="inlineStr">
        <is>
          <t>LINDESBERG</t>
        </is>
      </c>
      <c r="F788" t="inlineStr">
        <is>
          <t>Kyrkan</t>
        </is>
      </c>
      <c r="G788" t="n">
        <v>1.4</v>
      </c>
      <c r="H788" t="n">
        <v>0</v>
      </c>
      <c r="I788" t="n">
        <v>0</v>
      </c>
      <c r="J788" t="n">
        <v>0</v>
      </c>
      <c r="K788" t="n">
        <v>0</v>
      </c>
      <c r="L788" t="n">
        <v>0</v>
      </c>
      <c r="M788" t="n">
        <v>0</v>
      </c>
      <c r="N788" t="n">
        <v>0</v>
      </c>
      <c r="O788" t="n">
        <v>0</v>
      </c>
      <c r="P788" t="n">
        <v>0</v>
      </c>
      <c r="Q788" t="n">
        <v>0</v>
      </c>
      <c r="R788" s="2" t="inlineStr"/>
    </row>
    <row r="789" ht="15" customHeight="1">
      <c r="A789" t="inlineStr">
        <is>
          <t>A 56217-2022</t>
        </is>
      </c>
      <c r="B789" s="1" t="n">
        <v>44890</v>
      </c>
      <c r="C789" s="1" t="n">
        <v>46196</v>
      </c>
      <c r="D789" t="inlineStr">
        <is>
          <t>ÖREBRO LÄN</t>
        </is>
      </c>
      <c r="E789" t="inlineStr">
        <is>
          <t>LINDESBERG</t>
        </is>
      </c>
      <c r="G789" t="n">
        <v>6.9</v>
      </c>
      <c r="H789" t="n">
        <v>0</v>
      </c>
      <c r="I789" t="n">
        <v>0</v>
      </c>
      <c r="J789" t="n">
        <v>0</v>
      </c>
      <c r="K789" t="n">
        <v>0</v>
      </c>
      <c r="L789" t="n">
        <v>0</v>
      </c>
      <c r="M789" t="n">
        <v>0</v>
      </c>
      <c r="N789" t="n">
        <v>0</v>
      </c>
      <c r="O789" t="n">
        <v>0</v>
      </c>
      <c r="P789" t="n">
        <v>0</v>
      </c>
      <c r="Q789" t="n">
        <v>0</v>
      </c>
      <c r="R789" s="2" t="inlineStr"/>
    </row>
    <row r="790" ht="15" customHeight="1">
      <c r="A790" t="inlineStr">
        <is>
          <t>A 5550-2024</t>
        </is>
      </c>
      <c r="B790" s="1" t="n">
        <v>45334</v>
      </c>
      <c r="C790" s="1" t="n">
        <v>46196</v>
      </c>
      <c r="D790" t="inlineStr">
        <is>
          <t>ÖREBRO LÄN</t>
        </is>
      </c>
      <c r="E790" t="inlineStr">
        <is>
          <t>LINDESBERG</t>
        </is>
      </c>
      <c r="G790" t="n">
        <v>0.6</v>
      </c>
      <c r="H790" t="n">
        <v>0</v>
      </c>
      <c r="I790" t="n">
        <v>0</v>
      </c>
      <c r="J790" t="n">
        <v>0</v>
      </c>
      <c r="K790" t="n">
        <v>0</v>
      </c>
      <c r="L790" t="n">
        <v>0</v>
      </c>
      <c r="M790" t="n">
        <v>0</v>
      </c>
      <c r="N790" t="n">
        <v>0</v>
      </c>
      <c r="O790" t="n">
        <v>0</v>
      </c>
      <c r="P790" t="n">
        <v>0</v>
      </c>
      <c r="Q790" t="n">
        <v>0</v>
      </c>
      <c r="R790" s="2" t="inlineStr"/>
    </row>
    <row r="791" ht="15" customHeight="1">
      <c r="A791" t="inlineStr">
        <is>
          <t>A 32829-2024</t>
        </is>
      </c>
      <c r="B791" s="1" t="n">
        <v>45516</v>
      </c>
      <c r="C791" s="1" t="n">
        <v>46196</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29350-2022</t>
        </is>
      </c>
      <c r="B792" s="1" t="n">
        <v>44753</v>
      </c>
      <c r="C792" s="1" t="n">
        <v>46196</v>
      </c>
      <c r="D792" t="inlineStr">
        <is>
          <t>ÖREBRO LÄN</t>
        </is>
      </c>
      <c r="E792" t="inlineStr">
        <is>
          <t>LINDESBERG</t>
        </is>
      </c>
      <c r="G792" t="n">
        <v>7.7</v>
      </c>
      <c r="H792" t="n">
        <v>0</v>
      </c>
      <c r="I792" t="n">
        <v>0</v>
      </c>
      <c r="J792" t="n">
        <v>0</v>
      </c>
      <c r="K792" t="n">
        <v>0</v>
      </c>
      <c r="L792" t="n">
        <v>0</v>
      </c>
      <c r="M792" t="n">
        <v>0</v>
      </c>
      <c r="N792" t="n">
        <v>0</v>
      </c>
      <c r="O792" t="n">
        <v>0</v>
      </c>
      <c r="P792" t="n">
        <v>0</v>
      </c>
      <c r="Q792" t="n">
        <v>0</v>
      </c>
      <c r="R792" s="2" t="inlineStr"/>
    </row>
    <row r="793" ht="15" customHeight="1">
      <c r="A793" t="inlineStr">
        <is>
          <t>A 58710-2023</t>
        </is>
      </c>
      <c r="B793" s="1" t="n">
        <v>45251</v>
      </c>
      <c r="C793" s="1" t="n">
        <v>46196</v>
      </c>
      <c r="D793" t="inlineStr">
        <is>
          <t>ÖREBRO LÄN</t>
        </is>
      </c>
      <c r="E793" t="inlineStr">
        <is>
          <t>LINDESBERG</t>
        </is>
      </c>
      <c r="G793" t="n">
        <v>6.3</v>
      </c>
      <c r="H793" t="n">
        <v>0</v>
      </c>
      <c r="I793" t="n">
        <v>0</v>
      </c>
      <c r="J793" t="n">
        <v>0</v>
      </c>
      <c r="K793" t="n">
        <v>0</v>
      </c>
      <c r="L793" t="n">
        <v>0</v>
      </c>
      <c r="M793" t="n">
        <v>0</v>
      </c>
      <c r="N793" t="n">
        <v>0</v>
      </c>
      <c r="O793" t="n">
        <v>0</v>
      </c>
      <c r="P793" t="n">
        <v>0</v>
      </c>
      <c r="Q793" t="n">
        <v>0</v>
      </c>
      <c r="R793" s="2" t="inlineStr"/>
    </row>
    <row r="794" ht="15" customHeight="1">
      <c r="A794" t="inlineStr">
        <is>
          <t>A 60449-2024</t>
        </is>
      </c>
      <c r="B794" s="1" t="n">
        <v>45643</v>
      </c>
      <c r="C794" s="1" t="n">
        <v>46196</v>
      </c>
      <c r="D794" t="inlineStr">
        <is>
          <t>ÖREBRO LÄN</t>
        </is>
      </c>
      <c r="E794" t="inlineStr">
        <is>
          <t>LINDESBERG</t>
        </is>
      </c>
      <c r="G794" t="n">
        <v>1.2</v>
      </c>
      <c r="H794" t="n">
        <v>0</v>
      </c>
      <c r="I794" t="n">
        <v>0</v>
      </c>
      <c r="J794" t="n">
        <v>0</v>
      </c>
      <c r="K794" t="n">
        <v>0</v>
      </c>
      <c r="L794" t="n">
        <v>0</v>
      </c>
      <c r="M794" t="n">
        <v>0</v>
      </c>
      <c r="N794" t="n">
        <v>0</v>
      </c>
      <c r="O794" t="n">
        <v>0</v>
      </c>
      <c r="P794" t="n">
        <v>0</v>
      </c>
      <c r="Q794" t="n">
        <v>0</v>
      </c>
      <c r="R794" s="2" t="inlineStr"/>
    </row>
    <row r="795" ht="15" customHeight="1">
      <c r="A795" t="inlineStr">
        <is>
          <t>A 43529-2024</t>
        </is>
      </c>
      <c r="B795" s="1" t="n">
        <v>45569</v>
      </c>
      <c r="C795" s="1" t="n">
        <v>46196</v>
      </c>
      <c r="D795" t="inlineStr">
        <is>
          <t>ÖREBRO LÄN</t>
        </is>
      </c>
      <c r="E795" t="inlineStr">
        <is>
          <t>LINDESBERG</t>
        </is>
      </c>
      <c r="G795" t="n">
        <v>2.8</v>
      </c>
      <c r="H795" t="n">
        <v>0</v>
      </c>
      <c r="I795" t="n">
        <v>0</v>
      </c>
      <c r="J795" t="n">
        <v>0</v>
      </c>
      <c r="K795" t="n">
        <v>0</v>
      </c>
      <c r="L795" t="n">
        <v>0</v>
      </c>
      <c r="M795" t="n">
        <v>0</v>
      </c>
      <c r="N795" t="n">
        <v>0</v>
      </c>
      <c r="O795" t="n">
        <v>0</v>
      </c>
      <c r="P795" t="n">
        <v>0</v>
      </c>
      <c r="Q795" t="n">
        <v>0</v>
      </c>
      <c r="R795" s="2" t="inlineStr"/>
    </row>
    <row r="796" ht="15" customHeight="1">
      <c r="A796" t="inlineStr">
        <is>
          <t>A 54864-2024</t>
        </is>
      </c>
      <c r="B796" s="1" t="n">
        <v>45618</v>
      </c>
      <c r="C796" s="1" t="n">
        <v>46196</v>
      </c>
      <c r="D796" t="inlineStr">
        <is>
          <t>ÖREBRO LÄN</t>
        </is>
      </c>
      <c r="E796" t="inlineStr">
        <is>
          <t>LINDESBERG</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32009-2023</t>
        </is>
      </c>
      <c r="B797" s="1" t="n">
        <v>45119</v>
      </c>
      <c r="C797" s="1" t="n">
        <v>46196</v>
      </c>
      <c r="D797" t="inlineStr">
        <is>
          <t>ÖREBRO LÄN</t>
        </is>
      </c>
      <c r="E797" t="inlineStr">
        <is>
          <t>LINDESBERG</t>
        </is>
      </c>
      <c r="F797" t="inlineStr">
        <is>
          <t>Kyrkan</t>
        </is>
      </c>
      <c r="G797" t="n">
        <v>0.8</v>
      </c>
      <c r="H797" t="n">
        <v>0</v>
      </c>
      <c r="I797" t="n">
        <v>0</v>
      </c>
      <c r="J797" t="n">
        <v>0</v>
      </c>
      <c r="K797" t="n">
        <v>0</v>
      </c>
      <c r="L797" t="n">
        <v>0</v>
      </c>
      <c r="M797" t="n">
        <v>0</v>
      </c>
      <c r="N797" t="n">
        <v>0</v>
      </c>
      <c r="O797" t="n">
        <v>0</v>
      </c>
      <c r="P797" t="n">
        <v>0</v>
      </c>
      <c r="Q797" t="n">
        <v>0</v>
      </c>
      <c r="R797" s="2" t="inlineStr"/>
    </row>
    <row r="798" ht="15" customHeight="1">
      <c r="A798" t="inlineStr">
        <is>
          <t>A 3148-2023</t>
        </is>
      </c>
      <c r="B798" s="1" t="n">
        <v>44946</v>
      </c>
      <c r="C798" s="1" t="n">
        <v>46196</v>
      </c>
      <c r="D798" t="inlineStr">
        <is>
          <t>ÖREBRO LÄN</t>
        </is>
      </c>
      <c r="E798" t="inlineStr">
        <is>
          <t>LINDESBERG</t>
        </is>
      </c>
      <c r="G798" t="n">
        <v>5.5</v>
      </c>
      <c r="H798" t="n">
        <v>0</v>
      </c>
      <c r="I798" t="n">
        <v>0</v>
      </c>
      <c r="J798" t="n">
        <v>0</v>
      </c>
      <c r="K798" t="n">
        <v>0</v>
      </c>
      <c r="L798" t="n">
        <v>0</v>
      </c>
      <c r="M798" t="n">
        <v>0</v>
      </c>
      <c r="N798" t="n">
        <v>0</v>
      </c>
      <c r="O798" t="n">
        <v>0</v>
      </c>
      <c r="P798" t="n">
        <v>0</v>
      </c>
      <c r="Q798" t="n">
        <v>0</v>
      </c>
      <c r="R798" s="2" t="inlineStr"/>
    </row>
    <row r="799" ht="15" customHeight="1">
      <c r="A799" t="inlineStr">
        <is>
          <t>A 37432-2022</t>
        </is>
      </c>
      <c r="B799" s="1" t="n">
        <v>44809</v>
      </c>
      <c r="C799" s="1" t="n">
        <v>46196</v>
      </c>
      <c r="D799" t="inlineStr">
        <is>
          <t>ÖREBRO LÄN</t>
        </is>
      </c>
      <c r="E799" t="inlineStr">
        <is>
          <t>LINDESBERG</t>
        </is>
      </c>
      <c r="G799" t="n">
        <v>3.6</v>
      </c>
      <c r="H799" t="n">
        <v>0</v>
      </c>
      <c r="I799" t="n">
        <v>0</v>
      </c>
      <c r="J799" t="n">
        <v>0</v>
      </c>
      <c r="K799" t="n">
        <v>0</v>
      </c>
      <c r="L799" t="n">
        <v>0</v>
      </c>
      <c r="M799" t="n">
        <v>0</v>
      </c>
      <c r="N799" t="n">
        <v>0</v>
      </c>
      <c r="O799" t="n">
        <v>0</v>
      </c>
      <c r="P799" t="n">
        <v>0</v>
      </c>
      <c r="Q799" t="n">
        <v>0</v>
      </c>
      <c r="R799" s="2" t="inlineStr"/>
    </row>
    <row r="800" ht="15" customHeight="1">
      <c r="A800" t="inlineStr">
        <is>
          <t>A 61202-2023</t>
        </is>
      </c>
      <c r="B800" s="1" t="n">
        <v>45264</v>
      </c>
      <c r="C800" s="1" t="n">
        <v>46196</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7120-2025</t>
        </is>
      </c>
      <c r="B801" s="1" t="n">
        <v>45702</v>
      </c>
      <c r="C801" s="1" t="n">
        <v>46196</v>
      </c>
      <c r="D801" t="inlineStr">
        <is>
          <t>ÖREBRO LÄN</t>
        </is>
      </c>
      <c r="E801" t="inlineStr">
        <is>
          <t>LINDESBERG</t>
        </is>
      </c>
      <c r="G801" t="n">
        <v>0.5</v>
      </c>
      <c r="H801" t="n">
        <v>0</v>
      </c>
      <c r="I801" t="n">
        <v>0</v>
      </c>
      <c r="J801" t="n">
        <v>0</v>
      </c>
      <c r="K801" t="n">
        <v>0</v>
      </c>
      <c r="L801" t="n">
        <v>0</v>
      </c>
      <c r="M801" t="n">
        <v>0</v>
      </c>
      <c r="N801" t="n">
        <v>0</v>
      </c>
      <c r="O801" t="n">
        <v>0</v>
      </c>
      <c r="P801" t="n">
        <v>0</v>
      </c>
      <c r="Q801" t="n">
        <v>0</v>
      </c>
      <c r="R801" s="2" t="inlineStr"/>
    </row>
    <row r="802" ht="15" customHeight="1">
      <c r="A802" t="inlineStr">
        <is>
          <t>A 51379-2023</t>
        </is>
      </c>
      <c r="B802" s="1" t="n">
        <v>45219</v>
      </c>
      <c r="C802" s="1" t="n">
        <v>46196</v>
      </c>
      <c r="D802" t="inlineStr">
        <is>
          <t>ÖREBRO LÄN</t>
        </is>
      </c>
      <c r="E802" t="inlineStr">
        <is>
          <t>LINDESBERG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16054-2022</t>
        </is>
      </c>
      <c r="B803" s="1" t="n">
        <v>44665</v>
      </c>
      <c r="C803" s="1" t="n">
        <v>46196</v>
      </c>
      <c r="D803" t="inlineStr">
        <is>
          <t>ÖREBRO LÄN</t>
        </is>
      </c>
      <c r="E803" t="inlineStr">
        <is>
          <t>LINDESBERG</t>
        </is>
      </c>
      <c r="G803" t="n">
        <v>6.9</v>
      </c>
      <c r="H803" t="n">
        <v>0</v>
      </c>
      <c r="I803" t="n">
        <v>0</v>
      </c>
      <c r="J803" t="n">
        <v>0</v>
      </c>
      <c r="K803" t="n">
        <v>0</v>
      </c>
      <c r="L803" t="n">
        <v>0</v>
      </c>
      <c r="M803" t="n">
        <v>0</v>
      </c>
      <c r="N803" t="n">
        <v>0</v>
      </c>
      <c r="O803" t="n">
        <v>0</v>
      </c>
      <c r="P803" t="n">
        <v>0</v>
      </c>
      <c r="Q803" t="n">
        <v>0</v>
      </c>
      <c r="R803" s="2" t="inlineStr"/>
    </row>
    <row r="804" ht="15" customHeight="1">
      <c r="A804" t="inlineStr">
        <is>
          <t>A 49544-2023</t>
        </is>
      </c>
      <c r="B804" s="1" t="n">
        <v>45211</v>
      </c>
      <c r="C804" s="1" t="n">
        <v>46196</v>
      </c>
      <c r="D804" t="inlineStr">
        <is>
          <t>ÖREBRO LÄN</t>
        </is>
      </c>
      <c r="E804" t="inlineStr">
        <is>
          <t>LINDESBERG</t>
        </is>
      </c>
      <c r="G804" t="n">
        <v>0.5</v>
      </c>
      <c r="H804" t="n">
        <v>0</v>
      </c>
      <c r="I804" t="n">
        <v>0</v>
      </c>
      <c r="J804" t="n">
        <v>0</v>
      </c>
      <c r="K804" t="n">
        <v>0</v>
      </c>
      <c r="L804" t="n">
        <v>0</v>
      </c>
      <c r="M804" t="n">
        <v>0</v>
      </c>
      <c r="N804" t="n">
        <v>0</v>
      </c>
      <c r="O804" t="n">
        <v>0</v>
      </c>
      <c r="P804" t="n">
        <v>0</v>
      </c>
      <c r="Q804" t="n">
        <v>0</v>
      </c>
      <c r="R804" s="2" t="inlineStr"/>
    </row>
    <row r="805" ht="15" customHeight="1">
      <c r="A805" t="inlineStr">
        <is>
          <t>A 23260-2024</t>
        </is>
      </c>
      <c r="B805" s="1" t="n">
        <v>45453</v>
      </c>
      <c r="C805" s="1" t="n">
        <v>46196</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46607-2021</t>
        </is>
      </c>
      <c r="B806" s="1" t="n">
        <v>44445</v>
      </c>
      <c r="C806" s="1" t="n">
        <v>46196</v>
      </c>
      <c r="D806" t="inlineStr">
        <is>
          <t>ÖREBRO LÄN</t>
        </is>
      </c>
      <c r="E806" t="inlineStr">
        <is>
          <t>LINDESBERG</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20930-2025</t>
        </is>
      </c>
      <c r="B807" s="1" t="n">
        <v>45777</v>
      </c>
      <c r="C807" s="1" t="n">
        <v>46196</v>
      </c>
      <c r="D807" t="inlineStr">
        <is>
          <t>ÖREBRO LÄN</t>
        </is>
      </c>
      <c r="E807" t="inlineStr">
        <is>
          <t>LINDESBERG</t>
        </is>
      </c>
      <c r="F807" t="inlineStr">
        <is>
          <t>Sveaskog</t>
        </is>
      </c>
      <c r="G807" t="n">
        <v>3.9</v>
      </c>
      <c r="H807" t="n">
        <v>0</v>
      </c>
      <c r="I807" t="n">
        <v>0</v>
      </c>
      <c r="J807" t="n">
        <v>0</v>
      </c>
      <c r="K807" t="n">
        <v>0</v>
      </c>
      <c r="L807" t="n">
        <v>0</v>
      </c>
      <c r="M807" t="n">
        <v>0</v>
      </c>
      <c r="N807" t="n">
        <v>0</v>
      </c>
      <c r="O807" t="n">
        <v>0</v>
      </c>
      <c r="P807" t="n">
        <v>0</v>
      </c>
      <c r="Q807" t="n">
        <v>0</v>
      </c>
      <c r="R807" s="2" t="inlineStr"/>
    </row>
    <row r="808" ht="15" customHeight="1">
      <c r="A808" t="inlineStr">
        <is>
          <t>A 12795-2025</t>
        </is>
      </c>
      <c r="B808" s="1" t="n">
        <v>45733</v>
      </c>
      <c r="C808" s="1" t="n">
        <v>46196</v>
      </c>
      <c r="D808" t="inlineStr">
        <is>
          <t>ÖREBRO LÄN</t>
        </is>
      </c>
      <c r="E808" t="inlineStr">
        <is>
          <t>LINDESBERG</t>
        </is>
      </c>
      <c r="G808" t="n">
        <v>10.8</v>
      </c>
      <c r="H808" t="n">
        <v>0</v>
      </c>
      <c r="I808" t="n">
        <v>0</v>
      </c>
      <c r="J808" t="n">
        <v>0</v>
      </c>
      <c r="K808" t="n">
        <v>0</v>
      </c>
      <c r="L808" t="n">
        <v>0</v>
      </c>
      <c r="M808" t="n">
        <v>0</v>
      </c>
      <c r="N808" t="n">
        <v>0</v>
      </c>
      <c r="O808" t="n">
        <v>0</v>
      </c>
      <c r="P808" t="n">
        <v>0</v>
      </c>
      <c r="Q808" t="n">
        <v>0</v>
      </c>
      <c r="R808" s="2" t="inlineStr"/>
    </row>
    <row r="809" ht="15" customHeight="1">
      <c r="A809" t="inlineStr">
        <is>
          <t>A 20944-2025</t>
        </is>
      </c>
      <c r="B809" s="1" t="n">
        <v>45777</v>
      </c>
      <c r="C809" s="1" t="n">
        <v>46196</v>
      </c>
      <c r="D809" t="inlineStr">
        <is>
          <t>ÖREBRO LÄN</t>
        </is>
      </c>
      <c r="E809" t="inlineStr">
        <is>
          <t>LINDESBERG</t>
        </is>
      </c>
      <c r="F809" t="inlineStr">
        <is>
          <t>Sveaskog</t>
        </is>
      </c>
      <c r="G809" t="n">
        <v>2.6</v>
      </c>
      <c r="H809" t="n">
        <v>0</v>
      </c>
      <c r="I809" t="n">
        <v>0</v>
      </c>
      <c r="J809" t="n">
        <v>0</v>
      </c>
      <c r="K809" t="n">
        <v>0</v>
      </c>
      <c r="L809" t="n">
        <v>0</v>
      </c>
      <c r="M809" t="n">
        <v>0</v>
      </c>
      <c r="N809" t="n">
        <v>0</v>
      </c>
      <c r="O809" t="n">
        <v>0</v>
      </c>
      <c r="P809" t="n">
        <v>0</v>
      </c>
      <c r="Q809" t="n">
        <v>0</v>
      </c>
      <c r="R809" s="2" t="inlineStr"/>
    </row>
    <row r="810" ht="15" customHeight="1">
      <c r="A810" t="inlineStr">
        <is>
          <t>A 20950-2025</t>
        </is>
      </c>
      <c r="B810" s="1" t="n">
        <v>45777</v>
      </c>
      <c r="C810" s="1" t="n">
        <v>46196</v>
      </c>
      <c r="D810" t="inlineStr">
        <is>
          <t>ÖREBRO LÄN</t>
        </is>
      </c>
      <c r="E810" t="inlineStr">
        <is>
          <t>LINDESBERG</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20804-2025</t>
        </is>
      </c>
      <c r="B811" s="1" t="n">
        <v>45776</v>
      </c>
      <c r="C811" s="1" t="n">
        <v>46196</v>
      </c>
      <c r="D811" t="inlineStr">
        <is>
          <t>ÖREBRO LÄN</t>
        </is>
      </c>
      <c r="E811" t="inlineStr">
        <is>
          <t>LINDESBERG</t>
        </is>
      </c>
      <c r="G811" t="n">
        <v>3.2</v>
      </c>
      <c r="H811" t="n">
        <v>0</v>
      </c>
      <c r="I811" t="n">
        <v>0</v>
      </c>
      <c r="J811" t="n">
        <v>0</v>
      </c>
      <c r="K811" t="n">
        <v>0</v>
      </c>
      <c r="L811" t="n">
        <v>0</v>
      </c>
      <c r="M811" t="n">
        <v>0</v>
      </c>
      <c r="N811" t="n">
        <v>0</v>
      </c>
      <c r="O811" t="n">
        <v>0</v>
      </c>
      <c r="P811" t="n">
        <v>0</v>
      </c>
      <c r="Q811" t="n">
        <v>0</v>
      </c>
      <c r="R811" s="2" t="inlineStr"/>
    </row>
    <row r="812" ht="15" customHeight="1">
      <c r="A812" t="inlineStr">
        <is>
          <t>A 21812-2025</t>
        </is>
      </c>
      <c r="B812" s="1" t="n">
        <v>45783</v>
      </c>
      <c r="C812" s="1" t="n">
        <v>46196</v>
      </c>
      <c r="D812" t="inlineStr">
        <is>
          <t>ÖREBRO LÄN</t>
        </is>
      </c>
      <c r="E812" t="inlineStr">
        <is>
          <t>LINDESBERG</t>
        </is>
      </c>
      <c r="G812" t="n">
        <v>0.9</v>
      </c>
      <c r="H812" t="n">
        <v>0</v>
      </c>
      <c r="I812" t="n">
        <v>0</v>
      </c>
      <c r="J812" t="n">
        <v>0</v>
      </c>
      <c r="K812" t="n">
        <v>0</v>
      </c>
      <c r="L812" t="n">
        <v>0</v>
      </c>
      <c r="M812" t="n">
        <v>0</v>
      </c>
      <c r="N812" t="n">
        <v>0</v>
      </c>
      <c r="O812" t="n">
        <v>0</v>
      </c>
      <c r="P812" t="n">
        <v>0</v>
      </c>
      <c r="Q812" t="n">
        <v>0</v>
      </c>
      <c r="R812" s="2" t="inlineStr"/>
    </row>
    <row r="813" ht="15" customHeight="1">
      <c r="A813" t="inlineStr">
        <is>
          <t>A 43195-2024</t>
        </is>
      </c>
      <c r="B813" s="1" t="n">
        <v>45567</v>
      </c>
      <c r="C813" s="1" t="n">
        <v>46196</v>
      </c>
      <c r="D813" t="inlineStr">
        <is>
          <t>ÖREBRO LÄN</t>
        </is>
      </c>
      <c r="E813" t="inlineStr">
        <is>
          <t>LINDESBERG</t>
        </is>
      </c>
      <c r="G813" t="n">
        <v>27.8</v>
      </c>
      <c r="H813" t="n">
        <v>0</v>
      </c>
      <c r="I813" t="n">
        <v>0</v>
      </c>
      <c r="J813" t="n">
        <v>0</v>
      </c>
      <c r="K813" t="n">
        <v>0</v>
      </c>
      <c r="L813" t="n">
        <v>0</v>
      </c>
      <c r="M813" t="n">
        <v>0</v>
      </c>
      <c r="N813" t="n">
        <v>0</v>
      </c>
      <c r="O813" t="n">
        <v>0</v>
      </c>
      <c r="P813" t="n">
        <v>0</v>
      </c>
      <c r="Q813" t="n">
        <v>0</v>
      </c>
      <c r="R813" s="2" t="inlineStr"/>
    </row>
    <row r="814" ht="15" customHeight="1">
      <c r="A814" t="inlineStr">
        <is>
          <t>A 31861-2024</t>
        </is>
      </c>
      <c r="B814" s="1" t="n">
        <v>45509</v>
      </c>
      <c r="C814" s="1" t="n">
        <v>46196</v>
      </c>
      <c r="D814" t="inlineStr">
        <is>
          <t>ÖREBRO LÄN</t>
        </is>
      </c>
      <c r="E814" t="inlineStr">
        <is>
          <t>LINDESBERG</t>
        </is>
      </c>
      <c r="G814" t="n">
        <v>8.300000000000001</v>
      </c>
      <c r="H814" t="n">
        <v>0</v>
      </c>
      <c r="I814" t="n">
        <v>0</v>
      </c>
      <c r="J814" t="n">
        <v>0</v>
      </c>
      <c r="K814" t="n">
        <v>0</v>
      </c>
      <c r="L814" t="n">
        <v>0</v>
      </c>
      <c r="M814" t="n">
        <v>0</v>
      </c>
      <c r="N814" t="n">
        <v>0</v>
      </c>
      <c r="O814" t="n">
        <v>0</v>
      </c>
      <c r="P814" t="n">
        <v>0</v>
      </c>
      <c r="Q814" t="n">
        <v>0</v>
      </c>
      <c r="R814" s="2" t="inlineStr"/>
    </row>
    <row r="815">
      <c r="A815" t="inlineStr">
        <is>
          <t>A 24583-2024</t>
        </is>
      </c>
      <c r="B815" s="1" t="n">
        <v>45460</v>
      </c>
      <c r="C815" s="1" t="n">
        <v>46196</v>
      </c>
      <c r="D815" t="inlineStr">
        <is>
          <t>ÖREBRO LÄN</t>
        </is>
      </c>
      <c r="E815" t="inlineStr">
        <is>
          <t>LINDESBERG</t>
        </is>
      </c>
      <c r="G815" t="n">
        <v>13.7</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2026-06-23T04:34:56Z</dcterms:created>
  <dcterms:modified xmlns:dcterms="http://purl.org/dc/terms/" xmlns:xsi="http://www.w3.org/2001/XMLSchema-instance" xsi:type="dcterms:W3CDTF">2026-06-23T04:34:57Z</dcterms:modified>
</cp:coreProperties>
</file>