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46075</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46075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46075</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46075</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46075</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46075</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46075</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46075</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46075</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46075</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46075</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46075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46075</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46075</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46075</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46075</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46075</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46075</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46075</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46075</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46075</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46075</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46075</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46075</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46075</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46075</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33574-2022</t>
        </is>
      </c>
      <c r="B37" s="1" t="n">
        <v>44789</v>
      </c>
      <c r="C37" s="1" t="n">
        <v>46075</v>
      </c>
      <c r="D37" t="inlineStr">
        <is>
          <t>ÖREBRO LÄN</t>
        </is>
      </c>
      <c r="E37" t="inlineStr">
        <is>
          <t>LINDESBERG</t>
        </is>
      </c>
      <c r="G37" t="n">
        <v>11.5</v>
      </c>
      <c r="H37" t="n">
        <v>1</v>
      </c>
      <c r="I37" t="n">
        <v>1</v>
      </c>
      <c r="J37" t="n">
        <v>0</v>
      </c>
      <c r="K37" t="n">
        <v>1</v>
      </c>
      <c r="L37" t="n">
        <v>0</v>
      </c>
      <c r="M37" t="n">
        <v>0</v>
      </c>
      <c r="N37" t="n">
        <v>0</v>
      </c>
      <c r="O37" t="n">
        <v>1</v>
      </c>
      <c r="P37" t="n">
        <v>1</v>
      </c>
      <c r="Q37" t="n">
        <v>2</v>
      </c>
      <c r="R37" s="2" t="inlineStr">
        <is>
          <t>Knärot
Vedticka</t>
        </is>
      </c>
      <c r="S37">
        <f>HYPERLINK("https://klasma.github.io/Logging_1885/artfynd/A 33574-2022 artfynd.xlsx", "A 33574-2022")</f>
        <v/>
      </c>
      <c r="T37">
        <f>HYPERLINK("https://klasma.github.io/Logging_1885/kartor/A 33574-2022 karta.png", "A 33574-2022")</f>
        <v/>
      </c>
      <c r="U37">
        <f>HYPERLINK("https://klasma.github.io/Logging_1885/knärot/A 33574-2022 karta knärot.png", "A 33574-2022")</f>
        <v/>
      </c>
      <c r="V37">
        <f>HYPERLINK("https://klasma.github.io/Logging_1885/klagomål/A 33574-2022 FSC-klagomål.docx", "A 33574-2022")</f>
        <v/>
      </c>
      <c r="W37">
        <f>HYPERLINK("https://klasma.github.io/Logging_1885/klagomålsmail/A 33574-2022 FSC-klagomål mail.docx", "A 33574-2022")</f>
        <v/>
      </c>
      <c r="X37">
        <f>HYPERLINK("https://klasma.github.io/Logging_1885/tillsyn/A 33574-2022 tillsynsbegäran.docx", "A 33574-2022")</f>
        <v/>
      </c>
      <c r="Y37">
        <f>HYPERLINK("https://klasma.github.io/Logging_1885/tillsynsmail/A 33574-2022 tillsynsbegäran mail.docx", "A 33574-2022")</f>
        <v/>
      </c>
    </row>
    <row r="38" ht="15" customHeight="1">
      <c r="A38" t="inlineStr">
        <is>
          <t>A 8178-2026</t>
        </is>
      </c>
      <c r="B38" s="1" t="n">
        <v>46064.41263888889</v>
      </c>
      <c r="C38" s="1" t="n">
        <v>46075</v>
      </c>
      <c r="D38" t="inlineStr">
        <is>
          <t>ÖREBRO LÄN</t>
        </is>
      </c>
      <c r="E38" t="inlineStr">
        <is>
          <t>LINDESBERG</t>
        </is>
      </c>
      <c r="G38" t="n">
        <v>2.4</v>
      </c>
      <c r="H38" t="n">
        <v>1</v>
      </c>
      <c r="I38" t="n">
        <v>0</v>
      </c>
      <c r="J38" t="n">
        <v>1</v>
      </c>
      <c r="K38" t="n">
        <v>0</v>
      </c>
      <c r="L38" t="n">
        <v>1</v>
      </c>
      <c r="M38" t="n">
        <v>0</v>
      </c>
      <c r="N38" t="n">
        <v>0</v>
      </c>
      <c r="O38" t="n">
        <v>2</v>
      </c>
      <c r="P38" t="n">
        <v>1</v>
      </c>
      <c r="Q38" t="n">
        <v>2</v>
      </c>
      <c r="R38" s="2" t="inlineStr">
        <is>
          <t>Asknätfjäril
Gul taggsvamp</t>
        </is>
      </c>
      <c r="S38">
        <f>HYPERLINK("https://klasma.github.io/Logging_1885/artfynd/A 8178-2026 artfynd.xlsx", "A 8178-2026")</f>
        <v/>
      </c>
      <c r="T38">
        <f>HYPERLINK("https://klasma.github.io/Logging_1885/kartor/A 8178-2026 karta.png", "A 8178-2026")</f>
        <v/>
      </c>
      <c r="V38">
        <f>HYPERLINK("https://klasma.github.io/Logging_1885/klagomål/A 8178-2026 FSC-klagomål.docx", "A 8178-2026")</f>
        <v/>
      </c>
      <c r="W38">
        <f>HYPERLINK("https://klasma.github.io/Logging_1885/klagomålsmail/A 8178-2026 FSC-klagomål mail.docx", "A 8178-2026")</f>
        <v/>
      </c>
      <c r="X38">
        <f>HYPERLINK("https://klasma.github.io/Logging_1885/tillsyn/A 8178-2026 tillsynsbegäran.docx", "A 8178-2026")</f>
        <v/>
      </c>
      <c r="Y38">
        <f>HYPERLINK("https://klasma.github.io/Logging_1885/tillsynsmail/A 8178-2026 tillsynsbegäran mail.docx", "A 8178-2026")</f>
        <v/>
      </c>
    </row>
    <row r="39" ht="15" customHeight="1">
      <c r="A39" t="inlineStr">
        <is>
          <t>A 53686-2024</t>
        </is>
      </c>
      <c r="B39" s="1" t="n">
        <v>45615</v>
      </c>
      <c r="C39" s="1" t="n">
        <v>46075</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46075</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46075</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46075</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46075</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46075</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46075</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46075</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46075</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46075</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3729-2023</t>
        </is>
      </c>
      <c r="B49" s="1" t="n">
        <v>44949</v>
      </c>
      <c r="C49" s="1" t="n">
        <v>46075</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31052-2025</t>
        </is>
      </c>
      <c r="B50" s="1" t="n">
        <v>45832.56153935185</v>
      </c>
      <c r="C50" s="1" t="n">
        <v>46075</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30347-2025</t>
        </is>
      </c>
      <c r="B51" s="1" t="n">
        <v>45827.53077546296</v>
      </c>
      <c r="C51" s="1" t="n">
        <v>46075</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64513-2023</t>
        </is>
      </c>
      <c r="B52" s="1" t="n">
        <v>45281</v>
      </c>
      <c r="C52" s="1" t="n">
        <v>46075</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46075</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36669-2024</t>
        </is>
      </c>
      <c r="B54" s="1" t="n">
        <v>45537.64484953704</v>
      </c>
      <c r="C54" s="1" t="n">
        <v>46075</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45467-2025</t>
        </is>
      </c>
      <c r="B55" s="1" t="n">
        <v>45922.49990740741</v>
      </c>
      <c r="C55" s="1" t="n">
        <v>46075</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37834-2025</t>
        </is>
      </c>
      <c r="B56" s="1" t="n">
        <v>45881.42446759259</v>
      </c>
      <c r="C56" s="1" t="n">
        <v>46075</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48956-2025</t>
        </is>
      </c>
      <c r="B57" s="1" t="n">
        <v>45937.54982638889</v>
      </c>
      <c r="C57" s="1" t="n">
        <v>46075</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67013-2021</t>
        </is>
      </c>
      <c r="B58" s="1" t="n">
        <v>44522</v>
      </c>
      <c r="C58" s="1" t="n">
        <v>46075</v>
      </c>
      <c r="D58" t="inlineStr">
        <is>
          <t>ÖREBRO LÄN</t>
        </is>
      </c>
      <c r="E58" t="inlineStr">
        <is>
          <t>LINDESBERG</t>
        </is>
      </c>
      <c r="G58" t="n">
        <v>0.5</v>
      </c>
      <c r="H58" t="n">
        <v>0</v>
      </c>
      <c r="I58" t="n">
        <v>0</v>
      </c>
      <c r="J58" t="n">
        <v>1</v>
      </c>
      <c r="K58" t="n">
        <v>0</v>
      </c>
      <c r="L58" t="n">
        <v>0</v>
      </c>
      <c r="M58" t="n">
        <v>0</v>
      </c>
      <c r="N58" t="n">
        <v>0</v>
      </c>
      <c r="O58" t="n">
        <v>1</v>
      </c>
      <c r="P58" t="n">
        <v>0</v>
      </c>
      <c r="Q58" t="n">
        <v>1</v>
      </c>
      <c r="R58" s="2" t="inlineStr">
        <is>
          <t>Skogsklocka</t>
        </is>
      </c>
      <c r="S58">
        <f>HYPERLINK("https://klasma.github.io/Logging_1885/artfynd/A 67013-2021 artfynd.xlsx", "A 67013-2021")</f>
        <v/>
      </c>
      <c r="T58">
        <f>HYPERLINK("https://klasma.github.io/Logging_1885/kartor/A 67013-2021 karta.png", "A 67013-2021")</f>
        <v/>
      </c>
      <c r="V58">
        <f>HYPERLINK("https://klasma.github.io/Logging_1885/klagomål/A 67013-2021 FSC-klagomål.docx", "A 67013-2021")</f>
        <v/>
      </c>
      <c r="W58">
        <f>HYPERLINK("https://klasma.github.io/Logging_1885/klagomålsmail/A 67013-2021 FSC-klagomål mail.docx", "A 67013-2021")</f>
        <v/>
      </c>
      <c r="X58">
        <f>HYPERLINK("https://klasma.github.io/Logging_1885/tillsyn/A 67013-2021 tillsynsbegäran.docx", "A 67013-2021")</f>
        <v/>
      </c>
      <c r="Y58">
        <f>HYPERLINK("https://klasma.github.io/Logging_1885/tillsynsmail/A 67013-2021 tillsynsbegäran mail.docx", "A 67013-2021")</f>
        <v/>
      </c>
    </row>
    <row r="59" ht="15" customHeight="1">
      <c r="A59" t="inlineStr">
        <is>
          <t>A 50777-2025</t>
        </is>
      </c>
      <c r="B59" s="1" t="n">
        <v>45946.45171296296</v>
      </c>
      <c r="C59" s="1" t="n">
        <v>46075</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46075</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46075</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46075</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46075</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46075</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57362-2025</t>
        </is>
      </c>
      <c r="B65" s="1" t="n">
        <v>45980.37108796297</v>
      </c>
      <c r="C65" s="1" t="n">
        <v>46075</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46075</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54857-2024</t>
        </is>
      </c>
      <c r="B67" s="1" t="n">
        <v>45618.58876157407</v>
      </c>
      <c r="C67" s="1" t="n">
        <v>46075</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46075</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2829-2026</t>
        </is>
      </c>
      <c r="B69" s="1" t="n">
        <v>46038.45296296296</v>
      </c>
      <c r="C69" s="1" t="n">
        <v>46075</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28569-2024</t>
        </is>
      </c>
      <c r="B70" s="1" t="n">
        <v>45478.39592592593</v>
      </c>
      <c r="C70" s="1" t="n">
        <v>46075</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16791-2024</t>
        </is>
      </c>
      <c r="B71" s="1" t="n">
        <v>45411.42858796296</v>
      </c>
      <c r="C71" s="1" t="n">
        <v>46075</v>
      </c>
      <c r="D71" t="inlineStr">
        <is>
          <t>ÖREBRO LÄN</t>
        </is>
      </c>
      <c r="E71" t="inlineStr">
        <is>
          <t>LINDESBERG</t>
        </is>
      </c>
      <c r="G71" t="n">
        <v>16.1</v>
      </c>
      <c r="H71" t="n">
        <v>1</v>
      </c>
      <c r="I71" t="n">
        <v>0</v>
      </c>
      <c r="J71" t="n">
        <v>1</v>
      </c>
      <c r="K71" t="n">
        <v>0</v>
      </c>
      <c r="L71" t="n">
        <v>0</v>
      </c>
      <c r="M71" t="n">
        <v>0</v>
      </c>
      <c r="N71" t="n">
        <v>0</v>
      </c>
      <c r="O71" t="n">
        <v>1</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53600-2024</t>
        </is>
      </c>
      <c r="B72" s="1" t="n">
        <v>45614.68596064814</v>
      </c>
      <c r="C72" s="1" t="n">
        <v>46075</v>
      </c>
      <c r="D72" t="inlineStr">
        <is>
          <t>ÖREBRO LÄN</t>
        </is>
      </c>
      <c r="E72" t="inlineStr">
        <is>
          <t>LINDESBERG</t>
        </is>
      </c>
      <c r="G72" t="n">
        <v>2.2</v>
      </c>
      <c r="H72" t="n">
        <v>1</v>
      </c>
      <c r="I72" t="n">
        <v>0</v>
      </c>
      <c r="J72" t="n">
        <v>0</v>
      </c>
      <c r="K72" t="n">
        <v>0</v>
      </c>
      <c r="L72" t="n">
        <v>1</v>
      </c>
      <c r="M72" t="n">
        <v>0</v>
      </c>
      <c r="N72" t="n">
        <v>0</v>
      </c>
      <c r="O72" t="n">
        <v>1</v>
      </c>
      <c r="P72" t="n">
        <v>1</v>
      </c>
      <c r="Q72" t="n">
        <v>1</v>
      </c>
      <c r="R72" s="2" t="inlineStr">
        <is>
          <t>Asknätfjäril</t>
        </is>
      </c>
      <c r="S72">
        <f>HYPERLINK("https://klasma.github.io/Logging_1885/artfynd/A 53600-2024 artfynd.xlsx", "A 53600-2024")</f>
        <v/>
      </c>
      <c r="T72">
        <f>HYPERLINK("https://klasma.github.io/Logging_1885/kartor/A 53600-2024 karta.png", "A 53600-2024")</f>
        <v/>
      </c>
      <c r="V72">
        <f>HYPERLINK("https://klasma.github.io/Logging_1885/klagomål/A 53600-2024 FSC-klagomål.docx", "A 53600-2024")</f>
        <v/>
      </c>
      <c r="W72">
        <f>HYPERLINK("https://klasma.github.io/Logging_1885/klagomålsmail/A 53600-2024 FSC-klagomål mail.docx", "A 53600-2024")</f>
        <v/>
      </c>
      <c r="X72">
        <f>HYPERLINK("https://klasma.github.io/Logging_1885/tillsyn/A 53600-2024 tillsynsbegäran.docx", "A 53600-2024")</f>
        <v/>
      </c>
      <c r="Y72">
        <f>HYPERLINK("https://klasma.github.io/Logging_1885/tillsynsmail/A 53600-2024 tillsynsbegäran mail.docx", "A 53600-2024")</f>
        <v/>
      </c>
    </row>
    <row r="73" ht="15" customHeight="1">
      <c r="A73" t="inlineStr">
        <is>
          <t>A 8186-2026</t>
        </is>
      </c>
      <c r="B73" s="1" t="n">
        <v>46064.42189814815</v>
      </c>
      <c r="C73" s="1" t="n">
        <v>46075</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8172-2026</t>
        </is>
      </c>
      <c r="B74" s="1" t="n">
        <v>46064</v>
      </c>
      <c r="C74" s="1" t="n">
        <v>46075</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8196-2026</t>
        </is>
      </c>
      <c r="B75" s="1" t="n">
        <v>46064.4325</v>
      </c>
      <c r="C75" s="1" t="n">
        <v>46075</v>
      </c>
      <c r="D75" t="inlineStr">
        <is>
          <t>ÖREBRO LÄN</t>
        </is>
      </c>
      <c r="E75" t="inlineStr">
        <is>
          <t>LINDESBERG</t>
        </is>
      </c>
      <c r="G75" t="n">
        <v>1.3</v>
      </c>
      <c r="H75" t="n">
        <v>0</v>
      </c>
      <c r="I75" t="n">
        <v>1</v>
      </c>
      <c r="J75" t="n">
        <v>0</v>
      </c>
      <c r="K75" t="n">
        <v>0</v>
      </c>
      <c r="L75" t="n">
        <v>0</v>
      </c>
      <c r="M75" t="n">
        <v>0</v>
      </c>
      <c r="N75" t="n">
        <v>0</v>
      </c>
      <c r="O75" t="n">
        <v>0</v>
      </c>
      <c r="P75" t="n">
        <v>0</v>
      </c>
      <c r="Q75" t="n">
        <v>1</v>
      </c>
      <c r="R75" s="2" t="inlineStr">
        <is>
          <t>Västlig hakmossa</t>
        </is>
      </c>
      <c r="S75">
        <f>HYPERLINK("https://klasma.github.io/Logging_1885/artfynd/A 8196-2026 artfynd.xlsx", "A 8196-2026")</f>
        <v/>
      </c>
      <c r="T75">
        <f>HYPERLINK("https://klasma.github.io/Logging_1885/kartor/A 8196-2026 karta.png", "A 8196-2026")</f>
        <v/>
      </c>
      <c r="V75">
        <f>HYPERLINK("https://klasma.github.io/Logging_1885/klagomål/A 8196-2026 FSC-klagomål.docx", "A 8196-2026")</f>
        <v/>
      </c>
      <c r="W75">
        <f>HYPERLINK("https://klasma.github.io/Logging_1885/klagomålsmail/A 8196-2026 FSC-klagomål mail.docx", "A 8196-2026")</f>
        <v/>
      </c>
      <c r="X75">
        <f>HYPERLINK("https://klasma.github.io/Logging_1885/tillsyn/A 8196-2026 tillsynsbegäran.docx", "A 8196-2026")</f>
        <v/>
      </c>
      <c r="Y75">
        <f>HYPERLINK("https://klasma.github.io/Logging_1885/tillsynsmail/A 8196-2026 tillsynsbegäran mail.docx", "A 8196-2026")</f>
        <v/>
      </c>
    </row>
    <row r="76" ht="15" customHeight="1">
      <c r="A76" t="inlineStr">
        <is>
          <t>A 8175-2026</t>
        </is>
      </c>
      <c r="B76" s="1" t="n">
        <v>46064</v>
      </c>
      <c r="C76" s="1" t="n">
        <v>46075</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Svart trolldruva</t>
        </is>
      </c>
      <c r="S76">
        <f>HYPERLINK("https://klasma.github.io/Logging_1885/artfynd/A 8175-2026 artfynd.xlsx", "A 8175-2026")</f>
        <v/>
      </c>
      <c r="T76">
        <f>HYPERLINK("https://klasma.github.io/Logging_1885/kartor/A 8175-2026 karta.png", "A 8175-2026")</f>
        <v/>
      </c>
      <c r="V76">
        <f>HYPERLINK("https://klasma.github.io/Logging_1885/klagomål/A 8175-2026 FSC-klagomål.docx", "A 8175-2026")</f>
        <v/>
      </c>
      <c r="W76">
        <f>HYPERLINK("https://klasma.github.io/Logging_1885/klagomålsmail/A 8175-2026 FSC-klagomål mail.docx", "A 8175-2026")</f>
        <v/>
      </c>
      <c r="X76">
        <f>HYPERLINK("https://klasma.github.io/Logging_1885/tillsyn/A 8175-2026 tillsynsbegäran.docx", "A 8175-2026")</f>
        <v/>
      </c>
      <c r="Y76">
        <f>HYPERLINK("https://klasma.github.io/Logging_1885/tillsynsmail/A 8175-2026 tillsynsbegäran mail.docx", "A 8175-2026")</f>
        <v/>
      </c>
    </row>
    <row r="77" ht="15" customHeight="1">
      <c r="A77" t="inlineStr">
        <is>
          <t>A 8195-2026</t>
        </is>
      </c>
      <c r="B77" s="1" t="n">
        <v>46064.43017361111</v>
      </c>
      <c r="C77" s="1" t="n">
        <v>46075</v>
      </c>
      <c r="D77" t="inlineStr">
        <is>
          <t>ÖREBRO LÄN</t>
        </is>
      </c>
      <c r="E77" t="inlineStr">
        <is>
          <t>LINDESBERG</t>
        </is>
      </c>
      <c r="G77" t="n">
        <v>2.3</v>
      </c>
      <c r="H77" t="n">
        <v>0</v>
      </c>
      <c r="I77" t="n">
        <v>1</v>
      </c>
      <c r="J77" t="n">
        <v>0</v>
      </c>
      <c r="K77" t="n">
        <v>0</v>
      </c>
      <c r="L77" t="n">
        <v>0</v>
      </c>
      <c r="M77" t="n">
        <v>0</v>
      </c>
      <c r="N77" t="n">
        <v>0</v>
      </c>
      <c r="O77" t="n">
        <v>0</v>
      </c>
      <c r="P77" t="n">
        <v>0</v>
      </c>
      <c r="Q77" t="n">
        <v>1</v>
      </c>
      <c r="R77" s="2" t="inlineStr">
        <is>
          <t>Rödgul trumpetsvamp</t>
        </is>
      </c>
      <c r="S77">
        <f>HYPERLINK("https://klasma.github.io/Logging_1885/artfynd/A 8195-2026 artfynd.xlsx", "A 8195-2026")</f>
        <v/>
      </c>
      <c r="T77">
        <f>HYPERLINK("https://klasma.github.io/Logging_1885/kartor/A 8195-2026 karta.png", "A 8195-2026")</f>
        <v/>
      </c>
      <c r="V77">
        <f>HYPERLINK("https://klasma.github.io/Logging_1885/klagomål/A 8195-2026 FSC-klagomål.docx", "A 8195-2026")</f>
        <v/>
      </c>
      <c r="W77">
        <f>HYPERLINK("https://klasma.github.io/Logging_1885/klagomålsmail/A 8195-2026 FSC-klagomål mail.docx", "A 8195-2026")</f>
        <v/>
      </c>
      <c r="X77">
        <f>HYPERLINK("https://klasma.github.io/Logging_1885/tillsyn/A 8195-2026 tillsynsbegäran.docx", "A 8195-2026")</f>
        <v/>
      </c>
      <c r="Y77">
        <f>HYPERLINK("https://klasma.github.io/Logging_1885/tillsynsmail/A 8195-2026 tillsynsbegäran mail.docx", "A 8195-2026")</f>
        <v/>
      </c>
    </row>
    <row r="78" ht="15" customHeight="1">
      <c r="A78" t="inlineStr">
        <is>
          <t>A 70466-2021</t>
        </is>
      </c>
      <c r="B78" s="1" t="n">
        <v>44536</v>
      </c>
      <c r="C78" s="1" t="n">
        <v>46075</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46075</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46075</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46075</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46075</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46075</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46075</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46075</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46075</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46075</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46075</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46075</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46075</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46075</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46075</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46075</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46075</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46075</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46075</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46075</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46075</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46075</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46075</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46075</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46075</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46075</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46075</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46075</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46075</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46075</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46075</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46075</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46075</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46075</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46075</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46075</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46075</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46075</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46075</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46075</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46075</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12522-2022</t>
        </is>
      </c>
      <c r="B119" s="1" t="n">
        <v>44638</v>
      </c>
      <c r="C119" s="1" t="n">
        <v>46075</v>
      </c>
      <c r="D119" t="inlineStr">
        <is>
          <t>ÖREBRO LÄN</t>
        </is>
      </c>
      <c r="E119" t="inlineStr">
        <is>
          <t>LINDESBERG</t>
        </is>
      </c>
      <c r="G119" t="n">
        <v>6.2</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46075</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46075</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46075</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46075</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46075</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46075</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46075</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46075</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11164-2022</t>
        </is>
      </c>
      <c r="B128" s="1" t="n">
        <v>44629</v>
      </c>
      <c r="C128" s="1" t="n">
        <v>46075</v>
      </c>
      <c r="D128" t="inlineStr">
        <is>
          <t>ÖREBRO LÄN</t>
        </is>
      </c>
      <c r="E128" t="inlineStr">
        <is>
          <t>LINDESBERG</t>
        </is>
      </c>
      <c r="G128" t="n">
        <v>6.7</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46075</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46075</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46075</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46075</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46075</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46075</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46075</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10784-2021</t>
        </is>
      </c>
      <c r="B136" s="1" t="n">
        <v>44259</v>
      </c>
      <c r="C136" s="1" t="n">
        <v>46075</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46075</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46075</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46075</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16424-2022</t>
        </is>
      </c>
      <c r="B140" s="1" t="n">
        <v>44671</v>
      </c>
      <c r="C140" s="1" t="n">
        <v>46075</v>
      </c>
      <c r="D140" t="inlineStr">
        <is>
          <t>ÖREBRO LÄN</t>
        </is>
      </c>
      <c r="E140" t="inlineStr">
        <is>
          <t>LINDESBERG</t>
        </is>
      </c>
      <c r="G140" t="n">
        <v>5</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46075</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33058-2021</t>
        </is>
      </c>
      <c r="B142" s="1" t="n">
        <v>44375</v>
      </c>
      <c r="C142" s="1" t="n">
        <v>46075</v>
      </c>
      <c r="D142" t="inlineStr">
        <is>
          <t>ÖREBRO LÄN</t>
        </is>
      </c>
      <c r="E142" t="inlineStr">
        <is>
          <t>LINDESBERG</t>
        </is>
      </c>
      <c r="G142" t="n">
        <v>1.8</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46075</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46075</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40351-2022</t>
        </is>
      </c>
      <c r="B145" s="1" t="n">
        <v>44823.37396990741</v>
      </c>
      <c r="C145" s="1" t="n">
        <v>46075</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46075</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46075</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46075</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46075</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46075</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46075</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46075</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46075</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46075</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46075</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46075</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46075</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46075</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19562-2022</t>
        </is>
      </c>
      <c r="B159" s="1" t="n">
        <v>44693.66775462963</v>
      </c>
      <c r="C159" s="1" t="n">
        <v>46075</v>
      </c>
      <c r="D159" t="inlineStr">
        <is>
          <t>ÖREBRO LÄN</t>
        </is>
      </c>
      <c r="E159" t="inlineStr">
        <is>
          <t>LINDESBERG</t>
        </is>
      </c>
      <c r="F159" t="inlineStr">
        <is>
          <t>Kyrkan</t>
        </is>
      </c>
      <c r="G159" t="n">
        <v>4.2</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46075</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46075</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46075</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46075</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46075</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46075</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5338-2022</t>
        </is>
      </c>
      <c r="B166" s="1" t="n">
        <v>44594</v>
      </c>
      <c r="C166" s="1" t="n">
        <v>46075</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46075</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46075</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46075</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46075</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46075</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46075</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46075</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46075</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46075</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46075</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46075</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46075</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46075</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46075</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46075</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46075</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46075</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46075</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46075</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46075</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46075</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46075</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46075</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46075</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46075</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46075</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46075</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56681-2021</t>
        </is>
      </c>
      <c r="B195" s="1" t="n">
        <v>44481.34877314815</v>
      </c>
      <c r="C195" s="1" t="n">
        <v>46075</v>
      </c>
      <c r="D195" t="inlineStr">
        <is>
          <t>ÖREBRO LÄN</t>
        </is>
      </c>
      <c r="E195" t="inlineStr">
        <is>
          <t>LINDESBERG</t>
        </is>
      </c>
      <c r="G195" t="n">
        <v>2.6</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46075</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46075</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46075</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48939-2021</t>
        </is>
      </c>
      <c r="B199" s="1" t="n">
        <v>44453</v>
      </c>
      <c r="C199" s="1" t="n">
        <v>46075</v>
      </c>
      <c r="D199" t="inlineStr">
        <is>
          <t>ÖREBRO LÄN</t>
        </is>
      </c>
      <c r="E199" t="inlineStr">
        <is>
          <t>LINDESBERG</t>
        </is>
      </c>
      <c r="G199" t="n">
        <v>5</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46075</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46075</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46075</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46075</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46075</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46075</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46075</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46075</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46075</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46075</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46075</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46075</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46075</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46075</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46075</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46075</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46075</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46075</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46075</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46075</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46075</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46075</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46075</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46075</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46075</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65194-2023</t>
        </is>
      </c>
      <c r="B225" s="1" t="n">
        <v>45289</v>
      </c>
      <c r="C225" s="1" t="n">
        <v>46075</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33282-2024</t>
        </is>
      </c>
      <c r="B226" s="1" t="n">
        <v>45518.71482638889</v>
      </c>
      <c r="C226" s="1" t="n">
        <v>46075</v>
      </c>
      <c r="D226" t="inlineStr">
        <is>
          <t>ÖREBRO LÄN</t>
        </is>
      </c>
      <c r="E226" t="inlineStr">
        <is>
          <t>LINDESBERG</t>
        </is>
      </c>
      <c r="G226" t="n">
        <v>7.5</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46075</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46075</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46075</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46075</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46075</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46075</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30767-2023</t>
        </is>
      </c>
      <c r="B233" s="1" t="n">
        <v>45112.67952546296</v>
      </c>
      <c r="C233" s="1" t="n">
        <v>46075</v>
      </c>
      <c r="D233" t="inlineStr">
        <is>
          <t>ÖREBRO LÄN</t>
        </is>
      </c>
      <c r="E233" t="inlineStr">
        <is>
          <t>LINDESBERG</t>
        </is>
      </c>
      <c r="G233" t="n">
        <v>3.9</v>
      </c>
      <c r="H233" t="n">
        <v>0</v>
      </c>
      <c r="I233" t="n">
        <v>0</v>
      </c>
      <c r="J233" t="n">
        <v>0</v>
      </c>
      <c r="K233" t="n">
        <v>0</v>
      </c>
      <c r="L233" t="n">
        <v>0</v>
      </c>
      <c r="M233" t="n">
        <v>0</v>
      </c>
      <c r="N233" t="n">
        <v>0</v>
      </c>
      <c r="O233" t="n">
        <v>0</v>
      </c>
      <c r="P233" t="n">
        <v>0</v>
      </c>
      <c r="Q233" t="n">
        <v>0</v>
      </c>
      <c r="R233" s="2" t="inlineStr"/>
    </row>
    <row r="234" ht="15" customHeight="1">
      <c r="A234" t="inlineStr">
        <is>
          <t>A 29857-2023</t>
        </is>
      </c>
      <c r="B234" s="1" t="n">
        <v>45107</v>
      </c>
      <c r="C234" s="1" t="n">
        <v>46075</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46075</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8213-2023</t>
        </is>
      </c>
      <c r="B236" s="1" t="n">
        <v>44974.55693287037</v>
      </c>
      <c r="C236" s="1" t="n">
        <v>46075</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46075</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46075</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17895-2022</t>
        </is>
      </c>
      <c r="B239" s="1" t="n">
        <v>44683</v>
      </c>
      <c r="C239" s="1" t="n">
        <v>46075</v>
      </c>
      <c r="D239" t="inlineStr">
        <is>
          <t>ÖREBRO LÄN</t>
        </is>
      </c>
      <c r="E239" t="inlineStr">
        <is>
          <t>LINDESBERG</t>
        </is>
      </c>
      <c r="G239" t="n">
        <v>1.3</v>
      </c>
      <c r="H239" t="n">
        <v>0</v>
      </c>
      <c r="I239" t="n">
        <v>0</v>
      </c>
      <c r="J239" t="n">
        <v>0</v>
      </c>
      <c r="K239" t="n">
        <v>0</v>
      </c>
      <c r="L239" t="n">
        <v>0</v>
      </c>
      <c r="M239" t="n">
        <v>0</v>
      </c>
      <c r="N239" t="n">
        <v>0</v>
      </c>
      <c r="O239" t="n">
        <v>0</v>
      </c>
      <c r="P239" t="n">
        <v>0</v>
      </c>
      <c r="Q239" t="n">
        <v>0</v>
      </c>
      <c r="R239" s="2" t="inlineStr"/>
    </row>
    <row r="240" ht="15" customHeight="1">
      <c r="A240" t="inlineStr">
        <is>
          <t>A 53046-2024</t>
        </is>
      </c>
      <c r="B240" s="1" t="n">
        <v>45611.44960648148</v>
      </c>
      <c r="C240" s="1" t="n">
        <v>46075</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51539-2024</t>
        </is>
      </c>
      <c r="B241" s="1" t="n">
        <v>45604.58837962963</v>
      </c>
      <c r="C241" s="1" t="n">
        <v>46075</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46075</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61594-2024</t>
        </is>
      </c>
      <c r="B243" s="1" t="n">
        <v>45646.63482638889</v>
      </c>
      <c r="C243" s="1" t="n">
        <v>46075</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46075</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2569-2023</t>
        </is>
      </c>
      <c r="B245" s="1" t="n">
        <v>44943.73792824074</v>
      </c>
      <c r="C245" s="1" t="n">
        <v>46075</v>
      </c>
      <c r="D245" t="inlineStr">
        <is>
          <t>ÖREBRO LÄN</t>
        </is>
      </c>
      <c r="E245" t="inlineStr">
        <is>
          <t>LINDESBERG</t>
        </is>
      </c>
      <c r="G245" t="n">
        <v>2.3</v>
      </c>
      <c r="H245" t="n">
        <v>0</v>
      </c>
      <c r="I245" t="n">
        <v>0</v>
      </c>
      <c r="J245" t="n">
        <v>0</v>
      </c>
      <c r="K245" t="n">
        <v>0</v>
      </c>
      <c r="L245" t="n">
        <v>0</v>
      </c>
      <c r="M245" t="n">
        <v>0</v>
      </c>
      <c r="N245" t="n">
        <v>0</v>
      </c>
      <c r="O245" t="n">
        <v>0</v>
      </c>
      <c r="P245" t="n">
        <v>0</v>
      </c>
      <c r="Q245" t="n">
        <v>0</v>
      </c>
      <c r="R245" s="2" t="inlineStr"/>
    </row>
    <row r="246" ht="15" customHeight="1">
      <c r="A246" t="inlineStr">
        <is>
          <t>A 34676-2023</t>
        </is>
      </c>
      <c r="B246" s="1" t="n">
        <v>45140</v>
      </c>
      <c r="C246" s="1" t="n">
        <v>46075</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19960-2023</t>
        </is>
      </c>
      <c r="B247" s="1" t="n">
        <v>45054</v>
      </c>
      <c r="C247" s="1" t="n">
        <v>46075</v>
      </c>
      <c r="D247" t="inlineStr">
        <is>
          <t>ÖREBRO LÄN</t>
        </is>
      </c>
      <c r="E247" t="inlineStr">
        <is>
          <t>LINDESBERG</t>
        </is>
      </c>
      <c r="G247" t="n">
        <v>6.2</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46075</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37507-2023</t>
        </is>
      </c>
      <c r="B249" s="1" t="n">
        <v>45158.41768518519</v>
      </c>
      <c r="C249" s="1" t="n">
        <v>46075</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46039-2024</t>
        </is>
      </c>
      <c r="B250" s="1" t="n">
        <v>45580.73525462963</v>
      </c>
      <c r="C250" s="1" t="n">
        <v>46075</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46647-2024</t>
        </is>
      </c>
      <c r="B251" s="1" t="n">
        <v>45583</v>
      </c>
      <c r="C251" s="1" t="n">
        <v>46075</v>
      </c>
      <c r="D251" t="inlineStr">
        <is>
          <t>ÖREBRO LÄN</t>
        </is>
      </c>
      <c r="E251" t="inlineStr">
        <is>
          <t>LINDESBERG</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43247-2023</t>
        </is>
      </c>
      <c r="B252" s="1" t="n">
        <v>45183.48666666666</v>
      </c>
      <c r="C252" s="1" t="n">
        <v>46075</v>
      </c>
      <c r="D252" t="inlineStr">
        <is>
          <t>ÖREBRO LÄN</t>
        </is>
      </c>
      <c r="E252" t="inlineStr">
        <is>
          <t>LINDESBERG</t>
        </is>
      </c>
      <c r="G252" t="n">
        <v>3</v>
      </c>
      <c r="H252" t="n">
        <v>0</v>
      </c>
      <c r="I252" t="n">
        <v>0</v>
      </c>
      <c r="J252" t="n">
        <v>0</v>
      </c>
      <c r="K252" t="n">
        <v>0</v>
      </c>
      <c r="L252" t="n">
        <v>0</v>
      </c>
      <c r="M252" t="n">
        <v>0</v>
      </c>
      <c r="N252" t="n">
        <v>0</v>
      </c>
      <c r="O252" t="n">
        <v>0</v>
      </c>
      <c r="P252" t="n">
        <v>0</v>
      </c>
      <c r="Q252" t="n">
        <v>0</v>
      </c>
      <c r="R252" s="2" t="inlineStr"/>
    </row>
    <row r="253" ht="15" customHeight="1">
      <c r="A253" t="inlineStr">
        <is>
          <t>A 53189-2023</t>
        </is>
      </c>
      <c r="B253" s="1" t="n">
        <v>45194</v>
      </c>
      <c r="C253" s="1" t="n">
        <v>46075</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47535-2022</t>
        </is>
      </c>
      <c r="B254" s="1" t="n">
        <v>44853.79818287037</v>
      </c>
      <c r="C254" s="1" t="n">
        <v>46075</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43433-2024</t>
        </is>
      </c>
      <c r="B255" s="1" t="n">
        <v>45568.64523148148</v>
      </c>
      <c r="C255" s="1" t="n">
        <v>46075</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23649-2023</t>
        </is>
      </c>
      <c r="B256" s="1" t="n">
        <v>45074</v>
      </c>
      <c r="C256" s="1" t="n">
        <v>46075</v>
      </c>
      <c r="D256" t="inlineStr">
        <is>
          <t>ÖREBRO LÄN</t>
        </is>
      </c>
      <c r="E256" t="inlineStr">
        <is>
          <t>LINDESBERG</t>
        </is>
      </c>
      <c r="G256" t="n">
        <v>1.2</v>
      </c>
      <c r="H256" t="n">
        <v>0</v>
      </c>
      <c r="I256" t="n">
        <v>0</v>
      </c>
      <c r="J256" t="n">
        <v>0</v>
      </c>
      <c r="K256" t="n">
        <v>0</v>
      </c>
      <c r="L256" t="n">
        <v>0</v>
      </c>
      <c r="M256" t="n">
        <v>0</v>
      </c>
      <c r="N256" t="n">
        <v>0</v>
      </c>
      <c r="O256" t="n">
        <v>0</v>
      </c>
      <c r="P256" t="n">
        <v>0</v>
      </c>
      <c r="Q256" t="n">
        <v>0</v>
      </c>
      <c r="R256" s="2" t="inlineStr"/>
    </row>
    <row r="257" ht="15" customHeight="1">
      <c r="A257" t="inlineStr">
        <is>
          <t>A 45041-2024</t>
        </is>
      </c>
      <c r="B257" s="1" t="n">
        <v>45575.53690972222</v>
      </c>
      <c r="C257" s="1" t="n">
        <v>46075</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45068-2024</t>
        </is>
      </c>
      <c r="B258" s="1" t="n">
        <v>45575.56256944445</v>
      </c>
      <c r="C258" s="1" t="n">
        <v>46075</v>
      </c>
      <c r="D258" t="inlineStr">
        <is>
          <t>ÖREBRO LÄN</t>
        </is>
      </c>
      <c r="E258" t="inlineStr">
        <is>
          <t>LINDESBERG</t>
        </is>
      </c>
      <c r="F258" t="inlineStr">
        <is>
          <t>Sveaskog</t>
        </is>
      </c>
      <c r="G258" t="n">
        <v>16.5</v>
      </c>
      <c r="H258" t="n">
        <v>0</v>
      </c>
      <c r="I258" t="n">
        <v>0</v>
      </c>
      <c r="J258" t="n">
        <v>0</v>
      </c>
      <c r="K258" t="n">
        <v>0</v>
      </c>
      <c r="L258" t="n">
        <v>0</v>
      </c>
      <c r="M258" t="n">
        <v>0</v>
      </c>
      <c r="N258" t="n">
        <v>0</v>
      </c>
      <c r="O258" t="n">
        <v>0</v>
      </c>
      <c r="P258" t="n">
        <v>0</v>
      </c>
      <c r="Q258" t="n">
        <v>0</v>
      </c>
      <c r="R258" s="2" t="inlineStr"/>
    </row>
    <row r="259" ht="15" customHeight="1">
      <c r="A259" t="inlineStr">
        <is>
          <t>A 29938-2024</t>
        </is>
      </c>
      <c r="B259" s="1" t="n">
        <v>45488.41480324074</v>
      </c>
      <c r="C259" s="1" t="n">
        <v>46075</v>
      </c>
      <c r="D259" t="inlineStr">
        <is>
          <t>ÖREBRO LÄN</t>
        </is>
      </c>
      <c r="E259" t="inlineStr">
        <is>
          <t>LINDESBERG</t>
        </is>
      </c>
      <c r="G259" t="n">
        <v>4</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46075</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46075</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2414-2024</t>
        </is>
      </c>
      <c r="B262" s="1" t="n">
        <v>45310.87931712963</v>
      </c>
      <c r="C262" s="1" t="n">
        <v>46075</v>
      </c>
      <c r="D262" t="inlineStr">
        <is>
          <t>ÖREBRO LÄN</t>
        </is>
      </c>
      <c r="E262" t="inlineStr">
        <is>
          <t>LINDESBERG</t>
        </is>
      </c>
      <c r="G262" t="n">
        <v>7.2</v>
      </c>
      <c r="H262" t="n">
        <v>0</v>
      </c>
      <c r="I262" t="n">
        <v>0</v>
      </c>
      <c r="J262" t="n">
        <v>0</v>
      </c>
      <c r="K262" t="n">
        <v>0</v>
      </c>
      <c r="L262" t="n">
        <v>0</v>
      </c>
      <c r="M262" t="n">
        <v>0</v>
      </c>
      <c r="N262" t="n">
        <v>0</v>
      </c>
      <c r="O262" t="n">
        <v>0</v>
      </c>
      <c r="P262" t="n">
        <v>0</v>
      </c>
      <c r="Q262" t="n">
        <v>0</v>
      </c>
      <c r="R262" s="2" t="inlineStr"/>
    </row>
    <row r="263" ht="15" customHeight="1">
      <c r="A263" t="inlineStr">
        <is>
          <t>A 7201-2024</t>
        </is>
      </c>
      <c r="B263" s="1" t="n">
        <v>45344.6027662037</v>
      </c>
      <c r="C263" s="1" t="n">
        <v>46075</v>
      </c>
      <c r="D263" t="inlineStr">
        <is>
          <t>ÖREBRO LÄN</t>
        </is>
      </c>
      <c r="E263" t="inlineStr">
        <is>
          <t>LINDESBERG</t>
        </is>
      </c>
      <c r="G263" t="n">
        <v>4.7</v>
      </c>
      <c r="H263" t="n">
        <v>0</v>
      </c>
      <c r="I263" t="n">
        <v>0</v>
      </c>
      <c r="J263" t="n">
        <v>0</v>
      </c>
      <c r="K263" t="n">
        <v>0</v>
      </c>
      <c r="L263" t="n">
        <v>0</v>
      </c>
      <c r="M263" t="n">
        <v>0</v>
      </c>
      <c r="N263" t="n">
        <v>0</v>
      </c>
      <c r="O263" t="n">
        <v>0</v>
      </c>
      <c r="P263" t="n">
        <v>0</v>
      </c>
      <c r="Q263" t="n">
        <v>0</v>
      </c>
      <c r="R263" s="2" t="inlineStr"/>
    </row>
    <row r="264" ht="15" customHeight="1">
      <c r="A264" t="inlineStr">
        <is>
          <t>A 52284-2024</t>
        </is>
      </c>
      <c r="B264" s="1" t="n">
        <v>45608</v>
      </c>
      <c r="C264" s="1" t="n">
        <v>46075</v>
      </c>
      <c r="D264" t="inlineStr">
        <is>
          <t>ÖREBRO LÄN</t>
        </is>
      </c>
      <c r="E264" t="inlineStr">
        <is>
          <t>LINDESBERG</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52930-2024</t>
        </is>
      </c>
      <c r="B265" s="1" t="n">
        <v>45610.7466087963</v>
      </c>
      <c r="C265" s="1" t="n">
        <v>46075</v>
      </c>
      <c r="D265" t="inlineStr">
        <is>
          <t>ÖREBRO LÄN</t>
        </is>
      </c>
      <c r="E265" t="inlineStr">
        <is>
          <t>LINDESBERG</t>
        </is>
      </c>
      <c r="G265" t="n">
        <v>2.8</v>
      </c>
      <c r="H265" t="n">
        <v>0</v>
      </c>
      <c r="I265" t="n">
        <v>0</v>
      </c>
      <c r="J265" t="n">
        <v>0</v>
      </c>
      <c r="K265" t="n">
        <v>0</v>
      </c>
      <c r="L265" t="n">
        <v>0</v>
      </c>
      <c r="M265" t="n">
        <v>0</v>
      </c>
      <c r="N265" t="n">
        <v>0</v>
      </c>
      <c r="O265" t="n">
        <v>0</v>
      </c>
      <c r="P265" t="n">
        <v>0</v>
      </c>
      <c r="Q265" t="n">
        <v>0</v>
      </c>
      <c r="R265" s="2" t="inlineStr"/>
    </row>
    <row r="266" ht="15" customHeight="1">
      <c r="A266" t="inlineStr">
        <is>
          <t>A 56579-2023</t>
        </is>
      </c>
      <c r="B266" s="1" t="n">
        <v>45243.62420138889</v>
      </c>
      <c r="C266" s="1" t="n">
        <v>46075</v>
      </c>
      <c r="D266" t="inlineStr">
        <is>
          <t>ÖREBRO LÄN</t>
        </is>
      </c>
      <c r="E266" t="inlineStr">
        <is>
          <t>LINDESBERG</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56582-2023</t>
        </is>
      </c>
      <c r="B267" s="1" t="n">
        <v>45243</v>
      </c>
      <c r="C267" s="1" t="n">
        <v>46075</v>
      </c>
      <c r="D267" t="inlineStr">
        <is>
          <t>ÖREBRO LÄN</t>
        </is>
      </c>
      <c r="E267" t="inlineStr">
        <is>
          <t>LINDESBERG</t>
        </is>
      </c>
      <c r="F267" t="inlineStr">
        <is>
          <t>Naturvårdsverket</t>
        </is>
      </c>
      <c r="G267" t="n">
        <v>2.3</v>
      </c>
      <c r="H267" t="n">
        <v>0</v>
      </c>
      <c r="I267" t="n">
        <v>0</v>
      </c>
      <c r="J267" t="n">
        <v>0</v>
      </c>
      <c r="K267" t="n">
        <v>0</v>
      </c>
      <c r="L267" t="n">
        <v>0</v>
      </c>
      <c r="M267" t="n">
        <v>0</v>
      </c>
      <c r="N267" t="n">
        <v>0</v>
      </c>
      <c r="O267" t="n">
        <v>0</v>
      </c>
      <c r="P267" t="n">
        <v>0</v>
      </c>
      <c r="Q267" t="n">
        <v>0</v>
      </c>
      <c r="R267" s="2" t="inlineStr"/>
    </row>
    <row r="268" ht="15" customHeight="1">
      <c r="A268" t="inlineStr">
        <is>
          <t>A 15895-2025</t>
        </is>
      </c>
      <c r="B268" s="1" t="n">
        <v>45749</v>
      </c>
      <c r="C268" s="1" t="n">
        <v>46075</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41947-2023</t>
        </is>
      </c>
      <c r="B269" s="1" t="n">
        <v>45177.31795138889</v>
      </c>
      <c r="C269" s="1" t="n">
        <v>46075</v>
      </c>
      <c r="D269" t="inlineStr">
        <is>
          <t>ÖREBRO LÄN</t>
        </is>
      </c>
      <c r="E269" t="inlineStr">
        <is>
          <t>LINDESBERG</t>
        </is>
      </c>
      <c r="F269" t="inlineStr">
        <is>
          <t>Kyrkan</t>
        </is>
      </c>
      <c r="G269" t="n">
        <v>0.7</v>
      </c>
      <c r="H269" t="n">
        <v>0</v>
      </c>
      <c r="I269" t="n">
        <v>0</v>
      </c>
      <c r="J269" t="n">
        <v>0</v>
      </c>
      <c r="K269" t="n">
        <v>0</v>
      </c>
      <c r="L269" t="n">
        <v>0</v>
      </c>
      <c r="M269" t="n">
        <v>0</v>
      </c>
      <c r="N269" t="n">
        <v>0</v>
      </c>
      <c r="O269" t="n">
        <v>0</v>
      </c>
      <c r="P269" t="n">
        <v>0</v>
      </c>
      <c r="Q269" t="n">
        <v>0</v>
      </c>
      <c r="R269" s="2" t="inlineStr"/>
    </row>
    <row r="270" ht="15" customHeight="1">
      <c r="A270" t="inlineStr">
        <is>
          <t>A 5080-2024</t>
        </is>
      </c>
      <c r="B270" s="1" t="n">
        <v>45330</v>
      </c>
      <c r="C270" s="1" t="n">
        <v>46075</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27434-2023</t>
        </is>
      </c>
      <c r="B271" s="1" t="n">
        <v>45097.38688657407</v>
      </c>
      <c r="C271" s="1" t="n">
        <v>46075</v>
      </c>
      <c r="D271" t="inlineStr">
        <is>
          <t>ÖREBRO LÄN</t>
        </is>
      </c>
      <c r="E271" t="inlineStr">
        <is>
          <t>LINDESBERG</t>
        </is>
      </c>
      <c r="G271" t="n">
        <v>10.7</v>
      </c>
      <c r="H271" t="n">
        <v>0</v>
      </c>
      <c r="I271" t="n">
        <v>0</v>
      </c>
      <c r="J271" t="n">
        <v>0</v>
      </c>
      <c r="K271" t="n">
        <v>0</v>
      </c>
      <c r="L271" t="n">
        <v>0</v>
      </c>
      <c r="M271" t="n">
        <v>0</v>
      </c>
      <c r="N271" t="n">
        <v>0</v>
      </c>
      <c r="O271" t="n">
        <v>0</v>
      </c>
      <c r="P271" t="n">
        <v>0</v>
      </c>
      <c r="Q271" t="n">
        <v>0</v>
      </c>
      <c r="R271" s="2" t="inlineStr"/>
    </row>
    <row r="272" ht="15" customHeight="1">
      <c r="A272" t="inlineStr">
        <is>
          <t>A 37738-2024</t>
        </is>
      </c>
      <c r="B272" s="1" t="n">
        <v>45541.66916666667</v>
      </c>
      <c r="C272" s="1" t="n">
        <v>46075</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10825-2021</t>
        </is>
      </c>
      <c r="B273" s="1" t="n">
        <v>44259</v>
      </c>
      <c r="C273" s="1" t="n">
        <v>46075</v>
      </c>
      <c r="D273" t="inlineStr">
        <is>
          <t>ÖREBRO LÄN</t>
        </is>
      </c>
      <c r="E273" t="inlineStr">
        <is>
          <t>LINDESBERG</t>
        </is>
      </c>
      <c r="G273" t="n">
        <v>7.4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46075</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15933-2025</t>
        </is>
      </c>
      <c r="B275" s="1" t="n">
        <v>45749.47251157407</v>
      </c>
      <c r="C275" s="1" t="n">
        <v>46075</v>
      </c>
      <c r="D275" t="inlineStr">
        <is>
          <t>ÖREBRO LÄN</t>
        </is>
      </c>
      <c r="E275" t="inlineStr">
        <is>
          <t>LINDESBERG</t>
        </is>
      </c>
      <c r="G275" t="n">
        <v>6.1</v>
      </c>
      <c r="H275" t="n">
        <v>0</v>
      </c>
      <c r="I275" t="n">
        <v>0</v>
      </c>
      <c r="J275" t="n">
        <v>0</v>
      </c>
      <c r="K275" t="n">
        <v>0</v>
      </c>
      <c r="L275" t="n">
        <v>0</v>
      </c>
      <c r="M275" t="n">
        <v>0</v>
      </c>
      <c r="N275" t="n">
        <v>0</v>
      </c>
      <c r="O275" t="n">
        <v>0</v>
      </c>
      <c r="P275" t="n">
        <v>0</v>
      </c>
      <c r="Q275" t="n">
        <v>0</v>
      </c>
      <c r="R275" s="2" t="inlineStr"/>
    </row>
    <row r="276" ht="15" customHeight="1">
      <c r="A276" t="inlineStr">
        <is>
          <t>A 62968-2023</t>
        </is>
      </c>
      <c r="B276" s="1" t="n">
        <v>45272.57385416667</v>
      </c>
      <c r="C276" s="1" t="n">
        <v>46075</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10564-2023</t>
        </is>
      </c>
      <c r="B277" s="1" t="n">
        <v>44988</v>
      </c>
      <c r="C277" s="1" t="n">
        <v>46075</v>
      </c>
      <c r="D277" t="inlineStr">
        <is>
          <t>ÖREBRO LÄN</t>
        </is>
      </c>
      <c r="E277" t="inlineStr">
        <is>
          <t>LINDESBERG</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15936-2025</t>
        </is>
      </c>
      <c r="B278" s="1" t="n">
        <v>45749.4737962963</v>
      </c>
      <c r="C278" s="1" t="n">
        <v>46075</v>
      </c>
      <c r="D278" t="inlineStr">
        <is>
          <t>ÖREBRO LÄN</t>
        </is>
      </c>
      <c r="E278" t="inlineStr">
        <is>
          <t>LINDESBERG</t>
        </is>
      </c>
      <c r="G278" t="n">
        <v>22.3</v>
      </c>
      <c r="H278" t="n">
        <v>0</v>
      </c>
      <c r="I278" t="n">
        <v>0</v>
      </c>
      <c r="J278" t="n">
        <v>0</v>
      </c>
      <c r="K278" t="n">
        <v>0</v>
      </c>
      <c r="L278" t="n">
        <v>0</v>
      </c>
      <c r="M278" t="n">
        <v>0</v>
      </c>
      <c r="N278" t="n">
        <v>0</v>
      </c>
      <c r="O278" t="n">
        <v>0</v>
      </c>
      <c r="P278" t="n">
        <v>0</v>
      </c>
      <c r="Q278" t="n">
        <v>0</v>
      </c>
      <c r="R278" s="2" t="inlineStr"/>
    </row>
    <row r="279" ht="15" customHeight="1">
      <c r="A279" t="inlineStr">
        <is>
          <t>A 30830-2024</t>
        </is>
      </c>
      <c r="B279" s="1" t="n">
        <v>45497</v>
      </c>
      <c r="C279" s="1" t="n">
        <v>46075</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36291-2022</t>
        </is>
      </c>
      <c r="B280" s="1" t="n">
        <v>44803.64361111111</v>
      </c>
      <c r="C280" s="1" t="n">
        <v>46075</v>
      </c>
      <c r="D280" t="inlineStr">
        <is>
          <t>ÖREBRO LÄN</t>
        </is>
      </c>
      <c r="E280" t="inlineStr">
        <is>
          <t>LINDESBERG</t>
        </is>
      </c>
      <c r="G280" t="n">
        <v>3.8</v>
      </c>
      <c r="H280" t="n">
        <v>0</v>
      </c>
      <c r="I280" t="n">
        <v>0</v>
      </c>
      <c r="J280" t="n">
        <v>0</v>
      </c>
      <c r="K280" t="n">
        <v>0</v>
      </c>
      <c r="L280" t="n">
        <v>0</v>
      </c>
      <c r="M280" t="n">
        <v>0</v>
      </c>
      <c r="N280" t="n">
        <v>0</v>
      </c>
      <c r="O280" t="n">
        <v>0</v>
      </c>
      <c r="P280" t="n">
        <v>0</v>
      </c>
      <c r="Q280" t="n">
        <v>0</v>
      </c>
      <c r="R280" s="2" t="inlineStr"/>
    </row>
    <row r="281" ht="15" customHeight="1">
      <c r="A281" t="inlineStr">
        <is>
          <t>A 10836-2024</t>
        </is>
      </c>
      <c r="B281" s="1" t="n">
        <v>45369</v>
      </c>
      <c r="C281" s="1" t="n">
        <v>46075</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23536-2023</t>
        </is>
      </c>
      <c r="B282" s="1" t="n">
        <v>45077</v>
      </c>
      <c r="C282" s="1" t="n">
        <v>46075</v>
      </c>
      <c r="D282" t="inlineStr">
        <is>
          <t>ÖREBRO LÄN</t>
        </is>
      </c>
      <c r="E282" t="inlineStr">
        <is>
          <t>LINDESBERG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38552-2023</t>
        </is>
      </c>
      <c r="B283" s="1" t="n">
        <v>45162.5978125</v>
      </c>
      <c r="C283" s="1" t="n">
        <v>46075</v>
      </c>
      <c r="D283" t="inlineStr">
        <is>
          <t>ÖREBRO LÄN</t>
        </is>
      </c>
      <c r="E283" t="inlineStr">
        <is>
          <t>LINDESBERG</t>
        </is>
      </c>
      <c r="G283" t="n">
        <v>10.4</v>
      </c>
      <c r="H283" t="n">
        <v>0</v>
      </c>
      <c r="I283" t="n">
        <v>0</v>
      </c>
      <c r="J283" t="n">
        <v>0</v>
      </c>
      <c r="K283" t="n">
        <v>0</v>
      </c>
      <c r="L283" t="n">
        <v>0</v>
      </c>
      <c r="M283" t="n">
        <v>0</v>
      </c>
      <c r="N283" t="n">
        <v>0</v>
      </c>
      <c r="O283" t="n">
        <v>0</v>
      </c>
      <c r="P283" t="n">
        <v>0</v>
      </c>
      <c r="Q283" t="n">
        <v>0</v>
      </c>
      <c r="R283" s="2" t="inlineStr"/>
    </row>
    <row r="284" ht="15" customHeight="1">
      <c r="A284" t="inlineStr">
        <is>
          <t>A 15213-2025</t>
        </is>
      </c>
      <c r="B284" s="1" t="n">
        <v>45744.57851851852</v>
      </c>
      <c r="C284" s="1" t="n">
        <v>46075</v>
      </c>
      <c r="D284" t="inlineStr">
        <is>
          <t>ÖREBRO LÄN</t>
        </is>
      </c>
      <c r="E284" t="inlineStr">
        <is>
          <t>LINDESBERG</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4999-2025</t>
        </is>
      </c>
      <c r="B285" s="1" t="n">
        <v>45691.36253472222</v>
      </c>
      <c r="C285" s="1" t="n">
        <v>46075</v>
      </c>
      <c r="D285" t="inlineStr">
        <is>
          <t>ÖREBRO LÄN</t>
        </is>
      </c>
      <c r="E285" t="inlineStr">
        <is>
          <t>LINDESBERG</t>
        </is>
      </c>
      <c r="G285" t="n">
        <v>4.7</v>
      </c>
      <c r="H285" t="n">
        <v>0</v>
      </c>
      <c r="I285" t="n">
        <v>0</v>
      </c>
      <c r="J285" t="n">
        <v>0</v>
      </c>
      <c r="K285" t="n">
        <v>0</v>
      </c>
      <c r="L285" t="n">
        <v>0</v>
      </c>
      <c r="M285" t="n">
        <v>0</v>
      </c>
      <c r="N285" t="n">
        <v>0</v>
      </c>
      <c r="O285" t="n">
        <v>0</v>
      </c>
      <c r="P285" t="n">
        <v>0</v>
      </c>
      <c r="Q285" t="n">
        <v>0</v>
      </c>
      <c r="R285" s="2" t="inlineStr"/>
    </row>
    <row r="286" ht="15" customHeight="1">
      <c r="A286" t="inlineStr">
        <is>
          <t>A 19914-2024</t>
        </is>
      </c>
      <c r="B286" s="1" t="n">
        <v>45433.58099537037</v>
      </c>
      <c r="C286" s="1" t="n">
        <v>46075</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24944-2024</t>
        </is>
      </c>
      <c r="B287" s="1" t="n">
        <v>45461.62924768519</v>
      </c>
      <c r="C287" s="1" t="n">
        <v>46075</v>
      </c>
      <c r="D287" t="inlineStr">
        <is>
          <t>ÖREBRO LÄN</t>
        </is>
      </c>
      <c r="E287" t="inlineStr">
        <is>
          <t>LINDESBERG</t>
        </is>
      </c>
      <c r="F287" t="inlineStr">
        <is>
          <t>Kyrkan</t>
        </is>
      </c>
      <c r="G287" t="n">
        <v>13.7</v>
      </c>
      <c r="H287" t="n">
        <v>0</v>
      </c>
      <c r="I287" t="n">
        <v>0</v>
      </c>
      <c r="J287" t="n">
        <v>0</v>
      </c>
      <c r="K287" t="n">
        <v>0</v>
      </c>
      <c r="L287" t="n">
        <v>0</v>
      </c>
      <c r="M287" t="n">
        <v>0</v>
      </c>
      <c r="N287" t="n">
        <v>0</v>
      </c>
      <c r="O287" t="n">
        <v>0</v>
      </c>
      <c r="P287" t="n">
        <v>0</v>
      </c>
      <c r="Q287" t="n">
        <v>0</v>
      </c>
      <c r="R287" s="2" t="inlineStr"/>
    </row>
    <row r="288" ht="15" customHeight="1">
      <c r="A288" t="inlineStr">
        <is>
          <t>A 4440-2024</t>
        </is>
      </c>
      <c r="B288" s="1" t="n">
        <v>45327</v>
      </c>
      <c r="C288" s="1" t="n">
        <v>46075</v>
      </c>
      <c r="D288" t="inlineStr">
        <is>
          <t>ÖREBRO LÄN</t>
        </is>
      </c>
      <c r="E288" t="inlineStr">
        <is>
          <t>LINDESBERG</t>
        </is>
      </c>
      <c r="F288" t="inlineStr">
        <is>
          <t>BillerudKorsnäs AB</t>
        </is>
      </c>
      <c r="G288" t="n">
        <v>2</v>
      </c>
      <c r="H288" t="n">
        <v>0</v>
      </c>
      <c r="I288" t="n">
        <v>0</v>
      </c>
      <c r="J288" t="n">
        <v>0</v>
      </c>
      <c r="K288" t="n">
        <v>0</v>
      </c>
      <c r="L288" t="n">
        <v>0</v>
      </c>
      <c r="M288" t="n">
        <v>0</v>
      </c>
      <c r="N288" t="n">
        <v>0</v>
      </c>
      <c r="O288" t="n">
        <v>0</v>
      </c>
      <c r="P288" t="n">
        <v>0</v>
      </c>
      <c r="Q288" t="n">
        <v>0</v>
      </c>
      <c r="R288" s="2" t="inlineStr"/>
    </row>
    <row r="289" ht="15" customHeight="1">
      <c r="A289" t="inlineStr">
        <is>
          <t>A 15941-2025</t>
        </is>
      </c>
      <c r="B289" s="1" t="n">
        <v>45749</v>
      </c>
      <c r="C289" s="1" t="n">
        <v>46075</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33716-2021</t>
        </is>
      </c>
      <c r="B290" s="1" t="n">
        <v>44378.46857638889</v>
      </c>
      <c r="C290" s="1" t="n">
        <v>46075</v>
      </c>
      <c r="D290" t="inlineStr">
        <is>
          <t>ÖREBRO LÄN</t>
        </is>
      </c>
      <c r="E290" t="inlineStr">
        <is>
          <t>LINDESBERG</t>
        </is>
      </c>
      <c r="G290" t="n">
        <v>4.6</v>
      </c>
      <c r="H290" t="n">
        <v>0</v>
      </c>
      <c r="I290" t="n">
        <v>0</v>
      </c>
      <c r="J290" t="n">
        <v>0</v>
      </c>
      <c r="K290" t="n">
        <v>0</v>
      </c>
      <c r="L290" t="n">
        <v>0</v>
      </c>
      <c r="M290" t="n">
        <v>0</v>
      </c>
      <c r="N290" t="n">
        <v>0</v>
      </c>
      <c r="O290" t="n">
        <v>0</v>
      </c>
      <c r="P290" t="n">
        <v>0</v>
      </c>
      <c r="Q290" t="n">
        <v>0</v>
      </c>
      <c r="R290" s="2" t="inlineStr"/>
    </row>
    <row r="291" ht="15" customHeight="1">
      <c r="A291" t="inlineStr">
        <is>
          <t>A 55631-2022</t>
        </is>
      </c>
      <c r="B291" s="1" t="n">
        <v>44888.4577662037</v>
      </c>
      <c r="C291" s="1" t="n">
        <v>46075</v>
      </c>
      <c r="D291" t="inlineStr">
        <is>
          <t>ÖREBRO LÄN</t>
        </is>
      </c>
      <c r="E291" t="inlineStr">
        <is>
          <t>LINDESBERG</t>
        </is>
      </c>
      <c r="G291" t="n">
        <v>4.4</v>
      </c>
      <c r="H291" t="n">
        <v>0</v>
      </c>
      <c r="I291" t="n">
        <v>0</v>
      </c>
      <c r="J291" t="n">
        <v>0</v>
      </c>
      <c r="K291" t="n">
        <v>0</v>
      </c>
      <c r="L291" t="n">
        <v>0</v>
      </c>
      <c r="M291" t="n">
        <v>0</v>
      </c>
      <c r="N291" t="n">
        <v>0</v>
      </c>
      <c r="O291" t="n">
        <v>0</v>
      </c>
      <c r="P291" t="n">
        <v>0</v>
      </c>
      <c r="Q291" t="n">
        <v>0</v>
      </c>
      <c r="R291" s="2" t="inlineStr"/>
    </row>
    <row r="292" ht="15" customHeight="1">
      <c r="A292" t="inlineStr">
        <is>
          <t>A 15212-2025</t>
        </is>
      </c>
      <c r="B292" s="1" t="n">
        <v>45744.57673611111</v>
      </c>
      <c r="C292" s="1" t="n">
        <v>46075</v>
      </c>
      <c r="D292" t="inlineStr">
        <is>
          <t>ÖREBRO LÄN</t>
        </is>
      </c>
      <c r="E292" t="inlineStr">
        <is>
          <t>LINDESBERG</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29975-2023</t>
        </is>
      </c>
      <c r="B293" s="1" t="n">
        <v>45108.7553587963</v>
      </c>
      <c r="C293" s="1" t="n">
        <v>46075</v>
      </c>
      <c r="D293" t="inlineStr">
        <is>
          <t>ÖREBRO LÄN</t>
        </is>
      </c>
      <c r="E293" t="inlineStr">
        <is>
          <t>LINDESBERG</t>
        </is>
      </c>
      <c r="G293" t="n">
        <v>6.4</v>
      </c>
      <c r="H293" t="n">
        <v>0</v>
      </c>
      <c r="I293" t="n">
        <v>0</v>
      </c>
      <c r="J293" t="n">
        <v>0</v>
      </c>
      <c r="K293" t="n">
        <v>0</v>
      </c>
      <c r="L293" t="n">
        <v>0</v>
      </c>
      <c r="M293" t="n">
        <v>0</v>
      </c>
      <c r="N293" t="n">
        <v>0</v>
      </c>
      <c r="O293" t="n">
        <v>0</v>
      </c>
      <c r="P293" t="n">
        <v>0</v>
      </c>
      <c r="Q293" t="n">
        <v>0</v>
      </c>
      <c r="R293" s="2" t="inlineStr"/>
    </row>
    <row r="294" ht="15" customHeight="1">
      <c r="A294" t="inlineStr">
        <is>
          <t>A 265-2023</t>
        </is>
      </c>
      <c r="B294" s="1" t="n">
        <v>44928</v>
      </c>
      <c r="C294" s="1" t="n">
        <v>46075</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15899-2025</t>
        </is>
      </c>
      <c r="B295" s="1" t="n">
        <v>45749.42258101852</v>
      </c>
      <c r="C295" s="1" t="n">
        <v>46075</v>
      </c>
      <c r="D295" t="inlineStr">
        <is>
          <t>ÖREBRO LÄN</t>
        </is>
      </c>
      <c r="E295" t="inlineStr">
        <is>
          <t>LINDESBERG</t>
        </is>
      </c>
      <c r="G295" t="n">
        <v>6.6</v>
      </c>
      <c r="H295" t="n">
        <v>0</v>
      </c>
      <c r="I295" t="n">
        <v>0</v>
      </c>
      <c r="J295" t="n">
        <v>0</v>
      </c>
      <c r="K295" t="n">
        <v>0</v>
      </c>
      <c r="L295" t="n">
        <v>0</v>
      </c>
      <c r="M295" t="n">
        <v>0</v>
      </c>
      <c r="N295" t="n">
        <v>0</v>
      </c>
      <c r="O295" t="n">
        <v>0</v>
      </c>
      <c r="P295" t="n">
        <v>0</v>
      </c>
      <c r="Q295" t="n">
        <v>0</v>
      </c>
      <c r="R295" s="2" t="inlineStr"/>
    </row>
    <row r="296" ht="15" customHeight="1">
      <c r="A296" t="inlineStr">
        <is>
          <t>A 60115-2022</t>
        </is>
      </c>
      <c r="B296" s="1" t="n">
        <v>44902</v>
      </c>
      <c r="C296" s="1" t="n">
        <v>46075</v>
      </c>
      <c r="D296" t="inlineStr">
        <is>
          <t>ÖREBRO LÄN</t>
        </is>
      </c>
      <c r="E296" t="inlineStr">
        <is>
          <t>LINDESBERG</t>
        </is>
      </c>
      <c r="G296" t="n">
        <v>0.5</v>
      </c>
      <c r="H296" t="n">
        <v>0</v>
      </c>
      <c r="I296" t="n">
        <v>0</v>
      </c>
      <c r="J296" t="n">
        <v>0</v>
      </c>
      <c r="K296" t="n">
        <v>0</v>
      </c>
      <c r="L296" t="n">
        <v>0</v>
      </c>
      <c r="M296" t="n">
        <v>0</v>
      </c>
      <c r="N296" t="n">
        <v>0</v>
      </c>
      <c r="O296" t="n">
        <v>0</v>
      </c>
      <c r="P296" t="n">
        <v>0</v>
      </c>
      <c r="Q296" t="n">
        <v>0</v>
      </c>
      <c r="R296" s="2" t="inlineStr"/>
    </row>
    <row r="297" ht="15" customHeight="1">
      <c r="A297" t="inlineStr">
        <is>
          <t>A 40905-2023</t>
        </is>
      </c>
      <c r="B297" s="1" t="n">
        <v>45173.39315972223</v>
      </c>
      <c r="C297" s="1" t="n">
        <v>46075</v>
      </c>
      <c r="D297" t="inlineStr">
        <is>
          <t>ÖREBRO LÄN</t>
        </is>
      </c>
      <c r="E297" t="inlineStr">
        <is>
          <t>LINDESBERG</t>
        </is>
      </c>
      <c r="G297" t="n">
        <v>0.5</v>
      </c>
      <c r="H297" t="n">
        <v>0</v>
      </c>
      <c r="I297" t="n">
        <v>0</v>
      </c>
      <c r="J297" t="n">
        <v>0</v>
      </c>
      <c r="K297" t="n">
        <v>0</v>
      </c>
      <c r="L297" t="n">
        <v>0</v>
      </c>
      <c r="M297" t="n">
        <v>0</v>
      </c>
      <c r="N297" t="n">
        <v>0</v>
      </c>
      <c r="O297" t="n">
        <v>0</v>
      </c>
      <c r="P297" t="n">
        <v>0</v>
      </c>
      <c r="Q297" t="n">
        <v>0</v>
      </c>
      <c r="R297" s="2" t="inlineStr"/>
    </row>
    <row r="298" ht="15" customHeight="1">
      <c r="A298" t="inlineStr">
        <is>
          <t>A 9966-2023</t>
        </is>
      </c>
      <c r="B298" s="1" t="n">
        <v>44979</v>
      </c>
      <c r="C298" s="1" t="n">
        <v>46075</v>
      </c>
      <c r="D298" t="inlineStr">
        <is>
          <t>ÖREBRO LÄN</t>
        </is>
      </c>
      <c r="E298" t="inlineStr">
        <is>
          <t>LINDESBERG</t>
        </is>
      </c>
      <c r="G298" t="n">
        <v>4.1</v>
      </c>
      <c r="H298" t="n">
        <v>0</v>
      </c>
      <c r="I298" t="n">
        <v>0</v>
      </c>
      <c r="J298" t="n">
        <v>0</v>
      </c>
      <c r="K298" t="n">
        <v>0</v>
      </c>
      <c r="L298" t="n">
        <v>0</v>
      </c>
      <c r="M298" t="n">
        <v>0</v>
      </c>
      <c r="N298" t="n">
        <v>0</v>
      </c>
      <c r="O298" t="n">
        <v>0</v>
      </c>
      <c r="P298" t="n">
        <v>0</v>
      </c>
      <c r="Q298" t="n">
        <v>0</v>
      </c>
      <c r="R298" s="2" t="inlineStr"/>
    </row>
    <row r="299" ht="15" customHeight="1">
      <c r="A299" t="inlineStr">
        <is>
          <t>A 40085-2023</t>
        </is>
      </c>
      <c r="B299" s="1" t="n">
        <v>45168.92155092592</v>
      </c>
      <c r="C299" s="1" t="n">
        <v>46075</v>
      </c>
      <c r="D299" t="inlineStr">
        <is>
          <t>ÖREBRO LÄN</t>
        </is>
      </c>
      <c r="E299" t="inlineStr">
        <is>
          <t>LINDESBERG</t>
        </is>
      </c>
      <c r="G299" t="n">
        <v>6.1</v>
      </c>
      <c r="H299" t="n">
        <v>0</v>
      </c>
      <c r="I299" t="n">
        <v>0</v>
      </c>
      <c r="J299" t="n">
        <v>0</v>
      </c>
      <c r="K299" t="n">
        <v>0</v>
      </c>
      <c r="L299" t="n">
        <v>0</v>
      </c>
      <c r="M299" t="n">
        <v>0</v>
      </c>
      <c r="N299" t="n">
        <v>0</v>
      </c>
      <c r="O299" t="n">
        <v>0</v>
      </c>
      <c r="P299" t="n">
        <v>0</v>
      </c>
      <c r="Q299" t="n">
        <v>0</v>
      </c>
      <c r="R299" s="2" t="inlineStr"/>
    </row>
    <row r="300" ht="15" customHeight="1">
      <c r="A300" t="inlineStr">
        <is>
          <t>A 40117-2023</t>
        </is>
      </c>
      <c r="B300" s="1" t="n">
        <v>45168.94197916667</v>
      </c>
      <c r="C300" s="1" t="n">
        <v>46075</v>
      </c>
      <c r="D300" t="inlineStr">
        <is>
          <t>ÖREBRO LÄN</t>
        </is>
      </c>
      <c r="E300" t="inlineStr">
        <is>
          <t>LINDESBERG</t>
        </is>
      </c>
      <c r="G300" t="n">
        <v>2.3</v>
      </c>
      <c r="H300" t="n">
        <v>0</v>
      </c>
      <c r="I300" t="n">
        <v>0</v>
      </c>
      <c r="J300" t="n">
        <v>0</v>
      </c>
      <c r="K300" t="n">
        <v>0</v>
      </c>
      <c r="L300" t="n">
        <v>0</v>
      </c>
      <c r="M300" t="n">
        <v>0</v>
      </c>
      <c r="N300" t="n">
        <v>0</v>
      </c>
      <c r="O300" t="n">
        <v>0</v>
      </c>
      <c r="P300" t="n">
        <v>0</v>
      </c>
      <c r="Q300" t="n">
        <v>0</v>
      </c>
      <c r="R300" s="2" t="inlineStr"/>
    </row>
    <row r="301" ht="15" customHeight="1">
      <c r="A301" t="inlineStr">
        <is>
          <t>A 21390-2024</t>
        </is>
      </c>
      <c r="B301" s="1" t="n">
        <v>45441.30899305556</v>
      </c>
      <c r="C301" s="1" t="n">
        <v>46075</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21392-2024</t>
        </is>
      </c>
      <c r="B302" s="1" t="n">
        <v>45441.30998842593</v>
      </c>
      <c r="C302" s="1" t="n">
        <v>46075</v>
      </c>
      <c r="D302" t="inlineStr">
        <is>
          <t>ÖREBRO LÄN</t>
        </is>
      </c>
      <c r="E302" t="inlineStr">
        <is>
          <t>LINDESBERG</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17823-2021</t>
        </is>
      </c>
      <c r="B303" s="1" t="n">
        <v>44300</v>
      </c>
      <c r="C303" s="1" t="n">
        <v>46075</v>
      </c>
      <c r="D303" t="inlineStr">
        <is>
          <t>ÖREBRO LÄN</t>
        </is>
      </c>
      <c r="E303" t="inlineStr">
        <is>
          <t>LINDESBERG</t>
        </is>
      </c>
      <c r="G303" t="n">
        <v>3.9</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46075</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56507-2021</t>
        </is>
      </c>
      <c r="B305" s="1" t="n">
        <v>44480.58034722223</v>
      </c>
      <c r="C305" s="1" t="n">
        <v>46075</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38696-2024</t>
        </is>
      </c>
      <c r="B306" s="1" t="n">
        <v>45547.36590277778</v>
      </c>
      <c r="C306" s="1" t="n">
        <v>46075</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19219-2023</t>
        </is>
      </c>
      <c r="B307" s="1" t="n">
        <v>45048</v>
      </c>
      <c r="C307" s="1" t="n">
        <v>46075</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1742-2022</t>
        </is>
      </c>
      <c r="B308" s="1" t="n">
        <v>44574.50425925926</v>
      </c>
      <c r="C308" s="1" t="n">
        <v>46075</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47069-2023</t>
        </is>
      </c>
      <c r="B309" s="1" t="n">
        <v>45201</v>
      </c>
      <c r="C309" s="1" t="n">
        <v>46075</v>
      </c>
      <c r="D309" t="inlineStr">
        <is>
          <t>ÖREBRO LÄN</t>
        </is>
      </c>
      <c r="E309" t="inlineStr">
        <is>
          <t>LINDESBERG</t>
        </is>
      </c>
      <c r="F309" t="inlineStr">
        <is>
          <t>Sveaskog</t>
        </is>
      </c>
      <c r="G309" t="n">
        <v>9.4</v>
      </c>
      <c r="H309" t="n">
        <v>0</v>
      </c>
      <c r="I309" t="n">
        <v>0</v>
      </c>
      <c r="J309" t="n">
        <v>0</v>
      </c>
      <c r="K309" t="n">
        <v>0</v>
      </c>
      <c r="L309" t="n">
        <v>0</v>
      </c>
      <c r="M309" t="n">
        <v>0</v>
      </c>
      <c r="N309" t="n">
        <v>0</v>
      </c>
      <c r="O309" t="n">
        <v>0</v>
      </c>
      <c r="P309" t="n">
        <v>0</v>
      </c>
      <c r="Q309" t="n">
        <v>0</v>
      </c>
      <c r="R309" s="2" t="inlineStr"/>
    </row>
    <row r="310" ht="15" customHeight="1">
      <c r="A310" t="inlineStr">
        <is>
          <t>A 47074-2023</t>
        </is>
      </c>
      <c r="B310" s="1" t="n">
        <v>45201.60283564815</v>
      </c>
      <c r="C310" s="1" t="n">
        <v>46075</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4997-2024</t>
        </is>
      </c>
      <c r="B311" s="1" t="n">
        <v>45329</v>
      </c>
      <c r="C311" s="1" t="n">
        <v>46075</v>
      </c>
      <c r="D311" t="inlineStr">
        <is>
          <t>ÖREBRO LÄN</t>
        </is>
      </c>
      <c r="E311" t="inlineStr">
        <is>
          <t>LINDESBERG</t>
        </is>
      </c>
      <c r="F311" t="inlineStr">
        <is>
          <t>BillerudKorsnäs AB</t>
        </is>
      </c>
      <c r="G311" t="n">
        <v>3</v>
      </c>
      <c r="H311" t="n">
        <v>0</v>
      </c>
      <c r="I311" t="n">
        <v>0</v>
      </c>
      <c r="J311" t="n">
        <v>0</v>
      </c>
      <c r="K311" t="n">
        <v>0</v>
      </c>
      <c r="L311" t="n">
        <v>0</v>
      </c>
      <c r="M311" t="n">
        <v>0</v>
      </c>
      <c r="N311" t="n">
        <v>0</v>
      </c>
      <c r="O311" t="n">
        <v>0</v>
      </c>
      <c r="P311" t="n">
        <v>0</v>
      </c>
      <c r="Q311" t="n">
        <v>0</v>
      </c>
      <c r="R311" s="2" t="inlineStr"/>
    </row>
    <row r="312" ht="15" customHeight="1">
      <c r="A312" t="inlineStr">
        <is>
          <t>A 33284-2024</t>
        </is>
      </c>
      <c r="B312" s="1" t="n">
        <v>45518.71721064814</v>
      </c>
      <c r="C312" s="1" t="n">
        <v>46075</v>
      </c>
      <c r="D312" t="inlineStr">
        <is>
          <t>ÖREBRO LÄN</t>
        </is>
      </c>
      <c r="E312" t="inlineStr">
        <is>
          <t>LINDESBERG</t>
        </is>
      </c>
      <c r="G312" t="n">
        <v>1.7</v>
      </c>
      <c r="H312" t="n">
        <v>0</v>
      </c>
      <c r="I312" t="n">
        <v>0</v>
      </c>
      <c r="J312" t="n">
        <v>0</v>
      </c>
      <c r="K312" t="n">
        <v>0</v>
      </c>
      <c r="L312" t="n">
        <v>0</v>
      </c>
      <c r="M312" t="n">
        <v>0</v>
      </c>
      <c r="N312" t="n">
        <v>0</v>
      </c>
      <c r="O312" t="n">
        <v>0</v>
      </c>
      <c r="P312" t="n">
        <v>0</v>
      </c>
      <c r="Q312" t="n">
        <v>0</v>
      </c>
      <c r="R312" s="2" t="inlineStr"/>
    </row>
    <row r="313" ht="15" customHeight="1">
      <c r="A313" t="inlineStr">
        <is>
          <t>A 52928-2024</t>
        </is>
      </c>
      <c r="B313" s="1" t="n">
        <v>45610</v>
      </c>
      <c r="C313" s="1" t="n">
        <v>46075</v>
      </c>
      <c r="D313" t="inlineStr">
        <is>
          <t>ÖREBRO LÄN</t>
        </is>
      </c>
      <c r="E313" t="inlineStr">
        <is>
          <t>LINDESBERG</t>
        </is>
      </c>
      <c r="G313" t="n">
        <v>8.6</v>
      </c>
      <c r="H313" t="n">
        <v>0</v>
      </c>
      <c r="I313" t="n">
        <v>0</v>
      </c>
      <c r="J313" t="n">
        <v>0</v>
      </c>
      <c r="K313" t="n">
        <v>0</v>
      </c>
      <c r="L313" t="n">
        <v>0</v>
      </c>
      <c r="M313" t="n">
        <v>0</v>
      </c>
      <c r="N313" t="n">
        <v>0</v>
      </c>
      <c r="O313" t="n">
        <v>0</v>
      </c>
      <c r="P313" t="n">
        <v>0</v>
      </c>
      <c r="Q313" t="n">
        <v>0</v>
      </c>
      <c r="R313" s="2" t="inlineStr"/>
    </row>
    <row r="314" ht="15" customHeight="1">
      <c r="A314" t="inlineStr">
        <is>
          <t>A 73500-2021</t>
        </is>
      </c>
      <c r="B314" s="1" t="n">
        <v>44551</v>
      </c>
      <c r="C314" s="1" t="n">
        <v>46075</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16864-2022</t>
        </is>
      </c>
      <c r="B315" s="1" t="n">
        <v>44675</v>
      </c>
      <c r="C315" s="1" t="n">
        <v>46075</v>
      </c>
      <c r="D315" t="inlineStr">
        <is>
          <t>ÖREBRO LÄN</t>
        </is>
      </c>
      <c r="E315" t="inlineStr">
        <is>
          <t>LINDESBERG</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38861-2025</t>
        </is>
      </c>
      <c r="B316" s="1" t="n">
        <v>45887.56101851852</v>
      </c>
      <c r="C316" s="1" t="n">
        <v>46075</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28877-2025</t>
        </is>
      </c>
      <c r="B317" s="1" t="n">
        <v>45820.61684027778</v>
      </c>
      <c r="C317" s="1" t="n">
        <v>46075</v>
      </c>
      <c r="D317" t="inlineStr">
        <is>
          <t>ÖREBRO LÄN</t>
        </is>
      </c>
      <c r="E317" t="inlineStr">
        <is>
          <t>LINDESBERG</t>
        </is>
      </c>
      <c r="G317" t="n">
        <v>4.4</v>
      </c>
      <c r="H317" t="n">
        <v>0</v>
      </c>
      <c r="I317" t="n">
        <v>0</v>
      </c>
      <c r="J317" t="n">
        <v>0</v>
      </c>
      <c r="K317" t="n">
        <v>0</v>
      </c>
      <c r="L317" t="n">
        <v>0</v>
      </c>
      <c r="M317" t="n">
        <v>0</v>
      </c>
      <c r="N317" t="n">
        <v>0</v>
      </c>
      <c r="O317" t="n">
        <v>0</v>
      </c>
      <c r="P317" t="n">
        <v>0</v>
      </c>
      <c r="Q317" t="n">
        <v>0</v>
      </c>
      <c r="R317" s="2" t="inlineStr"/>
    </row>
    <row r="318" ht="15" customHeight="1">
      <c r="A318" t="inlineStr">
        <is>
          <t>A 28991-2025</t>
        </is>
      </c>
      <c r="B318" s="1" t="n">
        <v>45821.37199074074</v>
      </c>
      <c r="C318" s="1" t="n">
        <v>46075</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29049-2025</t>
        </is>
      </c>
      <c r="B319" s="1" t="n">
        <v>45821.46135416667</v>
      </c>
      <c r="C319" s="1" t="n">
        <v>46075</v>
      </c>
      <c r="D319" t="inlineStr">
        <is>
          <t>ÖREBRO LÄN</t>
        </is>
      </c>
      <c r="E319" t="inlineStr">
        <is>
          <t>LINDESBERG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29051-2025</t>
        </is>
      </c>
      <c r="B320" s="1" t="n">
        <v>45821.46486111111</v>
      </c>
      <c r="C320" s="1" t="n">
        <v>46075</v>
      </c>
      <c r="D320" t="inlineStr">
        <is>
          <t>ÖREBRO LÄN</t>
        </is>
      </c>
      <c r="E320" t="inlineStr">
        <is>
          <t>LINDESBERG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29037-2025</t>
        </is>
      </c>
      <c r="B321" s="1" t="n">
        <v>45821.44521990741</v>
      </c>
      <c r="C321" s="1" t="n">
        <v>46075</v>
      </c>
      <c r="D321" t="inlineStr">
        <is>
          <t>ÖREBRO LÄN</t>
        </is>
      </c>
      <c r="E321" t="inlineStr">
        <is>
          <t>LINDESBERG</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39429-2025</t>
        </is>
      </c>
      <c r="B322" s="1" t="n">
        <v>45889.67577546297</v>
      </c>
      <c r="C322" s="1" t="n">
        <v>46075</v>
      </c>
      <c r="D322" t="inlineStr">
        <is>
          <t>ÖREBRO LÄN</t>
        </is>
      </c>
      <c r="E322" t="inlineStr">
        <is>
          <t>LINDESBERG</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39421-2025</t>
        </is>
      </c>
      <c r="B323" s="1" t="n">
        <v>45889.66935185185</v>
      </c>
      <c r="C323" s="1" t="n">
        <v>46075</v>
      </c>
      <c r="D323" t="inlineStr">
        <is>
          <t>ÖREBRO LÄN</t>
        </is>
      </c>
      <c r="E323" t="inlineStr">
        <is>
          <t>LINDESBERG</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11953-2024</t>
        </is>
      </c>
      <c r="B324" s="1" t="n">
        <v>45376.70292824074</v>
      </c>
      <c r="C324" s="1" t="n">
        <v>46075</v>
      </c>
      <c r="D324" t="inlineStr">
        <is>
          <t>ÖREBRO LÄN</t>
        </is>
      </c>
      <c r="E324" t="inlineStr">
        <is>
          <t>LINDESBERG</t>
        </is>
      </c>
      <c r="G324" t="n">
        <v>5.7</v>
      </c>
      <c r="H324" t="n">
        <v>0</v>
      </c>
      <c r="I324" t="n">
        <v>0</v>
      </c>
      <c r="J324" t="n">
        <v>0</v>
      </c>
      <c r="K324" t="n">
        <v>0</v>
      </c>
      <c r="L324" t="n">
        <v>0</v>
      </c>
      <c r="M324" t="n">
        <v>0</v>
      </c>
      <c r="N324" t="n">
        <v>0</v>
      </c>
      <c r="O324" t="n">
        <v>0</v>
      </c>
      <c r="P324" t="n">
        <v>0</v>
      </c>
      <c r="Q324" t="n">
        <v>0</v>
      </c>
      <c r="R324" s="2" t="inlineStr"/>
    </row>
    <row r="325" ht="15" customHeight="1">
      <c r="A325" t="inlineStr">
        <is>
          <t>A 50170-2022</t>
        </is>
      </c>
      <c r="B325" s="1" t="n">
        <v>44865.600625</v>
      </c>
      <c r="C325" s="1" t="n">
        <v>46075</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39424-2025</t>
        </is>
      </c>
      <c r="B326" s="1" t="n">
        <v>45889.67290509259</v>
      </c>
      <c r="C326" s="1" t="n">
        <v>46075</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30341-2025</t>
        </is>
      </c>
      <c r="B327" s="1" t="n">
        <v>45827.51862268519</v>
      </c>
      <c r="C327" s="1" t="n">
        <v>46075</v>
      </c>
      <c r="D327" t="inlineStr">
        <is>
          <t>ÖREBRO LÄN</t>
        </is>
      </c>
      <c r="E327" t="inlineStr">
        <is>
          <t>LINDESBERG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28469-2023</t>
        </is>
      </c>
      <c r="B328" s="1" t="n">
        <v>45103</v>
      </c>
      <c r="C328" s="1" t="n">
        <v>46075</v>
      </c>
      <c r="D328" t="inlineStr">
        <is>
          <t>ÖREBRO LÄN</t>
        </is>
      </c>
      <c r="E328" t="inlineStr">
        <is>
          <t>LINDESBERG</t>
        </is>
      </c>
      <c r="G328" t="n">
        <v>0.3</v>
      </c>
      <c r="H328" t="n">
        <v>0</v>
      </c>
      <c r="I328" t="n">
        <v>0</v>
      </c>
      <c r="J328" t="n">
        <v>0</v>
      </c>
      <c r="K328" t="n">
        <v>0</v>
      </c>
      <c r="L328" t="n">
        <v>0</v>
      </c>
      <c r="M328" t="n">
        <v>0</v>
      </c>
      <c r="N328" t="n">
        <v>0</v>
      </c>
      <c r="O328" t="n">
        <v>0</v>
      </c>
      <c r="P328" t="n">
        <v>0</v>
      </c>
      <c r="Q328" t="n">
        <v>0</v>
      </c>
      <c r="R328" s="2" t="inlineStr"/>
    </row>
    <row r="329" ht="15" customHeight="1">
      <c r="A329" t="inlineStr">
        <is>
          <t>A 30000-2025</t>
        </is>
      </c>
      <c r="B329" s="1" t="n">
        <v>45826.52024305556</v>
      </c>
      <c r="C329" s="1" t="n">
        <v>46075</v>
      </c>
      <c r="D329" t="inlineStr">
        <is>
          <t>ÖREBRO LÄN</t>
        </is>
      </c>
      <c r="E329" t="inlineStr">
        <is>
          <t>LINDESBERG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72706-2021</t>
        </is>
      </c>
      <c r="B330" s="1" t="n">
        <v>44546.67222222222</v>
      </c>
      <c r="C330" s="1" t="n">
        <v>46075</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30381-2025</t>
        </is>
      </c>
      <c r="B331" s="1" t="n">
        <v>45827.56939814815</v>
      </c>
      <c r="C331" s="1" t="n">
        <v>46075</v>
      </c>
      <c r="D331" t="inlineStr">
        <is>
          <t>ÖREBRO LÄN</t>
        </is>
      </c>
      <c r="E331" t="inlineStr">
        <is>
          <t>LINDESBERG</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45481-2023</t>
        </is>
      </c>
      <c r="B332" s="1" t="n">
        <v>45194</v>
      </c>
      <c r="C332" s="1" t="n">
        <v>46075</v>
      </c>
      <c r="D332" t="inlineStr">
        <is>
          <t>ÖREBRO LÄN</t>
        </is>
      </c>
      <c r="E332" t="inlineStr">
        <is>
          <t>LINDESBERG</t>
        </is>
      </c>
      <c r="G332" t="n">
        <v>2.1</v>
      </c>
      <c r="H332" t="n">
        <v>0</v>
      </c>
      <c r="I332" t="n">
        <v>0</v>
      </c>
      <c r="J332" t="n">
        <v>0</v>
      </c>
      <c r="K332" t="n">
        <v>0</v>
      </c>
      <c r="L332" t="n">
        <v>0</v>
      </c>
      <c r="M332" t="n">
        <v>0</v>
      </c>
      <c r="N332" t="n">
        <v>0</v>
      </c>
      <c r="O332" t="n">
        <v>0</v>
      </c>
      <c r="P332" t="n">
        <v>0</v>
      </c>
      <c r="Q332" t="n">
        <v>0</v>
      </c>
      <c r="R332" s="2" t="inlineStr"/>
    </row>
    <row r="333" ht="15" customHeight="1">
      <c r="A333" t="inlineStr">
        <is>
          <t>A 59766-2022</t>
        </is>
      </c>
      <c r="B333" s="1" t="n">
        <v>44908.49152777778</v>
      </c>
      <c r="C333" s="1" t="n">
        <v>46075</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27013-2024</t>
        </is>
      </c>
      <c r="B334" s="1" t="n">
        <v>45471.40384259259</v>
      </c>
      <c r="C334" s="1" t="n">
        <v>46075</v>
      </c>
      <c r="D334" t="inlineStr">
        <is>
          <t>ÖREBRO LÄN</t>
        </is>
      </c>
      <c r="E334" t="inlineStr">
        <is>
          <t>LINDESBERG</t>
        </is>
      </c>
      <c r="G334" t="n">
        <v>5.2</v>
      </c>
      <c r="H334" t="n">
        <v>0</v>
      </c>
      <c r="I334" t="n">
        <v>0</v>
      </c>
      <c r="J334" t="n">
        <v>0</v>
      </c>
      <c r="K334" t="n">
        <v>0</v>
      </c>
      <c r="L334" t="n">
        <v>0</v>
      </c>
      <c r="M334" t="n">
        <v>0</v>
      </c>
      <c r="N334" t="n">
        <v>0</v>
      </c>
      <c r="O334" t="n">
        <v>0</v>
      </c>
      <c r="P334" t="n">
        <v>0</v>
      </c>
      <c r="Q334" t="n">
        <v>0</v>
      </c>
      <c r="R334" s="2" t="inlineStr"/>
    </row>
    <row r="335" ht="15" customHeight="1">
      <c r="A335" t="inlineStr">
        <is>
          <t>A 30340-2025</t>
        </is>
      </c>
      <c r="B335" s="1" t="n">
        <v>45827.51753472222</v>
      </c>
      <c r="C335" s="1" t="n">
        <v>46075</v>
      </c>
      <c r="D335" t="inlineStr">
        <is>
          <t>ÖREBRO LÄN</t>
        </is>
      </c>
      <c r="E335" t="inlineStr">
        <is>
          <t>LINDESBERG</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30342-2025</t>
        </is>
      </c>
      <c r="B336" s="1" t="n">
        <v>45827.51956018519</v>
      </c>
      <c r="C336" s="1" t="n">
        <v>46075</v>
      </c>
      <c r="D336" t="inlineStr">
        <is>
          <t>ÖREBRO LÄN</t>
        </is>
      </c>
      <c r="E336" t="inlineStr">
        <is>
          <t>LINDESBERG</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7990-2025</t>
        </is>
      </c>
      <c r="B337" s="1" t="n">
        <v>45707</v>
      </c>
      <c r="C337" s="1" t="n">
        <v>46075</v>
      </c>
      <c r="D337" t="inlineStr">
        <is>
          <t>ÖREBRO LÄN</t>
        </is>
      </c>
      <c r="E337" t="inlineStr">
        <is>
          <t>LINDESBERG</t>
        </is>
      </c>
      <c r="G337" t="n">
        <v>4.4</v>
      </c>
      <c r="H337" t="n">
        <v>0</v>
      </c>
      <c r="I337" t="n">
        <v>0</v>
      </c>
      <c r="J337" t="n">
        <v>0</v>
      </c>
      <c r="K337" t="n">
        <v>0</v>
      </c>
      <c r="L337" t="n">
        <v>0</v>
      </c>
      <c r="M337" t="n">
        <v>0</v>
      </c>
      <c r="N337" t="n">
        <v>0</v>
      </c>
      <c r="O337" t="n">
        <v>0</v>
      </c>
      <c r="P337" t="n">
        <v>0</v>
      </c>
      <c r="Q337" t="n">
        <v>0</v>
      </c>
      <c r="R337" s="2" t="inlineStr"/>
    </row>
    <row r="338" ht="15" customHeight="1">
      <c r="A338" t="inlineStr">
        <is>
          <t>A 40347-2025</t>
        </is>
      </c>
      <c r="B338" s="1" t="n">
        <v>45895.4790625</v>
      </c>
      <c r="C338" s="1" t="n">
        <v>46075</v>
      </c>
      <c r="D338" t="inlineStr">
        <is>
          <t>ÖREBRO LÄN</t>
        </is>
      </c>
      <c r="E338" t="inlineStr">
        <is>
          <t>LINDESBERG</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40346-2025</t>
        </is>
      </c>
      <c r="B339" s="1" t="n">
        <v>45895.47704861111</v>
      </c>
      <c r="C339" s="1" t="n">
        <v>46075</v>
      </c>
      <c r="D339" t="inlineStr">
        <is>
          <t>ÖREBRO LÄN</t>
        </is>
      </c>
      <c r="E339" t="inlineStr">
        <is>
          <t>LINDESBERG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40351-2025</t>
        </is>
      </c>
      <c r="B340" s="1" t="n">
        <v>45895.48394675926</v>
      </c>
      <c r="C340" s="1" t="n">
        <v>46075</v>
      </c>
      <c r="D340" t="inlineStr">
        <is>
          <t>ÖREBRO LÄN</t>
        </is>
      </c>
      <c r="E340" t="inlineStr">
        <is>
          <t>LINDESBERG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30339-2025</t>
        </is>
      </c>
      <c r="B341" s="1" t="n">
        <v>45827.51628472222</v>
      </c>
      <c r="C341" s="1" t="n">
        <v>46075</v>
      </c>
      <c r="D341" t="inlineStr">
        <is>
          <t>ÖREBRO LÄN</t>
        </is>
      </c>
      <c r="E341" t="inlineStr">
        <is>
          <t>LINDESBERG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40366-2025</t>
        </is>
      </c>
      <c r="B342" s="1" t="n">
        <v>45895.49994212963</v>
      </c>
      <c r="C342" s="1" t="n">
        <v>46075</v>
      </c>
      <c r="D342" t="inlineStr">
        <is>
          <t>ÖREBRO LÄN</t>
        </is>
      </c>
      <c r="E342" t="inlineStr">
        <is>
          <t>LINDESBERG</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27134-2024</t>
        </is>
      </c>
      <c r="B343" s="1" t="n">
        <v>45471.52878472222</v>
      </c>
      <c r="C343" s="1" t="n">
        <v>46075</v>
      </c>
      <c r="D343" t="inlineStr">
        <is>
          <t>ÖREBRO LÄN</t>
        </is>
      </c>
      <c r="E343" t="inlineStr">
        <is>
          <t>LINDESBERG</t>
        </is>
      </c>
      <c r="G343" t="n">
        <v>0.7</v>
      </c>
      <c r="H343" t="n">
        <v>0</v>
      </c>
      <c r="I343" t="n">
        <v>0</v>
      </c>
      <c r="J343" t="n">
        <v>0</v>
      </c>
      <c r="K343" t="n">
        <v>0</v>
      </c>
      <c r="L343" t="n">
        <v>0</v>
      </c>
      <c r="M343" t="n">
        <v>0</v>
      </c>
      <c r="N343" t="n">
        <v>0</v>
      </c>
      <c r="O343" t="n">
        <v>0</v>
      </c>
      <c r="P343" t="n">
        <v>0</v>
      </c>
      <c r="Q343" t="n">
        <v>0</v>
      </c>
      <c r="R343" s="2" t="inlineStr"/>
    </row>
    <row r="344" ht="15" customHeight="1">
      <c r="A344" t="inlineStr">
        <is>
          <t>A 34029-2024</t>
        </is>
      </c>
      <c r="B344" s="1" t="n">
        <v>45523</v>
      </c>
      <c r="C344" s="1" t="n">
        <v>46075</v>
      </c>
      <c r="D344" t="inlineStr">
        <is>
          <t>ÖREBRO LÄN</t>
        </is>
      </c>
      <c r="E344" t="inlineStr">
        <is>
          <t>LINDESBERG</t>
        </is>
      </c>
      <c r="G344" t="n">
        <v>1.9</v>
      </c>
      <c r="H344" t="n">
        <v>0</v>
      </c>
      <c r="I344" t="n">
        <v>0</v>
      </c>
      <c r="J344" t="n">
        <v>0</v>
      </c>
      <c r="K344" t="n">
        <v>0</v>
      </c>
      <c r="L344" t="n">
        <v>0</v>
      </c>
      <c r="M344" t="n">
        <v>0</v>
      </c>
      <c r="N344" t="n">
        <v>0</v>
      </c>
      <c r="O344" t="n">
        <v>0</v>
      </c>
      <c r="P344" t="n">
        <v>0</v>
      </c>
      <c r="Q344" t="n">
        <v>0</v>
      </c>
      <c r="R344" s="2" t="inlineStr"/>
    </row>
    <row r="345" ht="15" customHeight="1">
      <c r="A345" t="inlineStr">
        <is>
          <t>A 36121-2023</t>
        </is>
      </c>
      <c r="B345" s="1" t="n">
        <v>45148</v>
      </c>
      <c r="C345" s="1" t="n">
        <v>46075</v>
      </c>
      <c r="D345" t="inlineStr">
        <is>
          <t>ÖREBRO LÄN</t>
        </is>
      </c>
      <c r="E345" t="inlineStr">
        <is>
          <t>LINDESBERG</t>
        </is>
      </c>
      <c r="G345" t="n">
        <v>7.1</v>
      </c>
      <c r="H345" t="n">
        <v>0</v>
      </c>
      <c r="I345" t="n">
        <v>0</v>
      </c>
      <c r="J345" t="n">
        <v>0</v>
      </c>
      <c r="K345" t="n">
        <v>0</v>
      </c>
      <c r="L345" t="n">
        <v>0</v>
      </c>
      <c r="M345" t="n">
        <v>0</v>
      </c>
      <c r="N345" t="n">
        <v>0</v>
      </c>
      <c r="O345" t="n">
        <v>0</v>
      </c>
      <c r="P345" t="n">
        <v>0</v>
      </c>
      <c r="Q345" t="n">
        <v>0</v>
      </c>
      <c r="R345" s="2" t="inlineStr"/>
    </row>
    <row r="346" ht="15" customHeight="1">
      <c r="A346" t="inlineStr">
        <is>
          <t>A 40357-2025</t>
        </is>
      </c>
      <c r="B346" s="1" t="n">
        <v>45895.48927083334</v>
      </c>
      <c r="C346" s="1" t="n">
        <v>46075</v>
      </c>
      <c r="D346" t="inlineStr">
        <is>
          <t>ÖREBRO LÄN</t>
        </is>
      </c>
      <c r="E346" t="inlineStr">
        <is>
          <t>LINDESBERG</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36280-2023</t>
        </is>
      </c>
      <c r="B347" s="1" t="n">
        <v>45152.34586805556</v>
      </c>
      <c r="C347" s="1" t="n">
        <v>46075</v>
      </c>
      <c r="D347" t="inlineStr">
        <is>
          <t>ÖREBRO LÄN</t>
        </is>
      </c>
      <c r="E347" t="inlineStr">
        <is>
          <t>LINDESBERG</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44449-2023</t>
        </is>
      </c>
      <c r="B348" s="1" t="n">
        <v>45189.38135416667</v>
      </c>
      <c r="C348" s="1" t="n">
        <v>46075</v>
      </c>
      <c r="D348" t="inlineStr">
        <is>
          <t>ÖREBRO LÄN</t>
        </is>
      </c>
      <c r="E348" t="inlineStr">
        <is>
          <t>LINDESBERG</t>
        </is>
      </c>
      <c r="G348" t="n">
        <v>13.7</v>
      </c>
      <c r="H348" t="n">
        <v>0</v>
      </c>
      <c r="I348" t="n">
        <v>0</v>
      </c>
      <c r="J348" t="n">
        <v>0</v>
      </c>
      <c r="K348" t="n">
        <v>0</v>
      </c>
      <c r="L348" t="n">
        <v>0</v>
      </c>
      <c r="M348" t="n">
        <v>0</v>
      </c>
      <c r="N348" t="n">
        <v>0</v>
      </c>
      <c r="O348" t="n">
        <v>0</v>
      </c>
      <c r="P348" t="n">
        <v>0</v>
      </c>
      <c r="Q348" t="n">
        <v>0</v>
      </c>
      <c r="R348" s="2" t="inlineStr"/>
    </row>
    <row r="349" ht="15" customHeight="1">
      <c r="A349" t="inlineStr">
        <is>
          <t>A 31220-2025</t>
        </is>
      </c>
      <c r="B349" s="1" t="n">
        <v>45832.76100694444</v>
      </c>
      <c r="C349" s="1" t="n">
        <v>46075</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31221-2025</t>
        </is>
      </c>
      <c r="B350" s="1" t="n">
        <v>45832.76491898148</v>
      </c>
      <c r="C350" s="1" t="n">
        <v>46075</v>
      </c>
      <c r="D350" t="inlineStr">
        <is>
          <t>ÖREBRO LÄN</t>
        </is>
      </c>
      <c r="E350" t="inlineStr">
        <is>
          <t>LINDESBERG</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2103-2022</t>
        </is>
      </c>
      <c r="B351" s="1" t="n">
        <v>44577.81121527778</v>
      </c>
      <c r="C351" s="1" t="n">
        <v>46075</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31000-2025</t>
        </is>
      </c>
      <c r="B352" s="1" t="n">
        <v>45832.49325231482</v>
      </c>
      <c r="C352" s="1" t="n">
        <v>46075</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31018-2025</t>
        </is>
      </c>
      <c r="B353" s="1" t="n">
        <v>45832.51255787037</v>
      </c>
      <c r="C353" s="1" t="n">
        <v>46075</v>
      </c>
      <c r="D353" t="inlineStr">
        <is>
          <t>ÖREBRO LÄN</t>
        </is>
      </c>
      <c r="E353" t="inlineStr">
        <is>
          <t>LINDESBERG</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31049-2025</t>
        </is>
      </c>
      <c r="B354" s="1" t="n">
        <v>45832.55810185185</v>
      </c>
      <c r="C354" s="1" t="n">
        <v>46075</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13968-2025</t>
        </is>
      </c>
      <c r="B355" s="1" t="n">
        <v>45738.42981481482</v>
      </c>
      <c r="C355" s="1" t="n">
        <v>46075</v>
      </c>
      <c r="D355" t="inlineStr">
        <is>
          <t>ÖREBRO LÄN</t>
        </is>
      </c>
      <c r="E355" t="inlineStr">
        <is>
          <t>LINDESBERG</t>
        </is>
      </c>
      <c r="G355" t="n">
        <v>1.5</v>
      </c>
      <c r="H355" t="n">
        <v>0</v>
      </c>
      <c r="I355" t="n">
        <v>0</v>
      </c>
      <c r="J355" t="n">
        <v>0</v>
      </c>
      <c r="K355" t="n">
        <v>0</v>
      </c>
      <c r="L355" t="n">
        <v>0</v>
      </c>
      <c r="M355" t="n">
        <v>0</v>
      </c>
      <c r="N355" t="n">
        <v>0</v>
      </c>
      <c r="O355" t="n">
        <v>0</v>
      </c>
      <c r="P355" t="n">
        <v>0</v>
      </c>
      <c r="Q355" t="n">
        <v>0</v>
      </c>
      <c r="R355" s="2" t="inlineStr"/>
    </row>
    <row r="356" ht="15" customHeight="1">
      <c r="A356" t="inlineStr">
        <is>
          <t>A 31213-2025</t>
        </is>
      </c>
      <c r="B356" s="1" t="n">
        <v>45832.72778935185</v>
      </c>
      <c r="C356" s="1" t="n">
        <v>46075</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33424-2024</t>
        </is>
      </c>
      <c r="B357" s="1" t="n">
        <v>45519.51627314815</v>
      </c>
      <c r="C357" s="1" t="n">
        <v>46075</v>
      </c>
      <c r="D357" t="inlineStr">
        <is>
          <t>ÖREBRO LÄN</t>
        </is>
      </c>
      <c r="E357" t="inlineStr">
        <is>
          <t>LINDESBERG</t>
        </is>
      </c>
      <c r="F357" t="inlineStr">
        <is>
          <t>Sveaskog</t>
        </is>
      </c>
      <c r="G357" t="n">
        <v>0.1</v>
      </c>
      <c r="H357" t="n">
        <v>0</v>
      </c>
      <c r="I357" t="n">
        <v>0</v>
      </c>
      <c r="J357" t="n">
        <v>0</v>
      </c>
      <c r="K357" t="n">
        <v>0</v>
      </c>
      <c r="L357" t="n">
        <v>0</v>
      </c>
      <c r="M357" t="n">
        <v>0</v>
      </c>
      <c r="N357" t="n">
        <v>0</v>
      </c>
      <c r="O357" t="n">
        <v>0</v>
      </c>
      <c r="P357" t="n">
        <v>0</v>
      </c>
      <c r="Q357" t="n">
        <v>0</v>
      </c>
      <c r="R357" s="2" t="inlineStr"/>
    </row>
    <row r="358" ht="15" customHeight="1">
      <c r="A358" t="inlineStr">
        <is>
          <t>A 31085-2025</t>
        </is>
      </c>
      <c r="B358" s="1" t="n">
        <v>45832.5902662037</v>
      </c>
      <c r="C358" s="1" t="n">
        <v>46075</v>
      </c>
      <c r="D358" t="inlineStr">
        <is>
          <t>ÖREBRO LÄN</t>
        </is>
      </c>
      <c r="E358" t="inlineStr">
        <is>
          <t>LINDESBERG</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57911-2022</t>
        </is>
      </c>
      <c r="B359" s="1" t="n">
        <v>44900.36149305556</v>
      </c>
      <c r="C359" s="1" t="n">
        <v>46075</v>
      </c>
      <c r="D359" t="inlineStr">
        <is>
          <t>ÖREBRO LÄN</t>
        </is>
      </c>
      <c r="E359" t="inlineStr">
        <is>
          <t>LINDESBERG</t>
        </is>
      </c>
      <c r="G359" t="n">
        <v>4.9</v>
      </c>
      <c r="H359" t="n">
        <v>0</v>
      </c>
      <c r="I359" t="n">
        <v>0</v>
      </c>
      <c r="J359" t="n">
        <v>0</v>
      </c>
      <c r="K359" t="n">
        <v>0</v>
      </c>
      <c r="L359" t="n">
        <v>0</v>
      </c>
      <c r="M359" t="n">
        <v>0</v>
      </c>
      <c r="N359" t="n">
        <v>0</v>
      </c>
      <c r="O359" t="n">
        <v>0</v>
      </c>
      <c r="P359" t="n">
        <v>0</v>
      </c>
      <c r="Q359" t="n">
        <v>0</v>
      </c>
      <c r="R359" s="2" t="inlineStr"/>
    </row>
    <row r="360" ht="15" customHeight="1">
      <c r="A360" t="inlineStr">
        <is>
          <t>A 41340-2025</t>
        </is>
      </c>
      <c r="B360" s="1" t="n">
        <v>45899.38057870371</v>
      </c>
      <c r="C360" s="1" t="n">
        <v>46075</v>
      </c>
      <c r="D360" t="inlineStr">
        <is>
          <t>ÖREBRO LÄN</t>
        </is>
      </c>
      <c r="E360" t="inlineStr">
        <is>
          <t>LINDESBERG</t>
        </is>
      </c>
      <c r="G360" t="n">
        <v>16.5</v>
      </c>
      <c r="H360" t="n">
        <v>0</v>
      </c>
      <c r="I360" t="n">
        <v>0</v>
      </c>
      <c r="J360" t="n">
        <v>0</v>
      </c>
      <c r="K360" t="n">
        <v>0</v>
      </c>
      <c r="L360" t="n">
        <v>0</v>
      </c>
      <c r="M360" t="n">
        <v>0</v>
      </c>
      <c r="N360" t="n">
        <v>0</v>
      </c>
      <c r="O360" t="n">
        <v>0</v>
      </c>
      <c r="P360" t="n">
        <v>0</v>
      </c>
      <c r="Q360" t="n">
        <v>0</v>
      </c>
      <c r="R360" s="2" t="inlineStr"/>
    </row>
    <row r="361" ht="15" customHeight="1">
      <c r="A361" t="inlineStr">
        <is>
          <t>A 31215-2025</t>
        </is>
      </c>
      <c r="B361" s="1" t="n">
        <v>45832.74418981482</v>
      </c>
      <c r="C361" s="1" t="n">
        <v>46075</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41027-2025</t>
        </is>
      </c>
      <c r="B362" s="1" t="n">
        <v>45898.37138888889</v>
      </c>
      <c r="C362" s="1" t="n">
        <v>46075</v>
      </c>
      <c r="D362" t="inlineStr">
        <is>
          <t>ÖREBRO LÄN</t>
        </is>
      </c>
      <c r="E362" t="inlineStr">
        <is>
          <t>LINDESBERG</t>
        </is>
      </c>
      <c r="G362" t="n">
        <v>4.7</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46075</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31003-2025</t>
        </is>
      </c>
      <c r="B364" s="1" t="n">
        <v>45832.49579861111</v>
      </c>
      <c r="C364" s="1" t="n">
        <v>46075</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31014-2025</t>
        </is>
      </c>
      <c r="B365" s="1" t="n">
        <v>45832.51028935185</v>
      </c>
      <c r="C365" s="1" t="n">
        <v>46075</v>
      </c>
      <c r="D365" t="inlineStr">
        <is>
          <t>ÖREBRO LÄN</t>
        </is>
      </c>
      <c r="E365" t="inlineStr">
        <is>
          <t>LINDESBERG</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62608-2021</t>
        </is>
      </c>
      <c r="B366" s="1" t="n">
        <v>44503</v>
      </c>
      <c r="C366" s="1" t="n">
        <v>46075</v>
      </c>
      <c r="D366" t="inlineStr">
        <is>
          <t>ÖREBRO LÄN</t>
        </is>
      </c>
      <c r="E366" t="inlineStr">
        <is>
          <t>LINDESBERG</t>
        </is>
      </c>
      <c r="G366" t="n">
        <v>1.4</v>
      </c>
      <c r="H366" t="n">
        <v>0</v>
      </c>
      <c r="I366" t="n">
        <v>0</v>
      </c>
      <c r="J366" t="n">
        <v>0</v>
      </c>
      <c r="K366" t="n">
        <v>0</v>
      </c>
      <c r="L366" t="n">
        <v>0</v>
      </c>
      <c r="M366" t="n">
        <v>0</v>
      </c>
      <c r="N366" t="n">
        <v>0</v>
      </c>
      <c r="O366" t="n">
        <v>0</v>
      </c>
      <c r="P366" t="n">
        <v>0</v>
      </c>
      <c r="Q366" t="n">
        <v>0</v>
      </c>
      <c r="R366" s="2" t="inlineStr"/>
    </row>
    <row r="367" ht="15" customHeight="1">
      <c r="A367" t="inlineStr">
        <is>
          <t>A 73860-2021</t>
        </is>
      </c>
      <c r="B367" s="1" t="n">
        <v>44553.35407407407</v>
      </c>
      <c r="C367" s="1" t="n">
        <v>46075</v>
      </c>
      <c r="D367" t="inlineStr">
        <is>
          <t>ÖREBRO LÄN</t>
        </is>
      </c>
      <c r="E367" t="inlineStr">
        <is>
          <t>LINDESBERG</t>
        </is>
      </c>
      <c r="G367" t="n">
        <v>12.7</v>
      </c>
      <c r="H367" t="n">
        <v>0</v>
      </c>
      <c r="I367" t="n">
        <v>0</v>
      </c>
      <c r="J367" t="n">
        <v>0</v>
      </c>
      <c r="K367" t="n">
        <v>0</v>
      </c>
      <c r="L367" t="n">
        <v>0</v>
      </c>
      <c r="M367" t="n">
        <v>0</v>
      </c>
      <c r="N367" t="n">
        <v>0</v>
      </c>
      <c r="O367" t="n">
        <v>0</v>
      </c>
      <c r="P367" t="n">
        <v>0</v>
      </c>
      <c r="Q367" t="n">
        <v>0</v>
      </c>
      <c r="R367" s="2" t="inlineStr"/>
    </row>
    <row r="368" ht="15" customHeight="1">
      <c r="A368" t="inlineStr">
        <is>
          <t>A 49094-2024</t>
        </is>
      </c>
      <c r="B368" s="1" t="n">
        <v>45594.63747685185</v>
      </c>
      <c r="C368" s="1" t="n">
        <v>46075</v>
      </c>
      <c r="D368" t="inlineStr">
        <is>
          <t>ÖREBRO LÄN</t>
        </is>
      </c>
      <c r="E368" t="inlineStr">
        <is>
          <t>LINDESBERG</t>
        </is>
      </c>
      <c r="G368" t="n">
        <v>3.8</v>
      </c>
      <c r="H368" t="n">
        <v>0</v>
      </c>
      <c r="I368" t="n">
        <v>0</v>
      </c>
      <c r="J368" t="n">
        <v>0</v>
      </c>
      <c r="K368" t="n">
        <v>0</v>
      </c>
      <c r="L368" t="n">
        <v>0</v>
      </c>
      <c r="M368" t="n">
        <v>0</v>
      </c>
      <c r="N368" t="n">
        <v>0</v>
      </c>
      <c r="O368" t="n">
        <v>0</v>
      </c>
      <c r="P368" t="n">
        <v>0</v>
      </c>
      <c r="Q368" t="n">
        <v>0</v>
      </c>
      <c r="R368" s="2" t="inlineStr"/>
    </row>
    <row r="369" ht="15" customHeight="1">
      <c r="A369" t="inlineStr">
        <is>
          <t>A 32284-2025</t>
        </is>
      </c>
      <c r="B369" s="1" t="n">
        <v>45835.68443287037</v>
      </c>
      <c r="C369" s="1" t="n">
        <v>46075</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3803-2023</t>
        </is>
      </c>
      <c r="B370" s="1" t="n">
        <v>44951.5830324074</v>
      </c>
      <c r="C370" s="1" t="n">
        <v>46075</v>
      </c>
      <c r="D370" t="inlineStr">
        <is>
          <t>ÖREBRO LÄN</t>
        </is>
      </c>
      <c r="E370" t="inlineStr">
        <is>
          <t>LINDESBERG</t>
        </is>
      </c>
      <c r="G370" t="n">
        <v>0.9</v>
      </c>
      <c r="H370" t="n">
        <v>0</v>
      </c>
      <c r="I370" t="n">
        <v>0</v>
      </c>
      <c r="J370" t="n">
        <v>0</v>
      </c>
      <c r="K370" t="n">
        <v>0</v>
      </c>
      <c r="L370" t="n">
        <v>0</v>
      </c>
      <c r="M370" t="n">
        <v>0</v>
      </c>
      <c r="N370" t="n">
        <v>0</v>
      </c>
      <c r="O370" t="n">
        <v>0</v>
      </c>
      <c r="P370" t="n">
        <v>0</v>
      </c>
      <c r="Q370" t="n">
        <v>0</v>
      </c>
      <c r="R370" s="2" t="inlineStr"/>
    </row>
    <row r="371" ht="15" customHeight="1">
      <c r="A371" t="inlineStr">
        <is>
          <t>A 11581-2024</t>
        </is>
      </c>
      <c r="B371" s="1" t="n">
        <v>45373.34383101852</v>
      </c>
      <c r="C371" s="1" t="n">
        <v>46075</v>
      </c>
      <c r="D371" t="inlineStr">
        <is>
          <t>ÖREBRO LÄN</t>
        </is>
      </c>
      <c r="E371" t="inlineStr">
        <is>
          <t>LINDESBERG</t>
        </is>
      </c>
      <c r="F371" t="inlineStr">
        <is>
          <t>BillerudKorsnäs AB</t>
        </is>
      </c>
      <c r="G371" t="n">
        <v>3.9</v>
      </c>
      <c r="H371" t="n">
        <v>0</v>
      </c>
      <c r="I371" t="n">
        <v>0</v>
      </c>
      <c r="J371" t="n">
        <v>0</v>
      </c>
      <c r="K371" t="n">
        <v>0</v>
      </c>
      <c r="L371" t="n">
        <v>0</v>
      </c>
      <c r="M371" t="n">
        <v>0</v>
      </c>
      <c r="N371" t="n">
        <v>0</v>
      </c>
      <c r="O371" t="n">
        <v>0</v>
      </c>
      <c r="P371" t="n">
        <v>0</v>
      </c>
      <c r="Q371" t="n">
        <v>0</v>
      </c>
      <c r="R371" s="2" t="inlineStr"/>
    </row>
    <row r="372" ht="15" customHeight="1">
      <c r="A372" t="inlineStr">
        <is>
          <t>A 41889-2025</t>
        </is>
      </c>
      <c r="B372" s="1" t="n">
        <v>45903.37475694445</v>
      </c>
      <c r="C372" s="1" t="n">
        <v>46075</v>
      </c>
      <c r="D372" t="inlineStr">
        <is>
          <t>ÖREBRO LÄN</t>
        </is>
      </c>
      <c r="E372" t="inlineStr">
        <is>
          <t>LINDESBERG</t>
        </is>
      </c>
      <c r="F372" t="inlineStr">
        <is>
          <t>Sveaskog</t>
        </is>
      </c>
      <c r="G372" t="n">
        <v>7.7</v>
      </c>
      <c r="H372" t="n">
        <v>0</v>
      </c>
      <c r="I372" t="n">
        <v>0</v>
      </c>
      <c r="J372" t="n">
        <v>0</v>
      </c>
      <c r="K372" t="n">
        <v>0</v>
      </c>
      <c r="L372" t="n">
        <v>0</v>
      </c>
      <c r="M372" t="n">
        <v>0</v>
      </c>
      <c r="N372" t="n">
        <v>0</v>
      </c>
      <c r="O372" t="n">
        <v>0</v>
      </c>
      <c r="P372" t="n">
        <v>0</v>
      </c>
      <c r="Q372" t="n">
        <v>0</v>
      </c>
      <c r="R372" s="2" t="inlineStr"/>
    </row>
    <row r="373" ht="15" customHeight="1">
      <c r="A373" t="inlineStr">
        <is>
          <t>A 33507-2023</t>
        </is>
      </c>
      <c r="B373" s="1" t="n">
        <v>45131</v>
      </c>
      <c r="C373" s="1" t="n">
        <v>46075</v>
      </c>
      <c r="D373" t="inlineStr">
        <is>
          <t>ÖREBRO LÄN</t>
        </is>
      </c>
      <c r="E373" t="inlineStr">
        <is>
          <t>LINDESBERG</t>
        </is>
      </c>
      <c r="G373" t="n">
        <v>3.2</v>
      </c>
      <c r="H373" t="n">
        <v>0</v>
      </c>
      <c r="I373" t="n">
        <v>0</v>
      </c>
      <c r="J373" t="n">
        <v>0</v>
      </c>
      <c r="K373" t="n">
        <v>0</v>
      </c>
      <c r="L373" t="n">
        <v>0</v>
      </c>
      <c r="M373" t="n">
        <v>0</v>
      </c>
      <c r="N373" t="n">
        <v>0</v>
      </c>
      <c r="O373" t="n">
        <v>0</v>
      </c>
      <c r="P373" t="n">
        <v>0</v>
      </c>
      <c r="Q373" t="n">
        <v>0</v>
      </c>
      <c r="R373" s="2" t="inlineStr"/>
    </row>
    <row r="374" ht="15" customHeight="1">
      <c r="A374" t="inlineStr">
        <is>
          <t>A 24030-2023</t>
        </is>
      </c>
      <c r="B374" s="1" t="n">
        <v>45078.82620370371</v>
      </c>
      <c r="C374" s="1" t="n">
        <v>46075</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41653-2025</t>
        </is>
      </c>
      <c r="B375" s="1" t="n">
        <v>45902.3406712963</v>
      </c>
      <c r="C375" s="1" t="n">
        <v>46075</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21986-2023</t>
        </is>
      </c>
      <c r="B376" s="1" t="n">
        <v>45068</v>
      </c>
      <c r="C376" s="1" t="n">
        <v>46075</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44010-2023</t>
        </is>
      </c>
      <c r="B377" s="1" t="n">
        <v>45188</v>
      </c>
      <c r="C377" s="1" t="n">
        <v>46075</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50986-2023</t>
        </is>
      </c>
      <c r="B378" s="1" t="n">
        <v>45218</v>
      </c>
      <c r="C378" s="1" t="n">
        <v>46075</v>
      </c>
      <c r="D378" t="inlineStr">
        <is>
          <t>ÖREBRO LÄN</t>
        </is>
      </c>
      <c r="E378" t="inlineStr">
        <is>
          <t>LINDESBERG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61969-2023</t>
        </is>
      </c>
      <c r="B379" s="1" t="n">
        <v>45266.58394675926</v>
      </c>
      <c r="C379" s="1" t="n">
        <v>46075</v>
      </c>
      <c r="D379" t="inlineStr">
        <is>
          <t>ÖREBRO LÄN</t>
        </is>
      </c>
      <c r="E379" t="inlineStr">
        <is>
          <t>LINDESBERG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40450-2023</t>
        </is>
      </c>
      <c r="B380" s="1" t="n">
        <v>45170</v>
      </c>
      <c r="C380" s="1" t="n">
        <v>46075</v>
      </c>
      <c r="D380" t="inlineStr">
        <is>
          <t>ÖREBRO LÄN</t>
        </is>
      </c>
      <c r="E380" t="inlineStr">
        <is>
          <t>LINDESBERG</t>
        </is>
      </c>
      <c r="F380" t="inlineStr">
        <is>
          <t>Kyrkan</t>
        </is>
      </c>
      <c r="G380" t="n">
        <v>4.3</v>
      </c>
      <c r="H380" t="n">
        <v>0</v>
      </c>
      <c r="I380" t="n">
        <v>0</v>
      </c>
      <c r="J380" t="n">
        <v>0</v>
      </c>
      <c r="K380" t="n">
        <v>0</v>
      </c>
      <c r="L380" t="n">
        <v>0</v>
      </c>
      <c r="M380" t="n">
        <v>0</v>
      </c>
      <c r="N380" t="n">
        <v>0</v>
      </c>
      <c r="O380" t="n">
        <v>0</v>
      </c>
      <c r="P380" t="n">
        <v>0</v>
      </c>
      <c r="Q380" t="n">
        <v>0</v>
      </c>
      <c r="R380" s="2" t="inlineStr"/>
    </row>
    <row r="381" ht="15" customHeight="1">
      <c r="A381" t="inlineStr">
        <is>
          <t>A 53062-2023</t>
        </is>
      </c>
      <c r="B381" s="1" t="n">
        <v>45227.31859953704</v>
      </c>
      <c r="C381" s="1" t="n">
        <v>46075</v>
      </c>
      <c r="D381" t="inlineStr">
        <is>
          <t>ÖREBRO LÄN</t>
        </is>
      </c>
      <c r="E381" t="inlineStr">
        <is>
          <t>LINDESBERG</t>
        </is>
      </c>
      <c r="G381" t="n">
        <v>3.1</v>
      </c>
      <c r="H381" t="n">
        <v>0</v>
      </c>
      <c r="I381" t="n">
        <v>0</v>
      </c>
      <c r="J381" t="n">
        <v>0</v>
      </c>
      <c r="K381" t="n">
        <v>0</v>
      </c>
      <c r="L381" t="n">
        <v>0</v>
      </c>
      <c r="M381" t="n">
        <v>0</v>
      </c>
      <c r="N381" t="n">
        <v>0</v>
      </c>
      <c r="O381" t="n">
        <v>0</v>
      </c>
      <c r="P381" t="n">
        <v>0</v>
      </c>
      <c r="Q381" t="n">
        <v>0</v>
      </c>
      <c r="R381" s="2" t="inlineStr"/>
    </row>
    <row r="382" ht="15" customHeight="1">
      <c r="A382" t="inlineStr">
        <is>
          <t>A 42630-2025</t>
        </is>
      </c>
      <c r="B382" s="1" t="n">
        <v>45905.89143518519</v>
      </c>
      <c r="C382" s="1" t="n">
        <v>46075</v>
      </c>
      <c r="D382" t="inlineStr">
        <is>
          <t>ÖREBRO LÄN</t>
        </is>
      </c>
      <c r="E382" t="inlineStr">
        <is>
          <t>LINDESBERG</t>
        </is>
      </c>
      <c r="F382" t="inlineStr">
        <is>
          <t>Sveaskog</t>
        </is>
      </c>
      <c r="G382" t="n">
        <v>9.9</v>
      </c>
      <c r="H382" t="n">
        <v>0</v>
      </c>
      <c r="I382" t="n">
        <v>0</v>
      </c>
      <c r="J382" t="n">
        <v>0</v>
      </c>
      <c r="K382" t="n">
        <v>0</v>
      </c>
      <c r="L382" t="n">
        <v>0</v>
      </c>
      <c r="M382" t="n">
        <v>0</v>
      </c>
      <c r="N382" t="n">
        <v>0</v>
      </c>
      <c r="O382" t="n">
        <v>0</v>
      </c>
      <c r="P382" t="n">
        <v>0</v>
      </c>
      <c r="Q382" t="n">
        <v>0</v>
      </c>
      <c r="R382" s="2" t="inlineStr"/>
    </row>
    <row r="383" ht="15" customHeight="1">
      <c r="A383" t="inlineStr">
        <is>
          <t>A 42631-2025</t>
        </is>
      </c>
      <c r="B383" s="1" t="n">
        <v>45905.89236111111</v>
      </c>
      <c r="C383" s="1" t="n">
        <v>46075</v>
      </c>
      <c r="D383" t="inlineStr">
        <is>
          <t>ÖREBRO LÄN</t>
        </is>
      </c>
      <c r="E383" t="inlineStr">
        <is>
          <t>LINDESBERG</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32504-2025</t>
        </is>
      </c>
      <c r="B384" s="1" t="n">
        <v>45838.46456018519</v>
      </c>
      <c r="C384" s="1" t="n">
        <v>46075</v>
      </c>
      <c r="D384" t="inlineStr">
        <is>
          <t>ÖREBRO LÄN</t>
        </is>
      </c>
      <c r="E384" t="inlineStr">
        <is>
          <t>LINDESBERG</t>
        </is>
      </c>
      <c r="F384" t="inlineStr">
        <is>
          <t>Sveaskog</t>
        </is>
      </c>
      <c r="G384" t="n">
        <v>16.9</v>
      </c>
      <c r="H384" t="n">
        <v>0</v>
      </c>
      <c r="I384" t="n">
        <v>0</v>
      </c>
      <c r="J384" t="n">
        <v>0</v>
      </c>
      <c r="K384" t="n">
        <v>0</v>
      </c>
      <c r="L384" t="n">
        <v>0</v>
      </c>
      <c r="M384" t="n">
        <v>0</v>
      </c>
      <c r="N384" t="n">
        <v>0</v>
      </c>
      <c r="O384" t="n">
        <v>0</v>
      </c>
      <c r="P384" t="n">
        <v>0</v>
      </c>
      <c r="Q384" t="n">
        <v>0</v>
      </c>
      <c r="R384" s="2" t="inlineStr"/>
    </row>
    <row r="385" ht="15" customHeight="1">
      <c r="A385" t="inlineStr">
        <is>
          <t>A 32502-2025</t>
        </is>
      </c>
      <c r="B385" s="1" t="n">
        <v>45838.46408564815</v>
      </c>
      <c r="C385" s="1" t="n">
        <v>46075</v>
      </c>
      <c r="D385" t="inlineStr">
        <is>
          <t>ÖREBRO LÄN</t>
        </is>
      </c>
      <c r="E385" t="inlineStr">
        <is>
          <t>LINDESBERG</t>
        </is>
      </c>
      <c r="F385" t="inlineStr">
        <is>
          <t>Sveaskog</t>
        </is>
      </c>
      <c r="G385" t="n">
        <v>17.7</v>
      </c>
      <c r="H385" t="n">
        <v>0</v>
      </c>
      <c r="I385" t="n">
        <v>0</v>
      </c>
      <c r="J385" t="n">
        <v>0</v>
      </c>
      <c r="K385" t="n">
        <v>0</v>
      </c>
      <c r="L385" t="n">
        <v>0</v>
      </c>
      <c r="M385" t="n">
        <v>0</v>
      </c>
      <c r="N385" t="n">
        <v>0</v>
      </c>
      <c r="O385" t="n">
        <v>0</v>
      </c>
      <c r="P385" t="n">
        <v>0</v>
      </c>
      <c r="Q385" t="n">
        <v>0</v>
      </c>
      <c r="R385" s="2" t="inlineStr"/>
    </row>
    <row r="386" ht="15" customHeight="1">
      <c r="A386" t="inlineStr">
        <is>
          <t>A 12739-2024</t>
        </is>
      </c>
      <c r="B386" s="1" t="n">
        <v>45384</v>
      </c>
      <c r="C386" s="1" t="n">
        <v>46075</v>
      </c>
      <c r="D386" t="inlineStr">
        <is>
          <t>ÖREBRO LÄN</t>
        </is>
      </c>
      <c r="E386" t="inlineStr">
        <is>
          <t>LINDESBERG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32727-2024</t>
        </is>
      </c>
      <c r="B387" s="1" t="n">
        <v>45516.4221412037</v>
      </c>
      <c r="C387" s="1" t="n">
        <v>46075</v>
      </c>
      <c r="D387" t="inlineStr">
        <is>
          <t>ÖREBRO LÄN</t>
        </is>
      </c>
      <c r="E387" t="inlineStr">
        <is>
          <t>LINDESBERG</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45056-2024</t>
        </is>
      </c>
      <c r="B388" s="1" t="n">
        <v>45575.55273148148</v>
      </c>
      <c r="C388" s="1" t="n">
        <v>46075</v>
      </c>
      <c r="D388" t="inlineStr">
        <is>
          <t>ÖREBRO LÄN</t>
        </is>
      </c>
      <c r="E388" t="inlineStr">
        <is>
          <t>LINDESBERG</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45058-2024</t>
        </is>
      </c>
      <c r="B389" s="1" t="n">
        <v>45575.5547337963</v>
      </c>
      <c r="C389" s="1" t="n">
        <v>46075</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45063-2024</t>
        </is>
      </c>
      <c r="B390" s="1" t="n">
        <v>45575.55684027778</v>
      </c>
      <c r="C390" s="1" t="n">
        <v>46075</v>
      </c>
      <c r="D390" t="inlineStr">
        <is>
          <t>ÖREBRO LÄN</t>
        </is>
      </c>
      <c r="E390" t="inlineStr">
        <is>
          <t>LINDESBERG</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42632-2025</t>
        </is>
      </c>
      <c r="B391" s="1" t="n">
        <v>45905.89329861111</v>
      </c>
      <c r="C391" s="1" t="n">
        <v>46075</v>
      </c>
      <c r="D391" t="inlineStr">
        <is>
          <t>ÖREBRO LÄN</t>
        </is>
      </c>
      <c r="E391" t="inlineStr">
        <is>
          <t>LINDESBERG</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33046-2025</t>
        </is>
      </c>
      <c r="B392" s="1" t="n">
        <v>45840</v>
      </c>
      <c r="C392" s="1" t="n">
        <v>46075</v>
      </c>
      <c r="D392" t="inlineStr">
        <is>
          <t>ÖREBRO LÄN</t>
        </is>
      </c>
      <c r="E392" t="inlineStr">
        <is>
          <t>LINDESBERG</t>
        </is>
      </c>
      <c r="G392" t="n">
        <v>6.1</v>
      </c>
      <c r="H392" t="n">
        <v>0</v>
      </c>
      <c r="I392" t="n">
        <v>0</v>
      </c>
      <c r="J392" t="n">
        <v>0</v>
      </c>
      <c r="K392" t="n">
        <v>0</v>
      </c>
      <c r="L392" t="n">
        <v>0</v>
      </c>
      <c r="M392" t="n">
        <v>0</v>
      </c>
      <c r="N392" t="n">
        <v>0</v>
      </c>
      <c r="O392" t="n">
        <v>0</v>
      </c>
      <c r="P392" t="n">
        <v>0</v>
      </c>
      <c r="Q392" t="n">
        <v>0</v>
      </c>
      <c r="R392" s="2" t="inlineStr"/>
    </row>
    <row r="393" ht="15" customHeight="1">
      <c r="A393" t="inlineStr">
        <is>
          <t>A 37843-2025</t>
        </is>
      </c>
      <c r="B393" s="1" t="n">
        <v>45881.43759259259</v>
      </c>
      <c r="C393" s="1" t="n">
        <v>46075</v>
      </c>
      <c r="D393" t="inlineStr">
        <is>
          <t>ÖREBRO LÄN</t>
        </is>
      </c>
      <c r="E393" t="inlineStr">
        <is>
          <t>LINDESBERG</t>
        </is>
      </c>
      <c r="G393" t="n">
        <v>5.2</v>
      </c>
      <c r="H393" t="n">
        <v>0</v>
      </c>
      <c r="I393" t="n">
        <v>0</v>
      </c>
      <c r="J393" t="n">
        <v>0</v>
      </c>
      <c r="K393" t="n">
        <v>0</v>
      </c>
      <c r="L393" t="n">
        <v>0</v>
      </c>
      <c r="M393" t="n">
        <v>0</v>
      </c>
      <c r="N393" t="n">
        <v>0</v>
      </c>
      <c r="O393" t="n">
        <v>0</v>
      </c>
      <c r="P393" t="n">
        <v>0</v>
      </c>
      <c r="Q393" t="n">
        <v>0</v>
      </c>
      <c r="R393" s="2" t="inlineStr"/>
    </row>
    <row r="394" ht="15" customHeight="1">
      <c r="A394" t="inlineStr">
        <is>
          <t>A 9198-2025</t>
        </is>
      </c>
      <c r="B394" s="1" t="n">
        <v>45714</v>
      </c>
      <c r="C394" s="1" t="n">
        <v>46075</v>
      </c>
      <c r="D394" t="inlineStr">
        <is>
          <t>ÖREBRO LÄN</t>
        </is>
      </c>
      <c r="E394" t="inlineStr">
        <is>
          <t>LINDESBERG</t>
        </is>
      </c>
      <c r="G394" t="n">
        <v>3.3</v>
      </c>
      <c r="H394" t="n">
        <v>0</v>
      </c>
      <c r="I394" t="n">
        <v>0</v>
      </c>
      <c r="J394" t="n">
        <v>0</v>
      </c>
      <c r="K394" t="n">
        <v>0</v>
      </c>
      <c r="L394" t="n">
        <v>0</v>
      </c>
      <c r="M394" t="n">
        <v>0</v>
      </c>
      <c r="N394" t="n">
        <v>0</v>
      </c>
      <c r="O394" t="n">
        <v>0</v>
      </c>
      <c r="P394" t="n">
        <v>0</v>
      </c>
      <c r="Q394" t="n">
        <v>0</v>
      </c>
      <c r="R394" s="2" t="inlineStr"/>
    </row>
    <row r="395" ht="15" customHeight="1">
      <c r="A395" t="inlineStr">
        <is>
          <t>A 60492-2024</t>
        </is>
      </c>
      <c r="B395" s="1" t="n">
        <v>45642</v>
      </c>
      <c r="C395" s="1" t="n">
        <v>46075</v>
      </c>
      <c r="D395" t="inlineStr">
        <is>
          <t>ÖREBRO LÄN</t>
        </is>
      </c>
      <c r="E395" t="inlineStr">
        <is>
          <t>LINDESBERG</t>
        </is>
      </c>
      <c r="G395" t="n">
        <v>2.6</v>
      </c>
      <c r="H395" t="n">
        <v>0</v>
      </c>
      <c r="I395" t="n">
        <v>0</v>
      </c>
      <c r="J395" t="n">
        <v>0</v>
      </c>
      <c r="K395" t="n">
        <v>0</v>
      </c>
      <c r="L395" t="n">
        <v>0</v>
      </c>
      <c r="M395" t="n">
        <v>0</v>
      </c>
      <c r="N395" t="n">
        <v>0</v>
      </c>
      <c r="O395" t="n">
        <v>0</v>
      </c>
      <c r="P395" t="n">
        <v>0</v>
      </c>
      <c r="Q395" t="n">
        <v>0</v>
      </c>
      <c r="R395" s="2" t="inlineStr"/>
    </row>
    <row r="396" ht="15" customHeight="1">
      <c r="A396" t="inlineStr">
        <is>
          <t>A 34004-2025</t>
        </is>
      </c>
      <c r="B396" s="1" t="n">
        <v>45844.5775</v>
      </c>
      <c r="C396" s="1" t="n">
        <v>46075</v>
      </c>
      <c r="D396" t="inlineStr">
        <is>
          <t>ÖREBRO LÄN</t>
        </is>
      </c>
      <c r="E396" t="inlineStr">
        <is>
          <t>LINDESBERG</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34104-2025</t>
        </is>
      </c>
      <c r="B397" s="1" t="n">
        <v>45845.49216435185</v>
      </c>
      <c r="C397" s="1" t="n">
        <v>46075</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26093-2023</t>
        </is>
      </c>
      <c r="B398" s="1" t="n">
        <v>45091.39362268519</v>
      </c>
      <c r="C398" s="1" t="n">
        <v>46075</v>
      </c>
      <c r="D398" t="inlineStr">
        <is>
          <t>ÖREBRO LÄN</t>
        </is>
      </c>
      <c r="E398" t="inlineStr">
        <is>
          <t>LINDESBERG</t>
        </is>
      </c>
      <c r="G398" t="n">
        <v>0.4</v>
      </c>
      <c r="H398" t="n">
        <v>0</v>
      </c>
      <c r="I398" t="n">
        <v>0</v>
      </c>
      <c r="J398" t="n">
        <v>0</v>
      </c>
      <c r="K398" t="n">
        <v>0</v>
      </c>
      <c r="L398" t="n">
        <v>0</v>
      </c>
      <c r="M398" t="n">
        <v>0</v>
      </c>
      <c r="N398" t="n">
        <v>0</v>
      </c>
      <c r="O398" t="n">
        <v>0</v>
      </c>
      <c r="P398" t="n">
        <v>0</v>
      </c>
      <c r="Q398" t="n">
        <v>0</v>
      </c>
      <c r="R398" s="2" t="inlineStr"/>
    </row>
    <row r="399" ht="15" customHeight="1">
      <c r="A399" t="inlineStr">
        <is>
          <t>A 47066-2023</t>
        </is>
      </c>
      <c r="B399" s="1" t="n">
        <v>45201</v>
      </c>
      <c r="C399" s="1" t="n">
        <v>46075</v>
      </c>
      <c r="D399" t="inlineStr">
        <is>
          <t>ÖREBRO LÄN</t>
        </is>
      </c>
      <c r="E399" t="inlineStr">
        <is>
          <t>LINDESBERG</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54859-2024</t>
        </is>
      </c>
      <c r="B400" s="1" t="n">
        <v>45618.58962962963</v>
      </c>
      <c r="C400" s="1" t="n">
        <v>46075</v>
      </c>
      <c r="D400" t="inlineStr">
        <is>
          <t>ÖREBRO LÄN</t>
        </is>
      </c>
      <c r="E400" t="inlineStr">
        <is>
          <t>LINDESBERG</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36773-2024</t>
        </is>
      </c>
      <c r="B401" s="1" t="n">
        <v>45538</v>
      </c>
      <c r="C401" s="1" t="n">
        <v>46075</v>
      </c>
      <c r="D401" t="inlineStr">
        <is>
          <t>ÖREBRO LÄN</t>
        </is>
      </c>
      <c r="E401" t="inlineStr">
        <is>
          <t>LINDESBERG</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33574-2024</t>
        </is>
      </c>
      <c r="B402" s="1" t="n">
        <v>45520.32887731482</v>
      </c>
      <c r="C402" s="1" t="n">
        <v>46075</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59804-2023</t>
        </is>
      </c>
      <c r="B403" s="1" t="n">
        <v>45257.48188657407</v>
      </c>
      <c r="C403" s="1" t="n">
        <v>46075</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40758-2021</t>
        </is>
      </c>
      <c r="B404" s="1" t="n">
        <v>44420</v>
      </c>
      <c r="C404" s="1" t="n">
        <v>46075</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61691-2023</t>
        </is>
      </c>
      <c r="B405" s="1" t="n">
        <v>45265.64142361111</v>
      </c>
      <c r="C405" s="1" t="n">
        <v>46075</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row>
    <row r="406" ht="15" customHeight="1">
      <c r="A406" t="inlineStr">
        <is>
          <t>A 43847-2025</t>
        </is>
      </c>
      <c r="B406" s="1" t="n">
        <v>45912.63751157407</v>
      </c>
      <c r="C406" s="1" t="n">
        <v>46075</v>
      </c>
      <c r="D406" t="inlineStr">
        <is>
          <t>ÖREBRO LÄN</t>
        </is>
      </c>
      <c r="E406" t="inlineStr">
        <is>
          <t>LINDESBERG</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4298-2025</t>
        </is>
      </c>
      <c r="B407" s="1" t="n">
        <v>45685</v>
      </c>
      <c r="C407" s="1" t="n">
        <v>46075</v>
      </c>
      <c r="D407" t="inlineStr">
        <is>
          <t>ÖREBRO LÄN</t>
        </is>
      </c>
      <c r="E407" t="inlineStr">
        <is>
          <t>LINDESBERG</t>
        </is>
      </c>
      <c r="G407" t="n">
        <v>13.5</v>
      </c>
      <c r="H407" t="n">
        <v>0</v>
      </c>
      <c r="I407" t="n">
        <v>0</v>
      </c>
      <c r="J407" t="n">
        <v>0</v>
      </c>
      <c r="K407" t="n">
        <v>0</v>
      </c>
      <c r="L407" t="n">
        <v>0</v>
      </c>
      <c r="M407" t="n">
        <v>0</v>
      </c>
      <c r="N407" t="n">
        <v>0</v>
      </c>
      <c r="O407" t="n">
        <v>0</v>
      </c>
      <c r="P407" t="n">
        <v>0</v>
      </c>
      <c r="Q407" t="n">
        <v>0</v>
      </c>
      <c r="R407" s="2" t="inlineStr"/>
    </row>
    <row r="408" ht="15" customHeight="1">
      <c r="A408" t="inlineStr">
        <is>
          <t>A 53597-2024</t>
        </is>
      </c>
      <c r="B408" s="1" t="n">
        <v>45614.68083333333</v>
      </c>
      <c r="C408" s="1" t="n">
        <v>46075</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34002-2025</t>
        </is>
      </c>
      <c r="B409" s="1" t="n">
        <v>45844.57328703703</v>
      </c>
      <c r="C409" s="1" t="n">
        <v>46075</v>
      </c>
      <c r="D409" t="inlineStr">
        <is>
          <t>ÖREBRO LÄN</t>
        </is>
      </c>
      <c r="E409" t="inlineStr">
        <is>
          <t>LINDESBERG</t>
        </is>
      </c>
      <c r="F409" t="inlineStr">
        <is>
          <t>Sveaskog</t>
        </is>
      </c>
      <c r="G409" t="n">
        <v>4.6</v>
      </c>
      <c r="H409" t="n">
        <v>0</v>
      </c>
      <c r="I409" t="n">
        <v>0</v>
      </c>
      <c r="J409" t="n">
        <v>0</v>
      </c>
      <c r="K409" t="n">
        <v>0</v>
      </c>
      <c r="L409" t="n">
        <v>0</v>
      </c>
      <c r="M409" t="n">
        <v>0</v>
      </c>
      <c r="N409" t="n">
        <v>0</v>
      </c>
      <c r="O409" t="n">
        <v>0</v>
      </c>
      <c r="P409" t="n">
        <v>0</v>
      </c>
      <c r="Q409" t="n">
        <v>0</v>
      </c>
      <c r="R409" s="2" t="inlineStr"/>
    </row>
    <row r="410" ht="15" customHeight="1">
      <c r="A410" t="inlineStr">
        <is>
          <t>A 34003-2025</t>
        </is>
      </c>
      <c r="B410" s="1" t="n">
        <v>45844.57527777777</v>
      </c>
      <c r="C410" s="1" t="n">
        <v>46075</v>
      </c>
      <c r="D410" t="inlineStr">
        <is>
          <t>ÖREBRO LÄN</t>
        </is>
      </c>
      <c r="E410" t="inlineStr">
        <is>
          <t>LINDESBERG</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34097-2025</t>
        </is>
      </c>
      <c r="B411" s="1" t="n">
        <v>45845.4855787037</v>
      </c>
      <c r="C411" s="1" t="n">
        <v>46075</v>
      </c>
      <c r="D411" t="inlineStr">
        <is>
          <t>ÖREBRO LÄN</t>
        </is>
      </c>
      <c r="E411" t="inlineStr">
        <is>
          <t>LINDESBERG</t>
        </is>
      </c>
      <c r="G411" t="n">
        <v>1.2</v>
      </c>
      <c r="H411" t="n">
        <v>0</v>
      </c>
      <c r="I411" t="n">
        <v>0</v>
      </c>
      <c r="J411" t="n">
        <v>0</v>
      </c>
      <c r="K411" t="n">
        <v>0</v>
      </c>
      <c r="L411" t="n">
        <v>0</v>
      </c>
      <c r="M411" t="n">
        <v>0</v>
      </c>
      <c r="N411" t="n">
        <v>0</v>
      </c>
      <c r="O411" t="n">
        <v>0</v>
      </c>
      <c r="P411" t="n">
        <v>0</v>
      </c>
      <c r="Q411" t="n">
        <v>0</v>
      </c>
      <c r="R411" s="2" t="inlineStr"/>
    </row>
    <row r="412" ht="15" customHeight="1">
      <c r="A412" t="inlineStr">
        <is>
          <t>A 44077-2025</t>
        </is>
      </c>
      <c r="B412" s="1" t="n">
        <v>45915.54983796296</v>
      </c>
      <c r="C412" s="1" t="n">
        <v>46075</v>
      </c>
      <c r="D412" t="inlineStr">
        <is>
          <t>ÖREBRO LÄN</t>
        </is>
      </c>
      <c r="E412" t="inlineStr">
        <is>
          <t>LINDESBERG</t>
        </is>
      </c>
      <c r="G412" t="n">
        <v>4.2</v>
      </c>
      <c r="H412" t="n">
        <v>0</v>
      </c>
      <c r="I412" t="n">
        <v>0</v>
      </c>
      <c r="J412" t="n">
        <v>0</v>
      </c>
      <c r="K412" t="n">
        <v>0</v>
      </c>
      <c r="L412" t="n">
        <v>0</v>
      </c>
      <c r="M412" t="n">
        <v>0</v>
      </c>
      <c r="N412" t="n">
        <v>0</v>
      </c>
      <c r="O412" t="n">
        <v>0</v>
      </c>
      <c r="P412" t="n">
        <v>0</v>
      </c>
      <c r="Q412" t="n">
        <v>0</v>
      </c>
      <c r="R412" s="2" t="inlineStr"/>
    </row>
    <row r="413" ht="15" customHeight="1">
      <c r="A413" t="inlineStr">
        <is>
          <t>A 43081-2021</t>
        </is>
      </c>
      <c r="B413" s="1" t="n">
        <v>44431</v>
      </c>
      <c r="C413" s="1" t="n">
        <v>46075</v>
      </c>
      <c r="D413" t="inlineStr">
        <is>
          <t>ÖREBRO LÄN</t>
        </is>
      </c>
      <c r="E413" t="inlineStr">
        <is>
          <t>LINDESBERG</t>
        </is>
      </c>
      <c r="G413" t="n">
        <v>0.5</v>
      </c>
      <c r="H413" t="n">
        <v>0</v>
      </c>
      <c r="I413" t="n">
        <v>0</v>
      </c>
      <c r="J413" t="n">
        <v>0</v>
      </c>
      <c r="K413" t="n">
        <v>0</v>
      </c>
      <c r="L413" t="n">
        <v>0</v>
      </c>
      <c r="M413" t="n">
        <v>0</v>
      </c>
      <c r="N413" t="n">
        <v>0</v>
      </c>
      <c r="O413" t="n">
        <v>0</v>
      </c>
      <c r="P413" t="n">
        <v>0</v>
      </c>
      <c r="Q413" t="n">
        <v>0</v>
      </c>
      <c r="R413" s="2" t="inlineStr"/>
    </row>
    <row r="414" ht="15" customHeight="1">
      <c r="A414" t="inlineStr">
        <is>
          <t>A 44041-2025</t>
        </is>
      </c>
      <c r="B414" s="1" t="n">
        <v>45915.49238425926</v>
      </c>
      <c r="C414" s="1" t="n">
        <v>46075</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46075</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32002-2023</t>
        </is>
      </c>
      <c r="B416" s="1" t="n">
        <v>45119.46452546296</v>
      </c>
      <c r="C416" s="1" t="n">
        <v>46075</v>
      </c>
      <c r="D416" t="inlineStr">
        <is>
          <t>ÖREBRO LÄN</t>
        </is>
      </c>
      <c r="E416" t="inlineStr">
        <is>
          <t>LINDESBERG</t>
        </is>
      </c>
      <c r="F416" t="inlineStr">
        <is>
          <t>Kyrkan</t>
        </is>
      </c>
      <c r="G416" t="n">
        <v>0.6</v>
      </c>
      <c r="H416" t="n">
        <v>0</v>
      </c>
      <c r="I416" t="n">
        <v>0</v>
      </c>
      <c r="J416" t="n">
        <v>0</v>
      </c>
      <c r="K416" t="n">
        <v>0</v>
      </c>
      <c r="L416" t="n">
        <v>0</v>
      </c>
      <c r="M416" t="n">
        <v>0</v>
      </c>
      <c r="N416" t="n">
        <v>0</v>
      </c>
      <c r="O416" t="n">
        <v>0</v>
      </c>
      <c r="P416" t="n">
        <v>0</v>
      </c>
      <c r="Q416" t="n">
        <v>0</v>
      </c>
      <c r="R416" s="2" t="inlineStr"/>
    </row>
    <row r="417" ht="15" customHeight="1">
      <c r="A417" t="inlineStr">
        <is>
          <t>A 34267-2025</t>
        </is>
      </c>
      <c r="B417" s="1" t="n">
        <v>45845.76005787037</v>
      </c>
      <c r="C417" s="1" t="n">
        <v>46075</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34264-2025</t>
        </is>
      </c>
      <c r="B418" s="1" t="n">
        <v>45845.75200231482</v>
      </c>
      <c r="C418" s="1" t="n">
        <v>46075</v>
      </c>
      <c r="D418" t="inlineStr">
        <is>
          <t>ÖREBRO LÄN</t>
        </is>
      </c>
      <c r="E418" t="inlineStr">
        <is>
          <t>LINDESBERG</t>
        </is>
      </c>
      <c r="G418" t="n">
        <v>3.9</v>
      </c>
      <c r="H418" t="n">
        <v>0</v>
      </c>
      <c r="I418" t="n">
        <v>0</v>
      </c>
      <c r="J418" t="n">
        <v>0</v>
      </c>
      <c r="K418" t="n">
        <v>0</v>
      </c>
      <c r="L418" t="n">
        <v>0</v>
      </c>
      <c r="M418" t="n">
        <v>0</v>
      </c>
      <c r="N418" t="n">
        <v>0</v>
      </c>
      <c r="O418" t="n">
        <v>0</v>
      </c>
      <c r="P418" t="n">
        <v>0</v>
      </c>
      <c r="Q418" t="n">
        <v>0</v>
      </c>
      <c r="R418" s="2" t="inlineStr"/>
    </row>
    <row r="419" ht="15" customHeight="1">
      <c r="A419" t="inlineStr">
        <is>
          <t>A 7661-2024</t>
        </is>
      </c>
      <c r="B419" s="1" t="n">
        <v>45348</v>
      </c>
      <c r="C419" s="1" t="n">
        <v>46075</v>
      </c>
      <c r="D419" t="inlineStr">
        <is>
          <t>ÖREBRO LÄN</t>
        </is>
      </c>
      <c r="E419" t="inlineStr">
        <is>
          <t>LINDESBERG</t>
        </is>
      </c>
      <c r="G419" t="n">
        <v>4.1</v>
      </c>
      <c r="H419" t="n">
        <v>0</v>
      </c>
      <c r="I419" t="n">
        <v>0</v>
      </c>
      <c r="J419" t="n">
        <v>0</v>
      </c>
      <c r="K419" t="n">
        <v>0</v>
      </c>
      <c r="L419" t="n">
        <v>0</v>
      </c>
      <c r="M419" t="n">
        <v>0</v>
      </c>
      <c r="N419" t="n">
        <v>0</v>
      </c>
      <c r="O419" t="n">
        <v>0</v>
      </c>
      <c r="P419" t="n">
        <v>0</v>
      </c>
      <c r="Q419" t="n">
        <v>0</v>
      </c>
      <c r="R419" s="2" t="inlineStr"/>
    </row>
    <row r="420" ht="15" customHeight="1">
      <c r="A420" t="inlineStr">
        <is>
          <t>A 43836-2025</t>
        </is>
      </c>
      <c r="B420" s="1" t="n">
        <v>45912.63359953704</v>
      </c>
      <c r="C420" s="1" t="n">
        <v>46075</v>
      </c>
      <c r="D420" t="inlineStr">
        <is>
          <t>ÖREBRO LÄN</t>
        </is>
      </c>
      <c r="E420" t="inlineStr">
        <is>
          <t>LINDESBERG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44067-2025</t>
        </is>
      </c>
      <c r="B421" s="1" t="n">
        <v>45915.54439814815</v>
      </c>
      <c r="C421" s="1" t="n">
        <v>46075</v>
      </c>
      <c r="D421" t="inlineStr">
        <is>
          <t>ÖREBRO LÄN</t>
        </is>
      </c>
      <c r="E421" t="inlineStr">
        <is>
          <t>LINDESBERG</t>
        </is>
      </c>
      <c r="G421" t="n">
        <v>2.8</v>
      </c>
      <c r="H421" t="n">
        <v>0</v>
      </c>
      <c r="I421" t="n">
        <v>0</v>
      </c>
      <c r="J421" t="n">
        <v>0</v>
      </c>
      <c r="K421" t="n">
        <v>0</v>
      </c>
      <c r="L421" t="n">
        <v>0</v>
      </c>
      <c r="M421" t="n">
        <v>0</v>
      </c>
      <c r="N421" t="n">
        <v>0</v>
      </c>
      <c r="O421" t="n">
        <v>0</v>
      </c>
      <c r="P421" t="n">
        <v>0</v>
      </c>
      <c r="Q421" t="n">
        <v>0</v>
      </c>
      <c r="R421" s="2" t="inlineStr"/>
    </row>
    <row r="422" ht="15" customHeight="1">
      <c r="A422" t="inlineStr">
        <is>
          <t>A 12278-2025</t>
        </is>
      </c>
      <c r="B422" s="1" t="n">
        <v>45729.65171296296</v>
      </c>
      <c r="C422" s="1" t="n">
        <v>46075</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44545-2025</t>
        </is>
      </c>
      <c r="B423" s="1" t="n">
        <v>45917.31780092593</v>
      </c>
      <c r="C423" s="1" t="n">
        <v>46075</v>
      </c>
      <c r="D423" t="inlineStr">
        <is>
          <t>ÖREBRO LÄN</t>
        </is>
      </c>
      <c r="E423" t="inlineStr">
        <is>
          <t>LINDESBERG</t>
        </is>
      </c>
      <c r="F423" t="inlineStr">
        <is>
          <t>Kommuner</t>
        </is>
      </c>
      <c r="G423" t="n">
        <v>2.3</v>
      </c>
      <c r="H423" t="n">
        <v>0</v>
      </c>
      <c r="I423" t="n">
        <v>0</v>
      </c>
      <c r="J423" t="n">
        <v>0</v>
      </c>
      <c r="K423" t="n">
        <v>0</v>
      </c>
      <c r="L423" t="n">
        <v>0</v>
      </c>
      <c r="M423" t="n">
        <v>0</v>
      </c>
      <c r="N423" t="n">
        <v>0</v>
      </c>
      <c r="O423" t="n">
        <v>0</v>
      </c>
      <c r="P423" t="n">
        <v>0</v>
      </c>
      <c r="Q423" t="n">
        <v>0</v>
      </c>
      <c r="R423" s="2" t="inlineStr"/>
    </row>
    <row r="424" ht="15" customHeight="1">
      <c r="A424" t="inlineStr">
        <is>
          <t>A 34237-2023</t>
        </is>
      </c>
      <c r="B424" s="1" t="n">
        <v>45138</v>
      </c>
      <c r="C424" s="1" t="n">
        <v>46075</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29942-2024</t>
        </is>
      </c>
      <c r="B425" s="1" t="n">
        <v>45488.42258101852</v>
      </c>
      <c r="C425" s="1" t="n">
        <v>46075</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3294-2024</t>
        </is>
      </c>
      <c r="B426" s="1" t="n">
        <v>45316</v>
      </c>
      <c r="C426" s="1" t="n">
        <v>46075</v>
      </c>
      <c r="D426" t="inlineStr">
        <is>
          <t>ÖREBRO LÄN</t>
        </is>
      </c>
      <c r="E426" t="inlineStr">
        <is>
          <t>LINDESBERG</t>
        </is>
      </c>
      <c r="G426" t="n">
        <v>3</v>
      </c>
      <c r="H426" t="n">
        <v>0</v>
      </c>
      <c r="I426" t="n">
        <v>0</v>
      </c>
      <c r="J426" t="n">
        <v>0</v>
      </c>
      <c r="K426" t="n">
        <v>0</v>
      </c>
      <c r="L426" t="n">
        <v>0</v>
      </c>
      <c r="M426" t="n">
        <v>0</v>
      </c>
      <c r="N426" t="n">
        <v>0</v>
      </c>
      <c r="O426" t="n">
        <v>0</v>
      </c>
      <c r="P426" t="n">
        <v>0</v>
      </c>
      <c r="Q426" t="n">
        <v>0</v>
      </c>
      <c r="R426" s="2" t="inlineStr"/>
    </row>
    <row r="427" ht="15" customHeight="1">
      <c r="A427" t="inlineStr">
        <is>
          <t>A 24916-2022</t>
        </is>
      </c>
      <c r="B427" s="1" t="n">
        <v>44728</v>
      </c>
      <c r="C427" s="1" t="n">
        <v>46075</v>
      </c>
      <c r="D427" t="inlineStr">
        <is>
          <t>ÖREBRO LÄN</t>
        </is>
      </c>
      <c r="E427" t="inlineStr">
        <is>
          <t>LINDESBERG</t>
        </is>
      </c>
      <c r="G427" t="n">
        <v>8.1</v>
      </c>
      <c r="H427" t="n">
        <v>0</v>
      </c>
      <c r="I427" t="n">
        <v>0</v>
      </c>
      <c r="J427" t="n">
        <v>0</v>
      </c>
      <c r="K427" t="n">
        <v>0</v>
      </c>
      <c r="L427" t="n">
        <v>0</v>
      </c>
      <c r="M427" t="n">
        <v>0</v>
      </c>
      <c r="N427" t="n">
        <v>0</v>
      </c>
      <c r="O427" t="n">
        <v>0</v>
      </c>
      <c r="P427" t="n">
        <v>0</v>
      </c>
      <c r="Q427" t="n">
        <v>0</v>
      </c>
      <c r="R427" s="2" t="inlineStr"/>
    </row>
    <row r="428" ht="15" customHeight="1">
      <c r="A428" t="inlineStr">
        <is>
          <t>A 5677-2025</t>
        </is>
      </c>
      <c r="B428" s="1" t="n">
        <v>45694</v>
      </c>
      <c r="C428" s="1" t="n">
        <v>46075</v>
      </c>
      <c r="D428" t="inlineStr">
        <is>
          <t>ÖREBRO LÄN</t>
        </is>
      </c>
      <c r="E428" t="inlineStr">
        <is>
          <t>LINDESBERG</t>
        </is>
      </c>
      <c r="G428" t="n">
        <v>1.6</v>
      </c>
      <c r="H428" t="n">
        <v>0</v>
      </c>
      <c r="I428" t="n">
        <v>0</v>
      </c>
      <c r="J428" t="n">
        <v>0</v>
      </c>
      <c r="K428" t="n">
        <v>0</v>
      </c>
      <c r="L428" t="n">
        <v>0</v>
      </c>
      <c r="M428" t="n">
        <v>0</v>
      </c>
      <c r="N428" t="n">
        <v>0</v>
      </c>
      <c r="O428" t="n">
        <v>0</v>
      </c>
      <c r="P428" t="n">
        <v>0</v>
      </c>
      <c r="Q428" t="n">
        <v>0</v>
      </c>
      <c r="R428" s="2" t="inlineStr"/>
    </row>
    <row r="429" ht="15" customHeight="1">
      <c r="A429" t="inlineStr">
        <is>
          <t>A 14185-2024</t>
        </is>
      </c>
      <c r="B429" s="1" t="n">
        <v>45393.3562962963</v>
      </c>
      <c r="C429" s="1" t="n">
        <v>46075</v>
      </c>
      <c r="D429" t="inlineStr">
        <is>
          <t>ÖREBRO LÄN</t>
        </is>
      </c>
      <c r="E429" t="inlineStr">
        <is>
          <t>LINDESBERG</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14190-2024</t>
        </is>
      </c>
      <c r="B430" s="1" t="n">
        <v>45393.36060185185</v>
      </c>
      <c r="C430" s="1" t="n">
        <v>46075</v>
      </c>
      <c r="D430" t="inlineStr">
        <is>
          <t>ÖREBRO LÄN</t>
        </is>
      </c>
      <c r="E430" t="inlineStr">
        <is>
          <t>LINDESBERG</t>
        </is>
      </c>
      <c r="F430" t="inlineStr">
        <is>
          <t>Sveaskog</t>
        </is>
      </c>
      <c r="G430" t="n">
        <v>2.5</v>
      </c>
      <c r="H430" t="n">
        <v>0</v>
      </c>
      <c r="I430" t="n">
        <v>0</v>
      </c>
      <c r="J430" t="n">
        <v>0</v>
      </c>
      <c r="K430" t="n">
        <v>0</v>
      </c>
      <c r="L430" t="n">
        <v>0</v>
      </c>
      <c r="M430" t="n">
        <v>0</v>
      </c>
      <c r="N430" t="n">
        <v>0</v>
      </c>
      <c r="O430" t="n">
        <v>0</v>
      </c>
      <c r="P430" t="n">
        <v>0</v>
      </c>
      <c r="Q430" t="n">
        <v>0</v>
      </c>
      <c r="R430" s="2" t="inlineStr"/>
    </row>
    <row r="431" ht="15" customHeight="1">
      <c r="A431" t="inlineStr">
        <is>
          <t>A 1681-2025</t>
        </is>
      </c>
      <c r="B431" s="1" t="n">
        <v>45670.69458333333</v>
      </c>
      <c r="C431" s="1" t="n">
        <v>46075</v>
      </c>
      <c r="D431" t="inlineStr">
        <is>
          <t>ÖREBRO LÄN</t>
        </is>
      </c>
      <c r="E431" t="inlineStr">
        <is>
          <t>LINDESBERG</t>
        </is>
      </c>
      <c r="G431" t="n">
        <v>1.9</v>
      </c>
      <c r="H431" t="n">
        <v>0</v>
      </c>
      <c r="I431" t="n">
        <v>0</v>
      </c>
      <c r="J431" t="n">
        <v>0</v>
      </c>
      <c r="K431" t="n">
        <v>0</v>
      </c>
      <c r="L431" t="n">
        <v>0</v>
      </c>
      <c r="M431" t="n">
        <v>0</v>
      </c>
      <c r="N431" t="n">
        <v>0</v>
      </c>
      <c r="O431" t="n">
        <v>0</v>
      </c>
      <c r="P431" t="n">
        <v>0</v>
      </c>
      <c r="Q431" t="n">
        <v>0</v>
      </c>
      <c r="R431" s="2" t="inlineStr"/>
    </row>
    <row r="432" ht="15" customHeight="1">
      <c r="A432" t="inlineStr">
        <is>
          <t>A 36670-2024</t>
        </is>
      </c>
      <c r="B432" s="1" t="n">
        <v>45537.64621527777</v>
      </c>
      <c r="C432" s="1" t="n">
        <v>46075</v>
      </c>
      <c r="D432" t="inlineStr">
        <is>
          <t>ÖREBRO LÄN</t>
        </is>
      </c>
      <c r="E432" t="inlineStr">
        <is>
          <t>LINDESBERG</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35366-2025</t>
        </is>
      </c>
      <c r="B433" s="1" t="n">
        <v>45854</v>
      </c>
      <c r="C433" s="1" t="n">
        <v>46075</v>
      </c>
      <c r="D433" t="inlineStr">
        <is>
          <t>ÖREBRO LÄN</t>
        </is>
      </c>
      <c r="E433" t="inlineStr">
        <is>
          <t>LINDESBERG</t>
        </is>
      </c>
      <c r="G433" t="n">
        <v>5.5</v>
      </c>
      <c r="H433" t="n">
        <v>0</v>
      </c>
      <c r="I433" t="n">
        <v>0</v>
      </c>
      <c r="J433" t="n">
        <v>0</v>
      </c>
      <c r="K433" t="n">
        <v>0</v>
      </c>
      <c r="L433" t="n">
        <v>0</v>
      </c>
      <c r="M433" t="n">
        <v>0</v>
      </c>
      <c r="N433" t="n">
        <v>0</v>
      </c>
      <c r="O433" t="n">
        <v>0</v>
      </c>
      <c r="P433" t="n">
        <v>0</v>
      </c>
      <c r="Q433" t="n">
        <v>0</v>
      </c>
      <c r="R433" s="2" t="inlineStr"/>
    </row>
    <row r="434" ht="15" customHeight="1">
      <c r="A434" t="inlineStr">
        <is>
          <t>A 35292-2025</t>
        </is>
      </c>
      <c r="B434" s="1" t="n">
        <v>45854</v>
      </c>
      <c r="C434" s="1" t="n">
        <v>46075</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51656-2023</t>
        </is>
      </c>
      <c r="B435" s="1" t="n">
        <v>45222</v>
      </c>
      <c r="C435" s="1" t="n">
        <v>46075</v>
      </c>
      <c r="D435" t="inlineStr">
        <is>
          <t>ÖREBRO LÄN</t>
        </is>
      </c>
      <c r="E435" t="inlineStr">
        <is>
          <t>LINDESBERG</t>
        </is>
      </c>
      <c r="G435" t="n">
        <v>1.2</v>
      </c>
      <c r="H435" t="n">
        <v>0</v>
      </c>
      <c r="I435" t="n">
        <v>0</v>
      </c>
      <c r="J435" t="n">
        <v>0</v>
      </c>
      <c r="K435" t="n">
        <v>0</v>
      </c>
      <c r="L435" t="n">
        <v>0</v>
      </c>
      <c r="M435" t="n">
        <v>0</v>
      </c>
      <c r="N435" t="n">
        <v>0</v>
      </c>
      <c r="O435" t="n">
        <v>0</v>
      </c>
      <c r="P435" t="n">
        <v>0</v>
      </c>
      <c r="Q435" t="n">
        <v>0</v>
      </c>
      <c r="R435" s="2" t="inlineStr"/>
    </row>
    <row r="436" ht="15" customHeight="1">
      <c r="A436" t="inlineStr">
        <is>
          <t>A 35710-2025</t>
        </is>
      </c>
      <c r="B436" s="1" t="n">
        <v>45860.3857175926</v>
      </c>
      <c r="C436" s="1" t="n">
        <v>46075</v>
      </c>
      <c r="D436" t="inlineStr">
        <is>
          <t>ÖREBRO LÄN</t>
        </is>
      </c>
      <c r="E436" t="inlineStr">
        <is>
          <t>LINDESBERG</t>
        </is>
      </c>
      <c r="G436" t="n">
        <v>3.2</v>
      </c>
      <c r="H436" t="n">
        <v>0</v>
      </c>
      <c r="I436" t="n">
        <v>0</v>
      </c>
      <c r="J436" t="n">
        <v>0</v>
      </c>
      <c r="K436" t="n">
        <v>0</v>
      </c>
      <c r="L436" t="n">
        <v>0</v>
      </c>
      <c r="M436" t="n">
        <v>0</v>
      </c>
      <c r="N436" t="n">
        <v>0</v>
      </c>
      <c r="O436" t="n">
        <v>0</v>
      </c>
      <c r="P436" t="n">
        <v>0</v>
      </c>
      <c r="Q436" t="n">
        <v>0</v>
      </c>
      <c r="R436" s="2" t="inlineStr"/>
    </row>
    <row r="437" ht="15" customHeight="1">
      <c r="A437" t="inlineStr">
        <is>
          <t>A 3732-2023</t>
        </is>
      </c>
      <c r="B437" s="1" t="n">
        <v>44949</v>
      </c>
      <c r="C437" s="1" t="n">
        <v>46075</v>
      </c>
      <c r="D437" t="inlineStr">
        <is>
          <t>ÖREBRO LÄN</t>
        </is>
      </c>
      <c r="E437" t="inlineStr">
        <is>
          <t>LINDESBERG</t>
        </is>
      </c>
      <c r="G437" t="n">
        <v>3.3</v>
      </c>
      <c r="H437" t="n">
        <v>0</v>
      </c>
      <c r="I437" t="n">
        <v>0</v>
      </c>
      <c r="J437" t="n">
        <v>0</v>
      </c>
      <c r="K437" t="n">
        <v>0</v>
      </c>
      <c r="L437" t="n">
        <v>0</v>
      </c>
      <c r="M437" t="n">
        <v>0</v>
      </c>
      <c r="N437" t="n">
        <v>0</v>
      </c>
      <c r="O437" t="n">
        <v>0</v>
      </c>
      <c r="P437" t="n">
        <v>0</v>
      </c>
      <c r="Q437" t="n">
        <v>0</v>
      </c>
      <c r="R437" s="2" t="inlineStr"/>
    </row>
    <row r="438" ht="15" customHeight="1">
      <c r="A438" t="inlineStr">
        <is>
          <t>A 35702-2025</t>
        </is>
      </c>
      <c r="B438" s="1" t="n">
        <v>45860.36222222223</v>
      </c>
      <c r="C438" s="1" t="n">
        <v>46075</v>
      </c>
      <c r="D438" t="inlineStr">
        <is>
          <t>ÖREBRO LÄN</t>
        </is>
      </c>
      <c r="E438" t="inlineStr">
        <is>
          <t>LINDESBERG</t>
        </is>
      </c>
      <c r="G438" t="n">
        <v>5.3</v>
      </c>
      <c r="H438" t="n">
        <v>0</v>
      </c>
      <c r="I438" t="n">
        <v>0</v>
      </c>
      <c r="J438" t="n">
        <v>0</v>
      </c>
      <c r="K438" t="n">
        <v>0</v>
      </c>
      <c r="L438" t="n">
        <v>0</v>
      </c>
      <c r="M438" t="n">
        <v>0</v>
      </c>
      <c r="N438" t="n">
        <v>0</v>
      </c>
      <c r="O438" t="n">
        <v>0</v>
      </c>
      <c r="P438" t="n">
        <v>0</v>
      </c>
      <c r="Q438" t="n">
        <v>0</v>
      </c>
      <c r="R438" s="2" t="inlineStr"/>
    </row>
    <row r="439" ht="15" customHeight="1">
      <c r="A439" t="inlineStr">
        <is>
          <t>A 57069-2022</t>
        </is>
      </c>
      <c r="B439" s="1" t="n">
        <v>44895</v>
      </c>
      <c r="C439" s="1" t="n">
        <v>46075</v>
      </c>
      <c r="D439" t="inlineStr">
        <is>
          <t>ÖREBRO LÄN</t>
        </is>
      </c>
      <c r="E439" t="inlineStr">
        <is>
          <t>LINDESBERG</t>
        </is>
      </c>
      <c r="G439" t="n">
        <v>2.3</v>
      </c>
      <c r="H439" t="n">
        <v>0</v>
      </c>
      <c r="I439" t="n">
        <v>0</v>
      </c>
      <c r="J439" t="n">
        <v>0</v>
      </c>
      <c r="K439" t="n">
        <v>0</v>
      </c>
      <c r="L439" t="n">
        <v>0</v>
      </c>
      <c r="M439" t="n">
        <v>0</v>
      </c>
      <c r="N439" t="n">
        <v>0</v>
      </c>
      <c r="O439" t="n">
        <v>0</v>
      </c>
      <c r="P439" t="n">
        <v>0</v>
      </c>
      <c r="Q439" t="n">
        <v>0</v>
      </c>
      <c r="R439" s="2" t="inlineStr"/>
    </row>
    <row r="440" ht="15" customHeight="1">
      <c r="A440" t="inlineStr">
        <is>
          <t>A 47304-2024</t>
        </is>
      </c>
      <c r="B440" s="1" t="n">
        <v>45587</v>
      </c>
      <c r="C440" s="1" t="n">
        <v>46075</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46404-2025</t>
        </is>
      </c>
      <c r="B441" s="1" t="n">
        <v>45925.56173611111</v>
      </c>
      <c r="C441" s="1" t="n">
        <v>46075</v>
      </c>
      <c r="D441" t="inlineStr">
        <is>
          <t>ÖREBRO LÄN</t>
        </is>
      </c>
      <c r="E441" t="inlineStr">
        <is>
          <t>LINDESBERG</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4067-2024</t>
        </is>
      </c>
      <c r="B442" s="1" t="n">
        <v>45323</v>
      </c>
      <c r="C442" s="1" t="n">
        <v>46075</v>
      </c>
      <c r="D442" t="inlineStr">
        <is>
          <t>ÖREBRO LÄN</t>
        </is>
      </c>
      <c r="E442" t="inlineStr">
        <is>
          <t>LINDESBERG</t>
        </is>
      </c>
      <c r="G442" t="n">
        <v>1</v>
      </c>
      <c r="H442" t="n">
        <v>0</v>
      </c>
      <c r="I442" t="n">
        <v>0</v>
      </c>
      <c r="J442" t="n">
        <v>0</v>
      </c>
      <c r="K442" t="n">
        <v>0</v>
      </c>
      <c r="L442" t="n">
        <v>0</v>
      </c>
      <c r="M442" t="n">
        <v>0</v>
      </c>
      <c r="N442" t="n">
        <v>0</v>
      </c>
      <c r="O442" t="n">
        <v>0</v>
      </c>
      <c r="P442" t="n">
        <v>0</v>
      </c>
      <c r="Q442" t="n">
        <v>0</v>
      </c>
      <c r="R442" s="2" t="inlineStr"/>
    </row>
    <row r="443" ht="15" customHeight="1">
      <c r="A443" t="inlineStr">
        <is>
          <t>A 29500-2023</t>
        </is>
      </c>
      <c r="B443" s="1" t="n">
        <v>45106</v>
      </c>
      <c r="C443" s="1" t="n">
        <v>46075</v>
      </c>
      <c r="D443" t="inlineStr">
        <is>
          <t>ÖREBRO LÄN</t>
        </is>
      </c>
      <c r="E443" t="inlineStr">
        <is>
          <t>LINDESBERG</t>
        </is>
      </c>
      <c r="G443" t="n">
        <v>1.6</v>
      </c>
      <c r="H443" t="n">
        <v>0</v>
      </c>
      <c r="I443" t="n">
        <v>0</v>
      </c>
      <c r="J443" t="n">
        <v>0</v>
      </c>
      <c r="K443" t="n">
        <v>0</v>
      </c>
      <c r="L443" t="n">
        <v>0</v>
      </c>
      <c r="M443" t="n">
        <v>0</v>
      </c>
      <c r="N443" t="n">
        <v>0</v>
      </c>
      <c r="O443" t="n">
        <v>0</v>
      </c>
      <c r="P443" t="n">
        <v>0</v>
      </c>
      <c r="Q443" t="n">
        <v>0</v>
      </c>
      <c r="R443" s="2" t="inlineStr"/>
    </row>
    <row r="444" ht="15" customHeight="1">
      <c r="A444" t="inlineStr">
        <is>
          <t>A 10823-2023</t>
        </is>
      </c>
      <c r="B444" s="1" t="n">
        <v>44990</v>
      </c>
      <c r="C444" s="1" t="n">
        <v>46075</v>
      </c>
      <c r="D444" t="inlineStr">
        <is>
          <t>ÖREBRO LÄN</t>
        </is>
      </c>
      <c r="E444" t="inlineStr">
        <is>
          <t>LINDESBERG</t>
        </is>
      </c>
      <c r="G444" t="n">
        <v>1.8</v>
      </c>
      <c r="H444" t="n">
        <v>0</v>
      </c>
      <c r="I444" t="n">
        <v>0</v>
      </c>
      <c r="J444" t="n">
        <v>0</v>
      </c>
      <c r="K444" t="n">
        <v>0</v>
      </c>
      <c r="L444" t="n">
        <v>0</v>
      </c>
      <c r="M444" t="n">
        <v>0</v>
      </c>
      <c r="N444" t="n">
        <v>0</v>
      </c>
      <c r="O444" t="n">
        <v>0</v>
      </c>
      <c r="P444" t="n">
        <v>0</v>
      </c>
      <c r="Q444" t="n">
        <v>0</v>
      </c>
      <c r="R444" s="2" t="inlineStr"/>
    </row>
    <row r="445" ht="15" customHeight="1">
      <c r="A445" t="inlineStr">
        <is>
          <t>A 36253-2024</t>
        </is>
      </c>
      <c r="B445" s="1" t="n">
        <v>45534.54032407407</v>
      </c>
      <c r="C445" s="1" t="n">
        <v>46075</v>
      </c>
      <c r="D445" t="inlineStr">
        <is>
          <t>ÖREBRO LÄN</t>
        </is>
      </c>
      <c r="E445" t="inlineStr">
        <is>
          <t>LINDESBERG</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46484-2025</t>
        </is>
      </c>
      <c r="B446" s="1" t="n">
        <v>45925.70290509259</v>
      </c>
      <c r="C446" s="1" t="n">
        <v>46075</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8902-2024</t>
        </is>
      </c>
      <c r="B447" s="1" t="n">
        <v>45357.34521990741</v>
      </c>
      <c r="C447" s="1" t="n">
        <v>46075</v>
      </c>
      <c r="D447" t="inlineStr">
        <is>
          <t>ÖREBRO LÄN</t>
        </is>
      </c>
      <c r="E447" t="inlineStr">
        <is>
          <t>LINDESBERG</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30514-2025</t>
        </is>
      </c>
      <c r="B448" s="1" t="n">
        <v>45831</v>
      </c>
      <c r="C448" s="1" t="n">
        <v>46075</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45173-2024</t>
        </is>
      </c>
      <c r="B449" s="1" t="n">
        <v>45575.65721064815</v>
      </c>
      <c r="C449" s="1" t="n">
        <v>46075</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40305-2024</t>
        </is>
      </c>
      <c r="B450" s="1" t="n">
        <v>45554.71863425926</v>
      </c>
      <c r="C450" s="1" t="n">
        <v>46075</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30512-2025</t>
        </is>
      </c>
      <c r="B451" s="1" t="n">
        <v>45831</v>
      </c>
      <c r="C451" s="1" t="n">
        <v>46075</v>
      </c>
      <c r="D451" t="inlineStr">
        <is>
          <t>ÖREBRO LÄN</t>
        </is>
      </c>
      <c r="E451" t="inlineStr">
        <is>
          <t>LINDESBERG</t>
        </is>
      </c>
      <c r="G451" t="n">
        <v>4.5</v>
      </c>
      <c r="H451" t="n">
        <v>0</v>
      </c>
      <c r="I451" t="n">
        <v>0</v>
      </c>
      <c r="J451" t="n">
        <v>0</v>
      </c>
      <c r="K451" t="n">
        <v>0</v>
      </c>
      <c r="L451" t="n">
        <v>0</v>
      </c>
      <c r="M451" t="n">
        <v>0</v>
      </c>
      <c r="N451" t="n">
        <v>0</v>
      </c>
      <c r="O451" t="n">
        <v>0</v>
      </c>
      <c r="P451" t="n">
        <v>0</v>
      </c>
      <c r="Q451" t="n">
        <v>0</v>
      </c>
      <c r="R451" s="2" t="inlineStr"/>
    </row>
    <row r="452" ht="15" customHeight="1">
      <c r="A452" t="inlineStr">
        <is>
          <t>A 19436-2025</t>
        </is>
      </c>
      <c r="B452" s="1" t="n">
        <v>45769.98449074074</v>
      </c>
      <c r="C452" s="1" t="n">
        <v>46075</v>
      </c>
      <c r="D452" t="inlineStr">
        <is>
          <t>ÖREBRO LÄN</t>
        </is>
      </c>
      <c r="E452" t="inlineStr">
        <is>
          <t>LINDESBERG</t>
        </is>
      </c>
      <c r="G452" t="n">
        <v>1.2</v>
      </c>
      <c r="H452" t="n">
        <v>0</v>
      </c>
      <c r="I452" t="n">
        <v>0</v>
      </c>
      <c r="J452" t="n">
        <v>0</v>
      </c>
      <c r="K452" t="n">
        <v>0</v>
      </c>
      <c r="L452" t="n">
        <v>0</v>
      </c>
      <c r="M452" t="n">
        <v>0</v>
      </c>
      <c r="N452" t="n">
        <v>0</v>
      </c>
      <c r="O452" t="n">
        <v>0</v>
      </c>
      <c r="P452" t="n">
        <v>0</v>
      </c>
      <c r="Q452" t="n">
        <v>0</v>
      </c>
      <c r="R452" s="2" t="inlineStr"/>
    </row>
    <row r="453" ht="15" customHeight="1">
      <c r="A453" t="inlineStr">
        <is>
          <t>A 36572-2025</t>
        </is>
      </c>
      <c r="B453" s="1" t="n">
        <v>45870</v>
      </c>
      <c r="C453" s="1" t="n">
        <v>46075</v>
      </c>
      <c r="D453" t="inlineStr">
        <is>
          <t>ÖREBRO LÄN</t>
        </is>
      </c>
      <c r="E453" t="inlineStr">
        <is>
          <t>LINDESBERG</t>
        </is>
      </c>
      <c r="G453" t="n">
        <v>11.9</v>
      </c>
      <c r="H453" t="n">
        <v>0</v>
      </c>
      <c r="I453" t="n">
        <v>0</v>
      </c>
      <c r="J453" t="n">
        <v>0</v>
      </c>
      <c r="K453" t="n">
        <v>0</v>
      </c>
      <c r="L453" t="n">
        <v>0</v>
      </c>
      <c r="M453" t="n">
        <v>0</v>
      </c>
      <c r="N453" t="n">
        <v>0</v>
      </c>
      <c r="O453" t="n">
        <v>0</v>
      </c>
      <c r="P453" t="n">
        <v>0</v>
      </c>
      <c r="Q453" t="n">
        <v>0</v>
      </c>
      <c r="R453" s="2" t="inlineStr"/>
    </row>
    <row r="454" ht="15" customHeight="1">
      <c r="A454" t="inlineStr">
        <is>
          <t>A 36574-2025</t>
        </is>
      </c>
      <c r="B454" s="1" t="n">
        <v>45870</v>
      </c>
      <c r="C454" s="1" t="n">
        <v>46075</v>
      </c>
      <c r="D454" t="inlineStr">
        <is>
          <t>ÖREBRO LÄN</t>
        </is>
      </c>
      <c r="E454" t="inlineStr">
        <is>
          <t>LINDESBERG</t>
        </is>
      </c>
      <c r="G454" t="n">
        <v>4</v>
      </c>
      <c r="H454" t="n">
        <v>0</v>
      </c>
      <c r="I454" t="n">
        <v>0</v>
      </c>
      <c r="J454" t="n">
        <v>0</v>
      </c>
      <c r="K454" t="n">
        <v>0</v>
      </c>
      <c r="L454" t="n">
        <v>0</v>
      </c>
      <c r="M454" t="n">
        <v>0</v>
      </c>
      <c r="N454" t="n">
        <v>0</v>
      </c>
      <c r="O454" t="n">
        <v>0</v>
      </c>
      <c r="P454" t="n">
        <v>0</v>
      </c>
      <c r="Q454" t="n">
        <v>0</v>
      </c>
      <c r="R454" s="2" t="inlineStr"/>
    </row>
    <row r="455" ht="15" customHeight="1">
      <c r="A455" t="inlineStr">
        <is>
          <t>A 22829-2023</t>
        </is>
      </c>
      <c r="B455" s="1" t="n">
        <v>45072.42776620371</v>
      </c>
      <c r="C455" s="1" t="n">
        <v>46075</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36577-2025</t>
        </is>
      </c>
      <c r="B456" s="1" t="n">
        <v>45870</v>
      </c>
      <c r="C456" s="1" t="n">
        <v>46075</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28463-2024</t>
        </is>
      </c>
      <c r="B457" s="1" t="n">
        <v>45477.70315972222</v>
      </c>
      <c r="C457" s="1" t="n">
        <v>46075</v>
      </c>
      <c r="D457" t="inlineStr">
        <is>
          <t>ÖREBRO LÄN</t>
        </is>
      </c>
      <c r="E457" t="inlineStr">
        <is>
          <t>LINDESBERG</t>
        </is>
      </c>
      <c r="G457" t="n">
        <v>6.3</v>
      </c>
      <c r="H457" t="n">
        <v>0</v>
      </c>
      <c r="I457" t="n">
        <v>0</v>
      </c>
      <c r="J457" t="n">
        <v>0</v>
      </c>
      <c r="K457" t="n">
        <v>0</v>
      </c>
      <c r="L457" t="n">
        <v>0</v>
      </c>
      <c r="M457" t="n">
        <v>0</v>
      </c>
      <c r="N457" t="n">
        <v>0</v>
      </c>
      <c r="O457" t="n">
        <v>0</v>
      </c>
      <c r="P457" t="n">
        <v>0</v>
      </c>
      <c r="Q457" t="n">
        <v>0</v>
      </c>
      <c r="R457" s="2" t="inlineStr"/>
    </row>
    <row r="458" ht="15" customHeight="1">
      <c r="A458" t="inlineStr">
        <is>
          <t>A 46757-2025</t>
        </is>
      </c>
      <c r="B458" s="1" t="n">
        <v>45926.62039351852</v>
      </c>
      <c r="C458" s="1" t="n">
        <v>46075</v>
      </c>
      <c r="D458" t="inlineStr">
        <is>
          <t>ÖREBRO LÄN</t>
        </is>
      </c>
      <c r="E458" t="inlineStr">
        <is>
          <t>LINDESBERG</t>
        </is>
      </c>
      <c r="G458" t="n">
        <v>7.9</v>
      </c>
      <c r="H458" t="n">
        <v>0</v>
      </c>
      <c r="I458" t="n">
        <v>0</v>
      </c>
      <c r="J458" t="n">
        <v>0</v>
      </c>
      <c r="K458" t="n">
        <v>0</v>
      </c>
      <c r="L458" t="n">
        <v>0</v>
      </c>
      <c r="M458" t="n">
        <v>0</v>
      </c>
      <c r="N458" t="n">
        <v>0</v>
      </c>
      <c r="O458" t="n">
        <v>0</v>
      </c>
      <c r="P458" t="n">
        <v>0</v>
      </c>
      <c r="Q458" t="n">
        <v>0</v>
      </c>
      <c r="R458" s="2" t="inlineStr"/>
    </row>
    <row r="459" ht="15" customHeight="1">
      <c r="A459" t="inlineStr">
        <is>
          <t>A 15822-2024</t>
        </is>
      </c>
      <c r="B459" s="1" t="n">
        <v>45404.68190972223</v>
      </c>
      <c r="C459" s="1" t="n">
        <v>46075</v>
      </c>
      <c r="D459" t="inlineStr">
        <is>
          <t>ÖREBRO LÄN</t>
        </is>
      </c>
      <c r="E459" t="inlineStr">
        <is>
          <t>LINDESBERG</t>
        </is>
      </c>
      <c r="F459" t="inlineStr">
        <is>
          <t>Sveaskog</t>
        </is>
      </c>
      <c r="G459" t="n">
        <v>6.7</v>
      </c>
      <c r="H459" t="n">
        <v>0</v>
      </c>
      <c r="I459" t="n">
        <v>0</v>
      </c>
      <c r="J459" t="n">
        <v>0</v>
      </c>
      <c r="K459" t="n">
        <v>0</v>
      </c>
      <c r="L459" t="n">
        <v>0</v>
      </c>
      <c r="M459" t="n">
        <v>0</v>
      </c>
      <c r="N459" t="n">
        <v>0</v>
      </c>
      <c r="O459" t="n">
        <v>0</v>
      </c>
      <c r="P459" t="n">
        <v>0</v>
      </c>
      <c r="Q459" t="n">
        <v>0</v>
      </c>
      <c r="R459" s="2" t="inlineStr"/>
    </row>
    <row r="460" ht="15" customHeight="1">
      <c r="A460" t="inlineStr">
        <is>
          <t>A 36579-2025</t>
        </is>
      </c>
      <c r="B460" s="1" t="n">
        <v>45870</v>
      </c>
      <c r="C460" s="1" t="n">
        <v>46075</v>
      </c>
      <c r="D460" t="inlineStr">
        <is>
          <t>ÖREBRO LÄN</t>
        </is>
      </c>
      <c r="E460" t="inlineStr">
        <is>
          <t>LINDESBERG</t>
        </is>
      </c>
      <c r="G460" t="n">
        <v>6</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46075</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59052-2023</t>
        </is>
      </c>
      <c r="B462" s="1" t="n">
        <v>45252.78021990741</v>
      </c>
      <c r="C462" s="1" t="n">
        <v>46075</v>
      </c>
      <c r="D462" t="inlineStr">
        <is>
          <t>ÖREBRO LÄN</t>
        </is>
      </c>
      <c r="E462" t="inlineStr">
        <is>
          <t>LINDESBERG</t>
        </is>
      </c>
      <c r="G462" t="n">
        <v>4.2</v>
      </c>
      <c r="H462" t="n">
        <v>0</v>
      </c>
      <c r="I462" t="n">
        <v>0</v>
      </c>
      <c r="J462" t="n">
        <v>0</v>
      </c>
      <c r="K462" t="n">
        <v>0</v>
      </c>
      <c r="L462" t="n">
        <v>0</v>
      </c>
      <c r="M462" t="n">
        <v>0</v>
      </c>
      <c r="N462" t="n">
        <v>0</v>
      </c>
      <c r="O462" t="n">
        <v>0</v>
      </c>
      <c r="P462" t="n">
        <v>0</v>
      </c>
      <c r="Q462" t="n">
        <v>0</v>
      </c>
      <c r="R462" s="2" t="inlineStr"/>
    </row>
    <row r="463" ht="15" customHeight="1">
      <c r="A463" t="inlineStr">
        <is>
          <t>A 2107-2022</t>
        </is>
      </c>
      <c r="B463" s="1" t="n">
        <v>44577.83484953704</v>
      </c>
      <c r="C463" s="1" t="n">
        <v>46075</v>
      </c>
      <c r="D463" t="inlineStr">
        <is>
          <t>ÖREBRO LÄN</t>
        </is>
      </c>
      <c r="E463" t="inlineStr">
        <is>
          <t>LINDESBERG</t>
        </is>
      </c>
      <c r="G463" t="n">
        <v>2.9</v>
      </c>
      <c r="H463" t="n">
        <v>0</v>
      </c>
      <c r="I463" t="n">
        <v>0</v>
      </c>
      <c r="J463" t="n">
        <v>0</v>
      </c>
      <c r="K463" t="n">
        <v>0</v>
      </c>
      <c r="L463" t="n">
        <v>0</v>
      </c>
      <c r="M463" t="n">
        <v>0</v>
      </c>
      <c r="N463" t="n">
        <v>0</v>
      </c>
      <c r="O463" t="n">
        <v>0</v>
      </c>
      <c r="P463" t="n">
        <v>0</v>
      </c>
      <c r="Q463" t="n">
        <v>0</v>
      </c>
      <c r="R463" s="2" t="inlineStr"/>
    </row>
    <row r="464" ht="15" customHeight="1">
      <c r="A464" t="inlineStr">
        <is>
          <t>A 47676-2025</t>
        </is>
      </c>
      <c r="B464" s="1" t="n">
        <v>45931.57756944445</v>
      </c>
      <c r="C464" s="1" t="n">
        <v>46075</v>
      </c>
      <c r="D464" t="inlineStr">
        <is>
          <t>ÖREBRO LÄN</t>
        </is>
      </c>
      <c r="E464" t="inlineStr">
        <is>
          <t>LINDESBERG</t>
        </is>
      </c>
      <c r="G464" t="n">
        <v>0.8</v>
      </c>
      <c r="H464" t="n">
        <v>0</v>
      </c>
      <c r="I464" t="n">
        <v>0</v>
      </c>
      <c r="J464" t="n">
        <v>0</v>
      </c>
      <c r="K464" t="n">
        <v>0</v>
      </c>
      <c r="L464" t="n">
        <v>0</v>
      </c>
      <c r="M464" t="n">
        <v>0</v>
      </c>
      <c r="N464" t="n">
        <v>0</v>
      </c>
      <c r="O464" t="n">
        <v>0</v>
      </c>
      <c r="P464" t="n">
        <v>0</v>
      </c>
      <c r="Q464" t="n">
        <v>0</v>
      </c>
      <c r="R464" s="2" t="inlineStr"/>
    </row>
    <row r="465" ht="15" customHeight="1">
      <c r="A465" t="inlineStr">
        <is>
          <t>A 23603-2023</t>
        </is>
      </c>
      <c r="B465" s="1" t="n">
        <v>45077</v>
      </c>
      <c r="C465" s="1" t="n">
        <v>46075</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23607-2023</t>
        </is>
      </c>
      <c r="B466" s="1" t="n">
        <v>45077</v>
      </c>
      <c r="C466" s="1" t="n">
        <v>46075</v>
      </c>
      <c r="D466" t="inlineStr">
        <is>
          <t>ÖREBRO LÄN</t>
        </is>
      </c>
      <c r="E466" t="inlineStr">
        <is>
          <t>LINDESBERG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23612-2023</t>
        </is>
      </c>
      <c r="B467" s="1" t="n">
        <v>45077</v>
      </c>
      <c r="C467" s="1" t="n">
        <v>46075</v>
      </c>
      <c r="D467" t="inlineStr">
        <is>
          <t>ÖREBRO LÄN</t>
        </is>
      </c>
      <c r="E467" t="inlineStr">
        <is>
          <t>LINDESBERG</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36859-2025</t>
        </is>
      </c>
      <c r="B468" s="1" t="n">
        <v>45874.40503472222</v>
      </c>
      <c r="C468" s="1" t="n">
        <v>46075</v>
      </c>
      <c r="D468" t="inlineStr">
        <is>
          <t>ÖREBRO LÄN</t>
        </is>
      </c>
      <c r="E468" t="inlineStr">
        <is>
          <t>LINDESBERG</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37497-2025</t>
        </is>
      </c>
      <c r="B469" s="1" t="n">
        <v>45877.64431712963</v>
      </c>
      <c r="C469" s="1" t="n">
        <v>46075</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37490-2025</t>
        </is>
      </c>
      <c r="B470" s="1" t="n">
        <v>45877.63989583333</v>
      </c>
      <c r="C470" s="1" t="n">
        <v>46075</v>
      </c>
      <c r="D470" t="inlineStr">
        <is>
          <t>ÖREBRO LÄN</t>
        </is>
      </c>
      <c r="E470" t="inlineStr">
        <is>
          <t>LINDESBERG</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37491-2025</t>
        </is>
      </c>
      <c r="B471" s="1" t="n">
        <v>45877.64144675926</v>
      </c>
      <c r="C471" s="1" t="n">
        <v>46075</v>
      </c>
      <c r="D471" t="inlineStr">
        <is>
          <t>ÖREBRO LÄN</t>
        </is>
      </c>
      <c r="E471" t="inlineStr">
        <is>
          <t>LINDESBERG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37499-2025</t>
        </is>
      </c>
      <c r="B472" s="1" t="n">
        <v>45877.64605324074</v>
      </c>
      <c r="C472" s="1" t="n">
        <v>46075</v>
      </c>
      <c r="D472" t="inlineStr">
        <is>
          <t>ÖREBRO LÄN</t>
        </is>
      </c>
      <c r="E472" t="inlineStr">
        <is>
          <t>LINDESBERG</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37503-2025</t>
        </is>
      </c>
      <c r="B473" s="1" t="n">
        <v>45877.65075231482</v>
      </c>
      <c r="C473" s="1" t="n">
        <v>46075</v>
      </c>
      <c r="D473" t="inlineStr">
        <is>
          <t>ÖREBRO LÄN</t>
        </is>
      </c>
      <c r="E473" t="inlineStr">
        <is>
          <t>LINDESBERG</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37501-2025</t>
        </is>
      </c>
      <c r="B474" s="1" t="n">
        <v>45877.64847222222</v>
      </c>
      <c r="C474" s="1" t="n">
        <v>46075</v>
      </c>
      <c r="D474" t="inlineStr">
        <is>
          <t>ÖREBRO LÄN</t>
        </is>
      </c>
      <c r="E474" t="inlineStr">
        <is>
          <t>LINDESBERG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23641-2024</t>
        </is>
      </c>
      <c r="B475" s="1" t="n">
        <v>45454.49679398148</v>
      </c>
      <c r="C475" s="1" t="n">
        <v>46075</v>
      </c>
      <c r="D475" t="inlineStr">
        <is>
          <t>ÖREBRO LÄN</t>
        </is>
      </c>
      <c r="E475" t="inlineStr">
        <is>
          <t>LINDESBERG</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46219-2022</t>
        </is>
      </c>
      <c r="B476" s="1" t="n">
        <v>44846</v>
      </c>
      <c r="C476" s="1" t="n">
        <v>46075</v>
      </c>
      <c r="D476" t="inlineStr">
        <is>
          <t>ÖREBRO LÄN</t>
        </is>
      </c>
      <c r="E476" t="inlineStr">
        <is>
          <t>LINDESBERG</t>
        </is>
      </c>
      <c r="G476" t="n">
        <v>6</v>
      </c>
      <c r="H476" t="n">
        <v>0</v>
      </c>
      <c r="I476" t="n">
        <v>0</v>
      </c>
      <c r="J476" t="n">
        <v>0</v>
      </c>
      <c r="K476" t="n">
        <v>0</v>
      </c>
      <c r="L476" t="n">
        <v>0</v>
      </c>
      <c r="M476" t="n">
        <v>0</v>
      </c>
      <c r="N476" t="n">
        <v>0</v>
      </c>
      <c r="O476" t="n">
        <v>0</v>
      </c>
      <c r="P476" t="n">
        <v>0</v>
      </c>
      <c r="Q476" t="n">
        <v>0</v>
      </c>
      <c r="R476" s="2" t="inlineStr"/>
    </row>
    <row r="477" ht="15" customHeight="1">
      <c r="A477" t="inlineStr">
        <is>
          <t>A 37500-2025</t>
        </is>
      </c>
      <c r="B477" s="1" t="n">
        <v>45877.64776620371</v>
      </c>
      <c r="C477" s="1" t="n">
        <v>46075</v>
      </c>
      <c r="D477" t="inlineStr">
        <is>
          <t>ÖREBRO LÄN</t>
        </is>
      </c>
      <c r="E477" t="inlineStr">
        <is>
          <t>LINDESBERG</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37301-2025</t>
        </is>
      </c>
      <c r="B478" s="1" t="n">
        <v>45876.59166666667</v>
      </c>
      <c r="C478" s="1" t="n">
        <v>46075</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10057-2025</t>
        </is>
      </c>
      <c r="B479" s="1" t="n">
        <v>45719.52871527777</v>
      </c>
      <c r="C479" s="1" t="n">
        <v>46075</v>
      </c>
      <c r="D479" t="inlineStr">
        <is>
          <t>ÖREBRO LÄN</t>
        </is>
      </c>
      <c r="E479" t="inlineStr">
        <is>
          <t>LINDESBERG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37492-2025</t>
        </is>
      </c>
      <c r="B480" s="1" t="n">
        <v>45877.64230324074</v>
      </c>
      <c r="C480" s="1" t="n">
        <v>46075</v>
      </c>
      <c r="D480" t="inlineStr">
        <is>
          <t>ÖREBRO LÄN</t>
        </is>
      </c>
      <c r="E480" t="inlineStr">
        <is>
          <t>LINDESBERG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54862-2024</t>
        </is>
      </c>
      <c r="B481" s="1" t="n">
        <v>45618</v>
      </c>
      <c r="C481" s="1" t="n">
        <v>46075</v>
      </c>
      <c r="D481" t="inlineStr">
        <is>
          <t>ÖREBRO LÄN</t>
        </is>
      </c>
      <c r="E481" t="inlineStr">
        <is>
          <t>LINDESBERG</t>
        </is>
      </c>
      <c r="F481" t="inlineStr">
        <is>
          <t>Sveaskog</t>
        </is>
      </c>
      <c r="G481" t="n">
        <v>12.2</v>
      </c>
      <c r="H481" t="n">
        <v>0</v>
      </c>
      <c r="I481" t="n">
        <v>0</v>
      </c>
      <c r="J481" t="n">
        <v>0</v>
      </c>
      <c r="K481" t="n">
        <v>0</v>
      </c>
      <c r="L481" t="n">
        <v>0</v>
      </c>
      <c r="M481" t="n">
        <v>0</v>
      </c>
      <c r="N481" t="n">
        <v>0</v>
      </c>
      <c r="O481" t="n">
        <v>0</v>
      </c>
      <c r="P481" t="n">
        <v>0</v>
      </c>
      <c r="Q481" t="n">
        <v>0</v>
      </c>
      <c r="R481" s="2" t="inlineStr"/>
    </row>
    <row r="482" ht="15" customHeight="1">
      <c r="A482" t="inlineStr">
        <is>
          <t>A 37837-2025</t>
        </is>
      </c>
      <c r="B482" s="1" t="n">
        <v>45881.42791666667</v>
      </c>
      <c r="C482" s="1" t="n">
        <v>46075</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37602-2025</t>
        </is>
      </c>
      <c r="B483" s="1" t="n">
        <v>45880</v>
      </c>
      <c r="C483" s="1" t="n">
        <v>46075</v>
      </c>
      <c r="D483" t="inlineStr">
        <is>
          <t>ÖREBRO LÄN</t>
        </is>
      </c>
      <c r="E483" t="inlineStr">
        <is>
          <t>LINDESBERG</t>
        </is>
      </c>
      <c r="G483" t="n">
        <v>1</v>
      </c>
      <c r="H483" t="n">
        <v>0</v>
      </c>
      <c r="I483" t="n">
        <v>0</v>
      </c>
      <c r="J483" t="n">
        <v>0</v>
      </c>
      <c r="K483" t="n">
        <v>0</v>
      </c>
      <c r="L483" t="n">
        <v>0</v>
      </c>
      <c r="M483" t="n">
        <v>0</v>
      </c>
      <c r="N483" t="n">
        <v>0</v>
      </c>
      <c r="O483" t="n">
        <v>0</v>
      </c>
      <c r="P483" t="n">
        <v>0</v>
      </c>
      <c r="Q483" t="n">
        <v>0</v>
      </c>
      <c r="R483" s="2" t="inlineStr"/>
    </row>
    <row r="484" ht="15" customHeight="1">
      <c r="A484" t="inlineStr">
        <is>
          <t>A 37625-2025</t>
        </is>
      </c>
      <c r="B484" s="1" t="n">
        <v>45880.46056712963</v>
      </c>
      <c r="C484" s="1" t="n">
        <v>46075</v>
      </c>
      <c r="D484" t="inlineStr">
        <is>
          <t>ÖREBRO LÄN</t>
        </is>
      </c>
      <c r="E484" t="inlineStr">
        <is>
          <t>LINDESBERG</t>
        </is>
      </c>
      <c r="G484" t="n">
        <v>12.5</v>
      </c>
      <c r="H484" t="n">
        <v>0</v>
      </c>
      <c r="I484" t="n">
        <v>0</v>
      </c>
      <c r="J484" t="n">
        <v>0</v>
      </c>
      <c r="K484" t="n">
        <v>0</v>
      </c>
      <c r="L484" t="n">
        <v>0</v>
      </c>
      <c r="M484" t="n">
        <v>0</v>
      </c>
      <c r="N484" t="n">
        <v>0</v>
      </c>
      <c r="O484" t="n">
        <v>0</v>
      </c>
      <c r="P484" t="n">
        <v>0</v>
      </c>
      <c r="Q484" t="n">
        <v>0</v>
      </c>
      <c r="R484" s="2" t="inlineStr"/>
    </row>
    <row r="485" ht="15" customHeight="1">
      <c r="A485" t="inlineStr">
        <is>
          <t>A 5358-2022</t>
        </is>
      </c>
      <c r="B485" s="1" t="n">
        <v>44594.84091435185</v>
      </c>
      <c r="C485" s="1" t="n">
        <v>46075</v>
      </c>
      <c r="D485" t="inlineStr">
        <is>
          <t>ÖREBRO LÄN</t>
        </is>
      </c>
      <c r="E485" t="inlineStr">
        <is>
          <t>LINDESBERG</t>
        </is>
      </c>
      <c r="G485" t="n">
        <v>2.8</v>
      </c>
      <c r="H485" t="n">
        <v>0</v>
      </c>
      <c r="I485" t="n">
        <v>0</v>
      </c>
      <c r="J485" t="n">
        <v>0</v>
      </c>
      <c r="K485" t="n">
        <v>0</v>
      </c>
      <c r="L485" t="n">
        <v>0</v>
      </c>
      <c r="M485" t="n">
        <v>0</v>
      </c>
      <c r="N485" t="n">
        <v>0</v>
      </c>
      <c r="O485" t="n">
        <v>0</v>
      </c>
      <c r="P485" t="n">
        <v>0</v>
      </c>
      <c r="Q485" t="n">
        <v>0</v>
      </c>
      <c r="R485" s="2" t="inlineStr"/>
    </row>
    <row r="486" ht="15" customHeight="1">
      <c r="A486" t="inlineStr">
        <is>
          <t>A 37552-2025</t>
        </is>
      </c>
      <c r="B486" s="1" t="n">
        <v>45880.28673611111</v>
      </c>
      <c r="C486" s="1" t="n">
        <v>46075</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48061-2025</t>
        </is>
      </c>
      <c r="B487" s="1" t="n">
        <v>45932.68006944445</v>
      </c>
      <c r="C487" s="1" t="n">
        <v>46075</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60943-2024</t>
        </is>
      </c>
      <c r="B488" s="1" t="n">
        <v>45645.3737962963</v>
      </c>
      <c r="C488" s="1" t="n">
        <v>46075</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37935-2025</t>
        </is>
      </c>
      <c r="B489" s="1" t="n">
        <v>45881.59550925926</v>
      </c>
      <c r="C489" s="1" t="n">
        <v>46075</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48750-2025</t>
        </is>
      </c>
      <c r="B490" s="1" t="n">
        <v>45936.68452546297</v>
      </c>
      <c r="C490" s="1" t="n">
        <v>46075</v>
      </c>
      <c r="D490" t="inlineStr">
        <is>
          <t>ÖREBRO LÄN</t>
        </is>
      </c>
      <c r="E490" t="inlineStr">
        <is>
          <t>LINDESBERG</t>
        </is>
      </c>
      <c r="G490" t="n">
        <v>2.1</v>
      </c>
      <c r="H490" t="n">
        <v>0</v>
      </c>
      <c r="I490" t="n">
        <v>0</v>
      </c>
      <c r="J490" t="n">
        <v>0</v>
      </c>
      <c r="K490" t="n">
        <v>0</v>
      </c>
      <c r="L490" t="n">
        <v>0</v>
      </c>
      <c r="M490" t="n">
        <v>0</v>
      </c>
      <c r="N490" t="n">
        <v>0</v>
      </c>
      <c r="O490" t="n">
        <v>0</v>
      </c>
      <c r="P490" t="n">
        <v>0</v>
      </c>
      <c r="Q490" t="n">
        <v>0</v>
      </c>
      <c r="R490" s="2" t="inlineStr"/>
    </row>
    <row r="491" ht="15" customHeight="1">
      <c r="A491" t="inlineStr">
        <is>
          <t>A 48620-2025</t>
        </is>
      </c>
      <c r="B491" s="1" t="n">
        <v>45936.49210648148</v>
      </c>
      <c r="C491" s="1" t="n">
        <v>46075</v>
      </c>
      <c r="D491" t="inlineStr">
        <is>
          <t>ÖREBRO LÄN</t>
        </is>
      </c>
      <c r="E491" t="inlineStr">
        <is>
          <t>LINDESBERG</t>
        </is>
      </c>
      <c r="F491" t="inlineStr">
        <is>
          <t>Sveaskog</t>
        </is>
      </c>
      <c r="G491" t="n">
        <v>5.2</v>
      </c>
      <c r="H491" t="n">
        <v>0</v>
      </c>
      <c r="I491" t="n">
        <v>0</v>
      </c>
      <c r="J491" t="n">
        <v>0</v>
      </c>
      <c r="K491" t="n">
        <v>0</v>
      </c>
      <c r="L491" t="n">
        <v>0</v>
      </c>
      <c r="M491" t="n">
        <v>0</v>
      </c>
      <c r="N491" t="n">
        <v>0</v>
      </c>
      <c r="O491" t="n">
        <v>0</v>
      </c>
      <c r="P491" t="n">
        <v>0</v>
      </c>
      <c r="Q491" t="n">
        <v>0</v>
      </c>
      <c r="R491" s="2" t="inlineStr"/>
    </row>
    <row r="492" ht="15" customHeight="1">
      <c r="A492" t="inlineStr">
        <is>
          <t>A 37553-2025</t>
        </is>
      </c>
      <c r="B492" s="1" t="n">
        <v>45880.3172337963</v>
      </c>
      <c r="C492" s="1" t="n">
        <v>46075</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48497-2025</t>
        </is>
      </c>
      <c r="B493" s="1" t="n">
        <v>45936.37523148148</v>
      </c>
      <c r="C493" s="1" t="n">
        <v>46075</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41948-2023</t>
        </is>
      </c>
      <c r="B494" s="1" t="n">
        <v>45177.33091435185</v>
      </c>
      <c r="C494" s="1" t="n">
        <v>46075</v>
      </c>
      <c r="D494" t="inlineStr">
        <is>
          <t>ÖREBRO LÄN</t>
        </is>
      </c>
      <c r="E494" t="inlineStr">
        <is>
          <t>LINDESBERG</t>
        </is>
      </c>
      <c r="F494" t="inlineStr">
        <is>
          <t>Kyrkan</t>
        </is>
      </c>
      <c r="G494" t="n">
        <v>1.4</v>
      </c>
      <c r="H494" t="n">
        <v>0</v>
      </c>
      <c r="I494" t="n">
        <v>0</v>
      </c>
      <c r="J494" t="n">
        <v>0</v>
      </c>
      <c r="K494" t="n">
        <v>0</v>
      </c>
      <c r="L494" t="n">
        <v>0</v>
      </c>
      <c r="M494" t="n">
        <v>0</v>
      </c>
      <c r="N494" t="n">
        <v>0</v>
      </c>
      <c r="O494" t="n">
        <v>0</v>
      </c>
      <c r="P494" t="n">
        <v>0</v>
      </c>
      <c r="Q494" t="n">
        <v>0</v>
      </c>
      <c r="R494" s="2" t="inlineStr"/>
    </row>
    <row r="495" ht="15" customHeight="1">
      <c r="A495" t="inlineStr">
        <is>
          <t>A 44804-2024</t>
        </is>
      </c>
      <c r="B495" s="1" t="n">
        <v>45574.65189814815</v>
      </c>
      <c r="C495" s="1" t="n">
        <v>46075</v>
      </c>
      <c r="D495" t="inlineStr">
        <is>
          <t>ÖREBRO LÄN</t>
        </is>
      </c>
      <c r="E495" t="inlineStr">
        <is>
          <t>LINDESBERG</t>
        </is>
      </c>
      <c r="F495" t="inlineStr">
        <is>
          <t>Sveaskog</t>
        </is>
      </c>
      <c r="G495" t="n">
        <v>5.7</v>
      </c>
      <c r="H495" t="n">
        <v>0</v>
      </c>
      <c r="I495" t="n">
        <v>0</v>
      </c>
      <c r="J495" t="n">
        <v>0</v>
      </c>
      <c r="K495" t="n">
        <v>0</v>
      </c>
      <c r="L495" t="n">
        <v>0</v>
      </c>
      <c r="M495" t="n">
        <v>0</v>
      </c>
      <c r="N495" t="n">
        <v>0</v>
      </c>
      <c r="O495" t="n">
        <v>0</v>
      </c>
      <c r="P495" t="n">
        <v>0</v>
      </c>
      <c r="Q495" t="n">
        <v>0</v>
      </c>
      <c r="R495" s="2" t="inlineStr"/>
    </row>
    <row r="496" ht="15" customHeight="1">
      <c r="A496" t="inlineStr">
        <is>
          <t>A 48489-2025</t>
        </is>
      </c>
      <c r="B496" s="1" t="n">
        <v>45936.36637731481</v>
      </c>
      <c r="C496" s="1" t="n">
        <v>46075</v>
      </c>
      <c r="D496" t="inlineStr">
        <is>
          <t>ÖREBRO LÄN</t>
        </is>
      </c>
      <c r="E496" t="inlineStr">
        <is>
          <t>LINDESBERG</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48618-2025</t>
        </is>
      </c>
      <c r="B497" s="1" t="n">
        <v>45936.49026620371</v>
      </c>
      <c r="C497" s="1" t="n">
        <v>46075</v>
      </c>
      <c r="D497" t="inlineStr">
        <is>
          <t>ÖREBRO LÄN</t>
        </is>
      </c>
      <c r="E497" t="inlineStr">
        <is>
          <t>LINDESBERG</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48495-2025</t>
        </is>
      </c>
      <c r="B498" s="1" t="n">
        <v>45936.37237268518</v>
      </c>
      <c r="C498" s="1" t="n">
        <v>46075</v>
      </c>
      <c r="D498" t="inlineStr">
        <is>
          <t>ÖREBRO LÄN</t>
        </is>
      </c>
      <c r="E498" t="inlineStr">
        <is>
          <t>LINDESBERG</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26778-2023</t>
        </is>
      </c>
      <c r="B499" s="1" t="n">
        <v>45093.48221064815</v>
      </c>
      <c r="C499" s="1" t="n">
        <v>46075</v>
      </c>
      <c r="D499" t="inlineStr">
        <is>
          <t>ÖREBRO LÄN</t>
        </is>
      </c>
      <c r="E499" t="inlineStr">
        <is>
          <t>LINDESBERG</t>
        </is>
      </c>
      <c r="G499" t="n">
        <v>7.5</v>
      </c>
      <c r="H499" t="n">
        <v>0</v>
      </c>
      <c r="I499" t="n">
        <v>0</v>
      </c>
      <c r="J499" t="n">
        <v>0</v>
      </c>
      <c r="K499" t="n">
        <v>0</v>
      </c>
      <c r="L499" t="n">
        <v>0</v>
      </c>
      <c r="M499" t="n">
        <v>0</v>
      </c>
      <c r="N499" t="n">
        <v>0</v>
      </c>
      <c r="O499" t="n">
        <v>0</v>
      </c>
      <c r="P499" t="n">
        <v>0</v>
      </c>
      <c r="Q499" t="n">
        <v>0</v>
      </c>
      <c r="R499" s="2" t="inlineStr"/>
    </row>
    <row r="500" ht="15" customHeight="1">
      <c r="A500" t="inlineStr">
        <is>
          <t>A 48867-2025</t>
        </is>
      </c>
      <c r="B500" s="1" t="n">
        <v>45937.4484837963</v>
      </c>
      <c r="C500" s="1" t="n">
        <v>46075</v>
      </c>
      <c r="D500" t="inlineStr">
        <is>
          <t>ÖREBRO LÄN</t>
        </is>
      </c>
      <c r="E500" t="inlineStr">
        <is>
          <t>LINDESBERG</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48953-2025</t>
        </is>
      </c>
      <c r="B501" s="1" t="n">
        <v>45937.54697916667</v>
      </c>
      <c r="C501" s="1" t="n">
        <v>46075</v>
      </c>
      <c r="D501" t="inlineStr">
        <is>
          <t>ÖREBRO LÄN</t>
        </is>
      </c>
      <c r="E501" t="inlineStr">
        <is>
          <t>LINDESBERG</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48971-2025</t>
        </is>
      </c>
      <c r="B502" s="1" t="n">
        <v>45937.56420138889</v>
      </c>
      <c r="C502" s="1" t="n">
        <v>46075</v>
      </c>
      <c r="D502" t="inlineStr">
        <is>
          <t>ÖREBRO LÄN</t>
        </is>
      </c>
      <c r="E502" t="inlineStr">
        <is>
          <t>LINDESBERG</t>
        </is>
      </c>
      <c r="F502" t="inlineStr">
        <is>
          <t>Sveaskog</t>
        </is>
      </c>
      <c r="G502" t="n">
        <v>4.1</v>
      </c>
      <c r="H502" t="n">
        <v>0</v>
      </c>
      <c r="I502" t="n">
        <v>0</v>
      </c>
      <c r="J502" t="n">
        <v>0</v>
      </c>
      <c r="K502" t="n">
        <v>0</v>
      </c>
      <c r="L502" t="n">
        <v>0</v>
      </c>
      <c r="M502" t="n">
        <v>0</v>
      </c>
      <c r="N502" t="n">
        <v>0</v>
      </c>
      <c r="O502" t="n">
        <v>0</v>
      </c>
      <c r="P502" t="n">
        <v>0</v>
      </c>
      <c r="Q502" t="n">
        <v>0</v>
      </c>
      <c r="R502" s="2" t="inlineStr"/>
    </row>
    <row r="503" ht="15" customHeight="1">
      <c r="A503" t="inlineStr">
        <is>
          <t>A 48975-2025</t>
        </is>
      </c>
      <c r="B503" s="1" t="n">
        <v>45937.56798611111</v>
      </c>
      <c r="C503" s="1" t="n">
        <v>46075</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46075</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49133-2025</t>
        </is>
      </c>
      <c r="B505" s="1" t="n">
        <v>45937.92319444445</v>
      </c>
      <c r="C505" s="1" t="n">
        <v>46075</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19392-2025</t>
        </is>
      </c>
      <c r="B506" s="1" t="n">
        <v>45769.66260416667</v>
      </c>
      <c r="C506" s="1" t="n">
        <v>46075</v>
      </c>
      <c r="D506" t="inlineStr">
        <is>
          <t>ÖREBRO LÄN</t>
        </is>
      </c>
      <c r="E506" t="inlineStr">
        <is>
          <t>LINDESBERG</t>
        </is>
      </c>
      <c r="G506" t="n">
        <v>6.5</v>
      </c>
      <c r="H506" t="n">
        <v>0</v>
      </c>
      <c r="I506" t="n">
        <v>0</v>
      </c>
      <c r="J506" t="n">
        <v>0</v>
      </c>
      <c r="K506" t="n">
        <v>0</v>
      </c>
      <c r="L506" t="n">
        <v>0</v>
      </c>
      <c r="M506" t="n">
        <v>0</v>
      </c>
      <c r="N506" t="n">
        <v>0</v>
      </c>
      <c r="O506" t="n">
        <v>0</v>
      </c>
      <c r="P506" t="n">
        <v>0</v>
      </c>
      <c r="Q506" t="n">
        <v>0</v>
      </c>
      <c r="R506" s="2" t="inlineStr"/>
    </row>
    <row r="507" ht="15" customHeight="1">
      <c r="A507" t="inlineStr">
        <is>
          <t>A 27702-2025</t>
        </is>
      </c>
      <c r="B507" s="1" t="n">
        <v>45813</v>
      </c>
      <c r="C507" s="1" t="n">
        <v>46075</v>
      </c>
      <c r="D507" t="inlineStr">
        <is>
          <t>ÖREBRO LÄN</t>
        </is>
      </c>
      <c r="E507" t="inlineStr">
        <is>
          <t>LINDESBERG</t>
        </is>
      </c>
      <c r="G507" t="n">
        <v>1.4</v>
      </c>
      <c r="H507" t="n">
        <v>0</v>
      </c>
      <c r="I507" t="n">
        <v>0</v>
      </c>
      <c r="J507" t="n">
        <v>0</v>
      </c>
      <c r="K507" t="n">
        <v>0</v>
      </c>
      <c r="L507" t="n">
        <v>0</v>
      </c>
      <c r="M507" t="n">
        <v>0</v>
      </c>
      <c r="N507" t="n">
        <v>0</v>
      </c>
      <c r="O507" t="n">
        <v>0</v>
      </c>
      <c r="P507" t="n">
        <v>0</v>
      </c>
      <c r="Q507" t="n">
        <v>0</v>
      </c>
      <c r="R507" s="2" t="inlineStr"/>
    </row>
    <row r="508" ht="15" customHeight="1">
      <c r="A508" t="inlineStr">
        <is>
          <t>A 61597-2023</t>
        </is>
      </c>
      <c r="B508" s="1" t="n">
        <v>45265.49225694445</v>
      </c>
      <c r="C508" s="1" t="n">
        <v>46075</v>
      </c>
      <c r="D508" t="inlineStr">
        <is>
          <t>ÖREBRO LÄN</t>
        </is>
      </c>
      <c r="E508" t="inlineStr">
        <is>
          <t>LINDESBERG</t>
        </is>
      </c>
      <c r="G508" t="n">
        <v>10.3</v>
      </c>
      <c r="H508" t="n">
        <v>0</v>
      </c>
      <c r="I508" t="n">
        <v>0</v>
      </c>
      <c r="J508" t="n">
        <v>0</v>
      </c>
      <c r="K508" t="n">
        <v>0</v>
      </c>
      <c r="L508" t="n">
        <v>0</v>
      </c>
      <c r="M508" t="n">
        <v>0</v>
      </c>
      <c r="N508" t="n">
        <v>0</v>
      </c>
      <c r="O508" t="n">
        <v>0</v>
      </c>
      <c r="P508" t="n">
        <v>0</v>
      </c>
      <c r="Q508" t="n">
        <v>0</v>
      </c>
      <c r="R508" s="2" t="inlineStr"/>
    </row>
    <row r="509" ht="15" customHeight="1">
      <c r="A509" t="inlineStr">
        <is>
          <t>A 48993-2025</t>
        </is>
      </c>
      <c r="B509" s="1" t="n">
        <v>45937.58590277778</v>
      </c>
      <c r="C509" s="1" t="n">
        <v>46075</v>
      </c>
      <c r="D509" t="inlineStr">
        <is>
          <t>ÖREBRO LÄN</t>
        </is>
      </c>
      <c r="E509" t="inlineStr">
        <is>
          <t>LINDESBERG</t>
        </is>
      </c>
      <c r="F509" t="inlineStr">
        <is>
          <t>Kyrkan</t>
        </is>
      </c>
      <c r="G509" t="n">
        <v>4</v>
      </c>
      <c r="H509" t="n">
        <v>0</v>
      </c>
      <c r="I509" t="n">
        <v>0</v>
      </c>
      <c r="J509" t="n">
        <v>0</v>
      </c>
      <c r="K509" t="n">
        <v>0</v>
      </c>
      <c r="L509" t="n">
        <v>0</v>
      </c>
      <c r="M509" t="n">
        <v>0</v>
      </c>
      <c r="N509" t="n">
        <v>0</v>
      </c>
      <c r="O509" t="n">
        <v>0</v>
      </c>
      <c r="P509" t="n">
        <v>0</v>
      </c>
      <c r="Q509" t="n">
        <v>0</v>
      </c>
      <c r="R509" s="2" t="inlineStr"/>
    </row>
    <row r="510" ht="15" customHeight="1">
      <c r="A510" t="inlineStr">
        <is>
          <t>A 7211-2024</t>
        </is>
      </c>
      <c r="B510" s="1" t="n">
        <v>45344.623125</v>
      </c>
      <c r="C510" s="1" t="n">
        <v>46075</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49183-2025</t>
        </is>
      </c>
      <c r="B511" s="1" t="n">
        <v>45938.39741898148</v>
      </c>
      <c r="C511" s="1" t="n">
        <v>46075</v>
      </c>
      <c r="D511" t="inlineStr">
        <is>
          <t>ÖREBRO LÄN</t>
        </is>
      </c>
      <c r="E511" t="inlineStr">
        <is>
          <t>LINDESBERG</t>
        </is>
      </c>
      <c r="G511" t="n">
        <v>4.4</v>
      </c>
      <c r="H511" t="n">
        <v>0</v>
      </c>
      <c r="I511" t="n">
        <v>0</v>
      </c>
      <c r="J511" t="n">
        <v>0</v>
      </c>
      <c r="K511" t="n">
        <v>0</v>
      </c>
      <c r="L511" t="n">
        <v>0</v>
      </c>
      <c r="M511" t="n">
        <v>0</v>
      </c>
      <c r="N511" t="n">
        <v>0</v>
      </c>
      <c r="O511" t="n">
        <v>0</v>
      </c>
      <c r="P511" t="n">
        <v>0</v>
      </c>
      <c r="Q511" t="n">
        <v>0</v>
      </c>
      <c r="R511" s="2" t="inlineStr"/>
    </row>
    <row r="512" ht="15" customHeight="1">
      <c r="A512" t="inlineStr">
        <is>
          <t>A 41582-2021</t>
        </is>
      </c>
      <c r="B512" s="1" t="n">
        <v>44425.40297453704</v>
      </c>
      <c r="C512" s="1" t="n">
        <v>46075</v>
      </c>
      <c r="D512" t="inlineStr">
        <is>
          <t>ÖREBRO LÄN</t>
        </is>
      </c>
      <c r="E512" t="inlineStr">
        <is>
          <t>LINDESBERG</t>
        </is>
      </c>
      <c r="F512" t="inlineStr">
        <is>
          <t>Sveaskog</t>
        </is>
      </c>
      <c r="G512" t="n">
        <v>5.2</v>
      </c>
      <c r="H512" t="n">
        <v>0</v>
      </c>
      <c r="I512" t="n">
        <v>0</v>
      </c>
      <c r="J512" t="n">
        <v>0</v>
      </c>
      <c r="K512" t="n">
        <v>0</v>
      </c>
      <c r="L512" t="n">
        <v>0</v>
      </c>
      <c r="M512" t="n">
        <v>0</v>
      </c>
      <c r="N512" t="n">
        <v>0</v>
      </c>
      <c r="O512" t="n">
        <v>0</v>
      </c>
      <c r="P512" t="n">
        <v>0</v>
      </c>
      <c r="Q512" t="n">
        <v>0</v>
      </c>
      <c r="R512" s="2" t="inlineStr"/>
    </row>
    <row r="513" ht="15" customHeight="1">
      <c r="A513" t="inlineStr">
        <is>
          <t>A 6511-2025</t>
        </is>
      </c>
      <c r="B513" s="1" t="n">
        <v>45699.65424768518</v>
      </c>
      <c r="C513" s="1" t="n">
        <v>46075</v>
      </c>
      <c r="D513" t="inlineStr">
        <is>
          <t>ÖREBRO LÄN</t>
        </is>
      </c>
      <c r="E513" t="inlineStr">
        <is>
          <t>LINDESBERG</t>
        </is>
      </c>
      <c r="G513" t="n">
        <v>9.1</v>
      </c>
      <c r="H513" t="n">
        <v>0</v>
      </c>
      <c r="I513" t="n">
        <v>0</v>
      </c>
      <c r="J513" t="n">
        <v>0</v>
      </c>
      <c r="K513" t="n">
        <v>0</v>
      </c>
      <c r="L513" t="n">
        <v>0</v>
      </c>
      <c r="M513" t="n">
        <v>0</v>
      </c>
      <c r="N513" t="n">
        <v>0</v>
      </c>
      <c r="O513" t="n">
        <v>0</v>
      </c>
      <c r="P513" t="n">
        <v>0</v>
      </c>
      <c r="Q513" t="n">
        <v>0</v>
      </c>
      <c r="R513" s="2" t="inlineStr"/>
    </row>
    <row r="514" ht="15" customHeight="1">
      <c r="A514" t="inlineStr">
        <is>
          <t>A 49707-2025</t>
        </is>
      </c>
      <c r="B514" s="1" t="n">
        <v>45939.67951388889</v>
      </c>
      <c r="C514" s="1" t="n">
        <v>46075</v>
      </c>
      <c r="D514" t="inlineStr">
        <is>
          <t>ÖREBRO LÄN</t>
        </is>
      </c>
      <c r="E514" t="inlineStr">
        <is>
          <t>LINDESBERG</t>
        </is>
      </c>
      <c r="F514" t="inlineStr">
        <is>
          <t>Kommuner</t>
        </is>
      </c>
      <c r="G514" t="n">
        <v>0.6</v>
      </c>
      <c r="H514" t="n">
        <v>0</v>
      </c>
      <c r="I514" t="n">
        <v>0</v>
      </c>
      <c r="J514" t="n">
        <v>0</v>
      </c>
      <c r="K514" t="n">
        <v>0</v>
      </c>
      <c r="L514" t="n">
        <v>0</v>
      </c>
      <c r="M514" t="n">
        <v>0</v>
      </c>
      <c r="N514" t="n">
        <v>0</v>
      </c>
      <c r="O514" t="n">
        <v>0</v>
      </c>
      <c r="P514" t="n">
        <v>0</v>
      </c>
      <c r="Q514" t="n">
        <v>0</v>
      </c>
      <c r="R514" s="2" t="inlineStr"/>
    </row>
    <row r="515" ht="15" customHeight="1">
      <c r="A515" t="inlineStr">
        <is>
          <t>A 38460-2024</t>
        </is>
      </c>
      <c r="B515" s="1" t="n">
        <v>45546.46497685185</v>
      </c>
      <c r="C515" s="1" t="n">
        <v>46075</v>
      </c>
      <c r="D515" t="inlineStr">
        <is>
          <t>ÖREBRO LÄN</t>
        </is>
      </c>
      <c r="E515" t="inlineStr">
        <is>
          <t>LINDESBERG</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49946-2025</t>
        </is>
      </c>
      <c r="B516" s="1" t="n">
        <v>45940.69862268519</v>
      </c>
      <c r="C516" s="1" t="n">
        <v>46075</v>
      </c>
      <c r="D516" t="inlineStr">
        <is>
          <t>ÖREBRO LÄN</t>
        </is>
      </c>
      <c r="E516" t="inlineStr">
        <is>
          <t>LINDESBERG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48265-2021</t>
        </is>
      </c>
      <c r="B517" s="1" t="n">
        <v>44449</v>
      </c>
      <c r="C517" s="1" t="n">
        <v>46075</v>
      </c>
      <c r="D517" t="inlineStr">
        <is>
          <t>ÖREBRO LÄN</t>
        </is>
      </c>
      <c r="E517" t="inlineStr">
        <is>
          <t>LINDESBERG</t>
        </is>
      </c>
      <c r="G517" t="n">
        <v>23.7</v>
      </c>
      <c r="H517" t="n">
        <v>0</v>
      </c>
      <c r="I517" t="n">
        <v>0</v>
      </c>
      <c r="J517" t="n">
        <v>0</v>
      </c>
      <c r="K517" t="n">
        <v>0</v>
      </c>
      <c r="L517" t="n">
        <v>0</v>
      </c>
      <c r="M517" t="n">
        <v>0</v>
      </c>
      <c r="N517" t="n">
        <v>0</v>
      </c>
      <c r="O517" t="n">
        <v>0</v>
      </c>
      <c r="P517" t="n">
        <v>0</v>
      </c>
      <c r="Q517" t="n">
        <v>0</v>
      </c>
      <c r="R517" s="2" t="inlineStr"/>
    </row>
    <row r="518" ht="15" customHeight="1">
      <c r="A518" t="inlineStr">
        <is>
          <t>A 38534-2025</t>
        </is>
      </c>
      <c r="B518" s="1" t="n">
        <v>45884</v>
      </c>
      <c r="C518" s="1" t="n">
        <v>46075</v>
      </c>
      <c r="D518" t="inlineStr">
        <is>
          <t>ÖREBRO LÄN</t>
        </is>
      </c>
      <c r="E518" t="inlineStr">
        <is>
          <t>LINDESBERG</t>
        </is>
      </c>
      <c r="G518" t="n">
        <v>4.9</v>
      </c>
      <c r="H518" t="n">
        <v>0</v>
      </c>
      <c r="I518" t="n">
        <v>0</v>
      </c>
      <c r="J518" t="n">
        <v>0</v>
      </c>
      <c r="K518" t="n">
        <v>0</v>
      </c>
      <c r="L518" t="n">
        <v>0</v>
      </c>
      <c r="M518" t="n">
        <v>0</v>
      </c>
      <c r="N518" t="n">
        <v>0</v>
      </c>
      <c r="O518" t="n">
        <v>0</v>
      </c>
      <c r="P518" t="n">
        <v>0</v>
      </c>
      <c r="Q518" t="n">
        <v>0</v>
      </c>
      <c r="R518" s="2" t="inlineStr"/>
    </row>
    <row r="519" ht="15" customHeight="1">
      <c r="A519" t="inlineStr">
        <is>
          <t>A 67016-2021</t>
        </is>
      </c>
      <c r="B519" s="1" t="n">
        <v>44522</v>
      </c>
      <c r="C519" s="1" t="n">
        <v>46075</v>
      </c>
      <c r="D519" t="inlineStr">
        <is>
          <t>ÖREBRO LÄN</t>
        </is>
      </c>
      <c r="E519" t="inlineStr">
        <is>
          <t>LINDESBERG</t>
        </is>
      </c>
      <c r="G519" t="n">
        <v>8</v>
      </c>
      <c r="H519" t="n">
        <v>0</v>
      </c>
      <c r="I519" t="n">
        <v>0</v>
      </c>
      <c r="J519" t="n">
        <v>0</v>
      </c>
      <c r="K519" t="n">
        <v>0</v>
      </c>
      <c r="L519" t="n">
        <v>0</v>
      </c>
      <c r="M519" t="n">
        <v>0</v>
      </c>
      <c r="N519" t="n">
        <v>0</v>
      </c>
      <c r="O519" t="n">
        <v>0</v>
      </c>
      <c r="P519" t="n">
        <v>0</v>
      </c>
      <c r="Q519" t="n">
        <v>0</v>
      </c>
      <c r="R519" s="2" t="inlineStr"/>
    </row>
    <row r="520" ht="15" customHeight="1">
      <c r="A520" t="inlineStr">
        <is>
          <t>A 7026-2024</t>
        </is>
      </c>
      <c r="B520" s="1" t="n">
        <v>45343.58587962963</v>
      </c>
      <c r="C520" s="1" t="n">
        <v>46075</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49943-2025</t>
        </is>
      </c>
      <c r="B521" s="1" t="n">
        <v>45940.69521990741</v>
      </c>
      <c r="C521" s="1" t="n">
        <v>46075</v>
      </c>
      <c r="D521" t="inlineStr">
        <is>
          <t>ÖREBRO LÄN</t>
        </is>
      </c>
      <c r="E521" t="inlineStr">
        <is>
          <t>LINDESBERG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4013-2025</t>
        </is>
      </c>
      <c r="B522" s="1" t="n">
        <v>45684.5790162037</v>
      </c>
      <c r="C522" s="1" t="n">
        <v>46075</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33978-2023</t>
        </is>
      </c>
      <c r="B523" s="1" t="n">
        <v>45134.68158564815</v>
      </c>
      <c r="C523" s="1" t="n">
        <v>46075</v>
      </c>
      <c r="D523" t="inlineStr">
        <is>
          <t>ÖREBRO LÄN</t>
        </is>
      </c>
      <c r="E523" t="inlineStr">
        <is>
          <t>LINDESBERG</t>
        </is>
      </c>
      <c r="G523" t="n">
        <v>4.1</v>
      </c>
      <c r="H523" t="n">
        <v>0</v>
      </c>
      <c r="I523" t="n">
        <v>0</v>
      </c>
      <c r="J523" t="n">
        <v>0</v>
      </c>
      <c r="K523" t="n">
        <v>0</v>
      </c>
      <c r="L523" t="n">
        <v>0</v>
      </c>
      <c r="M523" t="n">
        <v>0</v>
      </c>
      <c r="N523" t="n">
        <v>0</v>
      </c>
      <c r="O523" t="n">
        <v>0</v>
      </c>
      <c r="P523" t="n">
        <v>0</v>
      </c>
      <c r="Q523" t="n">
        <v>0</v>
      </c>
      <c r="R523" s="2" t="inlineStr"/>
    </row>
    <row r="524" ht="15" customHeight="1">
      <c r="A524" t="inlineStr">
        <is>
          <t>A 49944-2025</t>
        </is>
      </c>
      <c r="B524" s="1" t="n">
        <v>45940.69643518519</v>
      </c>
      <c r="C524" s="1" t="n">
        <v>46075</v>
      </c>
      <c r="D524" t="inlineStr">
        <is>
          <t>ÖREBRO LÄN</t>
        </is>
      </c>
      <c r="E524" t="inlineStr">
        <is>
          <t>LINDESBERG</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49947-2025</t>
        </is>
      </c>
      <c r="B525" s="1" t="n">
        <v>45940.70018518518</v>
      </c>
      <c r="C525" s="1" t="n">
        <v>46075</v>
      </c>
      <c r="D525" t="inlineStr">
        <is>
          <t>ÖREBRO LÄN</t>
        </is>
      </c>
      <c r="E525" t="inlineStr">
        <is>
          <t>LINDESBERG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50072-2025</t>
        </is>
      </c>
      <c r="B526" s="1" t="n">
        <v>45943.45966435185</v>
      </c>
      <c r="C526" s="1" t="n">
        <v>46075</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50086-2025</t>
        </is>
      </c>
      <c r="B527" s="1" t="n">
        <v>45943.47649305555</v>
      </c>
      <c r="C527" s="1" t="n">
        <v>46075</v>
      </c>
      <c r="D527" t="inlineStr">
        <is>
          <t>ÖREBRO LÄN</t>
        </is>
      </c>
      <c r="E527" t="inlineStr">
        <is>
          <t>LINDESBERG</t>
        </is>
      </c>
      <c r="F527" t="inlineStr">
        <is>
          <t>Sveaskog</t>
        </is>
      </c>
      <c r="G527" t="n">
        <v>3.6</v>
      </c>
      <c r="H527" t="n">
        <v>0</v>
      </c>
      <c r="I527" t="n">
        <v>0</v>
      </c>
      <c r="J527" t="n">
        <v>0</v>
      </c>
      <c r="K527" t="n">
        <v>0</v>
      </c>
      <c r="L527" t="n">
        <v>0</v>
      </c>
      <c r="M527" t="n">
        <v>0</v>
      </c>
      <c r="N527" t="n">
        <v>0</v>
      </c>
      <c r="O527" t="n">
        <v>0</v>
      </c>
      <c r="P527" t="n">
        <v>0</v>
      </c>
      <c r="Q527" t="n">
        <v>0</v>
      </c>
      <c r="R527" s="2" t="inlineStr"/>
    </row>
    <row r="528" ht="15" customHeight="1">
      <c r="A528" t="inlineStr">
        <is>
          <t>A 50073-2025</t>
        </is>
      </c>
      <c r="B528" s="1" t="n">
        <v>45943.4603125</v>
      </c>
      <c r="C528" s="1" t="n">
        <v>46075</v>
      </c>
      <c r="D528" t="inlineStr">
        <is>
          <t>ÖREBRO LÄN</t>
        </is>
      </c>
      <c r="E528" t="inlineStr">
        <is>
          <t>LINDESBERG</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55272-2023</t>
        </is>
      </c>
      <c r="B529" s="1" t="n">
        <v>45237.67819444444</v>
      </c>
      <c r="C529" s="1" t="n">
        <v>46075</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12307-2025</t>
        </is>
      </c>
      <c r="B530" s="1" t="n">
        <v>45729.76231481481</v>
      </c>
      <c r="C530" s="1" t="n">
        <v>46075</v>
      </c>
      <c r="D530" t="inlineStr">
        <is>
          <t>ÖREBRO LÄN</t>
        </is>
      </c>
      <c r="E530" t="inlineStr">
        <is>
          <t>LINDESBERG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15852-2025</t>
        </is>
      </c>
      <c r="B531" s="1" t="n">
        <v>45749</v>
      </c>
      <c r="C531" s="1" t="n">
        <v>46075</v>
      </c>
      <c r="D531" t="inlineStr">
        <is>
          <t>ÖREBRO LÄN</t>
        </is>
      </c>
      <c r="E531" t="inlineStr">
        <is>
          <t>LINDESBERG</t>
        </is>
      </c>
      <c r="G531" t="n">
        <v>8.9</v>
      </c>
      <c r="H531" t="n">
        <v>0</v>
      </c>
      <c r="I531" t="n">
        <v>0</v>
      </c>
      <c r="J531" t="n">
        <v>0</v>
      </c>
      <c r="K531" t="n">
        <v>0</v>
      </c>
      <c r="L531" t="n">
        <v>0</v>
      </c>
      <c r="M531" t="n">
        <v>0</v>
      </c>
      <c r="N531" t="n">
        <v>0</v>
      </c>
      <c r="O531" t="n">
        <v>0</v>
      </c>
      <c r="P531" t="n">
        <v>0</v>
      </c>
      <c r="Q531" t="n">
        <v>0</v>
      </c>
      <c r="R531" s="2" t="inlineStr"/>
    </row>
    <row r="532" ht="15" customHeight="1">
      <c r="A532" t="inlineStr">
        <is>
          <t>A 8834-2023</t>
        </is>
      </c>
      <c r="B532" s="1" t="n">
        <v>44978</v>
      </c>
      <c r="C532" s="1" t="n">
        <v>46075</v>
      </c>
      <c r="D532" t="inlineStr">
        <is>
          <t>ÖREBRO LÄN</t>
        </is>
      </c>
      <c r="E532" t="inlineStr">
        <is>
          <t>LINDESBERG</t>
        </is>
      </c>
      <c r="G532" t="n">
        <v>0.5</v>
      </c>
      <c r="H532" t="n">
        <v>0</v>
      </c>
      <c r="I532" t="n">
        <v>0</v>
      </c>
      <c r="J532" t="n">
        <v>0</v>
      </c>
      <c r="K532" t="n">
        <v>0</v>
      </c>
      <c r="L532" t="n">
        <v>0</v>
      </c>
      <c r="M532" t="n">
        <v>0</v>
      </c>
      <c r="N532" t="n">
        <v>0</v>
      </c>
      <c r="O532" t="n">
        <v>0</v>
      </c>
      <c r="P532" t="n">
        <v>0</v>
      </c>
      <c r="Q532" t="n">
        <v>0</v>
      </c>
      <c r="R532" s="2" t="inlineStr"/>
    </row>
    <row r="533" ht="15" customHeight="1">
      <c r="A533" t="inlineStr">
        <is>
          <t>A 51071-2022</t>
        </is>
      </c>
      <c r="B533" s="1" t="n">
        <v>44868.36924768519</v>
      </c>
      <c r="C533" s="1" t="n">
        <v>46075</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60926-2024</t>
        </is>
      </c>
      <c r="B534" s="1" t="n">
        <v>45645</v>
      </c>
      <c r="C534" s="1" t="n">
        <v>46075</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1383-2025</t>
        </is>
      </c>
      <c r="B535" s="1" t="n">
        <v>45667</v>
      </c>
      <c r="C535" s="1" t="n">
        <v>46075</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38509-2025</t>
        </is>
      </c>
      <c r="B536" s="1" t="n">
        <v>45884.38858796296</v>
      </c>
      <c r="C536" s="1" t="n">
        <v>46075</v>
      </c>
      <c r="D536" t="inlineStr">
        <is>
          <t>ÖREBRO LÄN</t>
        </is>
      </c>
      <c r="E536" t="inlineStr">
        <is>
          <t>LINDESBERG</t>
        </is>
      </c>
      <c r="G536" t="n">
        <v>14.9</v>
      </c>
      <c r="H536" t="n">
        <v>0</v>
      </c>
      <c r="I536" t="n">
        <v>0</v>
      </c>
      <c r="J536" t="n">
        <v>0</v>
      </c>
      <c r="K536" t="n">
        <v>0</v>
      </c>
      <c r="L536" t="n">
        <v>0</v>
      </c>
      <c r="M536" t="n">
        <v>0</v>
      </c>
      <c r="N536" t="n">
        <v>0</v>
      </c>
      <c r="O536" t="n">
        <v>0</v>
      </c>
      <c r="P536" t="n">
        <v>0</v>
      </c>
      <c r="Q536" t="n">
        <v>0</v>
      </c>
      <c r="R536" s="2" t="inlineStr"/>
    </row>
    <row r="537" ht="15" customHeight="1">
      <c r="A537" t="inlineStr">
        <is>
          <t>A 51186-2025</t>
        </is>
      </c>
      <c r="B537" s="1" t="n">
        <v>45947.62353009259</v>
      </c>
      <c r="C537" s="1" t="n">
        <v>46075</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35229-2024</t>
        </is>
      </c>
      <c r="B538" s="1" t="n">
        <v>45530</v>
      </c>
      <c r="C538" s="1" t="n">
        <v>46075</v>
      </c>
      <c r="D538" t="inlineStr">
        <is>
          <t>ÖREBRO LÄN</t>
        </is>
      </c>
      <c r="E538" t="inlineStr">
        <is>
          <t>LINDESBERG</t>
        </is>
      </c>
      <c r="G538" t="n">
        <v>0.8</v>
      </c>
      <c r="H538" t="n">
        <v>0</v>
      </c>
      <c r="I538" t="n">
        <v>0</v>
      </c>
      <c r="J538" t="n">
        <v>0</v>
      </c>
      <c r="K538" t="n">
        <v>0</v>
      </c>
      <c r="L538" t="n">
        <v>0</v>
      </c>
      <c r="M538" t="n">
        <v>0</v>
      </c>
      <c r="N538" t="n">
        <v>0</v>
      </c>
      <c r="O538" t="n">
        <v>0</v>
      </c>
      <c r="P538" t="n">
        <v>0</v>
      </c>
      <c r="Q538" t="n">
        <v>0</v>
      </c>
      <c r="R538" s="2" t="inlineStr"/>
    </row>
    <row r="539" ht="15" customHeight="1">
      <c r="A539" t="inlineStr">
        <is>
          <t>A 50285-2022</t>
        </is>
      </c>
      <c r="B539" s="1" t="n">
        <v>44865.87770833333</v>
      </c>
      <c r="C539" s="1" t="n">
        <v>46075</v>
      </c>
      <c r="D539" t="inlineStr">
        <is>
          <t>ÖREBRO LÄN</t>
        </is>
      </c>
      <c r="E539" t="inlineStr">
        <is>
          <t>LINDESBERG</t>
        </is>
      </c>
      <c r="G539" t="n">
        <v>2.5</v>
      </c>
      <c r="H539" t="n">
        <v>0</v>
      </c>
      <c r="I539" t="n">
        <v>0</v>
      </c>
      <c r="J539" t="n">
        <v>0</v>
      </c>
      <c r="K539" t="n">
        <v>0</v>
      </c>
      <c r="L539" t="n">
        <v>0</v>
      </c>
      <c r="M539" t="n">
        <v>0</v>
      </c>
      <c r="N539" t="n">
        <v>0</v>
      </c>
      <c r="O539" t="n">
        <v>0</v>
      </c>
      <c r="P539" t="n">
        <v>0</v>
      </c>
      <c r="Q539" t="n">
        <v>0</v>
      </c>
      <c r="R539" s="2" t="inlineStr"/>
    </row>
    <row r="540" ht="15" customHeight="1">
      <c r="A540" t="inlineStr">
        <is>
          <t>A 10822-2023</t>
        </is>
      </c>
      <c r="B540" s="1" t="n">
        <v>44990</v>
      </c>
      <c r="C540" s="1" t="n">
        <v>46075</v>
      </c>
      <c r="D540" t="inlineStr">
        <is>
          <t>ÖREBRO LÄN</t>
        </is>
      </c>
      <c r="E540" t="inlineStr">
        <is>
          <t>LINDESBERG</t>
        </is>
      </c>
      <c r="G540" t="n">
        <v>1.3</v>
      </c>
      <c r="H540" t="n">
        <v>0</v>
      </c>
      <c r="I540" t="n">
        <v>0</v>
      </c>
      <c r="J540" t="n">
        <v>0</v>
      </c>
      <c r="K540" t="n">
        <v>0</v>
      </c>
      <c r="L540" t="n">
        <v>0</v>
      </c>
      <c r="M540" t="n">
        <v>0</v>
      </c>
      <c r="N540" t="n">
        <v>0</v>
      </c>
      <c r="O540" t="n">
        <v>0</v>
      </c>
      <c r="P540" t="n">
        <v>0</v>
      </c>
      <c r="Q540" t="n">
        <v>0</v>
      </c>
      <c r="R540" s="2" t="inlineStr"/>
    </row>
    <row r="541" ht="15" customHeight="1">
      <c r="A541" t="inlineStr">
        <is>
          <t>A 51172-2025</t>
        </is>
      </c>
      <c r="B541" s="1" t="n">
        <v>45947.60508101852</v>
      </c>
      <c r="C541" s="1" t="n">
        <v>46075</v>
      </c>
      <c r="D541" t="inlineStr">
        <is>
          <t>ÖREBRO LÄN</t>
        </is>
      </c>
      <c r="E541" t="inlineStr">
        <is>
          <t>LINDESBERG</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3233-2023</t>
        </is>
      </c>
      <c r="B542" s="1" t="n">
        <v>44946</v>
      </c>
      <c r="C542" s="1" t="n">
        <v>46075</v>
      </c>
      <c r="D542" t="inlineStr">
        <is>
          <t>ÖREBRO LÄN</t>
        </is>
      </c>
      <c r="E542" t="inlineStr">
        <is>
          <t>LINDESBERG</t>
        </is>
      </c>
      <c r="G542" t="n">
        <v>3</v>
      </c>
      <c r="H542" t="n">
        <v>0</v>
      </c>
      <c r="I542" t="n">
        <v>0</v>
      </c>
      <c r="J542" t="n">
        <v>0</v>
      </c>
      <c r="K542" t="n">
        <v>0</v>
      </c>
      <c r="L542" t="n">
        <v>0</v>
      </c>
      <c r="M542" t="n">
        <v>0</v>
      </c>
      <c r="N542" t="n">
        <v>0</v>
      </c>
      <c r="O542" t="n">
        <v>0</v>
      </c>
      <c r="P542" t="n">
        <v>0</v>
      </c>
      <c r="Q542" t="n">
        <v>0</v>
      </c>
      <c r="R542" s="2" t="inlineStr"/>
    </row>
    <row r="543" ht="15" customHeight="1">
      <c r="A543" t="inlineStr">
        <is>
          <t>A 50933-2025</t>
        </is>
      </c>
      <c r="B543" s="1" t="n">
        <v>45946.68859953704</v>
      </c>
      <c r="C543" s="1" t="n">
        <v>46075</v>
      </c>
      <c r="D543" t="inlineStr">
        <is>
          <t>ÖREBRO LÄN</t>
        </is>
      </c>
      <c r="E543" t="inlineStr">
        <is>
          <t>LINDESBERG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50765-2025</t>
        </is>
      </c>
      <c r="B544" s="1" t="n">
        <v>45946.44216435185</v>
      </c>
      <c r="C544" s="1" t="n">
        <v>46075</v>
      </c>
      <c r="D544" t="inlineStr">
        <is>
          <t>ÖREBRO LÄN</t>
        </is>
      </c>
      <c r="E544" t="inlineStr">
        <is>
          <t>LINDESBERG</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15325-2024</t>
        </is>
      </c>
      <c r="B545" s="1" t="n">
        <v>45400.6709837963</v>
      </c>
      <c r="C545" s="1" t="n">
        <v>46075</v>
      </c>
      <c r="D545" t="inlineStr">
        <is>
          <t>ÖREBRO LÄN</t>
        </is>
      </c>
      <c r="E545" t="inlineStr">
        <is>
          <t>LINDESBERG</t>
        </is>
      </c>
      <c r="F545" t="inlineStr">
        <is>
          <t>Sveaskog</t>
        </is>
      </c>
      <c r="G545" t="n">
        <v>0.3</v>
      </c>
      <c r="H545" t="n">
        <v>0</v>
      </c>
      <c r="I545" t="n">
        <v>0</v>
      </c>
      <c r="J545" t="n">
        <v>0</v>
      </c>
      <c r="K545" t="n">
        <v>0</v>
      </c>
      <c r="L545" t="n">
        <v>0</v>
      </c>
      <c r="M545" t="n">
        <v>0</v>
      </c>
      <c r="N545" t="n">
        <v>0</v>
      </c>
      <c r="O545" t="n">
        <v>0</v>
      </c>
      <c r="P545" t="n">
        <v>0</v>
      </c>
      <c r="Q545" t="n">
        <v>0</v>
      </c>
      <c r="R545" s="2" t="inlineStr"/>
    </row>
    <row r="546" ht="15" customHeight="1">
      <c r="A546" t="inlineStr">
        <is>
          <t>A 40970-2023</t>
        </is>
      </c>
      <c r="B546" s="1" t="n">
        <v>45173</v>
      </c>
      <c r="C546" s="1" t="n">
        <v>46075</v>
      </c>
      <c r="D546" t="inlineStr">
        <is>
          <t>ÖREBRO LÄN</t>
        </is>
      </c>
      <c r="E546" t="inlineStr">
        <is>
          <t>LINDESBERG</t>
        </is>
      </c>
      <c r="G546" t="n">
        <v>2.1</v>
      </c>
      <c r="H546" t="n">
        <v>0</v>
      </c>
      <c r="I546" t="n">
        <v>0</v>
      </c>
      <c r="J546" t="n">
        <v>0</v>
      </c>
      <c r="K546" t="n">
        <v>0</v>
      </c>
      <c r="L546" t="n">
        <v>0</v>
      </c>
      <c r="M546" t="n">
        <v>0</v>
      </c>
      <c r="N546" t="n">
        <v>0</v>
      </c>
      <c r="O546" t="n">
        <v>0</v>
      </c>
      <c r="P546" t="n">
        <v>0</v>
      </c>
      <c r="Q546" t="n">
        <v>0</v>
      </c>
      <c r="R546" s="2" t="inlineStr"/>
    </row>
    <row r="547" ht="15" customHeight="1">
      <c r="A547" t="inlineStr">
        <is>
          <t>A 51030-2025</t>
        </is>
      </c>
      <c r="B547" s="1" t="n">
        <v>45947.40105324074</v>
      </c>
      <c r="C547" s="1" t="n">
        <v>46075</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50936-2025</t>
        </is>
      </c>
      <c r="B548" s="1" t="n">
        <v>45946.69616898148</v>
      </c>
      <c r="C548" s="1" t="n">
        <v>46075</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34093-2022</t>
        </is>
      </c>
      <c r="B549" s="1" t="n">
        <v>44791</v>
      </c>
      <c r="C549" s="1" t="n">
        <v>46075</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58662-2022</t>
        </is>
      </c>
      <c r="B550" s="1" t="n">
        <v>44902</v>
      </c>
      <c r="C550" s="1" t="n">
        <v>46075</v>
      </c>
      <c r="D550" t="inlineStr">
        <is>
          <t>ÖREBRO LÄN</t>
        </is>
      </c>
      <c r="E550" t="inlineStr">
        <is>
          <t>LINDESBERG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52102-2025</t>
        </is>
      </c>
      <c r="B551" s="1" t="n">
        <v>45952.68358796297</v>
      </c>
      <c r="C551" s="1" t="n">
        <v>46075</v>
      </c>
      <c r="D551" t="inlineStr">
        <is>
          <t>ÖREBRO LÄN</t>
        </is>
      </c>
      <c r="E551" t="inlineStr">
        <is>
          <t>LINDESBERG</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15060-2024</t>
        </is>
      </c>
      <c r="B552" s="1" t="n">
        <v>45399.56596064815</v>
      </c>
      <c r="C552" s="1" t="n">
        <v>46075</v>
      </c>
      <c r="D552" t="inlineStr">
        <is>
          <t>ÖREBRO LÄN</t>
        </is>
      </c>
      <c r="E552" t="inlineStr">
        <is>
          <t>LINDESBERG</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52117-2025</t>
        </is>
      </c>
      <c r="B553" s="1" t="n">
        <v>45952.70765046297</v>
      </c>
      <c r="C553" s="1" t="n">
        <v>46075</v>
      </c>
      <c r="D553" t="inlineStr">
        <is>
          <t>ÖREBRO LÄN</t>
        </is>
      </c>
      <c r="E553" t="inlineStr">
        <is>
          <t>LINDESBERG</t>
        </is>
      </c>
      <c r="G553" t="n">
        <v>4.6</v>
      </c>
      <c r="H553" t="n">
        <v>0</v>
      </c>
      <c r="I553" t="n">
        <v>0</v>
      </c>
      <c r="J553" t="n">
        <v>0</v>
      </c>
      <c r="K553" t="n">
        <v>0</v>
      </c>
      <c r="L553" t="n">
        <v>0</v>
      </c>
      <c r="M553" t="n">
        <v>0</v>
      </c>
      <c r="N553" t="n">
        <v>0</v>
      </c>
      <c r="O553" t="n">
        <v>0</v>
      </c>
      <c r="P553" t="n">
        <v>0</v>
      </c>
      <c r="Q553" t="n">
        <v>0</v>
      </c>
      <c r="R553" s="2" t="inlineStr"/>
    </row>
    <row r="554" ht="15" customHeight="1">
      <c r="A554" t="inlineStr">
        <is>
          <t>A 52098-2025</t>
        </is>
      </c>
      <c r="B554" s="1" t="n">
        <v>45952.68001157408</v>
      </c>
      <c r="C554" s="1" t="n">
        <v>46075</v>
      </c>
      <c r="D554" t="inlineStr">
        <is>
          <t>ÖREBRO LÄN</t>
        </is>
      </c>
      <c r="E554" t="inlineStr">
        <is>
          <t>LINDESBERG</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52103-2025</t>
        </is>
      </c>
      <c r="B555" s="1" t="n">
        <v>45952.68439814815</v>
      </c>
      <c r="C555" s="1" t="n">
        <v>46075</v>
      </c>
      <c r="D555" t="inlineStr">
        <is>
          <t>ÖREBRO LÄN</t>
        </is>
      </c>
      <c r="E555" t="inlineStr">
        <is>
          <t>LINDESBERG</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28031-2023</t>
        </is>
      </c>
      <c r="B556" s="1" t="n">
        <v>45099.27354166667</v>
      </c>
      <c r="C556" s="1" t="n">
        <v>46075</v>
      </c>
      <c r="D556" t="inlineStr">
        <is>
          <t>ÖREBRO LÄN</t>
        </is>
      </c>
      <c r="E556" t="inlineStr">
        <is>
          <t>LINDESBERG</t>
        </is>
      </c>
      <c r="F556" t="inlineStr">
        <is>
          <t>Kyrkan</t>
        </is>
      </c>
      <c r="G556" t="n">
        <v>1.2</v>
      </c>
      <c r="H556" t="n">
        <v>0</v>
      </c>
      <c r="I556" t="n">
        <v>0</v>
      </c>
      <c r="J556" t="n">
        <v>0</v>
      </c>
      <c r="K556" t="n">
        <v>0</v>
      </c>
      <c r="L556" t="n">
        <v>0</v>
      </c>
      <c r="M556" t="n">
        <v>0</v>
      </c>
      <c r="N556" t="n">
        <v>0</v>
      </c>
      <c r="O556" t="n">
        <v>0</v>
      </c>
      <c r="P556" t="n">
        <v>0</v>
      </c>
      <c r="Q556" t="n">
        <v>0</v>
      </c>
      <c r="R556" s="2" t="inlineStr"/>
    </row>
    <row r="557" ht="15" customHeight="1">
      <c r="A557" t="inlineStr">
        <is>
          <t>A 4310-2025</t>
        </is>
      </c>
      <c r="B557" s="1" t="n">
        <v>45685</v>
      </c>
      <c r="C557" s="1" t="n">
        <v>46075</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19026-2021</t>
        </is>
      </c>
      <c r="B558" s="1" t="n">
        <v>44308</v>
      </c>
      <c r="C558" s="1" t="n">
        <v>46075</v>
      </c>
      <c r="D558" t="inlineStr">
        <is>
          <t>ÖREBRO LÄN</t>
        </is>
      </c>
      <c r="E558" t="inlineStr">
        <is>
          <t>LINDESBERG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52101-2025</t>
        </is>
      </c>
      <c r="B559" s="1" t="n">
        <v>45952.68271990741</v>
      </c>
      <c r="C559" s="1" t="n">
        <v>46075</v>
      </c>
      <c r="D559" t="inlineStr">
        <is>
          <t>ÖREBRO LÄN</t>
        </is>
      </c>
      <c r="E559" t="inlineStr">
        <is>
          <t>LINDESBERG</t>
        </is>
      </c>
      <c r="F559" t="inlineStr">
        <is>
          <t>Sveaskog</t>
        </is>
      </c>
      <c r="G559" t="n">
        <v>10.9</v>
      </c>
      <c r="H559" t="n">
        <v>0</v>
      </c>
      <c r="I559" t="n">
        <v>0</v>
      </c>
      <c r="J559" t="n">
        <v>0</v>
      </c>
      <c r="K559" t="n">
        <v>0</v>
      </c>
      <c r="L559" t="n">
        <v>0</v>
      </c>
      <c r="M559" t="n">
        <v>0</v>
      </c>
      <c r="N559" t="n">
        <v>0</v>
      </c>
      <c r="O559" t="n">
        <v>0</v>
      </c>
      <c r="P559" t="n">
        <v>0</v>
      </c>
      <c r="Q559" t="n">
        <v>0</v>
      </c>
      <c r="R559" s="2" t="inlineStr"/>
    </row>
    <row r="560" ht="15" customHeight="1">
      <c r="A560" t="inlineStr">
        <is>
          <t>A 52104-2025</t>
        </is>
      </c>
      <c r="B560" s="1" t="n">
        <v>45952.68524305556</v>
      </c>
      <c r="C560" s="1" t="n">
        <v>46075</v>
      </c>
      <c r="D560" t="inlineStr">
        <is>
          <t>ÖREBRO LÄN</t>
        </is>
      </c>
      <c r="E560" t="inlineStr">
        <is>
          <t>LINDESBERG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47110-2024</t>
        </is>
      </c>
      <c r="B561" s="1" t="n">
        <v>45586.55451388889</v>
      </c>
      <c r="C561" s="1" t="n">
        <v>46075</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52298-2025</t>
        </is>
      </c>
      <c r="B562" s="1" t="n">
        <v>45953.61387731481</v>
      </c>
      <c r="C562" s="1" t="n">
        <v>46075</v>
      </c>
      <c r="D562" t="inlineStr">
        <is>
          <t>ÖREBRO LÄN</t>
        </is>
      </c>
      <c r="E562" t="inlineStr">
        <is>
          <t>LINDESBERG</t>
        </is>
      </c>
      <c r="G562" t="n">
        <v>18.2</v>
      </c>
      <c r="H562" t="n">
        <v>0</v>
      </c>
      <c r="I562" t="n">
        <v>0</v>
      </c>
      <c r="J562" t="n">
        <v>0</v>
      </c>
      <c r="K562" t="n">
        <v>0</v>
      </c>
      <c r="L562" t="n">
        <v>0</v>
      </c>
      <c r="M562" t="n">
        <v>0</v>
      </c>
      <c r="N562" t="n">
        <v>0</v>
      </c>
      <c r="O562" t="n">
        <v>0</v>
      </c>
      <c r="P562" t="n">
        <v>0</v>
      </c>
      <c r="Q562" t="n">
        <v>0</v>
      </c>
      <c r="R562" s="2" t="inlineStr"/>
    </row>
    <row r="563" ht="15" customHeight="1">
      <c r="A563" t="inlineStr">
        <is>
          <t>A 52730-2025</t>
        </is>
      </c>
      <c r="B563" s="1" t="n">
        <v>45957.36386574074</v>
      </c>
      <c r="C563" s="1" t="n">
        <v>46075</v>
      </c>
      <c r="D563" t="inlineStr">
        <is>
          <t>ÖREBRO LÄN</t>
        </is>
      </c>
      <c r="E563" t="inlineStr">
        <is>
          <t>LINDESBERG</t>
        </is>
      </c>
      <c r="F563" t="inlineStr">
        <is>
          <t>Sveaskog</t>
        </is>
      </c>
      <c r="G563" t="n">
        <v>5</v>
      </c>
      <c r="H563" t="n">
        <v>0</v>
      </c>
      <c r="I563" t="n">
        <v>0</v>
      </c>
      <c r="J563" t="n">
        <v>0</v>
      </c>
      <c r="K563" t="n">
        <v>0</v>
      </c>
      <c r="L563" t="n">
        <v>0</v>
      </c>
      <c r="M563" t="n">
        <v>0</v>
      </c>
      <c r="N563" t="n">
        <v>0</v>
      </c>
      <c r="O563" t="n">
        <v>0</v>
      </c>
      <c r="P563" t="n">
        <v>0</v>
      </c>
      <c r="Q563" t="n">
        <v>0</v>
      </c>
      <c r="R563" s="2" t="inlineStr"/>
    </row>
    <row r="564" ht="15" customHeight="1">
      <c r="A564" t="inlineStr">
        <is>
          <t>A 27440-2023</t>
        </is>
      </c>
      <c r="B564" s="1" t="n">
        <v>45097.39893518519</v>
      </c>
      <c r="C564" s="1" t="n">
        <v>46075</v>
      </c>
      <c r="D564" t="inlineStr">
        <is>
          <t>ÖREBRO LÄN</t>
        </is>
      </c>
      <c r="E564" t="inlineStr">
        <is>
          <t>LINDESBERG</t>
        </is>
      </c>
      <c r="G564" t="n">
        <v>6.6</v>
      </c>
      <c r="H564" t="n">
        <v>0</v>
      </c>
      <c r="I564" t="n">
        <v>0</v>
      </c>
      <c r="J564" t="n">
        <v>0</v>
      </c>
      <c r="K564" t="n">
        <v>0</v>
      </c>
      <c r="L564" t="n">
        <v>0</v>
      </c>
      <c r="M564" t="n">
        <v>0</v>
      </c>
      <c r="N564" t="n">
        <v>0</v>
      </c>
      <c r="O564" t="n">
        <v>0</v>
      </c>
      <c r="P564" t="n">
        <v>0</v>
      </c>
      <c r="Q564" t="n">
        <v>0</v>
      </c>
      <c r="R564" s="2" t="inlineStr"/>
    </row>
    <row r="565" ht="15" customHeight="1">
      <c r="A565" t="inlineStr">
        <is>
          <t>A 39137-2024</t>
        </is>
      </c>
      <c r="B565" s="1" t="n">
        <v>45548</v>
      </c>
      <c r="C565" s="1" t="n">
        <v>46075</v>
      </c>
      <c r="D565" t="inlineStr">
        <is>
          <t>ÖREBRO LÄN</t>
        </is>
      </c>
      <c r="E565" t="inlineStr">
        <is>
          <t>LINDESBERG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39152-2024</t>
        </is>
      </c>
      <c r="B566" s="1" t="n">
        <v>45548</v>
      </c>
      <c r="C566" s="1" t="n">
        <v>46075</v>
      </c>
      <c r="D566" t="inlineStr">
        <is>
          <t>ÖREBRO LÄN</t>
        </is>
      </c>
      <c r="E566" t="inlineStr">
        <is>
          <t>LINDESBERG</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52401-2025</t>
        </is>
      </c>
      <c r="B567" s="1" t="n">
        <v>45954.35075231481</v>
      </c>
      <c r="C567" s="1" t="n">
        <v>46075</v>
      </c>
      <c r="D567" t="inlineStr">
        <is>
          <t>ÖREBRO LÄN</t>
        </is>
      </c>
      <c r="E567" t="inlineStr">
        <is>
          <t>LINDESBERG</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52402-2025</t>
        </is>
      </c>
      <c r="B568" s="1" t="n">
        <v>45954.35387731482</v>
      </c>
      <c r="C568" s="1" t="n">
        <v>46075</v>
      </c>
      <c r="D568" t="inlineStr">
        <is>
          <t>ÖREBRO LÄN</t>
        </is>
      </c>
      <c r="E568" t="inlineStr">
        <is>
          <t>LINDESBERG</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21245-2024</t>
        </is>
      </c>
      <c r="B569" s="1" t="n">
        <v>45440</v>
      </c>
      <c r="C569" s="1" t="n">
        <v>46075</v>
      </c>
      <c r="D569" t="inlineStr">
        <is>
          <t>ÖREBRO LÄN</t>
        </is>
      </c>
      <c r="E569" t="inlineStr">
        <is>
          <t>LINDESBERG</t>
        </is>
      </c>
      <c r="G569" t="n">
        <v>2</v>
      </c>
      <c r="H569" t="n">
        <v>0</v>
      </c>
      <c r="I569" t="n">
        <v>0</v>
      </c>
      <c r="J569" t="n">
        <v>0</v>
      </c>
      <c r="K569" t="n">
        <v>0</v>
      </c>
      <c r="L569" t="n">
        <v>0</v>
      </c>
      <c r="M569" t="n">
        <v>0</v>
      </c>
      <c r="N569" t="n">
        <v>0</v>
      </c>
      <c r="O569" t="n">
        <v>0</v>
      </c>
      <c r="P569" t="n">
        <v>0</v>
      </c>
      <c r="Q569" t="n">
        <v>0</v>
      </c>
      <c r="R569" s="2" t="inlineStr"/>
    </row>
    <row r="570" ht="15" customHeight="1">
      <c r="A570" t="inlineStr">
        <is>
          <t>A 53288-2025</t>
        </is>
      </c>
      <c r="B570" s="1" t="n">
        <v>45958.79287037037</v>
      </c>
      <c r="C570" s="1" t="n">
        <v>46075</v>
      </c>
      <c r="D570" t="inlineStr">
        <is>
          <t>ÖREBRO LÄN</t>
        </is>
      </c>
      <c r="E570" t="inlineStr">
        <is>
          <t>LINDESBERG</t>
        </is>
      </c>
      <c r="G570" t="n">
        <v>2.3</v>
      </c>
      <c r="H570" t="n">
        <v>0</v>
      </c>
      <c r="I570" t="n">
        <v>0</v>
      </c>
      <c r="J570" t="n">
        <v>0</v>
      </c>
      <c r="K570" t="n">
        <v>0</v>
      </c>
      <c r="L570" t="n">
        <v>0</v>
      </c>
      <c r="M570" t="n">
        <v>0</v>
      </c>
      <c r="N570" t="n">
        <v>0</v>
      </c>
      <c r="O570" t="n">
        <v>0</v>
      </c>
      <c r="P570" t="n">
        <v>0</v>
      </c>
      <c r="Q570" t="n">
        <v>0</v>
      </c>
      <c r="R570" s="2" t="inlineStr"/>
    </row>
    <row r="571" ht="15" customHeight="1">
      <c r="A571" t="inlineStr">
        <is>
          <t>A 4603-2024</t>
        </is>
      </c>
      <c r="B571" s="1" t="n">
        <v>45328</v>
      </c>
      <c r="C571" s="1" t="n">
        <v>46075</v>
      </c>
      <c r="D571" t="inlineStr">
        <is>
          <t>ÖREBRO LÄN</t>
        </is>
      </c>
      <c r="E571" t="inlineStr">
        <is>
          <t>LINDESBERG</t>
        </is>
      </c>
      <c r="F571" t="inlineStr">
        <is>
          <t>BillerudKorsnäs AB</t>
        </is>
      </c>
      <c r="G571" t="n">
        <v>4.3</v>
      </c>
      <c r="H571" t="n">
        <v>0</v>
      </c>
      <c r="I571" t="n">
        <v>0</v>
      </c>
      <c r="J571" t="n">
        <v>0</v>
      </c>
      <c r="K571" t="n">
        <v>0</v>
      </c>
      <c r="L571" t="n">
        <v>0</v>
      </c>
      <c r="M571" t="n">
        <v>0</v>
      </c>
      <c r="N571" t="n">
        <v>0</v>
      </c>
      <c r="O571" t="n">
        <v>0</v>
      </c>
      <c r="P571" t="n">
        <v>0</v>
      </c>
      <c r="Q571" t="n">
        <v>0</v>
      </c>
      <c r="R571" s="2" t="inlineStr"/>
    </row>
    <row r="572" ht="15" customHeight="1">
      <c r="A572" t="inlineStr">
        <is>
          <t>A 53187-2025</t>
        </is>
      </c>
      <c r="B572" s="1" t="n">
        <v>45958.55577546296</v>
      </c>
      <c r="C572" s="1" t="n">
        <v>46075</v>
      </c>
      <c r="D572" t="inlineStr">
        <is>
          <t>ÖREBRO LÄN</t>
        </is>
      </c>
      <c r="E572" t="inlineStr">
        <is>
          <t>LINDESBERG</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61601-2024</t>
        </is>
      </c>
      <c r="B573" s="1" t="n">
        <v>45646.63839120371</v>
      </c>
      <c r="C573" s="1" t="n">
        <v>46075</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6604-2024</t>
        </is>
      </c>
      <c r="B574" s="1" t="n">
        <v>45341.56577546296</v>
      </c>
      <c r="C574" s="1" t="n">
        <v>46075</v>
      </c>
      <c r="D574" t="inlineStr">
        <is>
          <t>ÖREBRO LÄN</t>
        </is>
      </c>
      <c r="E574" t="inlineStr">
        <is>
          <t>LINDESBERG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42410-2024</t>
        </is>
      </c>
      <c r="B575" s="1" t="n">
        <v>45565</v>
      </c>
      <c r="C575" s="1" t="n">
        <v>46075</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9140-2025</t>
        </is>
      </c>
      <c r="B576" s="1" t="n">
        <v>45714.31533564815</v>
      </c>
      <c r="C576" s="1" t="n">
        <v>46075</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53721-2025</t>
        </is>
      </c>
      <c r="B577" s="1" t="n">
        <v>45960</v>
      </c>
      <c r="C577" s="1" t="n">
        <v>46075</v>
      </c>
      <c r="D577" t="inlineStr">
        <is>
          <t>ÖREBRO LÄN</t>
        </is>
      </c>
      <c r="E577" t="inlineStr">
        <is>
          <t>LINDESBERG</t>
        </is>
      </c>
      <c r="G577" t="n">
        <v>3.3</v>
      </c>
      <c r="H577" t="n">
        <v>0</v>
      </c>
      <c r="I577" t="n">
        <v>0</v>
      </c>
      <c r="J577" t="n">
        <v>0</v>
      </c>
      <c r="K577" t="n">
        <v>0</v>
      </c>
      <c r="L577" t="n">
        <v>0</v>
      </c>
      <c r="M577" t="n">
        <v>0</v>
      </c>
      <c r="N577" t="n">
        <v>0</v>
      </c>
      <c r="O577" t="n">
        <v>0</v>
      </c>
      <c r="P577" t="n">
        <v>0</v>
      </c>
      <c r="Q577" t="n">
        <v>0</v>
      </c>
      <c r="R577" s="2" t="inlineStr"/>
    </row>
    <row r="578" ht="15" customHeight="1">
      <c r="A578" t="inlineStr">
        <is>
          <t>A 53723-2025</t>
        </is>
      </c>
      <c r="B578" s="1" t="n">
        <v>45960.62986111111</v>
      </c>
      <c r="C578" s="1" t="n">
        <v>46075</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8139-2023</t>
        </is>
      </c>
      <c r="B579" s="1" t="n">
        <v>44970</v>
      </c>
      <c r="C579" s="1" t="n">
        <v>46075</v>
      </c>
      <c r="D579" t="inlineStr">
        <is>
          <t>ÖREBRO LÄN</t>
        </is>
      </c>
      <c r="E579" t="inlineStr">
        <is>
          <t>LINDESBERG</t>
        </is>
      </c>
      <c r="G579" t="n">
        <v>3.6</v>
      </c>
      <c r="H579" t="n">
        <v>0</v>
      </c>
      <c r="I579" t="n">
        <v>0</v>
      </c>
      <c r="J579" t="n">
        <v>0</v>
      </c>
      <c r="K579" t="n">
        <v>0</v>
      </c>
      <c r="L579" t="n">
        <v>0</v>
      </c>
      <c r="M579" t="n">
        <v>0</v>
      </c>
      <c r="N579" t="n">
        <v>0</v>
      </c>
      <c r="O579" t="n">
        <v>0</v>
      </c>
      <c r="P579" t="n">
        <v>0</v>
      </c>
      <c r="Q579" t="n">
        <v>0</v>
      </c>
      <c r="R579" s="2" t="inlineStr"/>
    </row>
    <row r="580" ht="15" customHeight="1">
      <c r="A580" t="inlineStr">
        <is>
          <t>A 53168-2023</t>
        </is>
      </c>
      <c r="B580" s="1" t="n">
        <v>45229</v>
      </c>
      <c r="C580" s="1" t="n">
        <v>46075</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54249-2025</t>
        </is>
      </c>
      <c r="B581" s="1" t="n">
        <v>45964.64599537037</v>
      </c>
      <c r="C581" s="1" t="n">
        <v>46075</v>
      </c>
      <c r="D581" t="inlineStr">
        <is>
          <t>ÖREBRO LÄN</t>
        </is>
      </c>
      <c r="E581" t="inlineStr">
        <is>
          <t>LINDESBERG</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54070-2025</t>
        </is>
      </c>
      <c r="B582" s="1" t="n">
        <v>45964.34680555556</v>
      </c>
      <c r="C582" s="1" t="n">
        <v>46075</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36748-2024</t>
        </is>
      </c>
      <c r="B583" s="1" t="n">
        <v>45538.34460648148</v>
      </c>
      <c r="C583" s="1" t="n">
        <v>46075</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54072-2025</t>
        </is>
      </c>
      <c r="B584" s="1" t="n">
        <v>45964.3550925926</v>
      </c>
      <c r="C584" s="1" t="n">
        <v>46075</v>
      </c>
      <c r="D584" t="inlineStr">
        <is>
          <t>ÖREBRO LÄN</t>
        </is>
      </c>
      <c r="E584" t="inlineStr">
        <is>
          <t>LINDESBERG</t>
        </is>
      </c>
      <c r="G584" t="n">
        <v>1.3</v>
      </c>
      <c r="H584" t="n">
        <v>0</v>
      </c>
      <c r="I584" t="n">
        <v>0</v>
      </c>
      <c r="J584" t="n">
        <v>0</v>
      </c>
      <c r="K584" t="n">
        <v>0</v>
      </c>
      <c r="L584" t="n">
        <v>0</v>
      </c>
      <c r="M584" t="n">
        <v>0</v>
      </c>
      <c r="N584" t="n">
        <v>0</v>
      </c>
      <c r="O584" t="n">
        <v>0</v>
      </c>
      <c r="P584" t="n">
        <v>0</v>
      </c>
      <c r="Q584" t="n">
        <v>0</v>
      </c>
      <c r="R584" s="2" t="inlineStr"/>
    </row>
    <row r="585" ht="15" customHeight="1">
      <c r="A585" t="inlineStr">
        <is>
          <t>A 54250-2025</t>
        </is>
      </c>
      <c r="B585" s="1" t="n">
        <v>45964.64709490741</v>
      </c>
      <c r="C585" s="1" t="n">
        <v>46075</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54251-2025</t>
        </is>
      </c>
      <c r="B586" s="1" t="n">
        <v>45964.64778935185</v>
      </c>
      <c r="C586" s="1" t="n">
        <v>46075</v>
      </c>
      <c r="D586" t="inlineStr">
        <is>
          <t>ÖREBRO LÄN</t>
        </is>
      </c>
      <c r="E586" t="inlineStr">
        <is>
          <t>LINDESBERG</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54240-2025</t>
        </is>
      </c>
      <c r="B587" s="1" t="n">
        <v>45964.62796296296</v>
      </c>
      <c r="C587" s="1" t="n">
        <v>46075</v>
      </c>
      <c r="D587" t="inlineStr">
        <is>
          <t>ÖREBRO LÄN</t>
        </is>
      </c>
      <c r="E587" t="inlineStr">
        <is>
          <t>LINDESBERG</t>
        </is>
      </c>
      <c r="G587" t="n">
        <v>3.9</v>
      </c>
      <c r="H587" t="n">
        <v>0</v>
      </c>
      <c r="I587" t="n">
        <v>0</v>
      </c>
      <c r="J587" t="n">
        <v>0</v>
      </c>
      <c r="K587" t="n">
        <v>0</v>
      </c>
      <c r="L587" t="n">
        <v>0</v>
      </c>
      <c r="M587" t="n">
        <v>0</v>
      </c>
      <c r="N587" t="n">
        <v>0</v>
      </c>
      <c r="O587" t="n">
        <v>0</v>
      </c>
      <c r="P587" t="n">
        <v>0</v>
      </c>
      <c r="Q587" t="n">
        <v>0</v>
      </c>
      <c r="R587" s="2" t="inlineStr"/>
    </row>
    <row r="588" ht="15" customHeight="1">
      <c r="A588" t="inlineStr">
        <is>
          <t>A 28082-2021</t>
        </is>
      </c>
      <c r="B588" s="1" t="n">
        <v>44355</v>
      </c>
      <c r="C588" s="1" t="n">
        <v>46075</v>
      </c>
      <c r="D588" t="inlineStr">
        <is>
          <t>ÖREBRO LÄN</t>
        </is>
      </c>
      <c r="E588" t="inlineStr">
        <is>
          <t>LINDESBERG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64427-2021</t>
        </is>
      </c>
      <c r="B589" s="1" t="n">
        <v>44511</v>
      </c>
      <c r="C589" s="1" t="n">
        <v>46075</v>
      </c>
      <c r="D589" t="inlineStr">
        <is>
          <t>ÖREBRO LÄN</t>
        </is>
      </c>
      <c r="E589" t="inlineStr">
        <is>
          <t>LINDESBERG</t>
        </is>
      </c>
      <c r="G589" t="n">
        <v>2.2</v>
      </c>
      <c r="H589" t="n">
        <v>0</v>
      </c>
      <c r="I589" t="n">
        <v>0</v>
      </c>
      <c r="J589" t="n">
        <v>0</v>
      </c>
      <c r="K589" t="n">
        <v>0</v>
      </c>
      <c r="L589" t="n">
        <v>0</v>
      </c>
      <c r="M589" t="n">
        <v>0</v>
      </c>
      <c r="N589" t="n">
        <v>0</v>
      </c>
      <c r="O589" t="n">
        <v>0</v>
      </c>
      <c r="P589" t="n">
        <v>0</v>
      </c>
      <c r="Q589" t="n">
        <v>0</v>
      </c>
      <c r="R589" s="2" t="inlineStr"/>
    </row>
    <row r="590" ht="15" customHeight="1">
      <c r="A590" t="inlineStr">
        <is>
          <t>A 47620-2023</t>
        </is>
      </c>
      <c r="B590" s="1" t="n">
        <v>45203.510625</v>
      </c>
      <c r="C590" s="1" t="n">
        <v>46075</v>
      </c>
      <c r="D590" t="inlineStr">
        <is>
          <t>ÖREBRO LÄN</t>
        </is>
      </c>
      <c r="E590" t="inlineStr">
        <is>
          <t>LINDESBERG</t>
        </is>
      </c>
      <c r="G590" t="n">
        <v>2.7</v>
      </c>
      <c r="H590" t="n">
        <v>0</v>
      </c>
      <c r="I590" t="n">
        <v>0</v>
      </c>
      <c r="J590" t="n">
        <v>0</v>
      </c>
      <c r="K590" t="n">
        <v>0</v>
      </c>
      <c r="L590" t="n">
        <v>0</v>
      </c>
      <c r="M590" t="n">
        <v>0</v>
      </c>
      <c r="N590" t="n">
        <v>0</v>
      </c>
      <c r="O590" t="n">
        <v>0</v>
      </c>
      <c r="P590" t="n">
        <v>0</v>
      </c>
      <c r="Q590" t="n">
        <v>0</v>
      </c>
      <c r="R590" s="2" t="inlineStr"/>
    </row>
    <row r="591" ht="15" customHeight="1">
      <c r="A591" t="inlineStr">
        <is>
          <t>A 53352-2023</t>
        </is>
      </c>
      <c r="B591" s="1" t="n">
        <v>45229.66262731481</v>
      </c>
      <c r="C591" s="1" t="n">
        <v>46075</v>
      </c>
      <c r="D591" t="inlineStr">
        <is>
          <t>ÖREBRO LÄN</t>
        </is>
      </c>
      <c r="E591" t="inlineStr">
        <is>
          <t>LINDESBERG</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55065-2025</t>
        </is>
      </c>
      <c r="B592" s="1" t="n">
        <v>45967.7096875</v>
      </c>
      <c r="C592" s="1" t="n">
        <v>46075</v>
      </c>
      <c r="D592" t="inlineStr">
        <is>
          <t>ÖREBRO LÄN</t>
        </is>
      </c>
      <c r="E592" t="inlineStr">
        <is>
          <t>LINDESBERG</t>
        </is>
      </c>
      <c r="G592" t="n">
        <v>3.5</v>
      </c>
      <c r="H592" t="n">
        <v>0</v>
      </c>
      <c r="I592" t="n">
        <v>0</v>
      </c>
      <c r="J592" t="n">
        <v>0</v>
      </c>
      <c r="K592" t="n">
        <v>0</v>
      </c>
      <c r="L592" t="n">
        <v>0</v>
      </c>
      <c r="M592" t="n">
        <v>0</v>
      </c>
      <c r="N592" t="n">
        <v>0</v>
      </c>
      <c r="O592" t="n">
        <v>0</v>
      </c>
      <c r="P592" t="n">
        <v>0</v>
      </c>
      <c r="Q592" t="n">
        <v>0</v>
      </c>
      <c r="R592" s="2" t="inlineStr"/>
    </row>
    <row r="593" ht="15" customHeight="1">
      <c r="A593" t="inlineStr">
        <is>
          <t>A 6727-2022</t>
        </is>
      </c>
      <c r="B593" s="1" t="n">
        <v>44602.45490740741</v>
      </c>
      <c r="C593" s="1" t="n">
        <v>46075</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55255-2025</t>
        </is>
      </c>
      <c r="B594" s="1" t="n">
        <v>45968.63695601852</v>
      </c>
      <c r="C594" s="1" t="n">
        <v>46075</v>
      </c>
      <c r="D594" t="inlineStr">
        <is>
          <t>ÖREBRO LÄN</t>
        </is>
      </c>
      <c r="E594" t="inlineStr">
        <is>
          <t>LINDESBERG</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44803-2024</t>
        </is>
      </c>
      <c r="B595" s="1" t="n">
        <v>45574.65087962963</v>
      </c>
      <c r="C595" s="1" t="n">
        <v>46075</v>
      </c>
      <c r="D595" t="inlineStr">
        <is>
          <t>ÖREBRO LÄN</t>
        </is>
      </c>
      <c r="E595" t="inlineStr">
        <is>
          <t>LINDESBERG</t>
        </is>
      </c>
      <c r="F595" t="inlineStr">
        <is>
          <t>Sveaskog</t>
        </is>
      </c>
      <c r="G595" t="n">
        <v>6.8</v>
      </c>
      <c r="H595" t="n">
        <v>0</v>
      </c>
      <c r="I595" t="n">
        <v>0</v>
      </c>
      <c r="J595" t="n">
        <v>0</v>
      </c>
      <c r="K595" t="n">
        <v>0</v>
      </c>
      <c r="L595" t="n">
        <v>0</v>
      </c>
      <c r="M595" t="n">
        <v>0</v>
      </c>
      <c r="N595" t="n">
        <v>0</v>
      </c>
      <c r="O595" t="n">
        <v>0</v>
      </c>
      <c r="P595" t="n">
        <v>0</v>
      </c>
      <c r="Q595" t="n">
        <v>0</v>
      </c>
      <c r="R595" s="2" t="inlineStr"/>
    </row>
    <row r="596" ht="15" customHeight="1">
      <c r="A596" t="inlineStr">
        <is>
          <t>A 25012-2023</t>
        </is>
      </c>
      <c r="B596" s="1" t="n">
        <v>45085</v>
      </c>
      <c r="C596" s="1" t="n">
        <v>46075</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55477-2025</t>
        </is>
      </c>
      <c r="B597" s="1" t="n">
        <v>45971.56197916667</v>
      </c>
      <c r="C597" s="1" t="n">
        <v>46075</v>
      </c>
      <c r="D597" t="inlineStr">
        <is>
          <t>ÖREBRO LÄN</t>
        </is>
      </c>
      <c r="E597" t="inlineStr">
        <is>
          <t>LINDESBERG</t>
        </is>
      </c>
      <c r="G597" t="n">
        <v>1.2</v>
      </c>
      <c r="H597" t="n">
        <v>0</v>
      </c>
      <c r="I597" t="n">
        <v>0</v>
      </c>
      <c r="J597" t="n">
        <v>0</v>
      </c>
      <c r="K597" t="n">
        <v>0</v>
      </c>
      <c r="L597" t="n">
        <v>0</v>
      </c>
      <c r="M597" t="n">
        <v>0</v>
      </c>
      <c r="N597" t="n">
        <v>0</v>
      </c>
      <c r="O597" t="n">
        <v>0</v>
      </c>
      <c r="P597" t="n">
        <v>0</v>
      </c>
      <c r="Q597" t="n">
        <v>0</v>
      </c>
      <c r="R597" s="2" t="inlineStr"/>
    </row>
    <row r="598" ht="15" customHeight="1">
      <c r="A598" t="inlineStr">
        <is>
          <t>A 55490-2025</t>
        </is>
      </c>
      <c r="B598" s="1" t="n">
        <v>45971.57659722222</v>
      </c>
      <c r="C598" s="1" t="n">
        <v>46075</v>
      </c>
      <c r="D598" t="inlineStr">
        <is>
          <t>ÖREBRO LÄN</t>
        </is>
      </c>
      <c r="E598" t="inlineStr">
        <is>
          <t>LINDESBERG</t>
        </is>
      </c>
      <c r="G598" t="n">
        <v>1.1</v>
      </c>
      <c r="H598" t="n">
        <v>0</v>
      </c>
      <c r="I598" t="n">
        <v>0</v>
      </c>
      <c r="J598" t="n">
        <v>0</v>
      </c>
      <c r="K598" t="n">
        <v>0</v>
      </c>
      <c r="L598" t="n">
        <v>0</v>
      </c>
      <c r="M598" t="n">
        <v>0</v>
      </c>
      <c r="N598" t="n">
        <v>0</v>
      </c>
      <c r="O598" t="n">
        <v>0</v>
      </c>
      <c r="P598" t="n">
        <v>0</v>
      </c>
      <c r="Q598" t="n">
        <v>0</v>
      </c>
      <c r="R598" s="2" t="inlineStr"/>
    </row>
    <row r="599" ht="15" customHeight="1">
      <c r="A599" t="inlineStr">
        <is>
          <t>A 13969-2025</t>
        </is>
      </c>
      <c r="B599" s="1" t="n">
        <v>45738.43714120371</v>
      </c>
      <c r="C599" s="1" t="n">
        <v>46075</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56306-2025</t>
        </is>
      </c>
      <c r="B600" s="1" t="n">
        <v>45974.61217592593</v>
      </c>
      <c r="C600" s="1" t="n">
        <v>46075</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53366-2023</t>
        </is>
      </c>
      <c r="B601" s="1" t="n">
        <v>45229</v>
      </c>
      <c r="C601" s="1" t="n">
        <v>46075</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56308-2025</t>
        </is>
      </c>
      <c r="B602" s="1" t="n">
        <v>45974.61344907407</v>
      </c>
      <c r="C602" s="1" t="n">
        <v>46075</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56232-2025</t>
        </is>
      </c>
      <c r="B603" s="1" t="n">
        <v>45974.53239583333</v>
      </c>
      <c r="C603" s="1" t="n">
        <v>46075</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42430-2024</t>
        </is>
      </c>
      <c r="B604" s="1" t="n">
        <v>45565.40700231482</v>
      </c>
      <c r="C604" s="1" t="n">
        <v>46075</v>
      </c>
      <c r="D604" t="inlineStr">
        <is>
          <t>ÖREBRO LÄN</t>
        </is>
      </c>
      <c r="E604" t="inlineStr">
        <is>
          <t>LINDESBERG</t>
        </is>
      </c>
      <c r="G604" t="n">
        <v>4</v>
      </c>
      <c r="H604" t="n">
        <v>0</v>
      </c>
      <c r="I604" t="n">
        <v>0</v>
      </c>
      <c r="J604" t="n">
        <v>0</v>
      </c>
      <c r="K604" t="n">
        <v>0</v>
      </c>
      <c r="L604" t="n">
        <v>0</v>
      </c>
      <c r="M604" t="n">
        <v>0</v>
      </c>
      <c r="N604" t="n">
        <v>0</v>
      </c>
      <c r="O604" t="n">
        <v>0</v>
      </c>
      <c r="P604" t="n">
        <v>0</v>
      </c>
      <c r="Q604" t="n">
        <v>0</v>
      </c>
      <c r="R604" s="2" t="inlineStr"/>
    </row>
    <row r="605" ht="15" customHeight="1">
      <c r="A605" t="inlineStr">
        <is>
          <t>A 36754-2024</t>
        </is>
      </c>
      <c r="B605" s="1" t="n">
        <v>45538.34796296297</v>
      </c>
      <c r="C605" s="1" t="n">
        <v>46075</v>
      </c>
      <c r="D605" t="inlineStr">
        <is>
          <t>ÖREBRO LÄN</t>
        </is>
      </c>
      <c r="E605" t="inlineStr">
        <is>
          <t>LINDESBERG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56226-2025</t>
        </is>
      </c>
      <c r="B606" s="1" t="n">
        <v>45974.51283564815</v>
      </c>
      <c r="C606" s="1" t="n">
        <v>46075</v>
      </c>
      <c r="D606" t="inlineStr">
        <is>
          <t>ÖREBRO LÄN</t>
        </is>
      </c>
      <c r="E606" t="inlineStr">
        <is>
          <t>LINDESBERG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1354-2024</t>
        </is>
      </c>
      <c r="B607" s="1" t="n">
        <v>45303</v>
      </c>
      <c r="C607" s="1" t="n">
        <v>46075</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27001-2024</t>
        </is>
      </c>
      <c r="B608" s="1" t="n">
        <v>45471.38995370371</v>
      </c>
      <c r="C608" s="1" t="n">
        <v>46075</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56982-2025</t>
        </is>
      </c>
      <c r="B609" s="1" t="n">
        <v>45978.71075231482</v>
      </c>
      <c r="C609" s="1" t="n">
        <v>46075</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26067-2022</t>
        </is>
      </c>
      <c r="B610" s="1" t="n">
        <v>44734.64337962963</v>
      </c>
      <c r="C610" s="1" t="n">
        <v>46075</v>
      </c>
      <c r="D610" t="inlineStr">
        <is>
          <t>ÖREBRO LÄN</t>
        </is>
      </c>
      <c r="E610" t="inlineStr">
        <is>
          <t>LINDESBERG</t>
        </is>
      </c>
      <c r="G610" t="n">
        <v>3.1</v>
      </c>
      <c r="H610" t="n">
        <v>0</v>
      </c>
      <c r="I610" t="n">
        <v>0</v>
      </c>
      <c r="J610" t="n">
        <v>0</v>
      </c>
      <c r="K610" t="n">
        <v>0</v>
      </c>
      <c r="L610" t="n">
        <v>0</v>
      </c>
      <c r="M610" t="n">
        <v>0</v>
      </c>
      <c r="N610" t="n">
        <v>0</v>
      </c>
      <c r="O610" t="n">
        <v>0</v>
      </c>
      <c r="P610" t="n">
        <v>0</v>
      </c>
      <c r="Q610" t="n">
        <v>0</v>
      </c>
      <c r="R610" s="2" t="inlineStr"/>
    </row>
    <row r="611" ht="15" customHeight="1">
      <c r="A611" t="inlineStr">
        <is>
          <t>A 59395-2022</t>
        </is>
      </c>
      <c r="B611" s="1" t="n">
        <v>44906.73321759259</v>
      </c>
      <c r="C611" s="1" t="n">
        <v>46075</v>
      </c>
      <c r="D611" t="inlineStr">
        <is>
          <t>ÖREBRO LÄN</t>
        </is>
      </c>
      <c r="E611" t="inlineStr">
        <is>
          <t>LINDESBERG</t>
        </is>
      </c>
      <c r="G611" t="n">
        <v>4.3</v>
      </c>
      <c r="H611" t="n">
        <v>0</v>
      </c>
      <c r="I611" t="n">
        <v>0</v>
      </c>
      <c r="J611" t="n">
        <v>0</v>
      </c>
      <c r="K611" t="n">
        <v>0</v>
      </c>
      <c r="L611" t="n">
        <v>0</v>
      </c>
      <c r="M611" t="n">
        <v>0</v>
      </c>
      <c r="N611" t="n">
        <v>0</v>
      </c>
      <c r="O611" t="n">
        <v>0</v>
      </c>
      <c r="P611" t="n">
        <v>0</v>
      </c>
      <c r="Q611" t="n">
        <v>0</v>
      </c>
      <c r="R611" s="2" t="inlineStr"/>
    </row>
    <row r="612" ht="15" customHeight="1">
      <c r="A612" t="inlineStr">
        <is>
          <t>A 19043-2023</t>
        </is>
      </c>
      <c r="B612" s="1" t="n">
        <v>45047.7181712963</v>
      </c>
      <c r="C612" s="1" t="n">
        <v>46075</v>
      </c>
      <c r="D612" t="inlineStr">
        <is>
          <t>ÖREBRO LÄN</t>
        </is>
      </c>
      <c r="E612" t="inlineStr">
        <is>
          <t>LINDESBERG</t>
        </is>
      </c>
      <c r="G612" t="n">
        <v>2.6</v>
      </c>
      <c r="H612" t="n">
        <v>0</v>
      </c>
      <c r="I612" t="n">
        <v>0</v>
      </c>
      <c r="J612" t="n">
        <v>0</v>
      </c>
      <c r="K612" t="n">
        <v>0</v>
      </c>
      <c r="L612" t="n">
        <v>0</v>
      </c>
      <c r="M612" t="n">
        <v>0</v>
      </c>
      <c r="N612" t="n">
        <v>0</v>
      </c>
      <c r="O612" t="n">
        <v>0</v>
      </c>
      <c r="P612" t="n">
        <v>0</v>
      </c>
      <c r="Q612" t="n">
        <v>0</v>
      </c>
      <c r="R612" s="2" t="inlineStr"/>
    </row>
    <row r="613" ht="15" customHeight="1">
      <c r="A613" t="inlineStr">
        <is>
          <t>A 41343-2021</t>
        </is>
      </c>
      <c r="B613" s="1" t="n">
        <v>44424.61709490741</v>
      </c>
      <c r="C613" s="1" t="n">
        <v>46075</v>
      </c>
      <c r="D613" t="inlineStr">
        <is>
          <t>ÖREBRO LÄN</t>
        </is>
      </c>
      <c r="E613" t="inlineStr">
        <is>
          <t>LINDESBERG</t>
        </is>
      </c>
      <c r="G613" t="n">
        <v>8.9</v>
      </c>
      <c r="H613" t="n">
        <v>0</v>
      </c>
      <c r="I613" t="n">
        <v>0</v>
      </c>
      <c r="J613" t="n">
        <v>0</v>
      </c>
      <c r="K613" t="n">
        <v>0</v>
      </c>
      <c r="L613" t="n">
        <v>0</v>
      </c>
      <c r="M613" t="n">
        <v>0</v>
      </c>
      <c r="N613" t="n">
        <v>0</v>
      </c>
      <c r="O613" t="n">
        <v>0</v>
      </c>
      <c r="P613" t="n">
        <v>0</v>
      </c>
      <c r="Q613" t="n">
        <v>0</v>
      </c>
      <c r="R613" s="2" t="inlineStr"/>
    </row>
    <row r="614" ht="15" customHeight="1">
      <c r="A614" t="inlineStr">
        <is>
          <t>A 57299-2025</t>
        </is>
      </c>
      <c r="B614" s="1" t="n">
        <v>45979.81347222222</v>
      </c>
      <c r="C614" s="1" t="n">
        <v>46075</v>
      </c>
      <c r="D614" t="inlineStr">
        <is>
          <t>ÖREBRO LÄN</t>
        </is>
      </c>
      <c r="E614" t="inlineStr">
        <is>
          <t>LINDESBERG</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57317-2025</t>
        </is>
      </c>
      <c r="B615" s="1" t="n">
        <v>45980.01226851852</v>
      </c>
      <c r="C615" s="1" t="n">
        <v>46075</v>
      </c>
      <c r="D615" t="inlineStr">
        <is>
          <t>ÖREBRO LÄN</t>
        </is>
      </c>
      <c r="E615" t="inlineStr">
        <is>
          <t>LINDESBERG</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57300-2025</t>
        </is>
      </c>
      <c r="B616" s="1" t="n">
        <v>45979.81403935186</v>
      </c>
      <c r="C616" s="1" t="n">
        <v>46075</v>
      </c>
      <c r="D616" t="inlineStr">
        <is>
          <t>ÖREBRO LÄN</t>
        </is>
      </c>
      <c r="E616" t="inlineStr">
        <is>
          <t>LINDESBERG</t>
        </is>
      </c>
      <c r="F616" t="inlineStr">
        <is>
          <t>Sveaskog</t>
        </is>
      </c>
      <c r="G616" t="n">
        <v>4.9</v>
      </c>
      <c r="H616" t="n">
        <v>0</v>
      </c>
      <c r="I616" t="n">
        <v>0</v>
      </c>
      <c r="J616" t="n">
        <v>0</v>
      </c>
      <c r="K616" t="n">
        <v>0</v>
      </c>
      <c r="L616" t="n">
        <v>0</v>
      </c>
      <c r="M616" t="n">
        <v>0</v>
      </c>
      <c r="N616" t="n">
        <v>0</v>
      </c>
      <c r="O616" t="n">
        <v>0</v>
      </c>
      <c r="P616" t="n">
        <v>0</v>
      </c>
      <c r="Q616" t="n">
        <v>0</v>
      </c>
      <c r="R616" s="2" t="inlineStr"/>
    </row>
    <row r="617" ht="15" customHeight="1">
      <c r="A617" t="inlineStr">
        <is>
          <t>A 57359-2025</t>
        </is>
      </c>
      <c r="B617" s="1" t="n">
        <v>45980.36866898148</v>
      </c>
      <c r="C617" s="1" t="n">
        <v>46075</v>
      </c>
      <c r="D617" t="inlineStr">
        <is>
          <t>ÖREBRO LÄN</t>
        </is>
      </c>
      <c r="E617" t="inlineStr">
        <is>
          <t>LINDESBERG</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57361-2025</t>
        </is>
      </c>
      <c r="B618" s="1" t="n">
        <v>45980.36988425926</v>
      </c>
      <c r="C618" s="1" t="n">
        <v>46075</v>
      </c>
      <c r="D618" t="inlineStr">
        <is>
          <t>ÖREBRO LÄN</t>
        </is>
      </c>
      <c r="E618" t="inlineStr">
        <is>
          <t>LINDESBERG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43416-2024</t>
        </is>
      </c>
      <c r="B619" s="1" t="n">
        <v>45568.62625</v>
      </c>
      <c r="C619" s="1" t="n">
        <v>46075</v>
      </c>
      <c r="D619" t="inlineStr">
        <is>
          <t>ÖREBRO LÄN</t>
        </is>
      </c>
      <c r="E619" t="inlineStr">
        <is>
          <t>LINDESBERG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57313-2025</t>
        </is>
      </c>
      <c r="B620" s="1" t="n">
        <v>45979.97458333334</v>
      </c>
      <c r="C620" s="1" t="n">
        <v>46075</v>
      </c>
      <c r="D620" t="inlineStr">
        <is>
          <t>ÖREBRO LÄN</t>
        </is>
      </c>
      <c r="E620" t="inlineStr">
        <is>
          <t>LINDESBERG</t>
        </is>
      </c>
      <c r="F620" t="inlineStr">
        <is>
          <t>Sveaskog</t>
        </is>
      </c>
      <c r="G620" t="n">
        <v>9.1</v>
      </c>
      <c r="H620" t="n">
        <v>0</v>
      </c>
      <c r="I620" t="n">
        <v>0</v>
      </c>
      <c r="J620" t="n">
        <v>0</v>
      </c>
      <c r="K620" t="n">
        <v>0</v>
      </c>
      <c r="L620" t="n">
        <v>0</v>
      </c>
      <c r="M620" t="n">
        <v>0</v>
      </c>
      <c r="N620" t="n">
        <v>0</v>
      </c>
      <c r="O620" t="n">
        <v>0</v>
      </c>
      <c r="P620" t="n">
        <v>0</v>
      </c>
      <c r="Q620" t="n">
        <v>0</v>
      </c>
      <c r="R620" s="2" t="inlineStr"/>
    </row>
    <row r="621" ht="15" customHeight="1">
      <c r="A621" t="inlineStr">
        <is>
          <t>A 57314-2025</t>
        </is>
      </c>
      <c r="B621" s="1" t="n">
        <v>45980.00710648148</v>
      </c>
      <c r="C621" s="1" t="n">
        <v>46075</v>
      </c>
      <c r="D621" t="inlineStr">
        <is>
          <t>ÖREBRO LÄN</t>
        </is>
      </c>
      <c r="E621" t="inlineStr">
        <is>
          <t>LINDESBERG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57315-2025</t>
        </is>
      </c>
      <c r="B622" s="1" t="n">
        <v>45980.00753472222</v>
      </c>
      <c r="C622" s="1" t="n">
        <v>46075</v>
      </c>
      <c r="D622" t="inlineStr">
        <is>
          <t>ÖREBRO LÄN</t>
        </is>
      </c>
      <c r="E622" t="inlineStr">
        <is>
          <t>LINDESBERG</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57316-2025</t>
        </is>
      </c>
      <c r="B623" s="1" t="n">
        <v>45980.0115625</v>
      </c>
      <c r="C623" s="1" t="n">
        <v>46075</v>
      </c>
      <c r="D623" t="inlineStr">
        <is>
          <t>ÖREBRO LÄN</t>
        </is>
      </c>
      <c r="E623" t="inlineStr">
        <is>
          <t>LINDESBERG</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57320-2025</t>
        </is>
      </c>
      <c r="B624" s="1" t="n">
        <v>45980.01553240741</v>
      </c>
      <c r="C624" s="1" t="n">
        <v>46075</v>
      </c>
      <c r="D624" t="inlineStr">
        <is>
          <t>ÖREBRO LÄN</t>
        </is>
      </c>
      <c r="E624" t="inlineStr">
        <is>
          <t>LINDESBERG</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57363-2025</t>
        </is>
      </c>
      <c r="B625" s="1" t="n">
        <v>45980.3716087963</v>
      </c>
      <c r="C625" s="1" t="n">
        <v>46075</v>
      </c>
      <c r="D625" t="inlineStr">
        <is>
          <t>ÖREBRO LÄN</t>
        </is>
      </c>
      <c r="E625" t="inlineStr">
        <is>
          <t>LINDESBERG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57356-2025</t>
        </is>
      </c>
      <c r="B626" s="1" t="n">
        <v>45980.36633101852</v>
      </c>
      <c r="C626" s="1" t="n">
        <v>46075</v>
      </c>
      <c r="D626" t="inlineStr">
        <is>
          <t>ÖREBRO LÄN</t>
        </is>
      </c>
      <c r="E626" t="inlineStr">
        <is>
          <t>LINDESBERG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10654-2023</t>
        </is>
      </c>
      <c r="B627" s="1" t="n">
        <v>44984</v>
      </c>
      <c r="C627" s="1" t="n">
        <v>46075</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57358-2025</t>
        </is>
      </c>
      <c r="B628" s="1" t="n">
        <v>45980.36679398148</v>
      </c>
      <c r="C628" s="1" t="n">
        <v>46075</v>
      </c>
      <c r="D628" t="inlineStr">
        <is>
          <t>ÖREBRO LÄN</t>
        </is>
      </c>
      <c r="E628" t="inlineStr">
        <is>
          <t>LINDESBERG</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63125-2023</t>
        </is>
      </c>
      <c r="B629" s="1" t="n">
        <v>45273</v>
      </c>
      <c r="C629" s="1" t="n">
        <v>46075</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58166-2025</t>
        </is>
      </c>
      <c r="B630" s="1" t="n">
        <v>45982.71017361111</v>
      </c>
      <c r="C630" s="1" t="n">
        <v>46075</v>
      </c>
      <c r="D630" t="inlineStr">
        <is>
          <t>ÖREBRO LÄN</t>
        </is>
      </c>
      <c r="E630" t="inlineStr">
        <is>
          <t>LINDESBERG</t>
        </is>
      </c>
      <c r="G630" t="n">
        <v>2.5</v>
      </c>
      <c r="H630" t="n">
        <v>0</v>
      </c>
      <c r="I630" t="n">
        <v>0</v>
      </c>
      <c r="J630" t="n">
        <v>0</v>
      </c>
      <c r="K630" t="n">
        <v>0</v>
      </c>
      <c r="L630" t="n">
        <v>0</v>
      </c>
      <c r="M630" t="n">
        <v>0</v>
      </c>
      <c r="N630" t="n">
        <v>0</v>
      </c>
      <c r="O630" t="n">
        <v>0</v>
      </c>
      <c r="P630" t="n">
        <v>0</v>
      </c>
      <c r="Q630" t="n">
        <v>0</v>
      </c>
      <c r="R630" s="2" t="inlineStr"/>
    </row>
    <row r="631" ht="15" customHeight="1">
      <c r="A631" t="inlineStr">
        <is>
          <t>A 14454-2024</t>
        </is>
      </c>
      <c r="B631" s="1" t="n">
        <v>45394.51289351852</v>
      </c>
      <c r="C631" s="1" t="n">
        <v>46075</v>
      </c>
      <c r="D631" t="inlineStr">
        <is>
          <t>ÖREBRO LÄN</t>
        </is>
      </c>
      <c r="E631" t="inlineStr">
        <is>
          <t>LINDESBERG</t>
        </is>
      </c>
      <c r="G631" t="n">
        <v>1.9</v>
      </c>
      <c r="H631" t="n">
        <v>0</v>
      </c>
      <c r="I631" t="n">
        <v>0</v>
      </c>
      <c r="J631" t="n">
        <v>0</v>
      </c>
      <c r="K631" t="n">
        <v>0</v>
      </c>
      <c r="L631" t="n">
        <v>0</v>
      </c>
      <c r="M631" t="n">
        <v>0</v>
      </c>
      <c r="N631" t="n">
        <v>0</v>
      </c>
      <c r="O631" t="n">
        <v>0</v>
      </c>
      <c r="P631" t="n">
        <v>0</v>
      </c>
      <c r="Q631" t="n">
        <v>0</v>
      </c>
      <c r="R631" s="2" t="inlineStr"/>
    </row>
    <row r="632" ht="15" customHeight="1">
      <c r="A632" t="inlineStr">
        <is>
          <t>A 61960-2024</t>
        </is>
      </c>
      <c r="B632" s="1" t="n">
        <v>45653.53664351852</v>
      </c>
      <c r="C632" s="1" t="n">
        <v>46075</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34436-2023</t>
        </is>
      </c>
      <c r="B633" s="1" t="n">
        <v>45139.64328703703</v>
      </c>
      <c r="C633" s="1" t="n">
        <v>46075</v>
      </c>
      <c r="D633" t="inlineStr">
        <is>
          <t>ÖREBRO LÄN</t>
        </is>
      </c>
      <c r="E633" t="inlineStr">
        <is>
          <t>LINDESBERG</t>
        </is>
      </c>
      <c r="F633" t="inlineStr">
        <is>
          <t>Kyrkan</t>
        </is>
      </c>
      <c r="G633" t="n">
        <v>5.8</v>
      </c>
      <c r="H633" t="n">
        <v>0</v>
      </c>
      <c r="I633" t="n">
        <v>0</v>
      </c>
      <c r="J633" t="n">
        <v>0</v>
      </c>
      <c r="K633" t="n">
        <v>0</v>
      </c>
      <c r="L633" t="n">
        <v>0</v>
      </c>
      <c r="M633" t="n">
        <v>0</v>
      </c>
      <c r="N633" t="n">
        <v>0</v>
      </c>
      <c r="O633" t="n">
        <v>0</v>
      </c>
      <c r="P633" t="n">
        <v>0</v>
      </c>
      <c r="Q633" t="n">
        <v>0</v>
      </c>
      <c r="R633" s="2" t="inlineStr"/>
    </row>
    <row r="634" ht="15" customHeight="1">
      <c r="A634" t="inlineStr">
        <is>
          <t>A 54860-2024</t>
        </is>
      </c>
      <c r="B634" s="1" t="n">
        <v>45618.59219907408</v>
      </c>
      <c r="C634" s="1" t="n">
        <v>46075</v>
      </c>
      <c r="D634" t="inlineStr">
        <is>
          <t>ÖREBRO LÄN</t>
        </is>
      </c>
      <c r="E634" t="inlineStr">
        <is>
          <t>LINDESBERG</t>
        </is>
      </c>
      <c r="F634" t="inlineStr">
        <is>
          <t>Sveaskog</t>
        </is>
      </c>
      <c r="G634" t="n">
        <v>0.3</v>
      </c>
      <c r="H634" t="n">
        <v>0</v>
      </c>
      <c r="I634" t="n">
        <v>0</v>
      </c>
      <c r="J634" t="n">
        <v>0</v>
      </c>
      <c r="K634" t="n">
        <v>0</v>
      </c>
      <c r="L634" t="n">
        <v>0</v>
      </c>
      <c r="M634" t="n">
        <v>0</v>
      </c>
      <c r="N634" t="n">
        <v>0</v>
      </c>
      <c r="O634" t="n">
        <v>0</v>
      </c>
      <c r="P634" t="n">
        <v>0</v>
      </c>
      <c r="Q634" t="n">
        <v>0</v>
      </c>
      <c r="R634" s="2" t="inlineStr"/>
    </row>
    <row r="635" ht="15" customHeight="1">
      <c r="A635" t="inlineStr">
        <is>
          <t>A 58963-2025</t>
        </is>
      </c>
      <c r="B635" s="1" t="n">
        <v>45987.60012731481</v>
      </c>
      <c r="C635" s="1" t="n">
        <v>46075</v>
      </c>
      <c r="D635" t="inlineStr">
        <is>
          <t>ÖREBRO LÄN</t>
        </is>
      </c>
      <c r="E635" t="inlineStr">
        <is>
          <t>LINDESBERG</t>
        </is>
      </c>
      <c r="G635" t="n">
        <v>0.8</v>
      </c>
      <c r="H635" t="n">
        <v>0</v>
      </c>
      <c r="I635" t="n">
        <v>0</v>
      </c>
      <c r="J635" t="n">
        <v>0</v>
      </c>
      <c r="K635" t="n">
        <v>0</v>
      </c>
      <c r="L635" t="n">
        <v>0</v>
      </c>
      <c r="M635" t="n">
        <v>0</v>
      </c>
      <c r="N635" t="n">
        <v>0</v>
      </c>
      <c r="O635" t="n">
        <v>0</v>
      </c>
      <c r="P635" t="n">
        <v>0</v>
      </c>
      <c r="Q635" t="n">
        <v>0</v>
      </c>
      <c r="R635" s="2" t="inlineStr"/>
    </row>
    <row r="636" ht="15" customHeight="1">
      <c r="A636" t="inlineStr">
        <is>
          <t>A 6181-2025</t>
        </is>
      </c>
      <c r="B636" s="1" t="n">
        <v>45698</v>
      </c>
      <c r="C636" s="1" t="n">
        <v>46075</v>
      </c>
      <c r="D636" t="inlineStr">
        <is>
          <t>ÖREBRO LÄN</t>
        </is>
      </c>
      <c r="E636" t="inlineStr">
        <is>
          <t>LINDESBERG</t>
        </is>
      </c>
      <c r="G636" t="n">
        <v>2.8</v>
      </c>
      <c r="H636" t="n">
        <v>0</v>
      </c>
      <c r="I636" t="n">
        <v>0</v>
      </c>
      <c r="J636" t="n">
        <v>0</v>
      </c>
      <c r="K636" t="n">
        <v>0</v>
      </c>
      <c r="L636" t="n">
        <v>0</v>
      </c>
      <c r="M636" t="n">
        <v>0</v>
      </c>
      <c r="N636" t="n">
        <v>0</v>
      </c>
      <c r="O636" t="n">
        <v>0</v>
      </c>
      <c r="P636" t="n">
        <v>0</v>
      </c>
      <c r="Q636" t="n">
        <v>0</v>
      </c>
      <c r="R636" s="2" t="inlineStr"/>
    </row>
    <row r="637" ht="15" customHeight="1">
      <c r="A637" t="inlineStr">
        <is>
          <t>A 8612-2024</t>
        </is>
      </c>
      <c r="B637" s="1" t="n">
        <v>45355.70009259259</v>
      </c>
      <c r="C637" s="1" t="n">
        <v>46075</v>
      </c>
      <c r="D637" t="inlineStr">
        <is>
          <t>ÖREBRO LÄN</t>
        </is>
      </c>
      <c r="E637" t="inlineStr">
        <is>
          <t>LINDESBERG</t>
        </is>
      </c>
      <c r="G637" t="n">
        <v>4.5</v>
      </c>
      <c r="H637" t="n">
        <v>0</v>
      </c>
      <c r="I637" t="n">
        <v>0</v>
      </c>
      <c r="J637" t="n">
        <v>0</v>
      </c>
      <c r="K637" t="n">
        <v>0</v>
      </c>
      <c r="L637" t="n">
        <v>0</v>
      </c>
      <c r="M637" t="n">
        <v>0</v>
      </c>
      <c r="N637" t="n">
        <v>0</v>
      </c>
      <c r="O637" t="n">
        <v>0</v>
      </c>
      <c r="P637" t="n">
        <v>0</v>
      </c>
      <c r="Q637" t="n">
        <v>0</v>
      </c>
      <c r="R637" s="2" t="inlineStr"/>
    </row>
    <row r="638" ht="15" customHeight="1">
      <c r="A638" t="inlineStr">
        <is>
          <t>A 7126-2025</t>
        </is>
      </c>
      <c r="B638" s="1" t="n">
        <v>45702</v>
      </c>
      <c r="C638" s="1" t="n">
        <v>46075</v>
      </c>
      <c r="D638" t="inlineStr">
        <is>
          <t>ÖREBRO LÄN</t>
        </is>
      </c>
      <c r="E638" t="inlineStr">
        <is>
          <t>LINDESBERG</t>
        </is>
      </c>
      <c r="G638" t="n">
        <v>1.3</v>
      </c>
      <c r="H638" t="n">
        <v>0</v>
      </c>
      <c r="I638" t="n">
        <v>0</v>
      </c>
      <c r="J638" t="n">
        <v>0</v>
      </c>
      <c r="K638" t="n">
        <v>0</v>
      </c>
      <c r="L638" t="n">
        <v>0</v>
      </c>
      <c r="M638" t="n">
        <v>0</v>
      </c>
      <c r="N638" t="n">
        <v>0</v>
      </c>
      <c r="O638" t="n">
        <v>0</v>
      </c>
      <c r="P638" t="n">
        <v>0</v>
      </c>
      <c r="Q638" t="n">
        <v>0</v>
      </c>
      <c r="R638" s="2" t="inlineStr"/>
    </row>
    <row r="639" ht="15" customHeight="1">
      <c r="A639" t="inlineStr">
        <is>
          <t>A 9961-2023</t>
        </is>
      </c>
      <c r="B639" s="1" t="n">
        <v>44979</v>
      </c>
      <c r="C639" s="1" t="n">
        <v>46075</v>
      </c>
      <c r="D639" t="inlineStr">
        <is>
          <t>ÖREBRO LÄN</t>
        </is>
      </c>
      <c r="E639" t="inlineStr">
        <is>
          <t>LINDESBERG</t>
        </is>
      </c>
      <c r="G639" t="n">
        <v>4.8</v>
      </c>
      <c r="H639" t="n">
        <v>0</v>
      </c>
      <c r="I639" t="n">
        <v>0</v>
      </c>
      <c r="J639" t="n">
        <v>0</v>
      </c>
      <c r="K639" t="n">
        <v>0</v>
      </c>
      <c r="L639" t="n">
        <v>0</v>
      </c>
      <c r="M639" t="n">
        <v>0</v>
      </c>
      <c r="N639" t="n">
        <v>0</v>
      </c>
      <c r="O639" t="n">
        <v>0</v>
      </c>
      <c r="P639" t="n">
        <v>0</v>
      </c>
      <c r="Q639" t="n">
        <v>0</v>
      </c>
      <c r="R639" s="2" t="inlineStr"/>
    </row>
    <row r="640" ht="15" customHeight="1">
      <c r="A640" t="inlineStr">
        <is>
          <t>A 21084-2021</t>
        </is>
      </c>
      <c r="B640" s="1" t="n">
        <v>44319</v>
      </c>
      <c r="C640" s="1" t="n">
        <v>46075</v>
      </c>
      <c r="D640" t="inlineStr">
        <is>
          <t>ÖREBRO LÄN</t>
        </is>
      </c>
      <c r="E640" t="inlineStr">
        <is>
          <t>LINDESBERG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1749-2026</t>
        </is>
      </c>
      <c r="B641" s="1" t="n">
        <v>46034.65601851852</v>
      </c>
      <c r="C641" s="1" t="n">
        <v>46075</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5047-2023</t>
        </is>
      </c>
      <c r="B642" s="1" t="n">
        <v>44958.58982638889</v>
      </c>
      <c r="C642" s="1" t="n">
        <v>46075</v>
      </c>
      <c r="D642" t="inlineStr">
        <is>
          <t>ÖREBRO LÄN</t>
        </is>
      </c>
      <c r="E642" t="inlineStr">
        <is>
          <t>LINDESBERG</t>
        </is>
      </c>
      <c r="G642" t="n">
        <v>2</v>
      </c>
      <c r="H642" t="n">
        <v>0</v>
      </c>
      <c r="I642" t="n">
        <v>0</v>
      </c>
      <c r="J642" t="n">
        <v>0</v>
      </c>
      <c r="K642" t="n">
        <v>0</v>
      </c>
      <c r="L642" t="n">
        <v>0</v>
      </c>
      <c r="M642" t="n">
        <v>0</v>
      </c>
      <c r="N642" t="n">
        <v>0</v>
      </c>
      <c r="O642" t="n">
        <v>0</v>
      </c>
      <c r="P642" t="n">
        <v>0</v>
      </c>
      <c r="Q642" t="n">
        <v>0</v>
      </c>
      <c r="R642" s="2" t="inlineStr"/>
    </row>
    <row r="643" ht="15" customHeight="1">
      <c r="A643" t="inlineStr">
        <is>
          <t>A 18590-2023</t>
        </is>
      </c>
      <c r="B643" s="1" t="n">
        <v>45043.40300925926</v>
      </c>
      <c r="C643" s="1" t="n">
        <v>46075</v>
      </c>
      <c r="D643" t="inlineStr">
        <is>
          <t>ÖREBRO LÄN</t>
        </is>
      </c>
      <c r="E643" t="inlineStr">
        <is>
          <t>LINDESBERG</t>
        </is>
      </c>
      <c r="G643" t="n">
        <v>2.4</v>
      </c>
      <c r="H643" t="n">
        <v>0</v>
      </c>
      <c r="I643" t="n">
        <v>0</v>
      </c>
      <c r="J643" t="n">
        <v>0</v>
      </c>
      <c r="K643" t="n">
        <v>0</v>
      </c>
      <c r="L643" t="n">
        <v>0</v>
      </c>
      <c r="M643" t="n">
        <v>0</v>
      </c>
      <c r="N643" t="n">
        <v>0</v>
      </c>
      <c r="O643" t="n">
        <v>0</v>
      </c>
      <c r="P643" t="n">
        <v>0</v>
      </c>
      <c r="Q643" t="n">
        <v>0</v>
      </c>
      <c r="R643" s="2" t="inlineStr"/>
    </row>
    <row r="644" ht="15" customHeight="1">
      <c r="A644" t="inlineStr">
        <is>
          <t>A 5784-2025</t>
        </is>
      </c>
      <c r="B644" s="1" t="n">
        <v>45694</v>
      </c>
      <c r="C644" s="1" t="n">
        <v>46075</v>
      </c>
      <c r="D644" t="inlineStr">
        <is>
          <t>ÖREBRO LÄN</t>
        </is>
      </c>
      <c r="E644" t="inlineStr">
        <is>
          <t>LINDESBERG</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16448-2025</t>
        </is>
      </c>
      <c r="B645" s="1" t="n">
        <v>45751.5056712963</v>
      </c>
      <c r="C645" s="1" t="n">
        <v>46075</v>
      </c>
      <c r="D645" t="inlineStr">
        <is>
          <t>ÖREBRO LÄN</t>
        </is>
      </c>
      <c r="E645" t="inlineStr">
        <is>
          <t>LINDESBERG</t>
        </is>
      </c>
      <c r="G645" t="n">
        <v>20.1</v>
      </c>
      <c r="H645" t="n">
        <v>0</v>
      </c>
      <c r="I645" t="n">
        <v>0</v>
      </c>
      <c r="J645" t="n">
        <v>0</v>
      </c>
      <c r="K645" t="n">
        <v>0</v>
      </c>
      <c r="L645" t="n">
        <v>0</v>
      </c>
      <c r="M645" t="n">
        <v>0</v>
      </c>
      <c r="N645" t="n">
        <v>0</v>
      </c>
      <c r="O645" t="n">
        <v>0</v>
      </c>
      <c r="P645" t="n">
        <v>0</v>
      </c>
      <c r="Q645" t="n">
        <v>0</v>
      </c>
      <c r="R645" s="2" t="inlineStr"/>
    </row>
    <row r="646" ht="15" customHeight="1">
      <c r="A646" t="inlineStr">
        <is>
          <t>A 54432-2023</t>
        </is>
      </c>
      <c r="B646" s="1" t="n">
        <v>45233.42121527778</v>
      </c>
      <c r="C646" s="1" t="n">
        <v>46075</v>
      </c>
      <c r="D646" t="inlineStr">
        <is>
          <t>ÖREBRO LÄN</t>
        </is>
      </c>
      <c r="E646" t="inlineStr">
        <is>
          <t>LINDESBERG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2556-2026</t>
        </is>
      </c>
      <c r="B647" s="1" t="n">
        <v>46035</v>
      </c>
      <c r="C647" s="1" t="n">
        <v>46075</v>
      </c>
      <c r="D647" t="inlineStr">
        <is>
          <t>ÖREBRO LÄN</t>
        </is>
      </c>
      <c r="E647" t="inlineStr">
        <is>
          <t>LINDESBERG</t>
        </is>
      </c>
      <c r="G647" t="n">
        <v>3.4</v>
      </c>
      <c r="H647" t="n">
        <v>0</v>
      </c>
      <c r="I647" t="n">
        <v>0</v>
      </c>
      <c r="J647" t="n">
        <v>0</v>
      </c>
      <c r="K647" t="n">
        <v>0</v>
      </c>
      <c r="L647" t="n">
        <v>0</v>
      </c>
      <c r="M647" t="n">
        <v>0</v>
      </c>
      <c r="N647" t="n">
        <v>0</v>
      </c>
      <c r="O647" t="n">
        <v>0</v>
      </c>
      <c r="P647" t="n">
        <v>0</v>
      </c>
      <c r="Q647" t="n">
        <v>0</v>
      </c>
      <c r="R647" s="2" t="inlineStr"/>
    </row>
    <row r="648" ht="15" customHeight="1">
      <c r="A648" t="inlineStr">
        <is>
          <t>A 60400-2025</t>
        </is>
      </c>
      <c r="B648" s="1" t="n">
        <v>45995</v>
      </c>
      <c r="C648" s="1" t="n">
        <v>46075</v>
      </c>
      <c r="D648" t="inlineStr">
        <is>
          <t>ÖREBRO LÄN</t>
        </is>
      </c>
      <c r="E648" t="inlineStr">
        <is>
          <t>LINDESBERG</t>
        </is>
      </c>
      <c r="G648" t="n">
        <v>11.2</v>
      </c>
      <c r="H648" t="n">
        <v>0</v>
      </c>
      <c r="I648" t="n">
        <v>0</v>
      </c>
      <c r="J648" t="n">
        <v>0</v>
      </c>
      <c r="K648" t="n">
        <v>0</v>
      </c>
      <c r="L648" t="n">
        <v>0</v>
      </c>
      <c r="M648" t="n">
        <v>0</v>
      </c>
      <c r="N648" t="n">
        <v>0</v>
      </c>
      <c r="O648" t="n">
        <v>0</v>
      </c>
      <c r="P648" t="n">
        <v>0</v>
      </c>
      <c r="Q648" t="n">
        <v>0</v>
      </c>
      <c r="R648" s="2" t="inlineStr"/>
    </row>
    <row r="649" ht="15" customHeight="1">
      <c r="A649" t="inlineStr">
        <is>
          <t>A 2704-2026</t>
        </is>
      </c>
      <c r="B649" s="1" t="n">
        <v>46037.69133101852</v>
      </c>
      <c r="C649" s="1" t="n">
        <v>46075</v>
      </c>
      <c r="D649" t="inlineStr">
        <is>
          <t>ÖREBRO LÄN</t>
        </is>
      </c>
      <c r="E649" t="inlineStr">
        <is>
          <t>LINDESBERG</t>
        </is>
      </c>
      <c r="G649" t="n">
        <v>1.9</v>
      </c>
      <c r="H649" t="n">
        <v>0</v>
      </c>
      <c r="I649" t="n">
        <v>0</v>
      </c>
      <c r="J649" t="n">
        <v>0</v>
      </c>
      <c r="K649" t="n">
        <v>0</v>
      </c>
      <c r="L649" t="n">
        <v>0</v>
      </c>
      <c r="M649" t="n">
        <v>0</v>
      </c>
      <c r="N649" t="n">
        <v>0</v>
      </c>
      <c r="O649" t="n">
        <v>0</v>
      </c>
      <c r="P649" t="n">
        <v>0</v>
      </c>
      <c r="Q649" t="n">
        <v>0</v>
      </c>
      <c r="R649" s="2" t="inlineStr"/>
    </row>
    <row r="650" ht="15" customHeight="1">
      <c r="A650" t="inlineStr">
        <is>
          <t>A 9436-2023</t>
        </is>
      </c>
      <c r="B650" s="1" t="n">
        <v>44981</v>
      </c>
      <c r="C650" s="1" t="n">
        <v>46075</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60200-2024</t>
        </is>
      </c>
      <c r="B651" s="1" t="n">
        <v>45642.66184027777</v>
      </c>
      <c r="C651" s="1" t="n">
        <v>46075</v>
      </c>
      <c r="D651" t="inlineStr">
        <is>
          <t>ÖREBRO LÄN</t>
        </is>
      </c>
      <c r="E651" t="inlineStr">
        <is>
          <t>LINDESBERG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60450-2025</t>
        </is>
      </c>
      <c r="B652" s="1" t="n">
        <v>45995</v>
      </c>
      <c r="C652" s="1" t="n">
        <v>46075</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2902-2026</t>
        </is>
      </c>
      <c r="B653" s="1" t="n">
        <v>46038.55849537037</v>
      </c>
      <c r="C653" s="1" t="n">
        <v>46075</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2949-2026</t>
        </is>
      </c>
      <c r="B654" s="1" t="n">
        <v>46038.59640046296</v>
      </c>
      <c r="C654" s="1" t="n">
        <v>46075</v>
      </c>
      <c r="D654" t="inlineStr">
        <is>
          <t>ÖREBRO LÄN</t>
        </is>
      </c>
      <c r="E654" t="inlineStr">
        <is>
          <t>LINDESBERG</t>
        </is>
      </c>
      <c r="G654" t="n">
        <v>4</v>
      </c>
      <c r="H654" t="n">
        <v>0</v>
      </c>
      <c r="I654" t="n">
        <v>0</v>
      </c>
      <c r="J654" t="n">
        <v>0</v>
      </c>
      <c r="K654" t="n">
        <v>0</v>
      </c>
      <c r="L654" t="n">
        <v>0</v>
      </c>
      <c r="M654" t="n">
        <v>0</v>
      </c>
      <c r="N654" t="n">
        <v>0</v>
      </c>
      <c r="O654" t="n">
        <v>0</v>
      </c>
      <c r="P654" t="n">
        <v>0</v>
      </c>
      <c r="Q654" t="n">
        <v>0</v>
      </c>
      <c r="R654" s="2" t="inlineStr"/>
    </row>
    <row r="655" ht="15" customHeight="1">
      <c r="A655" t="inlineStr">
        <is>
          <t>A 3227-2026</t>
        </is>
      </c>
      <c r="B655" s="1" t="n">
        <v>46041.54181712963</v>
      </c>
      <c r="C655" s="1" t="n">
        <v>46075</v>
      </c>
      <c r="D655" t="inlineStr">
        <is>
          <t>ÖREBRO LÄN</t>
        </is>
      </c>
      <c r="E655" t="inlineStr">
        <is>
          <t>LINDESBERG</t>
        </is>
      </c>
      <c r="G655" t="n">
        <v>4.4</v>
      </c>
      <c r="H655" t="n">
        <v>0</v>
      </c>
      <c r="I655" t="n">
        <v>0</v>
      </c>
      <c r="J655" t="n">
        <v>0</v>
      </c>
      <c r="K655" t="n">
        <v>0</v>
      </c>
      <c r="L655" t="n">
        <v>0</v>
      </c>
      <c r="M655" t="n">
        <v>0</v>
      </c>
      <c r="N655" t="n">
        <v>0</v>
      </c>
      <c r="O655" t="n">
        <v>0</v>
      </c>
      <c r="P655" t="n">
        <v>0</v>
      </c>
      <c r="Q655" t="n">
        <v>0</v>
      </c>
      <c r="R655" s="2" t="inlineStr"/>
    </row>
    <row r="656" ht="15" customHeight="1">
      <c r="A656" t="inlineStr">
        <is>
          <t>A 2969-2026</t>
        </is>
      </c>
      <c r="B656" s="1" t="n">
        <v>46038.61912037037</v>
      </c>
      <c r="C656" s="1" t="n">
        <v>46075</v>
      </c>
      <c r="D656" t="inlineStr">
        <is>
          <t>ÖREBRO LÄN</t>
        </is>
      </c>
      <c r="E656" t="inlineStr">
        <is>
          <t>LINDESBERG</t>
        </is>
      </c>
      <c r="G656" t="n">
        <v>2.6</v>
      </c>
      <c r="H656" t="n">
        <v>0</v>
      </c>
      <c r="I656" t="n">
        <v>0</v>
      </c>
      <c r="J656" t="n">
        <v>0</v>
      </c>
      <c r="K656" t="n">
        <v>0</v>
      </c>
      <c r="L656" t="n">
        <v>0</v>
      </c>
      <c r="M656" t="n">
        <v>0</v>
      </c>
      <c r="N656" t="n">
        <v>0</v>
      </c>
      <c r="O656" t="n">
        <v>0</v>
      </c>
      <c r="P656" t="n">
        <v>0</v>
      </c>
      <c r="Q656" t="n">
        <v>0</v>
      </c>
      <c r="R656" s="2" t="inlineStr"/>
    </row>
    <row r="657" ht="15" customHeight="1">
      <c r="A657" t="inlineStr">
        <is>
          <t>A 60806-2025</t>
        </is>
      </c>
      <c r="B657" s="1" t="n">
        <v>45999.43730324074</v>
      </c>
      <c r="C657" s="1" t="n">
        <v>46075</v>
      </c>
      <c r="D657" t="inlineStr">
        <is>
          <t>ÖREBRO LÄN</t>
        </is>
      </c>
      <c r="E657" t="inlineStr">
        <is>
          <t>LINDESBERG</t>
        </is>
      </c>
      <c r="G657" t="n">
        <v>7.9</v>
      </c>
      <c r="H657" t="n">
        <v>0</v>
      </c>
      <c r="I657" t="n">
        <v>0</v>
      </c>
      <c r="J657" t="n">
        <v>0</v>
      </c>
      <c r="K657" t="n">
        <v>0</v>
      </c>
      <c r="L657" t="n">
        <v>0</v>
      </c>
      <c r="M657" t="n">
        <v>0</v>
      </c>
      <c r="N657" t="n">
        <v>0</v>
      </c>
      <c r="O657" t="n">
        <v>0</v>
      </c>
      <c r="P657" t="n">
        <v>0</v>
      </c>
      <c r="Q657" t="n">
        <v>0</v>
      </c>
      <c r="R657" s="2" t="inlineStr"/>
    </row>
    <row r="658" ht="15" customHeight="1">
      <c r="A658" t="inlineStr">
        <is>
          <t>A 36747-2024</t>
        </is>
      </c>
      <c r="B658" s="1" t="n">
        <v>45538.34193287037</v>
      </c>
      <c r="C658" s="1" t="n">
        <v>46075</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13305-2023</t>
        </is>
      </c>
      <c r="B659" s="1" t="n">
        <v>45005.35967592592</v>
      </c>
      <c r="C659" s="1" t="n">
        <v>46075</v>
      </c>
      <c r="D659" t="inlineStr">
        <is>
          <t>ÖREBRO LÄN</t>
        </is>
      </c>
      <c r="E659" t="inlineStr">
        <is>
          <t>LINDESBERG</t>
        </is>
      </c>
      <c r="G659" t="n">
        <v>5.5</v>
      </c>
      <c r="H659" t="n">
        <v>0</v>
      </c>
      <c r="I659" t="n">
        <v>0</v>
      </c>
      <c r="J659" t="n">
        <v>0</v>
      </c>
      <c r="K659" t="n">
        <v>0</v>
      </c>
      <c r="L659" t="n">
        <v>0</v>
      </c>
      <c r="M659" t="n">
        <v>0</v>
      </c>
      <c r="N659" t="n">
        <v>0</v>
      </c>
      <c r="O659" t="n">
        <v>0</v>
      </c>
      <c r="P659" t="n">
        <v>0</v>
      </c>
      <c r="Q659" t="n">
        <v>0</v>
      </c>
      <c r="R659" s="2" t="inlineStr"/>
    </row>
    <row r="660" ht="15" customHeight="1">
      <c r="A660" t="inlineStr">
        <is>
          <t>A 13368-2023</t>
        </is>
      </c>
      <c r="B660" s="1" t="n">
        <v>45005.47820601852</v>
      </c>
      <c r="C660" s="1" t="n">
        <v>46075</v>
      </c>
      <c r="D660" t="inlineStr">
        <is>
          <t>ÖREBRO LÄN</t>
        </is>
      </c>
      <c r="E660" t="inlineStr">
        <is>
          <t>LINDESBERG</t>
        </is>
      </c>
      <c r="F660" t="inlineStr">
        <is>
          <t>Kommuner</t>
        </is>
      </c>
      <c r="G660" t="n">
        <v>0.7</v>
      </c>
      <c r="H660" t="n">
        <v>0</v>
      </c>
      <c r="I660" t="n">
        <v>0</v>
      </c>
      <c r="J660" t="n">
        <v>0</v>
      </c>
      <c r="K660" t="n">
        <v>0</v>
      </c>
      <c r="L660" t="n">
        <v>0</v>
      </c>
      <c r="M660" t="n">
        <v>0</v>
      </c>
      <c r="N660" t="n">
        <v>0</v>
      </c>
      <c r="O660" t="n">
        <v>0</v>
      </c>
      <c r="P660" t="n">
        <v>0</v>
      </c>
      <c r="Q660" t="n">
        <v>0</v>
      </c>
      <c r="R660" s="2" t="inlineStr"/>
    </row>
    <row r="661" ht="15" customHeight="1">
      <c r="A661" t="inlineStr">
        <is>
          <t>A 56912-2024</t>
        </is>
      </c>
      <c r="B661" s="1" t="n">
        <v>45628.59233796296</v>
      </c>
      <c r="C661" s="1" t="n">
        <v>46075</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2859-2026</t>
        </is>
      </c>
      <c r="B662" s="1" t="n">
        <v>46038.49269675926</v>
      </c>
      <c r="C662" s="1" t="n">
        <v>46075</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15745-2024</t>
        </is>
      </c>
      <c r="B663" s="1" t="n">
        <v>45404.55239583334</v>
      </c>
      <c r="C663" s="1" t="n">
        <v>46075</v>
      </c>
      <c r="D663" t="inlineStr">
        <is>
          <t>ÖREBRO LÄN</t>
        </is>
      </c>
      <c r="E663" t="inlineStr">
        <is>
          <t>LINDESBERG</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15750-2024</t>
        </is>
      </c>
      <c r="B664" s="1" t="n">
        <v>45404.55601851852</v>
      </c>
      <c r="C664" s="1" t="n">
        <v>46075</v>
      </c>
      <c r="D664" t="inlineStr">
        <is>
          <t>ÖREBRO LÄN</t>
        </is>
      </c>
      <c r="E664" t="inlineStr">
        <is>
          <t>LINDESBERG</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72698-2021</t>
        </is>
      </c>
      <c r="B665" s="1" t="n">
        <v>44546.6679050926</v>
      </c>
      <c r="C665" s="1" t="n">
        <v>46075</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19110-2025</t>
        </is>
      </c>
      <c r="B666" s="1" t="n">
        <v>45768.49947916667</v>
      </c>
      <c r="C666" s="1" t="n">
        <v>46075</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3315-2026</t>
        </is>
      </c>
      <c r="B667" s="1" t="n">
        <v>46041.68443287037</v>
      </c>
      <c r="C667" s="1" t="n">
        <v>46075</v>
      </c>
      <c r="D667" t="inlineStr">
        <is>
          <t>ÖREBRO LÄN</t>
        </is>
      </c>
      <c r="E667" t="inlineStr">
        <is>
          <t>LINDESBERG</t>
        </is>
      </c>
      <c r="G667" t="n">
        <v>7.6</v>
      </c>
      <c r="H667" t="n">
        <v>0</v>
      </c>
      <c r="I667" t="n">
        <v>0</v>
      </c>
      <c r="J667" t="n">
        <v>0</v>
      </c>
      <c r="K667" t="n">
        <v>0</v>
      </c>
      <c r="L667" t="n">
        <v>0</v>
      </c>
      <c r="M667" t="n">
        <v>0</v>
      </c>
      <c r="N667" t="n">
        <v>0</v>
      </c>
      <c r="O667" t="n">
        <v>0</v>
      </c>
      <c r="P667" t="n">
        <v>0</v>
      </c>
      <c r="Q667" t="n">
        <v>0</v>
      </c>
      <c r="R667" s="2" t="inlineStr"/>
    </row>
    <row r="668" ht="15" customHeight="1">
      <c r="A668" t="inlineStr">
        <is>
          <t>A 46678-2023</t>
        </is>
      </c>
      <c r="B668" s="1" t="n">
        <v>45194</v>
      </c>
      <c r="C668" s="1" t="n">
        <v>46075</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2958-2026</t>
        </is>
      </c>
      <c r="B669" s="1" t="n">
        <v>46038.61067129629</v>
      </c>
      <c r="C669" s="1" t="n">
        <v>46075</v>
      </c>
      <c r="D669" t="inlineStr">
        <is>
          <t>ÖREBRO LÄN</t>
        </is>
      </c>
      <c r="E669" t="inlineStr">
        <is>
          <t>LINDESBERG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23579-2022</t>
        </is>
      </c>
      <c r="B670" s="1" t="n">
        <v>44721.52627314815</v>
      </c>
      <c r="C670" s="1" t="n">
        <v>46075</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2929-2026</t>
        </is>
      </c>
      <c r="B671" s="1" t="n">
        <v>46038.58241898148</v>
      </c>
      <c r="C671" s="1" t="n">
        <v>46075</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53054-2022</t>
        </is>
      </c>
      <c r="B672" s="1" t="n">
        <v>44876.35706018518</v>
      </c>
      <c r="C672" s="1" t="n">
        <v>46075</v>
      </c>
      <c r="D672" t="inlineStr">
        <is>
          <t>ÖREBRO LÄN</t>
        </is>
      </c>
      <c r="E672" t="inlineStr">
        <is>
          <t>LINDESBERG</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20467-2023</t>
        </is>
      </c>
      <c r="B673" s="1" t="n">
        <v>45057</v>
      </c>
      <c r="C673" s="1" t="n">
        <v>46075</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35140-2023</t>
        </is>
      </c>
      <c r="B674" s="1" t="n">
        <v>45145</v>
      </c>
      <c r="C674" s="1" t="n">
        <v>46075</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38762-2021</t>
        </is>
      </c>
      <c r="B675" s="1" t="n">
        <v>44410.61837962963</v>
      </c>
      <c r="C675" s="1" t="n">
        <v>46075</v>
      </c>
      <c r="D675" t="inlineStr">
        <is>
          <t>ÖREBRO LÄN</t>
        </is>
      </c>
      <c r="E675" t="inlineStr">
        <is>
          <t>LINDESBERG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39419-2023</t>
        </is>
      </c>
      <c r="B676" s="1" t="n">
        <v>45166.68493055556</v>
      </c>
      <c r="C676" s="1" t="n">
        <v>46075</v>
      </c>
      <c r="D676" t="inlineStr">
        <is>
          <t>ÖREBRO LÄN</t>
        </is>
      </c>
      <c r="E676" t="inlineStr">
        <is>
          <t>LINDESBERG</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6470-2024</t>
        </is>
      </c>
      <c r="B677" s="1" t="n">
        <v>45338</v>
      </c>
      <c r="C677" s="1" t="n">
        <v>46075</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3660-2026</t>
        </is>
      </c>
      <c r="B678" s="1" t="n">
        <v>46043.38744212963</v>
      </c>
      <c r="C678" s="1" t="n">
        <v>46075</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58697-2024</t>
        </is>
      </c>
      <c r="B679" s="1" t="n">
        <v>45635.63706018519</v>
      </c>
      <c r="C679" s="1" t="n">
        <v>46075</v>
      </c>
      <c r="D679" t="inlineStr">
        <is>
          <t>ÖREBRO LÄN</t>
        </is>
      </c>
      <c r="E679" t="inlineStr">
        <is>
          <t>LINDESBERG</t>
        </is>
      </c>
      <c r="G679" t="n">
        <v>25.1</v>
      </c>
      <c r="H679" t="n">
        <v>0</v>
      </c>
      <c r="I679" t="n">
        <v>0</v>
      </c>
      <c r="J679" t="n">
        <v>0</v>
      </c>
      <c r="K679" t="n">
        <v>0</v>
      </c>
      <c r="L679" t="n">
        <v>0</v>
      </c>
      <c r="M679" t="n">
        <v>0</v>
      </c>
      <c r="N679" t="n">
        <v>0</v>
      </c>
      <c r="O679" t="n">
        <v>0</v>
      </c>
      <c r="P679" t="n">
        <v>0</v>
      </c>
      <c r="Q679" t="n">
        <v>0</v>
      </c>
      <c r="R679" s="2" t="inlineStr"/>
    </row>
    <row r="680" ht="15" customHeight="1">
      <c r="A680" t="inlineStr">
        <is>
          <t>A 45978-2021</t>
        </is>
      </c>
      <c r="B680" s="1" t="n">
        <v>44441.70047453704</v>
      </c>
      <c r="C680" s="1" t="n">
        <v>46075</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11218-2025</t>
        </is>
      </c>
      <c r="B681" s="1" t="n">
        <v>45726.33763888889</v>
      </c>
      <c r="C681" s="1" t="n">
        <v>46075</v>
      </c>
      <c r="D681" t="inlineStr">
        <is>
          <t>ÖREBRO LÄN</t>
        </is>
      </c>
      <c r="E681" t="inlineStr">
        <is>
          <t>LINDESBERG</t>
        </is>
      </c>
      <c r="G681" t="n">
        <v>0.4</v>
      </c>
      <c r="H681" t="n">
        <v>0</v>
      </c>
      <c r="I681" t="n">
        <v>0</v>
      </c>
      <c r="J681" t="n">
        <v>0</v>
      </c>
      <c r="K681" t="n">
        <v>0</v>
      </c>
      <c r="L681" t="n">
        <v>0</v>
      </c>
      <c r="M681" t="n">
        <v>0</v>
      </c>
      <c r="N681" t="n">
        <v>0</v>
      </c>
      <c r="O681" t="n">
        <v>0</v>
      </c>
      <c r="P681" t="n">
        <v>0</v>
      </c>
      <c r="Q681" t="n">
        <v>0</v>
      </c>
      <c r="R681" s="2" t="inlineStr"/>
    </row>
    <row r="682" ht="15" customHeight="1">
      <c r="A682" t="inlineStr">
        <is>
          <t>A 11220-2025</t>
        </is>
      </c>
      <c r="B682" s="1" t="n">
        <v>45726.34090277777</v>
      </c>
      <c r="C682" s="1" t="n">
        <v>46075</v>
      </c>
      <c r="D682" t="inlineStr">
        <is>
          <t>ÖREBRO LÄN</t>
        </is>
      </c>
      <c r="E682" t="inlineStr">
        <is>
          <t>LINDESBERG</t>
        </is>
      </c>
      <c r="G682" t="n">
        <v>1</v>
      </c>
      <c r="H682" t="n">
        <v>0</v>
      </c>
      <c r="I682" t="n">
        <v>0</v>
      </c>
      <c r="J682" t="n">
        <v>0</v>
      </c>
      <c r="K682" t="n">
        <v>0</v>
      </c>
      <c r="L682" t="n">
        <v>0</v>
      </c>
      <c r="M682" t="n">
        <v>0</v>
      </c>
      <c r="N682" t="n">
        <v>0</v>
      </c>
      <c r="O682" t="n">
        <v>0</v>
      </c>
      <c r="P682" t="n">
        <v>0</v>
      </c>
      <c r="Q682" t="n">
        <v>0</v>
      </c>
      <c r="R682" s="2" t="inlineStr"/>
    </row>
    <row r="683" ht="15" customHeight="1">
      <c r="A683" t="inlineStr">
        <is>
          <t>A 61761-2025</t>
        </is>
      </c>
      <c r="B683" s="1" t="n">
        <v>46002.62465277778</v>
      </c>
      <c r="C683" s="1" t="n">
        <v>46075</v>
      </c>
      <c r="D683" t="inlineStr">
        <is>
          <t>ÖREBRO LÄN</t>
        </is>
      </c>
      <c r="E683" t="inlineStr">
        <is>
          <t>LINDESBERG</t>
        </is>
      </c>
      <c r="G683" t="n">
        <v>3.8</v>
      </c>
      <c r="H683" t="n">
        <v>0</v>
      </c>
      <c r="I683" t="n">
        <v>0</v>
      </c>
      <c r="J683" t="n">
        <v>0</v>
      </c>
      <c r="K683" t="n">
        <v>0</v>
      </c>
      <c r="L683" t="n">
        <v>0</v>
      </c>
      <c r="M683" t="n">
        <v>0</v>
      </c>
      <c r="N683" t="n">
        <v>0</v>
      </c>
      <c r="O683" t="n">
        <v>0</v>
      </c>
      <c r="P683" t="n">
        <v>0</v>
      </c>
      <c r="Q683" t="n">
        <v>0</v>
      </c>
      <c r="R683" s="2" t="inlineStr"/>
    </row>
    <row r="684" ht="15" customHeight="1">
      <c r="A684" t="inlineStr">
        <is>
          <t>A 37616-2023</t>
        </is>
      </c>
      <c r="B684" s="1" t="n">
        <v>45159.44525462963</v>
      </c>
      <c r="C684" s="1" t="n">
        <v>46075</v>
      </c>
      <c r="D684" t="inlineStr">
        <is>
          <t>ÖREBRO LÄN</t>
        </is>
      </c>
      <c r="E684" t="inlineStr">
        <is>
          <t>LINDESBERG</t>
        </is>
      </c>
      <c r="G684" t="n">
        <v>5.3</v>
      </c>
      <c r="H684" t="n">
        <v>0</v>
      </c>
      <c r="I684" t="n">
        <v>0</v>
      </c>
      <c r="J684" t="n">
        <v>0</v>
      </c>
      <c r="K684" t="n">
        <v>0</v>
      </c>
      <c r="L684" t="n">
        <v>0</v>
      </c>
      <c r="M684" t="n">
        <v>0</v>
      </c>
      <c r="N684" t="n">
        <v>0</v>
      </c>
      <c r="O684" t="n">
        <v>0</v>
      </c>
      <c r="P684" t="n">
        <v>0</v>
      </c>
      <c r="Q684" t="n">
        <v>0</v>
      </c>
      <c r="R684" s="2" t="inlineStr"/>
    </row>
    <row r="685" ht="15" customHeight="1">
      <c r="A685" t="inlineStr">
        <is>
          <t>A 28562-2023</t>
        </is>
      </c>
      <c r="B685" s="1" t="n">
        <v>45103.53614583334</v>
      </c>
      <c r="C685" s="1" t="n">
        <v>46075</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61745-2025</t>
        </is>
      </c>
      <c r="B686" s="1" t="n">
        <v>46002.60324074074</v>
      </c>
      <c r="C686" s="1" t="n">
        <v>46075</v>
      </c>
      <c r="D686" t="inlineStr">
        <is>
          <t>ÖREBRO LÄN</t>
        </is>
      </c>
      <c r="E686" t="inlineStr">
        <is>
          <t>LINDESBERG</t>
        </is>
      </c>
      <c r="G686" t="n">
        <v>1.8</v>
      </c>
      <c r="H686" t="n">
        <v>0</v>
      </c>
      <c r="I686" t="n">
        <v>0</v>
      </c>
      <c r="J686" t="n">
        <v>0</v>
      </c>
      <c r="K686" t="n">
        <v>0</v>
      </c>
      <c r="L686" t="n">
        <v>0</v>
      </c>
      <c r="M686" t="n">
        <v>0</v>
      </c>
      <c r="N686" t="n">
        <v>0</v>
      </c>
      <c r="O686" t="n">
        <v>0</v>
      </c>
      <c r="P686" t="n">
        <v>0</v>
      </c>
      <c r="Q686" t="n">
        <v>0</v>
      </c>
      <c r="R686" s="2" t="inlineStr"/>
    </row>
    <row r="687" ht="15" customHeight="1">
      <c r="A687" t="inlineStr">
        <is>
          <t>A 21016-2023</t>
        </is>
      </c>
      <c r="B687" s="1" t="n">
        <v>45061.53414351852</v>
      </c>
      <c r="C687" s="1" t="n">
        <v>46075</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64084-2023</t>
        </is>
      </c>
      <c r="B688" s="1" t="n">
        <v>45279</v>
      </c>
      <c r="C688" s="1" t="n">
        <v>46075</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33886-2024</t>
        </is>
      </c>
      <c r="B689" s="1" t="n">
        <v>45523.31621527778</v>
      </c>
      <c r="C689" s="1" t="n">
        <v>46075</v>
      </c>
      <c r="D689" t="inlineStr">
        <is>
          <t>ÖREBRO LÄN</t>
        </is>
      </c>
      <c r="E689" t="inlineStr">
        <is>
          <t>LINDESBERG</t>
        </is>
      </c>
      <c r="G689" t="n">
        <v>1.3</v>
      </c>
      <c r="H689" t="n">
        <v>0</v>
      </c>
      <c r="I689" t="n">
        <v>0</v>
      </c>
      <c r="J689" t="n">
        <v>0</v>
      </c>
      <c r="K689" t="n">
        <v>0</v>
      </c>
      <c r="L689" t="n">
        <v>0</v>
      </c>
      <c r="M689" t="n">
        <v>0</v>
      </c>
      <c r="N689" t="n">
        <v>0</v>
      </c>
      <c r="O689" t="n">
        <v>0</v>
      </c>
      <c r="P689" t="n">
        <v>0</v>
      </c>
      <c r="Q689" t="n">
        <v>0</v>
      </c>
      <c r="R689" s="2" t="inlineStr"/>
    </row>
    <row r="690" ht="15" customHeight="1">
      <c r="A690" t="inlineStr">
        <is>
          <t>A 43046-2022</t>
        </is>
      </c>
      <c r="B690" s="1" t="n">
        <v>44833</v>
      </c>
      <c r="C690" s="1" t="n">
        <v>46075</v>
      </c>
      <c r="D690" t="inlineStr">
        <is>
          <t>ÖREBRO LÄN</t>
        </is>
      </c>
      <c r="E690" t="inlineStr">
        <is>
          <t>LINDESBERG</t>
        </is>
      </c>
      <c r="G690" t="n">
        <v>0.9</v>
      </c>
      <c r="H690" t="n">
        <v>0</v>
      </c>
      <c r="I690" t="n">
        <v>0</v>
      </c>
      <c r="J690" t="n">
        <v>0</v>
      </c>
      <c r="K690" t="n">
        <v>0</v>
      </c>
      <c r="L690" t="n">
        <v>0</v>
      </c>
      <c r="M690" t="n">
        <v>0</v>
      </c>
      <c r="N690" t="n">
        <v>0</v>
      </c>
      <c r="O690" t="n">
        <v>0</v>
      </c>
      <c r="P690" t="n">
        <v>0</v>
      </c>
      <c r="Q690" t="n">
        <v>0</v>
      </c>
      <c r="R690" s="2" t="inlineStr"/>
    </row>
    <row r="691" ht="15" customHeight="1">
      <c r="A691" t="inlineStr">
        <is>
          <t>A 61758-2025</t>
        </is>
      </c>
      <c r="B691" s="1" t="n">
        <v>46002.61762731482</v>
      </c>
      <c r="C691" s="1" t="n">
        <v>46075</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62866-2023</t>
        </is>
      </c>
      <c r="B692" s="1" t="n">
        <v>45272.36168981482</v>
      </c>
      <c r="C692" s="1" t="n">
        <v>46075</v>
      </c>
      <c r="D692" t="inlineStr">
        <is>
          <t>ÖREBRO LÄN</t>
        </is>
      </c>
      <c r="E692" t="inlineStr">
        <is>
          <t>LINDESBERG</t>
        </is>
      </c>
      <c r="G692" t="n">
        <v>14.5</v>
      </c>
      <c r="H692" t="n">
        <v>0</v>
      </c>
      <c r="I692" t="n">
        <v>0</v>
      </c>
      <c r="J692" t="n">
        <v>0</v>
      </c>
      <c r="K692" t="n">
        <v>0</v>
      </c>
      <c r="L692" t="n">
        <v>0</v>
      </c>
      <c r="M692" t="n">
        <v>0</v>
      </c>
      <c r="N692" t="n">
        <v>0</v>
      </c>
      <c r="O692" t="n">
        <v>0</v>
      </c>
      <c r="P692" t="n">
        <v>0</v>
      </c>
      <c r="Q692" t="n">
        <v>0</v>
      </c>
      <c r="R692" s="2" t="inlineStr"/>
    </row>
    <row r="693" ht="15" customHeight="1">
      <c r="A693" t="inlineStr">
        <is>
          <t>A 6-2023</t>
        </is>
      </c>
      <c r="B693" s="1" t="n">
        <v>44927.72487268518</v>
      </c>
      <c r="C693" s="1" t="n">
        <v>46075</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13729-2025</t>
        </is>
      </c>
      <c r="B694" s="1" t="n">
        <v>45737.3846412037</v>
      </c>
      <c r="C694" s="1" t="n">
        <v>46075</v>
      </c>
      <c r="D694" t="inlineStr">
        <is>
          <t>ÖREBRO LÄN</t>
        </is>
      </c>
      <c r="E694" t="inlineStr">
        <is>
          <t>LINDESBERG</t>
        </is>
      </c>
      <c r="F694" t="inlineStr">
        <is>
          <t>Sveaskog</t>
        </is>
      </c>
      <c r="G694" t="n">
        <v>5.4</v>
      </c>
      <c r="H694" t="n">
        <v>0</v>
      </c>
      <c r="I694" t="n">
        <v>0</v>
      </c>
      <c r="J694" t="n">
        <v>0</v>
      </c>
      <c r="K694" t="n">
        <v>0</v>
      </c>
      <c r="L694" t="n">
        <v>0</v>
      </c>
      <c r="M694" t="n">
        <v>0</v>
      </c>
      <c r="N694" t="n">
        <v>0</v>
      </c>
      <c r="O694" t="n">
        <v>0</v>
      </c>
      <c r="P694" t="n">
        <v>0</v>
      </c>
      <c r="Q694" t="n">
        <v>0</v>
      </c>
      <c r="R694" s="2" t="inlineStr"/>
    </row>
    <row r="695" ht="15" customHeight="1">
      <c r="A695" t="inlineStr">
        <is>
          <t>A 41353-2024</t>
        </is>
      </c>
      <c r="B695" s="1" t="n">
        <v>45559</v>
      </c>
      <c r="C695" s="1" t="n">
        <v>46075</v>
      </c>
      <c r="D695" t="inlineStr">
        <is>
          <t>ÖREBRO LÄN</t>
        </is>
      </c>
      <c r="E695" t="inlineStr">
        <is>
          <t>LINDESBERG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58050-2025</t>
        </is>
      </c>
      <c r="B696" s="1" t="n">
        <v>45982</v>
      </c>
      <c r="C696" s="1" t="n">
        <v>46075</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58056-2025</t>
        </is>
      </c>
      <c r="B697" s="1" t="n">
        <v>45982</v>
      </c>
      <c r="C697" s="1" t="n">
        <v>46075</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63508-2023</t>
        </is>
      </c>
      <c r="B698" s="1" t="n">
        <v>45274</v>
      </c>
      <c r="C698" s="1" t="n">
        <v>46075</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46075</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5235-2026</t>
        </is>
      </c>
      <c r="B700" s="1" t="n">
        <v>46049.84017361111</v>
      </c>
      <c r="C700" s="1" t="n">
        <v>46075</v>
      </c>
      <c r="D700" t="inlineStr">
        <is>
          <t>ÖREBRO LÄN</t>
        </is>
      </c>
      <c r="E700" t="inlineStr">
        <is>
          <t>LINDESBERG</t>
        </is>
      </c>
      <c r="G700" t="n">
        <v>4.8</v>
      </c>
      <c r="H700" t="n">
        <v>0</v>
      </c>
      <c r="I700" t="n">
        <v>0</v>
      </c>
      <c r="J700" t="n">
        <v>0</v>
      </c>
      <c r="K700" t="n">
        <v>0</v>
      </c>
      <c r="L700" t="n">
        <v>0</v>
      </c>
      <c r="M700" t="n">
        <v>0</v>
      </c>
      <c r="N700" t="n">
        <v>0</v>
      </c>
      <c r="O700" t="n">
        <v>0</v>
      </c>
      <c r="P700" t="n">
        <v>0</v>
      </c>
      <c r="Q700" t="n">
        <v>0</v>
      </c>
      <c r="R700" s="2" t="inlineStr"/>
    </row>
    <row r="701" ht="15" customHeight="1">
      <c r="A701" t="inlineStr">
        <is>
          <t>A 36136-2023</t>
        </is>
      </c>
      <c r="B701" s="1" t="n">
        <v>45149</v>
      </c>
      <c r="C701" s="1" t="n">
        <v>46075</v>
      </c>
      <c r="D701" t="inlineStr">
        <is>
          <t>ÖREBRO LÄN</t>
        </is>
      </c>
      <c r="E701" t="inlineStr">
        <is>
          <t>LINDESBERG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34025-2024</t>
        </is>
      </c>
      <c r="B702" s="1" t="n">
        <v>45523.58565972222</v>
      </c>
      <c r="C702" s="1" t="n">
        <v>46075</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19077-2025</t>
        </is>
      </c>
      <c r="B703" s="1" t="n">
        <v>45766.33309027777</v>
      </c>
      <c r="C703" s="1" t="n">
        <v>46075</v>
      </c>
      <c r="D703" t="inlineStr">
        <is>
          <t>ÖREBRO LÄN</t>
        </is>
      </c>
      <c r="E703" t="inlineStr">
        <is>
          <t>LINDESBERG</t>
        </is>
      </c>
      <c r="G703" t="n">
        <v>0</v>
      </c>
      <c r="H703" t="n">
        <v>0</v>
      </c>
      <c r="I703" t="n">
        <v>0</v>
      </c>
      <c r="J703" t="n">
        <v>0</v>
      </c>
      <c r="K703" t="n">
        <v>0</v>
      </c>
      <c r="L703" t="n">
        <v>0</v>
      </c>
      <c r="M703" t="n">
        <v>0</v>
      </c>
      <c r="N703" t="n">
        <v>0</v>
      </c>
      <c r="O703" t="n">
        <v>0</v>
      </c>
      <c r="P703" t="n">
        <v>0</v>
      </c>
      <c r="Q703" t="n">
        <v>0</v>
      </c>
      <c r="R703" s="2" t="inlineStr"/>
    </row>
    <row r="704" ht="15" customHeight="1">
      <c r="A704" t="inlineStr">
        <is>
          <t>A 62246-2025</t>
        </is>
      </c>
      <c r="B704" s="1" t="n">
        <v>46006.60633101852</v>
      </c>
      <c r="C704" s="1" t="n">
        <v>46075</v>
      </c>
      <c r="D704" t="inlineStr">
        <is>
          <t>ÖREBRO LÄN</t>
        </is>
      </c>
      <c r="E704" t="inlineStr">
        <is>
          <t>LINDESBERG</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13884-2023</t>
        </is>
      </c>
      <c r="B705" s="1" t="n">
        <v>45007</v>
      </c>
      <c r="C705" s="1" t="n">
        <v>46075</v>
      </c>
      <c r="D705" t="inlineStr">
        <is>
          <t>ÖREBRO LÄN</t>
        </is>
      </c>
      <c r="E705" t="inlineStr">
        <is>
          <t>LINDESBERG</t>
        </is>
      </c>
      <c r="F705" t="inlineStr">
        <is>
          <t>Kommuner</t>
        </is>
      </c>
      <c r="G705" t="n">
        <v>7.7</v>
      </c>
      <c r="H705" t="n">
        <v>0</v>
      </c>
      <c r="I705" t="n">
        <v>0</v>
      </c>
      <c r="J705" t="n">
        <v>0</v>
      </c>
      <c r="K705" t="n">
        <v>0</v>
      </c>
      <c r="L705" t="n">
        <v>0</v>
      </c>
      <c r="M705" t="n">
        <v>0</v>
      </c>
      <c r="N705" t="n">
        <v>0</v>
      </c>
      <c r="O705" t="n">
        <v>0</v>
      </c>
      <c r="P705" t="n">
        <v>0</v>
      </c>
      <c r="Q705" t="n">
        <v>0</v>
      </c>
      <c r="R705" s="2" t="inlineStr"/>
    </row>
    <row r="706" ht="15" customHeight="1">
      <c r="A706" t="inlineStr">
        <is>
          <t>A 50275-2024</t>
        </is>
      </c>
      <c r="B706" s="1" t="n">
        <v>45600.60071759259</v>
      </c>
      <c r="C706" s="1" t="n">
        <v>46075</v>
      </c>
      <c r="D706" t="inlineStr">
        <is>
          <t>ÖREBRO LÄN</t>
        </is>
      </c>
      <c r="E706" t="inlineStr">
        <is>
          <t>LINDESBERG</t>
        </is>
      </c>
      <c r="G706" t="n">
        <v>4.3</v>
      </c>
      <c r="H706" t="n">
        <v>0</v>
      </c>
      <c r="I706" t="n">
        <v>0</v>
      </c>
      <c r="J706" t="n">
        <v>0</v>
      </c>
      <c r="K706" t="n">
        <v>0</v>
      </c>
      <c r="L706" t="n">
        <v>0</v>
      </c>
      <c r="M706" t="n">
        <v>0</v>
      </c>
      <c r="N706" t="n">
        <v>0</v>
      </c>
      <c r="O706" t="n">
        <v>0</v>
      </c>
      <c r="P706" t="n">
        <v>0</v>
      </c>
      <c r="Q706" t="n">
        <v>0</v>
      </c>
      <c r="R706" s="2" t="inlineStr"/>
    </row>
    <row r="707" ht="15" customHeight="1">
      <c r="A707" t="inlineStr">
        <is>
          <t>A 17463-2023</t>
        </is>
      </c>
      <c r="B707" s="1" t="n">
        <v>45036</v>
      </c>
      <c r="C707" s="1" t="n">
        <v>46075</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10712-2021</t>
        </is>
      </c>
      <c r="B708" s="1" t="n">
        <v>44258</v>
      </c>
      <c r="C708" s="1" t="n">
        <v>46075</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63083-2025</t>
        </is>
      </c>
      <c r="B709" s="1" t="n">
        <v>46009.67175925926</v>
      </c>
      <c r="C709" s="1" t="n">
        <v>46075</v>
      </c>
      <c r="D709" t="inlineStr">
        <is>
          <t>ÖREBRO LÄN</t>
        </is>
      </c>
      <c r="E709" t="inlineStr">
        <is>
          <t>LINDESBERG</t>
        </is>
      </c>
      <c r="G709" t="n">
        <v>0.7</v>
      </c>
      <c r="H709" t="n">
        <v>0</v>
      </c>
      <c r="I709" t="n">
        <v>0</v>
      </c>
      <c r="J709" t="n">
        <v>0</v>
      </c>
      <c r="K709" t="n">
        <v>0</v>
      </c>
      <c r="L709" t="n">
        <v>0</v>
      </c>
      <c r="M709" t="n">
        <v>0</v>
      </c>
      <c r="N709" t="n">
        <v>0</v>
      </c>
      <c r="O709" t="n">
        <v>0</v>
      </c>
      <c r="P709" t="n">
        <v>0</v>
      </c>
      <c r="Q709" t="n">
        <v>0</v>
      </c>
      <c r="R709" s="2" t="inlineStr"/>
    </row>
    <row r="710" ht="15" customHeight="1">
      <c r="A710" t="inlineStr">
        <is>
          <t>A 14522-2025</t>
        </is>
      </c>
      <c r="B710" s="1" t="n">
        <v>45741.64491898148</v>
      </c>
      <c r="C710" s="1" t="n">
        <v>46075</v>
      </c>
      <c r="D710" t="inlineStr">
        <is>
          <t>ÖREBRO LÄN</t>
        </is>
      </c>
      <c r="E710" t="inlineStr">
        <is>
          <t>LINDESBERG</t>
        </is>
      </c>
      <c r="G710" t="n">
        <v>4.5</v>
      </c>
      <c r="H710" t="n">
        <v>0</v>
      </c>
      <c r="I710" t="n">
        <v>0</v>
      </c>
      <c r="J710" t="n">
        <v>0</v>
      </c>
      <c r="K710" t="n">
        <v>0</v>
      </c>
      <c r="L710" t="n">
        <v>0</v>
      </c>
      <c r="M710" t="n">
        <v>0</v>
      </c>
      <c r="N710" t="n">
        <v>0</v>
      </c>
      <c r="O710" t="n">
        <v>0</v>
      </c>
      <c r="P710" t="n">
        <v>0</v>
      </c>
      <c r="Q710" t="n">
        <v>0</v>
      </c>
      <c r="R710" s="2" t="inlineStr"/>
    </row>
    <row r="711" ht="15" customHeight="1">
      <c r="A711" t="inlineStr">
        <is>
          <t>A 36001-2021</t>
        </is>
      </c>
      <c r="B711" s="1" t="n">
        <v>44389</v>
      </c>
      <c r="C711" s="1" t="n">
        <v>46075</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33280-2024</t>
        </is>
      </c>
      <c r="B712" s="1" t="n">
        <v>45518.71048611111</v>
      </c>
      <c r="C712" s="1" t="n">
        <v>46075</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33281-2024</t>
        </is>
      </c>
      <c r="B713" s="1" t="n">
        <v>45518.71202546296</v>
      </c>
      <c r="C713" s="1" t="n">
        <v>46075</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33283-2024</t>
        </is>
      </c>
      <c r="B714" s="1" t="n">
        <v>45518.71591435185</v>
      </c>
      <c r="C714" s="1" t="n">
        <v>46075</v>
      </c>
      <c r="D714" t="inlineStr">
        <is>
          <t>ÖREBRO LÄN</t>
        </is>
      </c>
      <c r="E714" t="inlineStr">
        <is>
          <t>LINDESBERG</t>
        </is>
      </c>
      <c r="G714" t="n">
        <v>3.9</v>
      </c>
      <c r="H714" t="n">
        <v>0</v>
      </c>
      <c r="I714" t="n">
        <v>0</v>
      </c>
      <c r="J714" t="n">
        <v>0</v>
      </c>
      <c r="K714" t="n">
        <v>0</v>
      </c>
      <c r="L714" t="n">
        <v>0</v>
      </c>
      <c r="M714" t="n">
        <v>0</v>
      </c>
      <c r="N714" t="n">
        <v>0</v>
      </c>
      <c r="O714" t="n">
        <v>0</v>
      </c>
      <c r="P714" t="n">
        <v>0</v>
      </c>
      <c r="Q714" t="n">
        <v>0</v>
      </c>
      <c r="R714" s="2" t="inlineStr"/>
    </row>
    <row r="715" ht="15" customHeight="1">
      <c r="A715" t="inlineStr">
        <is>
          <t>A 63078-2025</t>
        </is>
      </c>
      <c r="B715" s="1" t="n">
        <v>46009</v>
      </c>
      <c r="C715" s="1" t="n">
        <v>46075</v>
      </c>
      <c r="D715" t="inlineStr">
        <is>
          <t>ÖREBRO LÄN</t>
        </is>
      </c>
      <c r="E715" t="inlineStr">
        <is>
          <t>LINDESBERG</t>
        </is>
      </c>
      <c r="G715" t="n">
        <v>0.9</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46075</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39140-2024</t>
        </is>
      </c>
      <c r="B717" s="1" t="n">
        <v>45548</v>
      </c>
      <c r="C717" s="1" t="n">
        <v>46075</v>
      </c>
      <c r="D717" t="inlineStr">
        <is>
          <t>ÖREBRO LÄN</t>
        </is>
      </c>
      <c r="E717" t="inlineStr">
        <is>
          <t>LINDESBERG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62603-2025</t>
        </is>
      </c>
      <c r="B718" s="1" t="n">
        <v>46008.25765046296</v>
      </c>
      <c r="C718" s="1" t="n">
        <v>46075</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5717-2026</t>
        </is>
      </c>
      <c r="B719" s="1" t="n">
        <v>46051.53689814815</v>
      </c>
      <c r="C719" s="1" t="n">
        <v>46075</v>
      </c>
      <c r="D719" t="inlineStr">
        <is>
          <t>ÖREBRO LÄN</t>
        </is>
      </c>
      <c r="E719" t="inlineStr">
        <is>
          <t>LINDESBERG</t>
        </is>
      </c>
      <c r="G719" t="n">
        <v>6</v>
      </c>
      <c r="H719" t="n">
        <v>0</v>
      </c>
      <c r="I719" t="n">
        <v>0</v>
      </c>
      <c r="J719" t="n">
        <v>0</v>
      </c>
      <c r="K719" t="n">
        <v>0</v>
      </c>
      <c r="L719" t="n">
        <v>0</v>
      </c>
      <c r="M719" t="n">
        <v>0</v>
      </c>
      <c r="N719" t="n">
        <v>0</v>
      </c>
      <c r="O719" t="n">
        <v>0</v>
      </c>
      <c r="P719" t="n">
        <v>0</v>
      </c>
      <c r="Q719" t="n">
        <v>0</v>
      </c>
      <c r="R719" s="2" t="inlineStr"/>
    </row>
    <row r="720" ht="15" customHeight="1">
      <c r="A720" t="inlineStr">
        <is>
          <t>A 62604-2025</t>
        </is>
      </c>
      <c r="B720" s="1" t="n">
        <v>46008.26085648148</v>
      </c>
      <c r="C720" s="1" t="n">
        <v>46075</v>
      </c>
      <c r="D720" t="inlineStr">
        <is>
          <t>ÖREBRO LÄN</t>
        </is>
      </c>
      <c r="E720" t="inlineStr">
        <is>
          <t>LINDESBERG</t>
        </is>
      </c>
      <c r="G720" t="n">
        <v>0.6</v>
      </c>
      <c r="H720" t="n">
        <v>0</v>
      </c>
      <c r="I720" t="n">
        <v>0</v>
      </c>
      <c r="J720" t="n">
        <v>0</v>
      </c>
      <c r="K720" t="n">
        <v>0</v>
      </c>
      <c r="L720" t="n">
        <v>0</v>
      </c>
      <c r="M720" t="n">
        <v>0</v>
      </c>
      <c r="N720" t="n">
        <v>0</v>
      </c>
      <c r="O720" t="n">
        <v>0</v>
      </c>
      <c r="P720" t="n">
        <v>0</v>
      </c>
      <c r="Q720" t="n">
        <v>0</v>
      </c>
      <c r="R720" s="2" t="inlineStr"/>
    </row>
    <row r="721" ht="15" customHeight="1">
      <c r="A721" t="inlineStr">
        <is>
          <t>A 63526-2025</t>
        </is>
      </c>
      <c r="B721" s="1" t="n">
        <v>46013</v>
      </c>
      <c r="C721" s="1" t="n">
        <v>46075</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32928-2023</t>
        </is>
      </c>
      <c r="B722" s="1" t="n">
        <v>45125.41458333333</v>
      </c>
      <c r="C722" s="1" t="n">
        <v>46075</v>
      </c>
      <c r="D722" t="inlineStr">
        <is>
          <t>ÖREBRO LÄN</t>
        </is>
      </c>
      <c r="E722" t="inlineStr">
        <is>
          <t>LINDESBERG</t>
        </is>
      </c>
      <c r="G722" t="n">
        <v>4.8</v>
      </c>
      <c r="H722" t="n">
        <v>0</v>
      </c>
      <c r="I722" t="n">
        <v>0</v>
      </c>
      <c r="J722" t="n">
        <v>0</v>
      </c>
      <c r="K722" t="n">
        <v>0</v>
      </c>
      <c r="L722" t="n">
        <v>0</v>
      </c>
      <c r="M722" t="n">
        <v>0</v>
      </c>
      <c r="N722" t="n">
        <v>0</v>
      </c>
      <c r="O722" t="n">
        <v>0</v>
      </c>
      <c r="P722" t="n">
        <v>0</v>
      </c>
      <c r="Q722" t="n">
        <v>0</v>
      </c>
      <c r="R722" s="2" t="inlineStr"/>
    </row>
    <row r="723" ht="15" customHeight="1">
      <c r="A723" t="inlineStr">
        <is>
          <t>A 5928-2026</t>
        </is>
      </c>
      <c r="B723" s="1" t="n">
        <v>46052.46519675926</v>
      </c>
      <c r="C723" s="1" t="n">
        <v>46075</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32994-2023</t>
        </is>
      </c>
      <c r="B724" s="1" t="n">
        <v>45113</v>
      </c>
      <c r="C724" s="1" t="n">
        <v>46075</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61736-2025</t>
        </is>
      </c>
      <c r="B725" s="1" t="n">
        <v>46002</v>
      </c>
      <c r="C725" s="1" t="n">
        <v>46075</v>
      </c>
      <c r="D725" t="inlineStr">
        <is>
          <t>ÖREBRO LÄN</t>
        </is>
      </c>
      <c r="E725" t="inlineStr">
        <is>
          <t>LINDESBERG</t>
        </is>
      </c>
      <c r="G725" t="n">
        <v>4.5</v>
      </c>
      <c r="H725" t="n">
        <v>0</v>
      </c>
      <c r="I725" t="n">
        <v>0</v>
      </c>
      <c r="J725" t="n">
        <v>0</v>
      </c>
      <c r="K725" t="n">
        <v>0</v>
      </c>
      <c r="L725" t="n">
        <v>0</v>
      </c>
      <c r="M725" t="n">
        <v>0</v>
      </c>
      <c r="N725" t="n">
        <v>0</v>
      </c>
      <c r="O725" t="n">
        <v>0</v>
      </c>
      <c r="P725" t="n">
        <v>0</v>
      </c>
      <c r="Q725" t="n">
        <v>0</v>
      </c>
      <c r="R725" s="2" t="inlineStr"/>
    </row>
    <row r="726" ht="15" customHeight="1">
      <c r="A726" t="inlineStr">
        <is>
          <t>A 61739-2025</t>
        </is>
      </c>
      <c r="B726" s="1" t="n">
        <v>46002</v>
      </c>
      <c r="C726" s="1" t="n">
        <v>46075</v>
      </c>
      <c r="D726" t="inlineStr">
        <is>
          <t>ÖREBRO LÄN</t>
        </is>
      </c>
      <c r="E726" t="inlineStr">
        <is>
          <t>LINDESBERG</t>
        </is>
      </c>
      <c r="G726" t="n">
        <v>5.3</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46075</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21012-2023</t>
        </is>
      </c>
      <c r="B728" s="1" t="n">
        <v>45061.52474537037</v>
      </c>
      <c r="C728" s="1" t="n">
        <v>46075</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3951-2026</t>
        </is>
      </c>
      <c r="B729" s="1" t="n">
        <v>46044</v>
      </c>
      <c r="C729" s="1" t="n">
        <v>46075</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40456-2023</t>
        </is>
      </c>
      <c r="B730" s="1" t="n">
        <v>45170</v>
      </c>
      <c r="C730" s="1" t="n">
        <v>46075</v>
      </c>
      <c r="D730" t="inlineStr">
        <is>
          <t>ÖREBRO LÄN</t>
        </is>
      </c>
      <c r="E730" t="inlineStr">
        <is>
          <t>LINDESBERG</t>
        </is>
      </c>
      <c r="F730" t="inlineStr">
        <is>
          <t>Kyrkan</t>
        </is>
      </c>
      <c r="G730" t="n">
        <v>0.6</v>
      </c>
      <c r="H730" t="n">
        <v>0</v>
      </c>
      <c r="I730" t="n">
        <v>0</v>
      </c>
      <c r="J730" t="n">
        <v>0</v>
      </c>
      <c r="K730" t="n">
        <v>0</v>
      </c>
      <c r="L730" t="n">
        <v>0</v>
      </c>
      <c r="M730" t="n">
        <v>0</v>
      </c>
      <c r="N730" t="n">
        <v>0</v>
      </c>
      <c r="O730" t="n">
        <v>0</v>
      </c>
      <c r="P730" t="n">
        <v>0</v>
      </c>
      <c r="Q730" t="n">
        <v>0</v>
      </c>
      <c r="R730" s="2" t="inlineStr"/>
    </row>
    <row r="731" ht="15" customHeight="1">
      <c r="A731" t="inlineStr">
        <is>
          <t>A 42282-2024</t>
        </is>
      </c>
      <c r="B731" s="1" t="n">
        <v>45562.61158564815</v>
      </c>
      <c r="C731" s="1" t="n">
        <v>46075</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32262-2021</t>
        </is>
      </c>
      <c r="B732" s="1" t="n">
        <v>44371.47609953704</v>
      </c>
      <c r="C732" s="1" t="n">
        <v>46075</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27576-2024</t>
        </is>
      </c>
      <c r="B733" s="1" t="n">
        <v>45474.65005787037</v>
      </c>
      <c r="C733" s="1" t="n">
        <v>46075</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32099-2024</t>
        </is>
      </c>
      <c r="B734" s="1" t="n">
        <v>45511.40297453704</v>
      </c>
      <c r="C734" s="1" t="n">
        <v>46075</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8836-2023</t>
        </is>
      </c>
      <c r="B735" s="1" t="n">
        <v>44978</v>
      </c>
      <c r="C735" s="1" t="n">
        <v>46075</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5772-2023</t>
        </is>
      </c>
      <c r="B736" s="1" t="n">
        <v>44963.37709490741</v>
      </c>
      <c r="C736" s="1" t="n">
        <v>46075</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6616-2026</t>
        </is>
      </c>
      <c r="B737" s="1" t="n">
        <v>46056.49075231481</v>
      </c>
      <c r="C737" s="1" t="n">
        <v>46075</v>
      </c>
      <c r="D737" t="inlineStr">
        <is>
          <t>ÖREBRO LÄN</t>
        </is>
      </c>
      <c r="E737" t="inlineStr">
        <is>
          <t>LINDESBERG</t>
        </is>
      </c>
      <c r="G737" t="n">
        <v>9</v>
      </c>
      <c r="H737" t="n">
        <v>0</v>
      </c>
      <c r="I737" t="n">
        <v>0</v>
      </c>
      <c r="J737" t="n">
        <v>0</v>
      </c>
      <c r="K737" t="n">
        <v>0</v>
      </c>
      <c r="L737" t="n">
        <v>0</v>
      </c>
      <c r="M737" t="n">
        <v>0</v>
      </c>
      <c r="N737" t="n">
        <v>0</v>
      </c>
      <c r="O737" t="n">
        <v>0</v>
      </c>
      <c r="P737" t="n">
        <v>0</v>
      </c>
      <c r="Q737" t="n">
        <v>0</v>
      </c>
      <c r="R737" s="2" t="inlineStr"/>
    </row>
    <row r="738" ht="15" customHeight="1">
      <c r="A738" t="inlineStr">
        <is>
          <t>A 6520-2026</t>
        </is>
      </c>
      <c r="B738" s="1" t="n">
        <v>46056.40149305556</v>
      </c>
      <c r="C738" s="1" t="n">
        <v>46075</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6524-2026</t>
        </is>
      </c>
      <c r="B739" s="1" t="n">
        <v>46056.40425925926</v>
      </c>
      <c r="C739" s="1" t="n">
        <v>46075</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36024-2021</t>
        </is>
      </c>
      <c r="B740" s="1" t="n">
        <v>44389</v>
      </c>
      <c r="C740" s="1" t="n">
        <v>46075</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11559-2024</t>
        </is>
      </c>
      <c r="B741" s="1" t="n">
        <v>45373.30434027778</v>
      </c>
      <c r="C741" s="1" t="n">
        <v>46075</v>
      </c>
      <c r="D741" t="inlineStr">
        <is>
          <t>ÖREBRO LÄN</t>
        </is>
      </c>
      <c r="E741" t="inlineStr">
        <is>
          <t>LINDESBERG</t>
        </is>
      </c>
      <c r="F741" t="inlineStr">
        <is>
          <t>BillerudKorsnäs AB</t>
        </is>
      </c>
      <c r="G741" t="n">
        <v>1.9</v>
      </c>
      <c r="H741" t="n">
        <v>0</v>
      </c>
      <c r="I741" t="n">
        <v>0</v>
      </c>
      <c r="J741" t="n">
        <v>0</v>
      </c>
      <c r="K741" t="n">
        <v>0</v>
      </c>
      <c r="L741" t="n">
        <v>0</v>
      </c>
      <c r="M741" t="n">
        <v>0</v>
      </c>
      <c r="N741" t="n">
        <v>0</v>
      </c>
      <c r="O741" t="n">
        <v>0</v>
      </c>
      <c r="P741" t="n">
        <v>0</v>
      </c>
      <c r="Q741" t="n">
        <v>0</v>
      </c>
      <c r="R741" s="2" t="inlineStr"/>
    </row>
    <row r="742" ht="15" customHeight="1">
      <c r="A742" t="inlineStr">
        <is>
          <t>A 13472-2023</t>
        </is>
      </c>
      <c r="B742" s="1" t="n">
        <v>45005</v>
      </c>
      <c r="C742" s="1" t="n">
        <v>46075</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6989-2026</t>
        </is>
      </c>
      <c r="B743" s="1" t="n">
        <v>46057.60342592592</v>
      </c>
      <c r="C743" s="1" t="n">
        <v>46075</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17087-2023</t>
        </is>
      </c>
      <c r="B744" s="1" t="n">
        <v>45034.5174537037</v>
      </c>
      <c r="C744" s="1" t="n">
        <v>46075</v>
      </c>
      <c r="D744" t="inlineStr">
        <is>
          <t>ÖREBRO LÄN</t>
        </is>
      </c>
      <c r="E744" t="inlineStr">
        <is>
          <t>LINDESBERG</t>
        </is>
      </c>
      <c r="G744" t="n">
        <v>2.7</v>
      </c>
      <c r="H744" t="n">
        <v>0</v>
      </c>
      <c r="I744" t="n">
        <v>0</v>
      </c>
      <c r="J744" t="n">
        <v>0</v>
      </c>
      <c r="K744" t="n">
        <v>0</v>
      </c>
      <c r="L744" t="n">
        <v>0</v>
      </c>
      <c r="M744" t="n">
        <v>0</v>
      </c>
      <c r="N744" t="n">
        <v>0</v>
      </c>
      <c r="O744" t="n">
        <v>0</v>
      </c>
      <c r="P744" t="n">
        <v>0</v>
      </c>
      <c r="Q744" t="n">
        <v>0</v>
      </c>
      <c r="R744" s="2" t="inlineStr"/>
    </row>
    <row r="745" ht="15" customHeight="1">
      <c r="A745" t="inlineStr">
        <is>
          <t>A 3026-2026</t>
        </is>
      </c>
      <c r="B745" s="1" t="n">
        <v>46038</v>
      </c>
      <c r="C745" s="1" t="n">
        <v>46075</v>
      </c>
      <c r="D745" t="inlineStr">
        <is>
          <t>ÖREBRO LÄN</t>
        </is>
      </c>
      <c r="E745" t="inlineStr">
        <is>
          <t>LINDESBERG</t>
        </is>
      </c>
      <c r="G745" t="n">
        <v>10.3</v>
      </c>
      <c r="H745" t="n">
        <v>0</v>
      </c>
      <c r="I745" t="n">
        <v>0</v>
      </c>
      <c r="J745" t="n">
        <v>0</v>
      </c>
      <c r="K745" t="n">
        <v>0</v>
      </c>
      <c r="L745" t="n">
        <v>0</v>
      </c>
      <c r="M745" t="n">
        <v>0</v>
      </c>
      <c r="N745" t="n">
        <v>0</v>
      </c>
      <c r="O745" t="n">
        <v>0</v>
      </c>
      <c r="P745" t="n">
        <v>0</v>
      </c>
      <c r="Q745" t="n">
        <v>0</v>
      </c>
      <c r="R745" s="2" t="inlineStr"/>
    </row>
    <row r="746" ht="15" customHeight="1">
      <c r="A746" t="inlineStr">
        <is>
          <t>A 61222-2022</t>
        </is>
      </c>
      <c r="B746" s="1" t="n">
        <v>44909</v>
      </c>
      <c r="C746" s="1" t="n">
        <v>46075</v>
      </c>
      <c r="D746" t="inlineStr">
        <is>
          <t>ÖREBRO LÄN</t>
        </is>
      </c>
      <c r="E746" t="inlineStr">
        <is>
          <t>LINDESBERG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7098-2026</t>
        </is>
      </c>
      <c r="B747" s="1" t="n">
        <v>46058.35196759259</v>
      </c>
      <c r="C747" s="1" t="n">
        <v>46075</v>
      </c>
      <c r="D747" t="inlineStr">
        <is>
          <t>ÖREBRO LÄN</t>
        </is>
      </c>
      <c r="E747" t="inlineStr">
        <is>
          <t>LINDESBERG</t>
        </is>
      </c>
      <c r="G747" t="n">
        <v>1.9</v>
      </c>
      <c r="H747" t="n">
        <v>0</v>
      </c>
      <c r="I747" t="n">
        <v>0</v>
      </c>
      <c r="J747" t="n">
        <v>0</v>
      </c>
      <c r="K747" t="n">
        <v>0</v>
      </c>
      <c r="L747" t="n">
        <v>0</v>
      </c>
      <c r="M747" t="n">
        <v>0</v>
      </c>
      <c r="N747" t="n">
        <v>0</v>
      </c>
      <c r="O747" t="n">
        <v>0</v>
      </c>
      <c r="P747" t="n">
        <v>0</v>
      </c>
      <c r="Q747" t="n">
        <v>0</v>
      </c>
      <c r="R747" s="2" t="inlineStr"/>
    </row>
    <row r="748" ht="15" customHeight="1">
      <c r="A748" t="inlineStr">
        <is>
          <t>A 46484-2024</t>
        </is>
      </c>
      <c r="B748" s="1" t="n">
        <v>45582.57542824074</v>
      </c>
      <c r="C748" s="1" t="n">
        <v>46075</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7202-2026</t>
        </is>
      </c>
      <c r="B749" s="1" t="n">
        <v>46058.52864583334</v>
      </c>
      <c r="C749" s="1" t="n">
        <v>46075</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7069-2026</t>
        </is>
      </c>
      <c r="B750" s="1" t="n">
        <v>46058.30956018518</v>
      </c>
      <c r="C750" s="1" t="n">
        <v>46075</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7121-2026</t>
        </is>
      </c>
      <c r="B751" s="1" t="n">
        <v>46058.38300925926</v>
      </c>
      <c r="C751" s="1" t="n">
        <v>46075</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41576-2021</t>
        </is>
      </c>
      <c r="B752" s="1" t="n">
        <v>44425</v>
      </c>
      <c r="C752" s="1" t="n">
        <v>46075</v>
      </c>
      <c r="D752" t="inlineStr">
        <is>
          <t>ÖREBRO LÄN</t>
        </is>
      </c>
      <c r="E752" t="inlineStr">
        <is>
          <t>LINDESBERG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58741-2024</t>
        </is>
      </c>
      <c r="B753" s="1" t="n">
        <v>45635.69581018519</v>
      </c>
      <c r="C753" s="1" t="n">
        <v>46075</v>
      </c>
      <c r="D753" t="inlineStr">
        <is>
          <t>ÖREBRO LÄN</t>
        </is>
      </c>
      <c r="E753" t="inlineStr">
        <is>
          <t>LINDESBERG</t>
        </is>
      </c>
      <c r="G753" t="n">
        <v>1.5</v>
      </c>
      <c r="H753" t="n">
        <v>0</v>
      </c>
      <c r="I753" t="n">
        <v>0</v>
      </c>
      <c r="J753" t="n">
        <v>0</v>
      </c>
      <c r="K753" t="n">
        <v>0</v>
      </c>
      <c r="L753" t="n">
        <v>0</v>
      </c>
      <c r="M753" t="n">
        <v>0</v>
      </c>
      <c r="N753" t="n">
        <v>0</v>
      </c>
      <c r="O753" t="n">
        <v>0</v>
      </c>
      <c r="P753" t="n">
        <v>0</v>
      </c>
      <c r="Q753" t="n">
        <v>0</v>
      </c>
      <c r="R753" s="2" t="inlineStr"/>
    </row>
    <row r="754" ht="15" customHeight="1">
      <c r="A754" t="inlineStr">
        <is>
          <t>A 26967-2022</t>
        </is>
      </c>
      <c r="B754" s="1" t="n">
        <v>44740.66997685185</v>
      </c>
      <c r="C754" s="1" t="n">
        <v>46075</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43066-2021</t>
        </is>
      </c>
      <c r="B755" s="1" t="n">
        <v>44431</v>
      </c>
      <c r="C755" s="1" t="n">
        <v>46075</v>
      </c>
      <c r="D755" t="inlineStr">
        <is>
          <t>ÖREBRO LÄN</t>
        </is>
      </c>
      <c r="E755" t="inlineStr">
        <is>
          <t>LINDESBERG</t>
        </is>
      </c>
      <c r="G755" t="n">
        <v>0.6</v>
      </c>
      <c r="H755" t="n">
        <v>0</v>
      </c>
      <c r="I755" t="n">
        <v>0</v>
      </c>
      <c r="J755" t="n">
        <v>0</v>
      </c>
      <c r="K755" t="n">
        <v>0</v>
      </c>
      <c r="L755" t="n">
        <v>0</v>
      </c>
      <c r="M755" t="n">
        <v>0</v>
      </c>
      <c r="N755" t="n">
        <v>0</v>
      </c>
      <c r="O755" t="n">
        <v>0</v>
      </c>
      <c r="P755" t="n">
        <v>0</v>
      </c>
      <c r="Q755" t="n">
        <v>0</v>
      </c>
      <c r="R755" s="2" t="inlineStr"/>
    </row>
    <row r="756" ht="15" customHeight="1">
      <c r="A756" t="inlineStr">
        <is>
          <t>A 45428-2023</t>
        </is>
      </c>
      <c r="B756" s="1" t="n">
        <v>45194</v>
      </c>
      <c r="C756" s="1" t="n">
        <v>46075</v>
      </c>
      <c r="D756" t="inlineStr">
        <is>
          <t>ÖREBRO LÄN</t>
        </is>
      </c>
      <c r="E756" t="inlineStr">
        <is>
          <t>LINDESBERG</t>
        </is>
      </c>
      <c r="G756" t="n">
        <v>7.7</v>
      </c>
      <c r="H756" t="n">
        <v>0</v>
      </c>
      <c r="I756" t="n">
        <v>0</v>
      </c>
      <c r="J756" t="n">
        <v>0</v>
      </c>
      <c r="K756" t="n">
        <v>0</v>
      </c>
      <c r="L756" t="n">
        <v>0</v>
      </c>
      <c r="M756" t="n">
        <v>0</v>
      </c>
      <c r="N756" t="n">
        <v>0</v>
      </c>
      <c r="O756" t="n">
        <v>0</v>
      </c>
      <c r="P756" t="n">
        <v>0</v>
      </c>
      <c r="Q756" t="n">
        <v>0</v>
      </c>
      <c r="R756" s="2" t="inlineStr"/>
    </row>
    <row r="757" ht="15" customHeight="1">
      <c r="A757" t="inlineStr">
        <is>
          <t>A 53897-2024</t>
        </is>
      </c>
      <c r="B757" s="1" t="n">
        <v>45615.69570601852</v>
      </c>
      <c r="C757" s="1" t="n">
        <v>46075</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56907-2024</t>
        </is>
      </c>
      <c r="B758" s="1" t="n">
        <v>45628.58975694444</v>
      </c>
      <c r="C758" s="1" t="n">
        <v>46075</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7992-2025</t>
        </is>
      </c>
      <c r="B759" s="1" t="n">
        <v>45707</v>
      </c>
      <c r="C759" s="1" t="n">
        <v>46075</v>
      </c>
      <c r="D759" t="inlineStr">
        <is>
          <t>ÖREBRO LÄN</t>
        </is>
      </c>
      <c r="E759" t="inlineStr">
        <is>
          <t>LINDESBERG</t>
        </is>
      </c>
      <c r="G759" t="n">
        <v>4.8</v>
      </c>
      <c r="H759" t="n">
        <v>0</v>
      </c>
      <c r="I759" t="n">
        <v>0</v>
      </c>
      <c r="J759" t="n">
        <v>0</v>
      </c>
      <c r="K759" t="n">
        <v>0</v>
      </c>
      <c r="L759" t="n">
        <v>0</v>
      </c>
      <c r="M759" t="n">
        <v>0</v>
      </c>
      <c r="N759" t="n">
        <v>0</v>
      </c>
      <c r="O759" t="n">
        <v>0</v>
      </c>
      <c r="P759" t="n">
        <v>0</v>
      </c>
      <c r="Q759" t="n">
        <v>0</v>
      </c>
      <c r="R759" s="2" t="inlineStr"/>
    </row>
    <row r="760" ht="15" customHeight="1">
      <c r="A760" t="inlineStr">
        <is>
          <t>A 3659-2026</t>
        </is>
      </c>
      <c r="B760" s="1" t="n">
        <v>46043</v>
      </c>
      <c r="C760" s="1" t="n">
        <v>46075</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17242-2025</t>
        </is>
      </c>
      <c r="B761" s="1" t="n">
        <v>45756.49009259259</v>
      </c>
      <c r="C761" s="1" t="n">
        <v>46075</v>
      </c>
      <c r="D761" t="inlineStr">
        <is>
          <t>ÖREBRO LÄN</t>
        </is>
      </c>
      <c r="E761" t="inlineStr">
        <is>
          <t>LINDESBERG</t>
        </is>
      </c>
      <c r="G761" t="n">
        <v>7.3</v>
      </c>
      <c r="H761" t="n">
        <v>0</v>
      </c>
      <c r="I761" t="n">
        <v>0</v>
      </c>
      <c r="J761" t="n">
        <v>0</v>
      </c>
      <c r="K761" t="n">
        <v>0</v>
      </c>
      <c r="L761" t="n">
        <v>0</v>
      </c>
      <c r="M761" t="n">
        <v>0</v>
      </c>
      <c r="N761" t="n">
        <v>0</v>
      </c>
      <c r="O761" t="n">
        <v>0</v>
      </c>
      <c r="P761" t="n">
        <v>0</v>
      </c>
      <c r="Q761" t="n">
        <v>0</v>
      </c>
      <c r="R761" s="2" t="inlineStr"/>
    </row>
    <row r="762" ht="15" customHeight="1">
      <c r="A762" t="inlineStr">
        <is>
          <t>A 37604-2025</t>
        </is>
      </c>
      <c r="B762" s="1" t="n">
        <v>45880</v>
      </c>
      <c r="C762" s="1" t="n">
        <v>46075</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8189-2026</t>
        </is>
      </c>
      <c r="B763" s="1" t="n">
        <v>46064.42460648148</v>
      </c>
      <c r="C763" s="1" t="n">
        <v>46075</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7119-2025</t>
        </is>
      </c>
      <c r="B764" s="1" t="n">
        <v>45702</v>
      </c>
      <c r="C764" s="1" t="n">
        <v>46075</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45060-2024</t>
        </is>
      </c>
      <c r="B765" s="1" t="n">
        <v>45575.55570601852</v>
      </c>
      <c r="C765" s="1" t="n">
        <v>46075</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50972-2023</t>
        </is>
      </c>
      <c r="B766" s="1" t="n">
        <v>45218</v>
      </c>
      <c r="C766" s="1" t="n">
        <v>46075</v>
      </c>
      <c r="D766" t="inlineStr">
        <is>
          <t>ÖREBRO LÄN</t>
        </is>
      </c>
      <c r="E766" t="inlineStr">
        <is>
          <t>LINDESBERG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50225-2021</t>
        </is>
      </c>
      <c r="B767" s="1" t="n">
        <v>44457</v>
      </c>
      <c r="C767" s="1" t="n">
        <v>46075</v>
      </c>
      <c r="D767" t="inlineStr">
        <is>
          <t>ÖREBRO LÄN</t>
        </is>
      </c>
      <c r="E767" t="inlineStr">
        <is>
          <t>LINDESBERG</t>
        </is>
      </c>
      <c r="G767" t="n">
        <v>2.5</v>
      </c>
      <c r="H767" t="n">
        <v>0</v>
      </c>
      <c r="I767" t="n">
        <v>0</v>
      </c>
      <c r="J767" t="n">
        <v>0</v>
      </c>
      <c r="K767" t="n">
        <v>0</v>
      </c>
      <c r="L767" t="n">
        <v>0</v>
      </c>
      <c r="M767" t="n">
        <v>0</v>
      </c>
      <c r="N767" t="n">
        <v>0</v>
      </c>
      <c r="O767" t="n">
        <v>0</v>
      </c>
      <c r="P767" t="n">
        <v>0</v>
      </c>
      <c r="Q767" t="n">
        <v>0</v>
      </c>
      <c r="R767" s="2" t="inlineStr"/>
    </row>
    <row r="768" ht="15" customHeight="1">
      <c r="A768" t="inlineStr">
        <is>
          <t>A 17995-2021</t>
        </is>
      </c>
      <c r="B768" s="1" t="n">
        <v>44301</v>
      </c>
      <c r="C768" s="1" t="n">
        <v>46075</v>
      </c>
      <c r="D768" t="inlineStr">
        <is>
          <t>ÖREBRO LÄN</t>
        </is>
      </c>
      <c r="E768" t="inlineStr">
        <is>
          <t>LINDESBERG</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48244-2024</t>
        </is>
      </c>
      <c r="B769" s="1" t="n">
        <v>45590.39471064815</v>
      </c>
      <c r="C769" s="1" t="n">
        <v>46075</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20210-2024</t>
        </is>
      </c>
      <c r="B770" s="1" t="n">
        <v>45434.65854166666</v>
      </c>
      <c r="C770" s="1" t="n">
        <v>46075</v>
      </c>
      <c r="D770" t="inlineStr">
        <is>
          <t>ÖREBRO LÄN</t>
        </is>
      </c>
      <c r="E770" t="inlineStr">
        <is>
          <t>LINDESBERG</t>
        </is>
      </c>
      <c r="G770" t="n">
        <v>5.5</v>
      </c>
      <c r="H770" t="n">
        <v>0</v>
      </c>
      <c r="I770" t="n">
        <v>0</v>
      </c>
      <c r="J770" t="n">
        <v>0</v>
      </c>
      <c r="K770" t="n">
        <v>0</v>
      </c>
      <c r="L770" t="n">
        <v>0</v>
      </c>
      <c r="M770" t="n">
        <v>0</v>
      </c>
      <c r="N770" t="n">
        <v>0</v>
      </c>
      <c r="O770" t="n">
        <v>0</v>
      </c>
      <c r="P770" t="n">
        <v>0</v>
      </c>
      <c r="Q770" t="n">
        <v>0</v>
      </c>
      <c r="R770" s="2" t="inlineStr"/>
    </row>
    <row r="771" ht="15" customHeight="1">
      <c r="A771" t="inlineStr">
        <is>
          <t>A 9432-2026</t>
        </is>
      </c>
      <c r="B771" s="1" t="n">
        <v>46071.45568287037</v>
      </c>
      <c r="C771" s="1" t="n">
        <v>46075</v>
      </c>
      <c r="D771" t="inlineStr">
        <is>
          <t>ÖREBRO LÄN</t>
        </is>
      </c>
      <c r="E771" t="inlineStr">
        <is>
          <t>LINDESBERG</t>
        </is>
      </c>
      <c r="G771" t="n">
        <v>1.6</v>
      </c>
      <c r="H771" t="n">
        <v>0</v>
      </c>
      <c r="I771" t="n">
        <v>0</v>
      </c>
      <c r="J771" t="n">
        <v>0</v>
      </c>
      <c r="K771" t="n">
        <v>0</v>
      </c>
      <c r="L771" t="n">
        <v>0</v>
      </c>
      <c r="M771" t="n">
        <v>0</v>
      </c>
      <c r="N771" t="n">
        <v>0</v>
      </c>
      <c r="O771" t="n">
        <v>0</v>
      </c>
      <c r="P771" t="n">
        <v>0</v>
      </c>
      <c r="Q771" t="n">
        <v>0</v>
      </c>
      <c r="R771" s="2" t="inlineStr"/>
    </row>
    <row r="772" ht="15" customHeight="1">
      <c r="A772" t="inlineStr">
        <is>
          <t>A 24352-2023</t>
        </is>
      </c>
      <c r="B772" s="1" t="n">
        <v>45082.31421296296</v>
      </c>
      <c r="C772" s="1" t="n">
        <v>46075</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610-2026</t>
        </is>
      </c>
      <c r="B773" s="1" t="n">
        <v>46029</v>
      </c>
      <c r="C773" s="1" t="n">
        <v>46075</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9577-2026</t>
        </is>
      </c>
      <c r="B774" s="1" t="n">
        <v>46071.67334490741</v>
      </c>
      <c r="C774" s="1" t="n">
        <v>46075</v>
      </c>
      <c r="D774" t="inlineStr">
        <is>
          <t>ÖREBRO LÄN</t>
        </is>
      </c>
      <c r="E774" t="inlineStr">
        <is>
          <t>LINDESBERG</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9567-2026</t>
        </is>
      </c>
      <c r="B775" s="1" t="n">
        <v>46071.65692129629</v>
      </c>
      <c r="C775" s="1" t="n">
        <v>46075</v>
      </c>
      <c r="D775" t="inlineStr">
        <is>
          <t>ÖREBRO LÄN</t>
        </is>
      </c>
      <c r="E775" t="inlineStr">
        <is>
          <t>LINDESBERG</t>
        </is>
      </c>
      <c r="F775" t="inlineStr">
        <is>
          <t>Kommuner</t>
        </is>
      </c>
      <c r="G775" t="n">
        <v>1.4</v>
      </c>
      <c r="H775" t="n">
        <v>0</v>
      </c>
      <c r="I775" t="n">
        <v>0</v>
      </c>
      <c r="J775" t="n">
        <v>0</v>
      </c>
      <c r="K775" t="n">
        <v>0</v>
      </c>
      <c r="L775" t="n">
        <v>0</v>
      </c>
      <c r="M775" t="n">
        <v>0</v>
      </c>
      <c r="N775" t="n">
        <v>0</v>
      </c>
      <c r="O775" t="n">
        <v>0</v>
      </c>
      <c r="P775" t="n">
        <v>0</v>
      </c>
      <c r="Q775" t="n">
        <v>0</v>
      </c>
      <c r="R775" s="2" t="inlineStr"/>
    </row>
    <row r="776" ht="15" customHeight="1">
      <c r="A776" t="inlineStr">
        <is>
          <t>A 22824-2023</t>
        </is>
      </c>
      <c r="B776" s="1" t="n">
        <v>45072</v>
      </c>
      <c r="C776" s="1" t="n">
        <v>46075</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36509-2024</t>
        </is>
      </c>
      <c r="B777" s="1" t="n">
        <v>45537.42240740741</v>
      </c>
      <c r="C777" s="1" t="n">
        <v>46075</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33428-2024</t>
        </is>
      </c>
      <c r="B778" s="1" t="n">
        <v>45519.52319444445</v>
      </c>
      <c r="C778" s="1" t="n">
        <v>46075</v>
      </c>
      <c r="D778" t="inlineStr">
        <is>
          <t>ÖREBRO LÄN</t>
        </is>
      </c>
      <c r="E778" t="inlineStr">
        <is>
          <t>LINDESBERG</t>
        </is>
      </c>
      <c r="F778" t="inlineStr">
        <is>
          <t>Sveaskog</t>
        </is>
      </c>
      <c r="G778" t="n">
        <v>0.2</v>
      </c>
      <c r="H778" t="n">
        <v>0</v>
      </c>
      <c r="I778" t="n">
        <v>0</v>
      </c>
      <c r="J778" t="n">
        <v>0</v>
      </c>
      <c r="K778" t="n">
        <v>0</v>
      </c>
      <c r="L778" t="n">
        <v>0</v>
      </c>
      <c r="M778" t="n">
        <v>0</v>
      </c>
      <c r="N778" t="n">
        <v>0</v>
      </c>
      <c r="O778" t="n">
        <v>0</v>
      </c>
      <c r="P778" t="n">
        <v>0</v>
      </c>
      <c r="Q778" t="n">
        <v>0</v>
      </c>
      <c r="R778" s="2" t="inlineStr"/>
    </row>
    <row r="779" ht="15" customHeight="1">
      <c r="A779" t="inlineStr">
        <is>
          <t>A 17104-2024</t>
        </is>
      </c>
      <c r="B779" s="1" t="n">
        <v>45412.54541666667</v>
      </c>
      <c r="C779" s="1" t="n">
        <v>46075</v>
      </c>
      <c r="D779" t="inlineStr">
        <is>
          <t>ÖREBRO LÄN</t>
        </is>
      </c>
      <c r="E779" t="inlineStr">
        <is>
          <t>LINDESBERG</t>
        </is>
      </c>
      <c r="G779" t="n">
        <v>2.2</v>
      </c>
      <c r="H779" t="n">
        <v>0</v>
      </c>
      <c r="I779" t="n">
        <v>0</v>
      </c>
      <c r="J779" t="n">
        <v>0</v>
      </c>
      <c r="K779" t="n">
        <v>0</v>
      </c>
      <c r="L779" t="n">
        <v>0</v>
      </c>
      <c r="M779" t="n">
        <v>0</v>
      </c>
      <c r="N779" t="n">
        <v>0</v>
      </c>
      <c r="O779" t="n">
        <v>0</v>
      </c>
      <c r="P779" t="n">
        <v>0</v>
      </c>
      <c r="Q779" t="n">
        <v>0</v>
      </c>
      <c r="R779" s="2" t="inlineStr"/>
    </row>
    <row r="780" ht="15" customHeight="1">
      <c r="A780" t="inlineStr">
        <is>
          <t>A 13350-2024</t>
        </is>
      </c>
      <c r="B780" s="1" t="n">
        <v>45387.24732638889</v>
      </c>
      <c r="C780" s="1" t="n">
        <v>46075</v>
      </c>
      <c r="D780" t="inlineStr">
        <is>
          <t>ÖREBRO LÄN</t>
        </is>
      </c>
      <c r="E780" t="inlineStr">
        <is>
          <t>LINDESBERG</t>
        </is>
      </c>
      <c r="G780" t="n">
        <v>4.1</v>
      </c>
      <c r="H780" t="n">
        <v>0</v>
      </c>
      <c r="I780" t="n">
        <v>0</v>
      </c>
      <c r="J780" t="n">
        <v>0</v>
      </c>
      <c r="K780" t="n">
        <v>0</v>
      </c>
      <c r="L780" t="n">
        <v>0</v>
      </c>
      <c r="M780" t="n">
        <v>0</v>
      </c>
      <c r="N780" t="n">
        <v>0</v>
      </c>
      <c r="O780" t="n">
        <v>0</v>
      </c>
      <c r="P780" t="n">
        <v>0</v>
      </c>
      <c r="Q780" t="n">
        <v>0</v>
      </c>
      <c r="R780" s="2" t="inlineStr"/>
    </row>
    <row r="781" ht="15" customHeight="1">
      <c r="A781" t="inlineStr">
        <is>
          <t>A 13351-2024</t>
        </is>
      </c>
      <c r="B781" s="1" t="n">
        <v>45387.2521875</v>
      </c>
      <c r="C781" s="1" t="n">
        <v>46075</v>
      </c>
      <c r="D781" t="inlineStr">
        <is>
          <t>ÖREBRO LÄN</t>
        </is>
      </c>
      <c r="E781" t="inlineStr">
        <is>
          <t>LINDESBERG</t>
        </is>
      </c>
      <c r="G781" t="n">
        <v>1.7</v>
      </c>
      <c r="H781" t="n">
        <v>0</v>
      </c>
      <c r="I781" t="n">
        <v>0</v>
      </c>
      <c r="J781" t="n">
        <v>0</v>
      </c>
      <c r="K781" t="n">
        <v>0</v>
      </c>
      <c r="L781" t="n">
        <v>0</v>
      </c>
      <c r="M781" t="n">
        <v>0</v>
      </c>
      <c r="N781" t="n">
        <v>0</v>
      </c>
      <c r="O781" t="n">
        <v>0</v>
      </c>
      <c r="P781" t="n">
        <v>0</v>
      </c>
      <c r="Q781" t="n">
        <v>0</v>
      </c>
      <c r="R781" s="2" t="inlineStr"/>
    </row>
    <row r="782" ht="15" customHeight="1">
      <c r="A782" t="inlineStr">
        <is>
          <t>A 40303-2024</t>
        </is>
      </c>
      <c r="B782" s="1" t="n">
        <v>45554.7158912037</v>
      </c>
      <c r="C782" s="1" t="n">
        <v>46075</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34838-2023</t>
        </is>
      </c>
      <c r="B783" s="1" t="n">
        <v>45141.76530092592</v>
      </c>
      <c r="C783" s="1" t="n">
        <v>46075</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15324-2024</t>
        </is>
      </c>
      <c r="B784" s="1" t="n">
        <v>45400.66995370371</v>
      </c>
      <c r="C784" s="1" t="n">
        <v>46075</v>
      </c>
      <c r="D784" t="inlineStr">
        <is>
          <t>ÖREBRO LÄN</t>
        </is>
      </c>
      <c r="E784" t="inlineStr">
        <is>
          <t>LINDESBERG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36170-2021</t>
        </is>
      </c>
      <c r="B785" s="1" t="n">
        <v>44389</v>
      </c>
      <c r="C785" s="1" t="n">
        <v>46075</v>
      </c>
      <c r="D785" t="inlineStr">
        <is>
          <t>ÖREBRO LÄN</t>
        </is>
      </c>
      <c r="E785" t="inlineStr">
        <is>
          <t>LINDESBERG</t>
        </is>
      </c>
      <c r="G785" t="n">
        <v>0.4</v>
      </c>
      <c r="H785" t="n">
        <v>0</v>
      </c>
      <c r="I785" t="n">
        <v>0</v>
      </c>
      <c r="J785" t="n">
        <v>0</v>
      </c>
      <c r="K785" t="n">
        <v>0</v>
      </c>
      <c r="L785" t="n">
        <v>0</v>
      </c>
      <c r="M785" t="n">
        <v>0</v>
      </c>
      <c r="N785" t="n">
        <v>0</v>
      </c>
      <c r="O785" t="n">
        <v>0</v>
      </c>
      <c r="P785" t="n">
        <v>0</v>
      </c>
      <c r="Q785" t="n">
        <v>0</v>
      </c>
      <c r="R785" s="2" t="inlineStr"/>
    </row>
    <row r="786" ht="15" customHeight="1">
      <c r="A786" t="inlineStr">
        <is>
          <t>A 7180-2023</t>
        </is>
      </c>
      <c r="B786" s="1" t="n">
        <v>44970.51849537037</v>
      </c>
      <c r="C786" s="1" t="n">
        <v>46075</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46675-2023</t>
        </is>
      </c>
      <c r="B787" s="1" t="n">
        <v>45194</v>
      </c>
      <c r="C787" s="1" t="n">
        <v>46075</v>
      </c>
      <c r="D787" t="inlineStr">
        <is>
          <t>ÖREBRO LÄN</t>
        </is>
      </c>
      <c r="E787" t="inlineStr">
        <is>
          <t>LINDESBERG</t>
        </is>
      </c>
      <c r="G787" t="n">
        <v>3.8</v>
      </c>
      <c r="H787" t="n">
        <v>0</v>
      </c>
      <c r="I787" t="n">
        <v>0</v>
      </c>
      <c r="J787" t="n">
        <v>0</v>
      </c>
      <c r="K787" t="n">
        <v>0</v>
      </c>
      <c r="L787" t="n">
        <v>0</v>
      </c>
      <c r="M787" t="n">
        <v>0</v>
      </c>
      <c r="N787" t="n">
        <v>0</v>
      </c>
      <c r="O787" t="n">
        <v>0</v>
      </c>
      <c r="P787" t="n">
        <v>0</v>
      </c>
      <c r="Q787" t="n">
        <v>0</v>
      </c>
      <c r="R787" s="2" t="inlineStr"/>
    </row>
    <row r="788" ht="15" customHeight="1">
      <c r="A788" t="inlineStr">
        <is>
          <t>A 50964-2023</t>
        </is>
      </c>
      <c r="B788" s="1" t="n">
        <v>45218.488125</v>
      </c>
      <c r="C788" s="1" t="n">
        <v>46075</v>
      </c>
      <c r="D788" t="inlineStr">
        <is>
          <t>ÖREBRO LÄN</t>
        </is>
      </c>
      <c r="E788" t="inlineStr">
        <is>
          <t>LINDESBERG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911-2026</t>
        </is>
      </c>
      <c r="B789" s="1" t="n">
        <v>46030.47725694445</v>
      </c>
      <c r="C789" s="1" t="n">
        <v>46075</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50619-2022</t>
        </is>
      </c>
      <c r="B790" s="1" t="n">
        <v>44866.79668981482</v>
      </c>
      <c r="C790" s="1" t="n">
        <v>46075</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1160-2026</t>
        </is>
      </c>
      <c r="B791" s="1" t="n">
        <v>46031</v>
      </c>
      <c r="C791" s="1" t="n">
        <v>46075</v>
      </c>
      <c r="D791" t="inlineStr">
        <is>
          <t>ÖREBRO LÄN</t>
        </is>
      </c>
      <c r="E791" t="inlineStr">
        <is>
          <t>LINDESBERG</t>
        </is>
      </c>
      <c r="G791" t="n">
        <v>12.2</v>
      </c>
      <c r="H791" t="n">
        <v>0</v>
      </c>
      <c r="I791" t="n">
        <v>0</v>
      </c>
      <c r="J791" t="n">
        <v>0</v>
      </c>
      <c r="K791" t="n">
        <v>0</v>
      </c>
      <c r="L791" t="n">
        <v>0</v>
      </c>
      <c r="M791" t="n">
        <v>0</v>
      </c>
      <c r="N791" t="n">
        <v>0</v>
      </c>
      <c r="O791" t="n">
        <v>0</v>
      </c>
      <c r="P791" t="n">
        <v>0</v>
      </c>
      <c r="Q791" t="n">
        <v>0</v>
      </c>
      <c r="R791" s="2" t="inlineStr"/>
    </row>
    <row r="792" ht="15" customHeight="1">
      <c r="A792" t="inlineStr">
        <is>
          <t>A 36893-2024</t>
        </is>
      </c>
      <c r="B792" s="1" t="n">
        <v>45538</v>
      </c>
      <c r="C792" s="1" t="n">
        <v>46075</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878-2026</t>
        </is>
      </c>
      <c r="B793" s="1" t="n">
        <v>46030.44277777777</v>
      </c>
      <c r="C793" s="1" t="n">
        <v>46075</v>
      </c>
      <c r="D793" t="inlineStr">
        <is>
          <t>ÖREBRO LÄN</t>
        </is>
      </c>
      <c r="E793" t="inlineStr">
        <is>
          <t>LINDESBERG</t>
        </is>
      </c>
      <c r="G793" t="n">
        <v>2.2</v>
      </c>
      <c r="H793" t="n">
        <v>0</v>
      </c>
      <c r="I793" t="n">
        <v>0</v>
      </c>
      <c r="J793" t="n">
        <v>0</v>
      </c>
      <c r="K793" t="n">
        <v>0</v>
      </c>
      <c r="L793" t="n">
        <v>0</v>
      </c>
      <c r="M793" t="n">
        <v>0</v>
      </c>
      <c r="N793" t="n">
        <v>0</v>
      </c>
      <c r="O793" t="n">
        <v>0</v>
      </c>
      <c r="P793" t="n">
        <v>0</v>
      </c>
      <c r="Q793" t="n">
        <v>0</v>
      </c>
      <c r="R793" s="2" t="inlineStr"/>
    </row>
    <row r="794" ht="15" customHeight="1">
      <c r="A794" t="inlineStr">
        <is>
          <t>A 47155-2024</t>
        </is>
      </c>
      <c r="B794" s="1" t="n">
        <v>45586</v>
      </c>
      <c r="C794" s="1" t="n">
        <v>46075</v>
      </c>
      <c r="D794" t="inlineStr">
        <is>
          <t>ÖREBRO LÄN</t>
        </is>
      </c>
      <c r="E794" t="inlineStr">
        <is>
          <t>LINDESBERG</t>
        </is>
      </c>
      <c r="F794" t="inlineStr">
        <is>
          <t>Sveaskog</t>
        </is>
      </c>
      <c r="G794" t="n">
        <v>5.7</v>
      </c>
      <c r="H794" t="n">
        <v>0</v>
      </c>
      <c r="I794" t="n">
        <v>0</v>
      </c>
      <c r="J794" t="n">
        <v>0</v>
      </c>
      <c r="K794" t="n">
        <v>0</v>
      </c>
      <c r="L794" t="n">
        <v>0</v>
      </c>
      <c r="M794" t="n">
        <v>0</v>
      </c>
      <c r="N794" t="n">
        <v>0</v>
      </c>
      <c r="O794" t="n">
        <v>0</v>
      </c>
      <c r="P794" t="n">
        <v>0</v>
      </c>
      <c r="Q794" t="n">
        <v>0</v>
      </c>
      <c r="R794" s="2" t="inlineStr"/>
    </row>
    <row r="795" ht="15" customHeight="1">
      <c r="A795" t="inlineStr">
        <is>
          <t>A 10111-2022</t>
        </is>
      </c>
      <c r="B795" s="1" t="n">
        <v>44621.85737268518</v>
      </c>
      <c r="C795" s="1" t="n">
        <v>46075</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14231-2023</t>
        </is>
      </c>
      <c r="B796" s="1" t="n">
        <v>45009.64217592592</v>
      </c>
      <c r="C796" s="1" t="n">
        <v>46075</v>
      </c>
      <c r="D796" t="inlineStr">
        <is>
          <t>ÖREBRO LÄN</t>
        </is>
      </c>
      <c r="E796" t="inlineStr">
        <is>
          <t>LINDESBERG</t>
        </is>
      </c>
      <c r="G796" t="n">
        <v>4.3</v>
      </c>
      <c r="H796" t="n">
        <v>0</v>
      </c>
      <c r="I796" t="n">
        <v>0</v>
      </c>
      <c r="J796" t="n">
        <v>0</v>
      </c>
      <c r="K796" t="n">
        <v>0</v>
      </c>
      <c r="L796" t="n">
        <v>0</v>
      </c>
      <c r="M796" t="n">
        <v>0</v>
      </c>
      <c r="N796" t="n">
        <v>0</v>
      </c>
      <c r="O796" t="n">
        <v>0</v>
      </c>
      <c r="P796" t="n">
        <v>0</v>
      </c>
      <c r="Q796" t="n">
        <v>0</v>
      </c>
      <c r="R796" s="2" t="inlineStr"/>
    </row>
    <row r="797" ht="15" customHeight="1">
      <c r="A797" t="inlineStr">
        <is>
          <t>A 484-2022</t>
        </is>
      </c>
      <c r="B797" s="1" t="n">
        <v>44566</v>
      </c>
      <c r="C797" s="1" t="n">
        <v>46075</v>
      </c>
      <c r="D797" t="inlineStr">
        <is>
          <t>ÖREBRO LÄN</t>
        </is>
      </c>
      <c r="E797" t="inlineStr">
        <is>
          <t>LINDESBERG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1395-2025</t>
        </is>
      </c>
      <c r="B798" s="1" t="n">
        <v>45667</v>
      </c>
      <c r="C798" s="1" t="n">
        <v>46075</v>
      </c>
      <c r="D798" t="inlineStr">
        <is>
          <t>ÖREBRO LÄN</t>
        </is>
      </c>
      <c r="E798" t="inlineStr">
        <is>
          <t>LINDESBERG</t>
        </is>
      </c>
      <c r="G798" t="n">
        <v>4.6</v>
      </c>
      <c r="H798" t="n">
        <v>0</v>
      </c>
      <c r="I798" t="n">
        <v>0</v>
      </c>
      <c r="J798" t="n">
        <v>0</v>
      </c>
      <c r="K798" t="n">
        <v>0</v>
      </c>
      <c r="L798" t="n">
        <v>0</v>
      </c>
      <c r="M798" t="n">
        <v>0</v>
      </c>
      <c r="N798" t="n">
        <v>0</v>
      </c>
      <c r="O798" t="n">
        <v>0</v>
      </c>
      <c r="P798" t="n">
        <v>0</v>
      </c>
      <c r="Q798" t="n">
        <v>0</v>
      </c>
      <c r="R798" s="2" t="inlineStr"/>
    </row>
    <row r="799" ht="15" customHeight="1">
      <c r="A799" t="inlineStr">
        <is>
          <t>A 1405-2025</t>
        </is>
      </c>
      <c r="B799" s="1" t="n">
        <v>45667</v>
      </c>
      <c r="C799" s="1" t="n">
        <v>46075</v>
      </c>
      <c r="D799" t="inlineStr">
        <is>
          <t>ÖREBRO LÄN</t>
        </is>
      </c>
      <c r="E799" t="inlineStr">
        <is>
          <t>LINDESBERG</t>
        </is>
      </c>
      <c r="F799" t="inlineStr">
        <is>
          <t>Allmännings- och besparingsskogar</t>
        </is>
      </c>
      <c r="G799" t="n">
        <v>3.1</v>
      </c>
      <c r="H799" t="n">
        <v>0</v>
      </c>
      <c r="I799" t="n">
        <v>0</v>
      </c>
      <c r="J799" t="n">
        <v>0</v>
      </c>
      <c r="K799" t="n">
        <v>0</v>
      </c>
      <c r="L799" t="n">
        <v>0</v>
      </c>
      <c r="M799" t="n">
        <v>0</v>
      </c>
      <c r="N799" t="n">
        <v>0</v>
      </c>
      <c r="O799" t="n">
        <v>0</v>
      </c>
      <c r="P799" t="n">
        <v>0</v>
      </c>
      <c r="Q799" t="n">
        <v>0</v>
      </c>
      <c r="R799" s="2" t="inlineStr"/>
    </row>
    <row r="800" ht="15" customHeight="1">
      <c r="A800" t="inlineStr">
        <is>
          <t>A 34434-2023</t>
        </is>
      </c>
      <c r="B800" s="1" t="n">
        <v>45139.63480324074</v>
      </c>
      <c r="C800" s="1" t="n">
        <v>46075</v>
      </c>
      <c r="D800" t="inlineStr">
        <is>
          <t>ÖREBRO LÄN</t>
        </is>
      </c>
      <c r="E800" t="inlineStr">
        <is>
          <t>LINDESBERG</t>
        </is>
      </c>
      <c r="F800" t="inlineStr">
        <is>
          <t>Kyrkan</t>
        </is>
      </c>
      <c r="G800" t="n">
        <v>1.7</v>
      </c>
      <c r="H800" t="n">
        <v>0</v>
      </c>
      <c r="I800" t="n">
        <v>0</v>
      </c>
      <c r="J800" t="n">
        <v>0</v>
      </c>
      <c r="K800" t="n">
        <v>0</v>
      </c>
      <c r="L800" t="n">
        <v>0</v>
      </c>
      <c r="M800" t="n">
        <v>0</v>
      </c>
      <c r="N800" t="n">
        <v>0</v>
      </c>
      <c r="O800" t="n">
        <v>0</v>
      </c>
      <c r="P800" t="n">
        <v>0</v>
      </c>
      <c r="Q800" t="n">
        <v>0</v>
      </c>
      <c r="R800" s="2" t="inlineStr"/>
    </row>
    <row r="801" ht="15" customHeight="1">
      <c r="A801" t="inlineStr">
        <is>
          <t>A 45078-2024</t>
        </is>
      </c>
      <c r="B801" s="1" t="n">
        <v>45575.57104166667</v>
      </c>
      <c r="C801" s="1" t="n">
        <v>46075</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6723-2022</t>
        </is>
      </c>
      <c r="B802" s="1" t="n">
        <v>44602.45162037037</v>
      </c>
      <c r="C802" s="1" t="n">
        <v>46075</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28470-2023</t>
        </is>
      </c>
      <c r="B803" s="1" t="n">
        <v>45103</v>
      </c>
      <c r="C803" s="1" t="n">
        <v>46075</v>
      </c>
      <c r="D803" t="inlineStr">
        <is>
          <t>ÖREBRO LÄN</t>
        </is>
      </c>
      <c r="E803" t="inlineStr">
        <is>
          <t>LINDESBERG</t>
        </is>
      </c>
      <c r="G803" t="n">
        <v>6.7</v>
      </c>
      <c r="H803" t="n">
        <v>0</v>
      </c>
      <c r="I803" t="n">
        <v>0</v>
      </c>
      <c r="J803" t="n">
        <v>0</v>
      </c>
      <c r="K803" t="n">
        <v>0</v>
      </c>
      <c r="L803" t="n">
        <v>0</v>
      </c>
      <c r="M803" t="n">
        <v>0</v>
      </c>
      <c r="N803" t="n">
        <v>0</v>
      </c>
      <c r="O803" t="n">
        <v>0</v>
      </c>
      <c r="P803" t="n">
        <v>0</v>
      </c>
      <c r="Q803" t="n">
        <v>0</v>
      </c>
      <c r="R803" s="2" t="inlineStr"/>
    </row>
    <row r="804" ht="15" customHeight="1">
      <c r="A804" t="inlineStr">
        <is>
          <t>A 32097-2024</t>
        </is>
      </c>
      <c r="B804" s="1" t="n">
        <v>45511.39445601852</v>
      </c>
      <c r="C804" s="1" t="n">
        <v>46075</v>
      </c>
      <c r="D804" t="inlineStr">
        <is>
          <t>ÖREBRO LÄN</t>
        </is>
      </c>
      <c r="E804" t="inlineStr">
        <is>
          <t>LINDESBERG</t>
        </is>
      </c>
      <c r="G804" t="n">
        <v>1.7</v>
      </c>
      <c r="H804" t="n">
        <v>0</v>
      </c>
      <c r="I804" t="n">
        <v>0</v>
      </c>
      <c r="J804" t="n">
        <v>0</v>
      </c>
      <c r="K804" t="n">
        <v>0</v>
      </c>
      <c r="L804" t="n">
        <v>0</v>
      </c>
      <c r="M804" t="n">
        <v>0</v>
      </c>
      <c r="N804" t="n">
        <v>0</v>
      </c>
      <c r="O804" t="n">
        <v>0</v>
      </c>
      <c r="P804" t="n">
        <v>0</v>
      </c>
      <c r="Q804" t="n">
        <v>0</v>
      </c>
      <c r="R804" s="2" t="inlineStr"/>
    </row>
    <row r="805" ht="15" customHeight="1">
      <c r="A805" t="inlineStr">
        <is>
          <t>A 26340-2022</t>
        </is>
      </c>
      <c r="B805" s="1" t="n">
        <v>44735.62539351852</v>
      </c>
      <c r="C805" s="1" t="n">
        <v>46075</v>
      </c>
      <c r="D805" t="inlineStr">
        <is>
          <t>ÖREBRO LÄN</t>
        </is>
      </c>
      <c r="E805" t="inlineStr">
        <is>
          <t>LINDESBERG</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30534-2023</t>
        </is>
      </c>
      <c r="B806" s="1" t="n">
        <v>45111</v>
      </c>
      <c r="C806" s="1" t="n">
        <v>46075</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3994-2023</t>
        </is>
      </c>
      <c r="B807" s="1" t="n">
        <v>44950</v>
      </c>
      <c r="C807" s="1" t="n">
        <v>46075</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54705-2022</t>
        </is>
      </c>
      <c r="B808" s="1" t="n">
        <v>44883</v>
      </c>
      <c r="C808" s="1" t="n">
        <v>46075</v>
      </c>
      <c r="D808" t="inlineStr">
        <is>
          <t>ÖREBRO LÄN</t>
        </is>
      </c>
      <c r="E808" t="inlineStr">
        <is>
          <t>LINDESBERG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59631-2023</t>
        </is>
      </c>
      <c r="B809" s="1" t="n">
        <v>45254.68105324074</v>
      </c>
      <c r="C809" s="1" t="n">
        <v>46075</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34539-2024</t>
        </is>
      </c>
      <c r="B810" s="1" t="n">
        <v>45525.7374537037</v>
      </c>
      <c r="C810" s="1" t="n">
        <v>46075</v>
      </c>
      <c r="D810" t="inlineStr">
        <is>
          <t>ÖREBRO LÄN</t>
        </is>
      </c>
      <c r="E810" t="inlineStr">
        <is>
          <t>LINDESBERG</t>
        </is>
      </c>
      <c r="G810" t="n">
        <v>5.4</v>
      </c>
      <c r="H810" t="n">
        <v>0</v>
      </c>
      <c r="I810" t="n">
        <v>0</v>
      </c>
      <c r="J810" t="n">
        <v>0</v>
      </c>
      <c r="K810" t="n">
        <v>0</v>
      </c>
      <c r="L810" t="n">
        <v>0</v>
      </c>
      <c r="M810" t="n">
        <v>0</v>
      </c>
      <c r="N810" t="n">
        <v>0</v>
      </c>
      <c r="O810" t="n">
        <v>0</v>
      </c>
      <c r="P810" t="n">
        <v>0</v>
      </c>
      <c r="Q810" t="n">
        <v>0</v>
      </c>
      <c r="R810" s="2" t="inlineStr"/>
    </row>
    <row r="811" ht="15" customHeight="1">
      <c r="A811" t="inlineStr">
        <is>
          <t>A 41951-2023</t>
        </is>
      </c>
      <c r="B811" s="1" t="n">
        <v>45177.33991898148</v>
      </c>
      <c r="C811" s="1" t="n">
        <v>46075</v>
      </c>
      <c r="D811" t="inlineStr">
        <is>
          <t>ÖREBRO LÄN</t>
        </is>
      </c>
      <c r="E811" t="inlineStr">
        <is>
          <t>LINDESBERG</t>
        </is>
      </c>
      <c r="F811" t="inlineStr">
        <is>
          <t>Kyrkan</t>
        </is>
      </c>
      <c r="G811" t="n">
        <v>3.3</v>
      </c>
      <c r="H811" t="n">
        <v>0</v>
      </c>
      <c r="I811" t="n">
        <v>0</v>
      </c>
      <c r="J811" t="n">
        <v>0</v>
      </c>
      <c r="K811" t="n">
        <v>0</v>
      </c>
      <c r="L811" t="n">
        <v>0</v>
      </c>
      <c r="M811" t="n">
        <v>0</v>
      </c>
      <c r="N811" t="n">
        <v>0</v>
      </c>
      <c r="O811" t="n">
        <v>0</v>
      </c>
      <c r="P811" t="n">
        <v>0</v>
      </c>
      <c r="Q811" t="n">
        <v>0</v>
      </c>
      <c r="R811" s="2" t="inlineStr"/>
    </row>
    <row r="812" ht="15" customHeight="1">
      <c r="A812" t="inlineStr">
        <is>
          <t>A 58603-2023</t>
        </is>
      </c>
      <c r="B812" s="1" t="n">
        <v>45251</v>
      </c>
      <c r="C812" s="1" t="n">
        <v>46075</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14187-2024</t>
        </is>
      </c>
      <c r="B813" s="1" t="n">
        <v>45393.35787037037</v>
      </c>
      <c r="C813" s="1" t="n">
        <v>46075</v>
      </c>
      <c r="D813" t="inlineStr">
        <is>
          <t>ÖREBRO LÄN</t>
        </is>
      </c>
      <c r="E813" t="inlineStr">
        <is>
          <t>LINDESBERG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18418-2025</t>
        </is>
      </c>
      <c r="B814" s="1" t="n">
        <v>45762.61817129629</v>
      </c>
      <c r="C814" s="1" t="n">
        <v>46075</v>
      </c>
      <c r="D814" t="inlineStr">
        <is>
          <t>ÖREBRO LÄN</t>
        </is>
      </c>
      <c r="E814" t="inlineStr">
        <is>
          <t>LINDESBERG</t>
        </is>
      </c>
      <c r="G814" t="n">
        <v>2.3</v>
      </c>
      <c r="H814" t="n">
        <v>0</v>
      </c>
      <c r="I814" t="n">
        <v>0</v>
      </c>
      <c r="J814" t="n">
        <v>0</v>
      </c>
      <c r="K814" t="n">
        <v>0</v>
      </c>
      <c r="L814" t="n">
        <v>0</v>
      </c>
      <c r="M814" t="n">
        <v>0</v>
      </c>
      <c r="N814" t="n">
        <v>0</v>
      </c>
      <c r="O814" t="n">
        <v>0</v>
      </c>
      <c r="P814" t="n">
        <v>0</v>
      </c>
      <c r="Q814" t="n">
        <v>0</v>
      </c>
      <c r="R814" s="2" t="inlineStr"/>
    </row>
    <row r="815" ht="15" customHeight="1">
      <c r="A815" t="inlineStr">
        <is>
          <t>A 29849-2023</t>
        </is>
      </c>
      <c r="B815" s="1" t="n">
        <v>45107</v>
      </c>
      <c r="C815" s="1" t="n">
        <v>46075</v>
      </c>
      <c r="D815" t="inlineStr">
        <is>
          <t>ÖREBRO LÄN</t>
        </is>
      </c>
      <c r="E815" t="inlineStr">
        <is>
          <t>LINDESBERG</t>
        </is>
      </c>
      <c r="G815" t="n">
        <v>2.1</v>
      </c>
      <c r="H815" t="n">
        <v>0</v>
      </c>
      <c r="I815" t="n">
        <v>0</v>
      </c>
      <c r="J815" t="n">
        <v>0</v>
      </c>
      <c r="K815" t="n">
        <v>0</v>
      </c>
      <c r="L815" t="n">
        <v>0</v>
      </c>
      <c r="M815" t="n">
        <v>0</v>
      </c>
      <c r="N815" t="n">
        <v>0</v>
      </c>
      <c r="O815" t="n">
        <v>0</v>
      </c>
      <c r="P815" t="n">
        <v>0</v>
      </c>
      <c r="Q815" t="n">
        <v>0</v>
      </c>
      <c r="R815" s="2" t="inlineStr"/>
    </row>
    <row r="816" ht="15" customHeight="1">
      <c r="A816" t="inlineStr">
        <is>
          <t>A 60105-2022</t>
        </is>
      </c>
      <c r="B816" s="1" t="n">
        <v>44902</v>
      </c>
      <c r="C816" s="1" t="n">
        <v>46075</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15094-2025</t>
        </is>
      </c>
      <c r="B817" s="1" t="n">
        <v>45744.32981481482</v>
      </c>
      <c r="C817" s="1" t="n">
        <v>46075</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33427-2024</t>
        </is>
      </c>
      <c r="B818" s="1" t="n">
        <v>45519.52232638889</v>
      </c>
      <c r="C818" s="1" t="n">
        <v>46075</v>
      </c>
      <c r="D818" t="inlineStr">
        <is>
          <t>ÖREBRO LÄN</t>
        </is>
      </c>
      <c r="E818" t="inlineStr">
        <is>
          <t>LINDESBERG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29894-2023</t>
        </is>
      </c>
      <c r="B819" s="1" t="n">
        <v>45107</v>
      </c>
      <c r="C819" s="1" t="n">
        <v>46075</v>
      </c>
      <c r="D819" t="inlineStr">
        <is>
          <t>ÖREBRO LÄN</t>
        </is>
      </c>
      <c r="E819" t="inlineStr">
        <is>
          <t>LINDESBERG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40306-2022</t>
        </is>
      </c>
      <c r="B820" s="1" t="n">
        <v>44822</v>
      </c>
      <c r="C820" s="1" t="n">
        <v>46075</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63668-2023</t>
        </is>
      </c>
      <c r="B821" s="1" t="n">
        <v>45274</v>
      </c>
      <c r="C821" s="1" t="n">
        <v>46075</v>
      </c>
      <c r="D821" t="inlineStr">
        <is>
          <t>ÖREBRO LÄN</t>
        </is>
      </c>
      <c r="E821" t="inlineStr">
        <is>
          <t>LINDESBERG</t>
        </is>
      </c>
      <c r="G821" t="n">
        <v>0.7</v>
      </c>
      <c r="H821" t="n">
        <v>0</v>
      </c>
      <c r="I821" t="n">
        <v>0</v>
      </c>
      <c r="J821" t="n">
        <v>0</v>
      </c>
      <c r="K821" t="n">
        <v>0</v>
      </c>
      <c r="L821" t="n">
        <v>0</v>
      </c>
      <c r="M821" t="n">
        <v>0</v>
      </c>
      <c r="N821" t="n">
        <v>0</v>
      </c>
      <c r="O821" t="n">
        <v>0</v>
      </c>
      <c r="P821" t="n">
        <v>0</v>
      </c>
      <c r="Q821" t="n">
        <v>0</v>
      </c>
      <c r="R821" s="2" t="inlineStr"/>
    </row>
    <row r="822" ht="15" customHeight="1">
      <c r="A822" t="inlineStr">
        <is>
          <t>A 4539-2025</t>
        </is>
      </c>
      <c r="B822" s="1" t="n">
        <v>45687</v>
      </c>
      <c r="C822" s="1" t="n">
        <v>46075</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44675-2021</t>
        </is>
      </c>
      <c r="B823" s="1" t="n">
        <v>44438</v>
      </c>
      <c r="C823" s="1" t="n">
        <v>46075</v>
      </c>
      <c r="D823" t="inlineStr">
        <is>
          <t>ÖREBRO LÄN</t>
        </is>
      </c>
      <c r="E823" t="inlineStr">
        <is>
          <t>LINDESBERG</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59633-2023</t>
        </is>
      </c>
      <c r="B824" s="1" t="n">
        <v>45254</v>
      </c>
      <c r="C824" s="1" t="n">
        <v>46075</v>
      </c>
      <c r="D824" t="inlineStr">
        <is>
          <t>ÖREBRO LÄN</t>
        </is>
      </c>
      <c r="E824" t="inlineStr">
        <is>
          <t>LINDESBERG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13416-2025</t>
        </is>
      </c>
      <c r="B825" s="1" t="n">
        <v>45736.308125</v>
      </c>
      <c r="C825" s="1" t="n">
        <v>46075</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27051-2023</t>
        </is>
      </c>
      <c r="B826" s="1" t="n">
        <v>45095</v>
      </c>
      <c r="C826" s="1" t="n">
        <v>46075</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43801-2024</t>
        </is>
      </c>
      <c r="B827" s="1" t="n">
        <v>45571.71736111111</v>
      </c>
      <c r="C827" s="1" t="n">
        <v>46075</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45072-2024</t>
        </is>
      </c>
      <c r="B828" s="1" t="n">
        <v>45575.56686342593</v>
      </c>
      <c r="C828" s="1" t="n">
        <v>46075</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45075-2024</t>
        </is>
      </c>
      <c r="B829" s="1" t="n">
        <v>45575.56820601852</v>
      </c>
      <c r="C829" s="1" t="n">
        <v>46075</v>
      </c>
      <c r="D829" t="inlineStr">
        <is>
          <t>ÖREBRO LÄN</t>
        </is>
      </c>
      <c r="E829" t="inlineStr">
        <is>
          <t>LINDESBERG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61405-2022</t>
        </is>
      </c>
      <c r="B830" s="1" t="n">
        <v>44916</v>
      </c>
      <c r="C830" s="1" t="n">
        <v>46075</v>
      </c>
      <c r="D830" t="inlineStr">
        <is>
          <t>ÖREBRO LÄN</t>
        </is>
      </c>
      <c r="E830" t="inlineStr">
        <is>
          <t>LINDESBERG</t>
        </is>
      </c>
      <c r="G830" t="n">
        <v>4.4</v>
      </c>
      <c r="H830" t="n">
        <v>0</v>
      </c>
      <c r="I830" t="n">
        <v>0</v>
      </c>
      <c r="J830" t="n">
        <v>0</v>
      </c>
      <c r="K830" t="n">
        <v>0</v>
      </c>
      <c r="L830" t="n">
        <v>0</v>
      </c>
      <c r="M830" t="n">
        <v>0</v>
      </c>
      <c r="N830" t="n">
        <v>0</v>
      </c>
      <c r="O830" t="n">
        <v>0</v>
      </c>
      <c r="P830" t="n">
        <v>0</v>
      </c>
      <c r="Q830" t="n">
        <v>0</v>
      </c>
      <c r="R830" s="2" t="inlineStr"/>
    </row>
    <row r="831" ht="15" customHeight="1">
      <c r="A831" t="inlineStr">
        <is>
          <t>A 40563-2023</t>
        </is>
      </c>
      <c r="B831" s="1" t="n">
        <v>45170.45921296296</v>
      </c>
      <c r="C831" s="1" t="n">
        <v>46075</v>
      </c>
      <c r="D831" t="inlineStr">
        <is>
          <t>ÖREBRO LÄN</t>
        </is>
      </c>
      <c r="E831" t="inlineStr">
        <is>
          <t>LINDESBERG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38613-2024</t>
        </is>
      </c>
      <c r="B832" s="1" t="n">
        <v>45546.68743055555</v>
      </c>
      <c r="C832" s="1" t="n">
        <v>46075</v>
      </c>
      <c r="D832" t="inlineStr">
        <is>
          <t>ÖREBRO LÄN</t>
        </is>
      </c>
      <c r="E832" t="inlineStr">
        <is>
          <t>LINDESBERG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49358-2023</t>
        </is>
      </c>
      <c r="B833" s="1" t="n">
        <v>45211</v>
      </c>
      <c r="C833" s="1" t="n">
        <v>46075</v>
      </c>
      <c r="D833" t="inlineStr">
        <is>
          <t>ÖREBRO LÄN</t>
        </is>
      </c>
      <c r="E833" t="inlineStr">
        <is>
          <t>LINDESBERG</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72331-2021</t>
        </is>
      </c>
      <c r="B834" s="1" t="n">
        <v>44544</v>
      </c>
      <c r="C834" s="1" t="n">
        <v>46075</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54663-2021</t>
        </is>
      </c>
      <c r="B835" s="1" t="n">
        <v>44473.6343287037</v>
      </c>
      <c r="C835" s="1" t="n">
        <v>46075</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57795-2021</t>
        </is>
      </c>
      <c r="B836" s="1" t="n">
        <v>44484</v>
      </c>
      <c r="C836" s="1" t="n">
        <v>46075</v>
      </c>
      <c r="D836" t="inlineStr">
        <is>
          <t>ÖREBRO LÄN</t>
        </is>
      </c>
      <c r="E836" t="inlineStr">
        <is>
          <t>LINDESBERG</t>
        </is>
      </c>
      <c r="G836" t="n">
        <v>39.4</v>
      </c>
      <c r="H836" t="n">
        <v>0</v>
      </c>
      <c r="I836" t="n">
        <v>0</v>
      </c>
      <c r="J836" t="n">
        <v>0</v>
      </c>
      <c r="K836" t="n">
        <v>0</v>
      </c>
      <c r="L836" t="n">
        <v>0</v>
      </c>
      <c r="M836" t="n">
        <v>0</v>
      </c>
      <c r="N836" t="n">
        <v>0</v>
      </c>
      <c r="O836" t="n">
        <v>0</v>
      </c>
      <c r="P836" t="n">
        <v>0</v>
      </c>
      <c r="Q836" t="n">
        <v>0</v>
      </c>
      <c r="R836" s="2" t="inlineStr"/>
    </row>
    <row r="837" ht="15" customHeight="1">
      <c r="A837" t="inlineStr">
        <is>
          <t>A 27031-2024</t>
        </is>
      </c>
      <c r="B837" s="1" t="n">
        <v>45471.42659722222</v>
      </c>
      <c r="C837" s="1" t="n">
        <v>46075</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27130-2024</t>
        </is>
      </c>
      <c r="B838" s="1" t="n">
        <v>45471.52072916667</v>
      </c>
      <c r="C838" s="1" t="n">
        <v>46075</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6161-2025</t>
        </is>
      </c>
      <c r="B839" s="1" t="n">
        <v>45698</v>
      </c>
      <c r="C839" s="1" t="n">
        <v>46075</v>
      </c>
      <c r="D839" t="inlineStr">
        <is>
          <t>ÖREBRO LÄN</t>
        </is>
      </c>
      <c r="E839" t="inlineStr">
        <is>
          <t>LINDESBERG</t>
        </is>
      </c>
      <c r="F839" t="inlineStr">
        <is>
          <t>Sveaskog</t>
        </is>
      </c>
      <c r="G839" t="n">
        <v>3.7</v>
      </c>
      <c r="H839" t="n">
        <v>0</v>
      </c>
      <c r="I839" t="n">
        <v>0</v>
      </c>
      <c r="J839" t="n">
        <v>0</v>
      </c>
      <c r="K839" t="n">
        <v>0</v>
      </c>
      <c r="L839" t="n">
        <v>0</v>
      </c>
      <c r="M839" t="n">
        <v>0</v>
      </c>
      <c r="N839" t="n">
        <v>0</v>
      </c>
      <c r="O839" t="n">
        <v>0</v>
      </c>
      <c r="P839" t="n">
        <v>0</v>
      </c>
      <c r="Q839" t="n">
        <v>0</v>
      </c>
      <c r="R839" s="2" t="inlineStr"/>
    </row>
    <row r="840" ht="15" customHeight="1">
      <c r="A840" t="inlineStr">
        <is>
          <t>A 6165-2025</t>
        </is>
      </c>
      <c r="B840" s="1" t="n">
        <v>45698</v>
      </c>
      <c r="C840" s="1" t="n">
        <v>46075</v>
      </c>
      <c r="D840" t="inlineStr">
        <is>
          <t>ÖREBRO LÄN</t>
        </is>
      </c>
      <c r="E840" t="inlineStr">
        <is>
          <t>LINDESBERG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44664-2023</t>
        </is>
      </c>
      <c r="B841" s="1" t="n">
        <v>45189</v>
      </c>
      <c r="C841" s="1" t="n">
        <v>46075</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11366-2024</t>
        </is>
      </c>
      <c r="B842" s="1" t="n">
        <v>45372.40246527778</v>
      </c>
      <c r="C842" s="1" t="n">
        <v>46075</v>
      </c>
      <c r="D842" t="inlineStr">
        <is>
          <t>ÖREBRO LÄN</t>
        </is>
      </c>
      <c r="E842" t="inlineStr">
        <is>
          <t>LINDESBERG</t>
        </is>
      </c>
      <c r="G842" t="n">
        <v>4.4</v>
      </c>
      <c r="H842" t="n">
        <v>0</v>
      </c>
      <c r="I842" t="n">
        <v>0</v>
      </c>
      <c r="J842" t="n">
        <v>0</v>
      </c>
      <c r="K842" t="n">
        <v>0</v>
      </c>
      <c r="L842" t="n">
        <v>0</v>
      </c>
      <c r="M842" t="n">
        <v>0</v>
      </c>
      <c r="N842" t="n">
        <v>0</v>
      </c>
      <c r="O842" t="n">
        <v>0</v>
      </c>
      <c r="P842" t="n">
        <v>0</v>
      </c>
      <c r="Q842" t="n">
        <v>0</v>
      </c>
      <c r="R842" s="2" t="inlineStr"/>
    </row>
    <row r="843" ht="15" customHeight="1">
      <c r="A843" t="inlineStr">
        <is>
          <t>A 24270-2023</t>
        </is>
      </c>
      <c r="B843" s="1" t="n">
        <v>45079</v>
      </c>
      <c r="C843" s="1" t="n">
        <v>46075</v>
      </c>
      <c r="D843" t="inlineStr">
        <is>
          <t>ÖREBRO LÄN</t>
        </is>
      </c>
      <c r="E843" t="inlineStr">
        <is>
          <t>LINDESBERG</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24271-2023</t>
        </is>
      </c>
      <c r="B844" s="1" t="n">
        <v>45079</v>
      </c>
      <c r="C844" s="1" t="n">
        <v>46075</v>
      </c>
      <c r="D844" t="inlineStr">
        <is>
          <t>ÖREBRO LÄN</t>
        </is>
      </c>
      <c r="E844" t="inlineStr">
        <is>
          <t>LINDESBERG</t>
        </is>
      </c>
      <c r="F844" t="inlineStr">
        <is>
          <t>Sveaskog</t>
        </is>
      </c>
      <c r="G844" t="n">
        <v>0.4</v>
      </c>
      <c r="H844" t="n">
        <v>0</v>
      </c>
      <c r="I844" t="n">
        <v>0</v>
      </c>
      <c r="J844" t="n">
        <v>0</v>
      </c>
      <c r="K844" t="n">
        <v>0</v>
      </c>
      <c r="L844" t="n">
        <v>0</v>
      </c>
      <c r="M844" t="n">
        <v>0</v>
      </c>
      <c r="N844" t="n">
        <v>0</v>
      </c>
      <c r="O844" t="n">
        <v>0</v>
      </c>
      <c r="P844" t="n">
        <v>0</v>
      </c>
      <c r="Q844" t="n">
        <v>0</v>
      </c>
      <c r="R844" s="2" t="inlineStr"/>
    </row>
    <row r="845" ht="15" customHeight="1">
      <c r="A845" t="inlineStr">
        <is>
          <t>A 25046-2024</t>
        </is>
      </c>
      <c r="B845" s="1" t="n">
        <v>45462</v>
      </c>
      <c r="C845" s="1" t="n">
        <v>46075</v>
      </c>
      <c r="D845" t="inlineStr">
        <is>
          <t>ÖREBRO LÄN</t>
        </is>
      </c>
      <c r="E845" t="inlineStr">
        <is>
          <t>LINDESBERG</t>
        </is>
      </c>
      <c r="G845" t="n">
        <v>4.1</v>
      </c>
      <c r="H845" t="n">
        <v>0</v>
      </c>
      <c r="I845" t="n">
        <v>0</v>
      </c>
      <c r="J845" t="n">
        <v>0</v>
      </c>
      <c r="K845" t="n">
        <v>0</v>
      </c>
      <c r="L845" t="n">
        <v>0</v>
      </c>
      <c r="M845" t="n">
        <v>0</v>
      </c>
      <c r="N845" t="n">
        <v>0</v>
      </c>
      <c r="O845" t="n">
        <v>0</v>
      </c>
      <c r="P845" t="n">
        <v>0</v>
      </c>
      <c r="Q845" t="n">
        <v>0</v>
      </c>
      <c r="R845" s="2" t="inlineStr"/>
    </row>
    <row r="846" ht="15" customHeight="1">
      <c r="A846" t="inlineStr">
        <is>
          <t>A 45038-2024</t>
        </is>
      </c>
      <c r="B846" s="1" t="n">
        <v>45575.53331018519</v>
      </c>
      <c r="C846" s="1" t="n">
        <v>46075</v>
      </c>
      <c r="D846" t="inlineStr">
        <is>
          <t>ÖREBRO LÄN</t>
        </is>
      </c>
      <c r="E846" t="inlineStr">
        <is>
          <t>LINDESBERG</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45046-2024</t>
        </is>
      </c>
      <c r="B847" s="1" t="n">
        <v>45575.54489583334</v>
      </c>
      <c r="C847" s="1" t="n">
        <v>46075</v>
      </c>
      <c r="D847" t="inlineStr">
        <is>
          <t>ÖREBRO LÄN</t>
        </is>
      </c>
      <c r="E847" t="inlineStr">
        <is>
          <t>LINDESBERG</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21468-2024</t>
        </is>
      </c>
      <c r="B848" s="1" t="n">
        <v>45441.48670138889</v>
      </c>
      <c r="C848" s="1" t="n">
        <v>46075</v>
      </c>
      <c r="D848" t="inlineStr">
        <is>
          <t>ÖREBRO LÄN</t>
        </is>
      </c>
      <c r="E848" t="inlineStr">
        <is>
          <t>LINDESBERG</t>
        </is>
      </c>
      <c r="G848" t="n">
        <v>1</v>
      </c>
      <c r="H848" t="n">
        <v>0</v>
      </c>
      <c r="I848" t="n">
        <v>0</v>
      </c>
      <c r="J848" t="n">
        <v>0</v>
      </c>
      <c r="K848" t="n">
        <v>0</v>
      </c>
      <c r="L848" t="n">
        <v>0</v>
      </c>
      <c r="M848" t="n">
        <v>0</v>
      </c>
      <c r="N848" t="n">
        <v>0</v>
      </c>
      <c r="O848" t="n">
        <v>0</v>
      </c>
      <c r="P848" t="n">
        <v>0</v>
      </c>
      <c r="Q848" t="n">
        <v>0</v>
      </c>
      <c r="R848" s="2" t="inlineStr"/>
    </row>
    <row r="849" ht="15" customHeight="1">
      <c r="A849" t="inlineStr">
        <is>
          <t>A 18610-2021</t>
        </is>
      </c>
      <c r="B849" s="1" t="n">
        <v>44306.6371412037</v>
      </c>
      <c r="C849" s="1" t="n">
        <v>46075</v>
      </c>
      <c r="D849" t="inlineStr">
        <is>
          <t>ÖREBRO LÄN</t>
        </is>
      </c>
      <c r="E849" t="inlineStr">
        <is>
          <t>LINDESBERG</t>
        </is>
      </c>
      <c r="G849" t="n">
        <v>3</v>
      </c>
      <c r="H849" t="n">
        <v>0</v>
      </c>
      <c r="I849" t="n">
        <v>0</v>
      </c>
      <c r="J849" t="n">
        <v>0</v>
      </c>
      <c r="K849" t="n">
        <v>0</v>
      </c>
      <c r="L849" t="n">
        <v>0</v>
      </c>
      <c r="M849" t="n">
        <v>0</v>
      </c>
      <c r="N849" t="n">
        <v>0</v>
      </c>
      <c r="O849" t="n">
        <v>0</v>
      </c>
      <c r="P849" t="n">
        <v>0</v>
      </c>
      <c r="Q849" t="n">
        <v>0</v>
      </c>
      <c r="R849" s="2" t="inlineStr"/>
    </row>
    <row r="850" ht="15" customHeight="1">
      <c r="A850" t="inlineStr">
        <is>
          <t>A 40038-2024</t>
        </is>
      </c>
      <c r="B850" s="1" t="n">
        <v>45553</v>
      </c>
      <c r="C850" s="1" t="n">
        <v>46075</v>
      </c>
      <c r="D850" t="inlineStr">
        <is>
          <t>ÖREBRO LÄN</t>
        </is>
      </c>
      <c r="E850" t="inlineStr">
        <is>
          <t>LINDESBERG</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61360-2024</t>
        </is>
      </c>
      <c r="B851" s="1" t="n">
        <v>45646</v>
      </c>
      <c r="C851" s="1" t="n">
        <v>46075</v>
      </c>
      <c r="D851" t="inlineStr">
        <is>
          <t>ÖREBRO LÄN</t>
        </is>
      </c>
      <c r="E851" t="inlineStr">
        <is>
          <t>LINDESBERG</t>
        </is>
      </c>
      <c r="F851" t="inlineStr">
        <is>
          <t>Sveaskog</t>
        </is>
      </c>
      <c r="G851" t="n">
        <v>6.5</v>
      </c>
      <c r="H851" t="n">
        <v>0</v>
      </c>
      <c r="I851" t="n">
        <v>0</v>
      </c>
      <c r="J851" t="n">
        <v>0</v>
      </c>
      <c r="K851" t="n">
        <v>0</v>
      </c>
      <c r="L851" t="n">
        <v>0</v>
      </c>
      <c r="M851" t="n">
        <v>0</v>
      </c>
      <c r="N851" t="n">
        <v>0</v>
      </c>
      <c r="O851" t="n">
        <v>0</v>
      </c>
      <c r="P851" t="n">
        <v>0</v>
      </c>
      <c r="Q851" t="n">
        <v>0</v>
      </c>
      <c r="R851" s="2" t="inlineStr"/>
    </row>
    <row r="852" ht="15" customHeight="1">
      <c r="A852" t="inlineStr">
        <is>
          <t>A 12276-2025</t>
        </is>
      </c>
      <c r="B852" s="1" t="n">
        <v>45729.65061342593</v>
      </c>
      <c r="C852" s="1" t="n">
        <v>46075</v>
      </c>
      <c r="D852" t="inlineStr">
        <is>
          <t>ÖREBRO LÄN</t>
        </is>
      </c>
      <c r="E852" t="inlineStr">
        <is>
          <t>LINDESBERG</t>
        </is>
      </c>
      <c r="G852" t="n">
        <v>7.6</v>
      </c>
      <c r="H852" t="n">
        <v>0</v>
      </c>
      <c r="I852" t="n">
        <v>0</v>
      </c>
      <c r="J852" t="n">
        <v>0</v>
      </c>
      <c r="K852" t="n">
        <v>0</v>
      </c>
      <c r="L852" t="n">
        <v>0</v>
      </c>
      <c r="M852" t="n">
        <v>0</v>
      </c>
      <c r="N852" t="n">
        <v>0</v>
      </c>
      <c r="O852" t="n">
        <v>0</v>
      </c>
      <c r="P852" t="n">
        <v>0</v>
      </c>
      <c r="Q852" t="n">
        <v>0</v>
      </c>
      <c r="R852" s="2" t="inlineStr"/>
    </row>
    <row r="853" ht="15" customHeight="1">
      <c r="A853" t="inlineStr">
        <is>
          <t>A 14028-2023</t>
        </is>
      </c>
      <c r="B853" s="1" t="n">
        <v>45008</v>
      </c>
      <c r="C853" s="1" t="n">
        <v>46075</v>
      </c>
      <c r="D853" t="inlineStr">
        <is>
          <t>ÖREBRO LÄN</t>
        </is>
      </c>
      <c r="E853" t="inlineStr">
        <is>
          <t>LINDESBERG</t>
        </is>
      </c>
      <c r="F853" t="inlineStr">
        <is>
          <t>Kyrkan</t>
        </is>
      </c>
      <c r="G853" t="n">
        <v>1.1</v>
      </c>
      <c r="H853" t="n">
        <v>0</v>
      </c>
      <c r="I853" t="n">
        <v>0</v>
      </c>
      <c r="J853" t="n">
        <v>0</v>
      </c>
      <c r="K853" t="n">
        <v>0</v>
      </c>
      <c r="L853" t="n">
        <v>0</v>
      </c>
      <c r="M853" t="n">
        <v>0</v>
      </c>
      <c r="N853" t="n">
        <v>0</v>
      </c>
      <c r="O853" t="n">
        <v>0</v>
      </c>
      <c r="P853" t="n">
        <v>0</v>
      </c>
      <c r="Q853" t="n">
        <v>0</v>
      </c>
      <c r="R853" s="2" t="inlineStr"/>
    </row>
    <row r="854" ht="15" customHeight="1">
      <c r="A854" t="inlineStr">
        <is>
          <t>A 31024-2023</t>
        </is>
      </c>
      <c r="B854" s="1" t="n">
        <v>45113</v>
      </c>
      <c r="C854" s="1" t="n">
        <v>46075</v>
      </c>
      <c r="D854" t="inlineStr">
        <is>
          <t>ÖREBRO LÄN</t>
        </is>
      </c>
      <c r="E854" t="inlineStr">
        <is>
          <t>LINDESBERG</t>
        </is>
      </c>
      <c r="G854" t="n">
        <v>5.1</v>
      </c>
      <c r="H854" t="n">
        <v>0</v>
      </c>
      <c r="I854" t="n">
        <v>0</v>
      </c>
      <c r="J854" t="n">
        <v>0</v>
      </c>
      <c r="K854" t="n">
        <v>0</v>
      </c>
      <c r="L854" t="n">
        <v>0</v>
      </c>
      <c r="M854" t="n">
        <v>0</v>
      </c>
      <c r="N854" t="n">
        <v>0</v>
      </c>
      <c r="O854" t="n">
        <v>0</v>
      </c>
      <c r="P854" t="n">
        <v>0</v>
      </c>
      <c r="Q854" t="n">
        <v>0</v>
      </c>
      <c r="R854" s="2" t="inlineStr"/>
    </row>
    <row r="855" ht="15" customHeight="1">
      <c r="A855" t="inlineStr">
        <is>
          <t>A 27052-2023</t>
        </is>
      </c>
      <c r="B855" s="1" t="n">
        <v>45095</v>
      </c>
      <c r="C855" s="1" t="n">
        <v>46075</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12053-2024</t>
        </is>
      </c>
      <c r="B856" s="1" t="n">
        <v>45377.48265046296</v>
      </c>
      <c r="C856" s="1" t="n">
        <v>46075</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25229-2021</t>
        </is>
      </c>
      <c r="B857" s="1" t="n">
        <v>44342.39703703704</v>
      </c>
      <c r="C857" s="1" t="n">
        <v>46075</v>
      </c>
      <c r="D857" t="inlineStr">
        <is>
          <t>ÖREBRO LÄN</t>
        </is>
      </c>
      <c r="E857" t="inlineStr">
        <is>
          <t>LINDESBERG</t>
        </is>
      </c>
      <c r="F857" t="inlineStr">
        <is>
          <t>Kyrkan</t>
        </is>
      </c>
      <c r="G857" t="n">
        <v>1.5</v>
      </c>
      <c r="H857" t="n">
        <v>0</v>
      </c>
      <c r="I857" t="n">
        <v>0</v>
      </c>
      <c r="J857" t="n">
        <v>0</v>
      </c>
      <c r="K857" t="n">
        <v>0</v>
      </c>
      <c r="L857" t="n">
        <v>0</v>
      </c>
      <c r="M857" t="n">
        <v>0</v>
      </c>
      <c r="N857" t="n">
        <v>0</v>
      </c>
      <c r="O857" t="n">
        <v>0</v>
      </c>
      <c r="P857" t="n">
        <v>0</v>
      </c>
      <c r="Q857" t="n">
        <v>0</v>
      </c>
      <c r="R857" s="2" t="inlineStr"/>
    </row>
    <row r="858" ht="15" customHeight="1">
      <c r="A858" t="inlineStr">
        <is>
          <t>A 626-2025</t>
        </is>
      </c>
      <c r="B858" s="1" t="n">
        <v>45664</v>
      </c>
      <c r="C858" s="1" t="n">
        <v>46075</v>
      </c>
      <c r="D858" t="inlineStr">
        <is>
          <t>ÖREBRO LÄN</t>
        </is>
      </c>
      <c r="E858" t="inlineStr">
        <is>
          <t>LINDESBERG</t>
        </is>
      </c>
      <c r="G858" t="n">
        <v>0.5</v>
      </c>
      <c r="H858" t="n">
        <v>0</v>
      </c>
      <c r="I858" t="n">
        <v>0</v>
      </c>
      <c r="J858" t="n">
        <v>0</v>
      </c>
      <c r="K858" t="n">
        <v>0</v>
      </c>
      <c r="L858" t="n">
        <v>0</v>
      </c>
      <c r="M858" t="n">
        <v>0</v>
      </c>
      <c r="N858" t="n">
        <v>0</v>
      </c>
      <c r="O858" t="n">
        <v>0</v>
      </c>
      <c r="P858" t="n">
        <v>0</v>
      </c>
      <c r="Q858" t="n">
        <v>0</v>
      </c>
      <c r="R858" s="2" t="inlineStr"/>
    </row>
    <row r="859" ht="15" customHeight="1">
      <c r="A859" t="inlineStr">
        <is>
          <t>A 13573-2025</t>
        </is>
      </c>
      <c r="B859" s="1" t="n">
        <v>45736</v>
      </c>
      <c r="C859" s="1" t="n">
        <v>46075</v>
      </c>
      <c r="D859" t="inlineStr">
        <is>
          <t>ÖREBRO LÄN</t>
        </is>
      </c>
      <c r="E859" t="inlineStr">
        <is>
          <t>LINDESBERG</t>
        </is>
      </c>
      <c r="G859" t="n">
        <v>11.7</v>
      </c>
      <c r="H859" t="n">
        <v>0</v>
      </c>
      <c r="I859" t="n">
        <v>0</v>
      </c>
      <c r="J859" t="n">
        <v>0</v>
      </c>
      <c r="K859" t="n">
        <v>0</v>
      </c>
      <c r="L859" t="n">
        <v>0</v>
      </c>
      <c r="M859" t="n">
        <v>0</v>
      </c>
      <c r="N859" t="n">
        <v>0</v>
      </c>
      <c r="O859" t="n">
        <v>0</v>
      </c>
      <c r="P859" t="n">
        <v>0</v>
      </c>
      <c r="Q859" t="n">
        <v>0</v>
      </c>
      <c r="R859" s="2" t="inlineStr"/>
    </row>
    <row r="860" ht="15" customHeight="1">
      <c r="A860" t="inlineStr">
        <is>
          <t>A 63686-2023</t>
        </is>
      </c>
      <c r="B860" s="1" t="n">
        <v>45274</v>
      </c>
      <c r="C860" s="1" t="n">
        <v>46075</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64365-2023</t>
        </is>
      </c>
      <c r="B861" s="1" t="n">
        <v>45280</v>
      </c>
      <c r="C861" s="1" t="n">
        <v>46075</v>
      </c>
      <c r="D861" t="inlineStr">
        <is>
          <t>ÖREBRO LÄN</t>
        </is>
      </c>
      <c r="E861" t="inlineStr">
        <is>
          <t>LINDESBERG</t>
        </is>
      </c>
      <c r="F861" t="inlineStr">
        <is>
          <t>Kyrkan</t>
        </is>
      </c>
      <c r="G861" t="n">
        <v>1.4</v>
      </c>
      <c r="H861" t="n">
        <v>0</v>
      </c>
      <c r="I861" t="n">
        <v>0</v>
      </c>
      <c r="J861" t="n">
        <v>0</v>
      </c>
      <c r="K861" t="n">
        <v>0</v>
      </c>
      <c r="L861" t="n">
        <v>0</v>
      </c>
      <c r="M861" t="n">
        <v>0</v>
      </c>
      <c r="N861" t="n">
        <v>0</v>
      </c>
      <c r="O861" t="n">
        <v>0</v>
      </c>
      <c r="P861" t="n">
        <v>0</v>
      </c>
      <c r="Q861" t="n">
        <v>0</v>
      </c>
      <c r="R861" s="2" t="inlineStr"/>
    </row>
    <row r="862" ht="15" customHeight="1">
      <c r="A862" t="inlineStr">
        <is>
          <t>A 12562-2021</t>
        </is>
      </c>
      <c r="B862" s="1" t="n">
        <v>44267</v>
      </c>
      <c r="C862" s="1" t="n">
        <v>46075</v>
      </c>
      <c r="D862" t="inlineStr">
        <is>
          <t>ÖREBRO LÄN</t>
        </is>
      </c>
      <c r="E862" t="inlineStr">
        <is>
          <t>LINDESBERG</t>
        </is>
      </c>
      <c r="G862" t="n">
        <v>30.1</v>
      </c>
      <c r="H862" t="n">
        <v>0</v>
      </c>
      <c r="I862" t="n">
        <v>0</v>
      </c>
      <c r="J862" t="n">
        <v>0</v>
      </c>
      <c r="K862" t="n">
        <v>0</v>
      </c>
      <c r="L862" t="n">
        <v>0</v>
      </c>
      <c r="M862" t="n">
        <v>0</v>
      </c>
      <c r="N862" t="n">
        <v>0</v>
      </c>
      <c r="O862" t="n">
        <v>0</v>
      </c>
      <c r="P862" t="n">
        <v>0</v>
      </c>
      <c r="Q862" t="n">
        <v>0</v>
      </c>
      <c r="R862" s="2" t="inlineStr"/>
    </row>
    <row r="863" ht="15" customHeight="1">
      <c r="A863" t="inlineStr">
        <is>
          <t>A 56217-2022</t>
        </is>
      </c>
      <c r="B863" s="1" t="n">
        <v>44890.46174768519</v>
      </c>
      <c r="C863" s="1" t="n">
        <v>46075</v>
      </c>
      <c r="D863" t="inlineStr">
        <is>
          <t>ÖREBRO LÄN</t>
        </is>
      </c>
      <c r="E863" t="inlineStr">
        <is>
          <t>LINDESBERG</t>
        </is>
      </c>
      <c r="G863" t="n">
        <v>6.9</v>
      </c>
      <c r="H863" t="n">
        <v>0</v>
      </c>
      <c r="I863" t="n">
        <v>0</v>
      </c>
      <c r="J863" t="n">
        <v>0</v>
      </c>
      <c r="K863" t="n">
        <v>0</v>
      </c>
      <c r="L863" t="n">
        <v>0</v>
      </c>
      <c r="M863" t="n">
        <v>0</v>
      </c>
      <c r="N863" t="n">
        <v>0</v>
      </c>
      <c r="O863" t="n">
        <v>0</v>
      </c>
      <c r="P863" t="n">
        <v>0</v>
      </c>
      <c r="Q863" t="n">
        <v>0</v>
      </c>
      <c r="R863" s="2" t="inlineStr"/>
    </row>
    <row r="864" ht="15" customHeight="1">
      <c r="A864" t="inlineStr">
        <is>
          <t>A 5550-2024</t>
        </is>
      </c>
      <c r="B864" s="1" t="n">
        <v>45334</v>
      </c>
      <c r="C864" s="1" t="n">
        <v>46075</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32829-2024</t>
        </is>
      </c>
      <c r="B865" s="1" t="n">
        <v>45516.59447916667</v>
      </c>
      <c r="C865" s="1" t="n">
        <v>46075</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13823-2021</t>
        </is>
      </c>
      <c r="B866" s="1" t="n">
        <v>44276</v>
      </c>
      <c r="C866" s="1" t="n">
        <v>46075</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29350-2022</t>
        </is>
      </c>
      <c r="B867" s="1" t="n">
        <v>44753</v>
      </c>
      <c r="C867" s="1" t="n">
        <v>46075</v>
      </c>
      <c r="D867" t="inlineStr">
        <is>
          <t>ÖREBRO LÄN</t>
        </is>
      </c>
      <c r="E867" t="inlineStr">
        <is>
          <t>LINDESBERG</t>
        </is>
      </c>
      <c r="G867" t="n">
        <v>7.7</v>
      </c>
      <c r="H867" t="n">
        <v>0</v>
      </c>
      <c r="I867" t="n">
        <v>0</v>
      </c>
      <c r="J867" t="n">
        <v>0</v>
      </c>
      <c r="K867" t="n">
        <v>0</v>
      </c>
      <c r="L867" t="n">
        <v>0</v>
      </c>
      <c r="M867" t="n">
        <v>0</v>
      </c>
      <c r="N867" t="n">
        <v>0</v>
      </c>
      <c r="O867" t="n">
        <v>0</v>
      </c>
      <c r="P867" t="n">
        <v>0</v>
      </c>
      <c r="Q867" t="n">
        <v>0</v>
      </c>
      <c r="R867" s="2" t="inlineStr"/>
    </row>
    <row r="868" ht="15" customHeight="1">
      <c r="A868" t="inlineStr">
        <is>
          <t>A 53510-2024</t>
        </is>
      </c>
      <c r="B868" s="1" t="n">
        <v>45614.5968287037</v>
      </c>
      <c r="C868" s="1" t="n">
        <v>46075</v>
      </c>
      <c r="D868" t="inlineStr">
        <is>
          <t>ÖREBRO LÄN</t>
        </is>
      </c>
      <c r="E868" t="inlineStr">
        <is>
          <t>LINDESBERG</t>
        </is>
      </c>
      <c r="G868" t="n">
        <v>1</v>
      </c>
      <c r="H868" t="n">
        <v>0</v>
      </c>
      <c r="I868" t="n">
        <v>0</v>
      </c>
      <c r="J868" t="n">
        <v>0</v>
      </c>
      <c r="K868" t="n">
        <v>0</v>
      </c>
      <c r="L868" t="n">
        <v>0</v>
      </c>
      <c r="M868" t="n">
        <v>0</v>
      </c>
      <c r="N868" t="n">
        <v>0</v>
      </c>
      <c r="O868" t="n">
        <v>0</v>
      </c>
      <c r="P868" t="n">
        <v>0</v>
      </c>
      <c r="Q868" t="n">
        <v>0</v>
      </c>
      <c r="R868" s="2" t="inlineStr"/>
    </row>
    <row r="869" ht="15" customHeight="1">
      <c r="A869" t="inlineStr">
        <is>
          <t>A 58710-2023</t>
        </is>
      </c>
      <c r="B869" s="1" t="n">
        <v>45251.696875</v>
      </c>
      <c r="C869" s="1" t="n">
        <v>46075</v>
      </c>
      <c r="D869" t="inlineStr">
        <is>
          <t>ÖREBRO LÄN</t>
        </is>
      </c>
      <c r="E869" t="inlineStr">
        <is>
          <t>LINDESBERG</t>
        </is>
      </c>
      <c r="G869" t="n">
        <v>6.3</v>
      </c>
      <c r="H869" t="n">
        <v>0</v>
      </c>
      <c r="I869" t="n">
        <v>0</v>
      </c>
      <c r="J869" t="n">
        <v>0</v>
      </c>
      <c r="K869" t="n">
        <v>0</v>
      </c>
      <c r="L869" t="n">
        <v>0</v>
      </c>
      <c r="M869" t="n">
        <v>0</v>
      </c>
      <c r="N869" t="n">
        <v>0</v>
      </c>
      <c r="O869" t="n">
        <v>0</v>
      </c>
      <c r="P869" t="n">
        <v>0</v>
      </c>
      <c r="Q869" t="n">
        <v>0</v>
      </c>
      <c r="R869" s="2" t="inlineStr"/>
    </row>
    <row r="870" ht="15" customHeight="1">
      <c r="A870" t="inlineStr">
        <is>
          <t>A 60449-2024</t>
        </is>
      </c>
      <c r="B870" s="1" t="n">
        <v>45643</v>
      </c>
      <c r="C870" s="1" t="n">
        <v>46075</v>
      </c>
      <c r="D870" t="inlineStr">
        <is>
          <t>ÖREBRO LÄN</t>
        </is>
      </c>
      <c r="E870" t="inlineStr">
        <is>
          <t>LINDESBERG</t>
        </is>
      </c>
      <c r="G870" t="n">
        <v>1.2</v>
      </c>
      <c r="H870" t="n">
        <v>0</v>
      </c>
      <c r="I870" t="n">
        <v>0</v>
      </c>
      <c r="J870" t="n">
        <v>0</v>
      </c>
      <c r="K870" t="n">
        <v>0</v>
      </c>
      <c r="L870" t="n">
        <v>0</v>
      </c>
      <c r="M870" t="n">
        <v>0</v>
      </c>
      <c r="N870" t="n">
        <v>0</v>
      </c>
      <c r="O870" t="n">
        <v>0</v>
      </c>
      <c r="P870" t="n">
        <v>0</v>
      </c>
      <c r="Q870" t="n">
        <v>0</v>
      </c>
      <c r="R870" s="2" t="inlineStr"/>
    </row>
    <row r="871" ht="15" customHeight="1">
      <c r="A871" t="inlineStr">
        <is>
          <t>A 15894-2025</t>
        </is>
      </c>
      <c r="B871" s="1" t="n">
        <v>45749</v>
      </c>
      <c r="C871" s="1" t="n">
        <v>46075</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43529-2024</t>
        </is>
      </c>
      <c r="B872" s="1" t="n">
        <v>45569.35209490741</v>
      </c>
      <c r="C872" s="1" t="n">
        <v>46075</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54864-2024</t>
        </is>
      </c>
      <c r="B873" s="1" t="n">
        <v>45618.59456018519</v>
      </c>
      <c r="C873" s="1" t="n">
        <v>46075</v>
      </c>
      <c r="D873" t="inlineStr">
        <is>
          <t>ÖREBRO LÄN</t>
        </is>
      </c>
      <c r="E873" t="inlineStr">
        <is>
          <t>LINDESBERG</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32009-2023</t>
        </is>
      </c>
      <c r="B874" s="1" t="n">
        <v>45119</v>
      </c>
      <c r="C874" s="1" t="n">
        <v>46075</v>
      </c>
      <c r="D874" t="inlineStr">
        <is>
          <t>ÖREBRO LÄN</t>
        </is>
      </c>
      <c r="E874" t="inlineStr">
        <is>
          <t>LINDESBERG</t>
        </is>
      </c>
      <c r="F874" t="inlineStr">
        <is>
          <t>Kyrkan</t>
        </is>
      </c>
      <c r="G874" t="n">
        <v>0.8</v>
      </c>
      <c r="H874" t="n">
        <v>0</v>
      </c>
      <c r="I874" t="n">
        <v>0</v>
      </c>
      <c r="J874" t="n">
        <v>0</v>
      </c>
      <c r="K874" t="n">
        <v>0</v>
      </c>
      <c r="L874" t="n">
        <v>0</v>
      </c>
      <c r="M874" t="n">
        <v>0</v>
      </c>
      <c r="N874" t="n">
        <v>0</v>
      </c>
      <c r="O874" t="n">
        <v>0</v>
      </c>
      <c r="P874" t="n">
        <v>0</v>
      </c>
      <c r="Q874" t="n">
        <v>0</v>
      </c>
      <c r="R874" s="2" t="inlineStr"/>
    </row>
    <row r="875" ht="15" customHeight="1">
      <c r="A875" t="inlineStr">
        <is>
          <t>A 3148-2023</t>
        </is>
      </c>
      <c r="B875" s="1" t="n">
        <v>44946.54424768518</v>
      </c>
      <c r="C875" s="1" t="n">
        <v>46075</v>
      </c>
      <c r="D875" t="inlineStr">
        <is>
          <t>ÖREBRO LÄN</t>
        </is>
      </c>
      <c r="E875" t="inlineStr">
        <is>
          <t>LINDESBERG</t>
        </is>
      </c>
      <c r="G875" t="n">
        <v>5.5</v>
      </c>
      <c r="H875" t="n">
        <v>0</v>
      </c>
      <c r="I875" t="n">
        <v>0</v>
      </c>
      <c r="J875" t="n">
        <v>0</v>
      </c>
      <c r="K875" t="n">
        <v>0</v>
      </c>
      <c r="L875" t="n">
        <v>0</v>
      </c>
      <c r="M875" t="n">
        <v>0</v>
      </c>
      <c r="N875" t="n">
        <v>0</v>
      </c>
      <c r="O875" t="n">
        <v>0</v>
      </c>
      <c r="P875" t="n">
        <v>0</v>
      </c>
      <c r="Q875" t="n">
        <v>0</v>
      </c>
      <c r="R875" s="2" t="inlineStr"/>
    </row>
    <row r="876" ht="15" customHeight="1">
      <c r="A876" t="inlineStr">
        <is>
          <t>A 54855-2024</t>
        </is>
      </c>
      <c r="B876" s="1" t="n">
        <v>45618.58622685185</v>
      </c>
      <c r="C876" s="1" t="n">
        <v>46075</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37432-2022</t>
        </is>
      </c>
      <c r="B877" s="1" t="n">
        <v>44809</v>
      </c>
      <c r="C877" s="1" t="n">
        <v>46075</v>
      </c>
      <c r="D877" t="inlineStr">
        <is>
          <t>ÖREBRO LÄN</t>
        </is>
      </c>
      <c r="E877" t="inlineStr">
        <is>
          <t>LINDESBERG</t>
        </is>
      </c>
      <c r="G877" t="n">
        <v>3.6</v>
      </c>
      <c r="H877" t="n">
        <v>0</v>
      </c>
      <c r="I877" t="n">
        <v>0</v>
      </c>
      <c r="J877" t="n">
        <v>0</v>
      </c>
      <c r="K877" t="n">
        <v>0</v>
      </c>
      <c r="L877" t="n">
        <v>0</v>
      </c>
      <c r="M877" t="n">
        <v>0</v>
      </c>
      <c r="N877" t="n">
        <v>0</v>
      </c>
      <c r="O877" t="n">
        <v>0</v>
      </c>
      <c r="P877" t="n">
        <v>0</v>
      </c>
      <c r="Q877" t="n">
        <v>0</v>
      </c>
      <c r="R877" s="2" t="inlineStr"/>
    </row>
    <row r="878" ht="15" customHeight="1">
      <c r="A878" t="inlineStr">
        <is>
          <t>A 61202-2023</t>
        </is>
      </c>
      <c r="B878" s="1" t="n">
        <v>45264.38084490741</v>
      </c>
      <c r="C878" s="1" t="n">
        <v>46075</v>
      </c>
      <c r="D878" t="inlineStr">
        <is>
          <t>ÖREBRO LÄN</t>
        </is>
      </c>
      <c r="E878" t="inlineStr">
        <is>
          <t>LINDESBERG</t>
        </is>
      </c>
      <c r="G878" t="n">
        <v>0.9</v>
      </c>
      <c r="H878" t="n">
        <v>0</v>
      </c>
      <c r="I878" t="n">
        <v>0</v>
      </c>
      <c r="J878" t="n">
        <v>0</v>
      </c>
      <c r="K878" t="n">
        <v>0</v>
      </c>
      <c r="L878" t="n">
        <v>0</v>
      </c>
      <c r="M878" t="n">
        <v>0</v>
      </c>
      <c r="N878" t="n">
        <v>0</v>
      </c>
      <c r="O878" t="n">
        <v>0</v>
      </c>
      <c r="P878" t="n">
        <v>0</v>
      </c>
      <c r="Q878" t="n">
        <v>0</v>
      </c>
      <c r="R878" s="2" t="inlineStr"/>
    </row>
    <row r="879" ht="15" customHeight="1">
      <c r="A879" t="inlineStr">
        <is>
          <t>A 7120-2025</t>
        </is>
      </c>
      <c r="B879" s="1" t="n">
        <v>45702</v>
      </c>
      <c r="C879" s="1" t="n">
        <v>46075</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195-2022</t>
        </is>
      </c>
      <c r="B880" s="1" t="n">
        <v>44564</v>
      </c>
      <c r="C880" s="1" t="n">
        <v>46075</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51379-2023</t>
        </is>
      </c>
      <c r="B881" s="1" t="n">
        <v>45219</v>
      </c>
      <c r="C881" s="1" t="n">
        <v>46075</v>
      </c>
      <c r="D881" t="inlineStr">
        <is>
          <t>ÖREBRO LÄN</t>
        </is>
      </c>
      <c r="E881" t="inlineStr">
        <is>
          <t>LINDESBERG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16054-2022</t>
        </is>
      </c>
      <c r="B882" s="1" t="n">
        <v>44665</v>
      </c>
      <c r="C882" s="1" t="n">
        <v>46075</v>
      </c>
      <c r="D882" t="inlineStr">
        <is>
          <t>ÖREBRO LÄN</t>
        </is>
      </c>
      <c r="E882" t="inlineStr">
        <is>
          <t>LINDESBERG</t>
        </is>
      </c>
      <c r="G882" t="n">
        <v>6.9</v>
      </c>
      <c r="H882" t="n">
        <v>0</v>
      </c>
      <c r="I882" t="n">
        <v>0</v>
      </c>
      <c r="J882" t="n">
        <v>0</v>
      </c>
      <c r="K882" t="n">
        <v>0</v>
      </c>
      <c r="L882" t="n">
        <v>0</v>
      </c>
      <c r="M882" t="n">
        <v>0</v>
      </c>
      <c r="N882" t="n">
        <v>0</v>
      </c>
      <c r="O882" t="n">
        <v>0</v>
      </c>
      <c r="P882" t="n">
        <v>0</v>
      </c>
      <c r="Q882" t="n">
        <v>0</v>
      </c>
      <c r="R882" s="2" t="inlineStr"/>
    </row>
    <row r="883" ht="15" customHeight="1">
      <c r="A883" t="inlineStr">
        <is>
          <t>A 49544-2023</t>
        </is>
      </c>
      <c r="B883" s="1" t="n">
        <v>45211</v>
      </c>
      <c r="C883" s="1" t="n">
        <v>46075</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48756-2024</t>
        </is>
      </c>
      <c r="B884" s="1" t="n">
        <v>45593.59681712963</v>
      </c>
      <c r="C884" s="1" t="n">
        <v>46075</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15892-2025</t>
        </is>
      </c>
      <c r="B885" s="1" t="n">
        <v>45749</v>
      </c>
      <c r="C885" s="1" t="n">
        <v>46075</v>
      </c>
      <c r="D885" t="inlineStr">
        <is>
          <t>ÖREBRO LÄN</t>
        </is>
      </c>
      <c r="E885" t="inlineStr">
        <is>
          <t>LINDESBERG</t>
        </is>
      </c>
      <c r="G885" t="n">
        <v>0.8</v>
      </c>
      <c r="H885" t="n">
        <v>0</v>
      </c>
      <c r="I885" t="n">
        <v>0</v>
      </c>
      <c r="J885" t="n">
        <v>0</v>
      </c>
      <c r="K885" t="n">
        <v>0</v>
      </c>
      <c r="L885" t="n">
        <v>0</v>
      </c>
      <c r="M885" t="n">
        <v>0</v>
      </c>
      <c r="N885" t="n">
        <v>0</v>
      </c>
      <c r="O885" t="n">
        <v>0</v>
      </c>
      <c r="P885" t="n">
        <v>0</v>
      </c>
      <c r="Q885" t="n">
        <v>0</v>
      </c>
      <c r="R885" s="2" t="inlineStr"/>
    </row>
    <row r="886" ht="15" customHeight="1">
      <c r="A886" t="inlineStr">
        <is>
          <t>A 23260-2024</t>
        </is>
      </c>
      <c r="B886" s="1" t="n">
        <v>45453.36664351852</v>
      </c>
      <c r="C886" s="1" t="n">
        <v>46075</v>
      </c>
      <c r="D886" t="inlineStr">
        <is>
          <t>ÖREBRO LÄN</t>
        </is>
      </c>
      <c r="E886" t="inlineStr">
        <is>
          <t>LINDESBERG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46607-2021</t>
        </is>
      </c>
      <c r="B887" s="1" t="n">
        <v>44445.55690972223</v>
      </c>
      <c r="C887" s="1" t="n">
        <v>46075</v>
      </c>
      <c r="D887" t="inlineStr">
        <is>
          <t>ÖREBRO LÄN</t>
        </is>
      </c>
      <c r="E887" t="inlineStr">
        <is>
          <t>LINDESBERG</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20930-2025</t>
        </is>
      </c>
      <c r="B888" s="1" t="n">
        <v>45777.42628472222</v>
      </c>
      <c r="C888" s="1" t="n">
        <v>46075</v>
      </c>
      <c r="D888" t="inlineStr">
        <is>
          <t>ÖREBRO LÄN</t>
        </is>
      </c>
      <c r="E888" t="inlineStr">
        <is>
          <t>LINDESBERG</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20923-2025</t>
        </is>
      </c>
      <c r="B889" s="1" t="n">
        <v>45777.41673611111</v>
      </c>
      <c r="C889" s="1" t="n">
        <v>46075</v>
      </c>
      <c r="D889" t="inlineStr">
        <is>
          <t>ÖREBRO LÄN</t>
        </is>
      </c>
      <c r="E889" t="inlineStr">
        <is>
          <t>LINDESBERG</t>
        </is>
      </c>
      <c r="F889" t="inlineStr">
        <is>
          <t>Sveaskog</t>
        </is>
      </c>
      <c r="G889" t="n">
        <v>10.3</v>
      </c>
      <c r="H889" t="n">
        <v>0</v>
      </c>
      <c r="I889" t="n">
        <v>0</v>
      </c>
      <c r="J889" t="n">
        <v>0</v>
      </c>
      <c r="K889" t="n">
        <v>0</v>
      </c>
      <c r="L889" t="n">
        <v>0</v>
      </c>
      <c r="M889" t="n">
        <v>0</v>
      </c>
      <c r="N889" t="n">
        <v>0</v>
      </c>
      <c r="O889" t="n">
        <v>0</v>
      </c>
      <c r="P889" t="n">
        <v>0</v>
      </c>
      <c r="Q889" t="n">
        <v>0</v>
      </c>
      <c r="R889" s="2" t="inlineStr"/>
    </row>
    <row r="890" ht="15" customHeight="1">
      <c r="A890" t="inlineStr">
        <is>
          <t>A 12795-2025</t>
        </is>
      </c>
      <c r="B890" s="1" t="n">
        <v>45733.60959490741</v>
      </c>
      <c r="C890" s="1" t="n">
        <v>46075</v>
      </c>
      <c r="D890" t="inlineStr">
        <is>
          <t>ÖREBRO LÄN</t>
        </is>
      </c>
      <c r="E890" t="inlineStr">
        <is>
          <t>LINDESBERG</t>
        </is>
      </c>
      <c r="G890" t="n">
        <v>10.8</v>
      </c>
      <c r="H890" t="n">
        <v>0</v>
      </c>
      <c r="I890" t="n">
        <v>0</v>
      </c>
      <c r="J890" t="n">
        <v>0</v>
      </c>
      <c r="K890" t="n">
        <v>0</v>
      </c>
      <c r="L890" t="n">
        <v>0</v>
      </c>
      <c r="M890" t="n">
        <v>0</v>
      </c>
      <c r="N890" t="n">
        <v>0</v>
      </c>
      <c r="O890" t="n">
        <v>0</v>
      </c>
      <c r="P890" t="n">
        <v>0</v>
      </c>
      <c r="Q890" t="n">
        <v>0</v>
      </c>
      <c r="R890" s="2" t="inlineStr"/>
    </row>
    <row r="891" ht="15" customHeight="1">
      <c r="A891" t="inlineStr">
        <is>
          <t>A 20944-2025</t>
        </is>
      </c>
      <c r="B891" s="1" t="n">
        <v>45777</v>
      </c>
      <c r="C891" s="1" t="n">
        <v>46075</v>
      </c>
      <c r="D891" t="inlineStr">
        <is>
          <t>ÖREBRO LÄN</t>
        </is>
      </c>
      <c r="E891" t="inlineStr">
        <is>
          <t>LINDESBERG</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20950-2025</t>
        </is>
      </c>
      <c r="B892" s="1" t="n">
        <v>45777.43878472222</v>
      </c>
      <c r="C892" s="1" t="n">
        <v>46075</v>
      </c>
      <c r="D892" t="inlineStr">
        <is>
          <t>ÖREBRO LÄN</t>
        </is>
      </c>
      <c r="E892" t="inlineStr">
        <is>
          <t>LINDESBERG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20804-2025</t>
        </is>
      </c>
      <c r="B893" s="1" t="n">
        <v>45776.65518518518</v>
      </c>
      <c r="C893" s="1" t="n">
        <v>46075</v>
      </c>
      <c r="D893" t="inlineStr">
        <is>
          <t>ÖREBRO LÄN</t>
        </is>
      </c>
      <c r="E893" t="inlineStr">
        <is>
          <t>LINDESBERG</t>
        </is>
      </c>
      <c r="G893" t="n">
        <v>3.2</v>
      </c>
      <c r="H893" t="n">
        <v>0</v>
      </c>
      <c r="I893" t="n">
        <v>0</v>
      </c>
      <c r="J893" t="n">
        <v>0</v>
      </c>
      <c r="K893" t="n">
        <v>0</v>
      </c>
      <c r="L893" t="n">
        <v>0</v>
      </c>
      <c r="M893" t="n">
        <v>0</v>
      </c>
      <c r="N893" t="n">
        <v>0</v>
      </c>
      <c r="O893" t="n">
        <v>0</v>
      </c>
      <c r="P893" t="n">
        <v>0</v>
      </c>
      <c r="Q893" t="n">
        <v>0</v>
      </c>
      <c r="R893" s="2" t="inlineStr"/>
    </row>
    <row r="894" ht="15" customHeight="1">
      <c r="A894" t="inlineStr">
        <is>
          <t>A 21812-2025</t>
        </is>
      </c>
      <c r="B894" s="1" t="n">
        <v>45783.71833333333</v>
      </c>
      <c r="C894" s="1" t="n">
        <v>46075</v>
      </c>
      <c r="D894" t="inlineStr">
        <is>
          <t>ÖREBRO LÄN</t>
        </is>
      </c>
      <c r="E894" t="inlineStr">
        <is>
          <t>LINDESBERG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43195-2024</t>
        </is>
      </c>
      <c r="B895" s="1" t="n">
        <v>45567.68003472222</v>
      </c>
      <c r="C895" s="1" t="n">
        <v>46075</v>
      </c>
      <c r="D895" t="inlineStr">
        <is>
          <t>ÖREBRO LÄN</t>
        </is>
      </c>
      <c r="E895" t="inlineStr">
        <is>
          <t>LINDESBERG</t>
        </is>
      </c>
      <c r="G895" t="n">
        <v>27.8</v>
      </c>
      <c r="H895" t="n">
        <v>0</v>
      </c>
      <c r="I895" t="n">
        <v>0</v>
      </c>
      <c r="J895" t="n">
        <v>0</v>
      </c>
      <c r="K895" t="n">
        <v>0</v>
      </c>
      <c r="L895" t="n">
        <v>0</v>
      </c>
      <c r="M895" t="n">
        <v>0</v>
      </c>
      <c r="N895" t="n">
        <v>0</v>
      </c>
      <c r="O895" t="n">
        <v>0</v>
      </c>
      <c r="P895" t="n">
        <v>0</v>
      </c>
      <c r="Q895" t="n">
        <v>0</v>
      </c>
      <c r="R895" s="2" t="inlineStr"/>
    </row>
    <row r="896" ht="15" customHeight="1">
      <c r="A896" t="inlineStr">
        <is>
          <t>A 31861-2024</t>
        </is>
      </c>
      <c r="B896" s="1" t="n">
        <v>45509.73383101852</v>
      </c>
      <c r="C896" s="1" t="n">
        <v>46075</v>
      </c>
      <c r="D896" t="inlineStr">
        <is>
          <t>ÖREBRO LÄN</t>
        </is>
      </c>
      <c r="E896" t="inlineStr">
        <is>
          <t>LINDESBERG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24583-2024</t>
        </is>
      </c>
      <c r="B897" s="1" t="n">
        <v>45460.46358796296</v>
      </c>
      <c r="C897" s="1" t="n">
        <v>46075</v>
      </c>
      <c r="D897" t="inlineStr">
        <is>
          <t>ÖREBRO LÄN</t>
        </is>
      </c>
      <c r="E897" t="inlineStr">
        <is>
          <t>LINDESBERG</t>
        </is>
      </c>
      <c r="G897" t="n">
        <v>13.7</v>
      </c>
      <c r="H897" t="n">
        <v>0</v>
      </c>
      <c r="I897" t="n">
        <v>0</v>
      </c>
      <c r="J897" t="n">
        <v>0</v>
      </c>
      <c r="K897" t="n">
        <v>0</v>
      </c>
      <c r="L897" t="n">
        <v>0</v>
      </c>
      <c r="M897" t="n">
        <v>0</v>
      </c>
      <c r="N897" t="n">
        <v>0</v>
      </c>
      <c r="O897" t="n">
        <v>0</v>
      </c>
      <c r="P897" t="n">
        <v>0</v>
      </c>
      <c r="Q897" t="n">
        <v>0</v>
      </c>
      <c r="R897" s="2" t="inlineStr"/>
    </row>
    <row r="898" ht="15" customHeight="1">
      <c r="A898" t="inlineStr">
        <is>
          <t>A 43532-2024</t>
        </is>
      </c>
      <c r="B898" s="1" t="n">
        <v>45569.3533912037</v>
      </c>
      <c r="C898" s="1" t="n">
        <v>46075</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59282-2023</t>
        </is>
      </c>
      <c r="B899" s="1" t="n">
        <v>45253</v>
      </c>
      <c r="C899" s="1" t="n">
        <v>46075</v>
      </c>
      <c r="D899" t="inlineStr">
        <is>
          <t>ÖREBRO LÄN</t>
        </is>
      </c>
      <c r="E899" t="inlineStr">
        <is>
          <t>LINDESBERG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47601-2023</t>
        </is>
      </c>
      <c r="B900" s="1" t="n">
        <v>45203.45681712963</v>
      </c>
      <c r="C900" s="1" t="n">
        <v>46075</v>
      </c>
      <c r="D900" t="inlineStr">
        <is>
          <t>ÖREBRO LÄN</t>
        </is>
      </c>
      <c r="E900" t="inlineStr">
        <is>
          <t>LINDESBERG</t>
        </is>
      </c>
      <c r="G900" t="n">
        <v>37.6</v>
      </c>
      <c r="H900" t="n">
        <v>0</v>
      </c>
      <c r="I900" t="n">
        <v>0</v>
      </c>
      <c r="J900" t="n">
        <v>0</v>
      </c>
      <c r="K900" t="n">
        <v>0</v>
      </c>
      <c r="L900" t="n">
        <v>0</v>
      </c>
      <c r="M900" t="n">
        <v>0</v>
      </c>
      <c r="N900" t="n">
        <v>0</v>
      </c>
      <c r="O900" t="n">
        <v>0</v>
      </c>
      <c r="P900" t="n">
        <v>0</v>
      </c>
      <c r="Q900" t="n">
        <v>0</v>
      </c>
      <c r="R900" s="2" t="inlineStr"/>
    </row>
    <row r="901" ht="15" customHeight="1">
      <c r="A901" t="inlineStr">
        <is>
          <t>A 22078-2025</t>
        </is>
      </c>
      <c r="B901" s="1" t="n">
        <v>45785.4253125</v>
      </c>
      <c r="C901" s="1" t="n">
        <v>46075</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53355-2023</t>
        </is>
      </c>
      <c r="B902" s="1" t="n">
        <v>45229.66430555555</v>
      </c>
      <c r="C902" s="1" t="n">
        <v>46075</v>
      </c>
      <c r="D902" t="inlineStr">
        <is>
          <t>ÖREBRO LÄN</t>
        </is>
      </c>
      <c r="E902" t="inlineStr">
        <is>
          <t>LINDESBERG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62308-2023</t>
        </is>
      </c>
      <c r="B903" s="1" t="n">
        <v>45267.69052083333</v>
      </c>
      <c r="C903" s="1" t="n">
        <v>46075</v>
      </c>
      <c r="D903" t="inlineStr">
        <is>
          <t>ÖREBRO LÄN</t>
        </is>
      </c>
      <c r="E903" t="inlineStr">
        <is>
          <t>LINDESBERG</t>
        </is>
      </c>
      <c r="F903" t="inlineStr">
        <is>
          <t>Naturvårdsverket</t>
        </is>
      </c>
      <c r="G903" t="n">
        <v>3.1</v>
      </c>
      <c r="H903" t="n">
        <v>0</v>
      </c>
      <c r="I903" t="n">
        <v>0</v>
      </c>
      <c r="J903" t="n">
        <v>0</v>
      </c>
      <c r="K903" t="n">
        <v>0</v>
      </c>
      <c r="L903" t="n">
        <v>0</v>
      </c>
      <c r="M903" t="n">
        <v>0</v>
      </c>
      <c r="N903" t="n">
        <v>0</v>
      </c>
      <c r="O903" t="n">
        <v>0</v>
      </c>
      <c r="P903" t="n">
        <v>0</v>
      </c>
      <c r="Q903" t="n">
        <v>0</v>
      </c>
      <c r="R903" s="2" t="inlineStr"/>
    </row>
    <row r="904" ht="15" customHeight="1">
      <c r="A904" t="inlineStr">
        <is>
          <t>A 36680-2024</t>
        </is>
      </c>
      <c r="B904" s="1" t="n">
        <v>45537.65305555556</v>
      </c>
      <c r="C904" s="1" t="n">
        <v>46075</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22543-2025</t>
        </is>
      </c>
      <c r="B905" s="1" t="n">
        <v>45788.42467592593</v>
      </c>
      <c r="C905" s="1" t="n">
        <v>46075</v>
      </c>
      <c r="D905" t="inlineStr">
        <is>
          <t>ÖREBRO LÄN</t>
        </is>
      </c>
      <c r="E905" t="inlineStr">
        <is>
          <t>LINDESBERG</t>
        </is>
      </c>
      <c r="G905" t="n">
        <v>6.7</v>
      </c>
      <c r="H905" t="n">
        <v>0</v>
      </c>
      <c r="I905" t="n">
        <v>0</v>
      </c>
      <c r="J905" t="n">
        <v>0</v>
      </c>
      <c r="K905" t="n">
        <v>0</v>
      </c>
      <c r="L905" t="n">
        <v>0</v>
      </c>
      <c r="M905" t="n">
        <v>0</v>
      </c>
      <c r="N905" t="n">
        <v>0</v>
      </c>
      <c r="O905" t="n">
        <v>0</v>
      </c>
      <c r="P905" t="n">
        <v>0</v>
      </c>
      <c r="Q905" t="n">
        <v>0</v>
      </c>
      <c r="R905" s="2" t="inlineStr"/>
    </row>
    <row r="906" ht="15" customHeight="1">
      <c r="A906" t="inlineStr">
        <is>
          <t>A 36686-2024</t>
        </is>
      </c>
      <c r="B906" s="1" t="n">
        <v>45537.665</v>
      </c>
      <c r="C906" s="1" t="n">
        <v>46075</v>
      </c>
      <c r="D906" t="inlineStr">
        <is>
          <t>ÖREBRO LÄN</t>
        </is>
      </c>
      <c r="E906" t="inlineStr">
        <is>
          <t>LINDESBERG</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28776-2023</t>
        </is>
      </c>
      <c r="B907" s="1" t="n">
        <v>45104.34107638889</v>
      </c>
      <c r="C907" s="1" t="n">
        <v>46075</v>
      </c>
      <c r="D907" t="inlineStr">
        <is>
          <t>ÖREBRO LÄN</t>
        </is>
      </c>
      <c r="E907" t="inlineStr">
        <is>
          <t>LINDESBERG</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22438-2025</t>
        </is>
      </c>
      <c r="B908" s="1" t="n">
        <v>45786</v>
      </c>
      <c r="C908" s="1" t="n">
        <v>46075</v>
      </c>
      <c r="D908" t="inlineStr">
        <is>
          <t>ÖREBRO LÄN</t>
        </is>
      </c>
      <c r="E908" t="inlineStr">
        <is>
          <t>LINDESBERG</t>
        </is>
      </c>
      <c r="F908" t="inlineStr">
        <is>
          <t>Sveaskog</t>
        </is>
      </c>
      <c r="G908" t="n">
        <v>6.1</v>
      </c>
      <c r="H908" t="n">
        <v>0</v>
      </c>
      <c r="I908" t="n">
        <v>0</v>
      </c>
      <c r="J908" t="n">
        <v>0</v>
      </c>
      <c r="K908" t="n">
        <v>0</v>
      </c>
      <c r="L908" t="n">
        <v>0</v>
      </c>
      <c r="M908" t="n">
        <v>0</v>
      </c>
      <c r="N908" t="n">
        <v>0</v>
      </c>
      <c r="O908" t="n">
        <v>0</v>
      </c>
      <c r="P908" t="n">
        <v>0</v>
      </c>
      <c r="Q908" t="n">
        <v>0</v>
      </c>
      <c r="R908" s="2" t="inlineStr"/>
    </row>
    <row r="909" ht="15" customHeight="1">
      <c r="A909" t="inlineStr">
        <is>
          <t>A 59641-2024</t>
        </is>
      </c>
      <c r="B909" s="1" t="n">
        <v>45639.30934027778</v>
      </c>
      <c r="C909" s="1" t="n">
        <v>46075</v>
      </c>
      <c r="D909" t="inlineStr">
        <is>
          <t>ÖREBRO LÄN</t>
        </is>
      </c>
      <c r="E909" t="inlineStr">
        <is>
          <t>LINDESBERG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23245-2025</t>
        </is>
      </c>
      <c r="B910" s="1" t="n">
        <v>45791.50862268519</v>
      </c>
      <c r="C910" s="1" t="n">
        <v>46075</v>
      </c>
      <c r="D910" t="inlineStr">
        <is>
          <t>ÖREBRO LÄN</t>
        </is>
      </c>
      <c r="E910" t="inlineStr">
        <is>
          <t>LINDESBERG</t>
        </is>
      </c>
      <c r="G910" t="n">
        <v>6.8</v>
      </c>
      <c r="H910" t="n">
        <v>0</v>
      </c>
      <c r="I910" t="n">
        <v>0</v>
      </c>
      <c r="J910" t="n">
        <v>0</v>
      </c>
      <c r="K910" t="n">
        <v>0</v>
      </c>
      <c r="L910" t="n">
        <v>0</v>
      </c>
      <c r="M910" t="n">
        <v>0</v>
      </c>
      <c r="N910" t="n">
        <v>0</v>
      </c>
      <c r="O910" t="n">
        <v>0</v>
      </c>
      <c r="P910" t="n">
        <v>0</v>
      </c>
      <c r="Q910" t="n">
        <v>0</v>
      </c>
      <c r="R910" s="2" t="inlineStr"/>
    </row>
    <row r="911" ht="15" customHeight="1">
      <c r="A911" t="inlineStr">
        <is>
          <t>A 42707-2023</t>
        </is>
      </c>
      <c r="B911" s="1" t="n">
        <v>45181</v>
      </c>
      <c r="C911" s="1" t="n">
        <v>46075</v>
      </c>
      <c r="D911" t="inlineStr">
        <is>
          <t>ÖREBRO LÄN</t>
        </is>
      </c>
      <c r="E911" t="inlineStr">
        <is>
          <t>LINDESBERG</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17779-2024</t>
        </is>
      </c>
      <c r="B912" s="1" t="n">
        <v>45418.66800925926</v>
      </c>
      <c r="C912" s="1" t="n">
        <v>46075</v>
      </c>
      <c r="D912" t="inlineStr">
        <is>
          <t>ÖREBRO LÄN</t>
        </is>
      </c>
      <c r="E912" t="inlineStr">
        <is>
          <t>LINDESBERG</t>
        </is>
      </c>
      <c r="G912" t="n">
        <v>3.7</v>
      </c>
      <c r="H912" t="n">
        <v>0</v>
      </c>
      <c r="I912" t="n">
        <v>0</v>
      </c>
      <c r="J912" t="n">
        <v>0</v>
      </c>
      <c r="K912" t="n">
        <v>0</v>
      </c>
      <c r="L912" t="n">
        <v>0</v>
      </c>
      <c r="M912" t="n">
        <v>0</v>
      </c>
      <c r="N912" t="n">
        <v>0</v>
      </c>
      <c r="O912" t="n">
        <v>0</v>
      </c>
      <c r="P912" t="n">
        <v>0</v>
      </c>
      <c r="Q912" t="n">
        <v>0</v>
      </c>
      <c r="R912" s="2" t="inlineStr"/>
    </row>
    <row r="913" ht="15" customHeight="1">
      <c r="A913" t="inlineStr">
        <is>
          <t>A 54793-2024</t>
        </is>
      </c>
      <c r="B913" s="1" t="n">
        <v>45618</v>
      </c>
      <c r="C913" s="1" t="n">
        <v>46075</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1400-2025</t>
        </is>
      </c>
      <c r="B914" s="1" t="n">
        <v>45667</v>
      </c>
      <c r="C914" s="1" t="n">
        <v>46075</v>
      </c>
      <c r="D914" t="inlineStr">
        <is>
          <t>ÖREBRO LÄN</t>
        </is>
      </c>
      <c r="E914" t="inlineStr">
        <is>
          <t>LINDESBERG</t>
        </is>
      </c>
      <c r="F914" t="inlineStr">
        <is>
          <t>Allmännings- och besparingsskogar</t>
        </is>
      </c>
      <c r="G914" t="n">
        <v>11.3</v>
      </c>
      <c r="H914" t="n">
        <v>0</v>
      </c>
      <c r="I914" t="n">
        <v>0</v>
      </c>
      <c r="J914" t="n">
        <v>0</v>
      </c>
      <c r="K914" t="n">
        <v>0</v>
      </c>
      <c r="L914" t="n">
        <v>0</v>
      </c>
      <c r="M914" t="n">
        <v>0</v>
      </c>
      <c r="N914" t="n">
        <v>0</v>
      </c>
      <c r="O914" t="n">
        <v>0</v>
      </c>
      <c r="P914" t="n">
        <v>0</v>
      </c>
      <c r="Q914" t="n">
        <v>0</v>
      </c>
      <c r="R914" s="2" t="inlineStr"/>
    </row>
    <row r="915" ht="15" customHeight="1">
      <c r="A915" t="inlineStr">
        <is>
          <t>A 21202-2024</t>
        </is>
      </c>
      <c r="B915" s="1" t="n">
        <v>45440.5433912037</v>
      </c>
      <c r="C915" s="1" t="n">
        <v>46075</v>
      </c>
      <c r="D915" t="inlineStr">
        <is>
          <t>ÖREBRO LÄN</t>
        </is>
      </c>
      <c r="E915" t="inlineStr">
        <is>
          <t>LINDESBERG</t>
        </is>
      </c>
      <c r="G915" t="n">
        <v>4</v>
      </c>
      <c r="H915" t="n">
        <v>0</v>
      </c>
      <c r="I915" t="n">
        <v>0</v>
      </c>
      <c r="J915" t="n">
        <v>0</v>
      </c>
      <c r="K915" t="n">
        <v>0</v>
      </c>
      <c r="L915" t="n">
        <v>0</v>
      </c>
      <c r="M915" t="n">
        <v>0</v>
      </c>
      <c r="N915" t="n">
        <v>0</v>
      </c>
      <c r="O915" t="n">
        <v>0</v>
      </c>
      <c r="P915" t="n">
        <v>0</v>
      </c>
      <c r="Q915" t="n">
        <v>0</v>
      </c>
      <c r="R915" s="2" t="inlineStr"/>
    </row>
    <row r="916" ht="15" customHeight="1">
      <c r="A916" t="inlineStr">
        <is>
          <t>A 23835-2025</t>
        </is>
      </c>
      <c r="B916" s="1" t="n">
        <v>45793.61047453704</v>
      </c>
      <c r="C916" s="1" t="n">
        <v>46075</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23844-2025</t>
        </is>
      </c>
      <c r="B917" s="1" t="n">
        <v>45793.62422453704</v>
      </c>
      <c r="C917" s="1" t="n">
        <v>46075</v>
      </c>
      <c r="D917" t="inlineStr">
        <is>
          <t>ÖREBRO LÄN</t>
        </is>
      </c>
      <c r="E917" t="inlineStr">
        <is>
          <t>LINDESBERG</t>
        </is>
      </c>
      <c r="F917" t="inlineStr">
        <is>
          <t>Sveaskog</t>
        </is>
      </c>
      <c r="G917" t="n">
        <v>0.4</v>
      </c>
      <c r="H917" t="n">
        <v>0</v>
      </c>
      <c r="I917" t="n">
        <v>0</v>
      </c>
      <c r="J917" t="n">
        <v>0</v>
      </c>
      <c r="K917" t="n">
        <v>0</v>
      </c>
      <c r="L917" t="n">
        <v>0</v>
      </c>
      <c r="M917" t="n">
        <v>0</v>
      </c>
      <c r="N917" t="n">
        <v>0</v>
      </c>
      <c r="O917" t="n">
        <v>0</v>
      </c>
      <c r="P917" t="n">
        <v>0</v>
      </c>
      <c r="Q917" t="n">
        <v>0</v>
      </c>
      <c r="R917" s="2" t="inlineStr"/>
    </row>
    <row r="918" ht="15" customHeight="1">
      <c r="A918" t="inlineStr">
        <is>
          <t>A 24186-2024</t>
        </is>
      </c>
      <c r="B918" s="1" t="n">
        <v>45456.90869212963</v>
      </c>
      <c r="C918" s="1" t="n">
        <v>46075</v>
      </c>
      <c r="D918" t="inlineStr">
        <is>
          <t>ÖREBRO LÄN</t>
        </is>
      </c>
      <c r="E918" t="inlineStr">
        <is>
          <t>LINDESBERG</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23933-2025</t>
        </is>
      </c>
      <c r="B919" s="1" t="n">
        <v>45795.71300925926</v>
      </c>
      <c r="C919" s="1" t="n">
        <v>46075</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23932-2025</t>
        </is>
      </c>
      <c r="B920" s="1" t="n">
        <v>45795.70912037037</v>
      </c>
      <c r="C920" s="1" t="n">
        <v>46075</v>
      </c>
      <c r="D920" t="inlineStr">
        <is>
          <t>ÖREBRO LÄN</t>
        </is>
      </c>
      <c r="E920" t="inlineStr">
        <is>
          <t>LINDESBERG</t>
        </is>
      </c>
      <c r="G920" t="n">
        <v>2</v>
      </c>
      <c r="H920" t="n">
        <v>0</v>
      </c>
      <c r="I920" t="n">
        <v>0</v>
      </c>
      <c r="J920" t="n">
        <v>0</v>
      </c>
      <c r="K920" t="n">
        <v>0</v>
      </c>
      <c r="L920" t="n">
        <v>0</v>
      </c>
      <c r="M920" t="n">
        <v>0</v>
      </c>
      <c r="N920" t="n">
        <v>0</v>
      </c>
      <c r="O920" t="n">
        <v>0</v>
      </c>
      <c r="P920" t="n">
        <v>0</v>
      </c>
      <c r="Q920" t="n">
        <v>0</v>
      </c>
      <c r="R920" s="2" t="inlineStr"/>
    </row>
    <row r="921" ht="15" customHeight="1">
      <c r="A921" t="inlineStr">
        <is>
          <t>A 37125-2023</t>
        </is>
      </c>
      <c r="B921" s="1" t="n">
        <v>45155.5653125</v>
      </c>
      <c r="C921" s="1" t="n">
        <v>46075</v>
      </c>
      <c r="D921" t="inlineStr">
        <is>
          <t>ÖREBRO LÄN</t>
        </is>
      </c>
      <c r="E921" t="inlineStr">
        <is>
          <t>LINDESBERG</t>
        </is>
      </c>
      <c r="G921" t="n">
        <v>2</v>
      </c>
      <c r="H921" t="n">
        <v>0</v>
      </c>
      <c r="I921" t="n">
        <v>0</v>
      </c>
      <c r="J921" t="n">
        <v>0</v>
      </c>
      <c r="K921" t="n">
        <v>0</v>
      </c>
      <c r="L921" t="n">
        <v>0</v>
      </c>
      <c r="M921" t="n">
        <v>0</v>
      </c>
      <c r="N921" t="n">
        <v>0</v>
      </c>
      <c r="O921" t="n">
        <v>0</v>
      </c>
      <c r="P921" t="n">
        <v>0</v>
      </c>
      <c r="Q921" t="n">
        <v>0</v>
      </c>
      <c r="R921" s="2" t="inlineStr"/>
    </row>
    <row r="922" ht="15" customHeight="1">
      <c r="A922" t="inlineStr">
        <is>
          <t>A 57944-2023</t>
        </is>
      </c>
      <c r="B922" s="1" t="n">
        <v>45244</v>
      </c>
      <c r="C922" s="1" t="n">
        <v>46075</v>
      </c>
      <c r="D922" t="inlineStr">
        <is>
          <t>ÖREBRO LÄN</t>
        </is>
      </c>
      <c r="E922" t="inlineStr">
        <is>
          <t>LINDESBERG</t>
        </is>
      </c>
      <c r="G922" t="n">
        <v>2.4</v>
      </c>
      <c r="H922" t="n">
        <v>0</v>
      </c>
      <c r="I922" t="n">
        <v>0</v>
      </c>
      <c r="J922" t="n">
        <v>0</v>
      </c>
      <c r="K922" t="n">
        <v>0</v>
      </c>
      <c r="L922" t="n">
        <v>0</v>
      </c>
      <c r="M922" t="n">
        <v>0</v>
      </c>
      <c r="N922" t="n">
        <v>0</v>
      </c>
      <c r="O922" t="n">
        <v>0</v>
      </c>
      <c r="P922" t="n">
        <v>0</v>
      </c>
      <c r="Q922" t="n">
        <v>0</v>
      </c>
      <c r="R922" s="2" t="inlineStr"/>
    </row>
    <row r="923" ht="15" customHeight="1">
      <c r="A923" t="inlineStr">
        <is>
          <t>A 24017-2025</t>
        </is>
      </c>
      <c r="B923" s="1" t="n">
        <v>45796.44885416667</v>
      </c>
      <c r="C923" s="1" t="n">
        <v>46075</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23897-2025</t>
        </is>
      </c>
      <c r="B924" s="1" t="n">
        <v>45794.33498842592</v>
      </c>
      <c r="C924" s="1" t="n">
        <v>46075</v>
      </c>
      <c r="D924" t="inlineStr">
        <is>
          <t>ÖREBRO LÄN</t>
        </is>
      </c>
      <c r="E924" t="inlineStr">
        <is>
          <t>LINDESBERG</t>
        </is>
      </c>
      <c r="G924" t="n">
        <v>5.6</v>
      </c>
      <c r="H924" t="n">
        <v>0</v>
      </c>
      <c r="I924" t="n">
        <v>0</v>
      </c>
      <c r="J924" t="n">
        <v>0</v>
      </c>
      <c r="K924" t="n">
        <v>0</v>
      </c>
      <c r="L924" t="n">
        <v>0</v>
      </c>
      <c r="M924" t="n">
        <v>0</v>
      </c>
      <c r="N924" t="n">
        <v>0</v>
      </c>
      <c r="O924" t="n">
        <v>0</v>
      </c>
      <c r="P924" t="n">
        <v>0</v>
      </c>
      <c r="Q924" t="n">
        <v>0</v>
      </c>
      <c r="R924" s="2" t="inlineStr"/>
    </row>
    <row r="925" ht="15" customHeight="1">
      <c r="A925" t="inlineStr">
        <is>
          <t>A 24107-2025</t>
        </is>
      </c>
      <c r="B925" s="1" t="n">
        <v>45796</v>
      </c>
      <c r="C925" s="1" t="n">
        <v>46075</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23898-2025</t>
        </is>
      </c>
      <c r="B926" s="1" t="n">
        <v>45794.3419212963</v>
      </c>
      <c r="C926" s="1" t="n">
        <v>46075</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24011-2025</t>
        </is>
      </c>
      <c r="B927" s="1" t="n">
        <v>45796</v>
      </c>
      <c r="C927" s="1" t="n">
        <v>46075</v>
      </c>
      <c r="D927" t="inlineStr">
        <is>
          <t>ÖREBRO LÄN</t>
        </is>
      </c>
      <c r="E927" t="inlineStr">
        <is>
          <t>LINDESBERG</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24020-2025</t>
        </is>
      </c>
      <c r="B928" s="1" t="n">
        <v>45796.45054398148</v>
      </c>
      <c r="C928" s="1" t="n">
        <v>46075</v>
      </c>
      <c r="D928" t="inlineStr">
        <is>
          <t>ÖREBRO LÄN</t>
        </is>
      </c>
      <c r="E928" t="inlineStr">
        <is>
          <t>LINDESBERG</t>
        </is>
      </c>
      <c r="F928" t="inlineStr">
        <is>
          <t>Sveaskog</t>
        </is>
      </c>
      <c r="G928" t="n">
        <v>3.1</v>
      </c>
      <c r="H928" t="n">
        <v>0</v>
      </c>
      <c r="I928" t="n">
        <v>0</v>
      </c>
      <c r="J928" t="n">
        <v>0</v>
      </c>
      <c r="K928" t="n">
        <v>0</v>
      </c>
      <c r="L928" t="n">
        <v>0</v>
      </c>
      <c r="M928" t="n">
        <v>0</v>
      </c>
      <c r="N928" t="n">
        <v>0</v>
      </c>
      <c r="O928" t="n">
        <v>0</v>
      </c>
      <c r="P928" t="n">
        <v>0</v>
      </c>
      <c r="Q928" t="n">
        <v>0</v>
      </c>
      <c r="R928" s="2" t="inlineStr"/>
    </row>
    <row r="929" ht="15" customHeight="1">
      <c r="A929" t="inlineStr">
        <is>
          <t>A 23934-2025</t>
        </is>
      </c>
      <c r="B929" s="1" t="n">
        <v>45795.71547453704</v>
      </c>
      <c r="C929" s="1" t="n">
        <v>46075</v>
      </c>
      <c r="D929" t="inlineStr">
        <is>
          <t>ÖREBRO LÄN</t>
        </is>
      </c>
      <c r="E929" t="inlineStr">
        <is>
          <t>LINDESBERG</t>
        </is>
      </c>
      <c r="G929" t="n">
        <v>1.9</v>
      </c>
      <c r="H929" t="n">
        <v>0</v>
      </c>
      <c r="I929" t="n">
        <v>0</v>
      </c>
      <c r="J929" t="n">
        <v>0</v>
      </c>
      <c r="K929" t="n">
        <v>0</v>
      </c>
      <c r="L929" t="n">
        <v>0</v>
      </c>
      <c r="M929" t="n">
        <v>0</v>
      </c>
      <c r="N929" t="n">
        <v>0</v>
      </c>
      <c r="O929" t="n">
        <v>0</v>
      </c>
      <c r="P929" t="n">
        <v>0</v>
      </c>
      <c r="Q929" t="n">
        <v>0</v>
      </c>
      <c r="R929" s="2" t="inlineStr"/>
    </row>
    <row r="930" ht="15" customHeight="1">
      <c r="A930" t="inlineStr">
        <is>
          <t>A 24043-2024</t>
        </is>
      </c>
      <c r="B930" s="1" t="n">
        <v>45456.48927083334</v>
      </c>
      <c r="C930" s="1" t="n">
        <v>46075</v>
      </c>
      <c r="D930" t="inlineStr">
        <is>
          <t>ÖREBRO LÄN</t>
        </is>
      </c>
      <c r="E930" t="inlineStr">
        <is>
          <t>LINDESBERG</t>
        </is>
      </c>
      <c r="G930" t="n">
        <v>6.2</v>
      </c>
      <c r="H930" t="n">
        <v>0</v>
      </c>
      <c r="I930" t="n">
        <v>0</v>
      </c>
      <c r="J930" t="n">
        <v>0</v>
      </c>
      <c r="K930" t="n">
        <v>0</v>
      </c>
      <c r="L930" t="n">
        <v>0</v>
      </c>
      <c r="M930" t="n">
        <v>0</v>
      </c>
      <c r="N930" t="n">
        <v>0</v>
      </c>
      <c r="O930" t="n">
        <v>0</v>
      </c>
      <c r="P930" t="n">
        <v>0</v>
      </c>
      <c r="Q930" t="n">
        <v>0</v>
      </c>
      <c r="R930" s="2" t="inlineStr"/>
    </row>
    <row r="931" ht="15" customHeight="1">
      <c r="A931" t="inlineStr">
        <is>
          <t>A 12250-2025</t>
        </is>
      </c>
      <c r="B931" s="1" t="n">
        <v>45729.60775462963</v>
      </c>
      <c r="C931" s="1" t="n">
        <v>46075</v>
      </c>
      <c r="D931" t="inlineStr">
        <is>
          <t>ÖREBRO LÄN</t>
        </is>
      </c>
      <c r="E931" t="inlineStr">
        <is>
          <t>LINDESBERG</t>
        </is>
      </c>
      <c r="G931" t="n">
        <v>3.4</v>
      </c>
      <c r="H931" t="n">
        <v>0</v>
      </c>
      <c r="I931" t="n">
        <v>0</v>
      </c>
      <c r="J931" t="n">
        <v>0</v>
      </c>
      <c r="K931" t="n">
        <v>0</v>
      </c>
      <c r="L931" t="n">
        <v>0</v>
      </c>
      <c r="M931" t="n">
        <v>0</v>
      </c>
      <c r="N931" t="n">
        <v>0</v>
      </c>
      <c r="O931" t="n">
        <v>0</v>
      </c>
      <c r="P931" t="n">
        <v>0</v>
      </c>
      <c r="Q931" t="n">
        <v>0</v>
      </c>
      <c r="R931" s="2" t="inlineStr"/>
    </row>
    <row r="932" ht="15" customHeight="1">
      <c r="A932" t="inlineStr">
        <is>
          <t>A 48231-2024</t>
        </is>
      </c>
      <c r="B932" s="1" t="n">
        <v>45590.37590277778</v>
      </c>
      <c r="C932" s="1" t="n">
        <v>46075</v>
      </c>
      <c r="D932" t="inlineStr">
        <is>
          <t>ÖREBRO LÄN</t>
        </is>
      </c>
      <c r="E932" t="inlineStr">
        <is>
          <t>LINDESBERG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25643-2025</t>
        </is>
      </c>
      <c r="B933" s="1" t="n">
        <v>45803</v>
      </c>
      <c r="C933" s="1" t="n">
        <v>46075</v>
      </c>
      <c r="D933" t="inlineStr">
        <is>
          <t>ÖREBRO LÄN</t>
        </is>
      </c>
      <c r="E933" t="inlineStr">
        <is>
          <t>LINDESBERG</t>
        </is>
      </c>
      <c r="F933" t="inlineStr">
        <is>
          <t>Sveaskog</t>
        </is>
      </c>
      <c r="G933" t="n">
        <v>3.6</v>
      </c>
      <c r="H933" t="n">
        <v>0</v>
      </c>
      <c r="I933" t="n">
        <v>0</v>
      </c>
      <c r="J933" t="n">
        <v>0</v>
      </c>
      <c r="K933" t="n">
        <v>0</v>
      </c>
      <c r="L933" t="n">
        <v>0</v>
      </c>
      <c r="M933" t="n">
        <v>0</v>
      </c>
      <c r="N933" t="n">
        <v>0</v>
      </c>
      <c r="O933" t="n">
        <v>0</v>
      </c>
      <c r="P933" t="n">
        <v>0</v>
      </c>
      <c r="Q933" t="n">
        <v>0</v>
      </c>
      <c r="R933" s="2" t="inlineStr"/>
    </row>
    <row r="934" ht="15" customHeight="1">
      <c r="A934" t="inlineStr">
        <is>
          <t>A 25842-2025</t>
        </is>
      </c>
      <c r="B934" s="1" t="n">
        <v>45804.45474537037</v>
      </c>
      <c r="C934" s="1" t="n">
        <v>46075</v>
      </c>
      <c r="D934" t="inlineStr">
        <is>
          <t>ÖREBRO LÄN</t>
        </is>
      </c>
      <c r="E934" t="inlineStr">
        <is>
          <t>LINDESBERG</t>
        </is>
      </c>
      <c r="G934" t="n">
        <v>1.7</v>
      </c>
      <c r="H934" t="n">
        <v>0</v>
      </c>
      <c r="I934" t="n">
        <v>0</v>
      </c>
      <c r="J934" t="n">
        <v>0</v>
      </c>
      <c r="K934" t="n">
        <v>0</v>
      </c>
      <c r="L934" t="n">
        <v>0</v>
      </c>
      <c r="M934" t="n">
        <v>0</v>
      </c>
      <c r="N934" t="n">
        <v>0</v>
      </c>
      <c r="O934" t="n">
        <v>0</v>
      </c>
      <c r="P934" t="n">
        <v>0</v>
      </c>
      <c r="Q934" t="n">
        <v>0</v>
      </c>
      <c r="R934" s="2" t="inlineStr"/>
    </row>
    <row r="935" ht="15" customHeight="1">
      <c r="A935" t="inlineStr">
        <is>
          <t>A 26016-2025</t>
        </is>
      </c>
      <c r="B935" s="1" t="n">
        <v>45804.67795138889</v>
      </c>
      <c r="C935" s="1" t="n">
        <v>46075</v>
      </c>
      <c r="D935" t="inlineStr">
        <is>
          <t>ÖREBRO LÄN</t>
        </is>
      </c>
      <c r="E935" t="inlineStr">
        <is>
          <t>LINDESBERG</t>
        </is>
      </c>
      <c r="G935" t="n">
        <v>10</v>
      </c>
      <c r="H935" t="n">
        <v>0</v>
      </c>
      <c r="I935" t="n">
        <v>0</v>
      </c>
      <c r="J935" t="n">
        <v>0</v>
      </c>
      <c r="K935" t="n">
        <v>0</v>
      </c>
      <c r="L935" t="n">
        <v>0</v>
      </c>
      <c r="M935" t="n">
        <v>0</v>
      </c>
      <c r="N935" t="n">
        <v>0</v>
      </c>
      <c r="O935" t="n">
        <v>0</v>
      </c>
      <c r="P935" t="n">
        <v>0</v>
      </c>
      <c r="Q935" t="n">
        <v>0</v>
      </c>
      <c r="R935" s="2" t="inlineStr"/>
    </row>
    <row r="936" ht="15" customHeight="1">
      <c r="A936" t="inlineStr">
        <is>
          <t>A 25843-2025</t>
        </is>
      </c>
      <c r="B936" s="1" t="n">
        <v>45804.45584490741</v>
      </c>
      <c r="C936" s="1" t="n">
        <v>46075</v>
      </c>
      <c r="D936" t="inlineStr">
        <is>
          <t>ÖREBRO LÄN</t>
        </is>
      </c>
      <c r="E936" t="inlineStr">
        <is>
          <t>LINDESBERG</t>
        </is>
      </c>
      <c r="G936" t="n">
        <v>4.6</v>
      </c>
      <c r="H936" t="n">
        <v>0</v>
      </c>
      <c r="I936" t="n">
        <v>0</v>
      </c>
      <c r="J936" t="n">
        <v>0</v>
      </c>
      <c r="K936" t="n">
        <v>0</v>
      </c>
      <c r="L936" t="n">
        <v>0</v>
      </c>
      <c r="M936" t="n">
        <v>0</v>
      </c>
      <c r="N936" t="n">
        <v>0</v>
      </c>
      <c r="O936" t="n">
        <v>0</v>
      </c>
      <c r="P936" t="n">
        <v>0</v>
      </c>
      <c r="Q936" t="n">
        <v>0</v>
      </c>
      <c r="R936" s="2" t="inlineStr"/>
    </row>
    <row r="937" ht="15" customHeight="1">
      <c r="A937" t="inlineStr">
        <is>
          <t>A 27296-2025</t>
        </is>
      </c>
      <c r="B937" s="1" t="n">
        <v>45812.56952546296</v>
      </c>
      <c r="C937" s="1" t="n">
        <v>46075</v>
      </c>
      <c r="D937" t="inlineStr">
        <is>
          <t>ÖREBRO LÄN</t>
        </is>
      </c>
      <c r="E937" t="inlineStr">
        <is>
          <t>LINDESBERG</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27300-2025</t>
        </is>
      </c>
      <c r="B938" s="1" t="n">
        <v>45812.57143518519</v>
      </c>
      <c r="C938" s="1" t="n">
        <v>46075</v>
      </c>
      <c r="D938" t="inlineStr">
        <is>
          <t>ÖREBRO LÄN</t>
        </is>
      </c>
      <c r="E938" t="inlineStr">
        <is>
          <t>LINDESBERG</t>
        </is>
      </c>
      <c r="F938" t="inlineStr">
        <is>
          <t>Sveaskog</t>
        </is>
      </c>
      <c r="G938" t="n">
        <v>19.7</v>
      </c>
      <c r="H938" t="n">
        <v>0</v>
      </c>
      <c r="I938" t="n">
        <v>0</v>
      </c>
      <c r="J938" t="n">
        <v>0</v>
      </c>
      <c r="K938" t="n">
        <v>0</v>
      </c>
      <c r="L938" t="n">
        <v>0</v>
      </c>
      <c r="M938" t="n">
        <v>0</v>
      </c>
      <c r="N938" t="n">
        <v>0</v>
      </c>
      <c r="O938" t="n">
        <v>0</v>
      </c>
      <c r="P938" t="n">
        <v>0</v>
      </c>
      <c r="Q938" t="n">
        <v>0</v>
      </c>
      <c r="R938" s="2" t="inlineStr"/>
    </row>
    <row r="939" ht="15" customHeight="1">
      <c r="A939" t="inlineStr">
        <is>
          <t>A 27309-2025</t>
        </is>
      </c>
      <c r="B939" s="1" t="n">
        <v>45812.57452546297</v>
      </c>
      <c r="C939" s="1" t="n">
        <v>46075</v>
      </c>
      <c r="D939" t="inlineStr">
        <is>
          <t>ÖREBRO LÄN</t>
        </is>
      </c>
      <c r="E939" t="inlineStr">
        <is>
          <t>LINDESBERG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27311-2025</t>
        </is>
      </c>
      <c r="B940" s="1" t="n">
        <v>45812.57604166667</v>
      </c>
      <c r="C940" s="1" t="n">
        <v>46075</v>
      </c>
      <c r="D940" t="inlineStr">
        <is>
          <t>ÖREBRO LÄN</t>
        </is>
      </c>
      <c r="E940" t="inlineStr">
        <is>
          <t>LINDESBERG</t>
        </is>
      </c>
      <c r="F940" t="inlineStr">
        <is>
          <t>Sveaskog</t>
        </is>
      </c>
      <c r="G940" t="n">
        <v>4.8</v>
      </c>
      <c r="H940" t="n">
        <v>0</v>
      </c>
      <c r="I940" t="n">
        <v>0</v>
      </c>
      <c r="J940" t="n">
        <v>0</v>
      </c>
      <c r="K940" t="n">
        <v>0</v>
      </c>
      <c r="L940" t="n">
        <v>0</v>
      </c>
      <c r="M940" t="n">
        <v>0</v>
      </c>
      <c r="N940" t="n">
        <v>0</v>
      </c>
      <c r="O940" t="n">
        <v>0</v>
      </c>
      <c r="P940" t="n">
        <v>0</v>
      </c>
      <c r="Q940" t="n">
        <v>0</v>
      </c>
      <c r="R940" s="2" t="inlineStr"/>
    </row>
    <row r="941">
      <c r="A941" t="inlineStr">
        <is>
          <t>A 28040-2025</t>
        </is>
      </c>
      <c r="B941" s="1" t="n">
        <v>45817.6455324074</v>
      </c>
      <c r="C941" s="1" t="n">
        <v>46075</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2026-02-22T11:01:56Z</dcterms:created>
  <dcterms:modified xmlns:dcterms="http://purl.org/dc/terms/" xmlns:xsi="http://www.w3.org/2001/XMLSchema-instance" xsi:type="dcterms:W3CDTF">2026-02-22T11:01:57Z</dcterms:modified>
</cp:coreProperties>
</file>