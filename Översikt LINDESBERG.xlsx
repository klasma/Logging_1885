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46205</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46205</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46205</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42634-2025</t>
        </is>
      </c>
      <c r="B5" s="1" t="n">
        <v>45905</v>
      </c>
      <c r="C5" s="1" t="n">
        <v>46205</v>
      </c>
      <c r="D5" t="inlineStr">
        <is>
          <t>ÖREBRO LÄN</t>
        </is>
      </c>
      <c r="E5" t="inlineStr">
        <is>
          <t>LINDESBERG</t>
        </is>
      </c>
      <c r="F5" t="inlineStr">
        <is>
          <t>Sveaskog</t>
        </is>
      </c>
      <c r="G5" t="n">
        <v>3.6</v>
      </c>
      <c r="H5" t="n">
        <v>4</v>
      </c>
      <c r="I5" t="n">
        <v>4</v>
      </c>
      <c r="J5" t="n">
        <v>7</v>
      </c>
      <c r="K5" t="n">
        <v>2</v>
      </c>
      <c r="L5" t="n">
        <v>0</v>
      </c>
      <c r="M5" t="n">
        <v>0</v>
      </c>
      <c r="N5" t="n">
        <v>0</v>
      </c>
      <c r="O5" t="n">
        <v>9</v>
      </c>
      <c r="P5" t="n">
        <v>2</v>
      </c>
      <c r="Q5" t="n">
        <v>16</v>
      </c>
      <c r="R5" s="2" t="inlineStr">
        <is>
          <t>Knärot
Rotfingersvamp
Dropptaggsvamp
Fjällig taggsvamp s.str.
Kandelabersvamp
Motaggsvamp
Skarp dropptaggsvamp
Sotvaxskivling
Svartvit taggsvamp
Blomkålssvamp
Honungsvaxing
Rävticka
Vedticka
Mattlummer
Havsörn
Revlummer</t>
        </is>
      </c>
      <c r="S5">
        <f>HYPERLINK("https://klasma.github.io/Logging_1885/artfynd/A 42634-2025 artfynd.xlsx", "A 42634-2025")</f>
        <v/>
      </c>
      <c r="T5">
        <f>HYPERLINK("https://klasma.github.io/Logging_1885/kartor/A 42634-2025 karta.png", "A 42634-2025")</f>
        <v/>
      </c>
      <c r="U5">
        <f>HYPERLINK("https://klasma.github.io/Logging_1885/knärot/A 42634-2025 karta knärot.png", "A 42634-2025")</f>
        <v/>
      </c>
      <c r="V5">
        <f>HYPERLINK("https://klasma.github.io/Logging_1885/klagomål/A 42634-2025 FSC-klagomål.docx", "A 42634-2025")</f>
        <v/>
      </c>
      <c r="W5">
        <f>HYPERLINK("https://klasma.github.io/Logging_1885/klagomålsmail/A 42634-2025 FSC-klagomål mail.docx", "A 42634-2025")</f>
        <v/>
      </c>
      <c r="X5">
        <f>HYPERLINK("https://klasma.github.io/Logging_1885/tillsyn/A 42634-2025 tillsynsbegäran.docx", "A 42634-2025")</f>
        <v/>
      </c>
      <c r="Y5">
        <f>HYPERLINK("https://klasma.github.io/Logging_1885/tillsynsmail/A 42634-2025 tillsynsbegäran mail.docx", "A 42634-2025")</f>
        <v/>
      </c>
      <c r="Z5">
        <f>HYPERLINK("https://klasma.github.io/Logging_1885/fåglar/A 42634-2025 prioriterade fågelarter.docx", "A 42634-2025")</f>
        <v/>
      </c>
    </row>
    <row r="6" ht="15" customHeight="1">
      <c r="A6" t="inlineStr">
        <is>
          <t>A 58939-2023</t>
        </is>
      </c>
      <c r="B6" s="1" t="n">
        <v>45252</v>
      </c>
      <c r="C6" s="1" t="n">
        <v>46205</v>
      </c>
      <c r="D6" t="inlineStr">
        <is>
          <t>ÖREBRO LÄN</t>
        </is>
      </c>
      <c r="E6" t="inlineStr">
        <is>
          <t>LINDESBERG</t>
        </is>
      </c>
      <c r="G6" t="n">
        <v>4.7</v>
      </c>
      <c r="H6" t="n">
        <v>5</v>
      </c>
      <c r="I6" t="n">
        <v>5</v>
      </c>
      <c r="J6" t="n">
        <v>5</v>
      </c>
      <c r="K6" t="n">
        <v>0</v>
      </c>
      <c r="L6" t="n">
        <v>4</v>
      </c>
      <c r="M6" t="n">
        <v>0</v>
      </c>
      <c r="N6" t="n">
        <v>0</v>
      </c>
      <c r="O6" t="n">
        <v>9</v>
      </c>
      <c r="P6" t="n">
        <v>4</v>
      </c>
      <c r="Q6" t="n">
        <v>16</v>
      </c>
      <c r="R6" s="2" t="inlineStr">
        <is>
          <t>Ask
Asknätfjäril
Skogsalm
Violgubbe
Grantaggsvamp
Gultoppig fingersvamp
Skogsklocka
Sotnätfjäril
Svinrot
Grov husmossa
Skogsknipprot
Svavelriska
Tibast
Tvåblad
Blåsippa
Fläcknycklar</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8196-2026</t>
        </is>
      </c>
      <c r="B7" s="1" t="n">
        <v>46064</v>
      </c>
      <c r="C7" s="1" t="n">
        <v>46205</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46205</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42636-2025</t>
        </is>
      </c>
      <c r="B9" s="1" t="n">
        <v>45905</v>
      </c>
      <c r="C9" s="1" t="n">
        <v>46205</v>
      </c>
      <c r="D9" t="inlineStr">
        <is>
          <t>ÖREBRO LÄN</t>
        </is>
      </c>
      <c r="E9" t="inlineStr">
        <is>
          <t>LINDESBERG</t>
        </is>
      </c>
      <c r="F9" t="inlineStr">
        <is>
          <t>Sveaskog</t>
        </is>
      </c>
      <c r="G9" t="n">
        <v>1.9</v>
      </c>
      <c r="H9" t="n">
        <v>2</v>
      </c>
      <c r="I9" t="n">
        <v>1</v>
      </c>
      <c r="J9" t="n">
        <v>7</v>
      </c>
      <c r="K9" t="n">
        <v>0</v>
      </c>
      <c r="L9" t="n">
        <v>1</v>
      </c>
      <c r="M9" t="n">
        <v>0</v>
      </c>
      <c r="N9" t="n">
        <v>0</v>
      </c>
      <c r="O9" t="n">
        <v>8</v>
      </c>
      <c r="P9" t="n">
        <v>1</v>
      </c>
      <c r="Q9" t="n">
        <v>11</v>
      </c>
      <c r="R9" s="2" t="inlineStr">
        <is>
          <t>Brödtaggsvamp
Dvärgbägarlav
Gransotdyna
Motaggsvamp
Tallticka
Ullticka
Vedskivlav
Violmussling
Vedticka
Järpe
Revlummer</t>
        </is>
      </c>
      <c r="S9">
        <f>HYPERLINK("https://klasma.github.io/Logging_1885/artfynd/A 42636-2025 artfynd.xlsx", "A 42636-2025")</f>
        <v/>
      </c>
      <c r="T9">
        <f>HYPERLINK("https://klasma.github.io/Logging_1885/kartor/A 42636-2025 karta.png", "A 42636-2025")</f>
        <v/>
      </c>
      <c r="U9">
        <f>HYPERLINK("https://klasma.github.io/Logging_1885/knärot/A 42636-2025 karta knärot.png", "A 42636-2025")</f>
        <v/>
      </c>
      <c r="V9">
        <f>HYPERLINK("https://klasma.github.io/Logging_1885/klagomål/A 42636-2025 FSC-klagomål.docx", "A 42636-2025")</f>
        <v/>
      </c>
      <c r="W9">
        <f>HYPERLINK("https://klasma.github.io/Logging_1885/klagomålsmail/A 42636-2025 FSC-klagomål mail.docx", "A 42636-2025")</f>
        <v/>
      </c>
      <c r="X9">
        <f>HYPERLINK("https://klasma.github.io/Logging_1885/tillsyn/A 42636-2025 tillsynsbegäran.docx", "A 42636-2025")</f>
        <v/>
      </c>
      <c r="Y9">
        <f>HYPERLINK("https://klasma.github.io/Logging_1885/tillsynsmail/A 42636-2025 tillsynsbegäran mail.docx", "A 42636-2025")</f>
        <v/>
      </c>
      <c r="Z9">
        <f>HYPERLINK("https://klasma.github.io/Logging_1885/fåglar/A 42636-2025 prioriterade fågelarter.docx", "A 42636-2025")</f>
        <v/>
      </c>
    </row>
    <row r="10" ht="15" customHeight="1">
      <c r="A10" t="inlineStr">
        <is>
          <t>A 8186-2026</t>
        </is>
      </c>
      <c r="B10" s="1" t="n">
        <v>46064</v>
      </c>
      <c r="C10" s="1" t="n">
        <v>46205</v>
      </c>
      <c r="D10" t="inlineStr">
        <is>
          <t>ÖREBRO LÄN</t>
        </is>
      </c>
      <c r="E10" t="inlineStr">
        <is>
          <t>LINDESBERG</t>
        </is>
      </c>
      <c r="G10" t="n">
        <v>2.4</v>
      </c>
      <c r="H10" t="n">
        <v>7</v>
      </c>
      <c r="I10" t="n">
        <v>4</v>
      </c>
      <c r="J10" t="n">
        <v>2</v>
      </c>
      <c r="K10" t="n">
        <v>0</v>
      </c>
      <c r="L10" t="n">
        <v>0</v>
      </c>
      <c r="M10" t="n">
        <v>0</v>
      </c>
      <c r="N10" t="n">
        <v>0</v>
      </c>
      <c r="O10" t="n">
        <v>2</v>
      </c>
      <c r="P10" t="n">
        <v>0</v>
      </c>
      <c r="Q10" t="n">
        <v>11</v>
      </c>
      <c r="R10" s="2" t="inlineStr">
        <is>
          <t>Grönsångare
Järnsparv
Svart trolldruva
Thomsons trägnagare
Tibast
Tvåblad
Ormbär
Grönsiska
Kungsfågel
Svartvit flugsnappare
Ärtsångare</t>
        </is>
      </c>
      <c r="S10">
        <f>HYPERLINK("https://klasma.github.io/Logging_1885/artfynd/A 8186-2026 artfynd.xlsx", "A 8186-2026")</f>
        <v/>
      </c>
      <c r="T10">
        <f>HYPERLINK("https://klasma.github.io/Logging_1885/kartor/A 8186-2026 karta.png", "A 8186-2026")</f>
        <v/>
      </c>
      <c r="V10">
        <f>HYPERLINK("https://klasma.github.io/Logging_1885/klagomål/A 8186-2026 FSC-klagomål.docx", "A 8186-2026")</f>
        <v/>
      </c>
      <c r="W10">
        <f>HYPERLINK("https://klasma.github.io/Logging_1885/klagomålsmail/A 8186-2026 FSC-klagomål mail.docx", "A 8186-2026")</f>
        <v/>
      </c>
      <c r="X10">
        <f>HYPERLINK("https://klasma.github.io/Logging_1885/tillsyn/A 8186-2026 tillsynsbegäran.docx", "A 8186-2026")</f>
        <v/>
      </c>
      <c r="Y10">
        <f>HYPERLINK("https://klasma.github.io/Logging_1885/tillsynsmail/A 8186-2026 tillsynsbegäran mail.docx", "A 8186-2026")</f>
        <v/>
      </c>
      <c r="Z10">
        <f>HYPERLINK("https://klasma.github.io/Logging_1885/fåglar/A 8186-2026 prioriterade fågelarter.docx", "A 8186-2026")</f>
        <v/>
      </c>
    </row>
    <row r="11" ht="15" customHeight="1">
      <c r="A11" t="inlineStr">
        <is>
          <t>A 8195-2026</t>
        </is>
      </c>
      <c r="B11" s="1" t="n">
        <v>46064</v>
      </c>
      <c r="C11" s="1" t="n">
        <v>46205</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55016-2025</t>
        </is>
      </c>
      <c r="B12" s="1" t="n">
        <v>45967</v>
      </c>
      <c r="C12" s="1" t="n">
        <v>46205</v>
      </c>
      <c r="D12" t="inlineStr">
        <is>
          <t>ÖREBRO LÄN</t>
        </is>
      </c>
      <c r="E12" t="inlineStr">
        <is>
          <t>LINDESBERG</t>
        </is>
      </c>
      <c r="G12" t="n">
        <v>8.699999999999999</v>
      </c>
      <c r="H12" t="n">
        <v>3</v>
      </c>
      <c r="I12" t="n">
        <v>5</v>
      </c>
      <c r="J12" t="n">
        <v>4</v>
      </c>
      <c r="K12" t="n">
        <v>0</v>
      </c>
      <c r="L12" t="n">
        <v>0</v>
      </c>
      <c r="M12" t="n">
        <v>0</v>
      </c>
      <c r="N12" t="n">
        <v>0</v>
      </c>
      <c r="O12" t="n">
        <v>4</v>
      </c>
      <c r="P12" t="n">
        <v>0</v>
      </c>
      <c r="Q12" t="n">
        <v>11</v>
      </c>
      <c r="R12" s="2" t="inlineStr">
        <is>
          <t>Dropptaggsvamp
Motaggsvamp
Talltita
Ullticka
Blomkålssvamp
Grovticka
Gullgröppa
Mindre märgborre
Vedticka
Spillkråka
Kungsfågel</t>
        </is>
      </c>
      <c r="S12">
        <f>HYPERLINK("https://klasma.github.io/Logging_1885/artfynd/A 55016-2025 artfynd.xlsx", "A 55016-2025")</f>
        <v/>
      </c>
      <c r="T12">
        <f>HYPERLINK("https://klasma.github.io/Logging_1885/kartor/A 55016-2025 karta.png", "A 55016-2025")</f>
        <v/>
      </c>
      <c r="V12">
        <f>HYPERLINK("https://klasma.github.io/Logging_1885/klagomål/A 55016-2025 FSC-klagomål.docx", "A 55016-2025")</f>
        <v/>
      </c>
      <c r="W12">
        <f>HYPERLINK("https://klasma.github.io/Logging_1885/klagomålsmail/A 55016-2025 FSC-klagomål mail.docx", "A 55016-2025")</f>
        <v/>
      </c>
      <c r="X12">
        <f>HYPERLINK("https://klasma.github.io/Logging_1885/tillsyn/A 55016-2025 tillsynsbegäran.docx", "A 55016-2025")</f>
        <v/>
      </c>
      <c r="Y12">
        <f>HYPERLINK("https://klasma.github.io/Logging_1885/tillsynsmail/A 55016-2025 tillsynsbegäran mail.docx", "A 55016-2025")</f>
        <v/>
      </c>
      <c r="Z12">
        <f>HYPERLINK("https://klasma.github.io/Logging_1885/fåglar/A 55016-2025 prioriterade fågelarter.docx", "A 55016-2025")</f>
        <v/>
      </c>
    </row>
    <row r="13" ht="15" customHeight="1">
      <c r="A13" t="inlineStr">
        <is>
          <t>A 34293-2023</t>
        </is>
      </c>
      <c r="B13" s="1" t="n">
        <v>45138</v>
      </c>
      <c r="C13" s="1" t="n">
        <v>46205</v>
      </c>
      <c r="D13" t="inlineStr">
        <is>
          <t>ÖREBRO LÄN</t>
        </is>
      </c>
      <c r="E13" t="inlineStr">
        <is>
          <t>LINDESBERG</t>
        </is>
      </c>
      <c r="F13" t="inlineStr">
        <is>
          <t>Sveaskog</t>
        </is>
      </c>
      <c r="G13" t="n">
        <v>0.5</v>
      </c>
      <c r="H13" t="n">
        <v>4</v>
      </c>
      <c r="I13" t="n">
        <v>3</v>
      </c>
      <c r="J13" t="n">
        <v>5</v>
      </c>
      <c r="K13" t="n">
        <v>1</v>
      </c>
      <c r="L13" t="n">
        <v>0</v>
      </c>
      <c r="M13" t="n">
        <v>0</v>
      </c>
      <c r="N13" t="n">
        <v>0</v>
      </c>
      <c r="O13" t="n">
        <v>6</v>
      </c>
      <c r="P13" t="n">
        <v>1</v>
      </c>
      <c r="Q13" t="n">
        <v>11</v>
      </c>
      <c r="R13" s="2" t="inlineStr">
        <is>
          <t>Knärot
Dropptaggsvamp
Fjällig taggsvamp s.str.
Motaggsvamp
Sotvaxskivling
Svartvit taggsvamp
Korallrot
Sotriska
Vedticka
Fläcknycklar
Revlummer</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42628-2025</t>
        </is>
      </c>
      <c r="B14" s="1" t="n">
        <v>45905</v>
      </c>
      <c r="C14" s="1" t="n">
        <v>46205</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24977-2026</t>
        </is>
      </c>
      <c r="B15" s="1" t="n">
        <v>46174</v>
      </c>
      <c r="C15" s="1" t="n">
        <v>46205</v>
      </c>
      <c r="D15" t="inlineStr">
        <is>
          <t>ÖREBRO LÄN</t>
        </is>
      </c>
      <c r="E15" t="inlineStr">
        <is>
          <t>LINDESBERG</t>
        </is>
      </c>
      <c r="G15" t="n">
        <v>11.3</v>
      </c>
      <c r="H15" t="n">
        <v>4</v>
      </c>
      <c r="I15" t="n">
        <v>3</v>
      </c>
      <c r="J15" t="n">
        <v>2</v>
      </c>
      <c r="K15" t="n">
        <v>1</v>
      </c>
      <c r="L15" t="n">
        <v>0</v>
      </c>
      <c r="M15" t="n">
        <v>0</v>
      </c>
      <c r="N15" t="n">
        <v>0</v>
      </c>
      <c r="O15" t="n">
        <v>3</v>
      </c>
      <c r="P15" t="n">
        <v>1</v>
      </c>
      <c r="Q15" t="n">
        <v>9</v>
      </c>
      <c r="R15" s="2" t="inlineStr">
        <is>
          <t>Knärot
Svart skogssnigel
Älg
Björksplintborre
Bronshjon
Thomsons trägnagare
Spillkråka
Tjäder
Fläcknycklar</t>
        </is>
      </c>
      <c r="S15">
        <f>HYPERLINK("https://klasma.github.io/Logging_1885/artfynd/A 24977-2026 artfynd.xlsx", "A 24977-2026")</f>
        <v/>
      </c>
      <c r="T15">
        <f>HYPERLINK("https://klasma.github.io/Logging_1885/kartor/A 24977-2026 karta.png", "A 24977-2026")</f>
        <v/>
      </c>
      <c r="U15">
        <f>HYPERLINK("https://klasma.github.io/Logging_1885/knärot/A 24977-2026 karta knärot.png", "A 24977-2026")</f>
        <v/>
      </c>
      <c r="V15">
        <f>HYPERLINK("https://klasma.github.io/Logging_1885/klagomål/A 24977-2026 FSC-klagomål.docx", "A 24977-2026")</f>
        <v/>
      </c>
      <c r="W15">
        <f>HYPERLINK("https://klasma.github.io/Logging_1885/klagomålsmail/A 24977-2026 FSC-klagomål mail.docx", "A 24977-2026")</f>
        <v/>
      </c>
      <c r="X15">
        <f>HYPERLINK("https://klasma.github.io/Logging_1885/tillsyn/A 24977-2026 tillsynsbegäran.docx", "A 24977-2026")</f>
        <v/>
      </c>
      <c r="Y15">
        <f>HYPERLINK("https://klasma.github.io/Logging_1885/tillsynsmail/A 24977-2026 tillsynsbegäran mail.docx", "A 24977-2026")</f>
        <v/>
      </c>
      <c r="Z15">
        <f>HYPERLINK("https://klasma.github.io/Logging_1885/fåglar/A 24977-2026 prioriterade fågelarter.docx", "A 24977-2026")</f>
        <v/>
      </c>
    </row>
    <row r="16" ht="15" customHeight="1">
      <c r="A16" t="inlineStr">
        <is>
          <t>A 19260-2026</t>
        </is>
      </c>
      <c r="B16" s="1" t="n">
        <v>46132</v>
      </c>
      <c r="C16" s="1" t="n">
        <v>46205</v>
      </c>
      <c r="D16" t="inlineStr">
        <is>
          <t>ÖREBRO LÄN</t>
        </is>
      </c>
      <c r="E16" t="inlineStr">
        <is>
          <t>LINDESBERG</t>
        </is>
      </c>
      <c r="G16" t="n">
        <v>1.4</v>
      </c>
      <c r="H16" t="n">
        <v>7</v>
      </c>
      <c r="I16" t="n">
        <v>1</v>
      </c>
      <c r="J16" t="n">
        <v>4</v>
      </c>
      <c r="K16" t="n">
        <v>0</v>
      </c>
      <c r="L16" t="n">
        <v>0</v>
      </c>
      <c r="M16" t="n">
        <v>0</v>
      </c>
      <c r="N16" t="n">
        <v>0</v>
      </c>
      <c r="O16" t="n">
        <v>4</v>
      </c>
      <c r="P16" t="n">
        <v>0</v>
      </c>
      <c r="Q16" t="n">
        <v>9</v>
      </c>
      <c r="R16" s="2" t="inlineStr">
        <is>
          <t>Grönsångare
Sädesärla
Tretåig hackspett
Ullticka
Bronshjon
Spillkråka
Tofsmes
Grönsiska
Fläcknycklar</t>
        </is>
      </c>
      <c r="S16">
        <f>HYPERLINK("https://klasma.github.io/Logging_1885/artfynd/A 19260-2026 artfynd.xlsx", "A 19260-2026")</f>
        <v/>
      </c>
      <c r="T16">
        <f>HYPERLINK("https://klasma.github.io/Logging_1885/kartor/A 19260-2026 karta.png", "A 19260-2026")</f>
        <v/>
      </c>
      <c r="V16">
        <f>HYPERLINK("https://klasma.github.io/Logging_1885/klagomål/A 19260-2026 FSC-klagomål.docx", "A 19260-2026")</f>
        <v/>
      </c>
      <c r="W16">
        <f>HYPERLINK("https://klasma.github.io/Logging_1885/klagomålsmail/A 19260-2026 FSC-klagomål mail.docx", "A 19260-2026")</f>
        <v/>
      </c>
      <c r="X16">
        <f>HYPERLINK("https://klasma.github.io/Logging_1885/tillsyn/A 19260-2026 tillsynsbegäran.docx", "A 19260-2026")</f>
        <v/>
      </c>
      <c r="Y16">
        <f>HYPERLINK("https://klasma.github.io/Logging_1885/tillsynsmail/A 19260-2026 tillsynsbegäran mail.docx", "A 19260-2026")</f>
        <v/>
      </c>
      <c r="Z16">
        <f>HYPERLINK("https://klasma.github.io/Logging_1885/fåglar/A 19260-2026 prioriterade fågelarter.docx", "A 19260-2026")</f>
        <v/>
      </c>
    </row>
    <row r="17" ht="15" customHeight="1">
      <c r="A17" t="inlineStr">
        <is>
          <t>A 26749-2025</t>
        </is>
      </c>
      <c r="B17" s="1" t="n">
        <v>45810</v>
      </c>
      <c r="C17" s="1" t="n">
        <v>46205</v>
      </c>
      <c r="D17" t="inlineStr">
        <is>
          <t>ÖREBRO LÄN</t>
        </is>
      </c>
      <c r="E17" t="inlineStr">
        <is>
          <t>LINDESBERG</t>
        </is>
      </c>
      <c r="G17" t="n">
        <v>4</v>
      </c>
      <c r="H17" t="n">
        <v>8</v>
      </c>
      <c r="I17" t="n">
        <v>0</v>
      </c>
      <c r="J17" t="n">
        <v>2</v>
      </c>
      <c r="K17" t="n">
        <v>1</v>
      </c>
      <c r="L17" t="n">
        <v>0</v>
      </c>
      <c r="M17" t="n">
        <v>0</v>
      </c>
      <c r="N17" t="n">
        <v>0</v>
      </c>
      <c r="O17" t="n">
        <v>3</v>
      </c>
      <c r="P17" t="n">
        <v>1</v>
      </c>
      <c r="Q17" t="n">
        <v>8</v>
      </c>
      <c r="R17" s="2" t="inlineStr">
        <is>
          <t>Knärot
Gulsparv
Järnsparv
Blåsippa
Grönsiska
Kungsfågel
Trädlärka
Revlummer</t>
        </is>
      </c>
      <c r="S17">
        <f>HYPERLINK("https://klasma.github.io/Logging_1885/artfynd/A 26749-2025 artfynd.xlsx", "A 26749-2025")</f>
        <v/>
      </c>
      <c r="T17">
        <f>HYPERLINK("https://klasma.github.io/Logging_1885/kartor/A 26749-2025 karta.png", "A 26749-2025")</f>
        <v/>
      </c>
      <c r="U17">
        <f>HYPERLINK("https://klasma.github.io/Logging_1885/knärot/A 26749-2025 karta knärot.png", "A 26749-2025")</f>
        <v/>
      </c>
      <c r="V17">
        <f>HYPERLINK("https://klasma.github.io/Logging_1885/klagomål/A 26749-2025 FSC-klagomål.docx", "A 26749-2025")</f>
        <v/>
      </c>
      <c r="W17">
        <f>HYPERLINK("https://klasma.github.io/Logging_1885/klagomålsmail/A 26749-2025 FSC-klagomål mail.docx", "A 26749-2025")</f>
        <v/>
      </c>
      <c r="X17">
        <f>HYPERLINK("https://klasma.github.io/Logging_1885/tillsyn/A 26749-2025 tillsynsbegäran.docx", "A 26749-2025")</f>
        <v/>
      </c>
      <c r="Y17">
        <f>HYPERLINK("https://klasma.github.io/Logging_1885/tillsynsmail/A 26749-2025 tillsynsbegäran mail.docx", "A 26749-2025")</f>
        <v/>
      </c>
      <c r="Z17">
        <f>HYPERLINK("https://klasma.github.io/Logging_1885/fåglar/A 26749-2025 prioriterade fågelarter.docx", "A 26749-2025")</f>
        <v/>
      </c>
    </row>
    <row r="18" ht="15" customHeight="1">
      <c r="A18" t="inlineStr">
        <is>
          <t>A 8172-2026</t>
        </is>
      </c>
      <c r="B18" s="1" t="n">
        <v>46064</v>
      </c>
      <c r="C18" s="1" t="n">
        <v>46205</v>
      </c>
      <c r="D18" t="inlineStr">
        <is>
          <t>ÖREBRO LÄN</t>
        </is>
      </c>
      <c r="E18" t="inlineStr">
        <is>
          <t>LINDESBERG</t>
        </is>
      </c>
      <c r="G18" t="n">
        <v>2.9</v>
      </c>
      <c r="H18" t="n">
        <v>3</v>
      </c>
      <c r="I18" t="n">
        <v>3</v>
      </c>
      <c r="J18" t="n">
        <v>2</v>
      </c>
      <c r="K18" t="n">
        <v>1</v>
      </c>
      <c r="L18" t="n">
        <v>0</v>
      </c>
      <c r="M18" t="n">
        <v>1</v>
      </c>
      <c r="N18" t="n">
        <v>0</v>
      </c>
      <c r="O18" t="n">
        <v>4</v>
      </c>
      <c r="P18" t="n">
        <v>2</v>
      </c>
      <c r="Q18" t="n">
        <v>8</v>
      </c>
      <c r="R18" s="2" t="inlineStr">
        <is>
          <t>Bågtuss
Knärot
Fjällig taggsvamp s.str.
Persiljespindling
Olivspindling
Skogsknipprot
Svavelriska
Kopparödla</t>
        </is>
      </c>
      <c r="S18">
        <f>HYPERLINK("https://klasma.github.io/Logging_1885/artfynd/A 8172-2026 artfynd.xlsx", "A 8172-2026")</f>
        <v/>
      </c>
      <c r="T18">
        <f>HYPERLINK("https://klasma.github.io/Logging_1885/kartor/A 8172-2026 karta.png", "A 8172-2026")</f>
        <v/>
      </c>
      <c r="U18">
        <f>HYPERLINK("https://klasma.github.io/Logging_1885/knärot/A 8172-2026 karta knärot.png", "A 8172-2026")</f>
        <v/>
      </c>
      <c r="V18">
        <f>HYPERLINK("https://klasma.github.io/Logging_1885/klagomål/A 8172-2026 FSC-klagomål.docx", "A 8172-2026")</f>
        <v/>
      </c>
      <c r="W18">
        <f>HYPERLINK("https://klasma.github.io/Logging_1885/klagomålsmail/A 8172-2026 FSC-klagomål mail.docx", "A 8172-2026")</f>
        <v/>
      </c>
      <c r="X18">
        <f>HYPERLINK("https://klasma.github.io/Logging_1885/tillsyn/A 8172-2026 tillsynsbegäran.docx", "A 8172-2026")</f>
        <v/>
      </c>
      <c r="Y18">
        <f>HYPERLINK("https://klasma.github.io/Logging_1885/tillsynsmail/A 8172-2026 tillsynsbegäran mail.docx", "A 8172-2026")</f>
        <v/>
      </c>
    </row>
    <row r="19" ht="15" customHeight="1">
      <c r="A19" t="inlineStr">
        <is>
          <t>A 34292-2023</t>
        </is>
      </c>
      <c r="B19" s="1" t="n">
        <v>45138</v>
      </c>
      <c r="C19" s="1" t="n">
        <v>46205</v>
      </c>
      <c r="D19" t="inlineStr">
        <is>
          <t>ÖREBRO LÄN</t>
        </is>
      </c>
      <c r="E19" t="inlineStr">
        <is>
          <t>LINDESBERG</t>
        </is>
      </c>
      <c r="F19" t="inlineStr">
        <is>
          <t>Sveaskog</t>
        </is>
      </c>
      <c r="G19" t="n">
        <v>0.2</v>
      </c>
      <c r="H19" t="n">
        <v>2</v>
      </c>
      <c r="I19" t="n">
        <v>2</v>
      </c>
      <c r="J19" t="n">
        <v>4</v>
      </c>
      <c r="K19" t="n">
        <v>1</v>
      </c>
      <c r="L19" t="n">
        <v>0</v>
      </c>
      <c r="M19" t="n">
        <v>0</v>
      </c>
      <c r="N19" t="n">
        <v>0</v>
      </c>
      <c r="O19" t="n">
        <v>5</v>
      </c>
      <c r="P19" t="n">
        <v>1</v>
      </c>
      <c r="Q19" t="n">
        <v>8</v>
      </c>
      <c r="R19" s="2" t="inlineStr">
        <is>
          <t>Knärot
Dropptaggsvamp
Fjällig taggsvamp s.str.
Motaggsvamp
Svartvit taggsvamp
Sotriska
Vedticka
Järpe</t>
        </is>
      </c>
      <c r="S19">
        <f>HYPERLINK("https://klasma.github.io/Logging_1885/artfynd/A 34292-2023 artfynd.xlsx", "A 34292-2023")</f>
        <v/>
      </c>
      <c r="T19">
        <f>HYPERLINK("https://klasma.github.io/Logging_1885/kartor/A 34292-2023 karta.png", "A 34292-2023")</f>
        <v/>
      </c>
      <c r="U19">
        <f>HYPERLINK("https://klasma.github.io/Logging_1885/knärot/A 34292-2023 karta knärot.png", "A 34292-2023")</f>
        <v/>
      </c>
      <c r="V19">
        <f>HYPERLINK("https://klasma.github.io/Logging_1885/klagomål/A 34292-2023 FSC-klagomål.docx", "A 34292-2023")</f>
        <v/>
      </c>
      <c r="W19">
        <f>HYPERLINK("https://klasma.github.io/Logging_1885/klagomålsmail/A 34292-2023 FSC-klagomål mail.docx", "A 34292-2023")</f>
        <v/>
      </c>
      <c r="X19">
        <f>HYPERLINK("https://klasma.github.io/Logging_1885/tillsyn/A 34292-2023 tillsynsbegäran.docx", "A 34292-2023")</f>
        <v/>
      </c>
      <c r="Y19">
        <f>HYPERLINK("https://klasma.github.io/Logging_1885/tillsynsmail/A 34292-2023 tillsynsbegäran mail.docx", "A 34292-2023")</f>
        <v/>
      </c>
      <c r="Z19">
        <f>HYPERLINK("https://klasma.github.io/Logging_1885/fåglar/A 34292-2023 prioriterade fågelarter.docx", "A 34292-2023")</f>
        <v/>
      </c>
    </row>
    <row r="20" ht="15" customHeight="1">
      <c r="A20" t="inlineStr">
        <is>
          <t>A 38385-2021</t>
        </is>
      </c>
      <c r="B20" s="1" t="n">
        <v>44406</v>
      </c>
      <c r="C20" s="1" t="n">
        <v>46205</v>
      </c>
      <c r="D20" t="inlineStr">
        <is>
          <t>ÖREBRO LÄN</t>
        </is>
      </c>
      <c r="E20" t="inlineStr">
        <is>
          <t>LINDESBERG</t>
        </is>
      </c>
      <c r="F20" t="inlineStr">
        <is>
          <t>Sveaskog</t>
        </is>
      </c>
      <c r="G20" t="n">
        <v>2</v>
      </c>
      <c r="H20" t="n">
        <v>0</v>
      </c>
      <c r="I20" t="n">
        <v>6</v>
      </c>
      <c r="J20" t="n">
        <v>1</v>
      </c>
      <c r="K20" t="n">
        <v>0</v>
      </c>
      <c r="L20" t="n">
        <v>0</v>
      </c>
      <c r="M20" t="n">
        <v>0</v>
      </c>
      <c r="N20" t="n">
        <v>0</v>
      </c>
      <c r="O20" t="n">
        <v>1</v>
      </c>
      <c r="P20" t="n">
        <v>0</v>
      </c>
      <c r="Q20" t="n">
        <v>7</v>
      </c>
      <c r="R20" s="2" t="inlineStr">
        <is>
          <t>Grantaggsvamp
Bronshjon
Flagellkvastmossa
Kornknutmossa
Mindre märgborre
Stor revmossa
Vedticka</t>
        </is>
      </c>
      <c r="S20">
        <f>HYPERLINK("https://klasma.github.io/Logging_1885/artfynd/A 38385-2021 artfynd.xlsx", "A 38385-2021")</f>
        <v/>
      </c>
      <c r="T20">
        <f>HYPERLINK("https://klasma.github.io/Logging_1885/kartor/A 38385-2021 karta.png", "A 38385-2021")</f>
        <v/>
      </c>
      <c r="V20">
        <f>HYPERLINK("https://klasma.github.io/Logging_1885/klagomål/A 38385-2021 FSC-klagomål.docx", "A 38385-2021")</f>
        <v/>
      </c>
      <c r="W20">
        <f>HYPERLINK("https://klasma.github.io/Logging_1885/klagomålsmail/A 38385-2021 FSC-klagomål mail.docx", "A 38385-2021")</f>
        <v/>
      </c>
      <c r="X20">
        <f>HYPERLINK("https://klasma.github.io/Logging_1885/tillsyn/A 38385-2021 tillsynsbegäran.docx", "A 38385-2021")</f>
        <v/>
      </c>
      <c r="Y20">
        <f>HYPERLINK("https://klasma.github.io/Logging_1885/tillsynsmail/A 38385-2021 tillsynsbegäran mail.docx", "A 38385-2021")</f>
        <v/>
      </c>
    </row>
    <row r="21" ht="15" customHeight="1">
      <c r="A21" t="inlineStr">
        <is>
          <t>A 8189-2026</t>
        </is>
      </c>
      <c r="B21" s="1" t="n">
        <v>46064</v>
      </c>
      <c r="C21" s="1" t="n">
        <v>46205</v>
      </c>
      <c r="D21" t="inlineStr">
        <is>
          <t>ÖREBRO LÄN</t>
        </is>
      </c>
      <c r="E21" t="inlineStr">
        <is>
          <t>LINDESBERG</t>
        </is>
      </c>
      <c r="G21" t="n">
        <v>1.4</v>
      </c>
      <c r="H21" t="n">
        <v>4</v>
      </c>
      <c r="I21" t="n">
        <v>3</v>
      </c>
      <c r="J21" t="n">
        <v>1</v>
      </c>
      <c r="K21" t="n">
        <v>0</v>
      </c>
      <c r="L21" t="n">
        <v>0</v>
      </c>
      <c r="M21" t="n">
        <v>0</v>
      </c>
      <c r="N21" t="n">
        <v>0</v>
      </c>
      <c r="O21" t="n">
        <v>1</v>
      </c>
      <c r="P21" t="n">
        <v>0</v>
      </c>
      <c r="Q21" t="n">
        <v>7</v>
      </c>
      <c r="R21" s="2" t="inlineStr">
        <is>
          <t>Grönsångare
Svart trolldruva
Tibast
Tvåblad
Ormbär
Spillkråka
Kungsfågel</t>
        </is>
      </c>
      <c r="S21">
        <f>HYPERLINK("https://klasma.github.io/Logging_1885/artfynd/A 8189-2026 artfynd.xlsx", "A 8189-2026")</f>
        <v/>
      </c>
      <c r="T21">
        <f>HYPERLINK("https://klasma.github.io/Logging_1885/kartor/A 8189-2026 karta.png", "A 8189-2026")</f>
        <v/>
      </c>
      <c r="V21">
        <f>HYPERLINK("https://klasma.github.io/Logging_1885/klagomål/A 8189-2026 FSC-klagomål.docx", "A 8189-2026")</f>
        <v/>
      </c>
      <c r="W21">
        <f>HYPERLINK("https://klasma.github.io/Logging_1885/klagomålsmail/A 8189-2026 FSC-klagomål mail.docx", "A 8189-2026")</f>
        <v/>
      </c>
      <c r="X21">
        <f>HYPERLINK("https://klasma.github.io/Logging_1885/tillsyn/A 8189-2026 tillsynsbegäran.docx", "A 8189-2026")</f>
        <v/>
      </c>
      <c r="Y21">
        <f>HYPERLINK("https://klasma.github.io/Logging_1885/tillsynsmail/A 8189-2026 tillsynsbegäran mail.docx", "A 8189-2026")</f>
        <v/>
      </c>
      <c r="Z21">
        <f>HYPERLINK("https://klasma.github.io/Logging_1885/fåglar/A 8189-2026 prioriterade fågelarter.docx", "A 8189-2026")</f>
        <v/>
      </c>
    </row>
    <row r="22" ht="15" customHeight="1">
      <c r="A22" t="inlineStr">
        <is>
          <t>A 24958-2026</t>
        </is>
      </c>
      <c r="B22" s="1" t="n">
        <v>46174</v>
      </c>
      <c r="C22" s="1" t="n">
        <v>46205</v>
      </c>
      <c r="D22" t="inlineStr">
        <is>
          <t>ÖREBRO LÄN</t>
        </is>
      </c>
      <c r="E22" t="inlineStr">
        <is>
          <t>LINDESBERG</t>
        </is>
      </c>
      <c r="G22" t="n">
        <v>4.1</v>
      </c>
      <c r="H22" t="n">
        <v>3</v>
      </c>
      <c r="I22" t="n">
        <v>3</v>
      </c>
      <c r="J22" t="n">
        <v>2</v>
      </c>
      <c r="K22" t="n">
        <v>0</v>
      </c>
      <c r="L22" t="n">
        <v>0</v>
      </c>
      <c r="M22" t="n">
        <v>0</v>
      </c>
      <c r="N22" t="n">
        <v>0</v>
      </c>
      <c r="O22" t="n">
        <v>2</v>
      </c>
      <c r="P22" t="n">
        <v>0</v>
      </c>
      <c r="Q22" t="n">
        <v>7</v>
      </c>
      <c r="R22" s="2" t="inlineStr">
        <is>
          <t>Dropptaggsvamp
Talltita
Bronshjon
Thomsons trägnagare
Vågbandad barkbock
Tjäder
Fläcknycklar</t>
        </is>
      </c>
      <c r="S22">
        <f>HYPERLINK("https://klasma.github.io/Logging_1885/artfynd/A 24958-2026 artfynd.xlsx", "A 24958-2026")</f>
        <v/>
      </c>
      <c r="T22">
        <f>HYPERLINK("https://klasma.github.io/Logging_1885/kartor/A 24958-2026 karta.png", "A 24958-2026")</f>
        <v/>
      </c>
      <c r="V22">
        <f>HYPERLINK("https://klasma.github.io/Logging_1885/klagomål/A 24958-2026 FSC-klagomål.docx", "A 24958-2026")</f>
        <v/>
      </c>
      <c r="W22">
        <f>HYPERLINK("https://klasma.github.io/Logging_1885/klagomålsmail/A 24958-2026 FSC-klagomål mail.docx", "A 24958-2026")</f>
        <v/>
      </c>
      <c r="X22">
        <f>HYPERLINK("https://klasma.github.io/Logging_1885/tillsyn/A 24958-2026 tillsynsbegäran.docx", "A 24958-2026")</f>
        <v/>
      </c>
      <c r="Y22">
        <f>HYPERLINK("https://klasma.github.io/Logging_1885/tillsynsmail/A 24958-2026 tillsynsbegäran mail.docx", "A 24958-2026")</f>
        <v/>
      </c>
      <c r="Z22">
        <f>HYPERLINK("https://klasma.github.io/Logging_1885/fåglar/A 24958-2026 prioriterade fågelarter.docx", "A 24958-2026")</f>
        <v/>
      </c>
    </row>
    <row r="23" ht="15" customHeight="1">
      <c r="A23" t="inlineStr">
        <is>
          <t>A 21467-2026</t>
        </is>
      </c>
      <c r="B23" s="1" t="n">
        <v>46148</v>
      </c>
      <c r="C23" s="1" t="n">
        <v>46205</v>
      </c>
      <c r="D23" t="inlineStr">
        <is>
          <t>ÖREBRO LÄN</t>
        </is>
      </c>
      <c r="E23" t="inlineStr">
        <is>
          <t>LINDESBERG</t>
        </is>
      </c>
      <c r="G23" t="n">
        <v>1.5</v>
      </c>
      <c r="H23" t="n">
        <v>5</v>
      </c>
      <c r="I23" t="n">
        <v>1</v>
      </c>
      <c r="J23" t="n">
        <v>2</v>
      </c>
      <c r="K23" t="n">
        <v>1</v>
      </c>
      <c r="L23" t="n">
        <v>0</v>
      </c>
      <c r="M23" t="n">
        <v>0</v>
      </c>
      <c r="N23" t="n">
        <v>0</v>
      </c>
      <c r="O23" t="n">
        <v>3</v>
      </c>
      <c r="P23" t="n">
        <v>1</v>
      </c>
      <c r="Q23" t="n">
        <v>7</v>
      </c>
      <c r="R23" s="2" t="inlineStr">
        <is>
          <t>Knärot
Grönsångare
Ullticka
Bronshjon
Spillkråka
Grönsiska
Fläcknycklar</t>
        </is>
      </c>
      <c r="S23">
        <f>HYPERLINK("https://klasma.github.io/Logging_1885/artfynd/A 21467-2026 artfynd.xlsx", "A 21467-2026")</f>
        <v/>
      </c>
      <c r="T23">
        <f>HYPERLINK("https://klasma.github.io/Logging_1885/kartor/A 21467-2026 karta.png", "A 21467-2026")</f>
        <v/>
      </c>
      <c r="U23">
        <f>HYPERLINK("https://klasma.github.io/Logging_1885/knärot/A 21467-2026 karta knärot.png", "A 21467-2026")</f>
        <v/>
      </c>
      <c r="V23">
        <f>HYPERLINK("https://klasma.github.io/Logging_1885/klagomål/A 21467-2026 FSC-klagomål.docx", "A 21467-2026")</f>
        <v/>
      </c>
      <c r="W23">
        <f>HYPERLINK("https://klasma.github.io/Logging_1885/klagomålsmail/A 21467-2026 FSC-klagomål mail.docx", "A 21467-2026")</f>
        <v/>
      </c>
      <c r="X23">
        <f>HYPERLINK("https://klasma.github.io/Logging_1885/tillsyn/A 21467-2026 tillsynsbegäran.docx", "A 21467-2026")</f>
        <v/>
      </c>
      <c r="Y23">
        <f>HYPERLINK("https://klasma.github.io/Logging_1885/tillsynsmail/A 21467-2026 tillsynsbegäran mail.docx", "A 21467-2026")</f>
        <v/>
      </c>
      <c r="Z23">
        <f>HYPERLINK("https://klasma.github.io/Logging_1885/fåglar/A 21467-2026 prioriterade fågelarter.docx", "A 21467-2026")</f>
        <v/>
      </c>
    </row>
    <row r="24" ht="15" customHeight="1">
      <c r="A24" t="inlineStr">
        <is>
          <t>A 42633-2025</t>
        </is>
      </c>
      <c r="B24" s="1" t="n">
        <v>45905</v>
      </c>
      <c r="C24" s="1" t="n">
        <v>46205</v>
      </c>
      <c r="D24" t="inlineStr">
        <is>
          <t>ÖREBRO LÄN</t>
        </is>
      </c>
      <c r="E24" t="inlineStr">
        <is>
          <t>LINDESBERG</t>
        </is>
      </c>
      <c r="F24" t="inlineStr">
        <is>
          <t>Sveaskog</t>
        </is>
      </c>
      <c r="G24" t="n">
        <v>1.4</v>
      </c>
      <c r="H24" t="n">
        <v>0</v>
      </c>
      <c r="I24" t="n">
        <v>1</v>
      </c>
      <c r="J24" t="n">
        <v>5</v>
      </c>
      <c r="K24" t="n">
        <v>0</v>
      </c>
      <c r="L24" t="n">
        <v>0</v>
      </c>
      <c r="M24" t="n">
        <v>0</v>
      </c>
      <c r="N24" t="n">
        <v>0</v>
      </c>
      <c r="O24" t="n">
        <v>5</v>
      </c>
      <c r="P24" t="n">
        <v>0</v>
      </c>
      <c r="Q24" t="n">
        <v>6</v>
      </c>
      <c r="R24" s="2" t="inlineStr">
        <is>
          <t>Kandelabersvamp
Motaggsvamp
Sotvaxskivling
Svartvit taggsvamp
Veckticka
Blomkålssvamp</t>
        </is>
      </c>
      <c r="S24">
        <f>HYPERLINK("https://klasma.github.io/Logging_1885/artfynd/A 42633-2025 artfynd.xlsx", "A 42633-2025")</f>
        <v/>
      </c>
      <c r="T24">
        <f>HYPERLINK("https://klasma.github.io/Logging_1885/kartor/A 42633-2025 karta.png", "A 42633-2025")</f>
        <v/>
      </c>
      <c r="V24">
        <f>HYPERLINK("https://klasma.github.io/Logging_1885/klagomål/A 42633-2025 FSC-klagomål.docx", "A 42633-2025")</f>
        <v/>
      </c>
      <c r="W24">
        <f>HYPERLINK("https://klasma.github.io/Logging_1885/klagomålsmail/A 42633-2025 FSC-klagomål mail.docx", "A 42633-2025")</f>
        <v/>
      </c>
      <c r="X24">
        <f>HYPERLINK("https://klasma.github.io/Logging_1885/tillsyn/A 42633-2025 tillsynsbegäran.docx", "A 42633-2025")</f>
        <v/>
      </c>
      <c r="Y24">
        <f>HYPERLINK("https://klasma.github.io/Logging_1885/tillsynsmail/A 42633-2025 tillsynsbegäran mail.docx", "A 42633-2025")</f>
        <v/>
      </c>
    </row>
    <row r="25" ht="15" customHeight="1">
      <c r="A25" t="inlineStr">
        <is>
          <t>A 54241-2025</t>
        </is>
      </c>
      <c r="B25" s="1" t="n">
        <v>45964</v>
      </c>
      <c r="C25" s="1" t="n">
        <v>46205</v>
      </c>
      <c r="D25" t="inlineStr">
        <is>
          <t>ÖREBRO LÄN</t>
        </is>
      </c>
      <c r="E25" t="inlineStr">
        <is>
          <t>LINDESBERG</t>
        </is>
      </c>
      <c r="G25" t="n">
        <v>4</v>
      </c>
      <c r="H25" t="n">
        <v>4</v>
      </c>
      <c r="I25" t="n">
        <v>1</v>
      </c>
      <c r="J25" t="n">
        <v>2</v>
      </c>
      <c r="K25" t="n">
        <v>1</v>
      </c>
      <c r="L25" t="n">
        <v>0</v>
      </c>
      <c r="M25" t="n">
        <v>0</v>
      </c>
      <c r="N25" t="n">
        <v>0</v>
      </c>
      <c r="O25" t="n">
        <v>3</v>
      </c>
      <c r="P25" t="n">
        <v>1</v>
      </c>
      <c r="Q25" t="n">
        <v>6</v>
      </c>
      <c r="R25" s="2" t="inlineStr">
        <is>
          <t>Knärot
Talltita
Ullticka
Grönpyrola
Spillkråka
Kungsfågel</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43429-2024</t>
        </is>
      </c>
      <c r="B26" s="1" t="n">
        <v>45568</v>
      </c>
      <c r="C26" s="1" t="n">
        <v>46205</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46205</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15687-2023</t>
        </is>
      </c>
      <c r="B28" s="1" t="n">
        <v>45021</v>
      </c>
      <c r="C28" s="1" t="n">
        <v>46205</v>
      </c>
      <c r="D28" t="inlineStr">
        <is>
          <t>ÖREBRO LÄN</t>
        </is>
      </c>
      <c r="E28" t="inlineStr">
        <is>
          <t>LINDESBERG</t>
        </is>
      </c>
      <c r="G28" t="n">
        <v>1.4</v>
      </c>
      <c r="H28" t="n">
        <v>2</v>
      </c>
      <c r="I28" t="n">
        <v>5</v>
      </c>
      <c r="J28" t="n">
        <v>0</v>
      </c>
      <c r="K28" t="n">
        <v>0</v>
      </c>
      <c r="L28" t="n">
        <v>0</v>
      </c>
      <c r="M28" t="n">
        <v>0</v>
      </c>
      <c r="N28" t="n">
        <v>0</v>
      </c>
      <c r="O28" t="n">
        <v>0</v>
      </c>
      <c r="P28" t="n">
        <v>0</v>
      </c>
      <c r="Q28" t="n">
        <v>6</v>
      </c>
      <c r="R28" s="2" t="inlineStr">
        <is>
          <t>Rödgul trumpetsvamp
Svavelriska
Tibast
Trådticka
Tvåblad
Revlummer</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49945-2025</t>
        </is>
      </c>
      <c r="B29" s="1" t="n">
        <v>45940</v>
      </c>
      <c r="C29" s="1" t="n">
        <v>46205</v>
      </c>
      <c r="D29" t="inlineStr">
        <is>
          <t>ÖREBRO LÄN</t>
        </is>
      </c>
      <c r="E29" t="inlineStr">
        <is>
          <t>LINDESBERG</t>
        </is>
      </c>
      <c r="F29" t="inlineStr">
        <is>
          <t>Sveaskog</t>
        </is>
      </c>
      <c r="G29" t="n">
        <v>2.4</v>
      </c>
      <c r="H29" t="n">
        <v>1</v>
      </c>
      <c r="I29" t="n">
        <v>3</v>
      </c>
      <c r="J29" t="n">
        <v>1</v>
      </c>
      <c r="K29" t="n">
        <v>0</v>
      </c>
      <c r="L29" t="n">
        <v>0</v>
      </c>
      <c r="M29" t="n">
        <v>0</v>
      </c>
      <c r="N29" t="n">
        <v>0</v>
      </c>
      <c r="O29" t="n">
        <v>1</v>
      </c>
      <c r="P29" t="n">
        <v>0</v>
      </c>
      <c r="Q29" t="n">
        <v>5</v>
      </c>
      <c r="R29" s="2" t="inlineStr">
        <is>
          <t>Motaggsvamp
Toppvaxing
Vanlig rörsvepemossa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28035-2023</t>
        </is>
      </c>
      <c r="B30" s="1" t="n">
        <v>45099</v>
      </c>
      <c r="C30" s="1" t="n">
        <v>46205</v>
      </c>
      <c r="D30" t="inlineStr">
        <is>
          <t>ÖREBRO LÄN</t>
        </is>
      </c>
      <c r="E30" t="inlineStr">
        <is>
          <t>LINDESBERG</t>
        </is>
      </c>
      <c r="F30" t="inlineStr">
        <is>
          <t>Kyrkan</t>
        </is>
      </c>
      <c r="G30" t="n">
        <v>1.1</v>
      </c>
      <c r="H30" t="n">
        <v>3</v>
      </c>
      <c r="I30" t="n">
        <v>1</v>
      </c>
      <c r="J30" t="n">
        <v>0</v>
      </c>
      <c r="K30" t="n">
        <v>0</v>
      </c>
      <c r="L30" t="n">
        <v>2</v>
      </c>
      <c r="M30" t="n">
        <v>0</v>
      </c>
      <c r="N30" t="n">
        <v>0</v>
      </c>
      <c r="O30" t="n">
        <v>2</v>
      </c>
      <c r="P30" t="n">
        <v>2</v>
      </c>
      <c r="Q30" t="n">
        <v>5</v>
      </c>
      <c r="R30" s="2" t="inlineStr">
        <is>
          <t>Ask
Asknätfjäril
Tibast
Blåsippa
Gullviva</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54332-2021</t>
        </is>
      </c>
      <c r="B31" s="1" t="n">
        <v>44472</v>
      </c>
      <c r="C31" s="1" t="n">
        <v>46205</v>
      </c>
      <c r="D31" t="inlineStr">
        <is>
          <t>ÖREBRO LÄN</t>
        </is>
      </c>
      <c r="E31" t="inlineStr">
        <is>
          <t>LINDESBERG</t>
        </is>
      </c>
      <c r="G31" t="n">
        <v>1.4</v>
      </c>
      <c r="H31" t="n">
        <v>3</v>
      </c>
      <c r="I31" t="n">
        <v>0</v>
      </c>
      <c r="J31" t="n">
        <v>1</v>
      </c>
      <c r="K31" t="n">
        <v>0</v>
      </c>
      <c r="L31" t="n">
        <v>1</v>
      </c>
      <c r="M31" t="n">
        <v>0</v>
      </c>
      <c r="N31" t="n">
        <v>0</v>
      </c>
      <c r="O31" t="n">
        <v>2</v>
      </c>
      <c r="P31" t="n">
        <v>1</v>
      </c>
      <c r="Q31" t="n">
        <v>4</v>
      </c>
      <c r="R31" s="2" t="inlineStr">
        <is>
          <t>Asknätfjäril
Blek fingersvamp
Spillkråka
Svartvit flugsnappare</t>
        </is>
      </c>
      <c r="S31">
        <f>HYPERLINK("https://klasma.github.io/Logging_1885/artfynd/A 54332-2021 artfynd.xlsx", "A 54332-2021")</f>
        <v/>
      </c>
      <c r="T31">
        <f>HYPERLINK("https://klasma.github.io/Logging_1885/kartor/A 54332-2021 karta.png", "A 54332-2021")</f>
        <v/>
      </c>
      <c r="V31">
        <f>HYPERLINK("https://klasma.github.io/Logging_1885/klagomål/A 54332-2021 FSC-klagomål.docx", "A 54332-2021")</f>
        <v/>
      </c>
      <c r="W31">
        <f>HYPERLINK("https://klasma.github.io/Logging_1885/klagomålsmail/A 54332-2021 FSC-klagomål mail.docx", "A 54332-2021")</f>
        <v/>
      </c>
      <c r="X31">
        <f>HYPERLINK("https://klasma.github.io/Logging_1885/tillsyn/A 54332-2021 tillsynsbegäran.docx", "A 54332-2021")</f>
        <v/>
      </c>
      <c r="Y31">
        <f>HYPERLINK("https://klasma.github.io/Logging_1885/tillsynsmail/A 54332-2021 tillsynsbegäran mail.docx", "A 54332-2021")</f>
        <v/>
      </c>
      <c r="Z31">
        <f>HYPERLINK("https://klasma.github.io/Logging_1885/fåglar/A 54332-2021 prioriterade fågelarter.docx", "A 54332-2021")</f>
        <v/>
      </c>
    </row>
    <row r="32" ht="15" customHeight="1">
      <c r="A32" t="inlineStr">
        <is>
          <t>A 33574-2022</t>
        </is>
      </c>
      <c r="B32" s="1" t="n">
        <v>44789</v>
      </c>
      <c r="C32" s="1" t="n">
        <v>46205</v>
      </c>
      <c r="D32" t="inlineStr">
        <is>
          <t>ÖREBRO LÄN</t>
        </is>
      </c>
      <c r="E32" t="inlineStr">
        <is>
          <t>LINDESBERG</t>
        </is>
      </c>
      <c r="G32" t="n">
        <v>11.5</v>
      </c>
      <c r="H32" t="n">
        <v>1</v>
      </c>
      <c r="I32" t="n">
        <v>2</v>
      </c>
      <c r="J32" t="n">
        <v>1</v>
      </c>
      <c r="K32" t="n">
        <v>1</v>
      </c>
      <c r="L32" t="n">
        <v>0</v>
      </c>
      <c r="M32" t="n">
        <v>0</v>
      </c>
      <c r="N32" t="n">
        <v>0</v>
      </c>
      <c r="O32" t="n">
        <v>2</v>
      </c>
      <c r="P32" t="n">
        <v>1</v>
      </c>
      <c r="Q32" t="n">
        <v>4</v>
      </c>
      <c r="R32" s="2" t="inlineStr">
        <is>
          <t>Knärot
Ullticka
Stuplav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48618-2025</t>
        </is>
      </c>
      <c r="B33" s="1" t="n">
        <v>45936</v>
      </c>
      <c r="C33" s="1" t="n">
        <v>46205</v>
      </c>
      <c r="D33" t="inlineStr">
        <is>
          <t>ÖREBRO LÄN</t>
        </is>
      </c>
      <c r="E33" t="inlineStr">
        <is>
          <t>LINDESBERG</t>
        </is>
      </c>
      <c r="F33" t="inlineStr">
        <is>
          <t>Sveaskog</t>
        </is>
      </c>
      <c r="G33" t="n">
        <v>4.2</v>
      </c>
      <c r="H33" t="n">
        <v>1</v>
      </c>
      <c r="I33" t="n">
        <v>0</v>
      </c>
      <c r="J33" t="n">
        <v>3</v>
      </c>
      <c r="K33" t="n">
        <v>0</v>
      </c>
      <c r="L33" t="n">
        <v>0</v>
      </c>
      <c r="M33" t="n">
        <v>0</v>
      </c>
      <c r="N33" t="n">
        <v>0</v>
      </c>
      <c r="O33" t="n">
        <v>3</v>
      </c>
      <c r="P33" t="n">
        <v>0</v>
      </c>
      <c r="Q33" t="n">
        <v>4</v>
      </c>
      <c r="R33" s="2" t="inlineStr">
        <is>
          <t>Dropptaggsvamp
Motaggsvamp
Vedskivlav
Spillkråka</t>
        </is>
      </c>
      <c r="S33">
        <f>HYPERLINK("https://klasma.github.io/Logging_1885/artfynd/A 48618-2025 artfynd.xlsx", "A 48618-2025")</f>
        <v/>
      </c>
      <c r="T33">
        <f>HYPERLINK("https://klasma.github.io/Logging_1885/kartor/A 48618-2025 karta.png", "A 48618-2025")</f>
        <v/>
      </c>
      <c r="V33">
        <f>HYPERLINK("https://klasma.github.io/Logging_1885/klagomål/A 48618-2025 FSC-klagomål.docx", "A 48618-2025")</f>
        <v/>
      </c>
      <c r="W33">
        <f>HYPERLINK("https://klasma.github.io/Logging_1885/klagomålsmail/A 48618-2025 FSC-klagomål mail.docx", "A 48618-2025")</f>
        <v/>
      </c>
      <c r="X33">
        <f>HYPERLINK("https://klasma.github.io/Logging_1885/tillsyn/A 48618-2025 tillsynsbegäran.docx", "A 48618-2025")</f>
        <v/>
      </c>
      <c r="Y33">
        <f>HYPERLINK("https://klasma.github.io/Logging_1885/tillsynsmail/A 48618-2025 tillsynsbegäran mail.docx", "A 48618-2025")</f>
        <v/>
      </c>
      <c r="Z33">
        <f>HYPERLINK("https://klasma.github.io/Logging_1885/fåglar/A 48618-2025 prioriterade fågelarter.docx", "A 48618-2025")</f>
        <v/>
      </c>
    </row>
    <row r="34" ht="15" customHeight="1">
      <c r="A34" t="inlineStr">
        <is>
          <t>A 1475-2025</t>
        </is>
      </c>
      <c r="B34" s="1" t="n">
        <v>45670</v>
      </c>
      <c r="C34" s="1" t="n">
        <v>46205</v>
      </c>
      <c r="D34" t="inlineStr">
        <is>
          <t>ÖREBRO LÄN</t>
        </is>
      </c>
      <c r="E34" t="inlineStr">
        <is>
          <t>LINDESBERG</t>
        </is>
      </c>
      <c r="F34" t="inlineStr">
        <is>
          <t>Sveaskog</t>
        </is>
      </c>
      <c r="G34" t="n">
        <v>0.7</v>
      </c>
      <c r="H34" t="n">
        <v>0</v>
      </c>
      <c r="I34" t="n">
        <v>0</v>
      </c>
      <c r="J34" t="n">
        <v>4</v>
      </c>
      <c r="K34" t="n">
        <v>0</v>
      </c>
      <c r="L34" t="n">
        <v>0</v>
      </c>
      <c r="M34" t="n">
        <v>0</v>
      </c>
      <c r="N34" t="n">
        <v>0</v>
      </c>
      <c r="O34" t="n">
        <v>4</v>
      </c>
      <c r="P34" t="n">
        <v>0</v>
      </c>
      <c r="Q34" t="n">
        <v>4</v>
      </c>
      <c r="R34" s="2" t="inlineStr">
        <is>
          <t>Dropptaggsvamp
Motaggsvamp
Svartvit taggsvamp
Talltaggsvamp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3026-2026</t>
        </is>
      </c>
      <c r="B35" s="1" t="n">
        <v>46038</v>
      </c>
      <c r="C35" s="1" t="n">
        <v>46205</v>
      </c>
      <c r="D35" t="inlineStr">
        <is>
          <t>ÖREBRO LÄN</t>
        </is>
      </c>
      <c r="E35" t="inlineStr">
        <is>
          <t>LINDESBERG</t>
        </is>
      </c>
      <c r="G35" t="n">
        <v>10.3</v>
      </c>
      <c r="H35" t="n">
        <v>0</v>
      </c>
      <c r="I35" t="n">
        <v>0</v>
      </c>
      <c r="J35" t="n">
        <v>3</v>
      </c>
      <c r="K35" t="n">
        <v>1</v>
      </c>
      <c r="L35" t="n">
        <v>0</v>
      </c>
      <c r="M35" t="n">
        <v>0</v>
      </c>
      <c r="N35" t="n">
        <v>0</v>
      </c>
      <c r="O35" t="n">
        <v>4</v>
      </c>
      <c r="P35" t="n">
        <v>1</v>
      </c>
      <c r="Q35" t="n">
        <v>4</v>
      </c>
      <c r="R35" s="2" t="inlineStr">
        <is>
          <t>Gränsticka
Rosenticka
Tallticka
Ullticka</t>
        </is>
      </c>
      <c r="S35">
        <f>HYPERLINK("https://klasma.github.io/Logging_1885/artfynd/A 3026-2026 artfynd.xlsx", "A 3026-2026")</f>
        <v/>
      </c>
      <c r="T35">
        <f>HYPERLINK("https://klasma.github.io/Logging_1885/kartor/A 3026-2026 karta.png", "A 3026-2026")</f>
        <v/>
      </c>
      <c r="V35">
        <f>HYPERLINK("https://klasma.github.io/Logging_1885/klagomål/A 3026-2026 FSC-klagomål.docx", "A 3026-2026")</f>
        <v/>
      </c>
      <c r="W35">
        <f>HYPERLINK("https://klasma.github.io/Logging_1885/klagomålsmail/A 3026-2026 FSC-klagomål mail.docx", "A 3026-2026")</f>
        <v/>
      </c>
      <c r="X35">
        <f>HYPERLINK("https://klasma.github.io/Logging_1885/tillsyn/A 3026-2026 tillsynsbegäran.docx", "A 3026-2026")</f>
        <v/>
      </c>
      <c r="Y35">
        <f>HYPERLINK("https://klasma.github.io/Logging_1885/tillsynsmail/A 3026-2026 tillsynsbegäran mail.docx", "A 3026-2026")</f>
        <v/>
      </c>
    </row>
    <row r="36" ht="15" customHeight="1">
      <c r="A36" t="inlineStr">
        <is>
          <t>A 24970-2026</t>
        </is>
      </c>
      <c r="B36" s="1" t="n">
        <v>46174</v>
      </c>
      <c r="C36" s="1" t="n">
        <v>46205</v>
      </c>
      <c r="D36" t="inlineStr">
        <is>
          <t>ÖREBRO LÄN</t>
        </is>
      </c>
      <c r="E36" t="inlineStr">
        <is>
          <t>LINDESBERG</t>
        </is>
      </c>
      <c r="G36" t="n">
        <v>3.3</v>
      </c>
      <c r="H36" t="n">
        <v>2</v>
      </c>
      <c r="I36" t="n">
        <v>2</v>
      </c>
      <c r="J36" t="n">
        <v>0</v>
      </c>
      <c r="K36" t="n">
        <v>0</v>
      </c>
      <c r="L36" t="n">
        <v>0</v>
      </c>
      <c r="M36" t="n">
        <v>0</v>
      </c>
      <c r="N36" t="n">
        <v>0</v>
      </c>
      <c r="O36" t="n">
        <v>0</v>
      </c>
      <c r="P36" t="n">
        <v>0</v>
      </c>
      <c r="Q36" t="n">
        <v>4</v>
      </c>
      <c r="R36" s="2" t="inlineStr">
        <is>
          <t>Thomsons trägnagare
Vågbandad barkbock
Spillkråka
Tjäder</t>
        </is>
      </c>
      <c r="S36">
        <f>HYPERLINK("https://klasma.github.io/Logging_1885/artfynd/A 24970-2026 artfynd.xlsx", "A 24970-2026")</f>
        <v/>
      </c>
      <c r="T36">
        <f>HYPERLINK("https://klasma.github.io/Logging_1885/kartor/A 24970-2026 karta.png", "A 24970-2026")</f>
        <v/>
      </c>
      <c r="V36">
        <f>HYPERLINK("https://klasma.github.io/Logging_1885/klagomål/A 24970-2026 FSC-klagomål.docx", "A 24970-2026")</f>
        <v/>
      </c>
      <c r="W36">
        <f>HYPERLINK("https://klasma.github.io/Logging_1885/klagomålsmail/A 24970-2026 FSC-klagomål mail.docx", "A 24970-2026")</f>
        <v/>
      </c>
      <c r="X36">
        <f>HYPERLINK("https://klasma.github.io/Logging_1885/tillsyn/A 24970-2026 tillsynsbegäran.docx", "A 24970-2026")</f>
        <v/>
      </c>
      <c r="Y36">
        <f>HYPERLINK("https://klasma.github.io/Logging_1885/tillsynsmail/A 24970-2026 tillsynsbegäran mail.docx", "A 24970-2026")</f>
        <v/>
      </c>
      <c r="Z36">
        <f>HYPERLINK("https://klasma.github.io/Logging_1885/fåglar/A 24970-2026 prioriterade fågelarter.docx", "A 24970-2026")</f>
        <v/>
      </c>
    </row>
    <row r="37" ht="15" customHeight="1">
      <c r="A37" t="inlineStr">
        <is>
          <t>A 51851-2025</t>
        </is>
      </c>
      <c r="B37" s="1" t="n">
        <v>45952</v>
      </c>
      <c r="C37" s="1" t="n">
        <v>46205</v>
      </c>
      <c r="D37" t="inlineStr">
        <is>
          <t>ÖREBRO LÄN</t>
        </is>
      </c>
      <c r="E37" t="inlineStr">
        <is>
          <t>LINDESBERG</t>
        </is>
      </c>
      <c r="G37" t="n">
        <v>6.9</v>
      </c>
      <c r="H37" t="n">
        <v>2</v>
      </c>
      <c r="I37" t="n">
        <v>0</v>
      </c>
      <c r="J37" t="n">
        <v>1</v>
      </c>
      <c r="K37" t="n">
        <v>1</v>
      </c>
      <c r="L37" t="n">
        <v>0</v>
      </c>
      <c r="M37" t="n">
        <v>0</v>
      </c>
      <c r="N37" t="n">
        <v>0</v>
      </c>
      <c r="O37" t="n">
        <v>2</v>
      </c>
      <c r="P37" t="n">
        <v>1</v>
      </c>
      <c r="Q37" t="n">
        <v>4</v>
      </c>
      <c r="R37" s="2" t="inlineStr">
        <is>
          <t>Garnlav
Motaggsvamp
Spillkråka
Kungsfågel</t>
        </is>
      </c>
      <c r="S37">
        <f>HYPERLINK("https://klasma.github.io/Logging_1885/artfynd/A 51851-2025 artfynd.xlsx", "A 51851-2025")</f>
        <v/>
      </c>
      <c r="T37">
        <f>HYPERLINK("https://klasma.github.io/Logging_1885/kartor/A 51851-2025 karta.png", "A 51851-2025")</f>
        <v/>
      </c>
      <c r="V37">
        <f>HYPERLINK("https://klasma.github.io/Logging_1885/klagomål/A 51851-2025 FSC-klagomål.docx", "A 51851-2025")</f>
        <v/>
      </c>
      <c r="W37">
        <f>HYPERLINK("https://klasma.github.io/Logging_1885/klagomålsmail/A 51851-2025 FSC-klagomål mail.docx", "A 51851-2025")</f>
        <v/>
      </c>
      <c r="X37">
        <f>HYPERLINK("https://klasma.github.io/Logging_1885/tillsyn/A 51851-2025 tillsynsbegäran.docx", "A 51851-2025")</f>
        <v/>
      </c>
      <c r="Y37">
        <f>HYPERLINK("https://klasma.github.io/Logging_1885/tillsynsmail/A 51851-2025 tillsynsbegäran mail.docx", "A 51851-2025")</f>
        <v/>
      </c>
      <c r="Z37">
        <f>HYPERLINK("https://klasma.github.io/Logging_1885/fåglar/A 51851-2025 prioriterade fågelarter.docx", "A 51851-2025")</f>
        <v/>
      </c>
    </row>
    <row r="38" ht="15" customHeight="1">
      <c r="A38" t="inlineStr">
        <is>
          <t>A 20744-2026</t>
        </is>
      </c>
      <c r="B38" s="1" t="n">
        <v>46141</v>
      </c>
      <c r="C38" s="1" t="n">
        <v>46205</v>
      </c>
      <c r="D38" t="inlineStr">
        <is>
          <t>ÖREBRO LÄN</t>
        </is>
      </c>
      <c r="E38" t="inlineStr">
        <is>
          <t>LINDESBERG</t>
        </is>
      </c>
      <c r="G38" t="n">
        <v>3</v>
      </c>
      <c r="H38" t="n">
        <v>3</v>
      </c>
      <c r="I38" t="n">
        <v>0</v>
      </c>
      <c r="J38" t="n">
        <v>1</v>
      </c>
      <c r="K38" t="n">
        <v>0</v>
      </c>
      <c r="L38" t="n">
        <v>1</v>
      </c>
      <c r="M38" t="n">
        <v>0</v>
      </c>
      <c r="N38" t="n">
        <v>0</v>
      </c>
      <c r="O38" t="n">
        <v>2</v>
      </c>
      <c r="P38" t="n">
        <v>1</v>
      </c>
      <c r="Q38" t="n">
        <v>4</v>
      </c>
      <c r="R38" s="2" t="inlineStr">
        <is>
          <t>Asknätfjäril
Vitfläckig guldvinge
Spillkråka
Grönsiska</t>
        </is>
      </c>
      <c r="S38">
        <f>HYPERLINK("https://klasma.github.io/Logging_1885/artfynd/A 20744-2026 artfynd.xlsx", "A 20744-2026")</f>
        <v/>
      </c>
      <c r="T38">
        <f>HYPERLINK("https://klasma.github.io/Logging_1885/kartor/A 20744-2026 karta.png", "A 20744-2026")</f>
        <v/>
      </c>
      <c r="V38">
        <f>HYPERLINK("https://klasma.github.io/Logging_1885/klagomål/A 20744-2026 FSC-klagomål.docx", "A 20744-2026")</f>
        <v/>
      </c>
      <c r="W38">
        <f>HYPERLINK("https://klasma.github.io/Logging_1885/klagomålsmail/A 20744-2026 FSC-klagomål mail.docx", "A 20744-2026")</f>
        <v/>
      </c>
      <c r="X38">
        <f>HYPERLINK("https://klasma.github.io/Logging_1885/tillsyn/A 20744-2026 tillsynsbegäran.docx", "A 20744-2026")</f>
        <v/>
      </c>
      <c r="Y38">
        <f>HYPERLINK("https://klasma.github.io/Logging_1885/tillsynsmail/A 20744-2026 tillsynsbegäran mail.docx", "A 20744-2026")</f>
        <v/>
      </c>
      <c r="Z38">
        <f>HYPERLINK("https://klasma.github.io/Logging_1885/fåglar/A 20744-2026 prioriterade fågelarter.docx", "A 20744-2026")</f>
        <v/>
      </c>
    </row>
    <row r="39" ht="15" customHeight="1">
      <c r="A39" t="inlineStr">
        <is>
          <t>A 25012-2023</t>
        </is>
      </c>
      <c r="B39" s="1" t="n">
        <v>45085</v>
      </c>
      <c r="C39" s="1" t="n">
        <v>46205</v>
      </c>
      <c r="D39" t="inlineStr">
        <is>
          <t>ÖREBRO LÄN</t>
        </is>
      </c>
      <c r="E39" t="inlineStr">
        <is>
          <t>LINDESBERG</t>
        </is>
      </c>
      <c r="G39" t="n">
        <v>1.1</v>
      </c>
      <c r="H39" t="n">
        <v>1</v>
      </c>
      <c r="I39" t="n">
        <v>2</v>
      </c>
      <c r="J39" t="n">
        <v>2</v>
      </c>
      <c r="K39" t="n">
        <v>0</v>
      </c>
      <c r="L39" t="n">
        <v>0</v>
      </c>
      <c r="M39" t="n">
        <v>0</v>
      </c>
      <c r="N39" t="n">
        <v>0</v>
      </c>
      <c r="O39" t="n">
        <v>2</v>
      </c>
      <c r="P39" t="n">
        <v>0</v>
      </c>
      <c r="Q39" t="n">
        <v>4</v>
      </c>
      <c r="R39" s="2" t="inlineStr">
        <is>
          <t>Dofttaggsvamp
Jungfrulin
Kamjordstjärna
Tvåblad</t>
        </is>
      </c>
      <c r="S39">
        <f>HYPERLINK("https://klasma.github.io/Logging_1885/artfynd/A 25012-2023 artfynd.xlsx", "A 25012-2023")</f>
        <v/>
      </c>
      <c r="T39">
        <f>HYPERLINK("https://klasma.github.io/Logging_1885/kartor/A 25012-2023 karta.png", "A 25012-2023")</f>
        <v/>
      </c>
      <c r="V39">
        <f>HYPERLINK("https://klasma.github.io/Logging_1885/klagomål/A 25012-2023 FSC-klagomål.docx", "A 25012-2023")</f>
        <v/>
      </c>
      <c r="W39">
        <f>HYPERLINK("https://klasma.github.io/Logging_1885/klagomålsmail/A 25012-2023 FSC-klagomål mail.docx", "A 25012-2023")</f>
        <v/>
      </c>
      <c r="X39">
        <f>HYPERLINK("https://klasma.github.io/Logging_1885/tillsyn/A 25012-2023 tillsynsbegäran.docx", "A 25012-2023")</f>
        <v/>
      </c>
      <c r="Y39">
        <f>HYPERLINK("https://klasma.github.io/Logging_1885/tillsynsmail/A 25012-2023 tillsynsbegäran mail.docx", "A 25012-2023")</f>
        <v/>
      </c>
    </row>
    <row r="40" ht="15" customHeight="1">
      <c r="A40" t="inlineStr">
        <is>
          <t>A 57803-2021</t>
        </is>
      </c>
      <c r="B40" s="1" t="n">
        <v>44484</v>
      </c>
      <c r="C40" s="1" t="n">
        <v>46205</v>
      </c>
      <c r="D40" t="inlineStr">
        <is>
          <t>ÖREBRO LÄN</t>
        </is>
      </c>
      <c r="E40" t="inlineStr">
        <is>
          <t>LINDESBERG</t>
        </is>
      </c>
      <c r="G40" t="n">
        <v>9.4</v>
      </c>
      <c r="H40" t="n">
        <v>2</v>
      </c>
      <c r="I40" t="n">
        <v>0</v>
      </c>
      <c r="J40" t="n">
        <v>2</v>
      </c>
      <c r="K40" t="n">
        <v>0</v>
      </c>
      <c r="L40" t="n">
        <v>0</v>
      </c>
      <c r="M40" t="n">
        <v>0</v>
      </c>
      <c r="N40" t="n">
        <v>0</v>
      </c>
      <c r="O40" t="n">
        <v>2</v>
      </c>
      <c r="P40" t="n">
        <v>0</v>
      </c>
      <c r="Q40" t="n">
        <v>3</v>
      </c>
      <c r="R40" s="2" t="inlineStr">
        <is>
          <t>Motaggsvamp
Talltita
Tjäder</t>
        </is>
      </c>
      <c r="S40">
        <f>HYPERLINK("https://klasma.github.io/Logging_1885/artfynd/A 57803-2021 artfynd.xlsx", "A 57803-2021")</f>
        <v/>
      </c>
      <c r="T40">
        <f>HYPERLINK("https://klasma.github.io/Logging_1885/kartor/A 57803-2021 karta.png", "A 57803-2021")</f>
        <v/>
      </c>
      <c r="V40">
        <f>HYPERLINK("https://klasma.github.io/Logging_1885/klagomål/A 57803-2021 FSC-klagomål.docx", "A 57803-2021")</f>
        <v/>
      </c>
      <c r="W40">
        <f>HYPERLINK("https://klasma.github.io/Logging_1885/klagomålsmail/A 57803-2021 FSC-klagomål mail.docx", "A 57803-2021")</f>
        <v/>
      </c>
      <c r="X40">
        <f>HYPERLINK("https://klasma.github.io/Logging_1885/tillsyn/A 57803-2021 tillsynsbegäran.docx", "A 57803-2021")</f>
        <v/>
      </c>
      <c r="Y40">
        <f>HYPERLINK("https://klasma.github.io/Logging_1885/tillsynsmail/A 57803-2021 tillsynsbegäran mail.docx", "A 57803-2021")</f>
        <v/>
      </c>
      <c r="Z40">
        <f>HYPERLINK("https://klasma.github.io/Logging_1885/fåglar/A 57803-2021 prioriterade fågelarter.docx", "A 57803-2021")</f>
        <v/>
      </c>
    </row>
    <row r="41" ht="15" customHeight="1">
      <c r="A41" t="inlineStr">
        <is>
          <t>A 57319-2025</t>
        </is>
      </c>
      <c r="B41" s="1" t="n">
        <v>45980</v>
      </c>
      <c r="C41" s="1" t="n">
        <v>46205</v>
      </c>
      <c r="D41" t="inlineStr">
        <is>
          <t>ÖREBRO LÄN</t>
        </is>
      </c>
      <c r="E41" t="inlineStr">
        <is>
          <t>LINDESBERG</t>
        </is>
      </c>
      <c r="F41" t="inlineStr">
        <is>
          <t>Sveaskog</t>
        </is>
      </c>
      <c r="G41" t="n">
        <v>15.3</v>
      </c>
      <c r="H41" t="n">
        <v>1</v>
      </c>
      <c r="I41" t="n">
        <v>1</v>
      </c>
      <c r="J41" t="n">
        <v>2</v>
      </c>
      <c r="K41" t="n">
        <v>0</v>
      </c>
      <c r="L41" t="n">
        <v>0</v>
      </c>
      <c r="M41" t="n">
        <v>0</v>
      </c>
      <c r="N41" t="n">
        <v>0</v>
      </c>
      <c r="O41" t="n">
        <v>2</v>
      </c>
      <c r="P41" t="n">
        <v>0</v>
      </c>
      <c r="Q41" t="n">
        <v>3</v>
      </c>
      <c r="R41" s="2" t="inlineStr">
        <is>
          <t>Dropptaggsvamp
Gropticka
Plattlummer</t>
        </is>
      </c>
      <c r="S41">
        <f>HYPERLINK("https://klasma.github.io/Logging_1885/artfynd/A 57319-2025 artfynd.xlsx", "A 57319-2025")</f>
        <v/>
      </c>
      <c r="T41">
        <f>HYPERLINK("https://klasma.github.io/Logging_1885/kartor/A 57319-2025 karta.png", "A 57319-2025")</f>
        <v/>
      </c>
      <c r="V41">
        <f>HYPERLINK("https://klasma.github.io/Logging_1885/klagomål/A 57319-2025 FSC-klagomål.docx", "A 57319-2025")</f>
        <v/>
      </c>
      <c r="W41">
        <f>HYPERLINK("https://klasma.github.io/Logging_1885/klagomålsmail/A 57319-2025 FSC-klagomål mail.docx", "A 57319-2025")</f>
        <v/>
      </c>
      <c r="X41">
        <f>HYPERLINK("https://klasma.github.io/Logging_1885/tillsyn/A 57319-2025 tillsynsbegäran.docx", "A 57319-2025")</f>
        <v/>
      </c>
      <c r="Y41">
        <f>HYPERLINK("https://klasma.github.io/Logging_1885/tillsynsmail/A 57319-2025 tillsynsbegäran mail.docx", "A 57319-2025")</f>
        <v/>
      </c>
    </row>
    <row r="42" ht="15" customHeight="1">
      <c r="A42" t="inlineStr">
        <is>
          <t>A 50989-2023</t>
        </is>
      </c>
      <c r="B42" s="1" t="n">
        <v>45218</v>
      </c>
      <c r="C42" s="1" t="n">
        <v>46205</v>
      </c>
      <c r="D42" t="inlineStr">
        <is>
          <t>ÖREBRO LÄN</t>
        </is>
      </c>
      <c r="E42" t="inlineStr">
        <is>
          <t>LINDESBERG</t>
        </is>
      </c>
      <c r="F42" t="inlineStr">
        <is>
          <t>Sveaskog</t>
        </is>
      </c>
      <c r="G42" t="n">
        <v>3.4</v>
      </c>
      <c r="H42" t="n">
        <v>0</v>
      </c>
      <c r="I42" t="n">
        <v>0</v>
      </c>
      <c r="J42" t="n">
        <v>3</v>
      </c>
      <c r="K42" t="n">
        <v>0</v>
      </c>
      <c r="L42" t="n">
        <v>0</v>
      </c>
      <c r="M42" t="n">
        <v>0</v>
      </c>
      <c r="N42" t="n">
        <v>0</v>
      </c>
      <c r="O42" t="n">
        <v>3</v>
      </c>
      <c r="P42" t="n">
        <v>0</v>
      </c>
      <c r="Q42" t="n">
        <v>3</v>
      </c>
      <c r="R42" s="2" t="inlineStr">
        <is>
          <t>Dropptaggsvamp
Grantaggsvamp
Svartvit taggsvamp</t>
        </is>
      </c>
      <c r="S42">
        <f>HYPERLINK("https://klasma.github.io/Logging_1885/artfynd/A 50989-2023 artfynd.xlsx", "A 50989-2023")</f>
        <v/>
      </c>
      <c r="T42">
        <f>HYPERLINK("https://klasma.github.io/Logging_1885/kartor/A 50989-2023 karta.png", "A 50989-2023")</f>
        <v/>
      </c>
      <c r="V42">
        <f>HYPERLINK("https://klasma.github.io/Logging_1885/klagomål/A 50989-2023 FSC-klagomål.docx", "A 50989-2023")</f>
        <v/>
      </c>
      <c r="W42">
        <f>HYPERLINK("https://klasma.github.io/Logging_1885/klagomålsmail/A 50989-2023 FSC-klagomål mail.docx", "A 50989-2023")</f>
        <v/>
      </c>
      <c r="X42">
        <f>HYPERLINK("https://klasma.github.io/Logging_1885/tillsyn/A 50989-2023 tillsynsbegäran.docx", "A 50989-2023")</f>
        <v/>
      </c>
      <c r="Y42">
        <f>HYPERLINK("https://klasma.github.io/Logging_1885/tillsynsmail/A 50989-2023 tillsynsbegäran mail.docx", "A 50989-2023")</f>
        <v/>
      </c>
    </row>
    <row r="43" ht="15" customHeight="1">
      <c r="A43" t="inlineStr">
        <is>
          <t>A 18180-2026</t>
        </is>
      </c>
      <c r="B43" s="1" t="n">
        <v>46125</v>
      </c>
      <c r="C43" s="1" t="n">
        <v>46205</v>
      </c>
      <c r="D43" t="inlineStr">
        <is>
          <t>ÖREBRO LÄN</t>
        </is>
      </c>
      <c r="E43" t="inlineStr">
        <is>
          <t>LINDESBERG</t>
        </is>
      </c>
      <c r="F43" t="inlineStr">
        <is>
          <t>Sveaskog</t>
        </is>
      </c>
      <c r="G43" t="n">
        <v>2.1</v>
      </c>
      <c r="H43" t="n">
        <v>0</v>
      </c>
      <c r="I43" t="n">
        <v>0</v>
      </c>
      <c r="J43" t="n">
        <v>3</v>
      </c>
      <c r="K43" t="n">
        <v>0</v>
      </c>
      <c r="L43" t="n">
        <v>0</v>
      </c>
      <c r="M43" t="n">
        <v>0</v>
      </c>
      <c r="N43" t="n">
        <v>0</v>
      </c>
      <c r="O43" t="n">
        <v>3</v>
      </c>
      <c r="P43" t="n">
        <v>0</v>
      </c>
      <c r="Q43" t="n">
        <v>3</v>
      </c>
      <c r="R43" s="2" t="inlineStr">
        <is>
          <t>Dropptaggsvamp
Svartvit taggsvamp
Talltaggsvamp</t>
        </is>
      </c>
      <c r="S43">
        <f>HYPERLINK("https://klasma.github.io/Logging_1885/artfynd/A 18180-2026 artfynd.xlsx", "A 18180-2026")</f>
        <v/>
      </c>
      <c r="T43">
        <f>HYPERLINK("https://klasma.github.io/Logging_1885/kartor/A 18180-2026 karta.png", "A 18180-2026")</f>
        <v/>
      </c>
      <c r="V43">
        <f>HYPERLINK("https://klasma.github.io/Logging_1885/klagomål/A 18180-2026 FSC-klagomål.docx", "A 18180-2026")</f>
        <v/>
      </c>
      <c r="W43">
        <f>HYPERLINK("https://klasma.github.io/Logging_1885/klagomålsmail/A 18180-2026 FSC-klagomål mail.docx", "A 18180-2026")</f>
        <v/>
      </c>
      <c r="X43">
        <f>HYPERLINK("https://klasma.github.io/Logging_1885/tillsyn/A 18180-2026 tillsynsbegäran.docx", "A 18180-2026")</f>
        <v/>
      </c>
      <c r="Y43">
        <f>HYPERLINK("https://klasma.github.io/Logging_1885/tillsynsmail/A 18180-2026 tillsynsbegäran mail.docx", "A 18180-2026")</f>
        <v/>
      </c>
    </row>
    <row r="44" ht="15" customHeight="1">
      <c r="A44" t="inlineStr">
        <is>
          <t>A 25097-2026</t>
        </is>
      </c>
      <c r="B44" s="1" t="n">
        <v>46175</v>
      </c>
      <c r="C44" s="1" t="n">
        <v>46205</v>
      </c>
      <c r="D44" t="inlineStr">
        <is>
          <t>ÖREBRO LÄN</t>
        </is>
      </c>
      <c r="E44" t="inlineStr">
        <is>
          <t>LINDESBERG</t>
        </is>
      </c>
      <c r="F44" t="inlineStr">
        <is>
          <t>Sveaskog</t>
        </is>
      </c>
      <c r="G44" t="n">
        <v>23</v>
      </c>
      <c r="H44" t="n">
        <v>2</v>
      </c>
      <c r="I44" t="n">
        <v>1</v>
      </c>
      <c r="J44" t="n">
        <v>1</v>
      </c>
      <c r="K44" t="n">
        <v>0</v>
      </c>
      <c r="L44" t="n">
        <v>0</v>
      </c>
      <c r="M44" t="n">
        <v>0</v>
      </c>
      <c r="N44" t="n">
        <v>0</v>
      </c>
      <c r="O44" t="n">
        <v>1</v>
      </c>
      <c r="P44" t="n">
        <v>0</v>
      </c>
      <c r="Q44" t="n">
        <v>3</v>
      </c>
      <c r="R44" s="2" t="inlineStr">
        <is>
          <t>Talltita
Korallblylav
Fläcknycklar</t>
        </is>
      </c>
      <c r="S44">
        <f>HYPERLINK("https://klasma.github.io/Logging_1885/artfynd/A 25097-2026 artfynd.xlsx", "A 25097-2026")</f>
        <v/>
      </c>
      <c r="T44">
        <f>HYPERLINK("https://klasma.github.io/Logging_1885/kartor/A 25097-2026 karta.png", "A 25097-2026")</f>
        <v/>
      </c>
      <c r="V44">
        <f>HYPERLINK("https://klasma.github.io/Logging_1885/klagomål/A 25097-2026 FSC-klagomål.docx", "A 25097-2026")</f>
        <v/>
      </c>
      <c r="W44">
        <f>HYPERLINK("https://klasma.github.io/Logging_1885/klagomålsmail/A 25097-2026 FSC-klagomål mail.docx", "A 25097-2026")</f>
        <v/>
      </c>
      <c r="X44">
        <f>HYPERLINK("https://klasma.github.io/Logging_1885/tillsyn/A 25097-2026 tillsynsbegäran.docx", "A 25097-2026")</f>
        <v/>
      </c>
      <c r="Y44">
        <f>HYPERLINK("https://klasma.github.io/Logging_1885/tillsynsmail/A 25097-2026 tillsynsbegäran mail.docx", "A 25097-2026")</f>
        <v/>
      </c>
      <c r="Z44">
        <f>HYPERLINK("https://klasma.github.io/Logging_1885/fåglar/A 25097-2026 prioriterade fågelarter.docx", "A 25097-2026")</f>
        <v/>
      </c>
    </row>
    <row r="45" ht="15" customHeight="1">
      <c r="A45" t="inlineStr">
        <is>
          <t>A 20364-2026</t>
        </is>
      </c>
      <c r="B45" s="1" t="n">
        <v>46139</v>
      </c>
      <c r="C45" s="1" t="n">
        <v>46205</v>
      </c>
      <c r="D45" t="inlineStr">
        <is>
          <t>ÖREBRO LÄN</t>
        </is>
      </c>
      <c r="E45" t="inlineStr">
        <is>
          <t>LINDESBERG</t>
        </is>
      </c>
      <c r="G45" t="n">
        <v>8.199999999999999</v>
      </c>
      <c r="H45" t="n">
        <v>2</v>
      </c>
      <c r="I45" t="n">
        <v>1</v>
      </c>
      <c r="J45" t="n">
        <v>1</v>
      </c>
      <c r="K45" t="n">
        <v>0</v>
      </c>
      <c r="L45" t="n">
        <v>0</v>
      </c>
      <c r="M45" t="n">
        <v>0</v>
      </c>
      <c r="N45" t="n">
        <v>0</v>
      </c>
      <c r="O45" t="n">
        <v>1</v>
      </c>
      <c r="P45" t="n">
        <v>0</v>
      </c>
      <c r="Q45" t="n">
        <v>3</v>
      </c>
      <c r="R45" s="2" t="inlineStr">
        <is>
          <t>Tretåig hackspett
Bronshjon
Spillkråka</t>
        </is>
      </c>
      <c r="S45">
        <f>HYPERLINK("https://klasma.github.io/Logging_1885/artfynd/A 20364-2026 artfynd.xlsx", "A 20364-2026")</f>
        <v/>
      </c>
      <c r="T45">
        <f>HYPERLINK("https://klasma.github.io/Logging_1885/kartor/A 20364-2026 karta.png", "A 20364-2026")</f>
        <v/>
      </c>
      <c r="V45">
        <f>HYPERLINK("https://klasma.github.io/Logging_1885/klagomål/A 20364-2026 FSC-klagomål.docx", "A 20364-2026")</f>
        <v/>
      </c>
      <c r="W45">
        <f>HYPERLINK("https://klasma.github.io/Logging_1885/klagomålsmail/A 20364-2026 FSC-klagomål mail.docx", "A 20364-2026")</f>
        <v/>
      </c>
      <c r="X45">
        <f>HYPERLINK("https://klasma.github.io/Logging_1885/tillsyn/A 20364-2026 tillsynsbegäran.docx", "A 20364-2026")</f>
        <v/>
      </c>
      <c r="Y45">
        <f>HYPERLINK("https://klasma.github.io/Logging_1885/tillsynsmail/A 20364-2026 tillsynsbegäran mail.docx", "A 20364-2026")</f>
        <v/>
      </c>
      <c r="Z45">
        <f>HYPERLINK("https://klasma.github.io/Logging_1885/fåglar/A 20364-2026 prioriterade fågelarter.docx", "A 20364-2026")</f>
        <v/>
      </c>
    </row>
    <row r="46" ht="15" customHeight="1">
      <c r="A46" t="inlineStr">
        <is>
          <t>A 21986-2023</t>
        </is>
      </c>
      <c r="B46" s="1" t="n">
        <v>45068</v>
      </c>
      <c r="C46" s="1" t="n">
        <v>46205</v>
      </c>
      <c r="D46" t="inlineStr">
        <is>
          <t>ÖREBRO LÄN</t>
        </is>
      </c>
      <c r="E46" t="inlineStr">
        <is>
          <t>LINDESBERG</t>
        </is>
      </c>
      <c r="G46" t="n">
        <v>1.4</v>
      </c>
      <c r="H46" t="n">
        <v>2</v>
      </c>
      <c r="I46" t="n">
        <v>0</v>
      </c>
      <c r="J46" t="n">
        <v>0</v>
      </c>
      <c r="K46" t="n">
        <v>1</v>
      </c>
      <c r="L46" t="n">
        <v>2</v>
      </c>
      <c r="M46" t="n">
        <v>0</v>
      </c>
      <c r="N46" t="n">
        <v>0</v>
      </c>
      <c r="O46" t="n">
        <v>3</v>
      </c>
      <c r="P46" t="n">
        <v>3</v>
      </c>
      <c r="Q46" t="n">
        <v>3</v>
      </c>
      <c r="R46" s="2" t="inlineStr">
        <is>
          <t>Ask
Asknätfjäril
Väddnätfjäril</t>
        </is>
      </c>
      <c r="S46">
        <f>HYPERLINK("https://klasma.github.io/Logging_1885/artfynd/A 21986-2023 artfynd.xlsx", "A 21986-2023")</f>
        <v/>
      </c>
      <c r="T46">
        <f>HYPERLINK("https://klasma.github.io/Logging_1885/kartor/A 21986-2023 karta.png", "A 21986-2023")</f>
        <v/>
      </c>
      <c r="V46">
        <f>HYPERLINK("https://klasma.github.io/Logging_1885/klagomål/A 21986-2023 FSC-klagomål.docx", "A 21986-2023")</f>
        <v/>
      </c>
      <c r="W46">
        <f>HYPERLINK("https://klasma.github.io/Logging_1885/klagomålsmail/A 21986-2023 FSC-klagomål mail.docx", "A 21986-2023")</f>
        <v/>
      </c>
      <c r="X46">
        <f>HYPERLINK("https://klasma.github.io/Logging_1885/tillsyn/A 21986-2023 tillsynsbegäran.docx", "A 21986-2023")</f>
        <v/>
      </c>
      <c r="Y46">
        <f>HYPERLINK("https://klasma.github.io/Logging_1885/tillsynsmail/A 21986-2023 tillsynsbegäran mail.docx", "A 21986-2023")</f>
        <v/>
      </c>
    </row>
    <row r="47" ht="15" customHeight="1">
      <c r="A47" t="inlineStr">
        <is>
          <t>A 43452-2021</t>
        </is>
      </c>
      <c r="B47" s="1" t="n">
        <v>44432</v>
      </c>
      <c r="C47" s="1" t="n">
        <v>46205</v>
      </c>
      <c r="D47" t="inlineStr">
        <is>
          <t>ÖREBRO LÄN</t>
        </is>
      </c>
      <c r="E47" t="inlineStr">
        <is>
          <t>LINDESBERG</t>
        </is>
      </c>
      <c r="F47" t="inlineStr">
        <is>
          <t>Sveaskog</t>
        </is>
      </c>
      <c r="G47" t="n">
        <v>1.1</v>
      </c>
      <c r="H47" t="n">
        <v>1</v>
      </c>
      <c r="I47" t="n">
        <v>1</v>
      </c>
      <c r="J47" t="n">
        <v>0</v>
      </c>
      <c r="K47" t="n">
        <v>1</v>
      </c>
      <c r="L47" t="n">
        <v>0</v>
      </c>
      <c r="M47" t="n">
        <v>0</v>
      </c>
      <c r="N47" t="n">
        <v>0</v>
      </c>
      <c r="O47" t="n">
        <v>1</v>
      </c>
      <c r="P47" t="n">
        <v>1</v>
      </c>
      <c r="Q47" t="n">
        <v>2</v>
      </c>
      <c r="R47" s="2" t="inlineStr">
        <is>
          <t>Knärot
Bågpraktmossa</t>
        </is>
      </c>
      <c r="S47">
        <f>HYPERLINK("https://klasma.github.io/Logging_1885/artfynd/A 43452-2021 artfynd.xlsx", "A 43452-2021")</f>
        <v/>
      </c>
      <c r="T47">
        <f>HYPERLINK("https://klasma.github.io/Logging_1885/kartor/A 43452-2021 karta.png", "A 43452-2021")</f>
        <v/>
      </c>
      <c r="U47">
        <f>HYPERLINK("https://klasma.github.io/Logging_1885/knärot/A 43452-2021 karta knärot.png", "A 43452-2021")</f>
        <v/>
      </c>
      <c r="V47">
        <f>HYPERLINK("https://klasma.github.io/Logging_1885/klagomål/A 43452-2021 FSC-klagomål.docx", "A 43452-2021")</f>
        <v/>
      </c>
      <c r="W47">
        <f>HYPERLINK("https://klasma.github.io/Logging_1885/klagomålsmail/A 43452-2021 FSC-klagomål mail.docx", "A 43452-2021")</f>
        <v/>
      </c>
      <c r="X47">
        <f>HYPERLINK("https://klasma.github.io/Logging_1885/tillsyn/A 43452-2021 tillsynsbegäran.docx", "A 43452-2021")</f>
        <v/>
      </c>
      <c r="Y47">
        <f>HYPERLINK("https://klasma.github.io/Logging_1885/tillsynsmail/A 43452-2021 tillsynsbegäran mail.docx", "A 43452-2021")</f>
        <v/>
      </c>
    </row>
    <row r="48" ht="15" customHeight="1">
      <c r="A48" t="inlineStr">
        <is>
          <t>A 42629-2025</t>
        </is>
      </c>
      <c r="B48" s="1" t="n">
        <v>45905</v>
      </c>
      <c r="C48" s="1" t="n">
        <v>46205</v>
      </c>
      <c r="D48" t="inlineStr">
        <is>
          <t>ÖREBRO LÄN</t>
        </is>
      </c>
      <c r="E48" t="inlineStr">
        <is>
          <t>LINDESBERG</t>
        </is>
      </c>
      <c r="F48" t="inlineStr">
        <is>
          <t>Sveaskog</t>
        </is>
      </c>
      <c r="G48" t="n">
        <v>4.7</v>
      </c>
      <c r="H48" t="n">
        <v>2</v>
      </c>
      <c r="I48" t="n">
        <v>0</v>
      </c>
      <c r="J48" t="n">
        <v>0</v>
      </c>
      <c r="K48" t="n">
        <v>0</v>
      </c>
      <c r="L48" t="n">
        <v>0</v>
      </c>
      <c r="M48" t="n">
        <v>0</v>
      </c>
      <c r="N48" t="n">
        <v>0</v>
      </c>
      <c r="O48" t="n">
        <v>0</v>
      </c>
      <c r="P48" t="n">
        <v>0</v>
      </c>
      <c r="Q48" t="n">
        <v>2</v>
      </c>
      <c r="R48" s="2" t="inlineStr">
        <is>
          <t>Tjäder
Orre</t>
        </is>
      </c>
      <c r="S48">
        <f>HYPERLINK("https://klasma.github.io/Logging_1885/artfynd/A 42629-2025 artfynd.xlsx", "A 42629-2025")</f>
        <v/>
      </c>
      <c r="T48">
        <f>HYPERLINK("https://klasma.github.io/Logging_1885/kartor/A 42629-2025 karta.png", "A 42629-2025")</f>
        <v/>
      </c>
      <c r="V48">
        <f>HYPERLINK("https://klasma.github.io/Logging_1885/klagomål/A 42629-2025 FSC-klagomål.docx", "A 42629-2025")</f>
        <v/>
      </c>
      <c r="W48">
        <f>HYPERLINK("https://klasma.github.io/Logging_1885/klagomålsmail/A 42629-2025 FSC-klagomål mail.docx", "A 42629-2025")</f>
        <v/>
      </c>
      <c r="X48">
        <f>HYPERLINK("https://klasma.github.io/Logging_1885/tillsyn/A 42629-2025 tillsynsbegäran.docx", "A 42629-2025")</f>
        <v/>
      </c>
      <c r="Y48">
        <f>HYPERLINK("https://klasma.github.io/Logging_1885/tillsynsmail/A 42629-2025 tillsynsbegäran mail.docx", "A 42629-2025")</f>
        <v/>
      </c>
      <c r="Z48">
        <f>HYPERLINK("https://klasma.github.io/Logging_1885/fåglar/A 42629-2025 prioriterade fågelarter.docx", "A 42629-2025")</f>
        <v/>
      </c>
    </row>
    <row r="49" ht="15" customHeight="1">
      <c r="A49" t="inlineStr">
        <is>
          <t>A 14190-2024</t>
        </is>
      </c>
      <c r="B49" s="1" t="n">
        <v>45393</v>
      </c>
      <c r="C49" s="1" t="n">
        <v>46205</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8175-2026</t>
        </is>
      </c>
      <c r="B50" s="1" t="n">
        <v>46064</v>
      </c>
      <c r="C50" s="1" t="n">
        <v>46205</v>
      </c>
      <c r="D50" t="inlineStr">
        <is>
          <t>ÖREBRO LÄN</t>
        </is>
      </c>
      <c r="E50" t="inlineStr">
        <is>
          <t>LINDESBERG</t>
        </is>
      </c>
      <c r="G50" t="n">
        <v>2.4</v>
      </c>
      <c r="H50" t="n">
        <v>1</v>
      </c>
      <c r="I50" t="n">
        <v>1</v>
      </c>
      <c r="J50" t="n">
        <v>0</v>
      </c>
      <c r="K50" t="n">
        <v>0</v>
      </c>
      <c r="L50" t="n">
        <v>0</v>
      </c>
      <c r="M50" t="n">
        <v>0</v>
      </c>
      <c r="N50" t="n">
        <v>0</v>
      </c>
      <c r="O50" t="n">
        <v>0</v>
      </c>
      <c r="P50" t="n">
        <v>0</v>
      </c>
      <c r="Q50" t="n">
        <v>2</v>
      </c>
      <c r="R50" s="2" t="inlineStr">
        <is>
          <t>Svart trolldruva
Blåsippa</t>
        </is>
      </c>
      <c r="S50">
        <f>HYPERLINK("https://klasma.github.io/Logging_1885/artfynd/A 8175-2026 artfynd.xlsx", "A 8175-2026")</f>
        <v/>
      </c>
      <c r="T50">
        <f>HYPERLINK("https://klasma.github.io/Logging_1885/kartor/A 8175-2026 karta.png", "A 8175-2026")</f>
        <v/>
      </c>
      <c r="V50">
        <f>HYPERLINK("https://klasma.github.io/Logging_1885/klagomål/A 8175-2026 FSC-klagomål.docx", "A 8175-2026")</f>
        <v/>
      </c>
      <c r="W50">
        <f>HYPERLINK("https://klasma.github.io/Logging_1885/klagomålsmail/A 8175-2026 FSC-klagomål mail.docx", "A 8175-2026")</f>
        <v/>
      </c>
      <c r="X50">
        <f>HYPERLINK("https://klasma.github.io/Logging_1885/tillsyn/A 8175-2026 tillsynsbegäran.docx", "A 8175-2026")</f>
        <v/>
      </c>
      <c r="Y50">
        <f>HYPERLINK("https://klasma.github.io/Logging_1885/tillsynsmail/A 8175-2026 tillsynsbegäran mail.docx", "A 8175-2026")</f>
        <v/>
      </c>
    </row>
    <row r="51" ht="15" customHeight="1">
      <c r="A51" t="inlineStr">
        <is>
          <t>A 16103-2026</t>
        </is>
      </c>
      <c r="B51" s="1" t="n">
        <v>46108</v>
      </c>
      <c r="C51" s="1" t="n">
        <v>46205</v>
      </c>
      <c r="D51" t="inlineStr">
        <is>
          <t>ÖREBRO LÄN</t>
        </is>
      </c>
      <c r="E51" t="inlineStr">
        <is>
          <t>LINDESBERG</t>
        </is>
      </c>
      <c r="G51" t="n">
        <v>5.5</v>
      </c>
      <c r="H51" t="n">
        <v>1</v>
      </c>
      <c r="I51" t="n">
        <v>0</v>
      </c>
      <c r="J51" t="n">
        <v>0</v>
      </c>
      <c r="K51" t="n">
        <v>1</v>
      </c>
      <c r="L51" t="n">
        <v>0</v>
      </c>
      <c r="M51" t="n">
        <v>0</v>
      </c>
      <c r="N51" t="n">
        <v>0</v>
      </c>
      <c r="O51" t="n">
        <v>1</v>
      </c>
      <c r="P51" t="n">
        <v>1</v>
      </c>
      <c r="Q51" t="n">
        <v>2</v>
      </c>
      <c r="R51" s="2" t="inlineStr">
        <is>
          <t>Garnlav
Spillkråka</t>
        </is>
      </c>
      <c r="S51">
        <f>HYPERLINK("https://klasma.github.io/Logging_1885/artfynd/A 16103-2026 artfynd.xlsx", "A 16103-2026")</f>
        <v/>
      </c>
      <c r="T51">
        <f>HYPERLINK("https://klasma.github.io/Logging_1885/kartor/A 16103-2026 karta.png", "A 16103-2026")</f>
        <v/>
      </c>
      <c r="V51">
        <f>HYPERLINK("https://klasma.github.io/Logging_1885/klagomål/A 16103-2026 FSC-klagomål.docx", "A 16103-2026")</f>
        <v/>
      </c>
      <c r="W51">
        <f>HYPERLINK("https://klasma.github.io/Logging_1885/klagomålsmail/A 16103-2026 FSC-klagomål mail.docx", "A 16103-2026")</f>
        <v/>
      </c>
      <c r="X51">
        <f>HYPERLINK("https://klasma.github.io/Logging_1885/tillsyn/A 16103-2026 tillsynsbegäran.docx", "A 16103-2026")</f>
        <v/>
      </c>
      <c r="Y51">
        <f>HYPERLINK("https://klasma.github.io/Logging_1885/tillsynsmail/A 16103-2026 tillsynsbegäran mail.docx", "A 16103-2026")</f>
        <v/>
      </c>
      <c r="Z51">
        <f>HYPERLINK("https://klasma.github.io/Logging_1885/fåglar/A 16103-2026 prioriterade fågelarter.docx", "A 16103-2026")</f>
        <v/>
      </c>
    </row>
    <row r="52" ht="15" customHeight="1">
      <c r="A52" t="inlineStr">
        <is>
          <t>A 24975-2026</t>
        </is>
      </c>
      <c r="B52" s="1" t="n">
        <v>46174</v>
      </c>
      <c r="C52" s="1" t="n">
        <v>46205</v>
      </c>
      <c r="D52" t="inlineStr">
        <is>
          <t>ÖREBRO LÄN</t>
        </is>
      </c>
      <c r="E52" t="inlineStr">
        <is>
          <t>LINDESBERG</t>
        </is>
      </c>
      <c r="G52" t="n">
        <v>1.3</v>
      </c>
      <c r="H52" t="n">
        <v>2</v>
      </c>
      <c r="I52" t="n">
        <v>0</v>
      </c>
      <c r="J52" t="n">
        <v>0</v>
      </c>
      <c r="K52" t="n">
        <v>0</v>
      </c>
      <c r="L52" t="n">
        <v>0</v>
      </c>
      <c r="M52" t="n">
        <v>0</v>
      </c>
      <c r="N52" t="n">
        <v>0</v>
      </c>
      <c r="O52" t="n">
        <v>0</v>
      </c>
      <c r="P52" t="n">
        <v>0</v>
      </c>
      <c r="Q52" t="n">
        <v>2</v>
      </c>
      <c r="R52" s="2" t="inlineStr">
        <is>
          <t>Mattlummer
Fläcknycklar</t>
        </is>
      </c>
      <c r="S52">
        <f>HYPERLINK("https://klasma.github.io/Logging_1885/artfynd/A 24975-2026 artfynd.xlsx", "A 24975-2026")</f>
        <v/>
      </c>
      <c r="T52">
        <f>HYPERLINK("https://klasma.github.io/Logging_1885/kartor/A 24975-2026 karta.png", "A 24975-2026")</f>
        <v/>
      </c>
      <c r="V52">
        <f>HYPERLINK("https://klasma.github.io/Logging_1885/klagomål/A 24975-2026 FSC-klagomål.docx", "A 24975-2026")</f>
        <v/>
      </c>
      <c r="W52">
        <f>HYPERLINK("https://klasma.github.io/Logging_1885/klagomålsmail/A 24975-2026 FSC-klagomål mail.docx", "A 24975-2026")</f>
        <v/>
      </c>
      <c r="X52">
        <f>HYPERLINK("https://klasma.github.io/Logging_1885/tillsyn/A 24975-2026 tillsynsbegäran.docx", "A 24975-2026")</f>
        <v/>
      </c>
      <c r="Y52">
        <f>HYPERLINK("https://klasma.github.io/Logging_1885/tillsynsmail/A 24975-2026 tillsynsbegäran mail.docx", "A 24975-2026")</f>
        <v/>
      </c>
    </row>
    <row r="53" ht="15" customHeight="1">
      <c r="A53" t="inlineStr">
        <is>
          <t>A 25096-2026</t>
        </is>
      </c>
      <c r="B53" s="1" t="n">
        <v>46175</v>
      </c>
      <c r="C53" s="1" t="n">
        <v>46205</v>
      </c>
      <c r="D53" t="inlineStr">
        <is>
          <t>ÖREBRO LÄN</t>
        </is>
      </c>
      <c r="E53" t="inlineStr">
        <is>
          <t>LINDESBERG</t>
        </is>
      </c>
      <c r="F53" t="inlineStr">
        <is>
          <t>Sveaskog</t>
        </is>
      </c>
      <c r="G53" t="n">
        <v>6.7</v>
      </c>
      <c r="H53" t="n">
        <v>1</v>
      </c>
      <c r="I53" t="n">
        <v>0</v>
      </c>
      <c r="J53" t="n">
        <v>1</v>
      </c>
      <c r="K53" t="n">
        <v>0</v>
      </c>
      <c r="L53" t="n">
        <v>0</v>
      </c>
      <c r="M53" t="n">
        <v>0</v>
      </c>
      <c r="N53" t="n">
        <v>0</v>
      </c>
      <c r="O53" t="n">
        <v>1</v>
      </c>
      <c r="P53" t="n">
        <v>0</v>
      </c>
      <c r="Q53" t="n">
        <v>2</v>
      </c>
      <c r="R53" s="2" t="inlineStr">
        <is>
          <t>Lunglav
Revlummer</t>
        </is>
      </c>
      <c r="S53">
        <f>HYPERLINK("https://klasma.github.io/Logging_1885/artfynd/A 25096-2026 artfynd.xlsx", "A 25096-2026")</f>
        <v/>
      </c>
      <c r="T53">
        <f>HYPERLINK("https://klasma.github.io/Logging_1885/kartor/A 25096-2026 karta.png", "A 25096-2026")</f>
        <v/>
      </c>
      <c r="V53">
        <f>HYPERLINK("https://klasma.github.io/Logging_1885/klagomål/A 25096-2026 FSC-klagomål.docx", "A 25096-2026")</f>
        <v/>
      </c>
      <c r="W53">
        <f>HYPERLINK("https://klasma.github.io/Logging_1885/klagomålsmail/A 25096-2026 FSC-klagomål mail.docx", "A 25096-2026")</f>
        <v/>
      </c>
      <c r="X53">
        <f>HYPERLINK("https://klasma.github.io/Logging_1885/tillsyn/A 25096-2026 tillsynsbegäran.docx", "A 25096-2026")</f>
        <v/>
      </c>
      <c r="Y53">
        <f>HYPERLINK("https://klasma.github.io/Logging_1885/tillsynsmail/A 25096-2026 tillsynsbegäran mail.docx", "A 25096-2026")</f>
        <v/>
      </c>
    </row>
    <row r="54" ht="15" customHeight="1">
      <c r="A54" t="inlineStr">
        <is>
          <t>A 27732-2026</t>
        </is>
      </c>
      <c r="B54" s="1" t="n">
        <v>46191</v>
      </c>
      <c r="C54" s="1" t="n">
        <v>46205</v>
      </c>
      <c r="D54" t="inlineStr">
        <is>
          <t>ÖREBRO LÄN</t>
        </is>
      </c>
      <c r="E54" t="inlineStr">
        <is>
          <t>LINDESBERG</t>
        </is>
      </c>
      <c r="F54" t="inlineStr">
        <is>
          <t>Sveaskog</t>
        </is>
      </c>
      <c r="G54" t="n">
        <v>5.9</v>
      </c>
      <c r="H54" t="n">
        <v>2</v>
      </c>
      <c r="I54" t="n">
        <v>0</v>
      </c>
      <c r="J54" t="n">
        <v>0</v>
      </c>
      <c r="K54" t="n">
        <v>0</v>
      </c>
      <c r="L54" t="n">
        <v>0</v>
      </c>
      <c r="M54" t="n">
        <v>0</v>
      </c>
      <c r="N54" t="n">
        <v>0</v>
      </c>
      <c r="O54" t="n">
        <v>0</v>
      </c>
      <c r="P54" t="n">
        <v>0</v>
      </c>
      <c r="Q54" t="n">
        <v>2</v>
      </c>
      <c r="R54" s="2" t="inlineStr">
        <is>
          <t>Fläcknycklar
Revlummer</t>
        </is>
      </c>
      <c r="S54">
        <f>HYPERLINK("https://klasma.github.io/Logging_1885/artfynd/A 27732-2026 artfynd.xlsx", "A 27732-2026")</f>
        <v/>
      </c>
      <c r="T54">
        <f>HYPERLINK("https://klasma.github.io/Logging_1885/kartor/A 27732-2026 karta.png", "A 27732-2026")</f>
        <v/>
      </c>
      <c r="V54">
        <f>HYPERLINK("https://klasma.github.io/Logging_1885/klagomål/A 27732-2026 FSC-klagomål.docx", "A 27732-2026")</f>
        <v/>
      </c>
      <c r="W54">
        <f>HYPERLINK("https://klasma.github.io/Logging_1885/klagomålsmail/A 27732-2026 FSC-klagomål mail.docx", "A 27732-2026")</f>
        <v/>
      </c>
      <c r="X54">
        <f>HYPERLINK("https://klasma.github.io/Logging_1885/tillsyn/A 27732-2026 tillsynsbegäran.docx", "A 27732-2026")</f>
        <v/>
      </c>
      <c r="Y54">
        <f>HYPERLINK("https://klasma.github.io/Logging_1885/tillsynsmail/A 27732-2026 tillsynsbegäran mail.docx", "A 27732-2026")</f>
        <v/>
      </c>
    </row>
    <row r="55" ht="15" customHeight="1">
      <c r="A55" t="inlineStr">
        <is>
          <t>A 57795-2021</t>
        </is>
      </c>
      <c r="B55" s="1" t="n">
        <v>44484</v>
      </c>
      <c r="C55" s="1" t="n">
        <v>46205</v>
      </c>
      <c r="D55" t="inlineStr">
        <is>
          <t>ÖREBRO LÄN</t>
        </is>
      </c>
      <c r="E55" t="inlineStr">
        <is>
          <t>LINDESBERG</t>
        </is>
      </c>
      <c r="G55" t="n">
        <v>39.4</v>
      </c>
      <c r="H55" t="n">
        <v>0</v>
      </c>
      <c r="I55" t="n">
        <v>0</v>
      </c>
      <c r="J55" t="n">
        <v>2</v>
      </c>
      <c r="K55" t="n">
        <v>0</v>
      </c>
      <c r="L55" t="n">
        <v>0</v>
      </c>
      <c r="M55" t="n">
        <v>0</v>
      </c>
      <c r="N55" t="n">
        <v>0</v>
      </c>
      <c r="O55" t="n">
        <v>2</v>
      </c>
      <c r="P55" t="n">
        <v>0</v>
      </c>
      <c r="Q55" t="n">
        <v>2</v>
      </c>
      <c r="R55" s="2" t="inlineStr">
        <is>
          <t>Dropptaggsvamp
Motaggsvamp</t>
        </is>
      </c>
      <c r="S55">
        <f>HYPERLINK("https://klasma.github.io/Logging_1885/artfynd/A 57795-2021 artfynd.xlsx", "A 57795-2021")</f>
        <v/>
      </c>
      <c r="T55">
        <f>HYPERLINK("https://klasma.github.io/Logging_1885/kartor/A 57795-2021 karta.png", "A 57795-2021")</f>
        <v/>
      </c>
      <c r="V55">
        <f>HYPERLINK("https://klasma.github.io/Logging_1885/klagomål/A 57795-2021 FSC-klagomål.docx", "A 57795-2021")</f>
        <v/>
      </c>
      <c r="W55">
        <f>HYPERLINK("https://klasma.github.io/Logging_1885/klagomålsmail/A 57795-2021 FSC-klagomål mail.docx", "A 57795-2021")</f>
        <v/>
      </c>
      <c r="X55">
        <f>HYPERLINK("https://klasma.github.io/Logging_1885/tillsyn/A 57795-2021 tillsynsbegäran.docx", "A 57795-2021")</f>
        <v/>
      </c>
      <c r="Y55">
        <f>HYPERLINK("https://klasma.github.io/Logging_1885/tillsynsmail/A 57795-2021 tillsynsbegäran mail.docx", "A 57795-2021")</f>
        <v/>
      </c>
    </row>
    <row r="56" ht="15" customHeight="1">
      <c r="A56" t="inlineStr">
        <is>
          <t>A 64874-2021</t>
        </is>
      </c>
      <c r="B56" s="1" t="n">
        <v>44512</v>
      </c>
      <c r="C56" s="1" t="n">
        <v>46205</v>
      </c>
      <c r="D56" t="inlineStr">
        <is>
          <t>ÖREBRO LÄN</t>
        </is>
      </c>
      <c r="E56" t="inlineStr">
        <is>
          <t>LINDESBERG</t>
        </is>
      </c>
      <c r="G56" t="n">
        <v>5.4</v>
      </c>
      <c r="H56" t="n">
        <v>1</v>
      </c>
      <c r="I56" t="n">
        <v>0</v>
      </c>
      <c r="J56" t="n">
        <v>0</v>
      </c>
      <c r="K56" t="n">
        <v>0</v>
      </c>
      <c r="L56" t="n">
        <v>1</v>
      </c>
      <c r="M56" t="n">
        <v>0</v>
      </c>
      <c r="N56" t="n">
        <v>0</v>
      </c>
      <c r="O56" t="n">
        <v>1</v>
      </c>
      <c r="P56" t="n">
        <v>1</v>
      </c>
      <c r="Q56" t="n">
        <v>1</v>
      </c>
      <c r="R56" s="2" t="inlineStr">
        <is>
          <t>Bombmurkla</t>
        </is>
      </c>
      <c r="S56">
        <f>HYPERLINK("https://klasma.github.io/Logging_1885/artfynd/A 64874-2021 artfynd.xlsx", "A 64874-2021")</f>
        <v/>
      </c>
      <c r="T56">
        <f>HYPERLINK("https://klasma.github.io/Logging_1885/kartor/A 64874-2021 karta.png", "A 64874-2021")</f>
        <v/>
      </c>
      <c r="V56">
        <f>HYPERLINK("https://klasma.github.io/Logging_1885/klagomål/A 64874-2021 FSC-klagomål.docx", "A 64874-2021")</f>
        <v/>
      </c>
      <c r="W56">
        <f>HYPERLINK("https://klasma.github.io/Logging_1885/klagomålsmail/A 64874-2021 FSC-klagomål mail.docx", "A 64874-2021")</f>
        <v/>
      </c>
      <c r="X56">
        <f>HYPERLINK("https://klasma.github.io/Logging_1885/tillsyn/A 64874-2021 tillsynsbegäran.docx", "A 64874-2021")</f>
        <v/>
      </c>
      <c r="Y56">
        <f>HYPERLINK("https://klasma.github.io/Logging_1885/tillsynsmail/A 64874-2021 tillsynsbegäran mail.docx", "A 64874-2021")</f>
        <v/>
      </c>
    </row>
    <row r="57" ht="15" customHeight="1">
      <c r="A57" t="inlineStr">
        <is>
          <t>A 19562-2022</t>
        </is>
      </c>
      <c r="B57" s="1" t="n">
        <v>44693</v>
      </c>
      <c r="C57" s="1" t="n">
        <v>46205</v>
      </c>
      <c r="D57" t="inlineStr">
        <is>
          <t>ÖREBRO LÄN</t>
        </is>
      </c>
      <c r="E57" t="inlineStr">
        <is>
          <t>LINDESBERG</t>
        </is>
      </c>
      <c r="F57" t="inlineStr">
        <is>
          <t>Kyrkan</t>
        </is>
      </c>
      <c r="G57" t="n">
        <v>4.2</v>
      </c>
      <c r="H57" t="n">
        <v>1</v>
      </c>
      <c r="I57" t="n">
        <v>0</v>
      </c>
      <c r="J57" t="n">
        <v>0</v>
      </c>
      <c r="K57" t="n">
        <v>0</v>
      </c>
      <c r="L57" t="n">
        <v>0</v>
      </c>
      <c r="M57" t="n">
        <v>0</v>
      </c>
      <c r="N57" t="n">
        <v>0</v>
      </c>
      <c r="O57" t="n">
        <v>0</v>
      </c>
      <c r="P57" t="n">
        <v>0</v>
      </c>
      <c r="Q57" t="n">
        <v>1</v>
      </c>
      <c r="R57" s="2" t="inlineStr">
        <is>
          <t>Utter</t>
        </is>
      </c>
      <c r="S57">
        <f>HYPERLINK("https://klasma.github.io/Logging_1885/artfynd/A 19562-2022 artfynd.xlsx", "A 19562-2022")</f>
        <v/>
      </c>
      <c r="T57">
        <f>HYPERLINK("https://klasma.github.io/Logging_1885/kartor/A 19562-2022 karta.png", "A 19562-2022")</f>
        <v/>
      </c>
      <c r="V57">
        <f>HYPERLINK("https://klasma.github.io/Logging_1885/klagomål/A 19562-2022 FSC-klagomål.docx", "A 19562-2022")</f>
        <v/>
      </c>
      <c r="W57">
        <f>HYPERLINK("https://klasma.github.io/Logging_1885/klagomålsmail/A 19562-2022 FSC-klagomål mail.docx", "A 19562-2022")</f>
        <v/>
      </c>
      <c r="X57">
        <f>HYPERLINK("https://klasma.github.io/Logging_1885/tillsyn/A 19562-2022 tillsynsbegäran.docx", "A 19562-2022")</f>
        <v/>
      </c>
      <c r="Y57">
        <f>HYPERLINK("https://klasma.github.io/Logging_1885/tillsynsmail/A 19562-2022 tillsynsbegäran mail.docx", "A 19562-2022")</f>
        <v/>
      </c>
    </row>
    <row r="58" ht="15" customHeight="1">
      <c r="A58" t="inlineStr">
        <is>
          <t>A 19057-2022</t>
        </is>
      </c>
      <c r="B58" s="1" t="n">
        <v>44691</v>
      </c>
      <c r="C58" s="1" t="n">
        <v>46205</v>
      </c>
      <c r="D58" t="inlineStr">
        <is>
          <t>ÖREBRO LÄN</t>
        </is>
      </c>
      <c r="E58" t="inlineStr">
        <is>
          <t>LINDESBERG</t>
        </is>
      </c>
      <c r="G58" t="n">
        <v>2.1</v>
      </c>
      <c r="H58" t="n">
        <v>0</v>
      </c>
      <c r="I58" t="n">
        <v>0</v>
      </c>
      <c r="J58" t="n">
        <v>1</v>
      </c>
      <c r="K58" t="n">
        <v>0</v>
      </c>
      <c r="L58" t="n">
        <v>0</v>
      </c>
      <c r="M58" t="n">
        <v>0</v>
      </c>
      <c r="N58" t="n">
        <v>0</v>
      </c>
      <c r="O58" t="n">
        <v>1</v>
      </c>
      <c r="P58" t="n">
        <v>0</v>
      </c>
      <c r="Q58" t="n">
        <v>1</v>
      </c>
      <c r="R58" s="2" t="inlineStr">
        <is>
          <t>Ullticka</t>
        </is>
      </c>
      <c r="S58">
        <f>HYPERLINK("https://klasma.github.io/Logging_1885/artfynd/A 19057-2022 artfynd.xlsx", "A 19057-2022")</f>
        <v/>
      </c>
      <c r="T58">
        <f>HYPERLINK("https://klasma.github.io/Logging_1885/kartor/A 19057-2022 karta.png", "A 19057-2022")</f>
        <v/>
      </c>
      <c r="V58">
        <f>HYPERLINK("https://klasma.github.io/Logging_1885/klagomål/A 19057-2022 FSC-klagomål.docx", "A 19057-2022")</f>
        <v/>
      </c>
      <c r="W58">
        <f>HYPERLINK("https://klasma.github.io/Logging_1885/klagomålsmail/A 19057-2022 FSC-klagomål mail.docx", "A 19057-2022")</f>
        <v/>
      </c>
      <c r="X58">
        <f>HYPERLINK("https://klasma.github.io/Logging_1885/tillsyn/A 19057-2022 tillsynsbegäran.docx", "A 19057-2022")</f>
        <v/>
      </c>
      <c r="Y58">
        <f>HYPERLINK("https://klasma.github.io/Logging_1885/tillsynsmail/A 19057-2022 tillsynsbegäran mail.docx", "A 19057-2022")</f>
        <v/>
      </c>
    </row>
    <row r="59" ht="15" customHeight="1">
      <c r="A59" t="inlineStr">
        <is>
          <t>A 17563-2022</t>
        </is>
      </c>
      <c r="B59" s="1" t="n">
        <v>44679</v>
      </c>
      <c r="C59" s="1" t="n">
        <v>46205</v>
      </c>
      <c r="D59" t="inlineStr">
        <is>
          <t>ÖREBRO LÄN</t>
        </is>
      </c>
      <c r="E59" t="inlineStr">
        <is>
          <t>LINDESBERG</t>
        </is>
      </c>
      <c r="G59" t="n">
        <v>1.4</v>
      </c>
      <c r="H59" t="n">
        <v>1</v>
      </c>
      <c r="I59" t="n">
        <v>0</v>
      </c>
      <c r="J59" t="n">
        <v>0</v>
      </c>
      <c r="K59" t="n">
        <v>0</v>
      </c>
      <c r="L59" t="n">
        <v>0</v>
      </c>
      <c r="M59" t="n">
        <v>0</v>
      </c>
      <c r="N59" t="n">
        <v>0</v>
      </c>
      <c r="O59" t="n">
        <v>0</v>
      </c>
      <c r="P59" t="n">
        <v>0</v>
      </c>
      <c r="Q59" t="n">
        <v>1</v>
      </c>
      <c r="R59" s="2" t="inlineStr">
        <is>
          <t>Fjällvråk</t>
        </is>
      </c>
      <c r="S59">
        <f>HYPERLINK("https://klasma.github.io/Logging_1885/artfynd/A 17563-2022 artfynd.xlsx", "A 17563-2022")</f>
        <v/>
      </c>
      <c r="T59">
        <f>HYPERLINK("https://klasma.github.io/Logging_1885/kartor/A 17563-2022 karta.png", "A 17563-2022")</f>
        <v/>
      </c>
      <c r="V59">
        <f>HYPERLINK("https://klasma.github.io/Logging_1885/klagomål/A 17563-2022 FSC-klagomål.docx", "A 17563-2022")</f>
        <v/>
      </c>
      <c r="W59">
        <f>HYPERLINK("https://klasma.github.io/Logging_1885/klagomålsmail/A 17563-2022 FSC-klagomål mail.docx", "A 17563-2022")</f>
        <v/>
      </c>
      <c r="X59">
        <f>HYPERLINK("https://klasma.github.io/Logging_1885/tillsyn/A 17563-2022 tillsynsbegäran.docx", "A 17563-2022")</f>
        <v/>
      </c>
      <c r="Y59">
        <f>HYPERLINK("https://klasma.github.io/Logging_1885/tillsynsmail/A 17563-2022 tillsynsbegäran mail.docx", "A 17563-2022")</f>
        <v/>
      </c>
      <c r="Z59">
        <f>HYPERLINK("https://klasma.github.io/Logging_1885/fåglar/A 17563-2022 prioriterade fågelarter.docx", "A 17563-2022")</f>
        <v/>
      </c>
    </row>
    <row r="60" ht="15" customHeight="1">
      <c r="A60" t="inlineStr">
        <is>
          <t>A 6161-2025</t>
        </is>
      </c>
      <c r="B60" s="1" t="n">
        <v>45698</v>
      </c>
      <c r="C60" s="1" t="n">
        <v>46205</v>
      </c>
      <c r="D60" t="inlineStr">
        <is>
          <t>ÖREBRO LÄN</t>
        </is>
      </c>
      <c r="E60" t="inlineStr">
        <is>
          <t>LINDESBERG</t>
        </is>
      </c>
      <c r="F60" t="inlineStr">
        <is>
          <t>Sveaskog</t>
        </is>
      </c>
      <c r="G60" t="n">
        <v>3.7</v>
      </c>
      <c r="H60" t="n">
        <v>1</v>
      </c>
      <c r="I60" t="n">
        <v>0</v>
      </c>
      <c r="J60" t="n">
        <v>1</v>
      </c>
      <c r="K60" t="n">
        <v>0</v>
      </c>
      <c r="L60" t="n">
        <v>0</v>
      </c>
      <c r="M60" t="n">
        <v>0</v>
      </c>
      <c r="N60" t="n">
        <v>0</v>
      </c>
      <c r="O60" t="n">
        <v>1</v>
      </c>
      <c r="P60" t="n">
        <v>0</v>
      </c>
      <c r="Q60" t="n">
        <v>1</v>
      </c>
      <c r="R60" s="2" t="inlineStr">
        <is>
          <t>Nordfladdermus</t>
        </is>
      </c>
      <c r="S60">
        <f>HYPERLINK("https://klasma.github.io/Logging_1885/artfynd/A 6161-2025 artfynd.xlsx", "A 6161-2025")</f>
        <v/>
      </c>
      <c r="T60">
        <f>HYPERLINK("https://klasma.github.io/Logging_1885/kartor/A 6161-2025 karta.png", "A 6161-2025")</f>
        <v/>
      </c>
      <c r="V60">
        <f>HYPERLINK("https://klasma.github.io/Logging_1885/klagomål/A 6161-2025 FSC-klagomål.docx", "A 6161-2025")</f>
        <v/>
      </c>
      <c r="W60">
        <f>HYPERLINK("https://klasma.github.io/Logging_1885/klagomålsmail/A 6161-2025 FSC-klagomål mail.docx", "A 6161-2025")</f>
        <v/>
      </c>
      <c r="X60">
        <f>HYPERLINK("https://klasma.github.io/Logging_1885/tillsyn/A 6161-2025 tillsynsbegäran.docx", "A 6161-2025")</f>
        <v/>
      </c>
      <c r="Y60">
        <f>HYPERLINK("https://klasma.github.io/Logging_1885/tillsynsmail/A 6161-2025 tillsynsbegäran mail.docx", "A 6161-2025")</f>
        <v/>
      </c>
    </row>
    <row r="61" ht="15" customHeight="1">
      <c r="A61" t="inlineStr">
        <is>
          <t>A 6165-2025</t>
        </is>
      </c>
      <c r="B61" s="1" t="n">
        <v>45698</v>
      </c>
      <c r="C61" s="1" t="n">
        <v>46205</v>
      </c>
      <c r="D61" t="inlineStr">
        <is>
          <t>ÖREBRO LÄN</t>
        </is>
      </c>
      <c r="E61" t="inlineStr">
        <is>
          <t>LINDESBERG</t>
        </is>
      </c>
      <c r="F61" t="inlineStr">
        <is>
          <t>Sveaskog</t>
        </is>
      </c>
      <c r="G61" t="n">
        <v>1.4</v>
      </c>
      <c r="H61" t="n">
        <v>0</v>
      </c>
      <c r="I61" t="n">
        <v>1</v>
      </c>
      <c r="J61" t="n">
        <v>0</v>
      </c>
      <c r="K61" t="n">
        <v>0</v>
      </c>
      <c r="L61" t="n">
        <v>0</v>
      </c>
      <c r="M61" t="n">
        <v>0</v>
      </c>
      <c r="N61" t="n">
        <v>0</v>
      </c>
      <c r="O61" t="n">
        <v>0</v>
      </c>
      <c r="P61" t="n">
        <v>0</v>
      </c>
      <c r="Q61" t="n">
        <v>1</v>
      </c>
      <c r="R61" s="2" t="inlineStr">
        <is>
          <t>Bågpraktmossa</t>
        </is>
      </c>
      <c r="S61">
        <f>HYPERLINK("https://klasma.github.io/Logging_1885/artfynd/A 6165-2025 artfynd.xlsx", "A 6165-2025")</f>
        <v/>
      </c>
      <c r="T61">
        <f>HYPERLINK("https://klasma.github.io/Logging_1885/kartor/A 6165-2025 karta.png", "A 6165-2025")</f>
        <v/>
      </c>
      <c r="V61">
        <f>HYPERLINK("https://klasma.github.io/Logging_1885/klagomål/A 6165-2025 FSC-klagomål.docx", "A 6165-2025")</f>
        <v/>
      </c>
      <c r="W61">
        <f>HYPERLINK("https://klasma.github.io/Logging_1885/klagomålsmail/A 6165-2025 FSC-klagomål mail.docx", "A 6165-2025")</f>
        <v/>
      </c>
      <c r="X61">
        <f>HYPERLINK("https://klasma.github.io/Logging_1885/tillsyn/A 6165-2025 tillsynsbegäran.docx", "A 6165-2025")</f>
        <v/>
      </c>
      <c r="Y61">
        <f>HYPERLINK("https://klasma.github.io/Logging_1885/tillsynsmail/A 6165-2025 tillsynsbegäran mail.docx", "A 6165-2025")</f>
        <v/>
      </c>
    </row>
    <row r="62" ht="15" customHeight="1">
      <c r="A62" t="inlineStr">
        <is>
          <t>A 6192-2025</t>
        </is>
      </c>
      <c r="B62" s="1" t="n">
        <v>45698</v>
      </c>
      <c r="C62" s="1" t="n">
        <v>46205</v>
      </c>
      <c r="D62" t="inlineStr">
        <is>
          <t>ÖREBRO LÄN</t>
        </is>
      </c>
      <c r="E62" t="inlineStr">
        <is>
          <t>LINDESBERG</t>
        </is>
      </c>
      <c r="F62" t="inlineStr">
        <is>
          <t>BillerudKorsnäs AB</t>
        </is>
      </c>
      <c r="G62" t="n">
        <v>1.8</v>
      </c>
      <c r="H62" t="n">
        <v>1</v>
      </c>
      <c r="I62" t="n">
        <v>0</v>
      </c>
      <c r="J62" t="n">
        <v>0</v>
      </c>
      <c r="K62" t="n">
        <v>0</v>
      </c>
      <c r="L62" t="n">
        <v>0</v>
      </c>
      <c r="M62" t="n">
        <v>0</v>
      </c>
      <c r="N62" t="n">
        <v>0</v>
      </c>
      <c r="O62" t="n">
        <v>0</v>
      </c>
      <c r="P62" t="n">
        <v>0</v>
      </c>
      <c r="Q62" t="n">
        <v>1</v>
      </c>
      <c r="R62" s="2" t="inlineStr">
        <is>
          <t>Blåsippa</t>
        </is>
      </c>
      <c r="S62">
        <f>HYPERLINK("https://klasma.github.io/Logging_1885/artfynd/A 6192-2025 artfynd.xlsx", "A 6192-2025")</f>
        <v/>
      </c>
      <c r="T62">
        <f>HYPERLINK("https://klasma.github.io/Logging_1885/kartor/A 6192-2025 karta.png", "A 6192-2025")</f>
        <v/>
      </c>
      <c r="V62">
        <f>HYPERLINK("https://klasma.github.io/Logging_1885/klagomål/A 6192-2025 FSC-klagomål.docx", "A 6192-2025")</f>
        <v/>
      </c>
      <c r="W62">
        <f>HYPERLINK("https://klasma.github.io/Logging_1885/klagomålsmail/A 6192-2025 FSC-klagomål mail.docx", "A 6192-2025")</f>
        <v/>
      </c>
      <c r="X62">
        <f>HYPERLINK("https://klasma.github.io/Logging_1885/tillsyn/A 6192-2025 tillsynsbegäran.docx", "A 6192-2025")</f>
        <v/>
      </c>
      <c r="Y62">
        <f>HYPERLINK("https://klasma.github.io/Logging_1885/tillsynsmail/A 6192-2025 tillsynsbegäran mail.docx", "A 6192-2025")</f>
        <v/>
      </c>
    </row>
    <row r="63" ht="15" customHeight="1">
      <c r="A63" t="inlineStr">
        <is>
          <t>A 58206-2023</t>
        </is>
      </c>
      <c r="B63" s="1" t="n">
        <v>45250</v>
      </c>
      <c r="C63" s="1" t="n">
        <v>46205</v>
      </c>
      <c r="D63" t="inlineStr">
        <is>
          <t>ÖREBRO LÄN</t>
        </is>
      </c>
      <c r="E63" t="inlineStr">
        <is>
          <t>LINDESBERG</t>
        </is>
      </c>
      <c r="F63" t="inlineStr">
        <is>
          <t>Sveaskog</t>
        </is>
      </c>
      <c r="G63" t="n">
        <v>1.4</v>
      </c>
      <c r="H63" t="n">
        <v>1</v>
      </c>
      <c r="I63" t="n">
        <v>0</v>
      </c>
      <c r="J63" t="n">
        <v>0</v>
      </c>
      <c r="K63" t="n">
        <v>0</v>
      </c>
      <c r="L63" t="n">
        <v>0</v>
      </c>
      <c r="M63" t="n">
        <v>0</v>
      </c>
      <c r="N63" t="n">
        <v>0</v>
      </c>
      <c r="O63" t="n">
        <v>0</v>
      </c>
      <c r="P63" t="n">
        <v>0</v>
      </c>
      <c r="Q63" t="n">
        <v>1</v>
      </c>
      <c r="R63" s="2" t="inlineStr">
        <is>
          <t>Fläcknycklar</t>
        </is>
      </c>
      <c r="S63">
        <f>HYPERLINK("https://klasma.github.io/Logging_1885/artfynd/A 58206-2023 artfynd.xlsx", "A 58206-2023")</f>
        <v/>
      </c>
      <c r="T63">
        <f>HYPERLINK("https://klasma.github.io/Logging_1885/kartor/A 58206-2023 karta.png", "A 58206-2023")</f>
        <v/>
      </c>
      <c r="V63">
        <f>HYPERLINK("https://klasma.github.io/Logging_1885/klagomål/A 58206-2023 FSC-klagomål.docx", "A 58206-2023")</f>
        <v/>
      </c>
      <c r="W63">
        <f>HYPERLINK("https://klasma.github.io/Logging_1885/klagomålsmail/A 58206-2023 FSC-klagomål mail.docx", "A 58206-2023")</f>
        <v/>
      </c>
      <c r="X63">
        <f>HYPERLINK("https://klasma.github.io/Logging_1885/tillsyn/A 58206-2023 tillsynsbegäran.docx", "A 58206-2023")</f>
        <v/>
      </c>
      <c r="Y63">
        <f>HYPERLINK("https://klasma.github.io/Logging_1885/tillsynsmail/A 58206-2023 tillsynsbegäran mail.docx", "A 58206-2023")</f>
        <v/>
      </c>
    </row>
    <row r="64" ht="15" customHeight="1">
      <c r="A64" t="inlineStr">
        <is>
          <t>A 50964-2023</t>
        </is>
      </c>
      <c r="B64" s="1" t="n">
        <v>45218</v>
      </c>
      <c r="C64" s="1" t="n">
        <v>46205</v>
      </c>
      <c r="D64" t="inlineStr">
        <is>
          <t>ÖREBRO LÄN</t>
        </is>
      </c>
      <c r="E64" t="inlineStr">
        <is>
          <t>LINDESBERG</t>
        </is>
      </c>
      <c r="F64" t="inlineStr">
        <is>
          <t>Sveaskog</t>
        </is>
      </c>
      <c r="G64" t="n">
        <v>0.7</v>
      </c>
      <c r="H64" t="n">
        <v>0</v>
      </c>
      <c r="I64" t="n">
        <v>1</v>
      </c>
      <c r="J64" t="n">
        <v>0</v>
      </c>
      <c r="K64" t="n">
        <v>0</v>
      </c>
      <c r="L64" t="n">
        <v>0</v>
      </c>
      <c r="M64" t="n">
        <v>0</v>
      </c>
      <c r="N64" t="n">
        <v>0</v>
      </c>
      <c r="O64" t="n">
        <v>0</v>
      </c>
      <c r="P64" t="n">
        <v>0</v>
      </c>
      <c r="Q64" t="n">
        <v>1</v>
      </c>
      <c r="R64" s="2" t="inlineStr">
        <is>
          <t>Gulnål</t>
        </is>
      </c>
      <c r="S64">
        <f>HYPERLINK("https://klasma.github.io/Logging_1885/artfynd/A 50964-2023 artfynd.xlsx", "A 50964-2023")</f>
        <v/>
      </c>
      <c r="T64">
        <f>HYPERLINK("https://klasma.github.io/Logging_1885/kartor/A 50964-2023 karta.png", "A 50964-2023")</f>
        <v/>
      </c>
      <c r="V64">
        <f>HYPERLINK("https://klasma.github.io/Logging_1885/klagomål/A 50964-2023 FSC-klagomål.docx", "A 50964-2023")</f>
        <v/>
      </c>
      <c r="W64">
        <f>HYPERLINK("https://klasma.github.io/Logging_1885/klagomålsmail/A 50964-2023 FSC-klagomål mail.docx", "A 50964-2023")</f>
        <v/>
      </c>
      <c r="X64">
        <f>HYPERLINK("https://klasma.github.io/Logging_1885/tillsyn/A 50964-2023 tillsynsbegäran.docx", "A 50964-2023")</f>
        <v/>
      </c>
      <c r="Y64">
        <f>HYPERLINK("https://klasma.github.io/Logging_1885/tillsynsmail/A 50964-2023 tillsynsbegäran mail.docx", "A 50964-2023")</f>
        <v/>
      </c>
    </row>
    <row r="65" ht="15" customHeight="1">
      <c r="A65" t="inlineStr">
        <is>
          <t>A 31052-2025</t>
        </is>
      </c>
      <c r="B65" s="1" t="n">
        <v>45832</v>
      </c>
      <c r="C65" s="1" t="n">
        <v>46205</v>
      </c>
      <c r="D65" t="inlineStr">
        <is>
          <t>ÖREBRO LÄN</t>
        </is>
      </c>
      <c r="E65" t="inlineStr">
        <is>
          <t>LINDESBERG</t>
        </is>
      </c>
      <c r="F65" t="inlineStr">
        <is>
          <t>Sveaskog</t>
        </is>
      </c>
      <c r="G65" t="n">
        <v>1.1</v>
      </c>
      <c r="H65" t="n">
        <v>1</v>
      </c>
      <c r="I65" t="n">
        <v>0</v>
      </c>
      <c r="J65" t="n">
        <v>0</v>
      </c>
      <c r="K65" t="n">
        <v>0</v>
      </c>
      <c r="L65" t="n">
        <v>0</v>
      </c>
      <c r="M65" t="n">
        <v>0</v>
      </c>
      <c r="N65" t="n">
        <v>0</v>
      </c>
      <c r="O65" t="n">
        <v>0</v>
      </c>
      <c r="P65" t="n">
        <v>0</v>
      </c>
      <c r="Q65" t="n">
        <v>1</v>
      </c>
      <c r="R65" s="2" t="inlineStr">
        <is>
          <t>Fläcknycklar</t>
        </is>
      </c>
      <c r="S65">
        <f>HYPERLINK("https://klasma.github.io/Logging_1885/artfynd/A 31052-2025 artfynd.xlsx", "A 31052-2025")</f>
        <v/>
      </c>
      <c r="T65">
        <f>HYPERLINK("https://klasma.github.io/Logging_1885/kartor/A 31052-2025 karta.png", "A 31052-2025")</f>
        <v/>
      </c>
      <c r="V65">
        <f>HYPERLINK("https://klasma.github.io/Logging_1885/klagomål/A 31052-2025 FSC-klagomål.docx", "A 31052-2025")</f>
        <v/>
      </c>
      <c r="W65">
        <f>HYPERLINK("https://klasma.github.io/Logging_1885/klagomålsmail/A 31052-2025 FSC-klagomål mail.docx", "A 31052-2025")</f>
        <v/>
      </c>
      <c r="X65">
        <f>HYPERLINK("https://klasma.github.io/Logging_1885/tillsyn/A 31052-2025 tillsynsbegäran.docx", "A 31052-2025")</f>
        <v/>
      </c>
      <c r="Y65">
        <f>HYPERLINK("https://klasma.github.io/Logging_1885/tillsynsmail/A 31052-2025 tillsynsbegäran mail.docx", "A 31052-2025")</f>
        <v/>
      </c>
    </row>
    <row r="66" ht="15" customHeight="1">
      <c r="A66" t="inlineStr">
        <is>
          <t>A 13884-2023</t>
        </is>
      </c>
      <c r="B66" s="1" t="n">
        <v>45007</v>
      </c>
      <c r="C66" s="1" t="n">
        <v>46205</v>
      </c>
      <c r="D66" t="inlineStr">
        <is>
          <t>ÖREBRO LÄN</t>
        </is>
      </c>
      <c r="E66" t="inlineStr">
        <is>
          <t>LINDESBERG</t>
        </is>
      </c>
      <c r="F66" t="inlineStr">
        <is>
          <t>Kommuner</t>
        </is>
      </c>
      <c r="G66" t="n">
        <v>7.7</v>
      </c>
      <c r="H66" t="n">
        <v>0</v>
      </c>
      <c r="I66" t="n">
        <v>0</v>
      </c>
      <c r="J66" t="n">
        <v>1</v>
      </c>
      <c r="K66" t="n">
        <v>0</v>
      </c>
      <c r="L66" t="n">
        <v>0</v>
      </c>
      <c r="M66" t="n">
        <v>0</v>
      </c>
      <c r="N66" t="n">
        <v>0</v>
      </c>
      <c r="O66" t="n">
        <v>1</v>
      </c>
      <c r="P66" t="n">
        <v>0</v>
      </c>
      <c r="Q66" t="n">
        <v>1</v>
      </c>
      <c r="R66" s="2" t="inlineStr">
        <is>
          <t>Lunglav</t>
        </is>
      </c>
      <c r="S66">
        <f>HYPERLINK("https://klasma.github.io/Logging_1885/artfynd/A 13884-2023 artfynd.xlsx", "A 13884-2023")</f>
        <v/>
      </c>
      <c r="T66">
        <f>HYPERLINK("https://klasma.github.io/Logging_1885/kartor/A 13884-2023 karta.png", "A 13884-2023")</f>
        <v/>
      </c>
      <c r="V66">
        <f>HYPERLINK("https://klasma.github.io/Logging_1885/klagomål/A 13884-2023 FSC-klagomål.docx", "A 13884-2023")</f>
        <v/>
      </c>
      <c r="W66">
        <f>HYPERLINK("https://klasma.github.io/Logging_1885/klagomålsmail/A 13884-2023 FSC-klagomål mail.docx", "A 13884-2023")</f>
        <v/>
      </c>
      <c r="X66">
        <f>HYPERLINK("https://klasma.github.io/Logging_1885/tillsyn/A 13884-2023 tillsynsbegäran.docx", "A 13884-2023")</f>
        <v/>
      </c>
      <c r="Y66">
        <f>HYPERLINK("https://klasma.github.io/Logging_1885/tillsynsmail/A 13884-2023 tillsynsbegäran mail.docx", "A 13884-2023")</f>
        <v/>
      </c>
    </row>
    <row r="67" ht="15" customHeight="1">
      <c r="A67" t="inlineStr">
        <is>
          <t>A 45467-2025</t>
        </is>
      </c>
      <c r="B67" s="1" t="n">
        <v>45922</v>
      </c>
      <c r="C67" s="1" t="n">
        <v>46205</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3729-2023</t>
        </is>
      </c>
      <c r="B68" s="1" t="n">
        <v>44949</v>
      </c>
      <c r="C68" s="1" t="n">
        <v>46205</v>
      </c>
      <c r="D68" t="inlineStr">
        <is>
          <t>ÖREBRO LÄN</t>
        </is>
      </c>
      <c r="E68" t="inlineStr">
        <is>
          <t>LINDESBERG</t>
        </is>
      </c>
      <c r="G68" t="n">
        <v>4</v>
      </c>
      <c r="H68" t="n">
        <v>0</v>
      </c>
      <c r="I68" t="n">
        <v>0</v>
      </c>
      <c r="J68" t="n">
        <v>1</v>
      </c>
      <c r="K68" t="n">
        <v>0</v>
      </c>
      <c r="L68" t="n">
        <v>0</v>
      </c>
      <c r="M68" t="n">
        <v>0</v>
      </c>
      <c r="N68" t="n">
        <v>0</v>
      </c>
      <c r="O68" t="n">
        <v>1</v>
      </c>
      <c r="P68" t="n">
        <v>0</v>
      </c>
      <c r="Q68" t="n">
        <v>1</v>
      </c>
      <c r="R68" s="2" t="inlineStr">
        <is>
          <t>Motaggsvamp</t>
        </is>
      </c>
      <c r="S68">
        <f>HYPERLINK("https://klasma.github.io/Logging_1885/artfynd/A 3729-2023 artfynd.xlsx", "A 3729-2023")</f>
        <v/>
      </c>
      <c r="T68">
        <f>HYPERLINK("https://klasma.github.io/Logging_1885/kartor/A 3729-2023 karta.png", "A 3729-2023")</f>
        <v/>
      </c>
      <c r="V68">
        <f>HYPERLINK("https://klasma.github.io/Logging_1885/klagomål/A 3729-2023 FSC-klagomål.docx", "A 3729-2023")</f>
        <v/>
      </c>
      <c r="W68">
        <f>HYPERLINK("https://klasma.github.io/Logging_1885/klagomålsmail/A 3729-2023 FSC-klagomål mail.docx", "A 3729-2023")</f>
        <v/>
      </c>
      <c r="X68">
        <f>HYPERLINK("https://klasma.github.io/Logging_1885/tillsyn/A 3729-2023 tillsynsbegäran.docx", "A 3729-2023")</f>
        <v/>
      </c>
      <c r="Y68">
        <f>HYPERLINK("https://klasma.github.io/Logging_1885/tillsynsmail/A 3729-2023 tillsynsbegäran mail.docx", "A 3729-2023")</f>
        <v/>
      </c>
    </row>
    <row r="69" ht="15" customHeight="1">
      <c r="A69" t="inlineStr">
        <is>
          <t>A 36669-2024</t>
        </is>
      </c>
      <c r="B69" s="1" t="n">
        <v>45537</v>
      </c>
      <c r="C69" s="1" t="n">
        <v>46205</v>
      </c>
      <c r="D69" t="inlineStr">
        <is>
          <t>ÖREBRO LÄN</t>
        </is>
      </c>
      <c r="E69" t="inlineStr">
        <is>
          <t>LINDESBERG</t>
        </is>
      </c>
      <c r="F69" t="inlineStr">
        <is>
          <t>Sveaskog</t>
        </is>
      </c>
      <c r="G69" t="n">
        <v>2</v>
      </c>
      <c r="H69" t="n">
        <v>0</v>
      </c>
      <c r="I69" t="n">
        <v>0</v>
      </c>
      <c r="J69" t="n">
        <v>0</v>
      </c>
      <c r="K69" t="n">
        <v>1</v>
      </c>
      <c r="L69" t="n">
        <v>0</v>
      </c>
      <c r="M69" t="n">
        <v>0</v>
      </c>
      <c r="N69" t="n">
        <v>0</v>
      </c>
      <c r="O69" t="n">
        <v>1</v>
      </c>
      <c r="P69" t="n">
        <v>1</v>
      </c>
      <c r="Q69" t="n">
        <v>1</v>
      </c>
      <c r="R69" s="2" t="inlineStr">
        <is>
          <t>Garnlav</t>
        </is>
      </c>
      <c r="S69">
        <f>HYPERLINK("https://klasma.github.io/Logging_1885/artfynd/A 36669-2024 artfynd.xlsx", "A 36669-2024")</f>
        <v/>
      </c>
      <c r="T69">
        <f>HYPERLINK("https://klasma.github.io/Logging_1885/kartor/A 36669-2024 karta.png", "A 36669-2024")</f>
        <v/>
      </c>
      <c r="V69">
        <f>HYPERLINK("https://klasma.github.io/Logging_1885/klagomål/A 36669-2024 FSC-klagomål.docx", "A 36669-2024")</f>
        <v/>
      </c>
      <c r="W69">
        <f>HYPERLINK("https://klasma.github.io/Logging_1885/klagomålsmail/A 36669-2024 FSC-klagomål mail.docx", "A 36669-2024")</f>
        <v/>
      </c>
      <c r="X69">
        <f>HYPERLINK("https://klasma.github.io/Logging_1885/tillsyn/A 36669-2024 tillsynsbegäran.docx", "A 36669-2024")</f>
        <v/>
      </c>
      <c r="Y69">
        <f>HYPERLINK("https://klasma.github.io/Logging_1885/tillsynsmail/A 36669-2024 tillsynsbegäran mail.docx", "A 36669-2024")</f>
        <v/>
      </c>
    </row>
    <row r="70" ht="15" customHeight="1">
      <c r="A70" t="inlineStr">
        <is>
          <t>A 48956-2025</t>
        </is>
      </c>
      <c r="B70" s="1" t="n">
        <v>45937</v>
      </c>
      <c r="C70" s="1" t="n">
        <v>46205</v>
      </c>
      <c r="D70" t="inlineStr">
        <is>
          <t>ÖREBRO LÄN</t>
        </is>
      </c>
      <c r="E70" t="inlineStr">
        <is>
          <t>LINDESBERG</t>
        </is>
      </c>
      <c r="F70" t="inlineStr">
        <is>
          <t>Sveaskog</t>
        </is>
      </c>
      <c r="G70" t="n">
        <v>2.7</v>
      </c>
      <c r="H70" t="n">
        <v>1</v>
      </c>
      <c r="I70" t="n">
        <v>0</v>
      </c>
      <c r="J70" t="n">
        <v>0</v>
      </c>
      <c r="K70" t="n">
        <v>0</v>
      </c>
      <c r="L70" t="n">
        <v>0</v>
      </c>
      <c r="M70" t="n">
        <v>0</v>
      </c>
      <c r="N70" t="n">
        <v>0</v>
      </c>
      <c r="O70" t="n">
        <v>0</v>
      </c>
      <c r="P70" t="n">
        <v>0</v>
      </c>
      <c r="Q70" t="n">
        <v>1</v>
      </c>
      <c r="R70" s="2" t="inlineStr">
        <is>
          <t>Mattlummer</t>
        </is>
      </c>
      <c r="S70">
        <f>HYPERLINK("https://klasma.github.io/Logging_1885/artfynd/A 48956-2025 artfynd.xlsx", "A 48956-2025")</f>
        <v/>
      </c>
      <c r="T70">
        <f>HYPERLINK("https://klasma.github.io/Logging_1885/kartor/A 48956-2025 karta.png", "A 48956-2025")</f>
        <v/>
      </c>
      <c r="V70">
        <f>HYPERLINK("https://klasma.github.io/Logging_1885/klagomål/A 48956-2025 FSC-klagomål.docx", "A 48956-2025")</f>
        <v/>
      </c>
      <c r="W70">
        <f>HYPERLINK("https://klasma.github.io/Logging_1885/klagomålsmail/A 48956-2025 FSC-klagomål mail.docx", "A 48956-2025")</f>
        <v/>
      </c>
      <c r="X70">
        <f>HYPERLINK("https://klasma.github.io/Logging_1885/tillsyn/A 48956-2025 tillsynsbegäran.docx", "A 48956-2025")</f>
        <v/>
      </c>
      <c r="Y70">
        <f>HYPERLINK("https://klasma.github.io/Logging_1885/tillsynsmail/A 48956-2025 tillsynsbegäran mail.docx", "A 48956-2025")</f>
        <v/>
      </c>
    </row>
    <row r="71" ht="15" customHeight="1">
      <c r="A71" t="inlineStr">
        <is>
          <t>A 50086-2025</t>
        </is>
      </c>
      <c r="B71" s="1" t="n">
        <v>45943</v>
      </c>
      <c r="C71" s="1" t="n">
        <v>46205</v>
      </c>
      <c r="D71" t="inlineStr">
        <is>
          <t>ÖREBRO LÄN</t>
        </is>
      </c>
      <c r="E71" t="inlineStr">
        <is>
          <t>LINDESBERG</t>
        </is>
      </c>
      <c r="F71" t="inlineStr">
        <is>
          <t>Sveaskog</t>
        </is>
      </c>
      <c r="G71" t="n">
        <v>3.6</v>
      </c>
      <c r="H71" t="n">
        <v>1</v>
      </c>
      <c r="I71" t="n">
        <v>0</v>
      </c>
      <c r="J71" t="n">
        <v>0</v>
      </c>
      <c r="K71" t="n">
        <v>0</v>
      </c>
      <c r="L71" t="n">
        <v>0</v>
      </c>
      <c r="M71" t="n">
        <v>0</v>
      </c>
      <c r="N71" t="n">
        <v>0</v>
      </c>
      <c r="O71" t="n">
        <v>0</v>
      </c>
      <c r="P71" t="n">
        <v>0</v>
      </c>
      <c r="Q71" t="n">
        <v>1</v>
      </c>
      <c r="R71" s="2" t="inlineStr">
        <is>
          <t>Dubbelnycklar</t>
        </is>
      </c>
      <c r="S71">
        <f>HYPERLINK("https://klasma.github.io/Logging_1885/artfynd/A 50086-2025 artfynd.xlsx", "A 50086-2025")</f>
        <v/>
      </c>
      <c r="T71">
        <f>HYPERLINK("https://klasma.github.io/Logging_1885/kartor/A 50086-2025 karta.png", "A 50086-2025")</f>
        <v/>
      </c>
      <c r="V71">
        <f>HYPERLINK("https://klasma.github.io/Logging_1885/klagomål/A 50086-2025 FSC-klagomål.docx", "A 50086-2025")</f>
        <v/>
      </c>
      <c r="W71">
        <f>HYPERLINK("https://klasma.github.io/Logging_1885/klagomålsmail/A 50086-2025 FSC-klagomål mail.docx", "A 50086-2025")</f>
        <v/>
      </c>
      <c r="X71">
        <f>HYPERLINK("https://klasma.github.io/Logging_1885/tillsyn/A 50086-2025 tillsynsbegäran.docx", "A 50086-2025")</f>
        <v/>
      </c>
      <c r="Y71">
        <f>HYPERLINK("https://klasma.github.io/Logging_1885/tillsynsmail/A 50086-2025 tillsynsbegäran mail.docx", "A 50086-2025")</f>
        <v/>
      </c>
    </row>
    <row r="72" ht="15" customHeight="1">
      <c r="A72" t="inlineStr">
        <is>
          <t>A 50766-2025</t>
        </is>
      </c>
      <c r="B72" s="1" t="n">
        <v>45946</v>
      </c>
      <c r="C72" s="1" t="n">
        <v>46205</v>
      </c>
      <c r="D72" t="inlineStr">
        <is>
          <t>ÖREBRO LÄN</t>
        </is>
      </c>
      <c r="E72" t="inlineStr">
        <is>
          <t>LINDESBERG</t>
        </is>
      </c>
      <c r="F72" t="inlineStr">
        <is>
          <t>Sveaskog</t>
        </is>
      </c>
      <c r="G72" t="n">
        <v>2.4</v>
      </c>
      <c r="H72" t="n">
        <v>0</v>
      </c>
      <c r="I72" t="n">
        <v>0</v>
      </c>
      <c r="J72" t="n">
        <v>0</v>
      </c>
      <c r="K72" t="n">
        <v>1</v>
      </c>
      <c r="L72" t="n">
        <v>0</v>
      </c>
      <c r="M72" t="n">
        <v>0</v>
      </c>
      <c r="N72" t="n">
        <v>0</v>
      </c>
      <c r="O72" t="n">
        <v>1</v>
      </c>
      <c r="P72" t="n">
        <v>1</v>
      </c>
      <c r="Q72" t="n">
        <v>1</v>
      </c>
      <c r="R72" s="2" t="inlineStr">
        <is>
          <t>Rotfingersvamp</t>
        </is>
      </c>
      <c r="S72">
        <f>HYPERLINK("https://klasma.github.io/Logging_1885/artfynd/A 50766-2025 artfynd.xlsx", "A 50766-2025")</f>
        <v/>
      </c>
      <c r="T72">
        <f>HYPERLINK("https://klasma.github.io/Logging_1885/kartor/A 50766-2025 karta.png", "A 50766-2025")</f>
        <v/>
      </c>
      <c r="V72">
        <f>HYPERLINK("https://klasma.github.io/Logging_1885/klagomål/A 50766-2025 FSC-klagomål.docx", "A 50766-2025")</f>
        <v/>
      </c>
      <c r="W72">
        <f>HYPERLINK("https://klasma.github.io/Logging_1885/klagomålsmail/A 50766-2025 FSC-klagomål mail.docx", "A 50766-2025")</f>
        <v/>
      </c>
      <c r="X72">
        <f>HYPERLINK("https://klasma.github.io/Logging_1885/tillsyn/A 50766-2025 tillsynsbegäran.docx", "A 50766-2025")</f>
        <v/>
      </c>
      <c r="Y72">
        <f>HYPERLINK("https://klasma.github.io/Logging_1885/tillsynsmail/A 50766-2025 tillsynsbegäran mail.docx", "A 50766-2025")</f>
        <v/>
      </c>
    </row>
    <row r="73" ht="15" customHeight="1">
      <c r="A73" t="inlineStr">
        <is>
          <t>A 50777-2025</t>
        </is>
      </c>
      <c r="B73" s="1" t="n">
        <v>45946</v>
      </c>
      <c r="C73" s="1" t="n">
        <v>46205</v>
      </c>
      <c r="D73" t="inlineStr">
        <is>
          <t>ÖREBRO LÄN</t>
        </is>
      </c>
      <c r="E73" t="inlineStr">
        <is>
          <t>LINDESBERG</t>
        </is>
      </c>
      <c r="F73" t="inlineStr">
        <is>
          <t>Sveaskog</t>
        </is>
      </c>
      <c r="G73" t="n">
        <v>5.3</v>
      </c>
      <c r="H73" t="n">
        <v>0</v>
      </c>
      <c r="I73" t="n">
        <v>1</v>
      </c>
      <c r="J73" t="n">
        <v>0</v>
      </c>
      <c r="K73" t="n">
        <v>0</v>
      </c>
      <c r="L73" t="n">
        <v>0</v>
      </c>
      <c r="M73" t="n">
        <v>0</v>
      </c>
      <c r="N73" t="n">
        <v>0</v>
      </c>
      <c r="O73" t="n">
        <v>0</v>
      </c>
      <c r="P73" t="n">
        <v>0</v>
      </c>
      <c r="Q73" t="n">
        <v>1</v>
      </c>
      <c r="R73" s="2" t="inlineStr">
        <is>
          <t>Zontaggsvamp</t>
        </is>
      </c>
      <c r="S73">
        <f>HYPERLINK("https://klasma.github.io/Logging_1885/artfynd/A 50777-2025 artfynd.xlsx", "A 50777-2025")</f>
        <v/>
      </c>
      <c r="T73">
        <f>HYPERLINK("https://klasma.github.io/Logging_1885/kartor/A 50777-2025 karta.png", "A 50777-2025")</f>
        <v/>
      </c>
      <c r="V73">
        <f>HYPERLINK("https://klasma.github.io/Logging_1885/klagomål/A 50777-2025 FSC-klagomål.docx", "A 50777-2025")</f>
        <v/>
      </c>
      <c r="W73">
        <f>HYPERLINK("https://klasma.github.io/Logging_1885/klagomålsmail/A 50777-2025 FSC-klagomål mail.docx", "A 50777-2025")</f>
        <v/>
      </c>
      <c r="X73">
        <f>HYPERLINK("https://klasma.github.io/Logging_1885/tillsyn/A 50777-2025 tillsynsbegäran.docx", "A 50777-2025")</f>
        <v/>
      </c>
      <c r="Y73">
        <f>HYPERLINK("https://klasma.github.io/Logging_1885/tillsynsmail/A 50777-2025 tillsynsbegäran mail.docx", "A 50777-2025")</f>
        <v/>
      </c>
    </row>
    <row r="74" ht="15" customHeight="1">
      <c r="A74" t="inlineStr">
        <is>
          <t>A 50765-2025</t>
        </is>
      </c>
      <c r="B74" s="1" t="n">
        <v>45946</v>
      </c>
      <c r="C74" s="1" t="n">
        <v>46205</v>
      </c>
      <c r="D74" t="inlineStr">
        <is>
          <t>ÖREBRO LÄN</t>
        </is>
      </c>
      <c r="E74" t="inlineStr">
        <is>
          <t>LINDESBERG</t>
        </is>
      </c>
      <c r="F74" t="inlineStr">
        <is>
          <t>Sveaskog</t>
        </is>
      </c>
      <c r="G74" t="n">
        <v>9.300000000000001</v>
      </c>
      <c r="H74" t="n">
        <v>0</v>
      </c>
      <c r="I74" t="n">
        <v>0</v>
      </c>
      <c r="J74" t="n">
        <v>0</v>
      </c>
      <c r="K74" t="n">
        <v>1</v>
      </c>
      <c r="L74" t="n">
        <v>0</v>
      </c>
      <c r="M74" t="n">
        <v>0</v>
      </c>
      <c r="N74" t="n">
        <v>0</v>
      </c>
      <c r="O74" t="n">
        <v>1</v>
      </c>
      <c r="P74" t="n">
        <v>1</v>
      </c>
      <c r="Q74" t="n">
        <v>1</v>
      </c>
      <c r="R74" s="2" t="inlineStr">
        <is>
          <t>Rotfingersvamp</t>
        </is>
      </c>
      <c r="S74">
        <f>HYPERLINK("https://klasma.github.io/Logging_1885/artfynd/A 50765-2025 artfynd.xlsx", "A 50765-2025")</f>
        <v/>
      </c>
      <c r="T74">
        <f>HYPERLINK("https://klasma.github.io/Logging_1885/kartor/A 50765-2025 karta.png", "A 50765-2025")</f>
        <v/>
      </c>
      <c r="V74">
        <f>HYPERLINK("https://klasma.github.io/Logging_1885/klagomål/A 50765-2025 FSC-klagomål.docx", "A 50765-2025")</f>
        <v/>
      </c>
      <c r="W74">
        <f>HYPERLINK("https://klasma.github.io/Logging_1885/klagomålsmail/A 50765-2025 FSC-klagomål mail.docx", "A 50765-2025")</f>
        <v/>
      </c>
      <c r="X74">
        <f>HYPERLINK("https://klasma.github.io/Logging_1885/tillsyn/A 50765-2025 tillsynsbegäran.docx", "A 50765-2025")</f>
        <v/>
      </c>
      <c r="Y74">
        <f>HYPERLINK("https://klasma.github.io/Logging_1885/tillsynsmail/A 50765-2025 tillsynsbegäran mail.docx", "A 50765-2025")</f>
        <v/>
      </c>
    </row>
    <row r="75" ht="15" customHeight="1">
      <c r="A75" t="inlineStr">
        <is>
          <t>A 50768-2025</t>
        </is>
      </c>
      <c r="B75" s="1" t="n">
        <v>45946</v>
      </c>
      <c r="C75" s="1" t="n">
        <v>46205</v>
      </c>
      <c r="D75" t="inlineStr">
        <is>
          <t>ÖREBRO LÄN</t>
        </is>
      </c>
      <c r="E75" t="inlineStr">
        <is>
          <t>LINDESBERG</t>
        </is>
      </c>
      <c r="F75" t="inlineStr">
        <is>
          <t>Sveaskog</t>
        </is>
      </c>
      <c r="G75" t="n">
        <v>3.1</v>
      </c>
      <c r="H75" t="n">
        <v>1</v>
      </c>
      <c r="I75" t="n">
        <v>1</v>
      </c>
      <c r="J75" t="n">
        <v>0</v>
      </c>
      <c r="K75" t="n">
        <v>0</v>
      </c>
      <c r="L75" t="n">
        <v>0</v>
      </c>
      <c r="M75" t="n">
        <v>0</v>
      </c>
      <c r="N75" t="n">
        <v>0</v>
      </c>
      <c r="O75" t="n">
        <v>0</v>
      </c>
      <c r="P75" t="n">
        <v>0</v>
      </c>
      <c r="Q75" t="n">
        <v>1</v>
      </c>
      <c r="R75" s="2" t="inlineStr">
        <is>
          <t>Plattlummer</t>
        </is>
      </c>
      <c r="S75">
        <f>HYPERLINK("https://klasma.github.io/Logging_1885/artfynd/A 50768-2025 artfynd.xlsx", "A 50768-2025")</f>
        <v/>
      </c>
      <c r="T75">
        <f>HYPERLINK("https://klasma.github.io/Logging_1885/kartor/A 50768-2025 karta.png", "A 50768-2025")</f>
        <v/>
      </c>
      <c r="V75">
        <f>HYPERLINK("https://klasma.github.io/Logging_1885/klagomål/A 50768-2025 FSC-klagomål.docx", "A 50768-2025")</f>
        <v/>
      </c>
      <c r="W75">
        <f>HYPERLINK("https://klasma.github.io/Logging_1885/klagomålsmail/A 50768-2025 FSC-klagomål mail.docx", "A 50768-2025")</f>
        <v/>
      </c>
      <c r="X75">
        <f>HYPERLINK("https://klasma.github.io/Logging_1885/tillsyn/A 50768-2025 tillsynsbegäran.docx", "A 50768-2025")</f>
        <v/>
      </c>
      <c r="Y75">
        <f>HYPERLINK("https://klasma.github.io/Logging_1885/tillsynsmail/A 50768-2025 tillsynsbegäran mail.docx", "A 50768-2025")</f>
        <v/>
      </c>
    </row>
    <row r="76" ht="15" customHeight="1">
      <c r="A76" t="inlineStr">
        <is>
          <t>A 52337-2025</t>
        </is>
      </c>
      <c r="B76" s="1" t="n">
        <v>45953</v>
      </c>
      <c r="C76" s="1" t="n">
        <v>46205</v>
      </c>
      <c r="D76" t="inlineStr">
        <is>
          <t>ÖREBRO LÄN</t>
        </is>
      </c>
      <c r="E76" t="inlineStr">
        <is>
          <t>LINDESBERG</t>
        </is>
      </c>
      <c r="F76" t="inlineStr">
        <is>
          <t>Sveaskog</t>
        </is>
      </c>
      <c r="G76" t="n">
        <v>3.3</v>
      </c>
      <c r="H76" t="n">
        <v>1</v>
      </c>
      <c r="I76" t="n">
        <v>0</v>
      </c>
      <c r="J76" t="n">
        <v>0</v>
      </c>
      <c r="K76" t="n">
        <v>0</v>
      </c>
      <c r="L76" t="n">
        <v>0</v>
      </c>
      <c r="M76" t="n">
        <v>0</v>
      </c>
      <c r="N76" t="n">
        <v>0</v>
      </c>
      <c r="O76" t="n">
        <v>0</v>
      </c>
      <c r="P76" t="n">
        <v>0</v>
      </c>
      <c r="Q76" t="n">
        <v>1</v>
      </c>
      <c r="R76" s="2" t="inlineStr">
        <is>
          <t>Fläcknycklar</t>
        </is>
      </c>
      <c r="S76">
        <f>HYPERLINK("https://klasma.github.io/Logging_1885/artfynd/A 52337-2025 artfynd.xlsx", "A 52337-2025")</f>
        <v/>
      </c>
      <c r="T76">
        <f>HYPERLINK("https://klasma.github.io/Logging_1885/kartor/A 52337-2025 karta.png", "A 52337-2025")</f>
        <v/>
      </c>
      <c r="V76">
        <f>HYPERLINK("https://klasma.github.io/Logging_1885/klagomål/A 52337-2025 FSC-klagomål.docx", "A 52337-2025")</f>
        <v/>
      </c>
      <c r="W76">
        <f>HYPERLINK("https://klasma.github.io/Logging_1885/klagomålsmail/A 52337-2025 FSC-klagomål mail.docx", "A 52337-2025")</f>
        <v/>
      </c>
      <c r="X76">
        <f>HYPERLINK("https://klasma.github.io/Logging_1885/tillsyn/A 52337-2025 tillsynsbegäran.docx", "A 52337-2025")</f>
        <v/>
      </c>
      <c r="Y76">
        <f>HYPERLINK("https://klasma.github.io/Logging_1885/tillsynsmail/A 52337-2025 tillsynsbegäran mail.docx", "A 52337-2025")</f>
        <v/>
      </c>
    </row>
    <row r="77" ht="15" customHeight="1">
      <c r="A77" t="inlineStr">
        <is>
          <t>A 57362-2025</t>
        </is>
      </c>
      <c r="B77" s="1" t="n">
        <v>45980</v>
      </c>
      <c r="C77" s="1" t="n">
        <v>46205</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57320-2025</t>
        </is>
      </c>
      <c r="B78" s="1" t="n">
        <v>45980</v>
      </c>
      <c r="C78" s="1" t="n">
        <v>46205</v>
      </c>
      <c r="D78" t="inlineStr">
        <is>
          <t>ÖREBRO LÄN</t>
        </is>
      </c>
      <c r="E78" t="inlineStr">
        <is>
          <t>LINDESBERG</t>
        </is>
      </c>
      <c r="F78" t="inlineStr">
        <is>
          <t>Sveaskog</t>
        </is>
      </c>
      <c r="G78" t="n">
        <v>2.8</v>
      </c>
      <c r="H78" t="n">
        <v>0</v>
      </c>
      <c r="I78" t="n">
        <v>0</v>
      </c>
      <c r="J78" t="n">
        <v>1</v>
      </c>
      <c r="K78" t="n">
        <v>0</v>
      </c>
      <c r="L78" t="n">
        <v>0</v>
      </c>
      <c r="M78" t="n">
        <v>0</v>
      </c>
      <c r="N78" t="n">
        <v>0</v>
      </c>
      <c r="O78" t="n">
        <v>1</v>
      </c>
      <c r="P78" t="n">
        <v>0</v>
      </c>
      <c r="Q78" t="n">
        <v>1</v>
      </c>
      <c r="R78" s="2" t="inlineStr">
        <is>
          <t>Dropptaggsvamp</t>
        </is>
      </c>
      <c r="S78">
        <f>HYPERLINK("https://klasma.github.io/Logging_1885/artfynd/A 57320-2025 artfynd.xlsx", "A 57320-2025")</f>
        <v/>
      </c>
      <c r="T78">
        <f>HYPERLINK("https://klasma.github.io/Logging_1885/kartor/A 57320-2025 karta.png", "A 57320-2025")</f>
        <v/>
      </c>
      <c r="V78">
        <f>HYPERLINK("https://klasma.github.io/Logging_1885/klagomål/A 57320-2025 FSC-klagomål.docx", "A 57320-2025")</f>
        <v/>
      </c>
      <c r="W78">
        <f>HYPERLINK("https://klasma.github.io/Logging_1885/klagomålsmail/A 57320-2025 FSC-klagomål mail.docx", "A 57320-2025")</f>
        <v/>
      </c>
      <c r="X78">
        <f>HYPERLINK("https://klasma.github.io/Logging_1885/tillsyn/A 57320-2025 tillsynsbegäran.docx", "A 57320-2025")</f>
        <v/>
      </c>
      <c r="Y78">
        <f>HYPERLINK("https://klasma.github.io/Logging_1885/tillsynsmail/A 57320-2025 tillsynsbegäran mail.docx", "A 57320-2025")</f>
        <v/>
      </c>
    </row>
    <row r="79" ht="15" customHeight="1">
      <c r="A79" t="inlineStr">
        <is>
          <t>A 57363-2025</t>
        </is>
      </c>
      <c r="B79" s="1" t="n">
        <v>45980</v>
      </c>
      <c r="C79" s="1" t="n">
        <v>46205</v>
      </c>
      <c r="D79" t="inlineStr">
        <is>
          <t>ÖREBRO LÄN</t>
        </is>
      </c>
      <c r="E79" t="inlineStr">
        <is>
          <t>LINDESBERG</t>
        </is>
      </c>
      <c r="F79" t="inlineStr">
        <is>
          <t>Sveaskog</t>
        </is>
      </c>
      <c r="G79" t="n">
        <v>2</v>
      </c>
      <c r="H79" t="n">
        <v>0</v>
      </c>
      <c r="I79" t="n">
        <v>0</v>
      </c>
      <c r="J79" t="n">
        <v>1</v>
      </c>
      <c r="K79" t="n">
        <v>0</v>
      </c>
      <c r="L79" t="n">
        <v>0</v>
      </c>
      <c r="M79" t="n">
        <v>0</v>
      </c>
      <c r="N79" t="n">
        <v>0</v>
      </c>
      <c r="O79" t="n">
        <v>1</v>
      </c>
      <c r="P79" t="n">
        <v>0</v>
      </c>
      <c r="Q79" t="n">
        <v>1</v>
      </c>
      <c r="R79" s="2" t="inlineStr">
        <is>
          <t>Barrviolspindling</t>
        </is>
      </c>
      <c r="S79">
        <f>HYPERLINK("https://klasma.github.io/Logging_1885/artfynd/A 57363-2025 artfynd.xlsx", "A 57363-2025")</f>
        <v/>
      </c>
      <c r="T79">
        <f>HYPERLINK("https://klasma.github.io/Logging_1885/kartor/A 57363-2025 karta.png", "A 57363-2025")</f>
        <v/>
      </c>
      <c r="V79">
        <f>HYPERLINK("https://klasma.github.io/Logging_1885/klagomål/A 57363-2025 FSC-klagomål.docx", "A 57363-2025")</f>
        <v/>
      </c>
      <c r="W79">
        <f>HYPERLINK("https://klasma.github.io/Logging_1885/klagomålsmail/A 57363-2025 FSC-klagomål mail.docx", "A 57363-2025")</f>
        <v/>
      </c>
      <c r="X79">
        <f>HYPERLINK("https://klasma.github.io/Logging_1885/tillsyn/A 57363-2025 tillsynsbegäran.docx", "A 57363-2025")</f>
        <v/>
      </c>
      <c r="Y79">
        <f>HYPERLINK("https://klasma.github.io/Logging_1885/tillsynsmail/A 57363-2025 tillsynsbegäran mail.docx", "A 57363-2025")</f>
        <v/>
      </c>
    </row>
    <row r="80" ht="15" customHeight="1">
      <c r="A80" t="inlineStr">
        <is>
          <t>A 34237-2023</t>
        </is>
      </c>
      <c r="B80" s="1" t="n">
        <v>45138</v>
      </c>
      <c r="C80" s="1" t="n">
        <v>46205</v>
      </c>
      <c r="D80" t="inlineStr">
        <is>
          <t>ÖREBRO LÄN</t>
        </is>
      </c>
      <c r="E80" t="inlineStr">
        <is>
          <t>LINDESBERG</t>
        </is>
      </c>
      <c r="F80" t="inlineStr">
        <is>
          <t>Sveaskog</t>
        </is>
      </c>
      <c r="G80" t="n">
        <v>1.4</v>
      </c>
      <c r="H80" t="n">
        <v>1</v>
      </c>
      <c r="I80" t="n">
        <v>0</v>
      </c>
      <c r="J80" t="n">
        <v>0</v>
      </c>
      <c r="K80" t="n">
        <v>0</v>
      </c>
      <c r="L80" t="n">
        <v>0</v>
      </c>
      <c r="M80" t="n">
        <v>0</v>
      </c>
      <c r="N80" t="n">
        <v>0</v>
      </c>
      <c r="O80" t="n">
        <v>0</v>
      </c>
      <c r="P80" t="n">
        <v>0</v>
      </c>
      <c r="Q80" t="n">
        <v>1</v>
      </c>
      <c r="R80" s="2" t="inlineStr">
        <is>
          <t>Spillkråka</t>
        </is>
      </c>
      <c r="S80">
        <f>HYPERLINK("https://klasma.github.io/Logging_1885/artfynd/A 34237-2023 artfynd.xlsx", "A 34237-2023")</f>
        <v/>
      </c>
      <c r="T80">
        <f>HYPERLINK("https://klasma.github.io/Logging_1885/kartor/A 34237-2023 karta.png", "A 34237-2023")</f>
        <v/>
      </c>
      <c r="V80">
        <f>HYPERLINK("https://klasma.github.io/Logging_1885/klagomål/A 34237-2023 FSC-klagomål.docx", "A 34237-2023")</f>
        <v/>
      </c>
      <c r="W80">
        <f>HYPERLINK("https://klasma.github.io/Logging_1885/klagomålsmail/A 34237-2023 FSC-klagomål mail.docx", "A 34237-2023")</f>
        <v/>
      </c>
      <c r="X80">
        <f>HYPERLINK("https://klasma.github.io/Logging_1885/tillsyn/A 34237-2023 tillsynsbegäran.docx", "A 34237-2023")</f>
        <v/>
      </c>
      <c r="Y80">
        <f>HYPERLINK("https://klasma.github.io/Logging_1885/tillsynsmail/A 34237-2023 tillsynsbegäran mail.docx", "A 34237-2023")</f>
        <v/>
      </c>
      <c r="Z80">
        <f>HYPERLINK("https://klasma.github.io/Logging_1885/fåglar/A 34237-2023 prioriterade fågelarter.docx", "A 34237-2023")</f>
        <v/>
      </c>
    </row>
    <row r="81" ht="15" customHeight="1">
      <c r="A81" t="inlineStr">
        <is>
          <t>A 195-2022</t>
        </is>
      </c>
      <c r="B81" s="1" t="n">
        <v>44564</v>
      </c>
      <c r="C81" s="1" t="n">
        <v>46205</v>
      </c>
      <c r="D81" t="inlineStr">
        <is>
          <t>ÖREBRO LÄN</t>
        </is>
      </c>
      <c r="E81" t="inlineStr">
        <is>
          <t>LINDESBERG</t>
        </is>
      </c>
      <c r="G81" t="n">
        <v>4.7</v>
      </c>
      <c r="H81" t="n">
        <v>0</v>
      </c>
      <c r="I81" t="n">
        <v>0</v>
      </c>
      <c r="J81" t="n">
        <v>1</v>
      </c>
      <c r="K81" t="n">
        <v>0</v>
      </c>
      <c r="L81" t="n">
        <v>0</v>
      </c>
      <c r="M81" t="n">
        <v>0</v>
      </c>
      <c r="N81" t="n">
        <v>0</v>
      </c>
      <c r="O81" t="n">
        <v>1</v>
      </c>
      <c r="P81" t="n">
        <v>0</v>
      </c>
      <c r="Q81" t="n">
        <v>1</v>
      </c>
      <c r="R81" s="2" t="inlineStr">
        <is>
          <t>Dropptaggsvamp</t>
        </is>
      </c>
      <c r="S81">
        <f>HYPERLINK("https://klasma.github.io/Logging_1885/artfynd/A 195-2022 artfynd.xlsx", "A 195-2022")</f>
        <v/>
      </c>
      <c r="T81">
        <f>HYPERLINK("https://klasma.github.io/Logging_1885/kartor/A 195-2022 karta.png", "A 195-2022")</f>
        <v/>
      </c>
      <c r="V81">
        <f>HYPERLINK("https://klasma.github.io/Logging_1885/klagomål/A 195-2022 FSC-klagomål.docx", "A 195-2022")</f>
        <v/>
      </c>
      <c r="W81">
        <f>HYPERLINK("https://klasma.github.io/Logging_1885/klagomålsmail/A 195-2022 FSC-klagomål mail.docx", "A 195-2022")</f>
        <v/>
      </c>
      <c r="X81">
        <f>HYPERLINK("https://klasma.github.io/Logging_1885/tillsyn/A 195-2022 tillsynsbegäran.docx", "A 195-2022")</f>
        <v/>
      </c>
      <c r="Y81">
        <f>HYPERLINK("https://klasma.github.io/Logging_1885/tillsynsmail/A 195-2022 tillsynsbegäran mail.docx", "A 195-2022")</f>
        <v/>
      </c>
    </row>
    <row r="82" ht="15" customHeight="1">
      <c r="A82" t="inlineStr">
        <is>
          <t>A 28787-2023</t>
        </is>
      </c>
      <c r="B82" s="1" t="n">
        <v>45104</v>
      </c>
      <c r="C82" s="1" t="n">
        <v>46205</v>
      </c>
      <c r="D82" t="inlineStr">
        <is>
          <t>ÖREBRO LÄN</t>
        </is>
      </c>
      <c r="E82" t="inlineStr">
        <is>
          <t>LINDESBERG</t>
        </is>
      </c>
      <c r="F82" t="inlineStr">
        <is>
          <t>Sveaskog</t>
        </is>
      </c>
      <c r="G82" t="n">
        <v>0.5</v>
      </c>
      <c r="H82" t="n">
        <v>1</v>
      </c>
      <c r="I82" t="n">
        <v>0</v>
      </c>
      <c r="J82" t="n">
        <v>0</v>
      </c>
      <c r="K82" t="n">
        <v>0</v>
      </c>
      <c r="L82" t="n">
        <v>0</v>
      </c>
      <c r="M82" t="n">
        <v>0</v>
      </c>
      <c r="N82" t="n">
        <v>0</v>
      </c>
      <c r="O82" t="n">
        <v>0</v>
      </c>
      <c r="P82" t="n">
        <v>0</v>
      </c>
      <c r="Q82" t="n">
        <v>1</v>
      </c>
      <c r="R82" s="2" t="inlineStr">
        <is>
          <t>Fläcknycklar</t>
        </is>
      </c>
      <c r="S82">
        <f>HYPERLINK("https://klasma.github.io/Logging_1885/artfynd/A 28787-2023 artfynd.xlsx", "A 28787-2023")</f>
        <v/>
      </c>
      <c r="T82">
        <f>HYPERLINK("https://klasma.github.io/Logging_1885/kartor/A 28787-2023 karta.png", "A 28787-2023")</f>
        <v/>
      </c>
      <c r="V82">
        <f>HYPERLINK("https://klasma.github.io/Logging_1885/klagomål/A 28787-2023 FSC-klagomål.docx", "A 28787-2023")</f>
        <v/>
      </c>
      <c r="W82">
        <f>HYPERLINK("https://klasma.github.io/Logging_1885/klagomålsmail/A 28787-2023 FSC-klagomål mail.docx", "A 28787-2023")</f>
        <v/>
      </c>
      <c r="X82">
        <f>HYPERLINK("https://klasma.github.io/Logging_1885/tillsyn/A 28787-2023 tillsynsbegäran.docx", "A 28787-2023")</f>
        <v/>
      </c>
      <c r="Y82">
        <f>HYPERLINK("https://klasma.github.io/Logging_1885/tillsynsmail/A 28787-2023 tillsynsbegäran mail.docx", "A 28787-2023")</f>
        <v/>
      </c>
    </row>
    <row r="83" ht="15" customHeight="1">
      <c r="A83" t="inlineStr">
        <is>
          <t>A 16692-2026</t>
        </is>
      </c>
      <c r="B83" s="1" t="n">
        <v>46112</v>
      </c>
      <c r="C83" s="1" t="n">
        <v>46205</v>
      </c>
      <c r="D83" t="inlineStr">
        <is>
          <t>ÖREBRO LÄN</t>
        </is>
      </c>
      <c r="E83" t="inlineStr">
        <is>
          <t>LINDESBERG</t>
        </is>
      </c>
      <c r="G83" t="n">
        <v>4.9</v>
      </c>
      <c r="H83" t="n">
        <v>1</v>
      </c>
      <c r="I83" t="n">
        <v>0</v>
      </c>
      <c r="J83" t="n">
        <v>0</v>
      </c>
      <c r="K83" t="n">
        <v>0</v>
      </c>
      <c r="L83" t="n">
        <v>0</v>
      </c>
      <c r="M83" t="n">
        <v>0</v>
      </c>
      <c r="N83" t="n">
        <v>0</v>
      </c>
      <c r="O83" t="n">
        <v>0</v>
      </c>
      <c r="P83" t="n">
        <v>0</v>
      </c>
      <c r="Q83" t="n">
        <v>1</v>
      </c>
      <c r="R83" s="2" t="inlineStr">
        <is>
          <t>Spillkråka</t>
        </is>
      </c>
      <c r="S83">
        <f>HYPERLINK("https://klasma.github.io/Logging_1885/artfynd/A 16692-2026 artfynd.xlsx", "A 16692-2026")</f>
        <v/>
      </c>
      <c r="T83">
        <f>HYPERLINK("https://klasma.github.io/Logging_1885/kartor/A 16692-2026 karta.png", "A 16692-2026")</f>
        <v/>
      </c>
      <c r="V83">
        <f>HYPERLINK("https://klasma.github.io/Logging_1885/klagomål/A 16692-2026 FSC-klagomål.docx", "A 16692-2026")</f>
        <v/>
      </c>
      <c r="W83">
        <f>HYPERLINK("https://klasma.github.io/Logging_1885/klagomålsmail/A 16692-2026 FSC-klagomål mail.docx", "A 16692-2026")</f>
        <v/>
      </c>
      <c r="X83">
        <f>HYPERLINK("https://klasma.github.io/Logging_1885/tillsyn/A 16692-2026 tillsynsbegäran.docx", "A 16692-2026")</f>
        <v/>
      </c>
      <c r="Y83">
        <f>HYPERLINK("https://klasma.github.io/Logging_1885/tillsynsmail/A 16692-2026 tillsynsbegäran mail.docx", "A 16692-2026")</f>
        <v/>
      </c>
      <c r="Z83">
        <f>HYPERLINK("https://klasma.github.io/Logging_1885/fåglar/A 16692-2026 prioriterade fågelarter.docx", "A 16692-2026")</f>
        <v/>
      </c>
    </row>
    <row r="84" ht="15" customHeight="1">
      <c r="A84" t="inlineStr">
        <is>
          <t>A 16693-2026</t>
        </is>
      </c>
      <c r="B84" s="1" t="n">
        <v>46112</v>
      </c>
      <c r="C84" s="1" t="n">
        <v>46205</v>
      </c>
      <c r="D84" t="inlineStr">
        <is>
          <t>ÖREBRO LÄN</t>
        </is>
      </c>
      <c r="E84" t="inlineStr">
        <is>
          <t>LINDESBERG</t>
        </is>
      </c>
      <c r="G84" t="n">
        <v>2.1</v>
      </c>
      <c r="H84" t="n">
        <v>1</v>
      </c>
      <c r="I84" t="n">
        <v>0</v>
      </c>
      <c r="J84" t="n">
        <v>0</v>
      </c>
      <c r="K84" t="n">
        <v>0</v>
      </c>
      <c r="L84" t="n">
        <v>0</v>
      </c>
      <c r="M84" t="n">
        <v>0</v>
      </c>
      <c r="N84" t="n">
        <v>0</v>
      </c>
      <c r="O84" t="n">
        <v>0</v>
      </c>
      <c r="P84" t="n">
        <v>0</v>
      </c>
      <c r="Q84" t="n">
        <v>1</v>
      </c>
      <c r="R84" s="2" t="inlineStr">
        <is>
          <t>Tjäder</t>
        </is>
      </c>
      <c r="S84">
        <f>HYPERLINK("https://klasma.github.io/Logging_1885/artfynd/A 16693-2026 artfynd.xlsx", "A 16693-2026")</f>
        <v/>
      </c>
      <c r="T84">
        <f>HYPERLINK("https://klasma.github.io/Logging_1885/kartor/A 16693-2026 karta.png", "A 16693-2026")</f>
        <v/>
      </c>
      <c r="V84">
        <f>HYPERLINK("https://klasma.github.io/Logging_1885/klagomål/A 16693-2026 FSC-klagomål.docx", "A 16693-2026")</f>
        <v/>
      </c>
      <c r="W84">
        <f>HYPERLINK("https://klasma.github.io/Logging_1885/klagomålsmail/A 16693-2026 FSC-klagomål mail.docx", "A 16693-2026")</f>
        <v/>
      </c>
      <c r="X84">
        <f>HYPERLINK("https://klasma.github.io/Logging_1885/tillsyn/A 16693-2026 tillsynsbegäran.docx", "A 16693-2026")</f>
        <v/>
      </c>
      <c r="Y84">
        <f>HYPERLINK("https://klasma.github.io/Logging_1885/tillsynsmail/A 16693-2026 tillsynsbegäran mail.docx", "A 16693-2026")</f>
        <v/>
      </c>
      <c r="Z84">
        <f>HYPERLINK("https://klasma.github.io/Logging_1885/fåglar/A 16693-2026 prioriterade fågelarter.docx", "A 16693-2026")</f>
        <v/>
      </c>
    </row>
    <row r="85" ht="15" customHeight="1">
      <c r="A85" t="inlineStr">
        <is>
          <t>A 18178-2026</t>
        </is>
      </c>
      <c r="B85" s="1" t="n">
        <v>46125</v>
      </c>
      <c r="C85" s="1" t="n">
        <v>46205</v>
      </c>
      <c r="D85" t="inlineStr">
        <is>
          <t>ÖREBRO LÄN</t>
        </is>
      </c>
      <c r="E85" t="inlineStr">
        <is>
          <t>LINDESBERG</t>
        </is>
      </c>
      <c r="F85" t="inlineStr">
        <is>
          <t>Sveaskog</t>
        </is>
      </c>
      <c r="G85" t="n">
        <v>4.4</v>
      </c>
      <c r="H85" t="n">
        <v>0</v>
      </c>
      <c r="I85" t="n">
        <v>0</v>
      </c>
      <c r="J85" t="n">
        <v>1</v>
      </c>
      <c r="K85" t="n">
        <v>0</v>
      </c>
      <c r="L85" t="n">
        <v>0</v>
      </c>
      <c r="M85" t="n">
        <v>0</v>
      </c>
      <c r="N85" t="n">
        <v>0</v>
      </c>
      <c r="O85" t="n">
        <v>1</v>
      </c>
      <c r="P85" t="n">
        <v>0</v>
      </c>
      <c r="Q85" t="n">
        <v>1</v>
      </c>
      <c r="R85" s="2" t="inlineStr">
        <is>
          <t>Svartvit taggsvamp</t>
        </is>
      </c>
      <c r="S85">
        <f>HYPERLINK("https://klasma.github.io/Logging_1885/artfynd/A 18178-2026 artfynd.xlsx", "A 18178-2026")</f>
        <v/>
      </c>
      <c r="T85">
        <f>HYPERLINK("https://klasma.github.io/Logging_1885/kartor/A 18178-2026 karta.png", "A 18178-2026")</f>
        <v/>
      </c>
      <c r="V85">
        <f>HYPERLINK("https://klasma.github.io/Logging_1885/klagomål/A 18178-2026 FSC-klagomål.docx", "A 18178-2026")</f>
        <v/>
      </c>
      <c r="W85">
        <f>HYPERLINK("https://klasma.github.io/Logging_1885/klagomålsmail/A 18178-2026 FSC-klagomål mail.docx", "A 18178-2026")</f>
        <v/>
      </c>
      <c r="X85">
        <f>HYPERLINK("https://klasma.github.io/Logging_1885/tillsyn/A 18178-2026 tillsynsbegäran.docx", "A 18178-2026")</f>
        <v/>
      </c>
      <c r="Y85">
        <f>HYPERLINK("https://klasma.github.io/Logging_1885/tillsynsmail/A 18178-2026 tillsynsbegäran mail.docx", "A 18178-2026")</f>
        <v/>
      </c>
    </row>
    <row r="86" ht="15" customHeight="1">
      <c r="A86" t="inlineStr">
        <is>
          <t>A 70466-2021</t>
        </is>
      </c>
      <c r="B86" s="1" t="n">
        <v>44536</v>
      </c>
      <c r="C86" s="1" t="n">
        <v>46205</v>
      </c>
      <c r="D86" t="inlineStr">
        <is>
          <t>ÖREBRO LÄN</t>
        </is>
      </c>
      <c r="E86" t="inlineStr">
        <is>
          <t>LINDESBERG</t>
        </is>
      </c>
      <c r="G86" t="n">
        <v>4.4</v>
      </c>
      <c r="H86" t="n">
        <v>1</v>
      </c>
      <c r="I86" t="n">
        <v>0</v>
      </c>
      <c r="J86" t="n">
        <v>0</v>
      </c>
      <c r="K86" t="n">
        <v>1</v>
      </c>
      <c r="L86" t="n">
        <v>0</v>
      </c>
      <c r="M86" t="n">
        <v>0</v>
      </c>
      <c r="N86" t="n">
        <v>0</v>
      </c>
      <c r="O86" t="n">
        <v>1</v>
      </c>
      <c r="P86" t="n">
        <v>1</v>
      </c>
      <c r="Q86" t="n">
        <v>1</v>
      </c>
      <c r="R86" s="2" t="inlineStr">
        <is>
          <t>Knärot</t>
        </is>
      </c>
      <c r="S86">
        <f>HYPERLINK("https://klasma.github.io/Logging_1885/artfynd/A 70466-2021 artfynd.xlsx", "A 70466-2021")</f>
        <v/>
      </c>
      <c r="T86">
        <f>HYPERLINK("https://klasma.github.io/Logging_1885/kartor/A 70466-2021 karta.png", "A 70466-2021")</f>
        <v/>
      </c>
      <c r="U86">
        <f>HYPERLINK("https://klasma.github.io/Logging_1885/knärot/A 70466-2021 karta knärot.png", "A 70466-2021")</f>
        <v/>
      </c>
      <c r="V86">
        <f>HYPERLINK("https://klasma.github.io/Logging_1885/klagomål/A 70466-2021 FSC-klagomål.docx", "A 70466-2021")</f>
        <v/>
      </c>
      <c r="W86">
        <f>HYPERLINK("https://klasma.github.io/Logging_1885/klagomålsmail/A 70466-2021 FSC-klagomål mail.docx", "A 70466-2021")</f>
        <v/>
      </c>
      <c r="X86">
        <f>HYPERLINK("https://klasma.github.io/Logging_1885/tillsyn/A 70466-2021 tillsynsbegäran.docx", "A 70466-2021")</f>
        <v/>
      </c>
      <c r="Y86">
        <f>HYPERLINK("https://klasma.github.io/Logging_1885/tillsynsmail/A 70466-2021 tillsynsbegäran mail.docx", "A 70466-2021")</f>
        <v/>
      </c>
    </row>
    <row r="87" ht="15" customHeight="1">
      <c r="A87" t="inlineStr">
        <is>
          <t>A 18639-2026</t>
        </is>
      </c>
      <c r="B87" s="1" t="n">
        <v>46128</v>
      </c>
      <c r="C87" s="1" t="n">
        <v>46205</v>
      </c>
      <c r="D87" t="inlineStr">
        <is>
          <t>ÖREBRO LÄN</t>
        </is>
      </c>
      <c r="E87" t="inlineStr">
        <is>
          <t>LINDESBERG</t>
        </is>
      </c>
      <c r="F87" t="inlineStr">
        <is>
          <t>Sveaskog</t>
        </is>
      </c>
      <c r="G87" t="n">
        <v>6</v>
      </c>
      <c r="H87" t="n">
        <v>1</v>
      </c>
      <c r="I87" t="n">
        <v>1</v>
      </c>
      <c r="J87" t="n">
        <v>0</v>
      </c>
      <c r="K87" t="n">
        <v>0</v>
      </c>
      <c r="L87" t="n">
        <v>0</v>
      </c>
      <c r="M87" t="n">
        <v>0</v>
      </c>
      <c r="N87" t="n">
        <v>0</v>
      </c>
      <c r="O87" t="n">
        <v>0</v>
      </c>
      <c r="P87" t="n">
        <v>0</v>
      </c>
      <c r="Q87" t="n">
        <v>1</v>
      </c>
      <c r="R87" s="2" t="inlineStr">
        <is>
          <t>Plattlummer</t>
        </is>
      </c>
      <c r="S87">
        <f>HYPERLINK("https://klasma.github.io/Logging_1885/artfynd/A 18639-2026 artfynd.xlsx", "A 18639-2026")</f>
        <v/>
      </c>
      <c r="T87">
        <f>HYPERLINK("https://klasma.github.io/Logging_1885/kartor/A 18639-2026 karta.png", "A 18639-2026")</f>
        <v/>
      </c>
      <c r="V87">
        <f>HYPERLINK("https://klasma.github.io/Logging_1885/klagomål/A 18639-2026 FSC-klagomål.docx", "A 18639-2026")</f>
        <v/>
      </c>
      <c r="W87">
        <f>HYPERLINK("https://klasma.github.io/Logging_1885/klagomålsmail/A 18639-2026 FSC-klagomål mail.docx", "A 18639-2026")</f>
        <v/>
      </c>
      <c r="X87">
        <f>HYPERLINK("https://klasma.github.io/Logging_1885/tillsyn/A 18639-2026 tillsynsbegäran.docx", "A 18639-2026")</f>
        <v/>
      </c>
      <c r="Y87">
        <f>HYPERLINK("https://klasma.github.io/Logging_1885/tillsynsmail/A 18639-2026 tillsynsbegäran mail.docx", "A 18639-2026")</f>
        <v/>
      </c>
    </row>
    <row r="88" ht="15" customHeight="1">
      <c r="A88" t="inlineStr">
        <is>
          <t>A 18640-2026</t>
        </is>
      </c>
      <c r="B88" s="1" t="n">
        <v>46128</v>
      </c>
      <c r="C88" s="1" t="n">
        <v>46205</v>
      </c>
      <c r="D88" t="inlineStr">
        <is>
          <t>ÖREBRO LÄN</t>
        </is>
      </c>
      <c r="E88" t="inlineStr">
        <is>
          <t>LINDESBERG</t>
        </is>
      </c>
      <c r="F88" t="inlineStr">
        <is>
          <t>Sveaskog</t>
        </is>
      </c>
      <c r="G88" t="n">
        <v>0.3</v>
      </c>
      <c r="H88" t="n">
        <v>0</v>
      </c>
      <c r="I88" t="n">
        <v>0</v>
      </c>
      <c r="J88" t="n">
        <v>0</v>
      </c>
      <c r="K88" t="n">
        <v>1</v>
      </c>
      <c r="L88" t="n">
        <v>0</v>
      </c>
      <c r="M88" t="n">
        <v>0</v>
      </c>
      <c r="N88" t="n">
        <v>0</v>
      </c>
      <c r="O88" t="n">
        <v>1</v>
      </c>
      <c r="P88" t="n">
        <v>1</v>
      </c>
      <c r="Q88" t="n">
        <v>1</v>
      </c>
      <c r="R88" s="2" t="inlineStr">
        <is>
          <t>Garnlav</t>
        </is>
      </c>
      <c r="S88">
        <f>HYPERLINK("https://klasma.github.io/Logging_1885/artfynd/A 18640-2026 artfynd.xlsx", "A 18640-2026")</f>
        <v/>
      </c>
      <c r="T88">
        <f>HYPERLINK("https://klasma.github.io/Logging_1885/kartor/A 18640-2026 karta.png", "A 18640-2026")</f>
        <v/>
      </c>
      <c r="V88">
        <f>HYPERLINK("https://klasma.github.io/Logging_1885/klagomål/A 18640-2026 FSC-klagomål.docx", "A 18640-2026")</f>
        <v/>
      </c>
      <c r="W88">
        <f>HYPERLINK("https://klasma.github.io/Logging_1885/klagomålsmail/A 18640-2026 FSC-klagomål mail.docx", "A 18640-2026")</f>
        <v/>
      </c>
      <c r="X88">
        <f>HYPERLINK("https://klasma.github.io/Logging_1885/tillsyn/A 18640-2026 tillsynsbegäran.docx", "A 18640-2026")</f>
        <v/>
      </c>
      <c r="Y88">
        <f>HYPERLINK("https://klasma.github.io/Logging_1885/tillsynsmail/A 18640-2026 tillsynsbegäran mail.docx", "A 18640-2026")</f>
        <v/>
      </c>
    </row>
    <row r="89" ht="15" customHeight="1">
      <c r="A89" t="inlineStr">
        <is>
          <t>A 53600-2024</t>
        </is>
      </c>
      <c r="B89" s="1" t="n">
        <v>45614</v>
      </c>
      <c r="C89" s="1" t="n">
        <v>46205</v>
      </c>
      <c r="D89" t="inlineStr">
        <is>
          <t>ÖREBRO LÄN</t>
        </is>
      </c>
      <c r="E89" t="inlineStr">
        <is>
          <t>LINDESBERG</t>
        </is>
      </c>
      <c r="G89" t="n">
        <v>2.2</v>
      </c>
      <c r="H89" t="n">
        <v>1</v>
      </c>
      <c r="I89" t="n">
        <v>0</v>
      </c>
      <c r="J89" t="n">
        <v>0</v>
      </c>
      <c r="K89" t="n">
        <v>0</v>
      </c>
      <c r="L89" t="n">
        <v>1</v>
      </c>
      <c r="M89" t="n">
        <v>0</v>
      </c>
      <c r="N89" t="n">
        <v>0</v>
      </c>
      <c r="O89" t="n">
        <v>1</v>
      </c>
      <c r="P89" t="n">
        <v>1</v>
      </c>
      <c r="Q89" t="n">
        <v>1</v>
      </c>
      <c r="R89" s="2" t="inlineStr">
        <is>
          <t>Asknätfjäril</t>
        </is>
      </c>
      <c r="S89">
        <f>HYPERLINK("https://klasma.github.io/Logging_1885/artfynd/A 53600-2024 artfynd.xlsx", "A 53600-2024")</f>
        <v/>
      </c>
      <c r="T89">
        <f>HYPERLINK("https://klasma.github.io/Logging_1885/kartor/A 53600-2024 karta.png", "A 53600-2024")</f>
        <v/>
      </c>
      <c r="V89">
        <f>HYPERLINK("https://klasma.github.io/Logging_1885/klagomål/A 53600-2024 FSC-klagomål.docx", "A 53600-2024")</f>
        <v/>
      </c>
      <c r="W89">
        <f>HYPERLINK("https://klasma.github.io/Logging_1885/klagomålsmail/A 53600-2024 FSC-klagomål mail.docx", "A 53600-2024")</f>
        <v/>
      </c>
      <c r="X89">
        <f>HYPERLINK("https://klasma.github.io/Logging_1885/tillsyn/A 53600-2024 tillsynsbegäran.docx", "A 53600-2024")</f>
        <v/>
      </c>
      <c r="Y89">
        <f>HYPERLINK("https://klasma.github.io/Logging_1885/tillsynsmail/A 53600-2024 tillsynsbegäran mail.docx", "A 53600-2024")</f>
        <v/>
      </c>
    </row>
    <row r="90" ht="15" customHeight="1">
      <c r="A90" t="inlineStr">
        <is>
          <t>A 40755-2022</t>
        </is>
      </c>
      <c r="B90" s="1" t="n">
        <v>44820</v>
      </c>
      <c r="C90" s="1" t="n">
        <v>46205</v>
      </c>
      <c r="D90" t="inlineStr">
        <is>
          <t>ÖREBRO LÄN</t>
        </is>
      </c>
      <c r="E90" t="inlineStr">
        <is>
          <t>LINDESBERG</t>
        </is>
      </c>
      <c r="G90" t="n">
        <v>3.8</v>
      </c>
      <c r="H90" t="n">
        <v>1</v>
      </c>
      <c r="I90" t="n">
        <v>0</v>
      </c>
      <c r="J90" t="n">
        <v>0</v>
      </c>
      <c r="K90" t="n">
        <v>0</v>
      </c>
      <c r="L90" t="n">
        <v>0</v>
      </c>
      <c r="M90" t="n">
        <v>0</v>
      </c>
      <c r="N90" t="n">
        <v>0</v>
      </c>
      <c r="O90" t="n">
        <v>0</v>
      </c>
      <c r="P90" t="n">
        <v>0</v>
      </c>
      <c r="Q90" t="n">
        <v>1</v>
      </c>
      <c r="R90" s="2" t="inlineStr">
        <is>
          <t>Fläcknycklar</t>
        </is>
      </c>
      <c r="S90">
        <f>HYPERLINK("https://klasma.github.io/Logging_1885/artfynd/A 40755-2022 artfynd.xlsx", "A 40755-2022")</f>
        <v/>
      </c>
      <c r="T90">
        <f>HYPERLINK("https://klasma.github.io/Logging_1885/kartor/A 40755-2022 karta.png", "A 40755-2022")</f>
        <v/>
      </c>
      <c r="V90">
        <f>HYPERLINK("https://klasma.github.io/Logging_1885/klagomål/A 40755-2022 FSC-klagomål.docx", "A 40755-2022")</f>
        <v/>
      </c>
      <c r="W90">
        <f>HYPERLINK("https://klasma.github.io/Logging_1885/klagomålsmail/A 40755-2022 FSC-klagomål mail.docx", "A 40755-2022")</f>
        <v/>
      </c>
      <c r="X90">
        <f>HYPERLINK("https://klasma.github.io/Logging_1885/tillsyn/A 40755-2022 tillsynsbegäran.docx", "A 40755-2022")</f>
        <v/>
      </c>
      <c r="Y90">
        <f>HYPERLINK("https://klasma.github.io/Logging_1885/tillsynsmail/A 40755-2022 tillsynsbegäran mail.docx", "A 40755-2022")</f>
        <v/>
      </c>
    </row>
    <row r="91" ht="15" customHeight="1">
      <c r="A91" t="inlineStr">
        <is>
          <t>A 8139-2023</t>
        </is>
      </c>
      <c r="B91" s="1" t="n">
        <v>44970</v>
      </c>
      <c r="C91" s="1" t="n">
        <v>46205</v>
      </c>
      <c r="D91" t="inlineStr">
        <is>
          <t>ÖREBRO LÄN</t>
        </is>
      </c>
      <c r="E91" t="inlineStr">
        <is>
          <t>LINDESBERG</t>
        </is>
      </c>
      <c r="G91" t="n">
        <v>3.6</v>
      </c>
      <c r="H91" t="n">
        <v>1</v>
      </c>
      <c r="I91" t="n">
        <v>0</v>
      </c>
      <c r="J91" t="n">
        <v>0</v>
      </c>
      <c r="K91" t="n">
        <v>0</v>
      </c>
      <c r="L91" t="n">
        <v>0</v>
      </c>
      <c r="M91" t="n">
        <v>0</v>
      </c>
      <c r="N91" t="n">
        <v>0</v>
      </c>
      <c r="O91" t="n">
        <v>0</v>
      </c>
      <c r="P91" t="n">
        <v>0</v>
      </c>
      <c r="Q91" t="n">
        <v>1</v>
      </c>
      <c r="R91" s="2" t="inlineStr">
        <is>
          <t>Fläcknycklar</t>
        </is>
      </c>
      <c r="S91">
        <f>HYPERLINK("https://klasma.github.io/Logging_1885/artfynd/A 8139-2023 artfynd.xlsx", "A 8139-2023")</f>
        <v/>
      </c>
      <c r="T91">
        <f>HYPERLINK("https://klasma.github.io/Logging_1885/kartor/A 8139-2023 karta.png", "A 8139-2023")</f>
        <v/>
      </c>
      <c r="V91">
        <f>HYPERLINK("https://klasma.github.io/Logging_1885/klagomål/A 8139-2023 FSC-klagomål.docx", "A 8139-2023")</f>
        <v/>
      </c>
      <c r="W91">
        <f>HYPERLINK("https://klasma.github.io/Logging_1885/klagomålsmail/A 8139-2023 FSC-klagomål mail.docx", "A 8139-2023")</f>
        <v/>
      </c>
      <c r="X91">
        <f>HYPERLINK("https://klasma.github.io/Logging_1885/tillsyn/A 8139-2023 tillsynsbegäran.docx", "A 8139-2023")</f>
        <v/>
      </c>
      <c r="Y91">
        <f>HYPERLINK("https://klasma.github.io/Logging_1885/tillsynsmail/A 8139-2023 tillsynsbegäran mail.docx", "A 8139-2023")</f>
        <v/>
      </c>
    </row>
    <row r="92" ht="15" customHeight="1">
      <c r="A92" t="inlineStr">
        <is>
          <t>A 62866-2023</t>
        </is>
      </c>
      <c r="B92" s="1" t="n">
        <v>45272</v>
      </c>
      <c r="C92" s="1" t="n">
        <v>46205</v>
      </c>
      <c r="D92" t="inlineStr">
        <is>
          <t>ÖREBRO LÄN</t>
        </is>
      </c>
      <c r="E92" t="inlineStr">
        <is>
          <t>LINDESBERG</t>
        </is>
      </c>
      <c r="G92" t="n">
        <v>14.5</v>
      </c>
      <c r="H92" t="n">
        <v>1</v>
      </c>
      <c r="I92" t="n">
        <v>0</v>
      </c>
      <c r="J92" t="n">
        <v>0</v>
      </c>
      <c r="K92" t="n">
        <v>0</v>
      </c>
      <c r="L92" t="n">
        <v>0</v>
      </c>
      <c r="M92" t="n">
        <v>0</v>
      </c>
      <c r="N92" t="n">
        <v>0</v>
      </c>
      <c r="O92" t="n">
        <v>0</v>
      </c>
      <c r="P92" t="n">
        <v>0</v>
      </c>
      <c r="Q92" t="n">
        <v>1</v>
      </c>
      <c r="R92" s="2" t="inlineStr">
        <is>
          <t>Utter</t>
        </is>
      </c>
      <c r="S92">
        <f>HYPERLINK("https://klasma.github.io/Logging_1885/artfynd/A 62866-2023 artfynd.xlsx", "A 62866-2023")</f>
        <v/>
      </c>
      <c r="T92">
        <f>HYPERLINK("https://klasma.github.io/Logging_1885/kartor/A 62866-2023 karta.png", "A 62866-2023")</f>
        <v/>
      </c>
      <c r="V92">
        <f>HYPERLINK("https://klasma.github.io/Logging_1885/klagomål/A 62866-2023 FSC-klagomål.docx", "A 62866-2023")</f>
        <v/>
      </c>
      <c r="W92">
        <f>HYPERLINK("https://klasma.github.io/Logging_1885/klagomålsmail/A 62866-2023 FSC-klagomål mail.docx", "A 62866-2023")</f>
        <v/>
      </c>
      <c r="X92">
        <f>HYPERLINK("https://klasma.github.io/Logging_1885/tillsyn/A 62866-2023 tillsynsbegäran.docx", "A 62866-2023")</f>
        <v/>
      </c>
      <c r="Y92">
        <f>HYPERLINK("https://klasma.github.io/Logging_1885/tillsynsmail/A 62866-2023 tillsynsbegäran mail.docx", "A 62866-2023")</f>
        <v/>
      </c>
    </row>
    <row r="93" ht="15" customHeight="1">
      <c r="A93" t="inlineStr">
        <is>
          <t>A 21084-2026</t>
        </is>
      </c>
      <c r="B93" s="1" t="n">
        <v>46146</v>
      </c>
      <c r="C93" s="1" t="n">
        <v>46205</v>
      </c>
      <c r="D93" t="inlineStr">
        <is>
          <t>ÖREBRO LÄN</t>
        </is>
      </c>
      <c r="E93" t="inlineStr">
        <is>
          <t>LINDESBERG</t>
        </is>
      </c>
      <c r="F93" t="inlineStr">
        <is>
          <t>Sveaskog</t>
        </is>
      </c>
      <c r="G93" t="n">
        <v>1.5</v>
      </c>
      <c r="H93" t="n">
        <v>0</v>
      </c>
      <c r="I93" t="n">
        <v>0</v>
      </c>
      <c r="J93" t="n">
        <v>0</v>
      </c>
      <c r="K93" t="n">
        <v>1</v>
      </c>
      <c r="L93" t="n">
        <v>0</v>
      </c>
      <c r="M93" t="n">
        <v>0</v>
      </c>
      <c r="N93" t="n">
        <v>0</v>
      </c>
      <c r="O93" t="n">
        <v>1</v>
      </c>
      <c r="P93" t="n">
        <v>1</v>
      </c>
      <c r="Q93" t="n">
        <v>1</v>
      </c>
      <c r="R93" s="2" t="inlineStr">
        <is>
          <t>Garnlav</t>
        </is>
      </c>
      <c r="S93">
        <f>HYPERLINK("https://klasma.github.io/Logging_1885/artfynd/A 21084-2026 artfynd.xlsx", "A 21084-2026")</f>
        <v/>
      </c>
      <c r="T93">
        <f>HYPERLINK("https://klasma.github.io/Logging_1885/kartor/A 21084-2026 karta.png", "A 21084-2026")</f>
        <v/>
      </c>
      <c r="V93">
        <f>HYPERLINK("https://klasma.github.io/Logging_1885/klagomål/A 21084-2026 FSC-klagomål.docx", "A 21084-2026")</f>
        <v/>
      </c>
      <c r="W93">
        <f>HYPERLINK("https://klasma.github.io/Logging_1885/klagomålsmail/A 21084-2026 FSC-klagomål mail.docx", "A 21084-2026")</f>
        <v/>
      </c>
      <c r="X93">
        <f>HYPERLINK("https://klasma.github.io/Logging_1885/tillsyn/A 21084-2026 tillsynsbegäran.docx", "A 21084-2026")</f>
        <v/>
      </c>
      <c r="Y93">
        <f>HYPERLINK("https://klasma.github.io/Logging_1885/tillsynsmail/A 21084-2026 tillsynsbegäran mail.docx", "A 21084-2026")</f>
        <v/>
      </c>
    </row>
    <row r="94" ht="15" customHeight="1">
      <c r="A94" t="inlineStr">
        <is>
          <t>A 27130-2024</t>
        </is>
      </c>
      <c r="B94" s="1" t="n">
        <v>45471</v>
      </c>
      <c r="C94" s="1" t="n">
        <v>46205</v>
      </c>
      <c r="D94" t="inlineStr">
        <is>
          <t>ÖREBRO LÄN</t>
        </is>
      </c>
      <c r="E94" t="inlineStr">
        <is>
          <t>LINDESBERG</t>
        </is>
      </c>
      <c r="G94" t="n">
        <v>2</v>
      </c>
      <c r="H94" t="n">
        <v>1</v>
      </c>
      <c r="I94" t="n">
        <v>0</v>
      </c>
      <c r="J94" t="n">
        <v>0</v>
      </c>
      <c r="K94" t="n">
        <v>0</v>
      </c>
      <c r="L94" t="n">
        <v>0</v>
      </c>
      <c r="M94" t="n">
        <v>0</v>
      </c>
      <c r="N94" t="n">
        <v>0</v>
      </c>
      <c r="O94" t="n">
        <v>0</v>
      </c>
      <c r="P94" t="n">
        <v>0</v>
      </c>
      <c r="Q94" t="n">
        <v>1</v>
      </c>
      <c r="R94" s="2" t="inlineStr">
        <is>
          <t>Utter</t>
        </is>
      </c>
      <c r="S94">
        <f>HYPERLINK("https://klasma.github.io/Logging_1885/artfynd/A 27130-2024 artfynd.xlsx", "A 27130-2024")</f>
        <v/>
      </c>
      <c r="T94">
        <f>HYPERLINK("https://klasma.github.io/Logging_1885/kartor/A 27130-2024 karta.png", "A 27130-2024")</f>
        <v/>
      </c>
      <c r="V94">
        <f>HYPERLINK("https://klasma.github.io/Logging_1885/klagomål/A 27130-2024 FSC-klagomål.docx", "A 27130-2024")</f>
        <v/>
      </c>
      <c r="W94">
        <f>HYPERLINK("https://klasma.github.io/Logging_1885/klagomålsmail/A 27130-2024 FSC-klagomål mail.docx", "A 27130-2024")</f>
        <v/>
      </c>
      <c r="X94">
        <f>HYPERLINK("https://klasma.github.io/Logging_1885/tillsyn/A 27130-2024 tillsynsbegäran.docx", "A 27130-2024")</f>
        <v/>
      </c>
      <c r="Y94">
        <f>HYPERLINK("https://klasma.github.io/Logging_1885/tillsynsmail/A 27130-2024 tillsynsbegäran mail.docx", "A 27130-2024")</f>
        <v/>
      </c>
    </row>
    <row r="95" ht="15" customHeight="1">
      <c r="A95" t="inlineStr">
        <is>
          <t>A 48265-2021</t>
        </is>
      </c>
      <c r="B95" s="1" t="n">
        <v>44449</v>
      </c>
      <c r="C95" s="1" t="n">
        <v>46205</v>
      </c>
      <c r="D95" t="inlineStr">
        <is>
          <t>ÖREBRO LÄN</t>
        </is>
      </c>
      <c r="E95" t="inlineStr">
        <is>
          <t>LINDESBERG</t>
        </is>
      </c>
      <c r="G95" t="n">
        <v>23.7</v>
      </c>
      <c r="H95" t="n">
        <v>1</v>
      </c>
      <c r="I95" t="n">
        <v>1</v>
      </c>
      <c r="J95" t="n">
        <v>0</v>
      </c>
      <c r="K95" t="n">
        <v>0</v>
      </c>
      <c r="L95" t="n">
        <v>0</v>
      </c>
      <c r="M95" t="n">
        <v>0</v>
      </c>
      <c r="N95" t="n">
        <v>0</v>
      </c>
      <c r="O95" t="n">
        <v>0</v>
      </c>
      <c r="P95" t="n">
        <v>0</v>
      </c>
      <c r="Q95" t="n">
        <v>1</v>
      </c>
      <c r="R95" s="2" t="inlineStr">
        <is>
          <t>Grön sköldmossa</t>
        </is>
      </c>
      <c r="S95">
        <f>HYPERLINK("https://klasma.github.io/Logging_1885/artfynd/A 48265-2021 artfynd.xlsx", "A 48265-2021")</f>
        <v/>
      </c>
      <c r="T95">
        <f>HYPERLINK("https://klasma.github.io/Logging_1885/kartor/A 48265-2021 karta.png", "A 48265-2021")</f>
        <v/>
      </c>
      <c r="V95">
        <f>HYPERLINK("https://klasma.github.io/Logging_1885/klagomål/A 48265-2021 FSC-klagomål.docx", "A 48265-2021")</f>
        <v/>
      </c>
      <c r="W95">
        <f>HYPERLINK("https://klasma.github.io/Logging_1885/klagomålsmail/A 48265-2021 FSC-klagomål mail.docx", "A 48265-2021")</f>
        <v/>
      </c>
      <c r="X95">
        <f>HYPERLINK("https://klasma.github.io/Logging_1885/tillsyn/A 48265-2021 tillsynsbegäran.docx", "A 48265-2021")</f>
        <v/>
      </c>
      <c r="Y95">
        <f>HYPERLINK("https://klasma.github.io/Logging_1885/tillsynsmail/A 48265-2021 tillsynsbegäran mail.docx", "A 48265-2021")</f>
        <v/>
      </c>
    </row>
    <row r="96" ht="15" customHeight="1">
      <c r="A96" t="inlineStr">
        <is>
          <t>A 64513-2023</t>
        </is>
      </c>
      <c r="B96" s="1" t="n">
        <v>45281</v>
      </c>
      <c r="C96" s="1" t="n">
        <v>46205</v>
      </c>
      <c r="D96" t="inlineStr">
        <is>
          <t>ÖREBRO LÄN</t>
        </is>
      </c>
      <c r="E96" t="inlineStr">
        <is>
          <t>LINDESBERG</t>
        </is>
      </c>
      <c r="G96" t="n">
        <v>4.7</v>
      </c>
      <c r="H96" t="n">
        <v>0</v>
      </c>
      <c r="I96" t="n">
        <v>1</v>
      </c>
      <c r="J96" t="n">
        <v>0</v>
      </c>
      <c r="K96" t="n">
        <v>0</v>
      </c>
      <c r="L96" t="n">
        <v>0</v>
      </c>
      <c r="M96" t="n">
        <v>0</v>
      </c>
      <c r="N96" t="n">
        <v>0</v>
      </c>
      <c r="O96" t="n">
        <v>0</v>
      </c>
      <c r="P96" t="n">
        <v>0</v>
      </c>
      <c r="Q96" t="n">
        <v>1</v>
      </c>
      <c r="R96" s="2" t="inlineStr">
        <is>
          <t>Västlig hakmossa</t>
        </is>
      </c>
      <c r="S96">
        <f>HYPERLINK("https://klasma.github.io/Logging_1885/artfynd/A 64513-2023 artfynd.xlsx", "A 64513-2023")</f>
        <v/>
      </c>
      <c r="T96">
        <f>HYPERLINK("https://klasma.github.io/Logging_1885/kartor/A 64513-2023 karta.png", "A 64513-2023")</f>
        <v/>
      </c>
      <c r="V96">
        <f>HYPERLINK("https://klasma.github.io/Logging_1885/klagomål/A 64513-2023 FSC-klagomål.docx", "A 64513-2023")</f>
        <v/>
      </c>
      <c r="W96">
        <f>HYPERLINK("https://klasma.github.io/Logging_1885/klagomålsmail/A 64513-2023 FSC-klagomål mail.docx", "A 64513-2023")</f>
        <v/>
      </c>
      <c r="X96">
        <f>HYPERLINK("https://klasma.github.io/Logging_1885/tillsyn/A 64513-2023 tillsynsbegäran.docx", "A 64513-2023")</f>
        <v/>
      </c>
      <c r="Y96">
        <f>HYPERLINK("https://klasma.github.io/Logging_1885/tillsynsmail/A 64513-2023 tillsynsbegäran mail.docx", "A 64513-2023")</f>
        <v/>
      </c>
    </row>
    <row r="97" ht="15" customHeight="1">
      <c r="A97" t="inlineStr">
        <is>
          <t>A 27726-2026</t>
        </is>
      </c>
      <c r="B97" s="1" t="n">
        <v>46191</v>
      </c>
      <c r="C97" s="1" t="n">
        <v>46205</v>
      </c>
      <c r="D97" t="inlineStr">
        <is>
          <t>ÖREBRO LÄN</t>
        </is>
      </c>
      <c r="E97" t="inlineStr">
        <is>
          <t>LINDESBERG</t>
        </is>
      </c>
      <c r="F97" t="inlineStr">
        <is>
          <t>Sveaskog</t>
        </is>
      </c>
      <c r="G97" t="n">
        <v>2.4</v>
      </c>
      <c r="H97" t="n">
        <v>0</v>
      </c>
      <c r="I97" t="n">
        <v>1</v>
      </c>
      <c r="J97" t="n">
        <v>0</v>
      </c>
      <c r="K97" t="n">
        <v>0</v>
      </c>
      <c r="L97" t="n">
        <v>0</v>
      </c>
      <c r="M97" t="n">
        <v>0</v>
      </c>
      <c r="N97" t="n">
        <v>0</v>
      </c>
      <c r="O97" t="n">
        <v>0</v>
      </c>
      <c r="P97" t="n">
        <v>0</v>
      </c>
      <c r="Q97" t="n">
        <v>1</v>
      </c>
      <c r="R97" s="2" t="inlineStr">
        <is>
          <t>Vågbandad barkbock</t>
        </is>
      </c>
      <c r="S97">
        <f>HYPERLINK("https://klasma.github.io/Logging_1885/artfynd/A 27726-2026 artfynd.xlsx", "A 27726-2026")</f>
        <v/>
      </c>
      <c r="T97">
        <f>HYPERLINK("https://klasma.github.io/Logging_1885/kartor/A 27726-2026 karta.png", "A 27726-2026")</f>
        <v/>
      </c>
      <c r="V97">
        <f>HYPERLINK("https://klasma.github.io/Logging_1885/klagomål/A 27726-2026 FSC-klagomål.docx", "A 27726-2026")</f>
        <v/>
      </c>
      <c r="W97">
        <f>HYPERLINK("https://klasma.github.io/Logging_1885/klagomålsmail/A 27726-2026 FSC-klagomål mail.docx", "A 27726-2026")</f>
        <v/>
      </c>
      <c r="X97">
        <f>HYPERLINK("https://klasma.github.io/Logging_1885/tillsyn/A 27726-2026 tillsynsbegäran.docx", "A 27726-2026")</f>
        <v/>
      </c>
      <c r="Y97">
        <f>HYPERLINK("https://klasma.github.io/Logging_1885/tillsynsmail/A 27726-2026 tillsynsbegäran mail.docx", "A 27726-2026")</f>
        <v/>
      </c>
    </row>
    <row r="98" ht="15" customHeight="1">
      <c r="A98" t="inlineStr">
        <is>
          <t>A 27733-2026</t>
        </is>
      </c>
      <c r="B98" s="1" t="n">
        <v>46191</v>
      </c>
      <c r="C98" s="1" t="n">
        <v>46205</v>
      </c>
      <c r="D98" t="inlineStr">
        <is>
          <t>ÖREBRO LÄN</t>
        </is>
      </c>
      <c r="E98" t="inlineStr">
        <is>
          <t>LINDESBERG</t>
        </is>
      </c>
      <c r="F98" t="inlineStr">
        <is>
          <t>Sveaskog</t>
        </is>
      </c>
      <c r="G98" t="n">
        <v>2.5</v>
      </c>
      <c r="H98" t="n">
        <v>1</v>
      </c>
      <c r="I98" t="n">
        <v>0</v>
      </c>
      <c r="J98" t="n">
        <v>0</v>
      </c>
      <c r="K98" t="n">
        <v>0</v>
      </c>
      <c r="L98" t="n">
        <v>0</v>
      </c>
      <c r="M98" t="n">
        <v>0</v>
      </c>
      <c r="N98" t="n">
        <v>0</v>
      </c>
      <c r="O98" t="n">
        <v>0</v>
      </c>
      <c r="P98" t="n">
        <v>0</v>
      </c>
      <c r="Q98" t="n">
        <v>1</v>
      </c>
      <c r="R98" s="2" t="inlineStr">
        <is>
          <t>Fläcknycklar</t>
        </is>
      </c>
      <c r="S98">
        <f>HYPERLINK("https://klasma.github.io/Logging_1885/artfynd/A 27733-2026 artfynd.xlsx", "A 27733-2026")</f>
        <v/>
      </c>
      <c r="T98">
        <f>HYPERLINK("https://klasma.github.io/Logging_1885/kartor/A 27733-2026 karta.png", "A 27733-2026")</f>
        <v/>
      </c>
      <c r="V98">
        <f>HYPERLINK("https://klasma.github.io/Logging_1885/klagomål/A 27733-2026 FSC-klagomål.docx", "A 27733-2026")</f>
        <v/>
      </c>
      <c r="W98">
        <f>HYPERLINK("https://klasma.github.io/Logging_1885/klagomålsmail/A 27733-2026 FSC-klagomål mail.docx", "A 27733-2026")</f>
        <v/>
      </c>
      <c r="X98">
        <f>HYPERLINK("https://klasma.github.io/Logging_1885/tillsyn/A 27733-2026 tillsynsbegäran.docx", "A 27733-2026")</f>
        <v/>
      </c>
      <c r="Y98">
        <f>HYPERLINK("https://klasma.github.io/Logging_1885/tillsynsmail/A 27733-2026 tillsynsbegäran mail.docx", "A 27733-2026")</f>
        <v/>
      </c>
    </row>
    <row r="99" ht="15" customHeight="1">
      <c r="A99" t="inlineStr">
        <is>
          <t>A 27730-2026</t>
        </is>
      </c>
      <c r="B99" s="1" t="n">
        <v>46191</v>
      </c>
      <c r="C99" s="1" t="n">
        <v>46205</v>
      </c>
      <c r="D99" t="inlineStr">
        <is>
          <t>ÖREBRO LÄN</t>
        </is>
      </c>
      <c r="E99" t="inlineStr">
        <is>
          <t>LINDESBERG</t>
        </is>
      </c>
      <c r="F99" t="inlineStr">
        <is>
          <t>Sveaskog</t>
        </is>
      </c>
      <c r="G99" t="n">
        <v>3.9</v>
      </c>
      <c r="H99" t="n">
        <v>1</v>
      </c>
      <c r="I99" t="n">
        <v>0</v>
      </c>
      <c r="J99" t="n">
        <v>0</v>
      </c>
      <c r="K99" t="n">
        <v>0</v>
      </c>
      <c r="L99" t="n">
        <v>0</v>
      </c>
      <c r="M99" t="n">
        <v>0</v>
      </c>
      <c r="N99" t="n">
        <v>0</v>
      </c>
      <c r="O99" t="n">
        <v>0</v>
      </c>
      <c r="P99" t="n">
        <v>0</v>
      </c>
      <c r="Q99" t="n">
        <v>1</v>
      </c>
      <c r="R99" s="2" t="inlineStr">
        <is>
          <t>Fläcknycklar</t>
        </is>
      </c>
      <c r="S99">
        <f>HYPERLINK("https://klasma.github.io/Logging_1885/artfynd/A 27730-2026 artfynd.xlsx", "A 27730-2026")</f>
        <v/>
      </c>
      <c r="T99">
        <f>HYPERLINK("https://klasma.github.io/Logging_1885/kartor/A 27730-2026 karta.png", "A 27730-2026")</f>
        <v/>
      </c>
      <c r="V99">
        <f>HYPERLINK("https://klasma.github.io/Logging_1885/klagomål/A 27730-2026 FSC-klagomål.docx", "A 27730-2026")</f>
        <v/>
      </c>
      <c r="W99">
        <f>HYPERLINK("https://klasma.github.io/Logging_1885/klagomålsmail/A 27730-2026 FSC-klagomål mail.docx", "A 27730-2026")</f>
        <v/>
      </c>
      <c r="X99">
        <f>HYPERLINK("https://klasma.github.io/Logging_1885/tillsyn/A 27730-2026 tillsynsbegäran.docx", "A 27730-2026")</f>
        <v/>
      </c>
      <c r="Y99">
        <f>HYPERLINK("https://klasma.github.io/Logging_1885/tillsynsmail/A 27730-2026 tillsynsbegäran mail.docx", "A 27730-2026")</f>
        <v/>
      </c>
    </row>
    <row r="100" ht="15" customHeight="1">
      <c r="A100" t="inlineStr">
        <is>
          <t>A 21871-2026</t>
        </is>
      </c>
      <c r="B100" s="1" t="n">
        <v>46150</v>
      </c>
      <c r="C100" s="1" t="n">
        <v>46205</v>
      </c>
      <c r="D100" t="inlineStr">
        <is>
          <t>ÖREBRO LÄN</t>
        </is>
      </c>
      <c r="E100" t="inlineStr">
        <is>
          <t>LINDESBERG</t>
        </is>
      </c>
      <c r="F100" t="inlineStr">
        <is>
          <t>Sveaskog</t>
        </is>
      </c>
      <c r="G100" t="n">
        <v>0.9</v>
      </c>
      <c r="H100" t="n">
        <v>0</v>
      </c>
      <c r="I100" t="n">
        <v>0</v>
      </c>
      <c r="J100" t="n">
        <v>1</v>
      </c>
      <c r="K100" t="n">
        <v>0</v>
      </c>
      <c r="L100" t="n">
        <v>0</v>
      </c>
      <c r="M100" t="n">
        <v>0</v>
      </c>
      <c r="N100" t="n">
        <v>0</v>
      </c>
      <c r="O100" t="n">
        <v>1</v>
      </c>
      <c r="P100" t="n">
        <v>0</v>
      </c>
      <c r="Q100" t="n">
        <v>1</v>
      </c>
      <c r="R100" s="2" t="inlineStr">
        <is>
          <t>Barrviolspindling</t>
        </is>
      </c>
      <c r="S100">
        <f>HYPERLINK("https://klasma.github.io/Logging_1885/artfynd/A 21871-2026 artfynd.xlsx", "A 21871-2026")</f>
        <v/>
      </c>
      <c r="T100">
        <f>HYPERLINK("https://klasma.github.io/Logging_1885/kartor/A 21871-2026 karta.png", "A 21871-2026")</f>
        <v/>
      </c>
      <c r="V100">
        <f>HYPERLINK("https://klasma.github.io/Logging_1885/klagomål/A 21871-2026 FSC-klagomål.docx", "A 21871-2026")</f>
        <v/>
      </c>
      <c r="W100">
        <f>HYPERLINK("https://klasma.github.io/Logging_1885/klagomålsmail/A 21871-2026 FSC-klagomål mail.docx", "A 21871-2026")</f>
        <v/>
      </c>
      <c r="X100">
        <f>HYPERLINK("https://klasma.github.io/Logging_1885/tillsyn/A 21871-2026 tillsynsbegäran.docx", "A 21871-2026")</f>
        <v/>
      </c>
      <c r="Y100">
        <f>HYPERLINK("https://klasma.github.io/Logging_1885/tillsynsmail/A 21871-2026 tillsynsbegäran mail.docx", "A 21871-2026")</f>
        <v/>
      </c>
    </row>
    <row r="101" ht="15" customHeight="1">
      <c r="A101" t="inlineStr">
        <is>
          <t>A 27725-2026</t>
        </is>
      </c>
      <c r="B101" s="1" t="n">
        <v>46191</v>
      </c>
      <c r="C101" s="1" t="n">
        <v>46205</v>
      </c>
      <c r="D101" t="inlineStr">
        <is>
          <t>ÖREBRO LÄN</t>
        </is>
      </c>
      <c r="E101" t="inlineStr">
        <is>
          <t>LINDESBERG</t>
        </is>
      </c>
      <c r="F101" t="inlineStr">
        <is>
          <t>Sveaskog</t>
        </is>
      </c>
      <c r="G101" t="n">
        <v>9.300000000000001</v>
      </c>
      <c r="H101" t="n">
        <v>1</v>
      </c>
      <c r="I101" t="n">
        <v>0</v>
      </c>
      <c r="J101" t="n">
        <v>0</v>
      </c>
      <c r="K101" t="n">
        <v>0</v>
      </c>
      <c r="L101" t="n">
        <v>0</v>
      </c>
      <c r="M101" t="n">
        <v>0</v>
      </c>
      <c r="N101" t="n">
        <v>0</v>
      </c>
      <c r="O101" t="n">
        <v>0</v>
      </c>
      <c r="P101" t="n">
        <v>0</v>
      </c>
      <c r="Q101" t="n">
        <v>1</v>
      </c>
      <c r="R101" s="2" t="inlineStr">
        <is>
          <t>Revlummer</t>
        </is>
      </c>
      <c r="S101">
        <f>HYPERLINK("https://klasma.github.io/Logging_1885/artfynd/A 27725-2026 artfynd.xlsx", "A 27725-2026")</f>
        <v/>
      </c>
      <c r="T101">
        <f>HYPERLINK("https://klasma.github.io/Logging_1885/kartor/A 27725-2026 karta.png", "A 27725-2026")</f>
        <v/>
      </c>
      <c r="V101">
        <f>HYPERLINK("https://klasma.github.io/Logging_1885/klagomål/A 27725-2026 FSC-klagomål.docx", "A 27725-2026")</f>
        <v/>
      </c>
      <c r="W101">
        <f>HYPERLINK("https://klasma.github.io/Logging_1885/klagomålsmail/A 27725-2026 FSC-klagomål mail.docx", "A 27725-2026")</f>
        <v/>
      </c>
      <c r="X101">
        <f>HYPERLINK("https://klasma.github.io/Logging_1885/tillsyn/A 27725-2026 tillsynsbegäran.docx", "A 27725-2026")</f>
        <v/>
      </c>
      <c r="Y101">
        <f>HYPERLINK("https://klasma.github.io/Logging_1885/tillsynsmail/A 27725-2026 tillsynsbegäran mail.docx", "A 27725-2026")</f>
        <v/>
      </c>
    </row>
    <row r="102" ht="15" customHeight="1">
      <c r="A102" t="inlineStr">
        <is>
          <t>A 27727-2026</t>
        </is>
      </c>
      <c r="B102" s="1" t="n">
        <v>46191</v>
      </c>
      <c r="C102" s="1" t="n">
        <v>46205</v>
      </c>
      <c r="D102" t="inlineStr">
        <is>
          <t>ÖREBRO LÄN</t>
        </is>
      </c>
      <c r="E102" t="inlineStr">
        <is>
          <t>LINDESBERG</t>
        </is>
      </c>
      <c r="F102" t="inlineStr">
        <is>
          <t>Sveaskog</t>
        </is>
      </c>
      <c r="G102" t="n">
        <v>8</v>
      </c>
      <c r="H102" t="n">
        <v>0</v>
      </c>
      <c r="I102" t="n">
        <v>0</v>
      </c>
      <c r="J102" t="n">
        <v>1</v>
      </c>
      <c r="K102" t="n">
        <v>0</v>
      </c>
      <c r="L102" t="n">
        <v>0</v>
      </c>
      <c r="M102" t="n">
        <v>0</v>
      </c>
      <c r="N102" t="n">
        <v>0</v>
      </c>
      <c r="O102" t="n">
        <v>1</v>
      </c>
      <c r="P102" t="n">
        <v>0</v>
      </c>
      <c r="Q102" t="n">
        <v>1</v>
      </c>
      <c r="R102" s="2" t="inlineStr">
        <is>
          <t>Lunglav</t>
        </is>
      </c>
      <c r="S102">
        <f>HYPERLINK("https://klasma.github.io/Logging_1885/artfynd/A 27727-2026 artfynd.xlsx", "A 27727-2026")</f>
        <v/>
      </c>
      <c r="T102">
        <f>HYPERLINK("https://klasma.github.io/Logging_1885/kartor/A 27727-2026 karta.png", "A 27727-2026")</f>
        <v/>
      </c>
      <c r="V102">
        <f>HYPERLINK("https://klasma.github.io/Logging_1885/klagomål/A 27727-2026 FSC-klagomål.docx", "A 27727-2026")</f>
        <v/>
      </c>
      <c r="W102">
        <f>HYPERLINK("https://klasma.github.io/Logging_1885/klagomålsmail/A 27727-2026 FSC-klagomål mail.docx", "A 27727-2026")</f>
        <v/>
      </c>
      <c r="X102">
        <f>HYPERLINK("https://klasma.github.io/Logging_1885/tillsyn/A 27727-2026 tillsynsbegäran.docx", "A 27727-2026")</f>
        <v/>
      </c>
      <c r="Y102">
        <f>HYPERLINK("https://klasma.github.io/Logging_1885/tillsynsmail/A 27727-2026 tillsynsbegäran mail.docx", "A 27727-2026")</f>
        <v/>
      </c>
    </row>
    <row r="103" ht="15" customHeight="1">
      <c r="A103" t="inlineStr">
        <is>
          <t>A 22747-2026</t>
        </is>
      </c>
      <c r="B103" s="1" t="n">
        <v>46157</v>
      </c>
      <c r="C103" s="1" t="n">
        <v>46205</v>
      </c>
      <c r="D103" t="inlineStr">
        <is>
          <t>ÖREBRO LÄN</t>
        </is>
      </c>
      <c r="E103" t="inlineStr">
        <is>
          <t>LINDESBERG</t>
        </is>
      </c>
      <c r="G103" t="n">
        <v>4.4</v>
      </c>
      <c r="H103" t="n">
        <v>1</v>
      </c>
      <c r="I103" t="n">
        <v>0</v>
      </c>
      <c r="J103" t="n">
        <v>0</v>
      </c>
      <c r="K103" t="n">
        <v>0</v>
      </c>
      <c r="L103" t="n">
        <v>0</v>
      </c>
      <c r="M103" t="n">
        <v>0</v>
      </c>
      <c r="N103" t="n">
        <v>0</v>
      </c>
      <c r="O103" t="n">
        <v>0</v>
      </c>
      <c r="P103" t="n">
        <v>0</v>
      </c>
      <c r="Q103" t="n">
        <v>1</v>
      </c>
      <c r="R103" s="2" t="inlineStr">
        <is>
          <t>Fiskgjuse</t>
        </is>
      </c>
      <c r="S103">
        <f>HYPERLINK("https://klasma.github.io/Logging_1885/artfynd/A 22747-2026 artfynd.xlsx", "A 22747-2026")</f>
        <v/>
      </c>
      <c r="T103">
        <f>HYPERLINK("https://klasma.github.io/Logging_1885/kartor/A 22747-2026 karta.png", "A 22747-2026")</f>
        <v/>
      </c>
      <c r="V103">
        <f>HYPERLINK("https://klasma.github.io/Logging_1885/klagomål/A 22747-2026 FSC-klagomål.docx", "A 22747-2026")</f>
        <v/>
      </c>
      <c r="W103">
        <f>HYPERLINK("https://klasma.github.io/Logging_1885/klagomålsmail/A 22747-2026 FSC-klagomål mail.docx", "A 22747-2026")</f>
        <v/>
      </c>
      <c r="X103">
        <f>HYPERLINK("https://klasma.github.io/Logging_1885/tillsyn/A 22747-2026 tillsynsbegäran.docx", "A 22747-2026")</f>
        <v/>
      </c>
      <c r="Y103">
        <f>HYPERLINK("https://klasma.github.io/Logging_1885/tillsynsmail/A 22747-2026 tillsynsbegäran mail.docx", "A 22747-2026")</f>
        <v/>
      </c>
      <c r="Z103">
        <f>HYPERLINK("https://klasma.github.io/Logging_1885/fåglar/A 22747-2026 prioriterade fågelarter.docx", "A 22747-2026")</f>
        <v/>
      </c>
    </row>
    <row r="104" ht="15" customHeight="1">
      <c r="A104" t="inlineStr">
        <is>
          <t>A 11953-2024</t>
        </is>
      </c>
      <c r="B104" s="1" t="n">
        <v>45376</v>
      </c>
      <c r="C104" s="1" t="n">
        <v>46205</v>
      </c>
      <c r="D104" t="inlineStr">
        <is>
          <t>ÖREBRO LÄN</t>
        </is>
      </c>
      <c r="E104" t="inlineStr">
        <is>
          <t>LINDESBERG</t>
        </is>
      </c>
      <c r="G104" t="n">
        <v>5.7</v>
      </c>
      <c r="H104" t="n">
        <v>1</v>
      </c>
      <c r="I104" t="n">
        <v>0</v>
      </c>
      <c r="J104" t="n">
        <v>0</v>
      </c>
      <c r="K104" t="n">
        <v>0</v>
      </c>
      <c r="L104" t="n">
        <v>0</v>
      </c>
      <c r="M104" t="n">
        <v>0</v>
      </c>
      <c r="N104" t="n">
        <v>0</v>
      </c>
      <c r="O104" t="n">
        <v>0</v>
      </c>
      <c r="P104" t="n">
        <v>0</v>
      </c>
      <c r="Q104" t="n">
        <v>1</v>
      </c>
      <c r="R104" s="2" t="inlineStr">
        <is>
          <t>Utter</t>
        </is>
      </c>
      <c r="S104">
        <f>HYPERLINK("https://klasma.github.io/Logging_1885/artfynd/A 11953-2024 artfynd.xlsx", "A 11953-2024")</f>
        <v/>
      </c>
      <c r="T104">
        <f>HYPERLINK("https://klasma.github.io/Logging_1885/kartor/A 11953-2024 karta.png", "A 11953-2024")</f>
        <v/>
      </c>
      <c r="V104">
        <f>HYPERLINK("https://klasma.github.io/Logging_1885/klagomål/A 11953-2024 FSC-klagomål.docx", "A 11953-2024")</f>
        <v/>
      </c>
      <c r="W104">
        <f>HYPERLINK("https://klasma.github.io/Logging_1885/klagomålsmail/A 11953-2024 FSC-klagomål mail.docx", "A 11953-2024")</f>
        <v/>
      </c>
      <c r="X104">
        <f>HYPERLINK("https://klasma.github.io/Logging_1885/tillsyn/A 11953-2024 tillsynsbegäran.docx", "A 11953-2024")</f>
        <v/>
      </c>
      <c r="Y104">
        <f>HYPERLINK("https://klasma.github.io/Logging_1885/tillsynsmail/A 11953-2024 tillsynsbegäran mail.docx", "A 11953-2024")</f>
        <v/>
      </c>
    </row>
    <row r="105" ht="15" customHeight="1">
      <c r="A105" t="inlineStr">
        <is>
          <t>A 67013-2021</t>
        </is>
      </c>
      <c r="B105" s="1" t="n">
        <v>44522</v>
      </c>
      <c r="C105" s="1" t="n">
        <v>46205</v>
      </c>
      <c r="D105" t="inlineStr">
        <is>
          <t>ÖREBRO LÄN</t>
        </is>
      </c>
      <c r="E105" t="inlineStr">
        <is>
          <t>LINDESBERG</t>
        </is>
      </c>
      <c r="G105" t="n">
        <v>0.5</v>
      </c>
      <c r="H105" t="n">
        <v>0</v>
      </c>
      <c r="I105" t="n">
        <v>0</v>
      </c>
      <c r="J105" t="n">
        <v>1</v>
      </c>
      <c r="K105" t="n">
        <v>0</v>
      </c>
      <c r="L105" t="n">
        <v>0</v>
      </c>
      <c r="M105" t="n">
        <v>0</v>
      </c>
      <c r="N105" t="n">
        <v>0</v>
      </c>
      <c r="O105" t="n">
        <v>1</v>
      </c>
      <c r="P105" t="n">
        <v>0</v>
      </c>
      <c r="Q105" t="n">
        <v>1</v>
      </c>
      <c r="R105" s="2" t="inlineStr">
        <is>
          <t>Skogsklocka</t>
        </is>
      </c>
      <c r="S105">
        <f>HYPERLINK("https://klasma.github.io/Logging_1885/artfynd/A 67013-2021 artfynd.xlsx", "A 67013-2021")</f>
        <v/>
      </c>
      <c r="T105">
        <f>HYPERLINK("https://klasma.github.io/Logging_1885/kartor/A 67013-2021 karta.png", "A 67013-2021")</f>
        <v/>
      </c>
      <c r="V105">
        <f>HYPERLINK("https://klasma.github.io/Logging_1885/klagomål/A 67013-2021 FSC-klagomål.docx", "A 67013-2021")</f>
        <v/>
      </c>
      <c r="W105">
        <f>HYPERLINK("https://klasma.github.io/Logging_1885/klagomålsmail/A 67013-2021 FSC-klagomål mail.docx", "A 67013-2021")</f>
        <v/>
      </c>
      <c r="X105">
        <f>HYPERLINK("https://klasma.github.io/Logging_1885/tillsyn/A 67013-2021 tillsynsbegäran.docx", "A 67013-2021")</f>
        <v/>
      </c>
      <c r="Y105">
        <f>HYPERLINK("https://klasma.github.io/Logging_1885/tillsynsmail/A 67013-2021 tillsynsbegäran mail.docx", "A 67013-2021")</f>
        <v/>
      </c>
    </row>
    <row r="106" ht="15" customHeight="1">
      <c r="A106" t="inlineStr">
        <is>
          <t>A 29404-2026</t>
        </is>
      </c>
      <c r="B106" s="1" t="n">
        <v>46203</v>
      </c>
      <c r="C106" s="1" t="n">
        <v>46205</v>
      </c>
      <c r="D106" t="inlineStr">
        <is>
          <t>ÖREBRO LÄN</t>
        </is>
      </c>
      <c r="E106" t="inlineStr">
        <is>
          <t>LINDESBERG</t>
        </is>
      </c>
      <c r="F106" t="inlineStr">
        <is>
          <t>Sveaskog</t>
        </is>
      </c>
      <c r="G106" t="n">
        <v>10.1</v>
      </c>
      <c r="H106" t="n">
        <v>1</v>
      </c>
      <c r="I106" t="n">
        <v>0</v>
      </c>
      <c r="J106" t="n">
        <v>0</v>
      </c>
      <c r="K106" t="n">
        <v>0</v>
      </c>
      <c r="L106" t="n">
        <v>0</v>
      </c>
      <c r="M106" t="n">
        <v>0</v>
      </c>
      <c r="N106" t="n">
        <v>0</v>
      </c>
      <c r="O106" t="n">
        <v>0</v>
      </c>
      <c r="P106" t="n">
        <v>0</v>
      </c>
      <c r="Q106" t="n">
        <v>1</v>
      </c>
      <c r="R106" s="2" t="inlineStr">
        <is>
          <t>Tjäder</t>
        </is>
      </c>
      <c r="S106">
        <f>HYPERLINK("https://klasma.github.io/Logging_1885/artfynd/A 29404-2026 artfynd.xlsx", "A 29404-2026")</f>
        <v/>
      </c>
      <c r="T106">
        <f>HYPERLINK("https://klasma.github.io/Logging_1885/kartor/A 29404-2026 karta.png", "A 29404-2026")</f>
        <v/>
      </c>
      <c r="V106">
        <f>HYPERLINK("https://klasma.github.io/Logging_1885/klagomål/A 29404-2026 FSC-klagomål.docx", "A 29404-2026")</f>
        <v/>
      </c>
      <c r="W106">
        <f>HYPERLINK("https://klasma.github.io/Logging_1885/klagomålsmail/A 29404-2026 FSC-klagomål mail.docx", "A 29404-2026")</f>
        <v/>
      </c>
      <c r="X106">
        <f>HYPERLINK("https://klasma.github.io/Logging_1885/tillsyn/A 29404-2026 tillsynsbegäran.docx", "A 29404-2026")</f>
        <v/>
      </c>
      <c r="Y106">
        <f>HYPERLINK("https://klasma.github.io/Logging_1885/tillsynsmail/A 29404-2026 tillsynsbegäran mail.docx", "A 29404-2026")</f>
        <v/>
      </c>
      <c r="Z106">
        <f>HYPERLINK("https://klasma.github.io/Logging_1885/fåglar/A 29404-2026 prioriterade fågelarter.docx", "A 29404-2026")</f>
        <v/>
      </c>
    </row>
    <row r="107" ht="15" customHeight="1">
      <c r="A107" t="inlineStr">
        <is>
          <t>A 23337-2026</t>
        </is>
      </c>
      <c r="B107" s="1" t="n">
        <v>46162</v>
      </c>
      <c r="C107" s="1" t="n">
        <v>46205</v>
      </c>
      <c r="D107" t="inlineStr">
        <is>
          <t>ÖREBRO LÄN</t>
        </is>
      </c>
      <c r="E107" t="inlineStr">
        <is>
          <t>LINDESBERG</t>
        </is>
      </c>
      <c r="F107" t="inlineStr">
        <is>
          <t>Naturvårdsverket</t>
        </is>
      </c>
      <c r="G107" t="n">
        <v>1.4</v>
      </c>
      <c r="H107" t="n">
        <v>1</v>
      </c>
      <c r="I107" t="n">
        <v>0</v>
      </c>
      <c r="J107" t="n">
        <v>0</v>
      </c>
      <c r="K107" t="n">
        <v>0</v>
      </c>
      <c r="L107" t="n">
        <v>0</v>
      </c>
      <c r="M107" t="n">
        <v>0</v>
      </c>
      <c r="N107" t="n">
        <v>0</v>
      </c>
      <c r="O107" t="n">
        <v>0</v>
      </c>
      <c r="P107" t="n">
        <v>0</v>
      </c>
      <c r="Q107" t="n">
        <v>1</v>
      </c>
      <c r="R107" s="2" t="inlineStr">
        <is>
          <t>Spillkråka</t>
        </is>
      </c>
      <c r="S107">
        <f>HYPERLINK("https://klasma.github.io/Logging_1885/artfynd/A 23337-2026 artfynd.xlsx", "A 23337-2026")</f>
        <v/>
      </c>
      <c r="T107">
        <f>HYPERLINK("https://klasma.github.io/Logging_1885/kartor/A 23337-2026 karta.png", "A 23337-2026")</f>
        <v/>
      </c>
      <c r="V107">
        <f>HYPERLINK("https://klasma.github.io/Logging_1885/klagomål/A 23337-2026 FSC-klagomål.docx", "A 23337-2026")</f>
        <v/>
      </c>
      <c r="W107">
        <f>HYPERLINK("https://klasma.github.io/Logging_1885/klagomålsmail/A 23337-2026 FSC-klagomål mail.docx", "A 23337-2026")</f>
        <v/>
      </c>
      <c r="X107">
        <f>HYPERLINK("https://klasma.github.io/Logging_1885/tillsyn/A 23337-2026 tillsynsbegäran.docx", "A 23337-2026")</f>
        <v/>
      </c>
      <c r="Y107">
        <f>HYPERLINK("https://klasma.github.io/Logging_1885/tillsynsmail/A 23337-2026 tillsynsbegäran mail.docx", "A 23337-2026")</f>
        <v/>
      </c>
      <c r="Z107">
        <f>HYPERLINK("https://klasma.github.io/Logging_1885/fåglar/A 23337-2026 prioriterade fågelarter.docx", "A 23337-2026")</f>
        <v/>
      </c>
    </row>
    <row r="108" ht="15" customHeight="1">
      <c r="A108" t="inlineStr">
        <is>
          <t>A 16791-2024</t>
        </is>
      </c>
      <c r="B108" s="1" t="n">
        <v>45411</v>
      </c>
      <c r="C108" s="1" t="n">
        <v>46205</v>
      </c>
      <c r="D108" t="inlineStr">
        <is>
          <t>ÖREBRO LÄN</t>
        </is>
      </c>
      <c r="E108" t="inlineStr">
        <is>
          <t>LINDESBERG</t>
        </is>
      </c>
      <c r="G108" t="n">
        <v>16.1</v>
      </c>
      <c r="H108" t="n">
        <v>1</v>
      </c>
      <c r="I108" t="n">
        <v>0</v>
      </c>
      <c r="J108" t="n">
        <v>0</v>
      </c>
      <c r="K108" t="n">
        <v>0</v>
      </c>
      <c r="L108" t="n">
        <v>0</v>
      </c>
      <c r="M108" t="n">
        <v>0</v>
      </c>
      <c r="N108" t="n">
        <v>0</v>
      </c>
      <c r="O108" t="n">
        <v>0</v>
      </c>
      <c r="P108" t="n">
        <v>0</v>
      </c>
      <c r="Q108" t="n">
        <v>1</v>
      </c>
      <c r="R108" s="2" t="inlineStr">
        <is>
          <t>Spillkråka</t>
        </is>
      </c>
      <c r="S108">
        <f>HYPERLINK("https://klasma.github.io/Logging_1885/artfynd/A 16791-2024 artfynd.xlsx", "A 16791-2024")</f>
        <v/>
      </c>
      <c r="T108">
        <f>HYPERLINK("https://klasma.github.io/Logging_1885/kartor/A 16791-2024 karta.png", "A 16791-2024")</f>
        <v/>
      </c>
      <c r="V108">
        <f>HYPERLINK("https://klasma.github.io/Logging_1885/klagomål/A 16791-2024 FSC-klagomål.docx", "A 16791-2024")</f>
        <v/>
      </c>
      <c r="W108">
        <f>HYPERLINK("https://klasma.github.io/Logging_1885/klagomålsmail/A 16791-2024 FSC-klagomål mail.docx", "A 16791-2024")</f>
        <v/>
      </c>
      <c r="X108">
        <f>HYPERLINK("https://klasma.github.io/Logging_1885/tillsyn/A 16791-2024 tillsynsbegäran.docx", "A 16791-2024")</f>
        <v/>
      </c>
      <c r="Y108">
        <f>HYPERLINK("https://klasma.github.io/Logging_1885/tillsynsmail/A 16791-2024 tillsynsbegäran mail.docx", "A 16791-2024")</f>
        <v/>
      </c>
      <c r="Z108">
        <f>HYPERLINK("https://klasma.github.io/Logging_1885/fåglar/A 16791-2024 prioriterade fågelarter.docx", "A 16791-2024")</f>
        <v/>
      </c>
    </row>
    <row r="109" ht="15" customHeight="1">
      <c r="A109" t="inlineStr">
        <is>
          <t>A 61132-2024</t>
        </is>
      </c>
      <c r="B109" s="1" t="n">
        <v>45645</v>
      </c>
      <c r="C109" s="1" t="n">
        <v>46205</v>
      </c>
      <c r="D109" t="inlineStr">
        <is>
          <t>ÖREBRO LÄN</t>
        </is>
      </c>
      <c r="E109" t="inlineStr">
        <is>
          <t>LINDESBERG</t>
        </is>
      </c>
      <c r="F109" t="inlineStr">
        <is>
          <t>Sveaskog</t>
        </is>
      </c>
      <c r="G109" t="n">
        <v>2.5</v>
      </c>
      <c r="H109" t="n">
        <v>0</v>
      </c>
      <c r="I109" t="n">
        <v>1</v>
      </c>
      <c r="J109" t="n">
        <v>0</v>
      </c>
      <c r="K109" t="n">
        <v>0</v>
      </c>
      <c r="L109" t="n">
        <v>0</v>
      </c>
      <c r="M109" t="n">
        <v>0</v>
      </c>
      <c r="N109" t="n">
        <v>0</v>
      </c>
      <c r="O109" t="n">
        <v>0</v>
      </c>
      <c r="P109" t="n">
        <v>0</v>
      </c>
      <c r="Q109" t="n">
        <v>1</v>
      </c>
      <c r="R109" s="2" t="inlineStr">
        <is>
          <t>Bollvitmossa</t>
        </is>
      </c>
      <c r="S109">
        <f>HYPERLINK("https://klasma.github.io/Logging_1885/artfynd/A 61132-2024 artfynd.xlsx", "A 61132-2024")</f>
        <v/>
      </c>
      <c r="T109">
        <f>HYPERLINK("https://klasma.github.io/Logging_1885/kartor/A 61132-2024 karta.png", "A 61132-2024")</f>
        <v/>
      </c>
      <c r="V109">
        <f>HYPERLINK("https://klasma.github.io/Logging_1885/klagomål/A 61132-2024 FSC-klagomål.docx", "A 61132-2024")</f>
        <v/>
      </c>
      <c r="W109">
        <f>HYPERLINK("https://klasma.github.io/Logging_1885/klagomålsmail/A 61132-2024 FSC-klagomål mail.docx", "A 61132-2024")</f>
        <v/>
      </c>
      <c r="X109">
        <f>HYPERLINK("https://klasma.github.io/Logging_1885/tillsyn/A 61132-2024 tillsynsbegäran.docx", "A 61132-2024")</f>
        <v/>
      </c>
      <c r="Y109">
        <f>HYPERLINK("https://klasma.github.io/Logging_1885/tillsynsmail/A 61132-2024 tillsynsbegäran mail.docx", "A 61132-2024")</f>
        <v/>
      </c>
    </row>
    <row r="110" ht="15" customHeight="1">
      <c r="A110" t="inlineStr">
        <is>
          <t>A 21440-2025</t>
        </is>
      </c>
      <c r="B110" s="1" t="n">
        <v>45782</v>
      </c>
      <c r="C110" s="1" t="n">
        <v>46205</v>
      </c>
      <c r="D110" t="inlineStr">
        <is>
          <t>ÖREBRO LÄN</t>
        </is>
      </c>
      <c r="E110" t="inlineStr">
        <is>
          <t>LINDESBERG</t>
        </is>
      </c>
      <c r="F110" t="inlineStr">
        <is>
          <t>Sveaskog</t>
        </is>
      </c>
      <c r="G110" t="n">
        <v>1.3</v>
      </c>
      <c r="H110" t="n">
        <v>0</v>
      </c>
      <c r="I110" t="n">
        <v>0</v>
      </c>
      <c r="J110" t="n">
        <v>1</v>
      </c>
      <c r="K110" t="n">
        <v>0</v>
      </c>
      <c r="L110" t="n">
        <v>0</v>
      </c>
      <c r="M110" t="n">
        <v>0</v>
      </c>
      <c r="N110" t="n">
        <v>0</v>
      </c>
      <c r="O110" t="n">
        <v>1</v>
      </c>
      <c r="P110" t="n">
        <v>0</v>
      </c>
      <c r="Q110" t="n">
        <v>1</v>
      </c>
      <c r="R110" s="2" t="inlineStr">
        <is>
          <t>Motaggsvamp</t>
        </is>
      </c>
      <c r="S110">
        <f>HYPERLINK("https://klasma.github.io/Logging_1885/artfynd/A 21440-2025 artfynd.xlsx", "A 21440-2025")</f>
        <v/>
      </c>
      <c r="T110">
        <f>HYPERLINK("https://klasma.github.io/Logging_1885/kartor/A 21440-2025 karta.png", "A 21440-2025")</f>
        <v/>
      </c>
      <c r="V110">
        <f>HYPERLINK("https://klasma.github.io/Logging_1885/klagomål/A 21440-2025 FSC-klagomål.docx", "A 21440-2025")</f>
        <v/>
      </c>
      <c r="W110">
        <f>HYPERLINK("https://klasma.github.io/Logging_1885/klagomålsmail/A 21440-2025 FSC-klagomål mail.docx", "A 21440-2025")</f>
        <v/>
      </c>
      <c r="X110">
        <f>HYPERLINK("https://klasma.github.io/Logging_1885/tillsyn/A 21440-2025 tillsynsbegäran.docx", "A 21440-2025")</f>
        <v/>
      </c>
      <c r="Y110">
        <f>HYPERLINK("https://klasma.github.io/Logging_1885/tillsynsmail/A 21440-2025 tillsynsbegäran mail.docx", "A 21440-2025")</f>
        <v/>
      </c>
    </row>
    <row r="111" ht="15" customHeight="1">
      <c r="A111" t="inlineStr">
        <is>
          <t>A 56049-2022</t>
        </is>
      </c>
      <c r="B111" s="1" t="n">
        <v>44889</v>
      </c>
      <c r="C111" s="1" t="n">
        <v>46205</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43154-2021</t>
        </is>
      </c>
      <c r="B112" s="1" t="n">
        <v>44431</v>
      </c>
      <c r="C112" s="1" t="n">
        <v>46205</v>
      </c>
      <c r="D112" t="inlineStr">
        <is>
          <t>ÖREBRO LÄN</t>
        </is>
      </c>
      <c r="E112" t="inlineStr">
        <is>
          <t>LINDESBERG</t>
        </is>
      </c>
      <c r="F112" t="inlineStr">
        <is>
          <t>Sveaskog</t>
        </is>
      </c>
      <c r="G112" t="n">
        <v>0.7</v>
      </c>
      <c r="H112" t="n">
        <v>0</v>
      </c>
      <c r="I112" t="n">
        <v>0</v>
      </c>
      <c r="J112" t="n">
        <v>0</v>
      </c>
      <c r="K112" t="n">
        <v>0</v>
      </c>
      <c r="L112" t="n">
        <v>0</v>
      </c>
      <c r="M112" t="n">
        <v>0</v>
      </c>
      <c r="N112" t="n">
        <v>0</v>
      </c>
      <c r="O112" t="n">
        <v>0</v>
      </c>
      <c r="P112" t="n">
        <v>0</v>
      </c>
      <c r="Q112" t="n">
        <v>0</v>
      </c>
      <c r="R112" s="2" t="inlineStr"/>
    </row>
    <row r="113" ht="15" customHeight="1">
      <c r="A113" t="inlineStr">
        <is>
          <t>A 47457-2022</t>
        </is>
      </c>
      <c r="B113" s="1" t="n">
        <v>44853</v>
      </c>
      <c r="C113" s="1" t="n">
        <v>46205</v>
      </c>
      <c r="D113" t="inlineStr">
        <is>
          <t>ÖREBRO LÄN</t>
        </is>
      </c>
      <c r="E113" t="inlineStr">
        <is>
          <t>LINDESBERG</t>
        </is>
      </c>
      <c r="G113" t="n">
        <v>3.7</v>
      </c>
      <c r="H113" t="n">
        <v>0</v>
      </c>
      <c r="I113" t="n">
        <v>0</v>
      </c>
      <c r="J113" t="n">
        <v>0</v>
      </c>
      <c r="K113" t="n">
        <v>0</v>
      </c>
      <c r="L113" t="n">
        <v>0</v>
      </c>
      <c r="M113" t="n">
        <v>0</v>
      </c>
      <c r="N113" t="n">
        <v>0</v>
      </c>
      <c r="O113" t="n">
        <v>0</v>
      </c>
      <c r="P113" t="n">
        <v>0</v>
      </c>
      <c r="Q113" t="n">
        <v>0</v>
      </c>
      <c r="R113" s="2" t="inlineStr"/>
    </row>
    <row r="114" ht="15" customHeight="1">
      <c r="A114" t="inlineStr">
        <is>
          <t>A 47336-2021</t>
        </is>
      </c>
      <c r="B114" s="1" t="n">
        <v>44447</v>
      </c>
      <c r="C114" s="1" t="n">
        <v>46205</v>
      </c>
      <c r="D114" t="inlineStr">
        <is>
          <t>ÖREBRO LÄN</t>
        </is>
      </c>
      <c r="E114" t="inlineStr">
        <is>
          <t>LINDESBERG</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60302-2021</t>
        </is>
      </c>
      <c r="B115" s="1" t="n">
        <v>44495</v>
      </c>
      <c r="C115" s="1" t="n">
        <v>46205</v>
      </c>
      <c r="D115" t="inlineStr">
        <is>
          <t>ÖREBRO LÄN</t>
        </is>
      </c>
      <c r="E115" t="inlineStr">
        <is>
          <t>LINDESBERG</t>
        </is>
      </c>
      <c r="G115" t="n">
        <v>3.2</v>
      </c>
      <c r="H115" t="n">
        <v>0</v>
      </c>
      <c r="I115" t="n">
        <v>0</v>
      </c>
      <c r="J115" t="n">
        <v>0</v>
      </c>
      <c r="K115" t="n">
        <v>0</v>
      </c>
      <c r="L115" t="n">
        <v>0</v>
      </c>
      <c r="M115" t="n">
        <v>0</v>
      </c>
      <c r="N115" t="n">
        <v>0</v>
      </c>
      <c r="O115" t="n">
        <v>0</v>
      </c>
      <c r="P115" t="n">
        <v>0</v>
      </c>
      <c r="Q115" t="n">
        <v>0</v>
      </c>
      <c r="R115" s="2" t="inlineStr"/>
    </row>
    <row r="116" ht="15" customHeight="1">
      <c r="A116" t="inlineStr">
        <is>
          <t>A 48986-2021</t>
        </is>
      </c>
      <c r="B116" s="1" t="n">
        <v>44453</v>
      </c>
      <c r="C116" s="1" t="n">
        <v>46205</v>
      </c>
      <c r="D116" t="inlineStr">
        <is>
          <t>ÖREBRO LÄN</t>
        </is>
      </c>
      <c r="E116" t="inlineStr">
        <is>
          <t>LINDESBERG</t>
        </is>
      </c>
      <c r="G116" t="n">
        <v>1.5</v>
      </c>
      <c r="H116" t="n">
        <v>0</v>
      </c>
      <c r="I116" t="n">
        <v>0</v>
      </c>
      <c r="J116" t="n">
        <v>0</v>
      </c>
      <c r="K116" t="n">
        <v>0</v>
      </c>
      <c r="L116" t="n">
        <v>0</v>
      </c>
      <c r="M116" t="n">
        <v>0</v>
      </c>
      <c r="N116" t="n">
        <v>0</v>
      </c>
      <c r="O116" t="n">
        <v>0</v>
      </c>
      <c r="P116" t="n">
        <v>0</v>
      </c>
      <c r="Q116" t="n">
        <v>0</v>
      </c>
      <c r="R116" s="2" t="inlineStr"/>
    </row>
    <row r="117" ht="15" customHeight="1">
      <c r="A117" t="inlineStr">
        <is>
          <t>A 57817-2021</t>
        </is>
      </c>
      <c r="B117" s="1" t="n">
        <v>44484</v>
      </c>
      <c r="C117" s="1" t="n">
        <v>46205</v>
      </c>
      <c r="D117" t="inlineStr">
        <is>
          <t>ÖREBRO LÄN</t>
        </is>
      </c>
      <c r="E117" t="inlineStr">
        <is>
          <t>LINDESBERG</t>
        </is>
      </c>
      <c r="G117" t="n">
        <v>2.3</v>
      </c>
      <c r="H117" t="n">
        <v>0</v>
      </c>
      <c r="I117" t="n">
        <v>0</v>
      </c>
      <c r="J117" t="n">
        <v>0</v>
      </c>
      <c r="K117" t="n">
        <v>0</v>
      </c>
      <c r="L117" t="n">
        <v>0</v>
      </c>
      <c r="M117" t="n">
        <v>0</v>
      </c>
      <c r="N117" t="n">
        <v>0</v>
      </c>
      <c r="O117" t="n">
        <v>0</v>
      </c>
      <c r="P117" t="n">
        <v>0</v>
      </c>
      <c r="Q117" t="n">
        <v>0</v>
      </c>
      <c r="R117" s="2" t="inlineStr"/>
    </row>
    <row r="118" ht="15" customHeight="1">
      <c r="A118" t="inlineStr">
        <is>
          <t>A 63285-2021</t>
        </is>
      </c>
      <c r="B118" s="1" t="n">
        <v>44508</v>
      </c>
      <c r="C118" s="1" t="n">
        <v>46205</v>
      </c>
      <c r="D118" t="inlineStr">
        <is>
          <t>ÖREBRO LÄN</t>
        </is>
      </c>
      <c r="E118" t="inlineStr">
        <is>
          <t>LINDESBERG</t>
        </is>
      </c>
      <c r="G118" t="n">
        <v>0.9</v>
      </c>
      <c r="H118" t="n">
        <v>0</v>
      </c>
      <c r="I118" t="n">
        <v>0</v>
      </c>
      <c r="J118" t="n">
        <v>0</v>
      </c>
      <c r="K118" t="n">
        <v>0</v>
      </c>
      <c r="L118" t="n">
        <v>0</v>
      </c>
      <c r="M118" t="n">
        <v>0</v>
      </c>
      <c r="N118" t="n">
        <v>0</v>
      </c>
      <c r="O118" t="n">
        <v>0</v>
      </c>
      <c r="P118" t="n">
        <v>0</v>
      </c>
      <c r="Q118" t="n">
        <v>0</v>
      </c>
      <c r="R118" s="2" t="inlineStr"/>
    </row>
    <row r="119" ht="15" customHeight="1">
      <c r="A119" t="inlineStr">
        <is>
          <t>A 62586-2021</t>
        </is>
      </c>
      <c r="B119" s="1" t="n">
        <v>44503</v>
      </c>
      <c r="C119" s="1" t="n">
        <v>46205</v>
      </c>
      <c r="D119" t="inlineStr">
        <is>
          <t>ÖREBRO LÄN</t>
        </is>
      </c>
      <c r="E119" t="inlineStr">
        <is>
          <t>LINDESBERG</t>
        </is>
      </c>
      <c r="G119" t="n">
        <v>3.9</v>
      </c>
      <c r="H119" t="n">
        <v>0</v>
      </c>
      <c r="I119" t="n">
        <v>0</v>
      </c>
      <c r="J119" t="n">
        <v>0</v>
      </c>
      <c r="K119" t="n">
        <v>0</v>
      </c>
      <c r="L119" t="n">
        <v>0</v>
      </c>
      <c r="M119" t="n">
        <v>0</v>
      </c>
      <c r="N119" t="n">
        <v>0</v>
      </c>
      <c r="O119" t="n">
        <v>0</v>
      </c>
      <c r="P119" t="n">
        <v>0</v>
      </c>
      <c r="Q119" t="n">
        <v>0</v>
      </c>
      <c r="R119" s="2" t="inlineStr"/>
    </row>
    <row r="120" ht="15" customHeight="1">
      <c r="A120" t="inlineStr">
        <is>
          <t>A 51468-2021</t>
        </is>
      </c>
      <c r="B120" s="1" t="n">
        <v>44462</v>
      </c>
      <c r="C120" s="1" t="n">
        <v>46205</v>
      </c>
      <c r="D120" t="inlineStr">
        <is>
          <t>ÖREBRO LÄN</t>
        </is>
      </c>
      <c r="E120" t="inlineStr">
        <is>
          <t>LINDESBERG</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8555-2022</t>
        </is>
      </c>
      <c r="B121" s="1" t="n">
        <v>44613</v>
      </c>
      <c r="C121" s="1" t="n">
        <v>46205</v>
      </c>
      <c r="D121" t="inlineStr">
        <is>
          <t>ÖREBRO LÄN</t>
        </is>
      </c>
      <c r="E121" t="inlineStr">
        <is>
          <t>LINDESBERG</t>
        </is>
      </c>
      <c r="G121" t="n">
        <v>8.1</v>
      </c>
      <c r="H121" t="n">
        <v>0</v>
      </c>
      <c r="I121" t="n">
        <v>0</v>
      </c>
      <c r="J121" t="n">
        <v>0</v>
      </c>
      <c r="K121" t="n">
        <v>0</v>
      </c>
      <c r="L121" t="n">
        <v>0</v>
      </c>
      <c r="M121" t="n">
        <v>0</v>
      </c>
      <c r="N121" t="n">
        <v>0</v>
      </c>
      <c r="O121" t="n">
        <v>0</v>
      </c>
      <c r="P121" t="n">
        <v>0</v>
      </c>
      <c r="Q121" t="n">
        <v>0</v>
      </c>
      <c r="R121" s="2" t="inlineStr"/>
    </row>
    <row r="122" ht="15" customHeight="1">
      <c r="A122" t="inlineStr">
        <is>
          <t>A 35739-2021</t>
        </is>
      </c>
      <c r="B122" s="1" t="n">
        <v>44386</v>
      </c>
      <c r="C122" s="1" t="n">
        <v>46205</v>
      </c>
      <c r="D122" t="inlineStr">
        <is>
          <t>ÖREBRO LÄN</t>
        </is>
      </c>
      <c r="E122" t="inlineStr">
        <is>
          <t>LINDESBERG</t>
        </is>
      </c>
      <c r="G122" t="n">
        <v>5.5</v>
      </c>
      <c r="H122" t="n">
        <v>0</v>
      </c>
      <c r="I122" t="n">
        <v>0</v>
      </c>
      <c r="J122" t="n">
        <v>0</v>
      </c>
      <c r="K122" t="n">
        <v>0</v>
      </c>
      <c r="L122" t="n">
        <v>0</v>
      </c>
      <c r="M122" t="n">
        <v>0</v>
      </c>
      <c r="N122" t="n">
        <v>0</v>
      </c>
      <c r="O122" t="n">
        <v>0</v>
      </c>
      <c r="P122" t="n">
        <v>0</v>
      </c>
      <c r="Q122" t="n">
        <v>0</v>
      </c>
      <c r="R122" s="2" t="inlineStr"/>
    </row>
    <row r="123" ht="15" customHeight="1">
      <c r="A123" t="inlineStr">
        <is>
          <t>A 42511-2021</t>
        </is>
      </c>
      <c r="B123" s="1" t="n">
        <v>44427</v>
      </c>
      <c r="C123" s="1" t="n">
        <v>46205</v>
      </c>
      <c r="D123" t="inlineStr">
        <is>
          <t>ÖREBRO LÄN</t>
        </is>
      </c>
      <c r="E123" t="inlineStr">
        <is>
          <t>LINDESBERG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45961-2021</t>
        </is>
      </c>
      <c r="B124" s="1" t="n">
        <v>44441</v>
      </c>
      <c r="C124" s="1" t="n">
        <v>46205</v>
      </c>
      <c r="D124" t="inlineStr">
        <is>
          <t>ÖREBRO LÄN</t>
        </is>
      </c>
      <c r="E124" t="inlineStr">
        <is>
          <t>LINDESBERG</t>
        </is>
      </c>
      <c r="G124" t="n">
        <v>1</v>
      </c>
      <c r="H124" t="n">
        <v>0</v>
      </c>
      <c r="I124" t="n">
        <v>0</v>
      </c>
      <c r="J124" t="n">
        <v>0</v>
      </c>
      <c r="K124" t="n">
        <v>0</v>
      </c>
      <c r="L124" t="n">
        <v>0</v>
      </c>
      <c r="M124" t="n">
        <v>0</v>
      </c>
      <c r="N124" t="n">
        <v>0</v>
      </c>
      <c r="O124" t="n">
        <v>0</v>
      </c>
      <c r="P124" t="n">
        <v>0</v>
      </c>
      <c r="Q124" t="n">
        <v>0</v>
      </c>
      <c r="R124" s="2" t="inlineStr"/>
    </row>
    <row r="125" ht="15" customHeight="1">
      <c r="A125" t="inlineStr">
        <is>
          <t>A 43153-2021</t>
        </is>
      </c>
      <c r="B125" s="1" t="n">
        <v>44431</v>
      </c>
      <c r="C125" s="1" t="n">
        <v>46205</v>
      </c>
      <c r="D125" t="inlineStr">
        <is>
          <t>ÖREBRO LÄN</t>
        </is>
      </c>
      <c r="E125" t="inlineStr">
        <is>
          <t>LINDESBERG</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23583-2022</t>
        </is>
      </c>
      <c r="B126" s="1" t="n">
        <v>44721</v>
      </c>
      <c r="C126" s="1" t="n">
        <v>46205</v>
      </c>
      <c r="D126" t="inlineStr">
        <is>
          <t>ÖREBRO LÄN</t>
        </is>
      </c>
      <c r="E126" t="inlineStr">
        <is>
          <t>LINDESBERG</t>
        </is>
      </c>
      <c r="G126" t="n">
        <v>3.7</v>
      </c>
      <c r="H126" t="n">
        <v>0</v>
      </c>
      <c r="I126" t="n">
        <v>0</v>
      </c>
      <c r="J126" t="n">
        <v>0</v>
      </c>
      <c r="K126" t="n">
        <v>0</v>
      </c>
      <c r="L126" t="n">
        <v>0</v>
      </c>
      <c r="M126" t="n">
        <v>0</v>
      </c>
      <c r="N126" t="n">
        <v>0</v>
      </c>
      <c r="O126" t="n">
        <v>0</v>
      </c>
      <c r="P126" t="n">
        <v>0</v>
      </c>
      <c r="Q126" t="n">
        <v>0</v>
      </c>
      <c r="R126" s="2" t="inlineStr"/>
    </row>
    <row r="127" ht="15" customHeight="1">
      <c r="A127" t="inlineStr">
        <is>
          <t>A 23971-2022</t>
        </is>
      </c>
      <c r="B127" s="1" t="n">
        <v>44722</v>
      </c>
      <c r="C127" s="1" t="n">
        <v>46205</v>
      </c>
      <c r="D127" t="inlineStr">
        <is>
          <t>ÖREBRO LÄN</t>
        </is>
      </c>
      <c r="E127" t="inlineStr">
        <is>
          <t>LINDESBERG</t>
        </is>
      </c>
      <c r="G127" t="n">
        <v>6.1</v>
      </c>
      <c r="H127" t="n">
        <v>0</v>
      </c>
      <c r="I127" t="n">
        <v>0</v>
      </c>
      <c r="J127" t="n">
        <v>0</v>
      </c>
      <c r="K127" t="n">
        <v>0</v>
      </c>
      <c r="L127" t="n">
        <v>0</v>
      </c>
      <c r="M127" t="n">
        <v>0</v>
      </c>
      <c r="N127" t="n">
        <v>0</v>
      </c>
      <c r="O127" t="n">
        <v>0</v>
      </c>
      <c r="P127" t="n">
        <v>0</v>
      </c>
      <c r="Q127" t="n">
        <v>0</v>
      </c>
      <c r="R127" s="2" t="inlineStr"/>
    </row>
    <row r="128" ht="15" customHeight="1">
      <c r="A128" t="inlineStr">
        <is>
          <t>A 49743-2022</t>
        </is>
      </c>
      <c r="B128" s="1" t="n">
        <v>44862</v>
      </c>
      <c r="C128" s="1" t="n">
        <v>46205</v>
      </c>
      <c r="D128" t="inlineStr">
        <is>
          <t>ÖREBRO LÄN</t>
        </is>
      </c>
      <c r="E128" t="inlineStr">
        <is>
          <t>LINDESBERG</t>
        </is>
      </c>
      <c r="F128" t="inlineStr">
        <is>
          <t>Sveaskog</t>
        </is>
      </c>
      <c r="G128" t="n">
        <v>3.5</v>
      </c>
      <c r="H128" t="n">
        <v>0</v>
      </c>
      <c r="I128" t="n">
        <v>0</v>
      </c>
      <c r="J128" t="n">
        <v>0</v>
      </c>
      <c r="K128" t="n">
        <v>0</v>
      </c>
      <c r="L128" t="n">
        <v>0</v>
      </c>
      <c r="M128" t="n">
        <v>0</v>
      </c>
      <c r="N128" t="n">
        <v>0</v>
      </c>
      <c r="O128" t="n">
        <v>0</v>
      </c>
      <c r="P128" t="n">
        <v>0</v>
      </c>
      <c r="Q128" t="n">
        <v>0</v>
      </c>
      <c r="R128" s="2" t="inlineStr"/>
    </row>
    <row r="129" ht="15" customHeight="1">
      <c r="A129" t="inlineStr">
        <is>
          <t>A 2106-2022</t>
        </is>
      </c>
      <c r="B129" s="1" t="n">
        <v>44577</v>
      </c>
      <c r="C129" s="1" t="n">
        <v>46205</v>
      </c>
      <c r="D129" t="inlineStr">
        <is>
          <t>ÖREBRO LÄN</t>
        </is>
      </c>
      <c r="E129" t="inlineStr">
        <is>
          <t>LINDESBERG</t>
        </is>
      </c>
      <c r="G129" t="n">
        <v>0.5</v>
      </c>
      <c r="H129" t="n">
        <v>0</v>
      </c>
      <c r="I129" t="n">
        <v>0</v>
      </c>
      <c r="J129" t="n">
        <v>0</v>
      </c>
      <c r="K129" t="n">
        <v>0</v>
      </c>
      <c r="L129" t="n">
        <v>0</v>
      </c>
      <c r="M129" t="n">
        <v>0</v>
      </c>
      <c r="N129" t="n">
        <v>0</v>
      </c>
      <c r="O129" t="n">
        <v>0</v>
      </c>
      <c r="P129" t="n">
        <v>0</v>
      </c>
      <c r="Q129" t="n">
        <v>0</v>
      </c>
      <c r="R129" s="2" t="inlineStr"/>
    </row>
    <row r="130" ht="15" customHeight="1">
      <c r="A130" t="inlineStr">
        <is>
          <t>A 51122-2021</t>
        </is>
      </c>
      <c r="B130" s="1" t="n">
        <v>44460</v>
      </c>
      <c r="C130" s="1" t="n">
        <v>46205</v>
      </c>
      <c r="D130" t="inlineStr">
        <is>
          <t>ÖREBRO LÄN</t>
        </is>
      </c>
      <c r="E130" t="inlineStr">
        <is>
          <t>LINDESBERG</t>
        </is>
      </c>
      <c r="G130" t="n">
        <v>1.9</v>
      </c>
      <c r="H130" t="n">
        <v>0</v>
      </c>
      <c r="I130" t="n">
        <v>0</v>
      </c>
      <c r="J130" t="n">
        <v>0</v>
      </c>
      <c r="K130" t="n">
        <v>0</v>
      </c>
      <c r="L130" t="n">
        <v>0</v>
      </c>
      <c r="M130" t="n">
        <v>0</v>
      </c>
      <c r="N130" t="n">
        <v>0</v>
      </c>
      <c r="O130" t="n">
        <v>0</v>
      </c>
      <c r="P130" t="n">
        <v>0</v>
      </c>
      <c r="Q130" t="n">
        <v>0</v>
      </c>
      <c r="R130" s="2" t="inlineStr"/>
    </row>
    <row r="131" ht="15" customHeight="1">
      <c r="A131" t="inlineStr">
        <is>
          <t>A 56695-2021</t>
        </is>
      </c>
      <c r="B131" s="1" t="n">
        <v>44481</v>
      </c>
      <c r="C131" s="1" t="n">
        <v>46205</v>
      </c>
      <c r="D131" t="inlineStr">
        <is>
          <t>ÖREBRO LÄN</t>
        </is>
      </c>
      <c r="E131" t="inlineStr">
        <is>
          <t>LINDESBERG</t>
        </is>
      </c>
      <c r="G131" t="n">
        <v>1.9</v>
      </c>
      <c r="H131" t="n">
        <v>0</v>
      </c>
      <c r="I131" t="n">
        <v>0</v>
      </c>
      <c r="J131" t="n">
        <v>0</v>
      </c>
      <c r="K131" t="n">
        <v>0</v>
      </c>
      <c r="L131" t="n">
        <v>0</v>
      </c>
      <c r="M131" t="n">
        <v>0</v>
      </c>
      <c r="N131" t="n">
        <v>0</v>
      </c>
      <c r="O131" t="n">
        <v>0</v>
      </c>
      <c r="P131" t="n">
        <v>0</v>
      </c>
      <c r="Q131" t="n">
        <v>0</v>
      </c>
      <c r="R131" s="2" t="inlineStr"/>
    </row>
    <row r="132" ht="15" customHeight="1">
      <c r="A132" t="inlineStr">
        <is>
          <t>A 29623-2022</t>
        </is>
      </c>
      <c r="B132" s="1" t="n">
        <v>44754</v>
      </c>
      <c r="C132" s="1" t="n">
        <v>46205</v>
      </c>
      <c r="D132" t="inlineStr">
        <is>
          <t>ÖREBRO LÄN</t>
        </is>
      </c>
      <c r="E132" t="inlineStr">
        <is>
          <t>LINDESBERG</t>
        </is>
      </c>
      <c r="G132" t="n">
        <v>2.4</v>
      </c>
      <c r="H132" t="n">
        <v>0</v>
      </c>
      <c r="I132" t="n">
        <v>0</v>
      </c>
      <c r="J132" t="n">
        <v>0</v>
      </c>
      <c r="K132" t="n">
        <v>0</v>
      </c>
      <c r="L132" t="n">
        <v>0</v>
      </c>
      <c r="M132" t="n">
        <v>0</v>
      </c>
      <c r="N132" t="n">
        <v>0</v>
      </c>
      <c r="O132" t="n">
        <v>0</v>
      </c>
      <c r="P132" t="n">
        <v>0</v>
      </c>
      <c r="Q132" t="n">
        <v>0</v>
      </c>
      <c r="R132" s="2" t="inlineStr"/>
    </row>
    <row r="133" ht="15" customHeight="1">
      <c r="A133" t="inlineStr">
        <is>
          <t>A 12522-2022</t>
        </is>
      </c>
      <c r="B133" s="1" t="n">
        <v>44638</v>
      </c>
      <c r="C133" s="1" t="n">
        <v>46205</v>
      </c>
      <c r="D133" t="inlineStr">
        <is>
          <t>ÖREBRO LÄN</t>
        </is>
      </c>
      <c r="E133" t="inlineStr">
        <is>
          <t>LINDESBERG</t>
        </is>
      </c>
      <c r="G133" t="n">
        <v>6.2</v>
      </c>
      <c r="H133" t="n">
        <v>0</v>
      </c>
      <c r="I133" t="n">
        <v>0</v>
      </c>
      <c r="J133" t="n">
        <v>0</v>
      </c>
      <c r="K133" t="n">
        <v>0</v>
      </c>
      <c r="L133" t="n">
        <v>0</v>
      </c>
      <c r="M133" t="n">
        <v>0</v>
      </c>
      <c r="N133" t="n">
        <v>0</v>
      </c>
      <c r="O133" t="n">
        <v>0</v>
      </c>
      <c r="P133" t="n">
        <v>0</v>
      </c>
      <c r="Q133" t="n">
        <v>0</v>
      </c>
      <c r="R133" s="2" t="inlineStr"/>
    </row>
    <row r="134" ht="15" customHeight="1">
      <c r="A134" t="inlineStr">
        <is>
          <t>A 22738-2022</t>
        </is>
      </c>
      <c r="B134" s="1" t="n">
        <v>44714</v>
      </c>
      <c r="C134" s="1" t="n">
        <v>46205</v>
      </c>
      <c r="D134" t="inlineStr">
        <is>
          <t>ÖREBRO LÄN</t>
        </is>
      </c>
      <c r="E134" t="inlineStr">
        <is>
          <t>LINDESBERG</t>
        </is>
      </c>
      <c r="G134" t="n">
        <v>2.4</v>
      </c>
      <c r="H134" t="n">
        <v>0</v>
      </c>
      <c r="I134" t="n">
        <v>0</v>
      </c>
      <c r="J134" t="n">
        <v>0</v>
      </c>
      <c r="K134" t="n">
        <v>0</v>
      </c>
      <c r="L134" t="n">
        <v>0</v>
      </c>
      <c r="M134" t="n">
        <v>0</v>
      </c>
      <c r="N134" t="n">
        <v>0</v>
      </c>
      <c r="O134" t="n">
        <v>0</v>
      </c>
      <c r="P134" t="n">
        <v>0</v>
      </c>
      <c r="Q134" t="n">
        <v>0</v>
      </c>
      <c r="R134" s="2" t="inlineStr"/>
    </row>
    <row r="135" ht="15" customHeight="1">
      <c r="A135" t="inlineStr">
        <is>
          <t>A 10821-2022</t>
        </is>
      </c>
      <c r="B135" s="1" t="n">
        <v>44627</v>
      </c>
      <c r="C135" s="1" t="n">
        <v>46205</v>
      </c>
      <c r="D135" t="inlineStr">
        <is>
          <t>ÖREBRO LÄN</t>
        </is>
      </c>
      <c r="E135" t="inlineStr">
        <is>
          <t>LINDESBERG</t>
        </is>
      </c>
      <c r="G135" t="n">
        <v>0.4</v>
      </c>
      <c r="H135" t="n">
        <v>0</v>
      </c>
      <c r="I135" t="n">
        <v>0</v>
      </c>
      <c r="J135" t="n">
        <v>0</v>
      </c>
      <c r="K135" t="n">
        <v>0</v>
      </c>
      <c r="L135" t="n">
        <v>0</v>
      </c>
      <c r="M135" t="n">
        <v>0</v>
      </c>
      <c r="N135" t="n">
        <v>0</v>
      </c>
      <c r="O135" t="n">
        <v>0</v>
      </c>
      <c r="P135" t="n">
        <v>0</v>
      </c>
      <c r="Q135" t="n">
        <v>0</v>
      </c>
      <c r="R135" s="2" t="inlineStr"/>
    </row>
    <row r="136" ht="15" customHeight="1">
      <c r="A136" t="inlineStr">
        <is>
          <t>A 33760-2022</t>
        </is>
      </c>
      <c r="B136" s="1" t="n">
        <v>44790</v>
      </c>
      <c r="C136" s="1" t="n">
        <v>46205</v>
      </c>
      <c r="D136" t="inlineStr">
        <is>
          <t>ÖREBRO LÄN</t>
        </is>
      </c>
      <c r="E136" t="inlineStr">
        <is>
          <t>LINDESBERG</t>
        </is>
      </c>
      <c r="G136" t="n">
        <v>0.5</v>
      </c>
      <c r="H136" t="n">
        <v>0</v>
      </c>
      <c r="I136" t="n">
        <v>0</v>
      </c>
      <c r="J136" t="n">
        <v>0</v>
      </c>
      <c r="K136" t="n">
        <v>0</v>
      </c>
      <c r="L136" t="n">
        <v>0</v>
      </c>
      <c r="M136" t="n">
        <v>0</v>
      </c>
      <c r="N136" t="n">
        <v>0</v>
      </c>
      <c r="O136" t="n">
        <v>0</v>
      </c>
      <c r="P136" t="n">
        <v>0</v>
      </c>
      <c r="Q136" t="n">
        <v>0</v>
      </c>
      <c r="R136" s="2" t="inlineStr"/>
    </row>
    <row r="137" ht="15" customHeight="1">
      <c r="A137" t="inlineStr">
        <is>
          <t>A 16939-2022</t>
        </is>
      </c>
      <c r="B137" s="1" t="n">
        <v>44676</v>
      </c>
      <c r="C137" s="1" t="n">
        <v>46205</v>
      </c>
      <c r="D137" t="inlineStr">
        <is>
          <t>ÖREBRO LÄN</t>
        </is>
      </c>
      <c r="E137" t="inlineStr">
        <is>
          <t>LINDESBERG</t>
        </is>
      </c>
      <c r="G137" t="n">
        <v>1.7</v>
      </c>
      <c r="H137" t="n">
        <v>0</v>
      </c>
      <c r="I137" t="n">
        <v>0</v>
      </c>
      <c r="J137" t="n">
        <v>0</v>
      </c>
      <c r="K137" t="n">
        <v>0</v>
      </c>
      <c r="L137" t="n">
        <v>0</v>
      </c>
      <c r="M137" t="n">
        <v>0</v>
      </c>
      <c r="N137" t="n">
        <v>0</v>
      </c>
      <c r="O137" t="n">
        <v>0</v>
      </c>
      <c r="P137" t="n">
        <v>0</v>
      </c>
      <c r="Q137" t="n">
        <v>0</v>
      </c>
      <c r="R137" s="2" t="inlineStr"/>
    </row>
    <row r="138" ht="15" customHeight="1">
      <c r="A138" t="inlineStr">
        <is>
          <t>A 6958-2022</t>
        </is>
      </c>
      <c r="B138" s="1" t="n">
        <v>44603</v>
      </c>
      <c r="C138" s="1" t="n">
        <v>46205</v>
      </c>
      <c r="D138" t="inlineStr">
        <is>
          <t>ÖREBRO LÄN</t>
        </is>
      </c>
      <c r="E138" t="inlineStr">
        <is>
          <t>LINDESBERG</t>
        </is>
      </c>
      <c r="G138" t="n">
        <v>1.4</v>
      </c>
      <c r="H138" t="n">
        <v>0</v>
      </c>
      <c r="I138" t="n">
        <v>0</v>
      </c>
      <c r="J138" t="n">
        <v>0</v>
      </c>
      <c r="K138" t="n">
        <v>0</v>
      </c>
      <c r="L138" t="n">
        <v>0</v>
      </c>
      <c r="M138" t="n">
        <v>0</v>
      </c>
      <c r="N138" t="n">
        <v>0</v>
      </c>
      <c r="O138" t="n">
        <v>0</v>
      </c>
      <c r="P138" t="n">
        <v>0</v>
      </c>
      <c r="Q138" t="n">
        <v>0</v>
      </c>
      <c r="R138" s="2" t="inlineStr"/>
    </row>
    <row r="139" ht="15" customHeight="1">
      <c r="A139" t="inlineStr">
        <is>
          <t>A 11361-2022</t>
        </is>
      </c>
      <c r="B139" s="1" t="n">
        <v>44630</v>
      </c>
      <c r="C139" s="1" t="n">
        <v>46205</v>
      </c>
      <c r="D139" t="inlineStr">
        <is>
          <t>ÖREBRO LÄN</t>
        </is>
      </c>
      <c r="E139" t="inlineStr">
        <is>
          <t>LINDESBERG</t>
        </is>
      </c>
      <c r="G139" t="n">
        <v>2.9</v>
      </c>
      <c r="H139" t="n">
        <v>0</v>
      </c>
      <c r="I139" t="n">
        <v>0</v>
      </c>
      <c r="J139" t="n">
        <v>0</v>
      </c>
      <c r="K139" t="n">
        <v>0</v>
      </c>
      <c r="L139" t="n">
        <v>0</v>
      </c>
      <c r="M139" t="n">
        <v>0</v>
      </c>
      <c r="N139" t="n">
        <v>0</v>
      </c>
      <c r="O139" t="n">
        <v>0</v>
      </c>
      <c r="P139" t="n">
        <v>0</v>
      </c>
      <c r="Q139" t="n">
        <v>0</v>
      </c>
      <c r="R139" s="2" t="inlineStr"/>
    </row>
    <row r="140" ht="15" customHeight="1">
      <c r="A140" t="inlineStr">
        <is>
          <t>A 49745-2022</t>
        </is>
      </c>
      <c r="B140" s="1" t="n">
        <v>44862</v>
      </c>
      <c r="C140" s="1" t="n">
        <v>46205</v>
      </c>
      <c r="D140" t="inlineStr">
        <is>
          <t>ÖREBRO LÄN</t>
        </is>
      </c>
      <c r="E140" t="inlineStr">
        <is>
          <t>LINDESBERG</t>
        </is>
      </c>
      <c r="F140" t="inlineStr">
        <is>
          <t>Sveaskog</t>
        </is>
      </c>
      <c r="G140" t="n">
        <v>3.1</v>
      </c>
      <c r="H140" t="n">
        <v>0</v>
      </c>
      <c r="I140" t="n">
        <v>0</v>
      </c>
      <c r="J140" t="n">
        <v>0</v>
      </c>
      <c r="K140" t="n">
        <v>0</v>
      </c>
      <c r="L140" t="n">
        <v>0</v>
      </c>
      <c r="M140" t="n">
        <v>0</v>
      </c>
      <c r="N140" t="n">
        <v>0</v>
      </c>
      <c r="O140" t="n">
        <v>0</v>
      </c>
      <c r="P140" t="n">
        <v>0</v>
      </c>
      <c r="Q140" t="n">
        <v>0</v>
      </c>
      <c r="R140" s="2" t="inlineStr"/>
    </row>
    <row r="141" ht="15" customHeight="1">
      <c r="A141" t="inlineStr">
        <is>
          <t>A 11164-2022</t>
        </is>
      </c>
      <c r="B141" s="1" t="n">
        <v>44629</v>
      </c>
      <c r="C141" s="1" t="n">
        <v>46205</v>
      </c>
      <c r="D141" t="inlineStr">
        <is>
          <t>ÖREBRO LÄN</t>
        </is>
      </c>
      <c r="E141" t="inlineStr">
        <is>
          <t>LINDESBERG</t>
        </is>
      </c>
      <c r="G141" t="n">
        <v>6.7</v>
      </c>
      <c r="H141" t="n">
        <v>0</v>
      </c>
      <c r="I141" t="n">
        <v>0</v>
      </c>
      <c r="J141" t="n">
        <v>0</v>
      </c>
      <c r="K141" t="n">
        <v>0</v>
      </c>
      <c r="L141" t="n">
        <v>0</v>
      </c>
      <c r="M141" t="n">
        <v>0</v>
      </c>
      <c r="N141" t="n">
        <v>0</v>
      </c>
      <c r="O141" t="n">
        <v>0</v>
      </c>
      <c r="P141" t="n">
        <v>0</v>
      </c>
      <c r="Q141" t="n">
        <v>0</v>
      </c>
      <c r="R141" s="2" t="inlineStr"/>
    </row>
    <row r="142" ht="15" customHeight="1">
      <c r="A142" t="inlineStr">
        <is>
          <t>A 22481-2022</t>
        </is>
      </c>
      <c r="B142" s="1" t="n">
        <v>44713</v>
      </c>
      <c r="C142" s="1" t="n">
        <v>46205</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16435-2022</t>
        </is>
      </c>
      <c r="B143" s="1" t="n">
        <v>44671</v>
      </c>
      <c r="C143" s="1" t="n">
        <v>46205</v>
      </c>
      <c r="D143" t="inlineStr">
        <is>
          <t>ÖREBRO LÄN</t>
        </is>
      </c>
      <c r="E143" t="inlineStr">
        <is>
          <t>LINDESBERG</t>
        </is>
      </c>
      <c r="G143" t="n">
        <v>3.2</v>
      </c>
      <c r="H143" t="n">
        <v>0</v>
      </c>
      <c r="I143" t="n">
        <v>0</v>
      </c>
      <c r="J143" t="n">
        <v>0</v>
      </c>
      <c r="K143" t="n">
        <v>0</v>
      </c>
      <c r="L143" t="n">
        <v>0</v>
      </c>
      <c r="M143" t="n">
        <v>0</v>
      </c>
      <c r="N143" t="n">
        <v>0</v>
      </c>
      <c r="O143" t="n">
        <v>0</v>
      </c>
      <c r="P143" t="n">
        <v>0</v>
      </c>
      <c r="Q143" t="n">
        <v>0</v>
      </c>
      <c r="R143" s="2" t="inlineStr"/>
    </row>
    <row r="144" ht="15" customHeight="1">
      <c r="A144" t="inlineStr">
        <is>
          <t>A 21606-2022</t>
        </is>
      </c>
      <c r="B144" s="1" t="n">
        <v>44706</v>
      </c>
      <c r="C144" s="1" t="n">
        <v>46205</v>
      </c>
      <c r="D144" t="inlineStr">
        <is>
          <t>ÖREBRO LÄN</t>
        </is>
      </c>
      <c r="E144" t="inlineStr">
        <is>
          <t>LINDESBERG</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53153-2021</t>
        </is>
      </c>
      <c r="B145" s="1" t="n">
        <v>44468</v>
      </c>
      <c r="C145" s="1" t="n">
        <v>46205</v>
      </c>
      <c r="D145" t="inlineStr">
        <is>
          <t>ÖREBRO LÄN</t>
        </is>
      </c>
      <c r="E145" t="inlineStr">
        <is>
          <t>LINDESBERG</t>
        </is>
      </c>
      <c r="F145" t="inlineStr">
        <is>
          <t>Sveaskog</t>
        </is>
      </c>
      <c r="G145" t="n">
        <v>3.9</v>
      </c>
      <c r="H145" t="n">
        <v>0</v>
      </c>
      <c r="I145" t="n">
        <v>0</v>
      </c>
      <c r="J145" t="n">
        <v>0</v>
      </c>
      <c r="K145" t="n">
        <v>0</v>
      </c>
      <c r="L145" t="n">
        <v>0</v>
      </c>
      <c r="M145" t="n">
        <v>0</v>
      </c>
      <c r="N145" t="n">
        <v>0</v>
      </c>
      <c r="O145" t="n">
        <v>0</v>
      </c>
      <c r="P145" t="n">
        <v>0</v>
      </c>
      <c r="Q145" t="n">
        <v>0</v>
      </c>
      <c r="R145" s="2" t="inlineStr"/>
    </row>
    <row r="146" ht="15" customHeight="1">
      <c r="A146" t="inlineStr">
        <is>
          <t>A 40099-2021</t>
        </is>
      </c>
      <c r="B146" s="1" t="n">
        <v>44418</v>
      </c>
      <c r="C146" s="1" t="n">
        <v>46205</v>
      </c>
      <c r="D146" t="inlineStr">
        <is>
          <t>ÖREBRO LÄN</t>
        </is>
      </c>
      <c r="E146" t="inlineStr">
        <is>
          <t>LINDESBERG</t>
        </is>
      </c>
      <c r="G146" t="n">
        <v>2.9</v>
      </c>
      <c r="H146" t="n">
        <v>0</v>
      </c>
      <c r="I146" t="n">
        <v>0</v>
      </c>
      <c r="J146" t="n">
        <v>0</v>
      </c>
      <c r="K146" t="n">
        <v>0</v>
      </c>
      <c r="L146" t="n">
        <v>0</v>
      </c>
      <c r="M146" t="n">
        <v>0</v>
      </c>
      <c r="N146" t="n">
        <v>0</v>
      </c>
      <c r="O146" t="n">
        <v>0</v>
      </c>
      <c r="P146" t="n">
        <v>0</v>
      </c>
      <c r="Q146" t="n">
        <v>0</v>
      </c>
      <c r="R146" s="2" t="inlineStr"/>
    </row>
    <row r="147" ht="15" customHeight="1">
      <c r="A147" t="inlineStr">
        <is>
          <t>A 2110-2022</t>
        </is>
      </c>
      <c r="B147" s="1" t="n">
        <v>44577</v>
      </c>
      <c r="C147" s="1" t="n">
        <v>46205</v>
      </c>
      <c r="D147" t="inlineStr">
        <is>
          <t>ÖREBRO LÄN</t>
        </is>
      </c>
      <c r="E147" t="inlineStr">
        <is>
          <t>LINDESBERG</t>
        </is>
      </c>
      <c r="G147" t="n">
        <v>4.4</v>
      </c>
      <c r="H147" t="n">
        <v>0</v>
      </c>
      <c r="I147" t="n">
        <v>0</v>
      </c>
      <c r="J147" t="n">
        <v>0</v>
      </c>
      <c r="K147" t="n">
        <v>0</v>
      </c>
      <c r="L147" t="n">
        <v>0</v>
      </c>
      <c r="M147" t="n">
        <v>0</v>
      </c>
      <c r="N147" t="n">
        <v>0</v>
      </c>
      <c r="O147" t="n">
        <v>0</v>
      </c>
      <c r="P147" t="n">
        <v>0</v>
      </c>
      <c r="Q147" t="n">
        <v>0</v>
      </c>
      <c r="R147" s="2" t="inlineStr"/>
    </row>
    <row r="148" ht="15" customHeight="1">
      <c r="A148" t="inlineStr">
        <is>
          <t>A 16424-2022</t>
        </is>
      </c>
      <c r="B148" s="1" t="n">
        <v>44671</v>
      </c>
      <c r="C148" s="1" t="n">
        <v>46205</v>
      </c>
      <c r="D148" t="inlineStr">
        <is>
          <t>ÖREBRO LÄN</t>
        </is>
      </c>
      <c r="E148" t="inlineStr">
        <is>
          <t>LINDESBERG</t>
        </is>
      </c>
      <c r="G148" t="n">
        <v>5</v>
      </c>
      <c r="H148" t="n">
        <v>0</v>
      </c>
      <c r="I148" t="n">
        <v>0</v>
      </c>
      <c r="J148" t="n">
        <v>0</v>
      </c>
      <c r="K148" t="n">
        <v>0</v>
      </c>
      <c r="L148" t="n">
        <v>0</v>
      </c>
      <c r="M148" t="n">
        <v>0</v>
      </c>
      <c r="N148" t="n">
        <v>0</v>
      </c>
      <c r="O148" t="n">
        <v>0</v>
      </c>
      <c r="P148" t="n">
        <v>0</v>
      </c>
      <c r="Q148" t="n">
        <v>0</v>
      </c>
      <c r="R148" s="2" t="inlineStr"/>
    </row>
    <row r="149" ht="15" customHeight="1">
      <c r="A149" t="inlineStr">
        <is>
          <t>A 62981-2021</t>
        </is>
      </c>
      <c r="B149" s="1" t="n">
        <v>44505</v>
      </c>
      <c r="C149" s="1" t="n">
        <v>46205</v>
      </c>
      <c r="D149" t="inlineStr">
        <is>
          <t>ÖREBRO LÄN</t>
        </is>
      </c>
      <c r="E149" t="inlineStr">
        <is>
          <t>LINDESBERG</t>
        </is>
      </c>
      <c r="G149" t="n">
        <v>2.3</v>
      </c>
      <c r="H149" t="n">
        <v>0</v>
      </c>
      <c r="I149" t="n">
        <v>0</v>
      </c>
      <c r="J149" t="n">
        <v>0</v>
      </c>
      <c r="K149" t="n">
        <v>0</v>
      </c>
      <c r="L149" t="n">
        <v>0</v>
      </c>
      <c r="M149" t="n">
        <v>0</v>
      </c>
      <c r="N149" t="n">
        <v>0</v>
      </c>
      <c r="O149" t="n">
        <v>0</v>
      </c>
      <c r="P149" t="n">
        <v>0</v>
      </c>
      <c r="Q149" t="n">
        <v>0</v>
      </c>
      <c r="R149" s="2" t="inlineStr"/>
    </row>
    <row r="150" ht="15" customHeight="1">
      <c r="A150" t="inlineStr">
        <is>
          <t>A 72713-2021</t>
        </is>
      </c>
      <c r="B150" s="1" t="n">
        <v>44546</v>
      </c>
      <c r="C150" s="1" t="n">
        <v>46205</v>
      </c>
      <c r="D150" t="inlineStr">
        <is>
          <t>ÖREBRO LÄN</t>
        </is>
      </c>
      <c r="E150" t="inlineStr">
        <is>
          <t>LINDESBERG</t>
        </is>
      </c>
      <c r="G150" t="n">
        <v>0.3</v>
      </c>
      <c r="H150" t="n">
        <v>0</v>
      </c>
      <c r="I150" t="n">
        <v>0</v>
      </c>
      <c r="J150" t="n">
        <v>0</v>
      </c>
      <c r="K150" t="n">
        <v>0</v>
      </c>
      <c r="L150" t="n">
        <v>0</v>
      </c>
      <c r="M150" t="n">
        <v>0</v>
      </c>
      <c r="N150" t="n">
        <v>0</v>
      </c>
      <c r="O150" t="n">
        <v>0</v>
      </c>
      <c r="P150" t="n">
        <v>0</v>
      </c>
      <c r="Q150" t="n">
        <v>0</v>
      </c>
      <c r="R150" s="2" t="inlineStr"/>
    </row>
    <row r="151" ht="15" customHeight="1">
      <c r="A151" t="inlineStr">
        <is>
          <t>A 40351-2022</t>
        </is>
      </c>
      <c r="B151" s="1" t="n">
        <v>44823</v>
      </c>
      <c r="C151" s="1" t="n">
        <v>46205</v>
      </c>
      <c r="D151" t="inlineStr">
        <is>
          <t>ÖREBRO LÄN</t>
        </is>
      </c>
      <c r="E151" t="inlineStr">
        <is>
          <t>LINDESBERG</t>
        </is>
      </c>
      <c r="G151" t="n">
        <v>0.3</v>
      </c>
      <c r="H151" t="n">
        <v>0</v>
      </c>
      <c r="I151" t="n">
        <v>0</v>
      </c>
      <c r="J151" t="n">
        <v>0</v>
      </c>
      <c r="K151" t="n">
        <v>0</v>
      </c>
      <c r="L151" t="n">
        <v>0</v>
      </c>
      <c r="M151" t="n">
        <v>0</v>
      </c>
      <c r="N151" t="n">
        <v>0</v>
      </c>
      <c r="O151" t="n">
        <v>0</v>
      </c>
      <c r="P151" t="n">
        <v>0</v>
      </c>
      <c r="Q151" t="n">
        <v>0</v>
      </c>
      <c r="R151" s="2" t="inlineStr"/>
    </row>
    <row r="152" ht="15" customHeight="1">
      <c r="A152" t="inlineStr">
        <is>
          <t>A 67060-2021</t>
        </is>
      </c>
      <c r="B152" s="1" t="n">
        <v>44522</v>
      </c>
      <c r="C152" s="1" t="n">
        <v>46205</v>
      </c>
      <c r="D152" t="inlineStr">
        <is>
          <t>ÖREBRO LÄN</t>
        </is>
      </c>
      <c r="E152" t="inlineStr">
        <is>
          <t>LINDESBERG</t>
        </is>
      </c>
      <c r="G152" t="n">
        <v>6.3</v>
      </c>
      <c r="H152" t="n">
        <v>0</v>
      </c>
      <c r="I152" t="n">
        <v>0</v>
      </c>
      <c r="J152" t="n">
        <v>0</v>
      </c>
      <c r="K152" t="n">
        <v>0</v>
      </c>
      <c r="L152" t="n">
        <v>0</v>
      </c>
      <c r="M152" t="n">
        <v>0</v>
      </c>
      <c r="N152" t="n">
        <v>0</v>
      </c>
      <c r="O152" t="n">
        <v>0</v>
      </c>
      <c r="P152" t="n">
        <v>0</v>
      </c>
      <c r="Q152" t="n">
        <v>0</v>
      </c>
      <c r="R152" s="2" t="inlineStr"/>
    </row>
    <row r="153" ht="15" customHeight="1">
      <c r="A153" t="inlineStr">
        <is>
          <t>A 11926-2022</t>
        </is>
      </c>
      <c r="B153" s="1" t="n">
        <v>44635</v>
      </c>
      <c r="C153" s="1" t="n">
        <v>46205</v>
      </c>
      <c r="D153" t="inlineStr">
        <is>
          <t>ÖREBRO LÄN</t>
        </is>
      </c>
      <c r="E153" t="inlineStr">
        <is>
          <t>LINDESBERG</t>
        </is>
      </c>
      <c r="G153" t="n">
        <v>2.7</v>
      </c>
      <c r="H153" t="n">
        <v>0</v>
      </c>
      <c r="I153" t="n">
        <v>0</v>
      </c>
      <c r="J153" t="n">
        <v>0</v>
      </c>
      <c r="K153" t="n">
        <v>0</v>
      </c>
      <c r="L153" t="n">
        <v>0</v>
      </c>
      <c r="M153" t="n">
        <v>0</v>
      </c>
      <c r="N153" t="n">
        <v>0</v>
      </c>
      <c r="O153" t="n">
        <v>0</v>
      </c>
      <c r="P153" t="n">
        <v>0</v>
      </c>
      <c r="Q153" t="n">
        <v>0</v>
      </c>
      <c r="R153" s="2" t="inlineStr"/>
    </row>
    <row r="154" ht="15" customHeight="1">
      <c r="A154" t="inlineStr">
        <is>
          <t>A 44197-2021</t>
        </is>
      </c>
      <c r="B154" s="1" t="n">
        <v>44434</v>
      </c>
      <c r="C154" s="1" t="n">
        <v>46205</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57765-2021</t>
        </is>
      </c>
      <c r="B155" s="1" t="n">
        <v>44484</v>
      </c>
      <c r="C155" s="1" t="n">
        <v>46205</v>
      </c>
      <c r="D155" t="inlineStr">
        <is>
          <t>ÖREBRO LÄN</t>
        </is>
      </c>
      <c r="E155" t="inlineStr">
        <is>
          <t>LINDESBERG</t>
        </is>
      </c>
      <c r="G155" t="n">
        <v>3.4</v>
      </c>
      <c r="H155" t="n">
        <v>0</v>
      </c>
      <c r="I155" t="n">
        <v>0</v>
      </c>
      <c r="J155" t="n">
        <v>0</v>
      </c>
      <c r="K155" t="n">
        <v>0</v>
      </c>
      <c r="L155" t="n">
        <v>0</v>
      </c>
      <c r="M155" t="n">
        <v>0</v>
      </c>
      <c r="N155" t="n">
        <v>0</v>
      </c>
      <c r="O155" t="n">
        <v>0</v>
      </c>
      <c r="P155" t="n">
        <v>0</v>
      </c>
      <c r="Q155" t="n">
        <v>0</v>
      </c>
      <c r="R155" s="2" t="inlineStr"/>
    </row>
    <row r="156" ht="15" customHeight="1">
      <c r="A156" t="inlineStr">
        <is>
          <t>A 19612-2022</t>
        </is>
      </c>
      <c r="B156" s="1" t="n">
        <v>44694</v>
      </c>
      <c r="C156" s="1" t="n">
        <v>46205</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46205</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46205</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46205</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v>
      </c>
      <c r="C160" s="1" t="n">
        <v>46205</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46205</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v>
      </c>
      <c r="C162" s="1" t="n">
        <v>46205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46205</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v>
      </c>
      <c r="C164" s="1" t="n">
        <v>46205</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5338-2022</t>
        </is>
      </c>
      <c r="B165" s="1" t="n">
        <v>44594</v>
      </c>
      <c r="C165" s="1" t="n">
        <v>46205</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v>
      </c>
      <c r="C166" s="1" t="n">
        <v>46205</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46205</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46205</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46205</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52187-2021</t>
        </is>
      </c>
      <c r="B170" s="1" t="n">
        <v>44463</v>
      </c>
      <c r="C170" s="1" t="n">
        <v>46205</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v>
      </c>
      <c r="C171" s="1" t="n">
        <v>46205</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46205</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v>
      </c>
      <c r="C173" s="1" t="n">
        <v>46205</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v>
      </c>
      <c r="C174" s="1" t="n">
        <v>46205</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46205</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v>
      </c>
      <c r="C176" s="1" t="n">
        <v>46205</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52851-2022</t>
        </is>
      </c>
      <c r="B177" s="1" t="n">
        <v>44875</v>
      </c>
      <c r="C177" s="1" t="n">
        <v>46205</v>
      </c>
      <c r="D177" t="inlineStr">
        <is>
          <t>ÖREBRO LÄN</t>
        </is>
      </c>
      <c r="E177" t="inlineStr">
        <is>
          <t>LINDESBERG</t>
        </is>
      </c>
      <c r="G177" t="n">
        <v>2.9</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46205</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46205</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46205</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46205</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v>
      </c>
      <c r="C182" s="1" t="n">
        <v>46205</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46205</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46205</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46205</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31950-2022</t>
        </is>
      </c>
      <c r="B186" s="1" t="n">
        <v>44777</v>
      </c>
      <c r="C186" s="1" t="n">
        <v>46205</v>
      </c>
      <c r="D186" t="inlineStr">
        <is>
          <t>ÖREBRO LÄN</t>
        </is>
      </c>
      <c r="E186" t="inlineStr">
        <is>
          <t>LINDESBERG</t>
        </is>
      </c>
      <c r="G186" t="n">
        <v>1.2</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v>
      </c>
      <c r="C187" s="1" t="n">
        <v>46205</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v>
      </c>
      <c r="C188" s="1" t="n">
        <v>46205</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46205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v>
      </c>
      <c r="C190" s="1" t="n">
        <v>46205</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46205</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46205</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35222-2021</t>
        </is>
      </c>
      <c r="B193" s="1" t="n">
        <v>44384</v>
      </c>
      <c r="C193" s="1" t="n">
        <v>46205</v>
      </c>
      <c r="D193" t="inlineStr">
        <is>
          <t>ÖREBRO LÄN</t>
        </is>
      </c>
      <c r="E193" t="inlineStr">
        <is>
          <t>LINDESBERG</t>
        </is>
      </c>
      <c r="G193" t="n">
        <v>10.5</v>
      </c>
      <c r="H193" t="n">
        <v>0</v>
      </c>
      <c r="I193" t="n">
        <v>0</v>
      </c>
      <c r="J193" t="n">
        <v>0</v>
      </c>
      <c r="K193" t="n">
        <v>0</v>
      </c>
      <c r="L193" t="n">
        <v>0</v>
      </c>
      <c r="M193" t="n">
        <v>0</v>
      </c>
      <c r="N193" t="n">
        <v>0</v>
      </c>
      <c r="O193" t="n">
        <v>0</v>
      </c>
      <c r="P193" t="n">
        <v>0</v>
      </c>
      <c r="Q193" t="n">
        <v>0</v>
      </c>
      <c r="R193" s="2" t="inlineStr"/>
    </row>
    <row r="194" ht="15" customHeight="1">
      <c r="A194" t="inlineStr">
        <is>
          <t>A 48939-2021</t>
        </is>
      </c>
      <c r="B194" s="1" t="n">
        <v>44453</v>
      </c>
      <c r="C194" s="1" t="n">
        <v>46205</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40692-2021</t>
        </is>
      </c>
      <c r="B195" s="1" t="n">
        <v>44420</v>
      </c>
      <c r="C195" s="1" t="n">
        <v>46205</v>
      </c>
      <c r="D195" t="inlineStr">
        <is>
          <t>ÖREBRO LÄN</t>
        </is>
      </c>
      <c r="E195" t="inlineStr">
        <is>
          <t>LINDESBERG</t>
        </is>
      </c>
      <c r="G195" t="n">
        <v>0.6</v>
      </c>
      <c r="H195" t="n">
        <v>0</v>
      </c>
      <c r="I195" t="n">
        <v>0</v>
      </c>
      <c r="J195" t="n">
        <v>0</v>
      </c>
      <c r="K195" t="n">
        <v>0</v>
      </c>
      <c r="L195" t="n">
        <v>0</v>
      </c>
      <c r="M195" t="n">
        <v>0</v>
      </c>
      <c r="N195" t="n">
        <v>0</v>
      </c>
      <c r="O195" t="n">
        <v>0</v>
      </c>
      <c r="P195" t="n">
        <v>0</v>
      </c>
      <c r="Q195" t="n">
        <v>0</v>
      </c>
      <c r="R195" s="2" t="inlineStr"/>
    </row>
    <row r="196" ht="15" customHeight="1">
      <c r="A196" t="inlineStr">
        <is>
          <t>A 70500-2021</t>
        </is>
      </c>
      <c r="B196" s="1" t="n">
        <v>44536</v>
      </c>
      <c r="C196" s="1" t="n">
        <v>46205</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49055-2022</t>
        </is>
      </c>
      <c r="B197" s="1" t="n">
        <v>44860</v>
      </c>
      <c r="C197" s="1" t="n">
        <v>46205</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46205</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52153-2022</t>
        </is>
      </c>
      <c r="B199" s="1" t="n">
        <v>44873</v>
      </c>
      <c r="C199" s="1" t="n">
        <v>46205</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70475-2021</t>
        </is>
      </c>
      <c r="B200" s="1" t="n">
        <v>44536</v>
      </c>
      <c r="C200" s="1" t="n">
        <v>46205</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7859-2022</t>
        </is>
      </c>
      <c r="B201" s="1" t="n">
        <v>44608</v>
      </c>
      <c r="C201" s="1" t="n">
        <v>46205</v>
      </c>
      <c r="D201" t="inlineStr">
        <is>
          <t>ÖREBRO LÄN</t>
        </is>
      </c>
      <c r="E201" t="inlineStr">
        <is>
          <t>LINDESBERG</t>
        </is>
      </c>
      <c r="F201" t="inlineStr">
        <is>
          <t>Kyrkan</t>
        </is>
      </c>
      <c r="G201" t="n">
        <v>0.7</v>
      </c>
      <c r="H201" t="n">
        <v>0</v>
      </c>
      <c r="I201" t="n">
        <v>0</v>
      </c>
      <c r="J201" t="n">
        <v>0</v>
      </c>
      <c r="K201" t="n">
        <v>0</v>
      </c>
      <c r="L201" t="n">
        <v>0</v>
      </c>
      <c r="M201" t="n">
        <v>0</v>
      </c>
      <c r="N201" t="n">
        <v>0</v>
      </c>
      <c r="O201" t="n">
        <v>0</v>
      </c>
      <c r="P201" t="n">
        <v>0</v>
      </c>
      <c r="Q201" t="n">
        <v>0</v>
      </c>
      <c r="R201" s="2" t="inlineStr"/>
    </row>
    <row r="202" ht="15" customHeight="1">
      <c r="A202" t="inlineStr">
        <is>
          <t>A 35990-2021</t>
        </is>
      </c>
      <c r="B202" s="1" t="n">
        <v>44389</v>
      </c>
      <c r="C202" s="1" t="n">
        <v>46205</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71090-2021</t>
        </is>
      </c>
      <c r="B203" s="1" t="n">
        <v>44539</v>
      </c>
      <c r="C203" s="1" t="n">
        <v>46205</v>
      </c>
      <c r="D203" t="inlineStr">
        <is>
          <t>ÖREBRO LÄN</t>
        </is>
      </c>
      <c r="E203" t="inlineStr">
        <is>
          <t>LINDESBERG</t>
        </is>
      </c>
      <c r="G203" t="n">
        <v>4.3</v>
      </c>
      <c r="H203" t="n">
        <v>0</v>
      </c>
      <c r="I203" t="n">
        <v>0</v>
      </c>
      <c r="J203" t="n">
        <v>0</v>
      </c>
      <c r="K203" t="n">
        <v>0</v>
      </c>
      <c r="L203" t="n">
        <v>0</v>
      </c>
      <c r="M203" t="n">
        <v>0</v>
      </c>
      <c r="N203" t="n">
        <v>0</v>
      </c>
      <c r="O203" t="n">
        <v>0</v>
      </c>
      <c r="P203" t="n">
        <v>0</v>
      </c>
      <c r="Q203" t="n">
        <v>0</v>
      </c>
      <c r="R203" s="2" t="inlineStr"/>
    </row>
    <row r="204" ht="15" customHeight="1">
      <c r="A204" t="inlineStr">
        <is>
          <t>A 71092-2021</t>
        </is>
      </c>
      <c r="B204" s="1" t="n">
        <v>44539</v>
      </c>
      <c r="C204" s="1" t="n">
        <v>46205</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v>
      </c>
      <c r="C205" s="1" t="n">
        <v>46205</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v>
      </c>
      <c r="C206" s="1" t="n">
        <v>46205</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46205</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12073-2022</t>
        </is>
      </c>
      <c r="B208" s="1" t="n">
        <v>44636</v>
      </c>
      <c r="C208" s="1" t="n">
        <v>46205</v>
      </c>
      <c r="D208" t="inlineStr">
        <is>
          <t>ÖREBRO LÄN</t>
        </is>
      </c>
      <c r="E208" t="inlineStr">
        <is>
          <t>LINDESBERG</t>
        </is>
      </c>
      <c r="G208" t="n">
        <v>2.3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v>
      </c>
      <c r="C209" s="1" t="n">
        <v>46205</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46205</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v>
      </c>
      <c r="C211" s="1" t="n">
        <v>46205</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v>
      </c>
      <c r="C212" s="1" t="n">
        <v>46205</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46205</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46205</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63686-2023</t>
        </is>
      </c>
      <c r="B215" s="1" t="n">
        <v>45274</v>
      </c>
      <c r="C215" s="1" t="n">
        <v>46205</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8612-2024</t>
        </is>
      </c>
      <c r="B216" s="1" t="n">
        <v>45355</v>
      </c>
      <c r="C216" s="1" t="n">
        <v>46205</v>
      </c>
      <c r="D216" t="inlineStr">
        <is>
          <t>ÖREBRO LÄN</t>
        </is>
      </c>
      <c r="E216" t="inlineStr">
        <is>
          <t>LINDESBERG</t>
        </is>
      </c>
      <c r="G216" t="n">
        <v>4.5</v>
      </c>
      <c r="H216" t="n">
        <v>0</v>
      </c>
      <c r="I216" t="n">
        <v>0</v>
      </c>
      <c r="J216" t="n">
        <v>0</v>
      </c>
      <c r="K216" t="n">
        <v>0</v>
      </c>
      <c r="L216" t="n">
        <v>0</v>
      </c>
      <c r="M216" t="n">
        <v>0</v>
      </c>
      <c r="N216" t="n">
        <v>0</v>
      </c>
      <c r="O216" t="n">
        <v>0</v>
      </c>
      <c r="P216" t="n">
        <v>0</v>
      </c>
      <c r="Q216" t="n">
        <v>0</v>
      </c>
      <c r="R216" s="2" t="inlineStr"/>
    </row>
    <row r="217" ht="15" customHeight="1">
      <c r="A217" t="inlineStr">
        <is>
          <t>A 17104-2024</t>
        </is>
      </c>
      <c r="B217" s="1" t="n">
        <v>45412</v>
      </c>
      <c r="C217" s="1" t="n">
        <v>46205</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26093-2023</t>
        </is>
      </c>
      <c r="B218" s="1" t="n">
        <v>45091</v>
      </c>
      <c r="C218" s="1" t="n">
        <v>46205</v>
      </c>
      <c r="D218" t="inlineStr">
        <is>
          <t>ÖREBRO LÄN</t>
        </is>
      </c>
      <c r="E218" t="inlineStr">
        <is>
          <t>LINDESBERG</t>
        </is>
      </c>
      <c r="G218" t="n">
        <v>0.4</v>
      </c>
      <c r="H218" t="n">
        <v>0</v>
      </c>
      <c r="I218" t="n">
        <v>0</v>
      </c>
      <c r="J218" t="n">
        <v>0</v>
      </c>
      <c r="K218" t="n">
        <v>0</v>
      </c>
      <c r="L218" t="n">
        <v>0</v>
      </c>
      <c r="M218" t="n">
        <v>0</v>
      </c>
      <c r="N218" t="n">
        <v>0</v>
      </c>
      <c r="O218" t="n">
        <v>0</v>
      </c>
      <c r="P218" t="n">
        <v>0</v>
      </c>
      <c r="Q218" t="n">
        <v>0</v>
      </c>
      <c r="R218" s="2" t="inlineStr"/>
    </row>
    <row r="219" ht="15" customHeight="1">
      <c r="A219" t="inlineStr">
        <is>
          <t>A 6470-2024</t>
        </is>
      </c>
      <c r="B219" s="1" t="n">
        <v>45338</v>
      </c>
      <c r="C219" s="1" t="n">
        <v>46205</v>
      </c>
      <c r="D219" t="inlineStr">
        <is>
          <t>ÖREBRO LÄN</t>
        </is>
      </c>
      <c r="E219" t="inlineStr">
        <is>
          <t>LINDESBERG</t>
        </is>
      </c>
      <c r="G219" t="n">
        <v>1.2</v>
      </c>
      <c r="H219" t="n">
        <v>0</v>
      </c>
      <c r="I219" t="n">
        <v>0</v>
      </c>
      <c r="J219" t="n">
        <v>0</v>
      </c>
      <c r="K219" t="n">
        <v>0</v>
      </c>
      <c r="L219" t="n">
        <v>0</v>
      </c>
      <c r="M219" t="n">
        <v>0</v>
      </c>
      <c r="N219" t="n">
        <v>0</v>
      </c>
      <c r="O219" t="n">
        <v>0</v>
      </c>
      <c r="P219" t="n">
        <v>0</v>
      </c>
      <c r="Q219" t="n">
        <v>0</v>
      </c>
      <c r="R219" s="2" t="inlineStr"/>
    </row>
    <row r="220" ht="15" customHeight="1">
      <c r="A220" t="inlineStr">
        <is>
          <t>A 19914-2024</t>
        </is>
      </c>
      <c r="B220" s="1" t="n">
        <v>45433</v>
      </c>
      <c r="C220" s="1" t="n">
        <v>46205</v>
      </c>
      <c r="D220" t="inlineStr">
        <is>
          <t>ÖREBRO LÄN</t>
        </is>
      </c>
      <c r="E220" t="inlineStr">
        <is>
          <t>LINDESBERG</t>
        </is>
      </c>
      <c r="G220" t="n">
        <v>1.1</v>
      </c>
      <c r="H220" t="n">
        <v>0</v>
      </c>
      <c r="I220" t="n">
        <v>0</v>
      </c>
      <c r="J220" t="n">
        <v>0</v>
      </c>
      <c r="K220" t="n">
        <v>0</v>
      </c>
      <c r="L220" t="n">
        <v>0</v>
      </c>
      <c r="M220" t="n">
        <v>0</v>
      </c>
      <c r="N220" t="n">
        <v>0</v>
      </c>
      <c r="O220" t="n">
        <v>0</v>
      </c>
      <c r="P220" t="n">
        <v>0</v>
      </c>
      <c r="Q220" t="n">
        <v>0</v>
      </c>
      <c r="R220" s="2" t="inlineStr"/>
    </row>
    <row r="221" ht="15" customHeight="1">
      <c r="A221" t="inlineStr">
        <is>
          <t>A 12739-2024</t>
        </is>
      </c>
      <c r="B221" s="1" t="n">
        <v>45384</v>
      </c>
      <c r="C221" s="1" t="n">
        <v>46205</v>
      </c>
      <c r="D221" t="inlineStr">
        <is>
          <t>ÖREBRO LÄN</t>
        </is>
      </c>
      <c r="E221" t="inlineStr">
        <is>
          <t>LINDESBERG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51656-2023</t>
        </is>
      </c>
      <c r="B222" s="1" t="n">
        <v>45222</v>
      </c>
      <c r="C222" s="1" t="n">
        <v>46205</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56561-2023</t>
        </is>
      </c>
      <c r="B223" s="1" t="n">
        <v>45243</v>
      </c>
      <c r="C223" s="1" t="n">
        <v>46205</v>
      </c>
      <c r="D223" t="inlineStr">
        <is>
          <t>ÖREBRO LÄN</t>
        </is>
      </c>
      <c r="E223" t="inlineStr">
        <is>
          <t>LINDESBERG</t>
        </is>
      </c>
      <c r="G223" t="n">
        <v>1.9</v>
      </c>
      <c r="H223" t="n">
        <v>0</v>
      </c>
      <c r="I223" t="n">
        <v>0</v>
      </c>
      <c r="J223" t="n">
        <v>0</v>
      </c>
      <c r="K223" t="n">
        <v>0</v>
      </c>
      <c r="L223" t="n">
        <v>0</v>
      </c>
      <c r="M223" t="n">
        <v>0</v>
      </c>
      <c r="N223" t="n">
        <v>0</v>
      </c>
      <c r="O223" t="n">
        <v>0</v>
      </c>
      <c r="P223" t="n">
        <v>0</v>
      </c>
      <c r="Q223" t="n">
        <v>0</v>
      </c>
      <c r="R223" s="2" t="inlineStr"/>
    </row>
    <row r="224" ht="15" customHeight="1">
      <c r="A224" t="inlineStr">
        <is>
          <t>A 56579-2023</t>
        </is>
      </c>
      <c r="B224" s="1" t="n">
        <v>45243</v>
      </c>
      <c r="C224" s="1" t="n">
        <v>46205</v>
      </c>
      <c r="D224" t="inlineStr">
        <is>
          <t>ÖREBRO LÄN</t>
        </is>
      </c>
      <c r="E224" t="inlineStr">
        <is>
          <t>LINDESBERG</t>
        </is>
      </c>
      <c r="F224" t="inlineStr">
        <is>
          <t>Naturvårdsverket</t>
        </is>
      </c>
      <c r="G224" t="n">
        <v>1.6</v>
      </c>
      <c r="H224" t="n">
        <v>0</v>
      </c>
      <c r="I224" t="n">
        <v>0</v>
      </c>
      <c r="J224" t="n">
        <v>0</v>
      </c>
      <c r="K224" t="n">
        <v>0</v>
      </c>
      <c r="L224" t="n">
        <v>0</v>
      </c>
      <c r="M224" t="n">
        <v>0</v>
      </c>
      <c r="N224" t="n">
        <v>0</v>
      </c>
      <c r="O224" t="n">
        <v>0</v>
      </c>
      <c r="P224" t="n">
        <v>0</v>
      </c>
      <c r="Q224" t="n">
        <v>0</v>
      </c>
      <c r="R224" s="2" t="inlineStr"/>
    </row>
    <row r="225" ht="15" customHeight="1">
      <c r="A225" t="inlineStr">
        <is>
          <t>A 56582-2023</t>
        </is>
      </c>
      <c r="B225" s="1" t="n">
        <v>45243</v>
      </c>
      <c r="C225" s="1" t="n">
        <v>46205</v>
      </c>
      <c r="D225" t="inlineStr">
        <is>
          <t>ÖREBRO LÄN</t>
        </is>
      </c>
      <c r="E225" t="inlineStr">
        <is>
          <t>LINDESBERG</t>
        </is>
      </c>
      <c r="F225" t="inlineStr">
        <is>
          <t>Naturvårdsverket</t>
        </is>
      </c>
      <c r="G225" t="n">
        <v>2.3</v>
      </c>
      <c r="H225" t="n">
        <v>0</v>
      </c>
      <c r="I225" t="n">
        <v>0</v>
      </c>
      <c r="J225" t="n">
        <v>0</v>
      </c>
      <c r="K225" t="n">
        <v>0</v>
      </c>
      <c r="L225" t="n">
        <v>0</v>
      </c>
      <c r="M225" t="n">
        <v>0</v>
      </c>
      <c r="N225" t="n">
        <v>0</v>
      </c>
      <c r="O225" t="n">
        <v>0</v>
      </c>
      <c r="P225" t="n">
        <v>0</v>
      </c>
      <c r="Q225" t="n">
        <v>0</v>
      </c>
      <c r="R225" s="2" t="inlineStr"/>
    </row>
    <row r="226" ht="15" customHeight="1">
      <c r="A226" t="inlineStr">
        <is>
          <t>A 56217-2022</t>
        </is>
      </c>
      <c r="B226" s="1" t="n">
        <v>44890</v>
      </c>
      <c r="C226" s="1" t="n">
        <v>46205</v>
      </c>
      <c r="D226" t="inlineStr">
        <is>
          <t>ÖREBRO LÄN</t>
        </is>
      </c>
      <c r="E226" t="inlineStr">
        <is>
          <t>LINDESBERG</t>
        </is>
      </c>
      <c r="G226" t="n">
        <v>6.9</v>
      </c>
      <c r="H226" t="n">
        <v>0</v>
      </c>
      <c r="I226" t="n">
        <v>0</v>
      </c>
      <c r="J226" t="n">
        <v>0</v>
      </c>
      <c r="K226" t="n">
        <v>0</v>
      </c>
      <c r="L226" t="n">
        <v>0</v>
      </c>
      <c r="M226" t="n">
        <v>0</v>
      </c>
      <c r="N226" t="n">
        <v>0</v>
      </c>
      <c r="O226" t="n">
        <v>0</v>
      </c>
      <c r="P226" t="n">
        <v>0</v>
      </c>
      <c r="Q226" t="n">
        <v>0</v>
      </c>
      <c r="R226" s="2" t="inlineStr"/>
    </row>
    <row r="227" ht="15" customHeight="1">
      <c r="A227" t="inlineStr">
        <is>
          <t>A 27134-2024</t>
        </is>
      </c>
      <c r="B227" s="1" t="n">
        <v>45471</v>
      </c>
      <c r="C227" s="1" t="n">
        <v>46205</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40305-2024</t>
        </is>
      </c>
      <c r="B228" s="1" t="n">
        <v>45554</v>
      </c>
      <c r="C228" s="1" t="n">
        <v>46205</v>
      </c>
      <c r="D228" t="inlineStr">
        <is>
          <t>ÖREBRO LÄN</t>
        </is>
      </c>
      <c r="E228" t="inlineStr">
        <is>
          <t>LINDESBERG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33280-2024</t>
        </is>
      </c>
      <c r="B229" s="1" t="n">
        <v>45518</v>
      </c>
      <c r="C229" s="1" t="n">
        <v>46205</v>
      </c>
      <c r="D229" t="inlineStr">
        <is>
          <t>ÖREBRO LÄN</t>
        </is>
      </c>
      <c r="E229" t="inlineStr">
        <is>
          <t>LINDESBERG</t>
        </is>
      </c>
      <c r="F229" t="inlineStr">
        <is>
          <t>Sveaskog</t>
        </is>
      </c>
      <c r="G229" t="n">
        <v>3.2</v>
      </c>
      <c r="H229" t="n">
        <v>0</v>
      </c>
      <c r="I229" t="n">
        <v>0</v>
      </c>
      <c r="J229" t="n">
        <v>0</v>
      </c>
      <c r="K229" t="n">
        <v>0</v>
      </c>
      <c r="L229" t="n">
        <v>0</v>
      </c>
      <c r="M229" t="n">
        <v>0</v>
      </c>
      <c r="N229" t="n">
        <v>0</v>
      </c>
      <c r="O229" t="n">
        <v>0</v>
      </c>
      <c r="P229" t="n">
        <v>0</v>
      </c>
      <c r="Q229" t="n">
        <v>0</v>
      </c>
      <c r="R229" s="2" t="inlineStr"/>
    </row>
    <row r="230" ht="15" customHeight="1">
      <c r="A230" t="inlineStr">
        <is>
          <t>A 37432-2022</t>
        </is>
      </c>
      <c r="B230" s="1" t="n">
        <v>44809</v>
      </c>
      <c r="C230" s="1" t="n">
        <v>46205</v>
      </c>
      <c r="D230" t="inlineStr">
        <is>
          <t>ÖREBRO LÄN</t>
        </is>
      </c>
      <c r="E230" t="inlineStr">
        <is>
          <t>LINDESBERG</t>
        </is>
      </c>
      <c r="G230" t="n">
        <v>3.6</v>
      </c>
      <c r="H230" t="n">
        <v>0</v>
      </c>
      <c r="I230" t="n">
        <v>0</v>
      </c>
      <c r="J230" t="n">
        <v>0</v>
      </c>
      <c r="K230" t="n">
        <v>0</v>
      </c>
      <c r="L230" t="n">
        <v>0</v>
      </c>
      <c r="M230" t="n">
        <v>0</v>
      </c>
      <c r="N230" t="n">
        <v>0</v>
      </c>
      <c r="O230" t="n">
        <v>0</v>
      </c>
      <c r="P230" t="n">
        <v>0</v>
      </c>
      <c r="Q230" t="n">
        <v>0</v>
      </c>
      <c r="R230" s="2" t="inlineStr"/>
    </row>
    <row r="231" ht="15" customHeight="1">
      <c r="A231" t="inlineStr">
        <is>
          <t>A 21012-2023</t>
        </is>
      </c>
      <c r="B231" s="1" t="n">
        <v>45061</v>
      </c>
      <c r="C231" s="1" t="n">
        <v>46205</v>
      </c>
      <c r="D231" t="inlineStr">
        <is>
          <t>ÖREBRO LÄN</t>
        </is>
      </c>
      <c r="E231" t="inlineStr">
        <is>
          <t>LINDESBERG</t>
        </is>
      </c>
      <c r="G231" t="n">
        <v>0.5</v>
      </c>
      <c r="H231" t="n">
        <v>0</v>
      </c>
      <c r="I231" t="n">
        <v>0</v>
      </c>
      <c r="J231" t="n">
        <v>0</v>
      </c>
      <c r="K231" t="n">
        <v>0</v>
      </c>
      <c r="L231" t="n">
        <v>0</v>
      </c>
      <c r="M231" t="n">
        <v>0</v>
      </c>
      <c r="N231" t="n">
        <v>0</v>
      </c>
      <c r="O231" t="n">
        <v>0</v>
      </c>
      <c r="P231" t="n">
        <v>0</v>
      </c>
      <c r="Q231" t="n">
        <v>0</v>
      </c>
      <c r="R231" s="2" t="inlineStr"/>
    </row>
    <row r="232" ht="15" customHeight="1">
      <c r="A232" t="inlineStr">
        <is>
          <t>A 53054-2022</t>
        </is>
      </c>
      <c r="B232" s="1" t="n">
        <v>44876</v>
      </c>
      <c r="C232" s="1" t="n">
        <v>46205</v>
      </c>
      <c r="D232" t="inlineStr">
        <is>
          <t>ÖREBRO LÄN</t>
        </is>
      </c>
      <c r="E232" t="inlineStr">
        <is>
          <t>LINDESBERG</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50619-2022</t>
        </is>
      </c>
      <c r="B233" s="1" t="n">
        <v>44866</v>
      </c>
      <c r="C233" s="1" t="n">
        <v>46205</v>
      </c>
      <c r="D233" t="inlineStr">
        <is>
          <t>ÖREBRO LÄN</t>
        </is>
      </c>
      <c r="E233" t="inlineStr">
        <is>
          <t>LINDESBERG</t>
        </is>
      </c>
      <c r="G233" t="n">
        <v>1.4</v>
      </c>
      <c r="H233" t="n">
        <v>0</v>
      </c>
      <c r="I233" t="n">
        <v>0</v>
      </c>
      <c r="J233" t="n">
        <v>0</v>
      </c>
      <c r="K233" t="n">
        <v>0</v>
      </c>
      <c r="L233" t="n">
        <v>0</v>
      </c>
      <c r="M233" t="n">
        <v>0</v>
      </c>
      <c r="N233" t="n">
        <v>0</v>
      </c>
      <c r="O233" t="n">
        <v>0</v>
      </c>
      <c r="P233" t="n">
        <v>0</v>
      </c>
      <c r="Q233" t="n">
        <v>0</v>
      </c>
      <c r="R233" s="2" t="inlineStr"/>
    </row>
    <row r="234" ht="15" customHeight="1">
      <c r="A234" t="inlineStr">
        <is>
          <t>A 46603-2021</t>
        </is>
      </c>
      <c r="B234" s="1" t="n">
        <v>44445</v>
      </c>
      <c r="C234" s="1" t="n">
        <v>46205</v>
      </c>
      <c r="D234" t="inlineStr">
        <is>
          <t>ÖREBRO LÄN</t>
        </is>
      </c>
      <c r="E234" t="inlineStr">
        <is>
          <t>LINDESBERG</t>
        </is>
      </c>
      <c r="F234" t="inlineStr">
        <is>
          <t>Sveaskog</t>
        </is>
      </c>
      <c r="G234" t="n">
        <v>2.4</v>
      </c>
      <c r="H234" t="n">
        <v>0</v>
      </c>
      <c r="I234" t="n">
        <v>0</v>
      </c>
      <c r="J234" t="n">
        <v>0</v>
      </c>
      <c r="K234" t="n">
        <v>0</v>
      </c>
      <c r="L234" t="n">
        <v>0</v>
      </c>
      <c r="M234" t="n">
        <v>0</v>
      </c>
      <c r="N234" t="n">
        <v>0</v>
      </c>
      <c r="O234" t="n">
        <v>0</v>
      </c>
      <c r="P234" t="n">
        <v>0</v>
      </c>
      <c r="Q234" t="n">
        <v>0</v>
      </c>
      <c r="R234" s="2" t="inlineStr"/>
    </row>
    <row r="235" ht="15" customHeight="1">
      <c r="A235" t="inlineStr">
        <is>
          <t>A 58662-2022</t>
        </is>
      </c>
      <c r="B235" s="1" t="n">
        <v>44902</v>
      </c>
      <c r="C235" s="1" t="n">
        <v>46205</v>
      </c>
      <c r="D235" t="inlineStr">
        <is>
          <t>ÖREBRO LÄN</t>
        </is>
      </c>
      <c r="E235" t="inlineStr">
        <is>
          <t>LINDESBERG</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41343-2021</t>
        </is>
      </c>
      <c r="B236" s="1" t="n">
        <v>44424</v>
      </c>
      <c r="C236" s="1" t="n">
        <v>46205</v>
      </c>
      <c r="D236" t="inlineStr">
        <is>
          <t>ÖREBRO LÄN</t>
        </is>
      </c>
      <c r="E236" t="inlineStr">
        <is>
          <t>LINDESBERG</t>
        </is>
      </c>
      <c r="G236" t="n">
        <v>8.9</v>
      </c>
      <c r="H236" t="n">
        <v>0</v>
      </c>
      <c r="I236" t="n">
        <v>0</v>
      </c>
      <c r="J236" t="n">
        <v>0</v>
      </c>
      <c r="K236" t="n">
        <v>0</v>
      </c>
      <c r="L236" t="n">
        <v>0</v>
      </c>
      <c r="M236" t="n">
        <v>0</v>
      </c>
      <c r="N236" t="n">
        <v>0</v>
      </c>
      <c r="O236" t="n">
        <v>0</v>
      </c>
      <c r="P236" t="n">
        <v>0</v>
      </c>
      <c r="Q236" t="n">
        <v>0</v>
      </c>
      <c r="R236" s="2" t="inlineStr"/>
    </row>
    <row r="237" ht="15" customHeight="1">
      <c r="A237" t="inlineStr">
        <is>
          <t>A 4067-2024</t>
        </is>
      </c>
      <c r="B237" s="1" t="n">
        <v>45323</v>
      </c>
      <c r="C237" s="1" t="n">
        <v>46205</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30767-2023</t>
        </is>
      </c>
      <c r="B238" s="1" t="n">
        <v>45112</v>
      </c>
      <c r="C238" s="1" t="n">
        <v>46205</v>
      </c>
      <c r="D238" t="inlineStr">
        <is>
          <t>ÖREBRO LÄN</t>
        </is>
      </c>
      <c r="E238" t="inlineStr">
        <is>
          <t>LINDESBERG</t>
        </is>
      </c>
      <c r="G238" t="n">
        <v>3.9</v>
      </c>
      <c r="H238" t="n">
        <v>0</v>
      </c>
      <c r="I238" t="n">
        <v>0</v>
      </c>
      <c r="J238" t="n">
        <v>0</v>
      </c>
      <c r="K238" t="n">
        <v>0</v>
      </c>
      <c r="L238" t="n">
        <v>0</v>
      </c>
      <c r="M238" t="n">
        <v>0</v>
      </c>
      <c r="N238" t="n">
        <v>0</v>
      </c>
      <c r="O238" t="n">
        <v>0</v>
      </c>
      <c r="P238" t="n">
        <v>0</v>
      </c>
      <c r="Q238" t="n">
        <v>0</v>
      </c>
      <c r="R238" s="2" t="inlineStr"/>
    </row>
    <row r="239" ht="15" customHeight="1">
      <c r="A239" t="inlineStr">
        <is>
          <t>A 63508-2023</t>
        </is>
      </c>
      <c r="B239" s="1" t="n">
        <v>45274</v>
      </c>
      <c r="C239" s="1" t="n">
        <v>46205</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36280-2023</t>
        </is>
      </c>
      <c r="B240" s="1" t="n">
        <v>45152</v>
      </c>
      <c r="C240" s="1" t="n">
        <v>46205</v>
      </c>
      <c r="D240" t="inlineStr">
        <is>
          <t>ÖREBRO LÄN</t>
        </is>
      </c>
      <c r="E240" t="inlineStr">
        <is>
          <t>LINDESBERG</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38762-2021</t>
        </is>
      </c>
      <c r="B241" s="1" t="n">
        <v>44410</v>
      </c>
      <c r="C241" s="1" t="n">
        <v>46205</v>
      </c>
      <c r="D241" t="inlineStr">
        <is>
          <t>ÖREBRO LÄN</t>
        </is>
      </c>
      <c r="E241" t="inlineStr">
        <is>
          <t>LINDESBERG</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33284-2024</t>
        </is>
      </c>
      <c r="B242" s="1" t="n">
        <v>45518</v>
      </c>
      <c r="C242" s="1" t="n">
        <v>46205</v>
      </c>
      <c r="D242" t="inlineStr">
        <is>
          <t>ÖREBRO LÄN</t>
        </is>
      </c>
      <c r="E242" t="inlineStr">
        <is>
          <t>LINDESBERG</t>
        </is>
      </c>
      <c r="G242" t="n">
        <v>1.7</v>
      </c>
      <c r="H242" t="n">
        <v>0</v>
      </c>
      <c r="I242" t="n">
        <v>0</v>
      </c>
      <c r="J242" t="n">
        <v>0</v>
      </c>
      <c r="K242" t="n">
        <v>0</v>
      </c>
      <c r="L242" t="n">
        <v>0</v>
      </c>
      <c r="M242" t="n">
        <v>0</v>
      </c>
      <c r="N242" t="n">
        <v>0</v>
      </c>
      <c r="O242" t="n">
        <v>0</v>
      </c>
      <c r="P242" t="n">
        <v>0</v>
      </c>
      <c r="Q242" t="n">
        <v>0</v>
      </c>
      <c r="R242" s="2" t="inlineStr"/>
    </row>
    <row r="243" ht="15" customHeight="1">
      <c r="A243" t="inlineStr">
        <is>
          <t>A 33978-2023</t>
        </is>
      </c>
      <c r="B243" s="1" t="n">
        <v>45134</v>
      </c>
      <c r="C243" s="1" t="n">
        <v>46205</v>
      </c>
      <c r="D243" t="inlineStr">
        <is>
          <t>ÖREBRO LÄN</t>
        </is>
      </c>
      <c r="E243" t="inlineStr">
        <is>
          <t>LINDESBERG</t>
        </is>
      </c>
      <c r="G243" t="n">
        <v>4.1</v>
      </c>
      <c r="H243" t="n">
        <v>0</v>
      </c>
      <c r="I243" t="n">
        <v>0</v>
      </c>
      <c r="J243" t="n">
        <v>0</v>
      </c>
      <c r="K243" t="n">
        <v>0</v>
      </c>
      <c r="L243" t="n">
        <v>0</v>
      </c>
      <c r="M243" t="n">
        <v>0</v>
      </c>
      <c r="N243" t="n">
        <v>0</v>
      </c>
      <c r="O243" t="n">
        <v>0</v>
      </c>
      <c r="P243" t="n">
        <v>0</v>
      </c>
      <c r="Q243" t="n">
        <v>0</v>
      </c>
      <c r="R243" s="2" t="inlineStr"/>
    </row>
    <row r="244" ht="15" customHeight="1">
      <c r="A244" t="inlineStr">
        <is>
          <t>A 54705-2022</t>
        </is>
      </c>
      <c r="B244" s="1" t="n">
        <v>44883</v>
      </c>
      <c r="C244" s="1" t="n">
        <v>46205</v>
      </c>
      <c r="D244" t="inlineStr">
        <is>
          <t>ÖREBRO LÄN</t>
        </is>
      </c>
      <c r="E244" t="inlineStr">
        <is>
          <t>LINDESBERG</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48231-2024</t>
        </is>
      </c>
      <c r="B245" s="1" t="n">
        <v>45590</v>
      </c>
      <c r="C245" s="1" t="n">
        <v>46205</v>
      </c>
      <c r="D245" t="inlineStr">
        <is>
          <t>ÖREBRO LÄN</t>
        </is>
      </c>
      <c r="E245" t="inlineStr">
        <is>
          <t>LINDESBERG</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36015-2021</t>
        </is>
      </c>
      <c r="B246" s="1" t="n">
        <v>44389</v>
      </c>
      <c r="C246" s="1" t="n">
        <v>46205</v>
      </c>
      <c r="D246" t="inlineStr">
        <is>
          <t>ÖREBRO LÄN</t>
        </is>
      </c>
      <c r="E246" t="inlineStr">
        <is>
          <t>LINDESBERG</t>
        </is>
      </c>
      <c r="F246" t="inlineStr">
        <is>
          <t>Sveaskog</t>
        </is>
      </c>
      <c r="G246" t="n">
        <v>0.7</v>
      </c>
      <c r="H246" t="n">
        <v>0</v>
      </c>
      <c r="I246" t="n">
        <v>0</v>
      </c>
      <c r="J246" t="n">
        <v>0</v>
      </c>
      <c r="K246" t="n">
        <v>0</v>
      </c>
      <c r="L246" t="n">
        <v>0</v>
      </c>
      <c r="M246" t="n">
        <v>0</v>
      </c>
      <c r="N246" t="n">
        <v>0</v>
      </c>
      <c r="O246" t="n">
        <v>0</v>
      </c>
      <c r="P246" t="n">
        <v>0</v>
      </c>
      <c r="Q246" t="n">
        <v>0</v>
      </c>
      <c r="R246" s="2" t="inlineStr"/>
    </row>
    <row r="247" ht="15" customHeight="1">
      <c r="A247" t="inlineStr">
        <is>
          <t>A 37125-2023</t>
        </is>
      </c>
      <c r="B247" s="1" t="n">
        <v>45155</v>
      </c>
      <c r="C247" s="1" t="n">
        <v>46205</v>
      </c>
      <c r="D247" t="inlineStr">
        <is>
          <t>ÖREBRO LÄN</t>
        </is>
      </c>
      <c r="E247" t="inlineStr">
        <is>
          <t>LINDESBERG</t>
        </is>
      </c>
      <c r="G247" t="n">
        <v>2</v>
      </c>
      <c r="H247" t="n">
        <v>0</v>
      </c>
      <c r="I247" t="n">
        <v>0</v>
      </c>
      <c r="J247" t="n">
        <v>0</v>
      </c>
      <c r="K247" t="n">
        <v>0</v>
      </c>
      <c r="L247" t="n">
        <v>0</v>
      </c>
      <c r="M247" t="n">
        <v>0</v>
      </c>
      <c r="N247" t="n">
        <v>0</v>
      </c>
      <c r="O247" t="n">
        <v>0</v>
      </c>
      <c r="P247" t="n">
        <v>0</v>
      </c>
      <c r="Q247" t="n">
        <v>0</v>
      </c>
      <c r="R247" s="2" t="inlineStr"/>
    </row>
    <row r="248" ht="15" customHeight="1">
      <c r="A248" t="inlineStr">
        <is>
          <t>A 24186-2024</t>
        </is>
      </c>
      <c r="B248" s="1" t="n">
        <v>45456</v>
      </c>
      <c r="C248" s="1" t="n">
        <v>46205</v>
      </c>
      <c r="D248" t="inlineStr">
        <is>
          <t>ÖREBRO LÄN</t>
        </is>
      </c>
      <c r="E248" t="inlineStr">
        <is>
          <t>LINDESBERG</t>
        </is>
      </c>
      <c r="F248" t="inlineStr">
        <is>
          <t>Sveaskog</t>
        </is>
      </c>
      <c r="G248" t="n">
        <v>1.8</v>
      </c>
      <c r="H248" t="n">
        <v>0</v>
      </c>
      <c r="I248" t="n">
        <v>0</v>
      </c>
      <c r="J248" t="n">
        <v>0</v>
      </c>
      <c r="K248" t="n">
        <v>0</v>
      </c>
      <c r="L248" t="n">
        <v>0</v>
      </c>
      <c r="M248" t="n">
        <v>0</v>
      </c>
      <c r="N248" t="n">
        <v>0</v>
      </c>
      <c r="O248" t="n">
        <v>0</v>
      </c>
      <c r="P248" t="n">
        <v>0</v>
      </c>
      <c r="Q248" t="n">
        <v>0</v>
      </c>
      <c r="R248" s="2" t="inlineStr"/>
    </row>
    <row r="249" ht="15" customHeight="1">
      <c r="A249" t="inlineStr">
        <is>
          <t>A 28032-2023</t>
        </is>
      </c>
      <c r="B249" s="1" t="n">
        <v>45099</v>
      </c>
      <c r="C249" s="1" t="n">
        <v>46205</v>
      </c>
      <c r="D249" t="inlineStr">
        <is>
          <t>ÖREBRO LÄN</t>
        </is>
      </c>
      <c r="E249" t="inlineStr">
        <is>
          <t>LINDESBERG</t>
        </is>
      </c>
      <c r="F249" t="inlineStr">
        <is>
          <t>Kyrkan</t>
        </is>
      </c>
      <c r="G249" t="n">
        <v>0.7</v>
      </c>
      <c r="H249" t="n">
        <v>0</v>
      </c>
      <c r="I249" t="n">
        <v>0</v>
      </c>
      <c r="J249" t="n">
        <v>0</v>
      </c>
      <c r="K249" t="n">
        <v>0</v>
      </c>
      <c r="L249" t="n">
        <v>0</v>
      </c>
      <c r="M249" t="n">
        <v>0</v>
      </c>
      <c r="N249" t="n">
        <v>0</v>
      </c>
      <c r="O249" t="n">
        <v>0</v>
      </c>
      <c r="P249" t="n">
        <v>0</v>
      </c>
      <c r="Q249" t="n">
        <v>0</v>
      </c>
      <c r="R249" s="2" t="inlineStr"/>
    </row>
    <row r="250" ht="15" customHeight="1">
      <c r="A250" t="inlineStr">
        <is>
          <t>A 36748-2024</t>
        </is>
      </c>
      <c r="B250" s="1" t="n">
        <v>45538</v>
      </c>
      <c r="C250" s="1" t="n">
        <v>46205</v>
      </c>
      <c r="D250" t="inlineStr">
        <is>
          <t>ÖREBRO LÄN</t>
        </is>
      </c>
      <c r="E250" t="inlineStr">
        <is>
          <t>LINDESBERG</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21390-2024</t>
        </is>
      </c>
      <c r="B251" s="1" t="n">
        <v>45441</v>
      </c>
      <c r="C251" s="1" t="n">
        <v>46205</v>
      </c>
      <c r="D251" t="inlineStr">
        <is>
          <t>ÖREBRO LÄN</t>
        </is>
      </c>
      <c r="E251" t="inlineStr">
        <is>
          <t>LINDESBERG</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21392-2024</t>
        </is>
      </c>
      <c r="B252" s="1" t="n">
        <v>45441</v>
      </c>
      <c r="C252" s="1" t="n">
        <v>46205</v>
      </c>
      <c r="D252" t="inlineStr">
        <is>
          <t>ÖREBRO LÄN</t>
        </is>
      </c>
      <c r="E252" t="inlineStr">
        <is>
          <t>LINDESBERG</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13305-2023</t>
        </is>
      </c>
      <c r="B253" s="1" t="n">
        <v>45005</v>
      </c>
      <c r="C253" s="1" t="n">
        <v>46205</v>
      </c>
      <c r="D253" t="inlineStr">
        <is>
          <t>ÖREBRO LÄN</t>
        </is>
      </c>
      <c r="E253" t="inlineStr">
        <is>
          <t>LINDESBERG</t>
        </is>
      </c>
      <c r="G253" t="n">
        <v>5.5</v>
      </c>
      <c r="H253" t="n">
        <v>0</v>
      </c>
      <c r="I253" t="n">
        <v>0</v>
      </c>
      <c r="J253" t="n">
        <v>0</v>
      </c>
      <c r="K253" t="n">
        <v>0</v>
      </c>
      <c r="L253" t="n">
        <v>0</v>
      </c>
      <c r="M253" t="n">
        <v>0</v>
      </c>
      <c r="N253" t="n">
        <v>0</v>
      </c>
      <c r="O253" t="n">
        <v>0</v>
      </c>
      <c r="P253" t="n">
        <v>0</v>
      </c>
      <c r="Q253" t="n">
        <v>0</v>
      </c>
      <c r="R253" s="2" t="inlineStr"/>
    </row>
    <row r="254" ht="15" customHeight="1">
      <c r="A254" t="inlineStr">
        <is>
          <t>A 13368-2023</t>
        </is>
      </c>
      <c r="B254" s="1" t="n">
        <v>45005</v>
      </c>
      <c r="C254" s="1" t="n">
        <v>46205</v>
      </c>
      <c r="D254" t="inlineStr">
        <is>
          <t>ÖREBRO LÄN</t>
        </is>
      </c>
      <c r="E254" t="inlineStr">
        <is>
          <t>LINDESBERG</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v>
      </c>
      <c r="C255" s="1" t="n">
        <v>46205</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8834-2023</t>
        </is>
      </c>
      <c r="B256" s="1" t="n">
        <v>44978</v>
      </c>
      <c r="C256" s="1" t="n">
        <v>46205</v>
      </c>
      <c r="D256" t="inlineStr">
        <is>
          <t>ÖREBRO LÄN</t>
        </is>
      </c>
      <c r="E256" t="inlineStr">
        <is>
          <t>LINDESBERG</t>
        </is>
      </c>
      <c r="G256" t="n">
        <v>0.5</v>
      </c>
      <c r="H256" t="n">
        <v>0</v>
      </c>
      <c r="I256" t="n">
        <v>0</v>
      </c>
      <c r="J256" t="n">
        <v>0</v>
      </c>
      <c r="K256" t="n">
        <v>0</v>
      </c>
      <c r="L256" t="n">
        <v>0</v>
      </c>
      <c r="M256" t="n">
        <v>0</v>
      </c>
      <c r="N256" t="n">
        <v>0</v>
      </c>
      <c r="O256" t="n">
        <v>0</v>
      </c>
      <c r="P256" t="n">
        <v>0</v>
      </c>
      <c r="Q256" t="n">
        <v>0</v>
      </c>
      <c r="R256" s="2" t="inlineStr"/>
    </row>
    <row r="257" ht="15" customHeight="1">
      <c r="A257" t="inlineStr">
        <is>
          <t>A 47110-2024</t>
        </is>
      </c>
      <c r="B257" s="1" t="n">
        <v>45586</v>
      </c>
      <c r="C257" s="1" t="n">
        <v>46205</v>
      </c>
      <c r="D257" t="inlineStr">
        <is>
          <t>ÖREBRO LÄN</t>
        </is>
      </c>
      <c r="E257" t="inlineStr">
        <is>
          <t>LINDESBERG</t>
        </is>
      </c>
      <c r="G257" t="n">
        <v>0.6</v>
      </c>
      <c r="H257" t="n">
        <v>0</v>
      </c>
      <c r="I257" t="n">
        <v>0</v>
      </c>
      <c r="J257" t="n">
        <v>0</v>
      </c>
      <c r="K257" t="n">
        <v>0</v>
      </c>
      <c r="L257" t="n">
        <v>0</v>
      </c>
      <c r="M257" t="n">
        <v>0</v>
      </c>
      <c r="N257" t="n">
        <v>0</v>
      </c>
      <c r="O257" t="n">
        <v>0</v>
      </c>
      <c r="P257" t="n">
        <v>0</v>
      </c>
      <c r="Q257" t="n">
        <v>0</v>
      </c>
      <c r="R257" s="2" t="inlineStr"/>
    </row>
    <row r="258" ht="15" customHeight="1">
      <c r="A258" t="inlineStr">
        <is>
          <t>A 911-2026</t>
        </is>
      </c>
      <c r="B258" s="1" t="n">
        <v>46030</v>
      </c>
      <c r="C258" s="1" t="n">
        <v>46205</v>
      </c>
      <c r="D258" t="inlineStr">
        <is>
          <t>ÖREBRO LÄN</t>
        </is>
      </c>
      <c r="E258" t="inlineStr">
        <is>
          <t>LINDESBERG</t>
        </is>
      </c>
      <c r="G258" t="n">
        <v>1.6</v>
      </c>
      <c r="H258" t="n">
        <v>0</v>
      </c>
      <c r="I258" t="n">
        <v>0</v>
      </c>
      <c r="J258" t="n">
        <v>0</v>
      </c>
      <c r="K258" t="n">
        <v>0</v>
      </c>
      <c r="L258" t="n">
        <v>0</v>
      </c>
      <c r="M258" t="n">
        <v>0</v>
      </c>
      <c r="N258" t="n">
        <v>0</v>
      </c>
      <c r="O258" t="n">
        <v>0</v>
      </c>
      <c r="P258" t="n">
        <v>0</v>
      </c>
      <c r="Q258" t="n">
        <v>0</v>
      </c>
      <c r="R258" s="2" t="inlineStr"/>
    </row>
    <row r="259" ht="15" customHeight="1">
      <c r="A259" t="inlineStr">
        <is>
          <t>A 38534-2025</t>
        </is>
      </c>
      <c r="B259" s="1" t="n">
        <v>45884</v>
      </c>
      <c r="C259" s="1" t="n">
        <v>46205</v>
      </c>
      <c r="D259" t="inlineStr">
        <is>
          <t>ÖREBRO LÄN</t>
        </is>
      </c>
      <c r="E259" t="inlineStr">
        <is>
          <t>LINDESBERG</t>
        </is>
      </c>
      <c r="G259" t="n">
        <v>4.9</v>
      </c>
      <c r="H259" t="n">
        <v>0</v>
      </c>
      <c r="I259" t="n">
        <v>0</v>
      </c>
      <c r="J259" t="n">
        <v>0</v>
      </c>
      <c r="K259" t="n">
        <v>0</v>
      </c>
      <c r="L259" t="n">
        <v>0</v>
      </c>
      <c r="M259" t="n">
        <v>0</v>
      </c>
      <c r="N259" t="n">
        <v>0</v>
      </c>
      <c r="O259" t="n">
        <v>0</v>
      </c>
      <c r="P259" t="n">
        <v>0</v>
      </c>
      <c r="Q259" t="n">
        <v>0</v>
      </c>
      <c r="R259" s="2" t="inlineStr"/>
    </row>
    <row r="260" ht="15" customHeight="1">
      <c r="A260" t="inlineStr">
        <is>
          <t>A 21468-2024</t>
        </is>
      </c>
      <c r="B260" s="1" t="n">
        <v>45441</v>
      </c>
      <c r="C260" s="1" t="n">
        <v>46205</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6727-2022</t>
        </is>
      </c>
      <c r="B261" s="1" t="n">
        <v>44602</v>
      </c>
      <c r="C261" s="1" t="n">
        <v>46205</v>
      </c>
      <c r="D261" t="inlineStr">
        <is>
          <t>ÖREBRO LÄN</t>
        </is>
      </c>
      <c r="E261" t="inlineStr">
        <is>
          <t>LINDESBERG</t>
        </is>
      </c>
      <c r="G261" t="n">
        <v>0.8</v>
      </c>
      <c r="H261" t="n">
        <v>0</v>
      </c>
      <c r="I261" t="n">
        <v>0</v>
      </c>
      <c r="J261" t="n">
        <v>0</v>
      </c>
      <c r="K261" t="n">
        <v>0</v>
      </c>
      <c r="L261" t="n">
        <v>0</v>
      </c>
      <c r="M261" t="n">
        <v>0</v>
      </c>
      <c r="N261" t="n">
        <v>0</v>
      </c>
      <c r="O261" t="n">
        <v>0</v>
      </c>
      <c r="P261" t="n">
        <v>0</v>
      </c>
      <c r="Q261" t="n">
        <v>0</v>
      </c>
      <c r="R261" s="2" t="inlineStr"/>
    </row>
    <row r="262" ht="15" customHeight="1">
      <c r="A262" t="inlineStr">
        <is>
          <t>A 6723-2022</t>
        </is>
      </c>
      <c r="B262" s="1" t="n">
        <v>44602</v>
      </c>
      <c r="C262" s="1" t="n">
        <v>46205</v>
      </c>
      <c r="D262" t="inlineStr">
        <is>
          <t>ÖREBRO LÄN</t>
        </is>
      </c>
      <c r="E262" t="inlineStr">
        <is>
          <t>LINDESBERG</t>
        </is>
      </c>
      <c r="G262" t="n">
        <v>4.2</v>
      </c>
      <c r="H262" t="n">
        <v>0</v>
      </c>
      <c r="I262" t="n">
        <v>0</v>
      </c>
      <c r="J262" t="n">
        <v>0</v>
      </c>
      <c r="K262" t="n">
        <v>0</v>
      </c>
      <c r="L262" t="n">
        <v>0</v>
      </c>
      <c r="M262" t="n">
        <v>0</v>
      </c>
      <c r="N262" t="n">
        <v>0</v>
      </c>
      <c r="O262" t="n">
        <v>0</v>
      </c>
      <c r="P262" t="n">
        <v>0</v>
      </c>
      <c r="Q262" t="n">
        <v>0</v>
      </c>
      <c r="R262" s="2" t="inlineStr"/>
    </row>
    <row r="263" ht="15" customHeight="1">
      <c r="A263" t="inlineStr">
        <is>
          <t>A 27296-2025</t>
        </is>
      </c>
      <c r="B263" s="1" t="n">
        <v>45812</v>
      </c>
      <c r="C263" s="1" t="n">
        <v>46205</v>
      </c>
      <c r="D263" t="inlineStr">
        <is>
          <t>ÖREBRO LÄN</t>
        </is>
      </c>
      <c r="E263" t="inlineStr">
        <is>
          <t>LINDESBERG</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38861-2025</t>
        </is>
      </c>
      <c r="B264" s="1" t="n">
        <v>45887</v>
      </c>
      <c r="C264" s="1" t="n">
        <v>46205</v>
      </c>
      <c r="D264" t="inlineStr">
        <is>
          <t>ÖREBRO LÄN</t>
        </is>
      </c>
      <c r="E264" t="inlineStr">
        <is>
          <t>LINDESBERG</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36893-2024</t>
        </is>
      </c>
      <c r="B265" s="1" t="n">
        <v>45538</v>
      </c>
      <c r="C265" s="1" t="n">
        <v>46205</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39424-2025</t>
        </is>
      </c>
      <c r="B266" s="1" t="n">
        <v>45889</v>
      </c>
      <c r="C266" s="1" t="n">
        <v>46205</v>
      </c>
      <c r="D266" t="inlineStr">
        <is>
          <t>ÖREBRO LÄN</t>
        </is>
      </c>
      <c r="E266" t="inlineStr">
        <is>
          <t>LINDESBERG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39429-2025</t>
        </is>
      </c>
      <c r="B267" s="1" t="n">
        <v>45889</v>
      </c>
      <c r="C267" s="1" t="n">
        <v>46205</v>
      </c>
      <c r="D267" t="inlineStr">
        <is>
          <t>ÖREBRO LÄN</t>
        </is>
      </c>
      <c r="E267" t="inlineStr">
        <is>
          <t>LINDESBERG</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39421-2025</t>
        </is>
      </c>
      <c r="B268" s="1" t="n">
        <v>45889</v>
      </c>
      <c r="C268" s="1" t="n">
        <v>46205</v>
      </c>
      <c r="D268" t="inlineStr">
        <is>
          <t>ÖREBRO LÄN</t>
        </is>
      </c>
      <c r="E268" t="inlineStr">
        <is>
          <t>LINDESBERG</t>
        </is>
      </c>
      <c r="F268" t="inlineStr">
        <is>
          <t>Sveaskog</t>
        </is>
      </c>
      <c r="G268" t="n">
        <v>2</v>
      </c>
      <c r="H268" t="n">
        <v>0</v>
      </c>
      <c r="I268" t="n">
        <v>0</v>
      </c>
      <c r="J268" t="n">
        <v>0</v>
      </c>
      <c r="K268" t="n">
        <v>0</v>
      </c>
      <c r="L268" t="n">
        <v>0</v>
      </c>
      <c r="M268" t="n">
        <v>0</v>
      </c>
      <c r="N268" t="n">
        <v>0</v>
      </c>
      <c r="O268" t="n">
        <v>0</v>
      </c>
      <c r="P268" t="n">
        <v>0</v>
      </c>
      <c r="Q268" t="n">
        <v>0</v>
      </c>
      <c r="R268" s="2" t="inlineStr"/>
    </row>
    <row r="269" ht="15" customHeight="1">
      <c r="A269" t="inlineStr">
        <is>
          <t>A 10564-2023</t>
        </is>
      </c>
      <c r="B269" s="1" t="n">
        <v>44988</v>
      </c>
      <c r="C269" s="1" t="n">
        <v>46205</v>
      </c>
      <c r="D269" t="inlineStr">
        <is>
          <t>ÖREBRO LÄN</t>
        </is>
      </c>
      <c r="E269" t="inlineStr">
        <is>
          <t>LINDESBERG</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28991-2025</t>
        </is>
      </c>
      <c r="B270" s="1" t="n">
        <v>45821</v>
      </c>
      <c r="C270" s="1" t="n">
        <v>46205</v>
      </c>
      <c r="D270" t="inlineStr">
        <is>
          <t>ÖREBRO LÄN</t>
        </is>
      </c>
      <c r="E270" t="inlineStr">
        <is>
          <t>LINDESBERG</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14185-2024</t>
        </is>
      </c>
      <c r="B271" s="1" t="n">
        <v>45393</v>
      </c>
      <c r="C271" s="1" t="n">
        <v>46205</v>
      </c>
      <c r="D271" t="inlineStr">
        <is>
          <t>ÖREBRO LÄN</t>
        </is>
      </c>
      <c r="E271" t="inlineStr">
        <is>
          <t>LINDESBERG</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11218-2025</t>
        </is>
      </c>
      <c r="B272" s="1" t="n">
        <v>45726</v>
      </c>
      <c r="C272" s="1" t="n">
        <v>46205</v>
      </c>
      <c r="D272" t="inlineStr">
        <is>
          <t>ÖREBRO LÄN</t>
        </is>
      </c>
      <c r="E272" t="inlineStr">
        <is>
          <t>LINDESBERG</t>
        </is>
      </c>
      <c r="G272" t="n">
        <v>0.4</v>
      </c>
      <c r="H272" t="n">
        <v>0</v>
      </c>
      <c r="I272" t="n">
        <v>0</v>
      </c>
      <c r="J272" t="n">
        <v>0</v>
      </c>
      <c r="K272" t="n">
        <v>0</v>
      </c>
      <c r="L272" t="n">
        <v>0</v>
      </c>
      <c r="M272" t="n">
        <v>0</v>
      </c>
      <c r="N272" t="n">
        <v>0</v>
      </c>
      <c r="O272" t="n">
        <v>0</v>
      </c>
      <c r="P272" t="n">
        <v>0</v>
      </c>
      <c r="Q272" t="n">
        <v>0</v>
      </c>
      <c r="R272" s="2" t="inlineStr"/>
    </row>
    <row r="273" ht="15" customHeight="1">
      <c r="A273" t="inlineStr">
        <is>
          <t>A 11220-2025</t>
        </is>
      </c>
      <c r="B273" s="1" t="n">
        <v>45726</v>
      </c>
      <c r="C273" s="1" t="n">
        <v>46205</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43801-2024</t>
        </is>
      </c>
      <c r="B274" s="1" t="n">
        <v>45571</v>
      </c>
      <c r="C274" s="1" t="n">
        <v>46205</v>
      </c>
      <c r="D274" t="inlineStr">
        <is>
          <t>ÖREBRO LÄN</t>
        </is>
      </c>
      <c r="E274" t="inlineStr">
        <is>
          <t>LINDESBERG</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72331-2021</t>
        </is>
      </c>
      <c r="B275" s="1" t="n">
        <v>44544</v>
      </c>
      <c r="C275" s="1" t="n">
        <v>46205</v>
      </c>
      <c r="D275" t="inlineStr">
        <is>
          <t>ÖREBRO LÄN</t>
        </is>
      </c>
      <c r="E275" t="inlineStr">
        <is>
          <t>LINDESBERG</t>
        </is>
      </c>
      <c r="G275" t="n">
        <v>1.5</v>
      </c>
      <c r="H275" t="n">
        <v>0</v>
      </c>
      <c r="I275" t="n">
        <v>0</v>
      </c>
      <c r="J275" t="n">
        <v>0</v>
      </c>
      <c r="K275" t="n">
        <v>0</v>
      </c>
      <c r="L275" t="n">
        <v>0</v>
      </c>
      <c r="M275" t="n">
        <v>0</v>
      </c>
      <c r="N275" t="n">
        <v>0</v>
      </c>
      <c r="O275" t="n">
        <v>0</v>
      </c>
      <c r="P275" t="n">
        <v>0</v>
      </c>
      <c r="Q275" t="n">
        <v>0</v>
      </c>
      <c r="R275" s="2" t="inlineStr"/>
    </row>
    <row r="276" ht="15" customHeight="1">
      <c r="A276" t="inlineStr">
        <is>
          <t>A 45062-2022</t>
        </is>
      </c>
      <c r="B276" s="1" t="n">
        <v>44841</v>
      </c>
      <c r="C276" s="1" t="n">
        <v>46205</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60941-2024</t>
        </is>
      </c>
      <c r="B277" s="1" t="n">
        <v>45645</v>
      </c>
      <c r="C277" s="1" t="n">
        <v>46205</v>
      </c>
      <c r="D277" t="inlineStr">
        <is>
          <t>ÖREBRO LÄN</t>
        </is>
      </c>
      <c r="E277" t="inlineStr">
        <is>
          <t>LINDESBERG</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64365-2023</t>
        </is>
      </c>
      <c r="B278" s="1" t="n">
        <v>45280</v>
      </c>
      <c r="C278" s="1" t="n">
        <v>46205</v>
      </c>
      <c r="D278" t="inlineStr">
        <is>
          <t>ÖREBRO LÄN</t>
        </is>
      </c>
      <c r="E278" t="inlineStr">
        <is>
          <t>LINDESBERG</t>
        </is>
      </c>
      <c r="F278" t="inlineStr">
        <is>
          <t>Kyrkan</t>
        </is>
      </c>
      <c r="G278" t="n">
        <v>1.4</v>
      </c>
      <c r="H278" t="n">
        <v>0</v>
      </c>
      <c r="I278" t="n">
        <v>0</v>
      </c>
      <c r="J278" t="n">
        <v>0</v>
      </c>
      <c r="K278" t="n">
        <v>0</v>
      </c>
      <c r="L278" t="n">
        <v>0</v>
      </c>
      <c r="M278" t="n">
        <v>0</v>
      </c>
      <c r="N278" t="n">
        <v>0</v>
      </c>
      <c r="O278" t="n">
        <v>0</v>
      </c>
      <c r="P278" t="n">
        <v>0</v>
      </c>
      <c r="Q278" t="n">
        <v>0</v>
      </c>
      <c r="R278" s="2" t="inlineStr"/>
    </row>
    <row r="279" ht="15" customHeight="1">
      <c r="A279" t="inlineStr">
        <is>
          <t>A 37738-2024</t>
        </is>
      </c>
      <c r="B279" s="1" t="n">
        <v>45541</v>
      </c>
      <c r="C279" s="1" t="n">
        <v>46205</v>
      </c>
      <c r="D279" t="inlineStr">
        <is>
          <t>ÖREBRO LÄN</t>
        </is>
      </c>
      <c r="E279" t="inlineStr">
        <is>
          <t>LINDESBERG</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33428-2024</t>
        </is>
      </c>
      <c r="B280" s="1" t="n">
        <v>45519</v>
      </c>
      <c r="C280" s="1" t="n">
        <v>46205</v>
      </c>
      <c r="D280" t="inlineStr">
        <is>
          <t>ÖREBRO LÄN</t>
        </is>
      </c>
      <c r="E280" t="inlineStr">
        <is>
          <t>LINDESBERG</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59766-2022</t>
        </is>
      </c>
      <c r="B281" s="1" t="n">
        <v>44908</v>
      </c>
      <c r="C281" s="1" t="n">
        <v>46205</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41889-2025</t>
        </is>
      </c>
      <c r="B282" s="1" t="n">
        <v>45903</v>
      </c>
      <c r="C282" s="1" t="n">
        <v>46205</v>
      </c>
      <c r="D282" t="inlineStr">
        <is>
          <t>ÖREBRO LÄN</t>
        </is>
      </c>
      <c r="E282" t="inlineStr">
        <is>
          <t>LINDESBERG</t>
        </is>
      </c>
      <c r="F282" t="inlineStr">
        <is>
          <t>Sveaskog</t>
        </is>
      </c>
      <c r="G282" t="n">
        <v>7.7</v>
      </c>
      <c r="H282" t="n">
        <v>0</v>
      </c>
      <c r="I282" t="n">
        <v>0</v>
      </c>
      <c r="J282" t="n">
        <v>0</v>
      </c>
      <c r="K282" t="n">
        <v>0</v>
      </c>
      <c r="L282" t="n">
        <v>0</v>
      </c>
      <c r="M282" t="n">
        <v>0</v>
      </c>
      <c r="N282" t="n">
        <v>0</v>
      </c>
      <c r="O282" t="n">
        <v>0</v>
      </c>
      <c r="P282" t="n">
        <v>0</v>
      </c>
      <c r="Q282" t="n">
        <v>0</v>
      </c>
      <c r="R282" s="2" t="inlineStr"/>
    </row>
    <row r="283" ht="15" customHeight="1">
      <c r="A283" t="inlineStr">
        <is>
          <t>A 33282-2024</t>
        </is>
      </c>
      <c r="B283" s="1" t="n">
        <v>45518</v>
      </c>
      <c r="C283" s="1" t="n">
        <v>46205</v>
      </c>
      <c r="D283" t="inlineStr">
        <is>
          <t>ÖREBRO LÄN</t>
        </is>
      </c>
      <c r="E283" t="inlineStr">
        <is>
          <t>LINDESBERG</t>
        </is>
      </c>
      <c r="G283" t="n">
        <v>7.5</v>
      </c>
      <c r="H283" t="n">
        <v>0</v>
      </c>
      <c r="I283" t="n">
        <v>0</v>
      </c>
      <c r="J283" t="n">
        <v>0</v>
      </c>
      <c r="K283" t="n">
        <v>0</v>
      </c>
      <c r="L283" t="n">
        <v>0</v>
      </c>
      <c r="M283" t="n">
        <v>0</v>
      </c>
      <c r="N283" t="n">
        <v>0</v>
      </c>
      <c r="O283" t="n">
        <v>0</v>
      </c>
      <c r="P283" t="n">
        <v>0</v>
      </c>
      <c r="Q283" t="n">
        <v>0</v>
      </c>
      <c r="R283" s="2" t="inlineStr"/>
    </row>
    <row r="284" ht="15" customHeight="1">
      <c r="A284" t="inlineStr">
        <is>
          <t>A 15895-2025</t>
        </is>
      </c>
      <c r="B284" s="1" t="n">
        <v>45749</v>
      </c>
      <c r="C284" s="1" t="n">
        <v>46205</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30339-2025</t>
        </is>
      </c>
      <c r="B285" s="1" t="n">
        <v>45827</v>
      </c>
      <c r="C285" s="1" t="n">
        <v>46205</v>
      </c>
      <c r="D285" t="inlineStr">
        <is>
          <t>ÖREBRO LÄN</t>
        </is>
      </c>
      <c r="E285" t="inlineStr">
        <is>
          <t>LINDESBERG</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1742-2022</t>
        </is>
      </c>
      <c r="B286" s="1" t="n">
        <v>44574</v>
      </c>
      <c r="C286" s="1" t="n">
        <v>46205</v>
      </c>
      <c r="D286" t="inlineStr">
        <is>
          <t>ÖREBRO LÄN</t>
        </is>
      </c>
      <c r="E286" t="inlineStr">
        <is>
          <t>LINDESBERG</t>
        </is>
      </c>
      <c r="G286" t="n">
        <v>0.9</v>
      </c>
      <c r="H286" t="n">
        <v>0</v>
      </c>
      <c r="I286" t="n">
        <v>0</v>
      </c>
      <c r="J286" t="n">
        <v>0</v>
      </c>
      <c r="K286" t="n">
        <v>0</v>
      </c>
      <c r="L286" t="n">
        <v>0</v>
      </c>
      <c r="M286" t="n">
        <v>0</v>
      </c>
      <c r="N286" t="n">
        <v>0</v>
      </c>
      <c r="O286" t="n">
        <v>0</v>
      </c>
      <c r="P286" t="n">
        <v>0</v>
      </c>
      <c r="Q286" t="n">
        <v>0</v>
      </c>
      <c r="R286" s="2" t="inlineStr"/>
    </row>
    <row r="287" ht="15" customHeight="1">
      <c r="A287" t="inlineStr">
        <is>
          <t>A 2556-2026</t>
        </is>
      </c>
      <c r="B287" s="1" t="n">
        <v>46035</v>
      </c>
      <c r="C287" s="1" t="n">
        <v>46205</v>
      </c>
      <c r="D287" t="inlineStr">
        <is>
          <t>ÖREBRO LÄN</t>
        </is>
      </c>
      <c r="E287" t="inlineStr">
        <is>
          <t>LINDESBERG</t>
        </is>
      </c>
      <c r="G287" t="n">
        <v>3.4</v>
      </c>
      <c r="H287" t="n">
        <v>0</v>
      </c>
      <c r="I287" t="n">
        <v>0</v>
      </c>
      <c r="J287" t="n">
        <v>0</v>
      </c>
      <c r="K287" t="n">
        <v>0</v>
      </c>
      <c r="L287" t="n">
        <v>0</v>
      </c>
      <c r="M287" t="n">
        <v>0</v>
      </c>
      <c r="N287" t="n">
        <v>0</v>
      </c>
      <c r="O287" t="n">
        <v>0</v>
      </c>
      <c r="P287" t="n">
        <v>0</v>
      </c>
      <c r="Q287" t="n">
        <v>0</v>
      </c>
      <c r="R287" s="2" t="inlineStr"/>
    </row>
    <row r="288" ht="15" customHeight="1">
      <c r="A288" t="inlineStr">
        <is>
          <t>A 34029-2024</t>
        </is>
      </c>
      <c r="B288" s="1" t="n">
        <v>45523</v>
      </c>
      <c r="C288" s="1" t="n">
        <v>46205</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31014-2025</t>
        </is>
      </c>
      <c r="B289" s="1" t="n">
        <v>45832</v>
      </c>
      <c r="C289" s="1" t="n">
        <v>46205</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42631-2025</t>
        </is>
      </c>
      <c r="B290" s="1" t="n">
        <v>45905</v>
      </c>
      <c r="C290" s="1" t="n">
        <v>46205</v>
      </c>
      <c r="D290" t="inlineStr">
        <is>
          <t>ÖREBRO LÄN</t>
        </is>
      </c>
      <c r="E290" t="inlineStr">
        <is>
          <t>LINDESBERG</t>
        </is>
      </c>
      <c r="F290" t="inlineStr">
        <is>
          <t>Sveaskog</t>
        </is>
      </c>
      <c r="G290" t="n">
        <v>2.6</v>
      </c>
      <c r="H290" t="n">
        <v>0</v>
      </c>
      <c r="I290" t="n">
        <v>0</v>
      </c>
      <c r="J290" t="n">
        <v>0</v>
      </c>
      <c r="K290" t="n">
        <v>0</v>
      </c>
      <c r="L290" t="n">
        <v>0</v>
      </c>
      <c r="M290" t="n">
        <v>0</v>
      </c>
      <c r="N290" t="n">
        <v>0</v>
      </c>
      <c r="O290" t="n">
        <v>0</v>
      </c>
      <c r="P290" t="n">
        <v>0</v>
      </c>
      <c r="Q290" t="n">
        <v>0</v>
      </c>
      <c r="R290" s="2" t="inlineStr"/>
    </row>
    <row r="291" ht="15" customHeight="1">
      <c r="A291" t="inlineStr">
        <is>
          <t>A 31018-2025</t>
        </is>
      </c>
      <c r="B291" s="1" t="n">
        <v>45832</v>
      </c>
      <c r="C291" s="1" t="n">
        <v>46205</v>
      </c>
      <c r="D291" t="inlineStr">
        <is>
          <t>ÖREBRO LÄN</t>
        </is>
      </c>
      <c r="E291" t="inlineStr">
        <is>
          <t>LINDESBERG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31003-2025</t>
        </is>
      </c>
      <c r="B292" s="1" t="n">
        <v>45832</v>
      </c>
      <c r="C292" s="1" t="n">
        <v>46205</v>
      </c>
      <c r="D292" t="inlineStr">
        <is>
          <t>ÖREBRO LÄN</t>
        </is>
      </c>
      <c r="E292" t="inlineStr">
        <is>
          <t>LINDESBERG</t>
        </is>
      </c>
      <c r="F292" t="inlineStr">
        <is>
          <t>Sveaskog</t>
        </is>
      </c>
      <c r="G292" t="n">
        <v>0.5</v>
      </c>
      <c r="H292" t="n">
        <v>0</v>
      </c>
      <c r="I292" t="n">
        <v>0</v>
      </c>
      <c r="J292" t="n">
        <v>0</v>
      </c>
      <c r="K292" t="n">
        <v>0</v>
      </c>
      <c r="L292" t="n">
        <v>0</v>
      </c>
      <c r="M292" t="n">
        <v>0</v>
      </c>
      <c r="N292" t="n">
        <v>0</v>
      </c>
      <c r="O292" t="n">
        <v>0</v>
      </c>
      <c r="P292" t="n">
        <v>0</v>
      </c>
      <c r="Q292" t="n">
        <v>0</v>
      </c>
      <c r="R292" s="2" t="inlineStr"/>
    </row>
    <row r="293" ht="15" customHeight="1">
      <c r="A293" t="inlineStr">
        <is>
          <t>A 31085-2025</t>
        </is>
      </c>
      <c r="B293" s="1" t="n">
        <v>45832</v>
      </c>
      <c r="C293" s="1" t="n">
        <v>46205</v>
      </c>
      <c r="D293" t="inlineStr">
        <is>
          <t>ÖREBRO LÄN</t>
        </is>
      </c>
      <c r="E293" t="inlineStr">
        <is>
          <t>LINDESBERG</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73860-2021</t>
        </is>
      </c>
      <c r="B294" s="1" t="n">
        <v>44553</v>
      </c>
      <c r="C294" s="1" t="n">
        <v>46205</v>
      </c>
      <c r="D294" t="inlineStr">
        <is>
          <t>ÖREBRO LÄN</t>
        </is>
      </c>
      <c r="E294" t="inlineStr">
        <is>
          <t>LINDESBERG</t>
        </is>
      </c>
      <c r="G294" t="n">
        <v>12.7</v>
      </c>
      <c r="H294" t="n">
        <v>0</v>
      </c>
      <c r="I294" t="n">
        <v>0</v>
      </c>
      <c r="J294" t="n">
        <v>0</v>
      </c>
      <c r="K294" t="n">
        <v>0</v>
      </c>
      <c r="L294" t="n">
        <v>0</v>
      </c>
      <c r="M294" t="n">
        <v>0</v>
      </c>
      <c r="N294" t="n">
        <v>0</v>
      </c>
      <c r="O294" t="n">
        <v>0</v>
      </c>
      <c r="P294" t="n">
        <v>0</v>
      </c>
      <c r="Q294" t="n">
        <v>0</v>
      </c>
      <c r="R294" s="2" t="inlineStr"/>
    </row>
    <row r="295" ht="15" customHeight="1">
      <c r="A295" t="inlineStr">
        <is>
          <t>A 5358-2022</t>
        </is>
      </c>
      <c r="B295" s="1" t="n">
        <v>44594</v>
      </c>
      <c r="C295" s="1" t="n">
        <v>46205</v>
      </c>
      <c r="D295" t="inlineStr">
        <is>
          <t>ÖREBRO LÄN</t>
        </is>
      </c>
      <c r="E295" t="inlineStr">
        <is>
          <t>LINDESBERG</t>
        </is>
      </c>
      <c r="G295" t="n">
        <v>2.8</v>
      </c>
      <c r="H295" t="n">
        <v>0</v>
      </c>
      <c r="I295" t="n">
        <v>0</v>
      </c>
      <c r="J295" t="n">
        <v>0</v>
      </c>
      <c r="K295" t="n">
        <v>0</v>
      </c>
      <c r="L295" t="n">
        <v>0</v>
      </c>
      <c r="M295" t="n">
        <v>0</v>
      </c>
      <c r="N295" t="n">
        <v>0</v>
      </c>
      <c r="O295" t="n">
        <v>0</v>
      </c>
      <c r="P295" t="n">
        <v>0</v>
      </c>
      <c r="Q295" t="n">
        <v>0</v>
      </c>
      <c r="R295" s="2" t="inlineStr"/>
    </row>
    <row r="296" ht="15" customHeight="1">
      <c r="A296" t="inlineStr">
        <is>
          <t>A 2958-2026</t>
        </is>
      </c>
      <c r="B296" s="1" t="n">
        <v>46038</v>
      </c>
      <c r="C296" s="1" t="n">
        <v>46205</v>
      </c>
      <c r="D296" t="inlineStr">
        <is>
          <t>ÖREBRO LÄN</t>
        </is>
      </c>
      <c r="E296" t="inlineStr">
        <is>
          <t>LINDESBERG</t>
        </is>
      </c>
      <c r="G296" t="n">
        <v>5.8</v>
      </c>
      <c r="H296" t="n">
        <v>0</v>
      </c>
      <c r="I296" t="n">
        <v>0</v>
      </c>
      <c r="J296" t="n">
        <v>0</v>
      </c>
      <c r="K296" t="n">
        <v>0</v>
      </c>
      <c r="L296" t="n">
        <v>0</v>
      </c>
      <c r="M296" t="n">
        <v>0</v>
      </c>
      <c r="N296" t="n">
        <v>0</v>
      </c>
      <c r="O296" t="n">
        <v>0</v>
      </c>
      <c r="P296" t="n">
        <v>0</v>
      </c>
      <c r="Q296" t="n">
        <v>0</v>
      </c>
      <c r="R296" s="2" t="inlineStr"/>
    </row>
    <row r="297" ht="15" customHeight="1">
      <c r="A297" t="inlineStr">
        <is>
          <t>A 15324-2024</t>
        </is>
      </c>
      <c r="B297" s="1" t="n">
        <v>45400</v>
      </c>
      <c r="C297" s="1" t="n">
        <v>46205</v>
      </c>
      <c r="D297" t="inlineStr">
        <is>
          <t>ÖREBRO LÄN</t>
        </is>
      </c>
      <c r="E297" t="inlineStr">
        <is>
          <t>LINDESBERG</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43847-2025</t>
        </is>
      </c>
      <c r="B298" s="1" t="n">
        <v>45912</v>
      </c>
      <c r="C298" s="1" t="n">
        <v>46205</v>
      </c>
      <c r="D298" t="inlineStr">
        <is>
          <t>ÖREBRO LÄN</t>
        </is>
      </c>
      <c r="E298" t="inlineStr">
        <is>
          <t>LINDESBERG</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32284-2025</t>
        </is>
      </c>
      <c r="B299" s="1" t="n">
        <v>45835</v>
      </c>
      <c r="C299" s="1" t="n">
        <v>46205</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32727-2024</t>
        </is>
      </c>
      <c r="B300" s="1" t="n">
        <v>45516</v>
      </c>
      <c r="C300" s="1" t="n">
        <v>46205</v>
      </c>
      <c r="D300" t="inlineStr">
        <is>
          <t>ÖREBRO LÄN</t>
        </is>
      </c>
      <c r="E300" t="inlineStr">
        <is>
          <t>LINDESBERG</t>
        </is>
      </c>
      <c r="F300" t="inlineStr">
        <is>
          <t>Sveaskog</t>
        </is>
      </c>
      <c r="G300" t="n">
        <v>2.3</v>
      </c>
      <c r="H300" t="n">
        <v>0</v>
      </c>
      <c r="I300" t="n">
        <v>0</v>
      </c>
      <c r="J300" t="n">
        <v>0</v>
      </c>
      <c r="K300" t="n">
        <v>0</v>
      </c>
      <c r="L300" t="n">
        <v>0</v>
      </c>
      <c r="M300" t="n">
        <v>0</v>
      </c>
      <c r="N300" t="n">
        <v>0</v>
      </c>
      <c r="O300" t="n">
        <v>0</v>
      </c>
      <c r="P300" t="n">
        <v>0</v>
      </c>
      <c r="Q300" t="n">
        <v>0</v>
      </c>
      <c r="R300" s="2" t="inlineStr"/>
    </row>
    <row r="301" ht="15" customHeight="1">
      <c r="A301" t="inlineStr">
        <is>
          <t>A 47066-2023</t>
        </is>
      </c>
      <c r="B301" s="1" t="n">
        <v>45201</v>
      </c>
      <c r="C301" s="1" t="n">
        <v>46205</v>
      </c>
      <c r="D301" t="inlineStr">
        <is>
          <t>ÖREBRO LÄN</t>
        </is>
      </c>
      <c r="E301" t="inlineStr">
        <is>
          <t>LINDESBERG</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42410-2024</t>
        </is>
      </c>
      <c r="B302" s="1" t="n">
        <v>45565</v>
      </c>
      <c r="C302" s="1" t="n">
        <v>46205</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2704-2026</t>
        </is>
      </c>
      <c r="B303" s="1" t="n">
        <v>46037</v>
      </c>
      <c r="C303" s="1" t="n">
        <v>46205</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55631-2022</t>
        </is>
      </c>
      <c r="B304" s="1" t="n">
        <v>44888</v>
      </c>
      <c r="C304" s="1" t="n">
        <v>46205</v>
      </c>
      <c r="D304" t="inlineStr">
        <is>
          <t>ÖREBRO LÄN</t>
        </is>
      </c>
      <c r="E304" t="inlineStr">
        <is>
          <t>LINDESBERG</t>
        </is>
      </c>
      <c r="G304" t="n">
        <v>4.4</v>
      </c>
      <c r="H304" t="n">
        <v>0</v>
      </c>
      <c r="I304" t="n">
        <v>0</v>
      </c>
      <c r="J304" t="n">
        <v>0</v>
      </c>
      <c r="K304" t="n">
        <v>0</v>
      </c>
      <c r="L304" t="n">
        <v>0</v>
      </c>
      <c r="M304" t="n">
        <v>0</v>
      </c>
      <c r="N304" t="n">
        <v>0</v>
      </c>
      <c r="O304" t="n">
        <v>0</v>
      </c>
      <c r="P304" t="n">
        <v>0</v>
      </c>
      <c r="Q304" t="n">
        <v>0</v>
      </c>
      <c r="R304" s="2" t="inlineStr"/>
    </row>
    <row r="305" ht="15" customHeight="1">
      <c r="A305" t="inlineStr">
        <is>
          <t>A 42282-2024</t>
        </is>
      </c>
      <c r="B305" s="1" t="n">
        <v>45562</v>
      </c>
      <c r="C305" s="1" t="n">
        <v>46205</v>
      </c>
      <c r="D305" t="inlineStr">
        <is>
          <t>ÖREBRO LÄN</t>
        </is>
      </c>
      <c r="E305" t="inlineStr">
        <is>
          <t>LINDESBERG</t>
        </is>
      </c>
      <c r="G305" t="n">
        <v>0.8</v>
      </c>
      <c r="H305" t="n">
        <v>0</v>
      </c>
      <c r="I305" t="n">
        <v>0</v>
      </c>
      <c r="J305" t="n">
        <v>0</v>
      </c>
      <c r="K305" t="n">
        <v>0</v>
      </c>
      <c r="L305" t="n">
        <v>0</v>
      </c>
      <c r="M305" t="n">
        <v>0</v>
      </c>
      <c r="N305" t="n">
        <v>0</v>
      </c>
      <c r="O305" t="n">
        <v>0</v>
      </c>
      <c r="P305" t="n">
        <v>0</v>
      </c>
      <c r="Q305" t="n">
        <v>0</v>
      </c>
      <c r="R305" s="2" t="inlineStr"/>
    </row>
    <row r="306" ht="15" customHeight="1">
      <c r="A306" t="inlineStr">
        <is>
          <t>A 42430-2024</t>
        </is>
      </c>
      <c r="B306" s="1" t="n">
        <v>45565</v>
      </c>
      <c r="C306" s="1" t="n">
        <v>46205</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15822-2024</t>
        </is>
      </c>
      <c r="B307" s="1" t="n">
        <v>45404</v>
      </c>
      <c r="C307" s="1" t="n">
        <v>46205</v>
      </c>
      <c r="D307" t="inlineStr">
        <is>
          <t>ÖREBRO LÄN</t>
        </is>
      </c>
      <c r="E307" t="inlineStr">
        <is>
          <t>LINDESBERG</t>
        </is>
      </c>
      <c r="F307" t="inlineStr">
        <is>
          <t>Sveaskog</t>
        </is>
      </c>
      <c r="G307" t="n">
        <v>6.7</v>
      </c>
      <c r="H307" t="n">
        <v>0</v>
      </c>
      <c r="I307" t="n">
        <v>0</v>
      </c>
      <c r="J307" t="n">
        <v>0</v>
      </c>
      <c r="K307" t="n">
        <v>0</v>
      </c>
      <c r="L307" t="n">
        <v>0</v>
      </c>
      <c r="M307" t="n">
        <v>0</v>
      </c>
      <c r="N307" t="n">
        <v>0</v>
      </c>
      <c r="O307" t="n">
        <v>0</v>
      </c>
      <c r="P307" t="n">
        <v>0</v>
      </c>
      <c r="Q307" t="n">
        <v>0</v>
      </c>
      <c r="R307" s="2" t="inlineStr"/>
    </row>
    <row r="308" ht="15" customHeight="1">
      <c r="A308" t="inlineStr">
        <is>
          <t>A 40038-2024</t>
        </is>
      </c>
      <c r="B308" s="1" t="n">
        <v>45553</v>
      </c>
      <c r="C308" s="1" t="n">
        <v>46205</v>
      </c>
      <c r="D308" t="inlineStr">
        <is>
          <t>ÖREBRO LÄN</t>
        </is>
      </c>
      <c r="E308" t="inlineStr">
        <is>
          <t>LINDESBERG</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8213-2023</t>
        </is>
      </c>
      <c r="B309" s="1" t="n">
        <v>44974</v>
      </c>
      <c r="C309" s="1" t="n">
        <v>46205</v>
      </c>
      <c r="D309" t="inlineStr">
        <is>
          <t>ÖREBRO LÄN</t>
        </is>
      </c>
      <c r="E309" t="inlineStr">
        <is>
          <t>LINDESBERG</t>
        </is>
      </c>
      <c r="G309" t="n">
        <v>0.7</v>
      </c>
      <c r="H309" t="n">
        <v>0</v>
      </c>
      <c r="I309" t="n">
        <v>0</v>
      </c>
      <c r="J309" t="n">
        <v>0</v>
      </c>
      <c r="K309" t="n">
        <v>0</v>
      </c>
      <c r="L309" t="n">
        <v>0</v>
      </c>
      <c r="M309" t="n">
        <v>0</v>
      </c>
      <c r="N309" t="n">
        <v>0</v>
      </c>
      <c r="O309" t="n">
        <v>0</v>
      </c>
      <c r="P309" t="n">
        <v>0</v>
      </c>
      <c r="Q309" t="n">
        <v>0</v>
      </c>
      <c r="R309" s="2" t="inlineStr"/>
    </row>
    <row r="310" ht="15" customHeight="1">
      <c r="A310" t="inlineStr">
        <is>
          <t>A 33574-2024</t>
        </is>
      </c>
      <c r="B310" s="1" t="n">
        <v>45520</v>
      </c>
      <c r="C310" s="1" t="n">
        <v>46205</v>
      </c>
      <c r="D310" t="inlineStr">
        <is>
          <t>ÖREBRO LÄN</t>
        </is>
      </c>
      <c r="E310" t="inlineStr">
        <is>
          <t>LINDESBERG</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3732-2023</t>
        </is>
      </c>
      <c r="B311" s="1" t="n">
        <v>44949</v>
      </c>
      <c r="C311" s="1" t="n">
        <v>46205</v>
      </c>
      <c r="D311" t="inlineStr">
        <is>
          <t>ÖREBRO LÄN</t>
        </is>
      </c>
      <c r="E311" t="inlineStr">
        <is>
          <t>LINDESBERG</t>
        </is>
      </c>
      <c r="G311" t="n">
        <v>3.3</v>
      </c>
      <c r="H311" t="n">
        <v>0</v>
      </c>
      <c r="I311" t="n">
        <v>0</v>
      </c>
      <c r="J311" t="n">
        <v>0</v>
      </c>
      <c r="K311" t="n">
        <v>0</v>
      </c>
      <c r="L311" t="n">
        <v>0</v>
      </c>
      <c r="M311" t="n">
        <v>0</v>
      </c>
      <c r="N311" t="n">
        <v>0</v>
      </c>
      <c r="O311" t="n">
        <v>0</v>
      </c>
      <c r="P311" t="n">
        <v>0</v>
      </c>
      <c r="Q311" t="n">
        <v>0</v>
      </c>
      <c r="R311" s="2" t="inlineStr"/>
    </row>
    <row r="312" ht="15" customHeight="1">
      <c r="A312" t="inlineStr">
        <is>
          <t>A 34097-2025</t>
        </is>
      </c>
      <c r="B312" s="1" t="n">
        <v>45845</v>
      </c>
      <c r="C312" s="1" t="n">
        <v>46205</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2929-2026</t>
        </is>
      </c>
      <c r="B313" s="1" t="n">
        <v>46038</v>
      </c>
      <c r="C313" s="1" t="n">
        <v>46205</v>
      </c>
      <c r="D313" t="inlineStr">
        <is>
          <t>ÖREBRO LÄN</t>
        </is>
      </c>
      <c r="E313" t="inlineStr">
        <is>
          <t>LINDESBERG</t>
        </is>
      </c>
      <c r="G313" t="n">
        <v>1.8</v>
      </c>
      <c r="H313" t="n">
        <v>0</v>
      </c>
      <c r="I313" t="n">
        <v>0</v>
      </c>
      <c r="J313" t="n">
        <v>0</v>
      </c>
      <c r="K313" t="n">
        <v>0</v>
      </c>
      <c r="L313" t="n">
        <v>0</v>
      </c>
      <c r="M313" t="n">
        <v>0</v>
      </c>
      <c r="N313" t="n">
        <v>0</v>
      </c>
      <c r="O313" t="n">
        <v>0</v>
      </c>
      <c r="P313" t="n">
        <v>0</v>
      </c>
      <c r="Q313" t="n">
        <v>0</v>
      </c>
      <c r="R313" s="2" t="inlineStr"/>
    </row>
    <row r="314" ht="15" customHeight="1">
      <c r="A314" t="inlineStr">
        <is>
          <t>A 34104-2025</t>
        </is>
      </c>
      <c r="B314" s="1" t="n">
        <v>45845</v>
      </c>
      <c r="C314" s="1" t="n">
        <v>46205</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2902-2026</t>
        </is>
      </c>
      <c r="B315" s="1" t="n">
        <v>46038</v>
      </c>
      <c r="C315" s="1" t="n">
        <v>46205</v>
      </c>
      <c r="D315" t="inlineStr">
        <is>
          <t>ÖREBRO LÄN</t>
        </is>
      </c>
      <c r="E315" t="inlineStr">
        <is>
          <t>LINDESBERG</t>
        </is>
      </c>
      <c r="G315" t="n">
        <v>2.1</v>
      </c>
      <c r="H315" t="n">
        <v>0</v>
      </c>
      <c r="I315" t="n">
        <v>0</v>
      </c>
      <c r="J315" t="n">
        <v>0</v>
      </c>
      <c r="K315" t="n">
        <v>0</v>
      </c>
      <c r="L315" t="n">
        <v>0</v>
      </c>
      <c r="M315" t="n">
        <v>0</v>
      </c>
      <c r="N315" t="n">
        <v>0</v>
      </c>
      <c r="O315" t="n">
        <v>0</v>
      </c>
      <c r="P315" t="n">
        <v>0</v>
      </c>
      <c r="Q315" t="n">
        <v>0</v>
      </c>
      <c r="R315" s="2" t="inlineStr"/>
    </row>
    <row r="316" ht="15" customHeight="1">
      <c r="A316" t="inlineStr">
        <is>
          <t>A 2569-2023</t>
        </is>
      </c>
      <c r="B316" s="1" t="n">
        <v>44943</v>
      </c>
      <c r="C316" s="1" t="n">
        <v>46205</v>
      </c>
      <c r="D316" t="inlineStr">
        <is>
          <t>ÖREBRO LÄN</t>
        </is>
      </c>
      <c r="E316" t="inlineStr">
        <is>
          <t>LINDESBERG</t>
        </is>
      </c>
      <c r="G316" t="n">
        <v>2.3</v>
      </c>
      <c r="H316" t="n">
        <v>0</v>
      </c>
      <c r="I316" t="n">
        <v>0</v>
      </c>
      <c r="J316" t="n">
        <v>0</v>
      </c>
      <c r="K316" t="n">
        <v>0</v>
      </c>
      <c r="L316" t="n">
        <v>0</v>
      </c>
      <c r="M316" t="n">
        <v>0</v>
      </c>
      <c r="N316" t="n">
        <v>0</v>
      </c>
      <c r="O316" t="n">
        <v>0</v>
      </c>
      <c r="P316" t="n">
        <v>0</v>
      </c>
      <c r="Q316" t="n">
        <v>0</v>
      </c>
      <c r="R316" s="2" t="inlineStr"/>
    </row>
    <row r="317" ht="15" customHeight="1">
      <c r="A317" t="inlineStr">
        <is>
          <t>A 2949-2026</t>
        </is>
      </c>
      <c r="B317" s="1" t="n">
        <v>46038</v>
      </c>
      <c r="C317" s="1" t="n">
        <v>46205</v>
      </c>
      <c r="D317" t="inlineStr">
        <is>
          <t>ÖREBRO LÄN</t>
        </is>
      </c>
      <c r="E317" t="inlineStr">
        <is>
          <t>LINDESBERG</t>
        </is>
      </c>
      <c r="G317" t="n">
        <v>4</v>
      </c>
      <c r="H317" t="n">
        <v>0</v>
      </c>
      <c r="I317" t="n">
        <v>0</v>
      </c>
      <c r="J317" t="n">
        <v>0</v>
      </c>
      <c r="K317" t="n">
        <v>0</v>
      </c>
      <c r="L317" t="n">
        <v>0</v>
      </c>
      <c r="M317" t="n">
        <v>0</v>
      </c>
      <c r="N317" t="n">
        <v>0</v>
      </c>
      <c r="O317" t="n">
        <v>0</v>
      </c>
      <c r="P317" t="n">
        <v>0</v>
      </c>
      <c r="Q317" t="n">
        <v>0</v>
      </c>
      <c r="R317" s="2" t="inlineStr"/>
    </row>
    <row r="318" ht="15" customHeight="1">
      <c r="A318" t="inlineStr">
        <is>
          <t>A 9966-2023</t>
        </is>
      </c>
      <c r="B318" s="1" t="n">
        <v>44979</v>
      </c>
      <c r="C318" s="1" t="n">
        <v>46205</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2969-2026</t>
        </is>
      </c>
      <c r="B319" s="1" t="n">
        <v>46038</v>
      </c>
      <c r="C319" s="1" t="n">
        <v>46205</v>
      </c>
      <c r="D319" t="inlineStr">
        <is>
          <t>ÖREBRO LÄN</t>
        </is>
      </c>
      <c r="E319" t="inlineStr">
        <is>
          <t>LINDESBERG</t>
        </is>
      </c>
      <c r="G319" t="n">
        <v>2.6</v>
      </c>
      <c r="H319" t="n">
        <v>0</v>
      </c>
      <c r="I319" t="n">
        <v>0</v>
      </c>
      <c r="J319" t="n">
        <v>0</v>
      </c>
      <c r="K319" t="n">
        <v>0</v>
      </c>
      <c r="L319" t="n">
        <v>0</v>
      </c>
      <c r="M319" t="n">
        <v>0</v>
      </c>
      <c r="N319" t="n">
        <v>0</v>
      </c>
      <c r="O319" t="n">
        <v>0</v>
      </c>
      <c r="P319" t="n">
        <v>0</v>
      </c>
      <c r="Q319" t="n">
        <v>0</v>
      </c>
      <c r="R319" s="2" t="inlineStr"/>
    </row>
    <row r="320" ht="15" customHeight="1">
      <c r="A320" t="inlineStr">
        <is>
          <t>A 5677-2025</t>
        </is>
      </c>
      <c r="B320" s="1" t="n">
        <v>45694</v>
      </c>
      <c r="C320" s="1" t="n">
        <v>46205</v>
      </c>
      <c r="D320" t="inlineStr">
        <is>
          <t>ÖREBRO LÄN</t>
        </is>
      </c>
      <c r="E320" t="inlineStr">
        <is>
          <t>LINDESBERG</t>
        </is>
      </c>
      <c r="G320" t="n">
        <v>1.6</v>
      </c>
      <c r="H320" t="n">
        <v>0</v>
      </c>
      <c r="I320" t="n">
        <v>0</v>
      </c>
      <c r="J320" t="n">
        <v>0</v>
      </c>
      <c r="K320" t="n">
        <v>0</v>
      </c>
      <c r="L320" t="n">
        <v>0</v>
      </c>
      <c r="M320" t="n">
        <v>0</v>
      </c>
      <c r="N320" t="n">
        <v>0</v>
      </c>
      <c r="O320" t="n">
        <v>0</v>
      </c>
      <c r="P320" t="n">
        <v>0</v>
      </c>
      <c r="Q320" t="n">
        <v>0</v>
      </c>
      <c r="R320" s="2" t="inlineStr"/>
    </row>
    <row r="321" ht="15" customHeight="1">
      <c r="A321" t="inlineStr">
        <is>
          <t>A 47069-2023</t>
        </is>
      </c>
      <c r="B321" s="1" t="n">
        <v>45201</v>
      </c>
      <c r="C321" s="1" t="n">
        <v>46205</v>
      </c>
      <c r="D321" t="inlineStr">
        <is>
          <t>ÖREBRO LÄN</t>
        </is>
      </c>
      <c r="E321" t="inlineStr">
        <is>
          <t>LINDESBERG</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47074-2023</t>
        </is>
      </c>
      <c r="B322" s="1" t="n">
        <v>45201</v>
      </c>
      <c r="C322" s="1" t="n">
        <v>46205</v>
      </c>
      <c r="D322" t="inlineStr">
        <is>
          <t>ÖREBRO LÄN</t>
        </is>
      </c>
      <c r="E322" t="inlineStr">
        <is>
          <t>LINDESBERG</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24916-2022</t>
        </is>
      </c>
      <c r="B323" s="1" t="n">
        <v>44728</v>
      </c>
      <c r="C323" s="1" t="n">
        <v>46205</v>
      </c>
      <c r="D323" t="inlineStr">
        <is>
          <t>ÖREBRO LÄN</t>
        </is>
      </c>
      <c r="E323" t="inlineStr">
        <is>
          <t>LINDESBERG</t>
        </is>
      </c>
      <c r="G323" t="n">
        <v>8.1</v>
      </c>
      <c r="H323" t="n">
        <v>0</v>
      </c>
      <c r="I323" t="n">
        <v>0</v>
      </c>
      <c r="J323" t="n">
        <v>0</v>
      </c>
      <c r="K323" t="n">
        <v>0</v>
      </c>
      <c r="L323" t="n">
        <v>0</v>
      </c>
      <c r="M323" t="n">
        <v>0</v>
      </c>
      <c r="N323" t="n">
        <v>0</v>
      </c>
      <c r="O323" t="n">
        <v>0</v>
      </c>
      <c r="P323" t="n">
        <v>0</v>
      </c>
      <c r="Q323" t="n">
        <v>0</v>
      </c>
      <c r="R323" s="2" t="inlineStr"/>
    </row>
    <row r="324" ht="15" customHeight="1">
      <c r="A324" t="inlineStr">
        <is>
          <t>A 1681-2025</t>
        </is>
      </c>
      <c r="B324" s="1" t="n">
        <v>45670</v>
      </c>
      <c r="C324" s="1" t="n">
        <v>46205</v>
      </c>
      <c r="D324" t="inlineStr">
        <is>
          <t>ÖREBRO LÄN</t>
        </is>
      </c>
      <c r="E324" t="inlineStr">
        <is>
          <t>LINDESBERG</t>
        </is>
      </c>
      <c r="G324" t="n">
        <v>1.9</v>
      </c>
      <c r="H324" t="n">
        <v>0</v>
      </c>
      <c r="I324" t="n">
        <v>0</v>
      </c>
      <c r="J324" t="n">
        <v>0</v>
      </c>
      <c r="K324" t="n">
        <v>0</v>
      </c>
      <c r="L324" t="n">
        <v>0</v>
      </c>
      <c r="M324" t="n">
        <v>0</v>
      </c>
      <c r="N324" t="n">
        <v>0</v>
      </c>
      <c r="O324" t="n">
        <v>0</v>
      </c>
      <c r="P324" t="n">
        <v>0</v>
      </c>
      <c r="Q324" t="n">
        <v>0</v>
      </c>
      <c r="R324" s="2" t="inlineStr"/>
    </row>
    <row r="325" ht="15" customHeight="1">
      <c r="A325" t="inlineStr">
        <is>
          <t>A 46404-2025</t>
        </is>
      </c>
      <c r="B325" s="1" t="n">
        <v>45925</v>
      </c>
      <c r="C325" s="1" t="n">
        <v>46205</v>
      </c>
      <c r="D325" t="inlineStr">
        <is>
          <t>ÖREBRO LÄN</t>
        </is>
      </c>
      <c r="E325" t="inlineStr">
        <is>
          <t>LINDESBERG</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53352-2023</t>
        </is>
      </c>
      <c r="B326" s="1" t="n">
        <v>45229</v>
      </c>
      <c r="C326" s="1" t="n">
        <v>46205</v>
      </c>
      <c r="D326" t="inlineStr">
        <is>
          <t>ÖREBRO LÄN</t>
        </is>
      </c>
      <c r="E326" t="inlineStr">
        <is>
          <t>LINDESBERG</t>
        </is>
      </c>
      <c r="F326" t="inlineStr">
        <is>
          <t>Sveaskog</t>
        </is>
      </c>
      <c r="G326" t="n">
        <v>0.3</v>
      </c>
      <c r="H326" t="n">
        <v>0</v>
      </c>
      <c r="I326" t="n">
        <v>0</v>
      </c>
      <c r="J326" t="n">
        <v>0</v>
      </c>
      <c r="K326" t="n">
        <v>0</v>
      </c>
      <c r="L326" t="n">
        <v>0</v>
      </c>
      <c r="M326" t="n">
        <v>0</v>
      </c>
      <c r="N326" t="n">
        <v>0</v>
      </c>
      <c r="O326" t="n">
        <v>0</v>
      </c>
      <c r="P326" t="n">
        <v>0</v>
      </c>
      <c r="Q326" t="n">
        <v>0</v>
      </c>
      <c r="R326" s="2" t="inlineStr"/>
    </row>
    <row r="327" ht="15" customHeight="1">
      <c r="A327" t="inlineStr">
        <is>
          <t>A 46678-2023</t>
        </is>
      </c>
      <c r="B327" s="1" t="n">
        <v>45194</v>
      </c>
      <c r="C327" s="1" t="n">
        <v>46205</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26967-2022</t>
        </is>
      </c>
      <c r="B328" s="1" t="n">
        <v>44740</v>
      </c>
      <c r="C328" s="1" t="n">
        <v>46205</v>
      </c>
      <c r="D328" t="inlineStr">
        <is>
          <t>ÖREBRO LÄN</t>
        </is>
      </c>
      <c r="E328" t="inlineStr">
        <is>
          <t>LINDESBERG</t>
        </is>
      </c>
      <c r="G328" t="n">
        <v>1.6</v>
      </c>
      <c r="H328" t="n">
        <v>0</v>
      </c>
      <c r="I328" t="n">
        <v>0</v>
      </c>
      <c r="J328" t="n">
        <v>0</v>
      </c>
      <c r="K328" t="n">
        <v>0</v>
      </c>
      <c r="L328" t="n">
        <v>0</v>
      </c>
      <c r="M328" t="n">
        <v>0</v>
      </c>
      <c r="N328" t="n">
        <v>0</v>
      </c>
      <c r="O328" t="n">
        <v>0</v>
      </c>
      <c r="P328" t="n">
        <v>0</v>
      </c>
      <c r="Q328" t="n">
        <v>0</v>
      </c>
      <c r="R328" s="2" t="inlineStr"/>
    </row>
    <row r="329" ht="15" customHeight="1">
      <c r="A329" t="inlineStr">
        <is>
          <t>A 45978-2021</t>
        </is>
      </c>
      <c r="B329" s="1" t="n">
        <v>44441</v>
      </c>
      <c r="C329" s="1" t="n">
        <v>46205</v>
      </c>
      <c r="D329" t="inlineStr">
        <is>
          <t>ÖREBRO LÄN</t>
        </is>
      </c>
      <c r="E329" t="inlineStr">
        <is>
          <t>LINDESBERG</t>
        </is>
      </c>
      <c r="G329" t="n">
        <v>4.4</v>
      </c>
      <c r="H329" t="n">
        <v>0</v>
      </c>
      <c r="I329" t="n">
        <v>0</v>
      </c>
      <c r="J329" t="n">
        <v>0</v>
      </c>
      <c r="K329" t="n">
        <v>0</v>
      </c>
      <c r="L329" t="n">
        <v>0</v>
      </c>
      <c r="M329" t="n">
        <v>0</v>
      </c>
      <c r="N329" t="n">
        <v>0</v>
      </c>
      <c r="O329" t="n">
        <v>0</v>
      </c>
      <c r="P329" t="n">
        <v>0</v>
      </c>
      <c r="Q329" t="n">
        <v>0</v>
      </c>
      <c r="R329" s="2" t="inlineStr"/>
    </row>
    <row r="330" ht="15" customHeight="1">
      <c r="A330" t="inlineStr">
        <is>
          <t>A 14454-2024</t>
        </is>
      </c>
      <c r="B330" s="1" t="n">
        <v>45394</v>
      </c>
      <c r="C330" s="1" t="n">
        <v>46205</v>
      </c>
      <c r="D330" t="inlineStr">
        <is>
          <t>ÖREBRO LÄN</t>
        </is>
      </c>
      <c r="E330" t="inlineStr">
        <is>
          <t>LINDESBERG</t>
        </is>
      </c>
      <c r="G330" t="n">
        <v>1.9</v>
      </c>
      <c r="H330" t="n">
        <v>0</v>
      </c>
      <c r="I330" t="n">
        <v>0</v>
      </c>
      <c r="J330" t="n">
        <v>0</v>
      </c>
      <c r="K330" t="n">
        <v>0</v>
      </c>
      <c r="L330" t="n">
        <v>0</v>
      </c>
      <c r="M330" t="n">
        <v>0</v>
      </c>
      <c r="N330" t="n">
        <v>0</v>
      </c>
      <c r="O330" t="n">
        <v>0</v>
      </c>
      <c r="P330" t="n">
        <v>0</v>
      </c>
      <c r="Q330" t="n">
        <v>0</v>
      </c>
      <c r="R330" s="2" t="inlineStr"/>
    </row>
    <row r="331" ht="15" customHeight="1">
      <c r="A331" t="inlineStr">
        <is>
          <t>A 46484-2024</t>
        </is>
      </c>
      <c r="B331" s="1" t="n">
        <v>45582</v>
      </c>
      <c r="C331" s="1" t="n">
        <v>46205</v>
      </c>
      <c r="D331" t="inlineStr">
        <is>
          <t>ÖREBRO LÄN</t>
        </is>
      </c>
      <c r="E331" t="inlineStr">
        <is>
          <t>LINDESBERG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19436-2025</t>
        </is>
      </c>
      <c r="B332" s="1" t="n">
        <v>45769</v>
      </c>
      <c r="C332" s="1" t="n">
        <v>46205</v>
      </c>
      <c r="D332" t="inlineStr">
        <is>
          <t>ÖREBRO LÄN</t>
        </is>
      </c>
      <c r="E332" t="inlineStr">
        <is>
          <t>LINDESBERG</t>
        </is>
      </c>
      <c r="G332" t="n">
        <v>1.2</v>
      </c>
      <c r="H332" t="n">
        <v>0</v>
      </c>
      <c r="I332" t="n">
        <v>0</v>
      </c>
      <c r="J332" t="n">
        <v>0</v>
      </c>
      <c r="K332" t="n">
        <v>0</v>
      </c>
      <c r="L332" t="n">
        <v>0</v>
      </c>
      <c r="M332" t="n">
        <v>0</v>
      </c>
      <c r="N332" t="n">
        <v>0</v>
      </c>
      <c r="O332" t="n">
        <v>0</v>
      </c>
      <c r="P332" t="n">
        <v>0</v>
      </c>
      <c r="Q332" t="n">
        <v>0</v>
      </c>
      <c r="R332" s="2" t="inlineStr"/>
    </row>
    <row r="333" ht="15" customHeight="1">
      <c r="A333" t="inlineStr">
        <is>
          <t>A 47678-2025</t>
        </is>
      </c>
      <c r="B333" s="1" t="n">
        <v>45931</v>
      </c>
      <c r="C333" s="1" t="n">
        <v>46205</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47676-2025</t>
        </is>
      </c>
      <c r="B334" s="1" t="n">
        <v>45931</v>
      </c>
      <c r="C334" s="1" t="n">
        <v>46205</v>
      </c>
      <c r="D334" t="inlineStr">
        <is>
          <t>ÖREBRO LÄN</t>
        </is>
      </c>
      <c r="E334" t="inlineStr">
        <is>
          <t>LINDESBERG</t>
        </is>
      </c>
      <c r="G334" t="n">
        <v>0.8</v>
      </c>
      <c r="H334" t="n">
        <v>0</v>
      </c>
      <c r="I334" t="n">
        <v>0</v>
      </c>
      <c r="J334" t="n">
        <v>0</v>
      </c>
      <c r="K334" t="n">
        <v>0</v>
      </c>
      <c r="L334" t="n">
        <v>0</v>
      </c>
      <c r="M334" t="n">
        <v>0</v>
      </c>
      <c r="N334" t="n">
        <v>0</v>
      </c>
      <c r="O334" t="n">
        <v>0</v>
      </c>
      <c r="P334" t="n">
        <v>0</v>
      </c>
      <c r="Q334" t="n">
        <v>0</v>
      </c>
      <c r="R334" s="2" t="inlineStr"/>
    </row>
    <row r="335" ht="15" customHeight="1">
      <c r="A335" t="inlineStr">
        <is>
          <t>A 13350-2024</t>
        </is>
      </c>
      <c r="B335" s="1" t="n">
        <v>45387</v>
      </c>
      <c r="C335" s="1" t="n">
        <v>46205</v>
      </c>
      <c r="D335" t="inlineStr">
        <is>
          <t>ÖREBRO LÄN</t>
        </is>
      </c>
      <c r="E335" t="inlineStr">
        <is>
          <t>LINDESBERG</t>
        </is>
      </c>
      <c r="G335" t="n">
        <v>4.1</v>
      </c>
      <c r="H335" t="n">
        <v>0</v>
      </c>
      <c r="I335" t="n">
        <v>0</v>
      </c>
      <c r="J335" t="n">
        <v>0</v>
      </c>
      <c r="K335" t="n">
        <v>0</v>
      </c>
      <c r="L335" t="n">
        <v>0</v>
      </c>
      <c r="M335" t="n">
        <v>0</v>
      </c>
      <c r="N335" t="n">
        <v>0</v>
      </c>
      <c r="O335" t="n">
        <v>0</v>
      </c>
      <c r="P335" t="n">
        <v>0</v>
      </c>
      <c r="Q335" t="n">
        <v>0</v>
      </c>
      <c r="R335" s="2" t="inlineStr"/>
    </row>
    <row r="336" ht="15" customHeight="1">
      <c r="A336" t="inlineStr">
        <is>
          <t>A 13351-2024</t>
        </is>
      </c>
      <c r="B336" s="1" t="n">
        <v>45387</v>
      </c>
      <c r="C336" s="1" t="n">
        <v>46205</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45173-2024</t>
        </is>
      </c>
      <c r="B337" s="1" t="n">
        <v>45575</v>
      </c>
      <c r="C337" s="1" t="n">
        <v>46205</v>
      </c>
      <c r="D337" t="inlineStr">
        <is>
          <t>ÖREBRO LÄN</t>
        </is>
      </c>
      <c r="E337" t="inlineStr">
        <is>
          <t>LINDESBERG</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30514-2025</t>
        </is>
      </c>
      <c r="B338" s="1" t="n">
        <v>45831</v>
      </c>
      <c r="C338" s="1" t="n">
        <v>46205</v>
      </c>
      <c r="D338" t="inlineStr">
        <is>
          <t>ÖREBRO LÄN</t>
        </is>
      </c>
      <c r="E338" t="inlineStr">
        <is>
          <t>LINDESBERG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36253-2024</t>
        </is>
      </c>
      <c r="B339" s="1" t="n">
        <v>45534</v>
      </c>
      <c r="C339" s="1" t="n">
        <v>46205</v>
      </c>
      <c r="D339" t="inlineStr">
        <is>
          <t>ÖREBRO LÄN</t>
        </is>
      </c>
      <c r="E339" t="inlineStr">
        <is>
          <t>LINDESBERG</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12053-2024</t>
        </is>
      </c>
      <c r="B340" s="1" t="n">
        <v>45377</v>
      </c>
      <c r="C340" s="1" t="n">
        <v>46205</v>
      </c>
      <c r="D340" t="inlineStr">
        <is>
          <t>ÖREBRO LÄN</t>
        </is>
      </c>
      <c r="E340" t="inlineStr">
        <is>
          <t>LINDESBERG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39137-2024</t>
        </is>
      </c>
      <c r="B341" s="1" t="n">
        <v>45548</v>
      </c>
      <c r="C341" s="1" t="n">
        <v>46205</v>
      </c>
      <c r="D341" t="inlineStr">
        <is>
          <t>ÖREBRO LÄN</t>
        </is>
      </c>
      <c r="E341" t="inlineStr">
        <is>
          <t>LINDESBERG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39152-2024</t>
        </is>
      </c>
      <c r="B342" s="1" t="n">
        <v>45548</v>
      </c>
      <c r="C342" s="1" t="n">
        <v>46205</v>
      </c>
      <c r="D342" t="inlineStr">
        <is>
          <t>ÖREBRO LÄN</t>
        </is>
      </c>
      <c r="E342" t="inlineStr">
        <is>
          <t>LINDESBERG</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48993-2025</t>
        </is>
      </c>
      <c r="B343" s="1" t="n">
        <v>45937</v>
      </c>
      <c r="C343" s="1" t="n">
        <v>46205</v>
      </c>
      <c r="D343" t="inlineStr">
        <is>
          <t>ÖREBRO LÄN</t>
        </is>
      </c>
      <c r="E343" t="inlineStr">
        <is>
          <t>LINDESBERG</t>
        </is>
      </c>
      <c r="F343" t="inlineStr">
        <is>
          <t>Kyrkan</t>
        </is>
      </c>
      <c r="G343" t="n">
        <v>4</v>
      </c>
      <c r="H343" t="n">
        <v>0</v>
      </c>
      <c r="I343" t="n">
        <v>0</v>
      </c>
      <c r="J343" t="n">
        <v>0</v>
      </c>
      <c r="K343" t="n">
        <v>0</v>
      </c>
      <c r="L343" t="n">
        <v>0</v>
      </c>
      <c r="M343" t="n">
        <v>0</v>
      </c>
      <c r="N343" t="n">
        <v>0</v>
      </c>
      <c r="O343" t="n">
        <v>0</v>
      </c>
      <c r="P343" t="n">
        <v>0</v>
      </c>
      <c r="Q343" t="n">
        <v>0</v>
      </c>
      <c r="R343" s="2" t="inlineStr"/>
    </row>
    <row r="344" ht="15" customHeight="1">
      <c r="A344" t="inlineStr">
        <is>
          <t>A 43529-2024</t>
        </is>
      </c>
      <c r="B344" s="1" t="n">
        <v>45569</v>
      </c>
      <c r="C344" s="1" t="n">
        <v>46205</v>
      </c>
      <c r="D344" t="inlineStr">
        <is>
          <t>ÖREBRO LÄN</t>
        </is>
      </c>
      <c r="E344" t="inlineStr">
        <is>
          <t>LINDESBERG</t>
        </is>
      </c>
      <c r="G344" t="n">
        <v>2.8</v>
      </c>
      <c r="H344" t="n">
        <v>0</v>
      </c>
      <c r="I344" t="n">
        <v>0</v>
      </c>
      <c r="J344" t="n">
        <v>0</v>
      </c>
      <c r="K344" t="n">
        <v>0</v>
      </c>
      <c r="L344" t="n">
        <v>0</v>
      </c>
      <c r="M344" t="n">
        <v>0</v>
      </c>
      <c r="N344" t="n">
        <v>0</v>
      </c>
      <c r="O344" t="n">
        <v>0</v>
      </c>
      <c r="P344" t="n">
        <v>0</v>
      </c>
      <c r="Q344" t="n">
        <v>0</v>
      </c>
      <c r="R344" s="2" t="inlineStr"/>
    </row>
    <row r="345" ht="15" customHeight="1">
      <c r="A345" t="inlineStr">
        <is>
          <t>A 46607-2021</t>
        </is>
      </c>
      <c r="B345" s="1" t="n">
        <v>44445</v>
      </c>
      <c r="C345" s="1" t="n">
        <v>46205</v>
      </c>
      <c r="D345" t="inlineStr">
        <is>
          <t>ÖREBRO LÄN</t>
        </is>
      </c>
      <c r="E345" t="inlineStr">
        <is>
          <t>LINDESBERG</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36859-2025</t>
        </is>
      </c>
      <c r="B346" s="1" t="n">
        <v>45874</v>
      </c>
      <c r="C346" s="1" t="n">
        <v>46205</v>
      </c>
      <c r="D346" t="inlineStr">
        <is>
          <t>ÖREBRO LÄN</t>
        </is>
      </c>
      <c r="E346" t="inlineStr">
        <is>
          <t>LINDESBERG</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27702-2025</t>
        </is>
      </c>
      <c r="B347" s="1" t="n">
        <v>45813</v>
      </c>
      <c r="C347" s="1" t="n">
        <v>46205</v>
      </c>
      <c r="D347" t="inlineStr">
        <is>
          <t>ÖREBRO LÄN</t>
        </is>
      </c>
      <c r="E347" t="inlineStr">
        <is>
          <t>LINDESBERG</t>
        </is>
      </c>
      <c r="G347" t="n">
        <v>1.4</v>
      </c>
      <c r="H347" t="n">
        <v>0</v>
      </c>
      <c r="I347" t="n">
        <v>0</v>
      </c>
      <c r="J347" t="n">
        <v>0</v>
      </c>
      <c r="K347" t="n">
        <v>0</v>
      </c>
      <c r="L347" t="n">
        <v>0</v>
      </c>
      <c r="M347" t="n">
        <v>0</v>
      </c>
      <c r="N347" t="n">
        <v>0</v>
      </c>
      <c r="O347" t="n">
        <v>0</v>
      </c>
      <c r="P347" t="n">
        <v>0</v>
      </c>
      <c r="Q347" t="n">
        <v>0</v>
      </c>
      <c r="R347" s="2" t="inlineStr"/>
    </row>
    <row r="348" ht="15" customHeight="1">
      <c r="A348" t="inlineStr">
        <is>
          <t>A 48867-2025</t>
        </is>
      </c>
      <c r="B348" s="1" t="n">
        <v>45937</v>
      </c>
      <c r="C348" s="1" t="n">
        <v>46205</v>
      </c>
      <c r="D348" t="inlineStr">
        <is>
          <t>ÖREBRO LÄN</t>
        </is>
      </c>
      <c r="E348" t="inlineStr">
        <is>
          <t>LINDESBERG</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49133-2025</t>
        </is>
      </c>
      <c r="B349" s="1" t="n">
        <v>45937</v>
      </c>
      <c r="C349" s="1" t="n">
        <v>46205</v>
      </c>
      <c r="D349" t="inlineStr">
        <is>
          <t>ÖREBRO LÄN</t>
        </is>
      </c>
      <c r="E349" t="inlineStr">
        <is>
          <t>LINDESBERG</t>
        </is>
      </c>
      <c r="G349" t="n">
        <v>5</v>
      </c>
      <c r="H349" t="n">
        <v>0</v>
      </c>
      <c r="I349" t="n">
        <v>0</v>
      </c>
      <c r="J349" t="n">
        <v>0</v>
      </c>
      <c r="K349" t="n">
        <v>0</v>
      </c>
      <c r="L349" t="n">
        <v>0</v>
      </c>
      <c r="M349" t="n">
        <v>0</v>
      </c>
      <c r="N349" t="n">
        <v>0</v>
      </c>
      <c r="O349" t="n">
        <v>0</v>
      </c>
      <c r="P349" t="n">
        <v>0</v>
      </c>
      <c r="Q349" t="n">
        <v>0</v>
      </c>
      <c r="R349" s="2" t="inlineStr"/>
    </row>
    <row r="350" ht="15" customHeight="1">
      <c r="A350" t="inlineStr">
        <is>
          <t>A 27051-2023</t>
        </is>
      </c>
      <c r="B350" s="1" t="n">
        <v>45095</v>
      </c>
      <c r="C350" s="1" t="n">
        <v>46205</v>
      </c>
      <c r="D350" t="inlineStr">
        <is>
          <t>ÖREBRO LÄN</t>
        </is>
      </c>
      <c r="E350" t="inlineStr">
        <is>
          <t>LINDESBERG</t>
        </is>
      </c>
      <c r="G350" t="n">
        <v>1.4</v>
      </c>
      <c r="H350" t="n">
        <v>0</v>
      </c>
      <c r="I350" t="n">
        <v>0</v>
      </c>
      <c r="J350" t="n">
        <v>0</v>
      </c>
      <c r="K350" t="n">
        <v>0</v>
      </c>
      <c r="L350" t="n">
        <v>0</v>
      </c>
      <c r="M350" t="n">
        <v>0</v>
      </c>
      <c r="N350" t="n">
        <v>0</v>
      </c>
      <c r="O350" t="n">
        <v>0</v>
      </c>
      <c r="P350" t="n">
        <v>0</v>
      </c>
      <c r="Q350" t="n">
        <v>0</v>
      </c>
      <c r="R350" s="2" t="inlineStr"/>
    </row>
    <row r="351" ht="15" customHeight="1">
      <c r="A351" t="inlineStr">
        <is>
          <t>A 27052-2023</t>
        </is>
      </c>
      <c r="B351" s="1" t="n">
        <v>45095</v>
      </c>
      <c r="C351" s="1" t="n">
        <v>46205</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58710-2023</t>
        </is>
      </c>
      <c r="B352" s="1" t="n">
        <v>45251</v>
      </c>
      <c r="C352" s="1" t="n">
        <v>46205</v>
      </c>
      <c r="D352" t="inlineStr">
        <is>
          <t>ÖREBRO LÄN</t>
        </is>
      </c>
      <c r="E352" t="inlineStr">
        <is>
          <t>LINDESBERG</t>
        </is>
      </c>
      <c r="G352" t="n">
        <v>6.3</v>
      </c>
      <c r="H352" t="n">
        <v>0</v>
      </c>
      <c r="I352" t="n">
        <v>0</v>
      </c>
      <c r="J352" t="n">
        <v>0</v>
      </c>
      <c r="K352" t="n">
        <v>0</v>
      </c>
      <c r="L352" t="n">
        <v>0</v>
      </c>
      <c r="M352" t="n">
        <v>0</v>
      </c>
      <c r="N352" t="n">
        <v>0</v>
      </c>
      <c r="O352" t="n">
        <v>0</v>
      </c>
      <c r="P352" t="n">
        <v>0</v>
      </c>
      <c r="Q352" t="n">
        <v>0</v>
      </c>
      <c r="R352" s="2" t="inlineStr"/>
    </row>
    <row r="353" ht="15" customHeight="1">
      <c r="A353" t="inlineStr">
        <is>
          <t>A 5772-2023</t>
        </is>
      </c>
      <c r="B353" s="1" t="n">
        <v>44963</v>
      </c>
      <c r="C353" s="1" t="n">
        <v>46205</v>
      </c>
      <c r="D353" t="inlineStr">
        <is>
          <t>ÖREBRO LÄN</t>
        </is>
      </c>
      <c r="E353" t="inlineStr">
        <is>
          <t>LINDESBERG</t>
        </is>
      </c>
      <c r="G353" t="n">
        <v>3</v>
      </c>
      <c r="H353" t="n">
        <v>0</v>
      </c>
      <c r="I353" t="n">
        <v>0</v>
      </c>
      <c r="J353" t="n">
        <v>0</v>
      </c>
      <c r="K353" t="n">
        <v>0</v>
      </c>
      <c r="L353" t="n">
        <v>0</v>
      </c>
      <c r="M353" t="n">
        <v>0</v>
      </c>
      <c r="N353" t="n">
        <v>0</v>
      </c>
      <c r="O353" t="n">
        <v>0</v>
      </c>
      <c r="P353" t="n">
        <v>0</v>
      </c>
      <c r="Q353" t="n">
        <v>0</v>
      </c>
      <c r="R353" s="2" t="inlineStr"/>
    </row>
    <row r="354" ht="15" customHeight="1">
      <c r="A354" t="inlineStr">
        <is>
          <t>A 49944-2025</t>
        </is>
      </c>
      <c r="B354" s="1" t="n">
        <v>45940</v>
      </c>
      <c r="C354" s="1" t="n">
        <v>46205</v>
      </c>
      <c r="D354" t="inlineStr">
        <is>
          <t>ÖREBRO LÄN</t>
        </is>
      </c>
      <c r="E354" t="inlineStr">
        <is>
          <t>LINDESBERG</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49947-2025</t>
        </is>
      </c>
      <c r="B355" s="1" t="n">
        <v>45940</v>
      </c>
      <c r="C355" s="1" t="n">
        <v>46205</v>
      </c>
      <c r="D355" t="inlineStr">
        <is>
          <t>ÖREBRO LÄN</t>
        </is>
      </c>
      <c r="E355" t="inlineStr">
        <is>
          <t>LINDESBERG</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37301-2025</t>
        </is>
      </c>
      <c r="B356" s="1" t="n">
        <v>45876</v>
      </c>
      <c r="C356" s="1" t="n">
        <v>46205</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49943-2025</t>
        </is>
      </c>
      <c r="B357" s="1" t="n">
        <v>45940</v>
      </c>
      <c r="C357" s="1" t="n">
        <v>46205</v>
      </c>
      <c r="D357" t="inlineStr">
        <is>
          <t>ÖREBRO LÄN</t>
        </is>
      </c>
      <c r="E357" t="inlineStr">
        <is>
          <t>LINDESBERG</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37602-2025</t>
        </is>
      </c>
      <c r="B358" s="1" t="n">
        <v>45880</v>
      </c>
      <c r="C358" s="1" t="n">
        <v>46205</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37553-2025</t>
        </is>
      </c>
      <c r="B359" s="1" t="n">
        <v>45880</v>
      </c>
      <c r="C359" s="1" t="n">
        <v>46205</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26340-2022</t>
        </is>
      </c>
      <c r="B360" s="1" t="n">
        <v>44735</v>
      </c>
      <c r="C360" s="1" t="n">
        <v>46205</v>
      </c>
      <c r="D360" t="inlineStr">
        <is>
          <t>ÖREBRO LÄN</t>
        </is>
      </c>
      <c r="E360" t="inlineStr">
        <is>
          <t>LINDESBERG</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23536-2023</t>
        </is>
      </c>
      <c r="B361" s="1" t="n">
        <v>45077</v>
      </c>
      <c r="C361" s="1" t="n">
        <v>46205</v>
      </c>
      <c r="D361" t="inlineStr">
        <is>
          <t>ÖREBRO LÄN</t>
        </is>
      </c>
      <c r="E361" t="inlineStr">
        <is>
          <t>LINDESBERG</t>
        </is>
      </c>
      <c r="F361" t="inlineStr">
        <is>
          <t>Kyrkan</t>
        </is>
      </c>
      <c r="G361" t="n">
        <v>0.5</v>
      </c>
      <c r="H361" t="n">
        <v>0</v>
      </c>
      <c r="I361" t="n">
        <v>0</v>
      </c>
      <c r="J361" t="n">
        <v>0</v>
      </c>
      <c r="K361" t="n">
        <v>0</v>
      </c>
      <c r="L361" t="n">
        <v>0</v>
      </c>
      <c r="M361" t="n">
        <v>0</v>
      </c>
      <c r="N361" t="n">
        <v>0</v>
      </c>
      <c r="O361" t="n">
        <v>0</v>
      </c>
      <c r="P361" t="n">
        <v>0</v>
      </c>
      <c r="Q361" t="n">
        <v>0</v>
      </c>
      <c r="R361" s="2" t="inlineStr"/>
    </row>
    <row r="362" ht="15" customHeight="1">
      <c r="A362" t="inlineStr">
        <is>
          <t>A 50936-2025</t>
        </is>
      </c>
      <c r="B362" s="1" t="n">
        <v>45946</v>
      </c>
      <c r="C362" s="1" t="n">
        <v>46205</v>
      </c>
      <c r="D362" t="inlineStr">
        <is>
          <t>ÖREBRO LÄN</t>
        </is>
      </c>
      <c r="E362" t="inlineStr">
        <is>
          <t>LINDESBERG</t>
        </is>
      </c>
      <c r="G362" t="n">
        <v>2.9</v>
      </c>
      <c r="H362" t="n">
        <v>0</v>
      </c>
      <c r="I362" t="n">
        <v>0</v>
      </c>
      <c r="J362" t="n">
        <v>0</v>
      </c>
      <c r="K362" t="n">
        <v>0</v>
      </c>
      <c r="L362" t="n">
        <v>0</v>
      </c>
      <c r="M362" t="n">
        <v>0</v>
      </c>
      <c r="N362" t="n">
        <v>0</v>
      </c>
      <c r="O362" t="n">
        <v>0</v>
      </c>
      <c r="P362" t="n">
        <v>0</v>
      </c>
      <c r="Q362" t="n">
        <v>0</v>
      </c>
      <c r="R362" s="2" t="inlineStr"/>
    </row>
    <row r="363" ht="15" customHeight="1">
      <c r="A363" t="inlineStr">
        <is>
          <t>A 61969-2023</t>
        </is>
      </c>
      <c r="B363" s="1" t="n">
        <v>45266</v>
      </c>
      <c r="C363" s="1" t="n">
        <v>46205</v>
      </c>
      <c r="D363" t="inlineStr">
        <is>
          <t>ÖREBRO LÄN</t>
        </is>
      </c>
      <c r="E363" t="inlineStr">
        <is>
          <t>LINDESBERG</t>
        </is>
      </c>
      <c r="G363" t="n">
        <v>10.5</v>
      </c>
      <c r="H363" t="n">
        <v>0</v>
      </c>
      <c r="I363" t="n">
        <v>0</v>
      </c>
      <c r="J363" t="n">
        <v>0</v>
      </c>
      <c r="K363" t="n">
        <v>0</v>
      </c>
      <c r="L363" t="n">
        <v>0</v>
      </c>
      <c r="M363" t="n">
        <v>0</v>
      </c>
      <c r="N363" t="n">
        <v>0</v>
      </c>
      <c r="O363" t="n">
        <v>0</v>
      </c>
      <c r="P363" t="n">
        <v>0</v>
      </c>
      <c r="Q363" t="n">
        <v>0</v>
      </c>
      <c r="R363" s="2" t="inlineStr"/>
    </row>
    <row r="364" ht="15" customHeight="1">
      <c r="A364" t="inlineStr">
        <is>
          <t>A 6962-2023</t>
        </is>
      </c>
      <c r="B364" s="1" t="n">
        <v>44967</v>
      </c>
      <c r="C364" s="1" t="n">
        <v>46205</v>
      </c>
      <c r="D364" t="inlineStr">
        <is>
          <t>ÖREBRO LÄN</t>
        </is>
      </c>
      <c r="E364" t="inlineStr">
        <is>
          <t>LINDESBERG</t>
        </is>
      </c>
      <c r="G364" t="n">
        <v>11.4</v>
      </c>
      <c r="H364" t="n">
        <v>0</v>
      </c>
      <c r="I364" t="n">
        <v>0</v>
      </c>
      <c r="J364" t="n">
        <v>0</v>
      </c>
      <c r="K364" t="n">
        <v>0</v>
      </c>
      <c r="L364" t="n">
        <v>0</v>
      </c>
      <c r="M364" t="n">
        <v>0</v>
      </c>
      <c r="N364" t="n">
        <v>0</v>
      </c>
      <c r="O364" t="n">
        <v>0</v>
      </c>
      <c r="P364" t="n">
        <v>0</v>
      </c>
      <c r="Q364" t="n">
        <v>0</v>
      </c>
      <c r="R364" s="2" t="inlineStr"/>
    </row>
    <row r="365" ht="15" customHeight="1">
      <c r="A365" t="inlineStr">
        <is>
          <t>A 7180-2023</t>
        </is>
      </c>
      <c r="B365" s="1" t="n">
        <v>44970</v>
      </c>
      <c r="C365" s="1" t="n">
        <v>46205</v>
      </c>
      <c r="D365" t="inlineStr">
        <is>
          <t>ÖREBRO LÄN</t>
        </is>
      </c>
      <c r="E365" t="inlineStr">
        <is>
          <t>LINDESBERG</t>
        </is>
      </c>
      <c r="G365" t="n">
        <v>1.4</v>
      </c>
      <c r="H365" t="n">
        <v>0</v>
      </c>
      <c r="I365" t="n">
        <v>0</v>
      </c>
      <c r="J365" t="n">
        <v>0</v>
      </c>
      <c r="K365" t="n">
        <v>0</v>
      </c>
      <c r="L365" t="n">
        <v>0</v>
      </c>
      <c r="M365" t="n">
        <v>0</v>
      </c>
      <c r="N365" t="n">
        <v>0</v>
      </c>
      <c r="O365" t="n">
        <v>0</v>
      </c>
      <c r="P365" t="n">
        <v>0</v>
      </c>
      <c r="Q365" t="n">
        <v>0</v>
      </c>
      <c r="R365" s="2" t="inlineStr"/>
    </row>
    <row r="366" ht="15" customHeight="1">
      <c r="A366" t="inlineStr">
        <is>
          <t>A 50933-2025</t>
        </is>
      </c>
      <c r="B366" s="1" t="n">
        <v>45946</v>
      </c>
      <c r="C366" s="1" t="n">
        <v>46205</v>
      </c>
      <c r="D366" t="inlineStr">
        <is>
          <t>ÖREBRO LÄN</t>
        </is>
      </c>
      <c r="E366" t="inlineStr">
        <is>
          <t>LINDESBERG</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7661-2024</t>
        </is>
      </c>
      <c r="B367" s="1" t="n">
        <v>45348</v>
      </c>
      <c r="C367" s="1" t="n">
        <v>46205</v>
      </c>
      <c r="D367" t="inlineStr">
        <is>
          <t>ÖREBRO LÄN</t>
        </is>
      </c>
      <c r="E367" t="inlineStr">
        <is>
          <t>LINDESBERG</t>
        </is>
      </c>
      <c r="G367" t="n">
        <v>4.1</v>
      </c>
      <c r="H367" t="n">
        <v>0</v>
      </c>
      <c r="I367" t="n">
        <v>0</v>
      </c>
      <c r="J367" t="n">
        <v>0</v>
      </c>
      <c r="K367" t="n">
        <v>0</v>
      </c>
      <c r="L367" t="n">
        <v>0</v>
      </c>
      <c r="M367" t="n">
        <v>0</v>
      </c>
      <c r="N367" t="n">
        <v>0</v>
      </c>
      <c r="O367" t="n">
        <v>0</v>
      </c>
      <c r="P367" t="n">
        <v>0</v>
      </c>
      <c r="Q367" t="n">
        <v>0</v>
      </c>
      <c r="R367" s="2" t="inlineStr"/>
    </row>
    <row r="368" ht="15" customHeight="1">
      <c r="A368" t="inlineStr">
        <is>
          <t>A 38509-2025</t>
        </is>
      </c>
      <c r="B368" s="1" t="n">
        <v>45884</v>
      </c>
      <c r="C368" s="1" t="n">
        <v>46205</v>
      </c>
      <c r="D368" t="inlineStr">
        <is>
          <t>ÖREBRO LÄN</t>
        </is>
      </c>
      <c r="E368" t="inlineStr">
        <is>
          <t>LINDESBERG</t>
        </is>
      </c>
      <c r="G368" t="n">
        <v>14.9</v>
      </c>
      <c r="H368" t="n">
        <v>0</v>
      </c>
      <c r="I368" t="n">
        <v>0</v>
      </c>
      <c r="J368" t="n">
        <v>0</v>
      </c>
      <c r="K368" t="n">
        <v>0</v>
      </c>
      <c r="L368" t="n">
        <v>0</v>
      </c>
      <c r="M368" t="n">
        <v>0</v>
      </c>
      <c r="N368" t="n">
        <v>0</v>
      </c>
      <c r="O368" t="n">
        <v>0</v>
      </c>
      <c r="P368" t="n">
        <v>0</v>
      </c>
      <c r="Q368" t="n">
        <v>0</v>
      </c>
      <c r="R368" s="2" t="inlineStr"/>
    </row>
    <row r="369" ht="15" customHeight="1">
      <c r="A369" t="inlineStr">
        <is>
          <t>A 51172-2025</t>
        </is>
      </c>
      <c r="B369" s="1" t="n">
        <v>45947</v>
      </c>
      <c r="C369" s="1" t="n">
        <v>46205</v>
      </c>
      <c r="D369" t="inlineStr">
        <is>
          <t>ÖREBRO LÄN</t>
        </is>
      </c>
      <c r="E369" t="inlineStr">
        <is>
          <t>LINDESBERG</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28031-2023</t>
        </is>
      </c>
      <c r="B370" s="1" t="n">
        <v>45099</v>
      </c>
      <c r="C370" s="1" t="n">
        <v>46205</v>
      </c>
      <c r="D370" t="inlineStr">
        <is>
          <t>ÖREBRO LÄN</t>
        </is>
      </c>
      <c r="E370" t="inlineStr">
        <is>
          <t>LINDESBERG</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3951-2026</t>
        </is>
      </c>
      <c r="B371" s="1" t="n">
        <v>46044</v>
      </c>
      <c r="C371" s="1" t="n">
        <v>46205</v>
      </c>
      <c r="D371" t="inlineStr">
        <is>
          <t>ÖREBRO LÄN</t>
        </is>
      </c>
      <c r="E371" t="inlineStr">
        <is>
          <t>LINDESBERG</t>
        </is>
      </c>
      <c r="G371" t="n">
        <v>0.6</v>
      </c>
      <c r="H371" t="n">
        <v>0</v>
      </c>
      <c r="I371" t="n">
        <v>0</v>
      </c>
      <c r="J371" t="n">
        <v>0</v>
      </c>
      <c r="K371" t="n">
        <v>0</v>
      </c>
      <c r="L371" t="n">
        <v>0</v>
      </c>
      <c r="M371" t="n">
        <v>0</v>
      </c>
      <c r="N371" t="n">
        <v>0</v>
      </c>
      <c r="O371" t="n">
        <v>0</v>
      </c>
      <c r="P371" t="n">
        <v>0</v>
      </c>
      <c r="Q371" t="n">
        <v>0</v>
      </c>
      <c r="R371" s="2" t="inlineStr"/>
    </row>
    <row r="372" ht="15" customHeight="1">
      <c r="A372" t="inlineStr">
        <is>
          <t>A 52117-2025</t>
        </is>
      </c>
      <c r="B372" s="1" t="n">
        <v>45952</v>
      </c>
      <c r="C372" s="1" t="n">
        <v>46205</v>
      </c>
      <c r="D372" t="inlineStr">
        <is>
          <t>ÖREBRO LÄN</t>
        </is>
      </c>
      <c r="E372" t="inlineStr">
        <is>
          <t>LINDESBERG</t>
        </is>
      </c>
      <c r="G372" t="n">
        <v>4.6</v>
      </c>
      <c r="H372" t="n">
        <v>0</v>
      </c>
      <c r="I372" t="n">
        <v>0</v>
      </c>
      <c r="J372" t="n">
        <v>0</v>
      </c>
      <c r="K372" t="n">
        <v>0</v>
      </c>
      <c r="L372" t="n">
        <v>0</v>
      </c>
      <c r="M372" t="n">
        <v>0</v>
      </c>
      <c r="N372" t="n">
        <v>0</v>
      </c>
      <c r="O372" t="n">
        <v>0</v>
      </c>
      <c r="P372" t="n">
        <v>0</v>
      </c>
      <c r="Q372" t="n">
        <v>0</v>
      </c>
      <c r="R372" s="2" t="inlineStr"/>
    </row>
    <row r="373" ht="15" customHeight="1">
      <c r="A373" t="inlineStr">
        <is>
          <t>A 52103-2025</t>
        </is>
      </c>
      <c r="B373" s="1" t="n">
        <v>45952</v>
      </c>
      <c r="C373" s="1" t="n">
        <v>46205</v>
      </c>
      <c r="D373" t="inlineStr">
        <is>
          <t>ÖREBRO LÄN</t>
        </is>
      </c>
      <c r="E373" t="inlineStr">
        <is>
          <t>LINDESBERG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52104-2025</t>
        </is>
      </c>
      <c r="B374" s="1" t="n">
        <v>45952</v>
      </c>
      <c r="C374" s="1" t="n">
        <v>46205</v>
      </c>
      <c r="D374" t="inlineStr">
        <is>
          <t>ÖREBRO LÄN</t>
        </is>
      </c>
      <c r="E374" t="inlineStr">
        <is>
          <t>LINDESBERG</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58741-2024</t>
        </is>
      </c>
      <c r="B375" s="1" t="n">
        <v>45635</v>
      </c>
      <c r="C375" s="1" t="n">
        <v>46205</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52401-2025</t>
        </is>
      </c>
      <c r="B376" s="1" t="n">
        <v>45954</v>
      </c>
      <c r="C376" s="1" t="n">
        <v>46205</v>
      </c>
      <c r="D376" t="inlineStr">
        <is>
          <t>ÖREBRO LÄN</t>
        </is>
      </c>
      <c r="E376" t="inlineStr">
        <is>
          <t>LINDESBERG</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56907-2024</t>
        </is>
      </c>
      <c r="B377" s="1" t="n">
        <v>45628</v>
      </c>
      <c r="C377" s="1" t="n">
        <v>46205</v>
      </c>
      <c r="D377" t="inlineStr">
        <is>
          <t>ÖREBRO LÄN</t>
        </is>
      </c>
      <c r="E377" t="inlineStr">
        <is>
          <t>LINDESBERG</t>
        </is>
      </c>
      <c r="G377" t="n">
        <v>1.1</v>
      </c>
      <c r="H377" t="n">
        <v>0</v>
      </c>
      <c r="I377" t="n">
        <v>0</v>
      </c>
      <c r="J377" t="n">
        <v>0</v>
      </c>
      <c r="K377" t="n">
        <v>0</v>
      </c>
      <c r="L377" t="n">
        <v>0</v>
      </c>
      <c r="M377" t="n">
        <v>0</v>
      </c>
      <c r="N377" t="n">
        <v>0</v>
      </c>
      <c r="O377" t="n">
        <v>0</v>
      </c>
      <c r="P377" t="n">
        <v>0</v>
      </c>
      <c r="Q377" t="n">
        <v>0</v>
      </c>
      <c r="R377" s="2" t="inlineStr"/>
    </row>
    <row r="378" ht="15" customHeight="1">
      <c r="A378" t="inlineStr">
        <is>
          <t>A 7201-2024</t>
        </is>
      </c>
      <c r="B378" s="1" t="n">
        <v>45344</v>
      </c>
      <c r="C378" s="1" t="n">
        <v>46205</v>
      </c>
      <c r="D378" t="inlineStr">
        <is>
          <t>ÖREBRO LÄN</t>
        </is>
      </c>
      <c r="E378" t="inlineStr">
        <is>
          <t>LINDESBERG</t>
        </is>
      </c>
      <c r="G378" t="n">
        <v>4.7</v>
      </c>
      <c r="H378" t="n">
        <v>0</v>
      </c>
      <c r="I378" t="n">
        <v>0</v>
      </c>
      <c r="J378" t="n">
        <v>0</v>
      </c>
      <c r="K378" t="n">
        <v>0</v>
      </c>
      <c r="L378" t="n">
        <v>0</v>
      </c>
      <c r="M378" t="n">
        <v>0</v>
      </c>
      <c r="N378" t="n">
        <v>0</v>
      </c>
      <c r="O378" t="n">
        <v>0</v>
      </c>
      <c r="P378" t="n">
        <v>0</v>
      </c>
      <c r="Q378" t="n">
        <v>0</v>
      </c>
      <c r="R378" s="2" t="inlineStr"/>
    </row>
    <row r="379" ht="15" customHeight="1">
      <c r="A379" t="inlineStr">
        <is>
          <t>A 52402-2025</t>
        </is>
      </c>
      <c r="B379" s="1" t="n">
        <v>45954</v>
      </c>
      <c r="C379" s="1" t="n">
        <v>46205</v>
      </c>
      <c r="D379" t="inlineStr">
        <is>
          <t>ÖREBRO LÄN</t>
        </is>
      </c>
      <c r="E379" t="inlineStr">
        <is>
          <t>LINDESBERG</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17087-2023</t>
        </is>
      </c>
      <c r="B380" s="1" t="n">
        <v>45034</v>
      </c>
      <c r="C380" s="1" t="n">
        <v>46205</v>
      </c>
      <c r="D380" t="inlineStr">
        <is>
          <t>ÖREBRO LÄN</t>
        </is>
      </c>
      <c r="E380" t="inlineStr">
        <is>
          <t>LINDESBERG</t>
        </is>
      </c>
      <c r="G380" t="n">
        <v>2.7</v>
      </c>
      <c r="H380" t="n">
        <v>0</v>
      </c>
      <c r="I380" t="n">
        <v>0</v>
      </c>
      <c r="J380" t="n">
        <v>0</v>
      </c>
      <c r="K380" t="n">
        <v>0</v>
      </c>
      <c r="L380" t="n">
        <v>0</v>
      </c>
      <c r="M380" t="n">
        <v>0</v>
      </c>
      <c r="N380" t="n">
        <v>0</v>
      </c>
      <c r="O380" t="n">
        <v>0</v>
      </c>
      <c r="P380" t="n">
        <v>0</v>
      </c>
      <c r="Q380" t="n">
        <v>0</v>
      </c>
      <c r="R380" s="2" t="inlineStr"/>
    </row>
    <row r="381" ht="15" customHeight="1">
      <c r="A381" t="inlineStr">
        <is>
          <t>A 53189-2023</t>
        </is>
      </c>
      <c r="B381" s="1" t="n">
        <v>45194</v>
      </c>
      <c r="C381" s="1" t="n">
        <v>46205</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14231-2023</t>
        </is>
      </c>
      <c r="B382" s="1" t="n">
        <v>45009</v>
      </c>
      <c r="C382" s="1" t="n">
        <v>46205</v>
      </c>
      <c r="D382" t="inlineStr">
        <is>
          <t>ÖREBRO LÄN</t>
        </is>
      </c>
      <c r="E382" t="inlineStr">
        <is>
          <t>LINDESBERG</t>
        </is>
      </c>
      <c r="G382" t="n">
        <v>4.3</v>
      </c>
      <c r="H382" t="n">
        <v>0</v>
      </c>
      <c r="I382" t="n">
        <v>0</v>
      </c>
      <c r="J382" t="n">
        <v>0</v>
      </c>
      <c r="K382" t="n">
        <v>0</v>
      </c>
      <c r="L382" t="n">
        <v>0</v>
      </c>
      <c r="M382" t="n">
        <v>0</v>
      </c>
      <c r="N382" t="n">
        <v>0</v>
      </c>
      <c r="O382" t="n">
        <v>0</v>
      </c>
      <c r="P382" t="n">
        <v>0</v>
      </c>
      <c r="Q382" t="n">
        <v>0</v>
      </c>
      <c r="R382" s="2" t="inlineStr"/>
    </row>
    <row r="383" ht="15" customHeight="1">
      <c r="A383" t="inlineStr">
        <is>
          <t>A 54070-2025</t>
        </is>
      </c>
      <c r="B383" s="1" t="n">
        <v>45964</v>
      </c>
      <c r="C383" s="1" t="n">
        <v>46205</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62608-2021</t>
        </is>
      </c>
      <c r="B384" s="1" t="n">
        <v>44503</v>
      </c>
      <c r="C384" s="1" t="n">
        <v>46205</v>
      </c>
      <c r="D384" t="inlineStr">
        <is>
          <t>ÖREBRO LÄN</t>
        </is>
      </c>
      <c r="E384" t="inlineStr">
        <is>
          <t>LINDESBERG</t>
        </is>
      </c>
      <c r="G384" t="n">
        <v>1.4</v>
      </c>
      <c r="H384" t="n">
        <v>0</v>
      </c>
      <c r="I384" t="n">
        <v>0</v>
      </c>
      <c r="J384" t="n">
        <v>0</v>
      </c>
      <c r="K384" t="n">
        <v>0</v>
      </c>
      <c r="L384" t="n">
        <v>0</v>
      </c>
      <c r="M384" t="n">
        <v>0</v>
      </c>
      <c r="N384" t="n">
        <v>0</v>
      </c>
      <c r="O384" t="n">
        <v>0</v>
      </c>
      <c r="P384" t="n">
        <v>0</v>
      </c>
      <c r="Q384" t="n">
        <v>0</v>
      </c>
      <c r="R384" s="2" t="inlineStr"/>
    </row>
    <row r="385" ht="15" customHeight="1">
      <c r="A385" t="inlineStr">
        <is>
          <t>A 54250-2025</t>
        </is>
      </c>
      <c r="B385" s="1" t="n">
        <v>45964</v>
      </c>
      <c r="C385" s="1" t="n">
        <v>46205</v>
      </c>
      <c r="D385" t="inlineStr">
        <is>
          <t>ÖREBRO LÄN</t>
        </is>
      </c>
      <c r="E385" t="inlineStr">
        <is>
          <t>LINDESBERG</t>
        </is>
      </c>
      <c r="F385" t="inlineStr">
        <is>
          <t>Sveaskog</t>
        </is>
      </c>
      <c r="G385" t="n">
        <v>4.5</v>
      </c>
      <c r="H385" t="n">
        <v>0</v>
      </c>
      <c r="I385" t="n">
        <v>0</v>
      </c>
      <c r="J385" t="n">
        <v>0</v>
      </c>
      <c r="K385" t="n">
        <v>0</v>
      </c>
      <c r="L385" t="n">
        <v>0</v>
      </c>
      <c r="M385" t="n">
        <v>0</v>
      </c>
      <c r="N385" t="n">
        <v>0</v>
      </c>
      <c r="O385" t="n">
        <v>0</v>
      </c>
      <c r="P385" t="n">
        <v>0</v>
      </c>
      <c r="Q385" t="n">
        <v>0</v>
      </c>
      <c r="R385" s="2" t="inlineStr"/>
    </row>
    <row r="386" ht="15" customHeight="1">
      <c r="A386" t="inlineStr">
        <is>
          <t>A 54251-2025</t>
        </is>
      </c>
      <c r="B386" s="1" t="n">
        <v>45964</v>
      </c>
      <c r="C386" s="1" t="n">
        <v>46205</v>
      </c>
      <c r="D386" t="inlineStr">
        <is>
          <t>ÖREBRO LÄN</t>
        </is>
      </c>
      <c r="E386" t="inlineStr">
        <is>
          <t>LINDESBERG</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35140-2023</t>
        </is>
      </c>
      <c r="B387" s="1" t="n">
        <v>45145</v>
      </c>
      <c r="C387" s="1" t="n">
        <v>46205</v>
      </c>
      <c r="D387" t="inlineStr">
        <is>
          <t>ÖREBRO LÄN</t>
        </is>
      </c>
      <c r="E387" t="inlineStr">
        <is>
          <t>LINDESBERG</t>
        </is>
      </c>
      <c r="F387" t="inlineStr">
        <is>
          <t>Sveaskog</t>
        </is>
      </c>
      <c r="G387" t="n">
        <v>0.4</v>
      </c>
      <c r="H387" t="n">
        <v>0</v>
      </c>
      <c r="I387" t="n">
        <v>0</v>
      </c>
      <c r="J387" t="n">
        <v>0</v>
      </c>
      <c r="K387" t="n">
        <v>0</v>
      </c>
      <c r="L387" t="n">
        <v>0</v>
      </c>
      <c r="M387" t="n">
        <v>0</v>
      </c>
      <c r="N387" t="n">
        <v>0</v>
      </c>
      <c r="O387" t="n">
        <v>0</v>
      </c>
      <c r="P387" t="n">
        <v>0</v>
      </c>
      <c r="Q387" t="n">
        <v>0</v>
      </c>
      <c r="R387" s="2" t="inlineStr"/>
    </row>
    <row r="388" ht="15" customHeight="1">
      <c r="A388" t="inlineStr">
        <is>
          <t>A 5235-2026</t>
        </is>
      </c>
      <c r="B388" s="1" t="n">
        <v>46049</v>
      </c>
      <c r="C388" s="1" t="n">
        <v>46205</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37616-2023</t>
        </is>
      </c>
      <c r="B389" s="1" t="n">
        <v>45159</v>
      </c>
      <c r="C389" s="1" t="n">
        <v>46205</v>
      </c>
      <c r="D389" t="inlineStr">
        <is>
          <t>ÖREBRO LÄN</t>
        </is>
      </c>
      <c r="E389" t="inlineStr">
        <is>
          <t>LINDESBERG</t>
        </is>
      </c>
      <c r="G389" t="n">
        <v>5.3</v>
      </c>
      <c r="H389" t="n">
        <v>0</v>
      </c>
      <c r="I389" t="n">
        <v>0</v>
      </c>
      <c r="J389" t="n">
        <v>0</v>
      </c>
      <c r="K389" t="n">
        <v>0</v>
      </c>
      <c r="L389" t="n">
        <v>0</v>
      </c>
      <c r="M389" t="n">
        <v>0</v>
      </c>
      <c r="N389" t="n">
        <v>0</v>
      </c>
      <c r="O389" t="n">
        <v>0</v>
      </c>
      <c r="P389" t="n">
        <v>0</v>
      </c>
      <c r="Q389" t="n">
        <v>0</v>
      </c>
      <c r="R389" s="2" t="inlineStr"/>
    </row>
    <row r="390" ht="15" customHeight="1">
      <c r="A390" t="inlineStr">
        <is>
          <t>A 54249-2025</t>
        </is>
      </c>
      <c r="B390" s="1" t="n">
        <v>45964</v>
      </c>
      <c r="C390" s="1" t="n">
        <v>46205</v>
      </c>
      <c r="D390" t="inlineStr">
        <is>
          <t>ÖREBRO LÄN</t>
        </is>
      </c>
      <c r="E390" t="inlineStr">
        <is>
          <t>LINDESBERG</t>
        </is>
      </c>
      <c r="F390" t="inlineStr">
        <is>
          <t>Sveaskog</t>
        </is>
      </c>
      <c r="G390" t="n">
        <v>5.2</v>
      </c>
      <c r="H390" t="n">
        <v>0</v>
      </c>
      <c r="I390" t="n">
        <v>0</v>
      </c>
      <c r="J390" t="n">
        <v>0</v>
      </c>
      <c r="K390" t="n">
        <v>0</v>
      </c>
      <c r="L390" t="n">
        <v>0</v>
      </c>
      <c r="M390" t="n">
        <v>0</v>
      </c>
      <c r="N390" t="n">
        <v>0</v>
      </c>
      <c r="O390" t="n">
        <v>0</v>
      </c>
      <c r="P390" t="n">
        <v>0</v>
      </c>
      <c r="Q390" t="n">
        <v>0</v>
      </c>
      <c r="R390" s="2" t="inlineStr"/>
    </row>
    <row r="391" ht="15" customHeight="1">
      <c r="A391" t="inlineStr">
        <is>
          <t>A 29938-2024</t>
        </is>
      </c>
      <c r="B391" s="1" t="n">
        <v>45488</v>
      </c>
      <c r="C391" s="1" t="n">
        <v>46205</v>
      </c>
      <c r="D391" t="inlineStr">
        <is>
          <t>ÖREBRO LÄN</t>
        </is>
      </c>
      <c r="E391" t="inlineStr">
        <is>
          <t>LINDESBERG</t>
        </is>
      </c>
      <c r="G391" t="n">
        <v>4</v>
      </c>
      <c r="H391" t="n">
        <v>0</v>
      </c>
      <c r="I391" t="n">
        <v>0</v>
      </c>
      <c r="J391" t="n">
        <v>0</v>
      </c>
      <c r="K391" t="n">
        <v>0</v>
      </c>
      <c r="L391" t="n">
        <v>0</v>
      </c>
      <c r="M391" t="n">
        <v>0</v>
      </c>
      <c r="N391" t="n">
        <v>0</v>
      </c>
      <c r="O391" t="n">
        <v>0</v>
      </c>
      <c r="P391" t="n">
        <v>0</v>
      </c>
      <c r="Q391" t="n">
        <v>0</v>
      </c>
      <c r="R391" s="2" t="inlineStr"/>
    </row>
    <row r="392" ht="15" customHeight="1">
      <c r="A392" t="inlineStr">
        <is>
          <t>A 24030-2023</t>
        </is>
      </c>
      <c r="B392" s="1" t="n">
        <v>45078</v>
      </c>
      <c r="C392" s="1" t="n">
        <v>46205</v>
      </c>
      <c r="D392" t="inlineStr">
        <is>
          <t>ÖREBRO LÄN</t>
        </is>
      </c>
      <c r="E392" t="inlineStr">
        <is>
          <t>LINDESBERG</t>
        </is>
      </c>
      <c r="G392" t="n">
        <v>1.5</v>
      </c>
      <c r="H392" t="n">
        <v>0</v>
      </c>
      <c r="I392" t="n">
        <v>0</v>
      </c>
      <c r="J392" t="n">
        <v>0</v>
      </c>
      <c r="K392" t="n">
        <v>0</v>
      </c>
      <c r="L392" t="n">
        <v>0</v>
      </c>
      <c r="M392" t="n">
        <v>0</v>
      </c>
      <c r="N392" t="n">
        <v>0</v>
      </c>
      <c r="O392" t="n">
        <v>0</v>
      </c>
      <c r="P392" t="n">
        <v>0</v>
      </c>
      <c r="Q392" t="n">
        <v>0</v>
      </c>
      <c r="R392" s="2" t="inlineStr"/>
    </row>
    <row r="393" ht="15" customHeight="1">
      <c r="A393" t="inlineStr">
        <is>
          <t>A 36747-2024</t>
        </is>
      </c>
      <c r="B393" s="1" t="n">
        <v>45538</v>
      </c>
      <c r="C393" s="1" t="n">
        <v>46205</v>
      </c>
      <c r="D393" t="inlineStr">
        <is>
          <t>ÖREBRO LÄN</t>
        </is>
      </c>
      <c r="E393" t="inlineStr">
        <is>
          <t>LINDESBERG</t>
        </is>
      </c>
      <c r="F393" t="inlineStr">
        <is>
          <t>Sveaskog</t>
        </is>
      </c>
      <c r="G393" t="n">
        <v>1</v>
      </c>
      <c r="H393" t="n">
        <v>0</v>
      </c>
      <c r="I393" t="n">
        <v>0</v>
      </c>
      <c r="J393" t="n">
        <v>0</v>
      </c>
      <c r="K393" t="n">
        <v>0</v>
      </c>
      <c r="L393" t="n">
        <v>0</v>
      </c>
      <c r="M393" t="n">
        <v>0</v>
      </c>
      <c r="N393" t="n">
        <v>0</v>
      </c>
      <c r="O393" t="n">
        <v>0</v>
      </c>
      <c r="P393" t="n">
        <v>0</v>
      </c>
      <c r="Q393" t="n">
        <v>0</v>
      </c>
      <c r="R393" s="2" t="inlineStr"/>
    </row>
    <row r="394" ht="15" customHeight="1">
      <c r="A394" t="inlineStr">
        <is>
          <t>A 32097-2024</t>
        </is>
      </c>
      <c r="B394" s="1" t="n">
        <v>45511</v>
      </c>
      <c r="C394" s="1" t="n">
        <v>46205</v>
      </c>
      <c r="D394" t="inlineStr">
        <is>
          <t>ÖREBRO LÄN</t>
        </is>
      </c>
      <c r="E394" t="inlineStr">
        <is>
          <t>LINDESBERG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32099-2024</t>
        </is>
      </c>
      <c r="B395" s="1" t="n">
        <v>45511</v>
      </c>
      <c r="C395" s="1" t="n">
        <v>46205</v>
      </c>
      <c r="D395" t="inlineStr">
        <is>
          <t>ÖREBRO LÄN</t>
        </is>
      </c>
      <c r="E395" t="inlineStr">
        <is>
          <t>LINDESBERG</t>
        </is>
      </c>
      <c r="G395" t="n">
        <v>2.3</v>
      </c>
      <c r="H395" t="n">
        <v>0</v>
      </c>
      <c r="I395" t="n">
        <v>0</v>
      </c>
      <c r="J395" t="n">
        <v>0</v>
      </c>
      <c r="K395" t="n">
        <v>0</v>
      </c>
      <c r="L395" t="n">
        <v>0</v>
      </c>
      <c r="M395" t="n">
        <v>0</v>
      </c>
      <c r="N395" t="n">
        <v>0</v>
      </c>
      <c r="O395" t="n">
        <v>0</v>
      </c>
      <c r="P395" t="n">
        <v>0</v>
      </c>
      <c r="Q395" t="n">
        <v>0</v>
      </c>
      <c r="R395" s="2" t="inlineStr"/>
    </row>
    <row r="396" ht="15" customHeight="1">
      <c r="A396" t="inlineStr">
        <is>
          <t>A 3803-2023</t>
        </is>
      </c>
      <c r="B396" s="1" t="n">
        <v>44951</v>
      </c>
      <c r="C396" s="1" t="n">
        <v>46205</v>
      </c>
      <c r="D396" t="inlineStr">
        <is>
          <t>ÖREBRO LÄN</t>
        </is>
      </c>
      <c r="E396" t="inlineStr">
        <is>
          <t>LINDESBERG</t>
        </is>
      </c>
      <c r="G396" t="n">
        <v>0.9</v>
      </c>
      <c r="H396" t="n">
        <v>0</v>
      </c>
      <c r="I396" t="n">
        <v>0</v>
      </c>
      <c r="J396" t="n">
        <v>0</v>
      </c>
      <c r="K396" t="n">
        <v>0</v>
      </c>
      <c r="L396" t="n">
        <v>0</v>
      </c>
      <c r="M396" t="n">
        <v>0</v>
      </c>
      <c r="N396" t="n">
        <v>0</v>
      </c>
      <c r="O396" t="n">
        <v>0</v>
      </c>
      <c r="P396" t="n">
        <v>0</v>
      </c>
      <c r="Q396" t="n">
        <v>0</v>
      </c>
      <c r="R396" s="2" t="inlineStr"/>
    </row>
    <row r="397" ht="15" customHeight="1">
      <c r="A397" t="inlineStr">
        <is>
          <t>A 55255-2025</t>
        </is>
      </c>
      <c r="B397" s="1" t="n">
        <v>45968</v>
      </c>
      <c r="C397" s="1" t="n">
        <v>46205</v>
      </c>
      <c r="D397" t="inlineStr">
        <is>
          <t>ÖREBRO LÄN</t>
        </is>
      </c>
      <c r="E397" t="inlineStr">
        <is>
          <t>LINDESBERG</t>
        </is>
      </c>
      <c r="F397" t="inlineStr">
        <is>
          <t>Kyrkan</t>
        </is>
      </c>
      <c r="G397" t="n">
        <v>1</v>
      </c>
      <c r="H397" t="n">
        <v>0</v>
      </c>
      <c r="I397" t="n">
        <v>0</v>
      </c>
      <c r="J397" t="n">
        <v>0</v>
      </c>
      <c r="K397" t="n">
        <v>0</v>
      </c>
      <c r="L397" t="n">
        <v>0</v>
      </c>
      <c r="M397" t="n">
        <v>0</v>
      </c>
      <c r="N397" t="n">
        <v>0</v>
      </c>
      <c r="O397" t="n">
        <v>0</v>
      </c>
      <c r="P397" t="n">
        <v>0</v>
      </c>
      <c r="Q397" t="n">
        <v>0</v>
      </c>
      <c r="R397" s="2" t="inlineStr"/>
    </row>
    <row r="398" ht="15" customHeight="1">
      <c r="A398" t="inlineStr">
        <is>
          <t>A 56232-2025</t>
        </is>
      </c>
      <c r="B398" s="1" t="n">
        <v>45974</v>
      </c>
      <c r="C398" s="1" t="n">
        <v>46205</v>
      </c>
      <c r="D398" t="inlineStr">
        <is>
          <t>ÖREBRO LÄN</t>
        </is>
      </c>
      <c r="E398" t="inlineStr">
        <is>
          <t>LINDESBERG</t>
        </is>
      </c>
      <c r="G398" t="n">
        <v>3.2</v>
      </c>
      <c r="H398" t="n">
        <v>0</v>
      </c>
      <c r="I398" t="n">
        <v>0</v>
      </c>
      <c r="J398" t="n">
        <v>0</v>
      </c>
      <c r="K398" t="n">
        <v>0</v>
      </c>
      <c r="L398" t="n">
        <v>0</v>
      </c>
      <c r="M398" t="n">
        <v>0</v>
      </c>
      <c r="N398" t="n">
        <v>0</v>
      </c>
      <c r="O398" t="n">
        <v>0</v>
      </c>
      <c r="P398" t="n">
        <v>0</v>
      </c>
      <c r="Q398" t="n">
        <v>0</v>
      </c>
      <c r="R398" s="2" t="inlineStr"/>
    </row>
    <row r="399" ht="15" customHeight="1">
      <c r="A399" t="inlineStr">
        <is>
          <t>A 56308-2025</t>
        </is>
      </c>
      <c r="B399" s="1" t="n">
        <v>45974</v>
      </c>
      <c r="C399" s="1" t="n">
        <v>46205</v>
      </c>
      <c r="D399" t="inlineStr">
        <is>
          <t>ÖREBRO LÄN</t>
        </is>
      </c>
      <c r="E399" t="inlineStr">
        <is>
          <t>LINDESBERG</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56226-2025</t>
        </is>
      </c>
      <c r="B400" s="1" t="n">
        <v>45974</v>
      </c>
      <c r="C400" s="1" t="n">
        <v>46205</v>
      </c>
      <c r="D400" t="inlineStr">
        <is>
          <t>ÖREBRO LÄN</t>
        </is>
      </c>
      <c r="E400" t="inlineStr">
        <is>
          <t>LINDESBERG</t>
        </is>
      </c>
      <c r="G400" t="n">
        <v>1.8</v>
      </c>
      <c r="H400" t="n">
        <v>0</v>
      </c>
      <c r="I400" t="n">
        <v>0</v>
      </c>
      <c r="J400" t="n">
        <v>0</v>
      </c>
      <c r="K400" t="n">
        <v>0</v>
      </c>
      <c r="L400" t="n">
        <v>0</v>
      </c>
      <c r="M400" t="n">
        <v>0</v>
      </c>
      <c r="N400" t="n">
        <v>0</v>
      </c>
      <c r="O400" t="n">
        <v>0</v>
      </c>
      <c r="P400" t="n">
        <v>0</v>
      </c>
      <c r="Q400" t="n">
        <v>0</v>
      </c>
      <c r="R400" s="2" t="inlineStr"/>
    </row>
    <row r="401" ht="15" customHeight="1">
      <c r="A401" t="inlineStr">
        <is>
          <t>A 56306-2025</t>
        </is>
      </c>
      <c r="B401" s="1" t="n">
        <v>45974</v>
      </c>
      <c r="C401" s="1" t="n">
        <v>46205</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16054-2022</t>
        </is>
      </c>
      <c r="B402" s="1" t="n">
        <v>44665</v>
      </c>
      <c r="C402" s="1" t="n">
        <v>46205</v>
      </c>
      <c r="D402" t="inlineStr">
        <is>
          <t>ÖREBRO LÄN</t>
        </is>
      </c>
      <c r="E402" t="inlineStr">
        <is>
          <t>LINDESBERG</t>
        </is>
      </c>
      <c r="G402" t="n">
        <v>6.9</v>
      </c>
      <c r="H402" t="n">
        <v>0</v>
      </c>
      <c r="I402" t="n">
        <v>0</v>
      </c>
      <c r="J402" t="n">
        <v>0</v>
      </c>
      <c r="K402" t="n">
        <v>0</v>
      </c>
      <c r="L402" t="n">
        <v>0</v>
      </c>
      <c r="M402" t="n">
        <v>0</v>
      </c>
      <c r="N402" t="n">
        <v>0</v>
      </c>
      <c r="O402" t="n">
        <v>0</v>
      </c>
      <c r="P402" t="n">
        <v>0</v>
      </c>
      <c r="Q402" t="n">
        <v>0</v>
      </c>
      <c r="R402" s="2" t="inlineStr"/>
    </row>
    <row r="403" ht="15" customHeight="1">
      <c r="A403" t="inlineStr">
        <is>
          <t>A 36136-2023</t>
        </is>
      </c>
      <c r="B403" s="1" t="n">
        <v>45149</v>
      </c>
      <c r="C403" s="1" t="n">
        <v>46205</v>
      </c>
      <c r="D403" t="inlineStr">
        <is>
          <t>ÖREBRO LÄN</t>
        </is>
      </c>
      <c r="E403" t="inlineStr">
        <is>
          <t>LINDESBERG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61601-2024</t>
        </is>
      </c>
      <c r="B404" s="1" t="n">
        <v>45646</v>
      </c>
      <c r="C404" s="1" t="n">
        <v>46205</v>
      </c>
      <c r="D404" t="inlineStr">
        <is>
          <t>ÖREBRO LÄN</t>
        </is>
      </c>
      <c r="E404" t="inlineStr">
        <is>
          <t>LINDESBERG</t>
        </is>
      </c>
      <c r="G404" t="n">
        <v>0.5</v>
      </c>
      <c r="H404" t="n">
        <v>0</v>
      </c>
      <c r="I404" t="n">
        <v>0</v>
      </c>
      <c r="J404" t="n">
        <v>0</v>
      </c>
      <c r="K404" t="n">
        <v>0</v>
      </c>
      <c r="L404" t="n">
        <v>0</v>
      </c>
      <c r="M404" t="n">
        <v>0</v>
      </c>
      <c r="N404" t="n">
        <v>0</v>
      </c>
      <c r="O404" t="n">
        <v>0</v>
      </c>
      <c r="P404" t="n">
        <v>0</v>
      </c>
      <c r="Q404" t="n">
        <v>0</v>
      </c>
      <c r="R404" s="2" t="inlineStr"/>
    </row>
    <row r="405" ht="15" customHeight="1">
      <c r="A405" t="inlineStr">
        <is>
          <t>A 40450-2023</t>
        </is>
      </c>
      <c r="B405" s="1" t="n">
        <v>45170</v>
      </c>
      <c r="C405" s="1" t="n">
        <v>46205</v>
      </c>
      <c r="D405" t="inlineStr">
        <is>
          <t>ÖREBRO LÄN</t>
        </is>
      </c>
      <c r="E405" t="inlineStr">
        <is>
          <t>LINDESBERG</t>
        </is>
      </c>
      <c r="F405" t="inlineStr">
        <is>
          <t>Kyrkan</t>
        </is>
      </c>
      <c r="G405" t="n">
        <v>4.3</v>
      </c>
      <c r="H405" t="n">
        <v>0</v>
      </c>
      <c r="I405" t="n">
        <v>0</v>
      </c>
      <c r="J405" t="n">
        <v>0</v>
      </c>
      <c r="K405" t="n">
        <v>0</v>
      </c>
      <c r="L405" t="n">
        <v>0</v>
      </c>
      <c r="M405" t="n">
        <v>0</v>
      </c>
      <c r="N405" t="n">
        <v>0</v>
      </c>
      <c r="O405" t="n">
        <v>0</v>
      </c>
      <c r="P405" t="n">
        <v>0</v>
      </c>
      <c r="Q405" t="n">
        <v>0</v>
      </c>
      <c r="R405" s="2" t="inlineStr"/>
    </row>
    <row r="406" ht="15" customHeight="1">
      <c r="A406" t="inlineStr">
        <is>
          <t>A 57361-2025</t>
        </is>
      </c>
      <c r="B406" s="1" t="n">
        <v>45980</v>
      </c>
      <c r="C406" s="1" t="n">
        <v>46205</v>
      </c>
      <c r="D406" t="inlineStr">
        <is>
          <t>ÖREBRO LÄN</t>
        </is>
      </c>
      <c r="E406" t="inlineStr">
        <is>
          <t>LINDESBERG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6524-2026</t>
        </is>
      </c>
      <c r="B407" s="1" t="n">
        <v>46056</v>
      </c>
      <c r="C407" s="1" t="n">
        <v>46205</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22824-2023</t>
        </is>
      </c>
      <c r="B408" s="1" t="n">
        <v>45072</v>
      </c>
      <c r="C408" s="1" t="n">
        <v>46205</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57359-2025</t>
        </is>
      </c>
      <c r="B409" s="1" t="n">
        <v>45980</v>
      </c>
      <c r="C409" s="1" t="n">
        <v>46205</v>
      </c>
      <c r="D409" t="inlineStr">
        <is>
          <t>ÖREBRO LÄN</t>
        </is>
      </c>
      <c r="E409" t="inlineStr">
        <is>
          <t>LINDESBERG</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72698-2021</t>
        </is>
      </c>
      <c r="B410" s="1" t="n">
        <v>44546</v>
      </c>
      <c r="C410" s="1" t="n">
        <v>46205</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6616-2026</t>
        </is>
      </c>
      <c r="B411" s="1" t="n">
        <v>46056</v>
      </c>
      <c r="C411" s="1" t="n">
        <v>46205</v>
      </c>
      <c r="D411" t="inlineStr">
        <is>
          <t>ÖREBRO LÄN</t>
        </is>
      </c>
      <c r="E411" t="inlineStr">
        <is>
          <t>LINDESBERG</t>
        </is>
      </c>
      <c r="G411" t="n">
        <v>9</v>
      </c>
      <c r="H411" t="n">
        <v>0</v>
      </c>
      <c r="I411" t="n">
        <v>0</v>
      </c>
      <c r="J411" t="n">
        <v>0</v>
      </c>
      <c r="K411" t="n">
        <v>0</v>
      </c>
      <c r="L411" t="n">
        <v>0</v>
      </c>
      <c r="M411" t="n">
        <v>0</v>
      </c>
      <c r="N411" t="n">
        <v>0</v>
      </c>
      <c r="O411" t="n">
        <v>0</v>
      </c>
      <c r="P411" t="n">
        <v>0</v>
      </c>
      <c r="Q411" t="n">
        <v>0</v>
      </c>
      <c r="R411" s="2" t="inlineStr"/>
    </row>
    <row r="412" ht="15" customHeight="1">
      <c r="A412" t="inlineStr">
        <is>
          <t>A 57313-2025</t>
        </is>
      </c>
      <c r="B412" s="1" t="n">
        <v>45979</v>
      </c>
      <c r="C412" s="1" t="n">
        <v>46205</v>
      </c>
      <c r="D412" t="inlineStr">
        <is>
          <t>ÖREBRO LÄN</t>
        </is>
      </c>
      <c r="E412" t="inlineStr">
        <is>
          <t>LINDESBERG</t>
        </is>
      </c>
      <c r="F412" t="inlineStr">
        <is>
          <t>Sveaskog</t>
        </is>
      </c>
      <c r="G412" t="n">
        <v>9.1</v>
      </c>
      <c r="H412" t="n">
        <v>0</v>
      </c>
      <c r="I412" t="n">
        <v>0</v>
      </c>
      <c r="J412" t="n">
        <v>0</v>
      </c>
      <c r="K412" t="n">
        <v>0</v>
      </c>
      <c r="L412" t="n">
        <v>0</v>
      </c>
      <c r="M412" t="n">
        <v>0</v>
      </c>
      <c r="N412" t="n">
        <v>0</v>
      </c>
      <c r="O412" t="n">
        <v>0</v>
      </c>
      <c r="P412" t="n">
        <v>0</v>
      </c>
      <c r="Q412" t="n">
        <v>0</v>
      </c>
      <c r="R412" s="2" t="inlineStr"/>
    </row>
    <row r="413" ht="15" customHeight="1">
      <c r="A413" t="inlineStr">
        <is>
          <t>A 57316-2025</t>
        </is>
      </c>
      <c r="B413" s="1" t="n">
        <v>45980</v>
      </c>
      <c r="C413" s="1" t="n">
        <v>46205</v>
      </c>
      <c r="D413" t="inlineStr">
        <is>
          <t>ÖREBRO LÄN</t>
        </is>
      </c>
      <c r="E413" t="inlineStr">
        <is>
          <t>LINDESBERG</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57317-2025</t>
        </is>
      </c>
      <c r="B414" s="1" t="n">
        <v>45980</v>
      </c>
      <c r="C414" s="1" t="n">
        <v>46205</v>
      </c>
      <c r="D414" t="inlineStr">
        <is>
          <t>ÖREBRO LÄN</t>
        </is>
      </c>
      <c r="E414" t="inlineStr">
        <is>
          <t>LINDESBERG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32994-2023</t>
        </is>
      </c>
      <c r="B415" s="1" t="n">
        <v>45113</v>
      </c>
      <c r="C415" s="1" t="n">
        <v>46205</v>
      </c>
      <c r="D415" t="inlineStr">
        <is>
          <t>ÖREBRO LÄN</t>
        </is>
      </c>
      <c r="E415" t="inlineStr">
        <is>
          <t>LINDESBERG</t>
        </is>
      </c>
      <c r="G415" t="n">
        <v>2.3</v>
      </c>
      <c r="H415" t="n">
        <v>0</v>
      </c>
      <c r="I415" t="n">
        <v>0</v>
      </c>
      <c r="J415" t="n">
        <v>0</v>
      </c>
      <c r="K415" t="n">
        <v>0</v>
      </c>
      <c r="L415" t="n">
        <v>0</v>
      </c>
      <c r="M415" t="n">
        <v>0</v>
      </c>
      <c r="N415" t="n">
        <v>0</v>
      </c>
      <c r="O415" t="n">
        <v>0</v>
      </c>
      <c r="P415" t="n">
        <v>0</v>
      </c>
      <c r="Q415" t="n">
        <v>0</v>
      </c>
      <c r="R415" s="2" t="inlineStr"/>
    </row>
    <row r="416" ht="15" customHeight="1">
      <c r="A416" t="inlineStr">
        <is>
          <t>A 36170-2021</t>
        </is>
      </c>
      <c r="B416" s="1" t="n">
        <v>44389</v>
      </c>
      <c r="C416" s="1" t="n">
        <v>46205</v>
      </c>
      <c r="D416" t="inlineStr">
        <is>
          <t>ÖREBRO LÄN</t>
        </is>
      </c>
      <c r="E416" t="inlineStr">
        <is>
          <t>LINDESBERG</t>
        </is>
      </c>
      <c r="G416" t="n">
        <v>0.4</v>
      </c>
      <c r="H416" t="n">
        <v>0</v>
      </c>
      <c r="I416" t="n">
        <v>0</v>
      </c>
      <c r="J416" t="n">
        <v>0</v>
      </c>
      <c r="K416" t="n">
        <v>0</v>
      </c>
      <c r="L416" t="n">
        <v>0</v>
      </c>
      <c r="M416" t="n">
        <v>0</v>
      </c>
      <c r="N416" t="n">
        <v>0</v>
      </c>
      <c r="O416" t="n">
        <v>0</v>
      </c>
      <c r="P416" t="n">
        <v>0</v>
      </c>
      <c r="Q416" t="n">
        <v>0</v>
      </c>
      <c r="R416" s="2" t="inlineStr"/>
    </row>
    <row r="417" ht="15" customHeight="1">
      <c r="A417" t="inlineStr">
        <is>
          <t>A 10822-2023</t>
        </is>
      </c>
      <c r="B417" s="1" t="n">
        <v>44990</v>
      </c>
      <c r="C417" s="1" t="n">
        <v>46205</v>
      </c>
      <c r="D417" t="inlineStr">
        <is>
          <t>ÖREBRO LÄN</t>
        </is>
      </c>
      <c r="E417" t="inlineStr">
        <is>
          <t>LINDESBERG</t>
        </is>
      </c>
      <c r="G417" t="n">
        <v>1.3</v>
      </c>
      <c r="H417" t="n">
        <v>0</v>
      </c>
      <c r="I417" t="n">
        <v>0</v>
      </c>
      <c r="J417" t="n">
        <v>0</v>
      </c>
      <c r="K417" t="n">
        <v>0</v>
      </c>
      <c r="L417" t="n">
        <v>0</v>
      </c>
      <c r="M417" t="n">
        <v>0</v>
      </c>
      <c r="N417" t="n">
        <v>0</v>
      </c>
      <c r="O417" t="n">
        <v>0</v>
      </c>
      <c r="P417" t="n">
        <v>0</v>
      </c>
      <c r="Q417" t="n">
        <v>0</v>
      </c>
      <c r="R417" s="2" t="inlineStr"/>
    </row>
    <row r="418" ht="15" customHeight="1">
      <c r="A418" t="inlineStr">
        <is>
          <t>A 35230-2024</t>
        </is>
      </c>
      <c r="B418" s="1" t="n">
        <v>45530</v>
      </c>
      <c r="C418" s="1" t="n">
        <v>46205</v>
      </c>
      <c r="D418" t="inlineStr">
        <is>
          <t>ÖREBRO LÄN</t>
        </is>
      </c>
      <c r="E418" t="inlineStr">
        <is>
          <t>LINDESBERG</t>
        </is>
      </c>
      <c r="G418" t="n">
        <v>1.7</v>
      </c>
      <c r="H418" t="n">
        <v>0</v>
      </c>
      <c r="I418" t="n">
        <v>0</v>
      </c>
      <c r="J418" t="n">
        <v>0</v>
      </c>
      <c r="K418" t="n">
        <v>0</v>
      </c>
      <c r="L418" t="n">
        <v>0</v>
      </c>
      <c r="M418" t="n">
        <v>0</v>
      </c>
      <c r="N418" t="n">
        <v>0</v>
      </c>
      <c r="O418" t="n">
        <v>0</v>
      </c>
      <c r="P418" t="n">
        <v>0</v>
      </c>
      <c r="Q418" t="n">
        <v>0</v>
      </c>
      <c r="R418" s="2" t="inlineStr"/>
    </row>
    <row r="419" ht="15" customHeight="1">
      <c r="A419" t="inlineStr">
        <is>
          <t>A 7069-2026</t>
        </is>
      </c>
      <c r="B419" s="1" t="n">
        <v>46058</v>
      </c>
      <c r="C419" s="1" t="n">
        <v>46205</v>
      </c>
      <c r="D419" t="inlineStr">
        <is>
          <t>ÖREBRO LÄN</t>
        </is>
      </c>
      <c r="E419" t="inlineStr">
        <is>
          <t>LINDESBERG</t>
        </is>
      </c>
      <c r="G419" t="n">
        <v>0.9</v>
      </c>
      <c r="H419" t="n">
        <v>0</v>
      </c>
      <c r="I419" t="n">
        <v>0</v>
      </c>
      <c r="J419" t="n">
        <v>0</v>
      </c>
      <c r="K419" t="n">
        <v>0</v>
      </c>
      <c r="L419" t="n">
        <v>0</v>
      </c>
      <c r="M419" t="n">
        <v>0</v>
      </c>
      <c r="N419" t="n">
        <v>0</v>
      </c>
      <c r="O419" t="n">
        <v>0</v>
      </c>
      <c r="P419" t="n">
        <v>0</v>
      </c>
      <c r="Q419" t="n">
        <v>0</v>
      </c>
      <c r="R419" s="2" t="inlineStr"/>
    </row>
    <row r="420" ht="15" customHeight="1">
      <c r="A420" t="inlineStr">
        <is>
          <t>A 16618-2023</t>
        </is>
      </c>
      <c r="B420" s="1" t="n">
        <v>45030</v>
      </c>
      <c r="C420" s="1" t="n">
        <v>46205</v>
      </c>
      <c r="D420" t="inlineStr">
        <is>
          <t>ÖREBRO LÄN</t>
        </is>
      </c>
      <c r="E420" t="inlineStr">
        <is>
          <t>LINDESBERG</t>
        </is>
      </c>
      <c r="F420" t="inlineStr">
        <is>
          <t>Kommuner</t>
        </is>
      </c>
      <c r="G420" t="n">
        <v>4.6</v>
      </c>
      <c r="H420" t="n">
        <v>0</v>
      </c>
      <c r="I420" t="n">
        <v>0</v>
      </c>
      <c r="J420" t="n">
        <v>0</v>
      </c>
      <c r="K420" t="n">
        <v>0</v>
      </c>
      <c r="L420" t="n">
        <v>0</v>
      </c>
      <c r="M420" t="n">
        <v>0</v>
      </c>
      <c r="N420" t="n">
        <v>0</v>
      </c>
      <c r="O420" t="n">
        <v>0</v>
      </c>
      <c r="P420" t="n">
        <v>0</v>
      </c>
      <c r="Q420" t="n">
        <v>0</v>
      </c>
      <c r="R420" s="2" t="inlineStr"/>
    </row>
    <row r="421" ht="15" customHeight="1">
      <c r="A421" t="inlineStr">
        <is>
          <t>A 6989-2026</t>
        </is>
      </c>
      <c r="B421" s="1" t="n">
        <v>46057</v>
      </c>
      <c r="C421" s="1" t="n">
        <v>46205</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45428-2023</t>
        </is>
      </c>
      <c r="B422" s="1" t="n">
        <v>45194</v>
      </c>
      <c r="C422" s="1" t="n">
        <v>46205</v>
      </c>
      <c r="D422" t="inlineStr">
        <is>
          <t>ÖREBRO LÄN</t>
        </is>
      </c>
      <c r="E422" t="inlineStr">
        <is>
          <t>LINDESBERG</t>
        </is>
      </c>
      <c r="G422" t="n">
        <v>7.7</v>
      </c>
      <c r="H422" t="n">
        <v>0</v>
      </c>
      <c r="I422" t="n">
        <v>0</v>
      </c>
      <c r="J422" t="n">
        <v>0</v>
      </c>
      <c r="K422" t="n">
        <v>0</v>
      </c>
      <c r="L422" t="n">
        <v>0</v>
      </c>
      <c r="M422" t="n">
        <v>0</v>
      </c>
      <c r="N422" t="n">
        <v>0</v>
      </c>
      <c r="O422" t="n">
        <v>0</v>
      </c>
      <c r="P422" t="n">
        <v>0</v>
      </c>
      <c r="Q422" t="n">
        <v>0</v>
      </c>
      <c r="R422" s="2" t="inlineStr"/>
    </row>
    <row r="423" ht="15" customHeight="1">
      <c r="A423" t="inlineStr">
        <is>
          <t>A 57911-2022</t>
        </is>
      </c>
      <c r="B423" s="1" t="n">
        <v>44900</v>
      </c>
      <c r="C423" s="1" t="n">
        <v>46205</v>
      </c>
      <c r="D423" t="inlineStr">
        <is>
          <t>ÖREBRO LÄN</t>
        </is>
      </c>
      <c r="E423" t="inlineStr">
        <is>
          <t>LINDESBERG</t>
        </is>
      </c>
      <c r="G423" t="n">
        <v>4.9</v>
      </c>
      <c r="H423" t="n">
        <v>0</v>
      </c>
      <c r="I423" t="n">
        <v>0</v>
      </c>
      <c r="J423" t="n">
        <v>0</v>
      </c>
      <c r="K423" t="n">
        <v>0</v>
      </c>
      <c r="L423" t="n">
        <v>0</v>
      </c>
      <c r="M423" t="n">
        <v>0</v>
      </c>
      <c r="N423" t="n">
        <v>0</v>
      </c>
      <c r="O423" t="n">
        <v>0</v>
      </c>
      <c r="P423" t="n">
        <v>0</v>
      </c>
      <c r="Q423" t="n">
        <v>0</v>
      </c>
      <c r="R423" s="2" t="inlineStr"/>
    </row>
    <row r="424" ht="15" customHeight="1">
      <c r="A424" t="inlineStr">
        <is>
          <t>A 60400-2025</t>
        </is>
      </c>
      <c r="B424" s="1" t="n">
        <v>45995</v>
      </c>
      <c r="C424" s="1" t="n">
        <v>46205</v>
      </c>
      <c r="D424" t="inlineStr">
        <is>
          <t>ÖREBRO LÄN</t>
        </is>
      </c>
      <c r="E424" t="inlineStr">
        <is>
          <t>LINDESBERG</t>
        </is>
      </c>
      <c r="G424" t="n">
        <v>11.2</v>
      </c>
      <c r="H424" t="n">
        <v>0</v>
      </c>
      <c r="I424" t="n">
        <v>0</v>
      </c>
      <c r="J424" t="n">
        <v>0</v>
      </c>
      <c r="K424" t="n">
        <v>0</v>
      </c>
      <c r="L424" t="n">
        <v>0</v>
      </c>
      <c r="M424" t="n">
        <v>0</v>
      </c>
      <c r="N424" t="n">
        <v>0</v>
      </c>
      <c r="O424" t="n">
        <v>0</v>
      </c>
      <c r="P424" t="n">
        <v>0</v>
      </c>
      <c r="Q424" t="n">
        <v>0</v>
      </c>
      <c r="R424" s="2" t="inlineStr"/>
    </row>
    <row r="425" ht="15" customHeight="1">
      <c r="A425" t="inlineStr">
        <is>
          <t>A 60450-2025</t>
        </is>
      </c>
      <c r="B425" s="1" t="n">
        <v>45995</v>
      </c>
      <c r="C425" s="1" t="n">
        <v>46205</v>
      </c>
      <c r="D425" t="inlineStr">
        <is>
          <t>ÖREBRO LÄN</t>
        </is>
      </c>
      <c r="E425" t="inlineStr">
        <is>
          <t>LINDESBERG</t>
        </is>
      </c>
      <c r="G425" t="n">
        <v>4.1</v>
      </c>
      <c r="H425" t="n">
        <v>0</v>
      </c>
      <c r="I425" t="n">
        <v>0</v>
      </c>
      <c r="J425" t="n">
        <v>0</v>
      </c>
      <c r="K425" t="n">
        <v>0</v>
      </c>
      <c r="L425" t="n">
        <v>0</v>
      </c>
      <c r="M425" t="n">
        <v>0</v>
      </c>
      <c r="N425" t="n">
        <v>0</v>
      </c>
      <c r="O425" t="n">
        <v>0</v>
      </c>
      <c r="P425" t="n">
        <v>0</v>
      </c>
      <c r="Q425" t="n">
        <v>0</v>
      </c>
      <c r="R425" s="2" t="inlineStr"/>
    </row>
    <row r="426" ht="15" customHeight="1">
      <c r="A426" t="inlineStr">
        <is>
          <t>A 64427-2021</t>
        </is>
      </c>
      <c r="B426" s="1" t="n">
        <v>44511</v>
      </c>
      <c r="C426" s="1" t="n">
        <v>46205</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19077-2025</t>
        </is>
      </c>
      <c r="B427" s="1" t="n">
        <v>45766</v>
      </c>
      <c r="C427" s="1" t="n">
        <v>46205</v>
      </c>
      <c r="D427" t="inlineStr">
        <is>
          <t>ÖREBRO LÄN</t>
        </is>
      </c>
      <c r="E427" t="inlineStr">
        <is>
          <t>LINDESBERG</t>
        </is>
      </c>
      <c r="G427" t="n">
        <v>0</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46205</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9432-2026</t>
        </is>
      </c>
      <c r="B429" s="1" t="n">
        <v>46071</v>
      </c>
      <c r="C429" s="1" t="n">
        <v>46205</v>
      </c>
      <c r="D429" t="inlineStr">
        <is>
          <t>ÖREBRO LÄN</t>
        </is>
      </c>
      <c r="E429" t="inlineStr">
        <is>
          <t>LINDESBERG</t>
        </is>
      </c>
      <c r="G429" t="n">
        <v>1.6</v>
      </c>
      <c r="H429" t="n">
        <v>0</v>
      </c>
      <c r="I429" t="n">
        <v>0</v>
      </c>
      <c r="J429" t="n">
        <v>0</v>
      </c>
      <c r="K429" t="n">
        <v>0</v>
      </c>
      <c r="L429" t="n">
        <v>0</v>
      </c>
      <c r="M429" t="n">
        <v>0</v>
      </c>
      <c r="N429" t="n">
        <v>0</v>
      </c>
      <c r="O429" t="n">
        <v>0</v>
      </c>
      <c r="P429" t="n">
        <v>0</v>
      </c>
      <c r="Q429" t="n">
        <v>0</v>
      </c>
      <c r="R429" s="2" t="inlineStr"/>
    </row>
    <row r="430" ht="15" customHeight="1">
      <c r="A430" t="inlineStr">
        <is>
          <t>A 13969-2025</t>
        </is>
      </c>
      <c r="B430" s="1" t="n">
        <v>45738</v>
      </c>
      <c r="C430" s="1" t="n">
        <v>46205</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24352-2023</t>
        </is>
      </c>
      <c r="B431" s="1" t="n">
        <v>45082</v>
      </c>
      <c r="C431" s="1" t="n">
        <v>46205</v>
      </c>
      <c r="D431" t="inlineStr">
        <is>
          <t>ÖREBRO LÄN</t>
        </is>
      </c>
      <c r="E431" t="inlineStr">
        <is>
          <t>LINDESBERG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484-2022</t>
        </is>
      </c>
      <c r="B432" s="1" t="n">
        <v>44566</v>
      </c>
      <c r="C432" s="1" t="n">
        <v>46205</v>
      </c>
      <c r="D432" t="inlineStr">
        <is>
          <t>ÖREBRO LÄN</t>
        </is>
      </c>
      <c r="E432" t="inlineStr">
        <is>
          <t>LINDESBERG</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61761-2025</t>
        </is>
      </c>
      <c r="B433" s="1" t="n">
        <v>46002</v>
      </c>
      <c r="C433" s="1" t="n">
        <v>46205</v>
      </c>
      <c r="D433" t="inlineStr">
        <is>
          <t>ÖREBRO LÄN</t>
        </is>
      </c>
      <c r="E433" t="inlineStr">
        <is>
          <t>LINDESBERG</t>
        </is>
      </c>
      <c r="G433" t="n">
        <v>3.8</v>
      </c>
      <c r="H433" t="n">
        <v>0</v>
      </c>
      <c r="I433" t="n">
        <v>0</v>
      </c>
      <c r="J433" t="n">
        <v>0</v>
      </c>
      <c r="K433" t="n">
        <v>0</v>
      </c>
      <c r="L433" t="n">
        <v>0</v>
      </c>
      <c r="M433" t="n">
        <v>0</v>
      </c>
      <c r="N433" t="n">
        <v>0</v>
      </c>
      <c r="O433" t="n">
        <v>0</v>
      </c>
      <c r="P433" t="n">
        <v>0</v>
      </c>
      <c r="Q433" t="n">
        <v>0</v>
      </c>
      <c r="R433" s="2" t="inlineStr"/>
    </row>
    <row r="434" ht="15" customHeight="1">
      <c r="A434" t="inlineStr">
        <is>
          <t>A 61745-2025</t>
        </is>
      </c>
      <c r="B434" s="1" t="n">
        <v>46002</v>
      </c>
      <c r="C434" s="1" t="n">
        <v>46205</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36024-2021</t>
        </is>
      </c>
      <c r="B435" s="1" t="n">
        <v>44389</v>
      </c>
      <c r="C435" s="1" t="n">
        <v>46205</v>
      </c>
      <c r="D435" t="inlineStr">
        <is>
          <t>ÖREBRO LÄN</t>
        </is>
      </c>
      <c r="E435" t="inlineStr">
        <is>
          <t>LINDESBERG</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10823-2023</t>
        </is>
      </c>
      <c r="B436" s="1" t="n">
        <v>44990</v>
      </c>
      <c r="C436" s="1" t="n">
        <v>46205</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61758-2025</t>
        </is>
      </c>
      <c r="B437" s="1" t="n">
        <v>46002</v>
      </c>
      <c r="C437" s="1" t="n">
        <v>46205</v>
      </c>
      <c r="D437" t="inlineStr">
        <is>
          <t>ÖREBRO LÄN</t>
        </is>
      </c>
      <c r="E437" t="inlineStr">
        <is>
          <t>LINDESBERG</t>
        </is>
      </c>
      <c r="G437" t="n">
        <v>1.8</v>
      </c>
      <c r="H437" t="n">
        <v>0</v>
      </c>
      <c r="I437" t="n">
        <v>0</v>
      </c>
      <c r="J437" t="n">
        <v>0</v>
      </c>
      <c r="K437" t="n">
        <v>0</v>
      </c>
      <c r="L437" t="n">
        <v>0</v>
      </c>
      <c r="M437" t="n">
        <v>0</v>
      </c>
      <c r="N437" t="n">
        <v>0</v>
      </c>
      <c r="O437" t="n">
        <v>0</v>
      </c>
      <c r="P437" t="n">
        <v>0</v>
      </c>
      <c r="Q437" t="n">
        <v>0</v>
      </c>
      <c r="R437" s="2" t="inlineStr"/>
    </row>
    <row r="438" ht="15" customHeight="1">
      <c r="A438" t="inlineStr">
        <is>
          <t>A 58603-2023</t>
        </is>
      </c>
      <c r="B438" s="1" t="n">
        <v>45251</v>
      </c>
      <c r="C438" s="1" t="n">
        <v>46205</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13417-2025</t>
        </is>
      </c>
      <c r="B439" s="1" t="n">
        <v>45736</v>
      </c>
      <c r="C439" s="1" t="n">
        <v>46205</v>
      </c>
      <c r="D439" t="inlineStr">
        <is>
          <t>ÖREBRO LÄN</t>
        </is>
      </c>
      <c r="E439" t="inlineStr">
        <is>
          <t>LINDESBERG</t>
        </is>
      </c>
      <c r="G439" t="n">
        <v>2.2</v>
      </c>
      <c r="H439" t="n">
        <v>0</v>
      </c>
      <c r="I439" t="n">
        <v>0</v>
      </c>
      <c r="J439" t="n">
        <v>0</v>
      </c>
      <c r="K439" t="n">
        <v>0</v>
      </c>
      <c r="L439" t="n">
        <v>0</v>
      </c>
      <c r="M439" t="n">
        <v>0</v>
      </c>
      <c r="N439" t="n">
        <v>0</v>
      </c>
      <c r="O439" t="n">
        <v>0</v>
      </c>
      <c r="P439" t="n">
        <v>0</v>
      </c>
      <c r="Q439" t="n">
        <v>0</v>
      </c>
      <c r="R439" s="2" t="inlineStr"/>
    </row>
    <row r="440" ht="15" customHeight="1">
      <c r="A440" t="inlineStr">
        <is>
          <t>A 58050-2025</t>
        </is>
      </c>
      <c r="B440" s="1" t="n">
        <v>45982</v>
      </c>
      <c r="C440" s="1" t="n">
        <v>46205</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43066-2021</t>
        </is>
      </c>
      <c r="B441" s="1" t="n">
        <v>44431</v>
      </c>
      <c r="C441" s="1" t="n">
        <v>46205</v>
      </c>
      <c r="D441" t="inlineStr">
        <is>
          <t>ÖREBRO LÄN</t>
        </is>
      </c>
      <c r="E441" t="inlineStr">
        <is>
          <t>LINDESBERG</t>
        </is>
      </c>
      <c r="G441" t="n">
        <v>0.6</v>
      </c>
      <c r="H441" t="n">
        <v>0</v>
      </c>
      <c r="I441" t="n">
        <v>0</v>
      </c>
      <c r="J441" t="n">
        <v>0</v>
      </c>
      <c r="K441" t="n">
        <v>0</v>
      </c>
      <c r="L441" t="n">
        <v>0</v>
      </c>
      <c r="M441" t="n">
        <v>0</v>
      </c>
      <c r="N441" t="n">
        <v>0</v>
      </c>
      <c r="O441" t="n">
        <v>0</v>
      </c>
      <c r="P441" t="n">
        <v>0</v>
      </c>
      <c r="Q441" t="n">
        <v>0</v>
      </c>
      <c r="R441" s="2" t="inlineStr"/>
    </row>
    <row r="442" ht="15" customHeight="1">
      <c r="A442" t="inlineStr">
        <is>
          <t>A 23607-2023</t>
        </is>
      </c>
      <c r="B442" s="1" t="n">
        <v>45077</v>
      </c>
      <c r="C442" s="1" t="n">
        <v>46205</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58056-2025</t>
        </is>
      </c>
      <c r="B443" s="1" t="n">
        <v>45982</v>
      </c>
      <c r="C443" s="1" t="n">
        <v>46205</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23102-2023</t>
        </is>
      </c>
      <c r="B444" s="1" t="n">
        <v>45075</v>
      </c>
      <c r="C444" s="1" t="n">
        <v>46205</v>
      </c>
      <c r="D444" t="inlineStr">
        <is>
          <t>ÖREBRO LÄN</t>
        </is>
      </c>
      <c r="E444" t="inlineStr">
        <is>
          <t>LINDESBERG</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3148-2023</t>
        </is>
      </c>
      <c r="B445" s="1" t="n">
        <v>44946</v>
      </c>
      <c r="C445" s="1" t="n">
        <v>46205</v>
      </c>
      <c r="D445" t="inlineStr">
        <is>
          <t>ÖREBRO LÄN</t>
        </is>
      </c>
      <c r="E445" t="inlineStr">
        <is>
          <t>LINDESBERG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63083-2025</t>
        </is>
      </c>
      <c r="B446" s="1" t="n">
        <v>46009</v>
      </c>
      <c r="C446" s="1" t="n">
        <v>46205</v>
      </c>
      <c r="D446" t="inlineStr">
        <is>
          <t>ÖREBRO LÄN</t>
        </is>
      </c>
      <c r="E446" t="inlineStr">
        <is>
          <t>LINDESBERG</t>
        </is>
      </c>
      <c r="G446" t="n">
        <v>0.7</v>
      </c>
      <c r="H446" t="n">
        <v>0</v>
      </c>
      <c r="I446" t="n">
        <v>0</v>
      </c>
      <c r="J446" t="n">
        <v>0</v>
      </c>
      <c r="K446" t="n">
        <v>0</v>
      </c>
      <c r="L446" t="n">
        <v>0</v>
      </c>
      <c r="M446" t="n">
        <v>0</v>
      </c>
      <c r="N446" t="n">
        <v>0</v>
      </c>
      <c r="O446" t="n">
        <v>0</v>
      </c>
      <c r="P446" t="n">
        <v>0</v>
      </c>
      <c r="Q446" t="n">
        <v>0</v>
      </c>
      <c r="R446" s="2" t="inlineStr"/>
    </row>
    <row r="447" ht="15" customHeight="1">
      <c r="A447" t="inlineStr">
        <is>
          <t>A 63526-2025</t>
        </is>
      </c>
      <c r="B447" s="1" t="n">
        <v>46013</v>
      </c>
      <c r="C447" s="1" t="n">
        <v>46205</v>
      </c>
      <c r="D447" t="inlineStr">
        <is>
          <t>ÖREBRO LÄN</t>
        </is>
      </c>
      <c r="E447" t="inlineStr">
        <is>
          <t>LINDESBERG</t>
        </is>
      </c>
      <c r="G447" t="n">
        <v>1.7</v>
      </c>
      <c r="H447" t="n">
        <v>0</v>
      </c>
      <c r="I447" t="n">
        <v>0</v>
      </c>
      <c r="J447" t="n">
        <v>0</v>
      </c>
      <c r="K447" t="n">
        <v>0</v>
      </c>
      <c r="L447" t="n">
        <v>0</v>
      </c>
      <c r="M447" t="n">
        <v>0</v>
      </c>
      <c r="N447" t="n">
        <v>0</v>
      </c>
      <c r="O447" t="n">
        <v>0</v>
      </c>
      <c r="P447" t="n">
        <v>0</v>
      </c>
      <c r="Q447" t="n">
        <v>0</v>
      </c>
      <c r="R447" s="2" t="inlineStr"/>
    </row>
    <row r="448" ht="15" customHeight="1">
      <c r="A448" t="inlineStr">
        <is>
          <t>A 50225-2021</t>
        </is>
      </c>
      <c r="B448" s="1" t="n">
        <v>44457</v>
      </c>
      <c r="C448" s="1" t="n">
        <v>46205</v>
      </c>
      <c r="D448" t="inlineStr">
        <is>
          <t>ÖREBRO LÄN</t>
        </is>
      </c>
      <c r="E448" t="inlineStr">
        <is>
          <t>LINDESBERG</t>
        </is>
      </c>
      <c r="G448" t="n">
        <v>2.5</v>
      </c>
      <c r="H448" t="n">
        <v>0</v>
      </c>
      <c r="I448" t="n">
        <v>0</v>
      </c>
      <c r="J448" t="n">
        <v>0</v>
      </c>
      <c r="K448" t="n">
        <v>0</v>
      </c>
      <c r="L448" t="n">
        <v>0</v>
      </c>
      <c r="M448" t="n">
        <v>0</v>
      </c>
      <c r="N448" t="n">
        <v>0</v>
      </c>
      <c r="O448" t="n">
        <v>0</v>
      </c>
      <c r="P448" t="n">
        <v>0</v>
      </c>
      <c r="Q448" t="n">
        <v>0</v>
      </c>
      <c r="R448" s="2" t="inlineStr"/>
    </row>
    <row r="449" ht="15" customHeight="1">
      <c r="A449" t="inlineStr">
        <is>
          <t>A 61202-2023</t>
        </is>
      </c>
      <c r="B449" s="1" t="n">
        <v>45264</v>
      </c>
      <c r="C449" s="1" t="n">
        <v>46205</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14187-2024</t>
        </is>
      </c>
      <c r="B450" s="1" t="n">
        <v>45393</v>
      </c>
      <c r="C450" s="1" t="n">
        <v>46205</v>
      </c>
      <c r="D450" t="inlineStr">
        <is>
          <t>ÖREBRO LÄN</t>
        </is>
      </c>
      <c r="E450" t="inlineStr">
        <is>
          <t>LINDESBERG</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39140-2024</t>
        </is>
      </c>
      <c r="B451" s="1" t="n">
        <v>45548</v>
      </c>
      <c r="C451" s="1" t="n">
        <v>46205</v>
      </c>
      <c r="D451" t="inlineStr">
        <is>
          <t>ÖREBRO LÄN</t>
        </is>
      </c>
      <c r="E451" t="inlineStr">
        <is>
          <t>LINDESBERG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265-2023</t>
        </is>
      </c>
      <c r="B452" s="1" t="n">
        <v>44928</v>
      </c>
      <c r="C452" s="1" t="n">
        <v>46205</v>
      </c>
      <c r="D452" t="inlineStr">
        <is>
          <t>ÖREBRO LÄN</t>
        </is>
      </c>
      <c r="E452" t="inlineStr">
        <is>
          <t>LINDESBERG</t>
        </is>
      </c>
      <c r="G452" t="n">
        <v>2.4</v>
      </c>
      <c r="H452" t="n">
        <v>0</v>
      </c>
      <c r="I452" t="n">
        <v>0</v>
      </c>
      <c r="J452" t="n">
        <v>0</v>
      </c>
      <c r="K452" t="n">
        <v>0</v>
      </c>
      <c r="L452" t="n">
        <v>0</v>
      </c>
      <c r="M452" t="n">
        <v>0</v>
      </c>
      <c r="N452" t="n">
        <v>0</v>
      </c>
      <c r="O452" t="n">
        <v>0</v>
      </c>
      <c r="P452" t="n">
        <v>0</v>
      </c>
      <c r="Q452" t="n">
        <v>0</v>
      </c>
      <c r="R452" s="2" t="inlineStr"/>
    </row>
    <row r="453" ht="15" customHeight="1">
      <c r="A453" t="inlineStr">
        <is>
          <t>A 41582-2021</t>
        </is>
      </c>
      <c r="B453" s="1" t="n">
        <v>44425</v>
      </c>
      <c r="C453" s="1" t="n">
        <v>46205</v>
      </c>
      <c r="D453" t="inlineStr">
        <is>
          <t>ÖREBRO LÄN</t>
        </is>
      </c>
      <c r="E453" t="inlineStr">
        <is>
          <t>LINDESBERG</t>
        </is>
      </c>
      <c r="F453" t="inlineStr">
        <is>
          <t>Sveaskog</t>
        </is>
      </c>
      <c r="G453" t="n">
        <v>5.2</v>
      </c>
      <c r="H453" t="n">
        <v>0</v>
      </c>
      <c r="I453" t="n">
        <v>0</v>
      </c>
      <c r="J453" t="n">
        <v>0</v>
      </c>
      <c r="K453" t="n">
        <v>0</v>
      </c>
      <c r="L453" t="n">
        <v>0</v>
      </c>
      <c r="M453" t="n">
        <v>0</v>
      </c>
      <c r="N453" t="n">
        <v>0</v>
      </c>
      <c r="O453" t="n">
        <v>0</v>
      </c>
      <c r="P453" t="n">
        <v>0</v>
      </c>
      <c r="Q453" t="n">
        <v>0</v>
      </c>
      <c r="R453" s="2" t="inlineStr"/>
    </row>
    <row r="454" ht="15" customHeight="1">
      <c r="A454" t="inlineStr">
        <is>
          <t>A 6-2023</t>
        </is>
      </c>
      <c r="B454" s="1" t="n">
        <v>44927</v>
      </c>
      <c r="C454" s="1" t="n">
        <v>46205</v>
      </c>
      <c r="D454" t="inlineStr">
        <is>
          <t>ÖREBRO LÄN</t>
        </is>
      </c>
      <c r="E454" t="inlineStr">
        <is>
          <t>LINDESBERG</t>
        </is>
      </c>
      <c r="G454" t="n">
        <v>2.8</v>
      </c>
      <c r="H454" t="n">
        <v>0</v>
      </c>
      <c r="I454" t="n">
        <v>0</v>
      </c>
      <c r="J454" t="n">
        <v>0</v>
      </c>
      <c r="K454" t="n">
        <v>0</v>
      </c>
      <c r="L454" t="n">
        <v>0</v>
      </c>
      <c r="M454" t="n">
        <v>0</v>
      </c>
      <c r="N454" t="n">
        <v>0</v>
      </c>
      <c r="O454" t="n">
        <v>0</v>
      </c>
      <c r="P454" t="n">
        <v>0</v>
      </c>
      <c r="Q454" t="n">
        <v>0</v>
      </c>
      <c r="R454" s="2" t="inlineStr"/>
    </row>
    <row r="455" ht="15" customHeight="1">
      <c r="A455" t="inlineStr">
        <is>
          <t>A 54864-2024</t>
        </is>
      </c>
      <c r="B455" s="1" t="n">
        <v>45618</v>
      </c>
      <c r="C455" s="1" t="n">
        <v>46205</v>
      </c>
      <c r="D455" t="inlineStr">
        <is>
          <t>ÖREBRO LÄN</t>
        </is>
      </c>
      <c r="E455" t="inlineStr">
        <is>
          <t>LINDESBERG</t>
        </is>
      </c>
      <c r="F455" t="inlineStr">
        <is>
          <t>Sveaskog</t>
        </is>
      </c>
      <c r="G455" t="n">
        <v>4.4</v>
      </c>
      <c r="H455" t="n">
        <v>0</v>
      </c>
      <c r="I455" t="n">
        <v>0</v>
      </c>
      <c r="J455" t="n">
        <v>0</v>
      </c>
      <c r="K455" t="n">
        <v>0</v>
      </c>
      <c r="L455" t="n">
        <v>0</v>
      </c>
      <c r="M455" t="n">
        <v>0</v>
      </c>
      <c r="N455" t="n">
        <v>0</v>
      </c>
      <c r="O455" t="n">
        <v>0</v>
      </c>
      <c r="P455" t="n">
        <v>0</v>
      </c>
      <c r="Q455" t="n">
        <v>0</v>
      </c>
      <c r="R455" s="2" t="inlineStr"/>
    </row>
    <row r="456" ht="15" customHeight="1">
      <c r="A456" t="inlineStr">
        <is>
          <t>A 50275-2024</t>
        </is>
      </c>
      <c r="B456" s="1" t="n">
        <v>45600</v>
      </c>
      <c r="C456" s="1" t="n">
        <v>46205</v>
      </c>
      <c r="D456" t="inlineStr">
        <is>
          <t>ÖREBRO LÄN</t>
        </is>
      </c>
      <c r="E456" t="inlineStr">
        <is>
          <t>LINDESBERG</t>
        </is>
      </c>
      <c r="G456" t="n">
        <v>4.3</v>
      </c>
      <c r="H456" t="n">
        <v>0</v>
      </c>
      <c r="I456" t="n">
        <v>0</v>
      </c>
      <c r="J456" t="n">
        <v>0</v>
      </c>
      <c r="K456" t="n">
        <v>0</v>
      </c>
      <c r="L456" t="n">
        <v>0</v>
      </c>
      <c r="M456" t="n">
        <v>0</v>
      </c>
      <c r="N456" t="n">
        <v>0</v>
      </c>
      <c r="O456" t="n">
        <v>0</v>
      </c>
      <c r="P456" t="n">
        <v>0</v>
      </c>
      <c r="Q456" t="n">
        <v>0</v>
      </c>
      <c r="R456" s="2" t="inlineStr"/>
    </row>
    <row r="457" ht="15" customHeight="1">
      <c r="A457" t="inlineStr">
        <is>
          <t>A 3294-2024</t>
        </is>
      </c>
      <c r="B457" s="1" t="n">
        <v>45316</v>
      </c>
      <c r="C457" s="1" t="n">
        <v>46205</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41947-2023</t>
        </is>
      </c>
      <c r="B458" s="1" t="n">
        <v>45177</v>
      </c>
      <c r="C458" s="1" t="n">
        <v>46205</v>
      </c>
      <c r="D458" t="inlineStr">
        <is>
          <t>ÖREBRO LÄN</t>
        </is>
      </c>
      <c r="E458" t="inlineStr">
        <is>
          <t>LINDESBERG</t>
        </is>
      </c>
      <c r="F458" t="inlineStr">
        <is>
          <t>Kyrkan</t>
        </is>
      </c>
      <c r="G458" t="n">
        <v>0.7</v>
      </c>
      <c r="H458" t="n">
        <v>0</v>
      </c>
      <c r="I458" t="n">
        <v>0</v>
      </c>
      <c r="J458" t="n">
        <v>0</v>
      </c>
      <c r="K458" t="n">
        <v>0</v>
      </c>
      <c r="L458" t="n">
        <v>0</v>
      </c>
      <c r="M458" t="n">
        <v>0</v>
      </c>
      <c r="N458" t="n">
        <v>0</v>
      </c>
      <c r="O458" t="n">
        <v>0</v>
      </c>
      <c r="P458" t="n">
        <v>0</v>
      </c>
      <c r="Q458" t="n">
        <v>0</v>
      </c>
      <c r="R458" s="2" t="inlineStr"/>
    </row>
    <row r="459" ht="15" customHeight="1">
      <c r="A459" t="inlineStr">
        <is>
          <t>A 16447-2025</t>
        </is>
      </c>
      <c r="B459" s="1" t="n">
        <v>45751</v>
      </c>
      <c r="C459" s="1" t="n">
        <v>46205</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29975-2023</t>
        </is>
      </c>
      <c r="B460" s="1" t="n">
        <v>45108</v>
      </c>
      <c r="C460" s="1" t="n">
        <v>46205</v>
      </c>
      <c r="D460" t="inlineStr">
        <is>
          <t>ÖREBRO LÄN</t>
        </is>
      </c>
      <c r="E460" t="inlineStr">
        <is>
          <t>LINDESBERG</t>
        </is>
      </c>
      <c r="G460" t="n">
        <v>6.4</v>
      </c>
      <c r="H460" t="n">
        <v>0</v>
      </c>
      <c r="I460" t="n">
        <v>0</v>
      </c>
      <c r="J460" t="n">
        <v>0</v>
      </c>
      <c r="K460" t="n">
        <v>0</v>
      </c>
      <c r="L460" t="n">
        <v>0</v>
      </c>
      <c r="M460" t="n">
        <v>0</v>
      </c>
      <c r="N460" t="n">
        <v>0</v>
      </c>
      <c r="O460" t="n">
        <v>0</v>
      </c>
      <c r="P460" t="n">
        <v>0</v>
      </c>
      <c r="Q460" t="n">
        <v>0</v>
      </c>
      <c r="R460" s="2" t="inlineStr"/>
    </row>
    <row r="461" ht="15" customHeight="1">
      <c r="A461" t="inlineStr">
        <is>
          <t>A 16448-2025</t>
        </is>
      </c>
      <c r="B461" s="1" t="n">
        <v>45751</v>
      </c>
      <c r="C461" s="1" t="n">
        <v>46205</v>
      </c>
      <c r="D461" t="inlineStr">
        <is>
          <t>ÖREBRO LÄN</t>
        </is>
      </c>
      <c r="E461" t="inlineStr">
        <is>
          <t>LINDESBERG</t>
        </is>
      </c>
      <c r="G461" t="n">
        <v>20.1</v>
      </c>
      <c r="H461" t="n">
        <v>0</v>
      </c>
      <c r="I461" t="n">
        <v>0</v>
      </c>
      <c r="J461" t="n">
        <v>0</v>
      </c>
      <c r="K461" t="n">
        <v>0</v>
      </c>
      <c r="L461" t="n">
        <v>0</v>
      </c>
      <c r="M461" t="n">
        <v>0</v>
      </c>
      <c r="N461" t="n">
        <v>0</v>
      </c>
      <c r="O461" t="n">
        <v>0</v>
      </c>
      <c r="P461" t="n">
        <v>0</v>
      </c>
      <c r="Q461" t="n">
        <v>0</v>
      </c>
      <c r="R461" s="2" t="inlineStr"/>
    </row>
    <row r="462" ht="15" customHeight="1">
      <c r="A462" t="inlineStr">
        <is>
          <t>A 7126-2025</t>
        </is>
      </c>
      <c r="B462" s="1" t="n">
        <v>45702</v>
      </c>
      <c r="C462" s="1" t="n">
        <v>46205</v>
      </c>
      <c r="D462" t="inlineStr">
        <is>
          <t>ÖREBRO LÄN</t>
        </is>
      </c>
      <c r="E462" t="inlineStr">
        <is>
          <t>LINDESBERG</t>
        </is>
      </c>
      <c r="G462" t="n">
        <v>1.3</v>
      </c>
      <c r="H462" t="n">
        <v>0</v>
      </c>
      <c r="I462" t="n">
        <v>0</v>
      </c>
      <c r="J462" t="n">
        <v>0</v>
      </c>
      <c r="K462" t="n">
        <v>0</v>
      </c>
      <c r="L462" t="n">
        <v>0</v>
      </c>
      <c r="M462" t="n">
        <v>0</v>
      </c>
      <c r="N462" t="n">
        <v>0</v>
      </c>
      <c r="O462" t="n">
        <v>0</v>
      </c>
      <c r="P462" t="n">
        <v>0</v>
      </c>
      <c r="Q462" t="n">
        <v>0</v>
      </c>
      <c r="R462" s="2" t="inlineStr"/>
    </row>
    <row r="463" ht="15" customHeight="1">
      <c r="A463" t="inlineStr">
        <is>
          <t>A 20387-2026</t>
        </is>
      </c>
      <c r="B463" s="1" t="n">
        <v>46139</v>
      </c>
      <c r="C463" s="1" t="n">
        <v>46205</v>
      </c>
      <c r="D463" t="inlineStr">
        <is>
          <t>ÖREBRO LÄN</t>
        </is>
      </c>
      <c r="E463" t="inlineStr">
        <is>
          <t>LINDESBERG</t>
        </is>
      </c>
      <c r="G463" t="n">
        <v>1.2</v>
      </c>
      <c r="H463" t="n">
        <v>0</v>
      </c>
      <c r="I463" t="n">
        <v>0</v>
      </c>
      <c r="J463" t="n">
        <v>0</v>
      </c>
      <c r="K463" t="n">
        <v>0</v>
      </c>
      <c r="L463" t="n">
        <v>0</v>
      </c>
      <c r="M463" t="n">
        <v>0</v>
      </c>
      <c r="N463" t="n">
        <v>0</v>
      </c>
      <c r="O463" t="n">
        <v>0</v>
      </c>
      <c r="P463" t="n">
        <v>0</v>
      </c>
      <c r="Q463" t="n">
        <v>0</v>
      </c>
      <c r="R463" s="2" t="inlineStr"/>
    </row>
    <row r="464" ht="15" customHeight="1">
      <c r="A464" t="inlineStr">
        <is>
          <t>A 40085-2023</t>
        </is>
      </c>
      <c r="B464" s="1" t="n">
        <v>45168</v>
      </c>
      <c r="C464" s="1" t="n">
        <v>46205</v>
      </c>
      <c r="D464" t="inlineStr">
        <is>
          <t>ÖREBRO LÄN</t>
        </is>
      </c>
      <c r="E464" t="inlineStr">
        <is>
          <t>LINDESBERG</t>
        </is>
      </c>
      <c r="G464" t="n">
        <v>6.1</v>
      </c>
      <c r="H464" t="n">
        <v>0</v>
      </c>
      <c r="I464" t="n">
        <v>0</v>
      </c>
      <c r="J464" t="n">
        <v>0</v>
      </c>
      <c r="K464" t="n">
        <v>0</v>
      </c>
      <c r="L464" t="n">
        <v>0</v>
      </c>
      <c r="M464" t="n">
        <v>0</v>
      </c>
      <c r="N464" t="n">
        <v>0</v>
      </c>
      <c r="O464" t="n">
        <v>0</v>
      </c>
      <c r="P464" t="n">
        <v>0</v>
      </c>
      <c r="Q464" t="n">
        <v>0</v>
      </c>
      <c r="R464" s="2" t="inlineStr"/>
    </row>
    <row r="465" ht="15" customHeight="1">
      <c r="A465" t="inlineStr">
        <is>
          <t>A 28470-2023</t>
        </is>
      </c>
      <c r="B465" s="1" t="n">
        <v>45103</v>
      </c>
      <c r="C465" s="1" t="n">
        <v>46205</v>
      </c>
      <c r="D465" t="inlineStr">
        <is>
          <t>ÖREBRO LÄN</t>
        </is>
      </c>
      <c r="E465" t="inlineStr">
        <is>
          <t>LINDESBERG</t>
        </is>
      </c>
      <c r="G465" t="n">
        <v>6.7</v>
      </c>
      <c r="H465" t="n">
        <v>0</v>
      </c>
      <c r="I465" t="n">
        <v>0</v>
      </c>
      <c r="J465" t="n">
        <v>0</v>
      </c>
      <c r="K465" t="n">
        <v>0</v>
      </c>
      <c r="L465" t="n">
        <v>0</v>
      </c>
      <c r="M465" t="n">
        <v>0</v>
      </c>
      <c r="N465" t="n">
        <v>0</v>
      </c>
      <c r="O465" t="n">
        <v>0</v>
      </c>
      <c r="P465" t="n">
        <v>0</v>
      </c>
      <c r="Q465" t="n">
        <v>0</v>
      </c>
      <c r="R465" s="2" t="inlineStr"/>
    </row>
    <row r="466" ht="15" customHeight="1">
      <c r="A466" t="inlineStr">
        <is>
          <t>A 32002-2023</t>
        </is>
      </c>
      <c r="B466" s="1" t="n">
        <v>45119</v>
      </c>
      <c r="C466" s="1" t="n">
        <v>46205</v>
      </c>
      <c r="D466" t="inlineStr">
        <is>
          <t>ÖREBRO LÄN</t>
        </is>
      </c>
      <c r="E466" t="inlineStr">
        <is>
          <t>LINDESBERG</t>
        </is>
      </c>
      <c r="F466" t="inlineStr">
        <is>
          <t>Kyrkan</t>
        </is>
      </c>
      <c r="G466" t="n">
        <v>0.6</v>
      </c>
      <c r="H466" t="n">
        <v>0</v>
      </c>
      <c r="I466" t="n">
        <v>0</v>
      </c>
      <c r="J466" t="n">
        <v>0</v>
      </c>
      <c r="K466" t="n">
        <v>0</v>
      </c>
      <c r="L466" t="n">
        <v>0</v>
      </c>
      <c r="M466" t="n">
        <v>0</v>
      </c>
      <c r="N466" t="n">
        <v>0</v>
      </c>
      <c r="O466" t="n">
        <v>0</v>
      </c>
      <c r="P466" t="n">
        <v>0</v>
      </c>
      <c r="Q466" t="n">
        <v>0</v>
      </c>
      <c r="R466" s="2" t="inlineStr"/>
    </row>
    <row r="467" ht="15" customHeight="1">
      <c r="A467" t="inlineStr">
        <is>
          <t>A 29849-2023</t>
        </is>
      </c>
      <c r="B467" s="1" t="n">
        <v>45107</v>
      </c>
      <c r="C467" s="1" t="n">
        <v>46205</v>
      </c>
      <c r="D467" t="inlineStr">
        <is>
          <t>ÖREBRO LÄN</t>
        </is>
      </c>
      <c r="E467" t="inlineStr">
        <is>
          <t>LINDESBERG</t>
        </is>
      </c>
      <c r="G467" t="n">
        <v>2.1</v>
      </c>
      <c r="H467" t="n">
        <v>0</v>
      </c>
      <c r="I467" t="n">
        <v>0</v>
      </c>
      <c r="J467" t="n">
        <v>0</v>
      </c>
      <c r="K467" t="n">
        <v>0</v>
      </c>
      <c r="L467" t="n">
        <v>0</v>
      </c>
      <c r="M467" t="n">
        <v>0</v>
      </c>
      <c r="N467" t="n">
        <v>0</v>
      </c>
      <c r="O467" t="n">
        <v>0</v>
      </c>
      <c r="P467" t="n">
        <v>0</v>
      </c>
      <c r="Q467" t="n">
        <v>0</v>
      </c>
      <c r="R467" s="2" t="inlineStr"/>
    </row>
    <row r="468" ht="15" customHeight="1">
      <c r="A468" t="inlineStr">
        <is>
          <t>A 14034-2026</t>
        </is>
      </c>
      <c r="B468" s="1" t="n">
        <v>46098</v>
      </c>
      <c r="C468" s="1" t="n">
        <v>46205</v>
      </c>
      <c r="D468" t="inlineStr">
        <is>
          <t>ÖREBRO LÄN</t>
        </is>
      </c>
      <c r="E468" t="inlineStr">
        <is>
          <t>LINDESBERG</t>
        </is>
      </c>
      <c r="F468" t="inlineStr">
        <is>
          <t>Sveaskog</t>
        </is>
      </c>
      <c r="G468" t="n">
        <v>2.9</v>
      </c>
      <c r="H468" t="n">
        <v>0</v>
      </c>
      <c r="I468" t="n">
        <v>0</v>
      </c>
      <c r="J468" t="n">
        <v>0</v>
      </c>
      <c r="K468" t="n">
        <v>0</v>
      </c>
      <c r="L468" t="n">
        <v>0</v>
      </c>
      <c r="M468" t="n">
        <v>0</v>
      </c>
      <c r="N468" t="n">
        <v>0</v>
      </c>
      <c r="O468" t="n">
        <v>0</v>
      </c>
      <c r="P468" t="n">
        <v>0</v>
      </c>
      <c r="Q468" t="n">
        <v>0</v>
      </c>
      <c r="R468" s="2" t="inlineStr"/>
    </row>
    <row r="469" ht="15" customHeight="1">
      <c r="A469" t="inlineStr">
        <is>
          <t>A 5784-2025</t>
        </is>
      </c>
      <c r="B469" s="1" t="n">
        <v>45694</v>
      </c>
      <c r="C469" s="1" t="n">
        <v>46205</v>
      </c>
      <c r="D469" t="inlineStr">
        <is>
          <t>ÖREBRO LÄN</t>
        </is>
      </c>
      <c r="E469" t="inlineStr">
        <is>
          <t>LINDESBERG</t>
        </is>
      </c>
      <c r="F469" t="inlineStr">
        <is>
          <t>Allmännings- och besparingsskogar</t>
        </is>
      </c>
      <c r="G469" t="n">
        <v>1.6</v>
      </c>
      <c r="H469" t="n">
        <v>0</v>
      </c>
      <c r="I469" t="n">
        <v>0</v>
      </c>
      <c r="J469" t="n">
        <v>0</v>
      </c>
      <c r="K469" t="n">
        <v>0</v>
      </c>
      <c r="L469" t="n">
        <v>0</v>
      </c>
      <c r="M469" t="n">
        <v>0</v>
      </c>
      <c r="N469" t="n">
        <v>0</v>
      </c>
      <c r="O469" t="n">
        <v>0</v>
      </c>
      <c r="P469" t="n">
        <v>0</v>
      </c>
      <c r="Q469" t="n">
        <v>0</v>
      </c>
      <c r="R469" s="2" t="inlineStr"/>
    </row>
    <row r="470" ht="15" customHeight="1">
      <c r="A470" t="inlineStr">
        <is>
          <t>A 14680-2026</t>
        </is>
      </c>
      <c r="B470" s="1" t="n">
        <v>46101</v>
      </c>
      <c r="C470" s="1" t="n">
        <v>46205</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69208-2021</t>
        </is>
      </c>
      <c r="B471" s="1" t="n">
        <v>44531</v>
      </c>
      <c r="C471" s="1" t="n">
        <v>46205</v>
      </c>
      <c r="D471" t="inlineStr">
        <is>
          <t>ÖREBRO LÄN</t>
        </is>
      </c>
      <c r="E471" t="inlineStr">
        <is>
          <t>LINDESBERG</t>
        </is>
      </c>
      <c r="G471" t="n">
        <v>2</v>
      </c>
      <c r="H471" t="n">
        <v>0</v>
      </c>
      <c r="I471" t="n">
        <v>0</v>
      </c>
      <c r="J471" t="n">
        <v>0</v>
      </c>
      <c r="K471" t="n">
        <v>0</v>
      </c>
      <c r="L471" t="n">
        <v>0</v>
      </c>
      <c r="M471" t="n">
        <v>0</v>
      </c>
      <c r="N471" t="n">
        <v>0</v>
      </c>
      <c r="O471" t="n">
        <v>0</v>
      </c>
      <c r="P471" t="n">
        <v>0</v>
      </c>
      <c r="Q471" t="n">
        <v>0</v>
      </c>
      <c r="R471" s="2" t="inlineStr"/>
    </row>
    <row r="472" ht="15" customHeight="1">
      <c r="A472" t="inlineStr">
        <is>
          <t>A 45038-2024</t>
        </is>
      </c>
      <c r="B472" s="1" t="n">
        <v>45575</v>
      </c>
      <c r="C472" s="1" t="n">
        <v>46205</v>
      </c>
      <c r="D472" t="inlineStr">
        <is>
          <t>ÖREBRO LÄN</t>
        </is>
      </c>
      <c r="E472" t="inlineStr">
        <is>
          <t>LINDESBERG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38552-2023</t>
        </is>
      </c>
      <c r="B473" s="1" t="n">
        <v>45162</v>
      </c>
      <c r="C473" s="1" t="n">
        <v>46205</v>
      </c>
      <c r="D473" t="inlineStr">
        <is>
          <t>ÖREBRO LÄN</t>
        </is>
      </c>
      <c r="E473" t="inlineStr">
        <is>
          <t>LINDESBERG</t>
        </is>
      </c>
      <c r="G473" t="n">
        <v>10.4</v>
      </c>
      <c r="H473" t="n">
        <v>0</v>
      </c>
      <c r="I473" t="n">
        <v>0</v>
      </c>
      <c r="J473" t="n">
        <v>0</v>
      </c>
      <c r="K473" t="n">
        <v>0</v>
      </c>
      <c r="L473" t="n">
        <v>0</v>
      </c>
      <c r="M473" t="n">
        <v>0</v>
      </c>
      <c r="N473" t="n">
        <v>0</v>
      </c>
      <c r="O473" t="n">
        <v>0</v>
      </c>
      <c r="P473" t="n">
        <v>0</v>
      </c>
      <c r="Q473" t="n">
        <v>0</v>
      </c>
      <c r="R473" s="2" t="inlineStr"/>
    </row>
    <row r="474" ht="15" customHeight="1">
      <c r="A474" t="inlineStr">
        <is>
          <t>A 64084-2023</t>
        </is>
      </c>
      <c r="B474" s="1" t="n">
        <v>45279</v>
      </c>
      <c r="C474" s="1" t="n">
        <v>46205</v>
      </c>
      <c r="D474" t="inlineStr">
        <is>
          <t>ÖREBRO LÄN</t>
        </is>
      </c>
      <c r="E474" t="inlineStr">
        <is>
          <t>LINDESBERG</t>
        </is>
      </c>
      <c r="G474" t="n">
        <v>2.1</v>
      </c>
      <c r="H474" t="n">
        <v>0</v>
      </c>
      <c r="I474" t="n">
        <v>0</v>
      </c>
      <c r="J474" t="n">
        <v>0</v>
      </c>
      <c r="K474" t="n">
        <v>0</v>
      </c>
      <c r="L474" t="n">
        <v>0</v>
      </c>
      <c r="M474" t="n">
        <v>0</v>
      </c>
      <c r="N474" t="n">
        <v>0</v>
      </c>
      <c r="O474" t="n">
        <v>0</v>
      </c>
      <c r="P474" t="n">
        <v>0</v>
      </c>
      <c r="Q474" t="n">
        <v>0</v>
      </c>
      <c r="R474" s="2" t="inlineStr"/>
    </row>
    <row r="475" ht="15" customHeight="1">
      <c r="A475" t="inlineStr">
        <is>
          <t>A 33424-2024</t>
        </is>
      </c>
      <c r="B475" s="1" t="n">
        <v>45519</v>
      </c>
      <c r="C475" s="1" t="n">
        <v>46205</v>
      </c>
      <c r="D475" t="inlineStr">
        <is>
          <t>ÖREBRO LÄN</t>
        </is>
      </c>
      <c r="E475" t="inlineStr">
        <is>
          <t>LINDESBERG</t>
        </is>
      </c>
      <c r="F475" t="inlineStr">
        <is>
          <t>Sveaskog</t>
        </is>
      </c>
      <c r="G475" t="n">
        <v>0.1</v>
      </c>
      <c r="H475" t="n">
        <v>0</v>
      </c>
      <c r="I475" t="n">
        <v>0</v>
      </c>
      <c r="J475" t="n">
        <v>0</v>
      </c>
      <c r="K475" t="n">
        <v>0</v>
      </c>
      <c r="L475" t="n">
        <v>0</v>
      </c>
      <c r="M475" t="n">
        <v>0</v>
      </c>
      <c r="N475" t="n">
        <v>0</v>
      </c>
      <c r="O475" t="n">
        <v>0</v>
      </c>
      <c r="P475" t="n">
        <v>0</v>
      </c>
      <c r="Q475" t="n">
        <v>0</v>
      </c>
      <c r="R475" s="2" t="inlineStr"/>
    </row>
    <row r="476" ht="15" customHeight="1">
      <c r="A476" t="inlineStr">
        <is>
          <t>A 33427-2024</t>
        </is>
      </c>
      <c r="B476" s="1" t="n">
        <v>45519</v>
      </c>
      <c r="C476" s="1" t="n">
        <v>46205</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36509-2024</t>
        </is>
      </c>
      <c r="B477" s="1" t="n">
        <v>45537</v>
      </c>
      <c r="C477" s="1" t="n">
        <v>46205</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29894-2023</t>
        </is>
      </c>
      <c r="B478" s="1" t="n">
        <v>45107</v>
      </c>
      <c r="C478" s="1" t="n">
        <v>46205</v>
      </c>
      <c r="D478" t="inlineStr">
        <is>
          <t>ÖREBRO LÄN</t>
        </is>
      </c>
      <c r="E478" t="inlineStr">
        <is>
          <t>LINDESBERG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16090-2026</t>
        </is>
      </c>
      <c r="B479" s="1" t="n">
        <v>46108</v>
      </c>
      <c r="C479" s="1" t="n">
        <v>46205</v>
      </c>
      <c r="D479" t="inlineStr">
        <is>
          <t>ÖREBRO LÄN</t>
        </is>
      </c>
      <c r="E479" t="inlineStr">
        <is>
          <t>LINDESBERG</t>
        </is>
      </c>
      <c r="G479" t="n">
        <v>4</v>
      </c>
      <c r="H479" t="n">
        <v>0</v>
      </c>
      <c r="I479" t="n">
        <v>0</v>
      </c>
      <c r="J479" t="n">
        <v>0</v>
      </c>
      <c r="K479" t="n">
        <v>0</v>
      </c>
      <c r="L479" t="n">
        <v>0</v>
      </c>
      <c r="M479" t="n">
        <v>0</v>
      </c>
      <c r="N479" t="n">
        <v>0</v>
      </c>
      <c r="O479" t="n">
        <v>0</v>
      </c>
      <c r="P479" t="n">
        <v>0</v>
      </c>
      <c r="Q479" t="n">
        <v>0</v>
      </c>
      <c r="R479" s="2" t="inlineStr"/>
    </row>
    <row r="480" ht="15" customHeight="1">
      <c r="A480" t="inlineStr">
        <is>
          <t>A 16094-2026</t>
        </is>
      </c>
      <c r="B480" s="1" t="n">
        <v>46108</v>
      </c>
      <c r="C480" s="1" t="n">
        <v>46205</v>
      </c>
      <c r="D480" t="inlineStr">
        <is>
          <t>ÖREBRO LÄN</t>
        </is>
      </c>
      <c r="E480" t="inlineStr">
        <is>
          <t>LINDESBERG</t>
        </is>
      </c>
      <c r="G480" t="n">
        <v>3.9</v>
      </c>
      <c r="H480" t="n">
        <v>0</v>
      </c>
      <c r="I480" t="n">
        <v>0</v>
      </c>
      <c r="J480" t="n">
        <v>0</v>
      </c>
      <c r="K480" t="n">
        <v>0</v>
      </c>
      <c r="L480" t="n">
        <v>0</v>
      </c>
      <c r="M480" t="n">
        <v>0</v>
      </c>
      <c r="N480" t="n">
        <v>0</v>
      </c>
      <c r="O480" t="n">
        <v>0</v>
      </c>
      <c r="P480" t="n">
        <v>0</v>
      </c>
      <c r="Q480" t="n">
        <v>0</v>
      </c>
      <c r="R480" s="2" t="inlineStr"/>
    </row>
    <row r="481" ht="15" customHeight="1">
      <c r="A481" t="inlineStr">
        <is>
          <t>A 13472-2023</t>
        </is>
      </c>
      <c r="B481" s="1" t="n">
        <v>45005</v>
      </c>
      <c r="C481" s="1" t="n">
        <v>46205</v>
      </c>
      <c r="D481" t="inlineStr">
        <is>
          <t>ÖREBRO LÄN</t>
        </is>
      </c>
      <c r="E481" t="inlineStr">
        <is>
          <t>LINDESBERG</t>
        </is>
      </c>
      <c r="G481" t="n">
        <v>2.5</v>
      </c>
      <c r="H481" t="n">
        <v>0</v>
      </c>
      <c r="I481" t="n">
        <v>0</v>
      </c>
      <c r="J481" t="n">
        <v>0</v>
      </c>
      <c r="K481" t="n">
        <v>0</v>
      </c>
      <c r="L481" t="n">
        <v>0</v>
      </c>
      <c r="M481" t="n">
        <v>0</v>
      </c>
      <c r="N481" t="n">
        <v>0</v>
      </c>
      <c r="O481" t="n">
        <v>0</v>
      </c>
      <c r="P481" t="n">
        <v>0</v>
      </c>
      <c r="Q481" t="n">
        <v>0</v>
      </c>
      <c r="R481" s="2" t="inlineStr"/>
    </row>
    <row r="482" ht="15" customHeight="1">
      <c r="A482" t="inlineStr">
        <is>
          <t>A 52284-2024</t>
        </is>
      </c>
      <c r="B482" s="1" t="n">
        <v>45608</v>
      </c>
      <c r="C482" s="1" t="n">
        <v>46205</v>
      </c>
      <c r="D482" t="inlineStr">
        <is>
          <t>ÖREBRO LÄN</t>
        </is>
      </c>
      <c r="E482" t="inlineStr">
        <is>
          <t>LINDESBERG</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38613-2024</t>
        </is>
      </c>
      <c r="B483" s="1" t="n">
        <v>45546</v>
      </c>
      <c r="C483" s="1" t="n">
        <v>46205</v>
      </c>
      <c r="D483" t="inlineStr">
        <is>
          <t>ÖREBRO LÄN</t>
        </is>
      </c>
      <c r="E483" t="inlineStr">
        <is>
          <t>LINDESBERG</t>
        </is>
      </c>
      <c r="F483" t="inlineStr">
        <is>
          <t>Kyrkan</t>
        </is>
      </c>
      <c r="G483" t="n">
        <v>1.6</v>
      </c>
      <c r="H483" t="n">
        <v>0</v>
      </c>
      <c r="I483" t="n">
        <v>0</v>
      </c>
      <c r="J483" t="n">
        <v>0</v>
      </c>
      <c r="K483" t="n">
        <v>0</v>
      </c>
      <c r="L483" t="n">
        <v>0</v>
      </c>
      <c r="M483" t="n">
        <v>0</v>
      </c>
      <c r="N483" t="n">
        <v>0</v>
      </c>
      <c r="O483" t="n">
        <v>0</v>
      </c>
      <c r="P483" t="n">
        <v>0</v>
      </c>
      <c r="Q483" t="n">
        <v>0</v>
      </c>
      <c r="R483" s="2" t="inlineStr"/>
    </row>
    <row r="484" ht="15" customHeight="1">
      <c r="A484" t="inlineStr">
        <is>
          <t>A 16092-2026</t>
        </is>
      </c>
      <c r="B484" s="1" t="n">
        <v>46108</v>
      </c>
      <c r="C484" s="1" t="n">
        <v>46205</v>
      </c>
      <c r="D484" t="inlineStr">
        <is>
          <t>ÖREBRO LÄN</t>
        </is>
      </c>
      <c r="E484" t="inlineStr">
        <is>
          <t>LINDESBERG</t>
        </is>
      </c>
      <c r="G484" t="n">
        <v>2.3</v>
      </c>
      <c r="H484" t="n">
        <v>0</v>
      </c>
      <c r="I484" t="n">
        <v>0</v>
      </c>
      <c r="J484" t="n">
        <v>0</v>
      </c>
      <c r="K484" t="n">
        <v>0</v>
      </c>
      <c r="L484" t="n">
        <v>0</v>
      </c>
      <c r="M484" t="n">
        <v>0</v>
      </c>
      <c r="N484" t="n">
        <v>0</v>
      </c>
      <c r="O484" t="n">
        <v>0</v>
      </c>
      <c r="P484" t="n">
        <v>0</v>
      </c>
      <c r="Q484" t="n">
        <v>0</v>
      </c>
      <c r="R484" s="2" t="inlineStr"/>
    </row>
    <row r="485" ht="15" customHeight="1">
      <c r="A485" t="inlineStr">
        <is>
          <t>A 16812-2026</t>
        </is>
      </c>
      <c r="B485" s="1" t="n">
        <v>46113</v>
      </c>
      <c r="C485" s="1" t="n">
        <v>46205</v>
      </c>
      <c r="D485" t="inlineStr">
        <is>
          <t>ÖREBRO LÄN</t>
        </is>
      </c>
      <c r="E485" t="inlineStr">
        <is>
          <t>LINDESBERG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73500-2021</t>
        </is>
      </c>
      <c r="B486" s="1" t="n">
        <v>44551</v>
      </c>
      <c r="C486" s="1" t="n">
        <v>46205</v>
      </c>
      <c r="D486" t="inlineStr">
        <is>
          <t>ÖREBRO LÄN</t>
        </is>
      </c>
      <c r="E486" t="inlineStr">
        <is>
          <t>LINDESBERG</t>
        </is>
      </c>
      <c r="G486" t="n">
        <v>1.1</v>
      </c>
      <c r="H486" t="n">
        <v>0</v>
      </c>
      <c r="I486" t="n">
        <v>0</v>
      </c>
      <c r="J486" t="n">
        <v>0</v>
      </c>
      <c r="K486" t="n">
        <v>0</v>
      </c>
      <c r="L486" t="n">
        <v>0</v>
      </c>
      <c r="M486" t="n">
        <v>0</v>
      </c>
      <c r="N486" t="n">
        <v>0</v>
      </c>
      <c r="O486" t="n">
        <v>0</v>
      </c>
      <c r="P486" t="n">
        <v>0</v>
      </c>
      <c r="Q486" t="n">
        <v>0</v>
      </c>
      <c r="R486" s="2" t="inlineStr"/>
    </row>
    <row r="487" ht="15" customHeight="1">
      <c r="A487" t="inlineStr">
        <is>
          <t>A 56507-2021</t>
        </is>
      </c>
      <c r="B487" s="1" t="n">
        <v>44480</v>
      </c>
      <c r="C487" s="1" t="n">
        <v>46205</v>
      </c>
      <c r="D487" t="inlineStr">
        <is>
          <t>ÖREBRO LÄN</t>
        </is>
      </c>
      <c r="E487" t="inlineStr">
        <is>
          <t>LINDESBERG</t>
        </is>
      </c>
      <c r="G487" t="n">
        <v>2.3</v>
      </c>
      <c r="H487" t="n">
        <v>0</v>
      </c>
      <c r="I487" t="n">
        <v>0</v>
      </c>
      <c r="J487" t="n">
        <v>0</v>
      </c>
      <c r="K487" t="n">
        <v>0</v>
      </c>
      <c r="L487" t="n">
        <v>0</v>
      </c>
      <c r="M487" t="n">
        <v>0</v>
      </c>
      <c r="N487" t="n">
        <v>0</v>
      </c>
      <c r="O487" t="n">
        <v>0</v>
      </c>
      <c r="P487" t="n">
        <v>0</v>
      </c>
      <c r="Q487" t="n">
        <v>0</v>
      </c>
      <c r="R487" s="2" t="inlineStr"/>
    </row>
    <row r="488" ht="15" customHeight="1">
      <c r="A488" t="inlineStr">
        <is>
          <t>A 65194-2023</t>
        </is>
      </c>
      <c r="B488" s="1" t="n">
        <v>45289</v>
      </c>
      <c r="C488" s="1" t="n">
        <v>46205</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9436-2023</t>
        </is>
      </c>
      <c r="B489" s="1" t="n">
        <v>44981</v>
      </c>
      <c r="C489" s="1" t="n">
        <v>46205</v>
      </c>
      <c r="D489" t="inlineStr">
        <is>
          <t>ÖREBRO LÄN</t>
        </is>
      </c>
      <c r="E489" t="inlineStr">
        <is>
          <t>LINDESBERG</t>
        </is>
      </c>
      <c r="G489" t="n">
        <v>2.8</v>
      </c>
      <c r="H489" t="n">
        <v>0</v>
      </c>
      <c r="I489" t="n">
        <v>0</v>
      </c>
      <c r="J489" t="n">
        <v>0</v>
      </c>
      <c r="K489" t="n">
        <v>0</v>
      </c>
      <c r="L489" t="n">
        <v>0</v>
      </c>
      <c r="M489" t="n">
        <v>0</v>
      </c>
      <c r="N489" t="n">
        <v>0</v>
      </c>
      <c r="O489" t="n">
        <v>0</v>
      </c>
      <c r="P489" t="n">
        <v>0</v>
      </c>
      <c r="Q489" t="n">
        <v>0</v>
      </c>
      <c r="R489" s="2" t="inlineStr"/>
    </row>
    <row r="490" ht="15" customHeight="1">
      <c r="A490" t="inlineStr">
        <is>
          <t>A 17155-2026</t>
        </is>
      </c>
      <c r="B490" s="1" t="n">
        <v>46115</v>
      </c>
      <c r="C490" s="1" t="n">
        <v>46205</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17156-2026</t>
        </is>
      </c>
      <c r="B491" s="1" t="n">
        <v>46115</v>
      </c>
      <c r="C491" s="1" t="n">
        <v>46205</v>
      </c>
      <c r="D491" t="inlineStr">
        <is>
          <t>ÖREBRO LÄN</t>
        </is>
      </c>
      <c r="E491" t="inlineStr">
        <is>
          <t>LINDESBERG</t>
        </is>
      </c>
      <c r="G491" t="n">
        <v>2.2</v>
      </c>
      <c r="H491" t="n">
        <v>0</v>
      </c>
      <c r="I491" t="n">
        <v>0</v>
      </c>
      <c r="J491" t="n">
        <v>0</v>
      </c>
      <c r="K491" t="n">
        <v>0</v>
      </c>
      <c r="L491" t="n">
        <v>0</v>
      </c>
      <c r="M491" t="n">
        <v>0</v>
      </c>
      <c r="N491" t="n">
        <v>0</v>
      </c>
      <c r="O491" t="n">
        <v>0</v>
      </c>
      <c r="P491" t="n">
        <v>0</v>
      </c>
      <c r="Q491" t="n">
        <v>0</v>
      </c>
      <c r="R491" s="2" t="inlineStr"/>
    </row>
    <row r="492" ht="15" customHeight="1">
      <c r="A492" t="inlineStr">
        <is>
          <t>A 17013-2026</t>
        </is>
      </c>
      <c r="B492" s="1" t="n">
        <v>46114</v>
      </c>
      <c r="C492" s="1" t="n">
        <v>46205</v>
      </c>
      <c r="D492" t="inlineStr">
        <is>
          <t>ÖREBRO LÄN</t>
        </is>
      </c>
      <c r="E492" t="inlineStr">
        <is>
          <t>LINDESBERG</t>
        </is>
      </c>
      <c r="G492" t="n">
        <v>1.3</v>
      </c>
      <c r="H492" t="n">
        <v>0</v>
      </c>
      <c r="I492" t="n">
        <v>0</v>
      </c>
      <c r="J492" t="n">
        <v>0</v>
      </c>
      <c r="K492" t="n">
        <v>0</v>
      </c>
      <c r="L492" t="n">
        <v>0</v>
      </c>
      <c r="M492" t="n">
        <v>0</v>
      </c>
      <c r="N492" t="n">
        <v>0</v>
      </c>
      <c r="O492" t="n">
        <v>0</v>
      </c>
      <c r="P492" t="n">
        <v>0</v>
      </c>
      <c r="Q492" t="n">
        <v>0</v>
      </c>
      <c r="R492" s="2" t="inlineStr"/>
    </row>
    <row r="493" ht="15" customHeight="1">
      <c r="A493" t="inlineStr">
        <is>
          <t>A 17010-2026</t>
        </is>
      </c>
      <c r="B493" s="1" t="n">
        <v>46114</v>
      </c>
      <c r="C493" s="1" t="n">
        <v>46205</v>
      </c>
      <c r="D493" t="inlineStr">
        <is>
          <t>ÖREBRO LÄN</t>
        </is>
      </c>
      <c r="E493" t="inlineStr">
        <is>
          <t>LINDESBERG</t>
        </is>
      </c>
      <c r="G493" t="n">
        <v>3.7</v>
      </c>
      <c r="H493" t="n">
        <v>0</v>
      </c>
      <c r="I493" t="n">
        <v>0</v>
      </c>
      <c r="J493" t="n">
        <v>0</v>
      </c>
      <c r="K493" t="n">
        <v>0</v>
      </c>
      <c r="L493" t="n">
        <v>0</v>
      </c>
      <c r="M493" t="n">
        <v>0</v>
      </c>
      <c r="N493" t="n">
        <v>0</v>
      </c>
      <c r="O493" t="n">
        <v>0</v>
      </c>
      <c r="P493" t="n">
        <v>0</v>
      </c>
      <c r="Q493" t="n">
        <v>0</v>
      </c>
      <c r="R493" s="2" t="inlineStr"/>
    </row>
    <row r="494" ht="15" customHeight="1">
      <c r="A494" t="inlineStr">
        <is>
          <t>A 36121-2023</t>
        </is>
      </c>
      <c r="B494" s="1" t="n">
        <v>45148</v>
      </c>
      <c r="C494" s="1" t="n">
        <v>46205</v>
      </c>
      <c r="D494" t="inlineStr">
        <is>
          <t>ÖREBRO LÄN</t>
        </is>
      </c>
      <c r="E494" t="inlineStr">
        <is>
          <t>LINDESBERG</t>
        </is>
      </c>
      <c r="G494" t="n">
        <v>7.1</v>
      </c>
      <c r="H494" t="n">
        <v>0</v>
      </c>
      <c r="I494" t="n">
        <v>0</v>
      </c>
      <c r="J494" t="n">
        <v>0</v>
      </c>
      <c r="K494" t="n">
        <v>0</v>
      </c>
      <c r="L494" t="n">
        <v>0</v>
      </c>
      <c r="M494" t="n">
        <v>0</v>
      </c>
      <c r="N494" t="n">
        <v>0</v>
      </c>
      <c r="O494" t="n">
        <v>0</v>
      </c>
      <c r="P494" t="n">
        <v>0</v>
      </c>
      <c r="Q494" t="n">
        <v>0</v>
      </c>
      <c r="R494" s="2" t="inlineStr"/>
    </row>
    <row r="495" ht="15" customHeight="1">
      <c r="A495" t="inlineStr">
        <is>
          <t>A 17159-2026</t>
        </is>
      </c>
      <c r="B495" s="1" t="n">
        <v>46115</v>
      </c>
      <c r="C495" s="1" t="n">
        <v>46205</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17154-2026</t>
        </is>
      </c>
      <c r="B496" s="1" t="n">
        <v>46115</v>
      </c>
      <c r="C496" s="1" t="n">
        <v>46205</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17157-2026</t>
        </is>
      </c>
      <c r="B497" s="1" t="n">
        <v>46115</v>
      </c>
      <c r="C497" s="1" t="n">
        <v>46205</v>
      </c>
      <c r="D497" t="inlineStr">
        <is>
          <t>ÖREBRO LÄN</t>
        </is>
      </c>
      <c r="E497" t="inlineStr">
        <is>
          <t>LINDESBERG</t>
        </is>
      </c>
      <c r="G497" t="n">
        <v>1.2</v>
      </c>
      <c r="H497" t="n">
        <v>0</v>
      </c>
      <c r="I497" t="n">
        <v>0</v>
      </c>
      <c r="J497" t="n">
        <v>0</v>
      </c>
      <c r="K497" t="n">
        <v>0</v>
      </c>
      <c r="L497" t="n">
        <v>0</v>
      </c>
      <c r="M497" t="n">
        <v>0</v>
      </c>
      <c r="N497" t="n">
        <v>0</v>
      </c>
      <c r="O497" t="n">
        <v>0</v>
      </c>
      <c r="P497" t="n">
        <v>0</v>
      </c>
      <c r="Q497" t="n">
        <v>0</v>
      </c>
      <c r="R497" s="2" t="inlineStr"/>
    </row>
    <row r="498" ht="15" customHeight="1">
      <c r="A498" t="inlineStr">
        <is>
          <t>A 17162-2026</t>
        </is>
      </c>
      <c r="B498" s="1" t="n">
        <v>46115</v>
      </c>
      <c r="C498" s="1" t="n">
        <v>46205</v>
      </c>
      <c r="D498" t="inlineStr">
        <is>
          <t>ÖREBRO LÄN</t>
        </is>
      </c>
      <c r="E498" t="inlineStr">
        <is>
          <t>LINDESBERG</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34838-2023</t>
        </is>
      </c>
      <c r="B499" s="1" t="n">
        <v>45141</v>
      </c>
      <c r="C499" s="1" t="n">
        <v>46205</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17158-2026</t>
        </is>
      </c>
      <c r="B500" s="1" t="n">
        <v>46115</v>
      </c>
      <c r="C500" s="1" t="n">
        <v>46205</v>
      </c>
      <c r="D500" t="inlineStr">
        <is>
          <t>ÖREBRO LÄN</t>
        </is>
      </c>
      <c r="E500" t="inlineStr">
        <is>
          <t>LINDESBERG</t>
        </is>
      </c>
      <c r="G500" t="n">
        <v>7.8</v>
      </c>
      <c r="H500" t="n">
        <v>0</v>
      </c>
      <c r="I500" t="n">
        <v>0</v>
      </c>
      <c r="J500" t="n">
        <v>0</v>
      </c>
      <c r="K500" t="n">
        <v>0</v>
      </c>
      <c r="L500" t="n">
        <v>0</v>
      </c>
      <c r="M500" t="n">
        <v>0</v>
      </c>
      <c r="N500" t="n">
        <v>0</v>
      </c>
      <c r="O500" t="n">
        <v>0</v>
      </c>
      <c r="P500" t="n">
        <v>0</v>
      </c>
      <c r="Q500" t="n">
        <v>0</v>
      </c>
      <c r="R500" s="2" t="inlineStr"/>
    </row>
    <row r="501" ht="15" customHeight="1">
      <c r="A501" t="inlineStr">
        <is>
          <t>A 17161-2026</t>
        </is>
      </c>
      <c r="B501" s="1" t="n">
        <v>46115</v>
      </c>
      <c r="C501" s="1" t="n">
        <v>46205</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31024-2023</t>
        </is>
      </c>
      <c r="B502" s="1" t="n">
        <v>45113</v>
      </c>
      <c r="C502" s="1" t="n">
        <v>46205</v>
      </c>
      <c r="D502" t="inlineStr">
        <is>
          <t>ÖREBRO LÄN</t>
        </is>
      </c>
      <c r="E502" t="inlineStr">
        <is>
          <t>LINDESBERG</t>
        </is>
      </c>
      <c r="G502" t="n">
        <v>5.1</v>
      </c>
      <c r="H502" t="n">
        <v>0</v>
      </c>
      <c r="I502" t="n">
        <v>0</v>
      </c>
      <c r="J502" t="n">
        <v>0</v>
      </c>
      <c r="K502" t="n">
        <v>0</v>
      </c>
      <c r="L502" t="n">
        <v>0</v>
      </c>
      <c r="M502" t="n">
        <v>0</v>
      </c>
      <c r="N502" t="n">
        <v>0</v>
      </c>
      <c r="O502" t="n">
        <v>0</v>
      </c>
      <c r="P502" t="n">
        <v>0</v>
      </c>
      <c r="Q502" t="n">
        <v>0</v>
      </c>
      <c r="R502" s="2" t="inlineStr"/>
    </row>
    <row r="503" ht="15" customHeight="1">
      <c r="A503" t="inlineStr">
        <is>
          <t>A 33281-2024</t>
        </is>
      </c>
      <c r="B503" s="1" t="n">
        <v>45518</v>
      </c>
      <c r="C503" s="1" t="n">
        <v>46205</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33283-2024</t>
        </is>
      </c>
      <c r="B504" s="1" t="n">
        <v>45518</v>
      </c>
      <c r="C504" s="1" t="n">
        <v>46205</v>
      </c>
      <c r="D504" t="inlineStr">
        <is>
          <t>ÖREBRO LÄN</t>
        </is>
      </c>
      <c r="E504" t="inlineStr">
        <is>
          <t>LINDESBERG</t>
        </is>
      </c>
      <c r="G504" t="n">
        <v>3.9</v>
      </c>
      <c r="H504" t="n">
        <v>0</v>
      </c>
      <c r="I504" t="n">
        <v>0</v>
      </c>
      <c r="J504" t="n">
        <v>0</v>
      </c>
      <c r="K504" t="n">
        <v>0</v>
      </c>
      <c r="L504" t="n">
        <v>0</v>
      </c>
      <c r="M504" t="n">
        <v>0</v>
      </c>
      <c r="N504" t="n">
        <v>0</v>
      </c>
      <c r="O504" t="n">
        <v>0</v>
      </c>
      <c r="P504" t="n">
        <v>0</v>
      </c>
      <c r="Q504" t="n">
        <v>0</v>
      </c>
      <c r="R504" s="2" t="inlineStr"/>
    </row>
    <row r="505" ht="15" customHeight="1">
      <c r="A505" t="inlineStr">
        <is>
          <t>A 60449-2024</t>
        </is>
      </c>
      <c r="B505" s="1" t="n">
        <v>45643</v>
      </c>
      <c r="C505" s="1" t="n">
        <v>46205</v>
      </c>
      <c r="D505" t="inlineStr">
        <is>
          <t>ÖREBRO LÄN</t>
        </is>
      </c>
      <c r="E505" t="inlineStr">
        <is>
          <t>LINDESBERG</t>
        </is>
      </c>
      <c r="G505" t="n">
        <v>1.2</v>
      </c>
      <c r="H505" t="n">
        <v>0</v>
      </c>
      <c r="I505" t="n">
        <v>0</v>
      </c>
      <c r="J505" t="n">
        <v>0</v>
      </c>
      <c r="K505" t="n">
        <v>0</v>
      </c>
      <c r="L505" t="n">
        <v>0</v>
      </c>
      <c r="M505" t="n">
        <v>0</v>
      </c>
      <c r="N505" t="n">
        <v>0</v>
      </c>
      <c r="O505" t="n">
        <v>0</v>
      </c>
      <c r="P505" t="n">
        <v>0</v>
      </c>
      <c r="Q505" t="n">
        <v>0</v>
      </c>
      <c r="R505" s="2" t="inlineStr"/>
    </row>
    <row r="506" ht="15" customHeight="1">
      <c r="A506" t="inlineStr">
        <is>
          <t>A 17663-2026</t>
        </is>
      </c>
      <c r="B506" s="1" t="n">
        <v>46121</v>
      </c>
      <c r="C506" s="1" t="n">
        <v>46205</v>
      </c>
      <c r="D506" t="inlineStr">
        <is>
          <t>ÖREBRO LÄN</t>
        </is>
      </c>
      <c r="E506" t="inlineStr">
        <is>
          <t>LINDESBERG</t>
        </is>
      </c>
      <c r="G506" t="n">
        <v>3.2</v>
      </c>
      <c r="H506" t="n">
        <v>0</v>
      </c>
      <c r="I506" t="n">
        <v>0</v>
      </c>
      <c r="J506" t="n">
        <v>0</v>
      </c>
      <c r="K506" t="n">
        <v>0</v>
      </c>
      <c r="L506" t="n">
        <v>0</v>
      </c>
      <c r="M506" t="n">
        <v>0</v>
      </c>
      <c r="N506" t="n">
        <v>0</v>
      </c>
      <c r="O506" t="n">
        <v>0</v>
      </c>
      <c r="P506" t="n">
        <v>0</v>
      </c>
      <c r="Q506" t="n">
        <v>0</v>
      </c>
      <c r="R506" s="2" t="inlineStr"/>
    </row>
    <row r="507" ht="15" customHeight="1">
      <c r="A507" t="inlineStr">
        <is>
          <t>A 34676-2023</t>
        </is>
      </c>
      <c r="B507" s="1" t="n">
        <v>45140</v>
      </c>
      <c r="C507" s="1" t="n">
        <v>46205</v>
      </c>
      <c r="D507" t="inlineStr">
        <is>
          <t>ÖREBRO LÄN</t>
        </is>
      </c>
      <c r="E507" t="inlineStr">
        <is>
          <t>LINDESBERG</t>
        </is>
      </c>
      <c r="G507" t="n">
        <v>2.4</v>
      </c>
      <c r="H507" t="n">
        <v>0</v>
      </c>
      <c r="I507" t="n">
        <v>0</v>
      </c>
      <c r="J507" t="n">
        <v>0</v>
      </c>
      <c r="K507" t="n">
        <v>0</v>
      </c>
      <c r="L507" t="n">
        <v>0</v>
      </c>
      <c r="M507" t="n">
        <v>0</v>
      </c>
      <c r="N507" t="n">
        <v>0</v>
      </c>
      <c r="O507" t="n">
        <v>0</v>
      </c>
      <c r="P507" t="n">
        <v>0</v>
      </c>
      <c r="Q507" t="n">
        <v>0</v>
      </c>
      <c r="R507" s="2" t="inlineStr"/>
    </row>
    <row r="508" ht="15" customHeight="1">
      <c r="A508" t="inlineStr">
        <is>
          <t>A 61594-2024</t>
        </is>
      </c>
      <c r="B508" s="1" t="n">
        <v>45646</v>
      </c>
      <c r="C508" s="1" t="n">
        <v>46205</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23912-2026</t>
        </is>
      </c>
      <c r="B509" s="1" t="n">
        <v>46167</v>
      </c>
      <c r="C509" s="1" t="n">
        <v>46205</v>
      </c>
      <c r="D509" t="inlineStr">
        <is>
          <t>ÖREBRO LÄN</t>
        </is>
      </c>
      <c r="E509" t="inlineStr">
        <is>
          <t>LINDESBERG</t>
        </is>
      </c>
      <c r="F509" t="inlineStr">
        <is>
          <t>Naturvårdsverket</t>
        </is>
      </c>
      <c r="G509" t="n">
        <v>5.5</v>
      </c>
      <c r="H509" t="n">
        <v>0</v>
      </c>
      <c r="I509" t="n">
        <v>0</v>
      </c>
      <c r="J509" t="n">
        <v>0</v>
      </c>
      <c r="K509" t="n">
        <v>0</v>
      </c>
      <c r="L509" t="n">
        <v>0</v>
      </c>
      <c r="M509" t="n">
        <v>0</v>
      </c>
      <c r="N509" t="n">
        <v>0</v>
      </c>
      <c r="O509" t="n">
        <v>0</v>
      </c>
      <c r="P509" t="n">
        <v>0</v>
      </c>
      <c r="Q509" t="n">
        <v>0</v>
      </c>
      <c r="R509" s="2" t="inlineStr"/>
    </row>
    <row r="510" ht="15" customHeight="1">
      <c r="A510" t="inlineStr">
        <is>
          <t>A 23910-2026</t>
        </is>
      </c>
      <c r="B510" s="1" t="n">
        <v>46167</v>
      </c>
      <c r="C510" s="1" t="n">
        <v>46205</v>
      </c>
      <c r="D510" t="inlineStr">
        <is>
          <t>ÖREBRO LÄN</t>
        </is>
      </c>
      <c r="E510" t="inlineStr">
        <is>
          <t>LINDESBERG</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23914-2026</t>
        </is>
      </c>
      <c r="B511" s="1" t="n">
        <v>46167</v>
      </c>
      <c r="C511" s="1" t="n">
        <v>46205</v>
      </c>
      <c r="D511" t="inlineStr">
        <is>
          <t>ÖREBRO LÄN</t>
        </is>
      </c>
      <c r="E511" t="inlineStr">
        <is>
          <t>LINDESBERG</t>
        </is>
      </c>
      <c r="F511" t="inlineStr">
        <is>
          <t>Naturvårdsverket</t>
        </is>
      </c>
      <c r="G511" t="n">
        <v>3</v>
      </c>
      <c r="H511" t="n">
        <v>0</v>
      </c>
      <c r="I511" t="n">
        <v>0</v>
      </c>
      <c r="J511" t="n">
        <v>0</v>
      </c>
      <c r="K511" t="n">
        <v>0</v>
      </c>
      <c r="L511" t="n">
        <v>0</v>
      </c>
      <c r="M511" t="n">
        <v>0</v>
      </c>
      <c r="N511" t="n">
        <v>0</v>
      </c>
      <c r="O511" t="n">
        <v>0</v>
      </c>
      <c r="P511" t="n">
        <v>0</v>
      </c>
      <c r="Q511" t="n">
        <v>0</v>
      </c>
      <c r="R511" s="2" t="inlineStr"/>
    </row>
    <row r="512" ht="15" customHeight="1">
      <c r="A512" t="inlineStr">
        <is>
          <t>A 40563-2023</t>
        </is>
      </c>
      <c r="B512" s="1" t="n">
        <v>45170</v>
      </c>
      <c r="C512" s="1" t="n">
        <v>46205</v>
      </c>
      <c r="D512" t="inlineStr">
        <is>
          <t>ÖREBRO LÄN</t>
        </is>
      </c>
      <c r="E512" t="inlineStr">
        <is>
          <t>LINDESBERG</t>
        </is>
      </c>
      <c r="F512" t="inlineStr">
        <is>
          <t>Sveaskog</t>
        </is>
      </c>
      <c r="G512" t="n">
        <v>1.6</v>
      </c>
      <c r="H512" t="n">
        <v>0</v>
      </c>
      <c r="I512" t="n">
        <v>0</v>
      </c>
      <c r="J512" t="n">
        <v>0</v>
      </c>
      <c r="K512" t="n">
        <v>0</v>
      </c>
      <c r="L512" t="n">
        <v>0</v>
      </c>
      <c r="M512" t="n">
        <v>0</v>
      </c>
      <c r="N512" t="n">
        <v>0</v>
      </c>
      <c r="O512" t="n">
        <v>0</v>
      </c>
      <c r="P512" t="n">
        <v>0</v>
      </c>
      <c r="Q512" t="n">
        <v>0</v>
      </c>
      <c r="R512" s="2" t="inlineStr"/>
    </row>
    <row r="513" ht="15" customHeight="1">
      <c r="A513" t="inlineStr">
        <is>
          <t>A 18061-2026</t>
        </is>
      </c>
      <c r="B513" s="1" t="n">
        <v>46125</v>
      </c>
      <c r="C513" s="1" t="n">
        <v>46205</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7026-2024</t>
        </is>
      </c>
      <c r="B514" s="1" t="n">
        <v>45343</v>
      </c>
      <c r="C514" s="1" t="n">
        <v>46205</v>
      </c>
      <c r="D514" t="inlineStr">
        <is>
          <t>ÖREBRO LÄN</t>
        </is>
      </c>
      <c r="E514" t="inlineStr">
        <is>
          <t>LINDESBERG</t>
        </is>
      </c>
      <c r="G514" t="n">
        <v>2.4</v>
      </c>
      <c r="H514" t="n">
        <v>0</v>
      </c>
      <c r="I514" t="n">
        <v>0</v>
      </c>
      <c r="J514" t="n">
        <v>0</v>
      </c>
      <c r="K514" t="n">
        <v>0</v>
      </c>
      <c r="L514" t="n">
        <v>0</v>
      </c>
      <c r="M514" t="n">
        <v>0</v>
      </c>
      <c r="N514" t="n">
        <v>0</v>
      </c>
      <c r="O514" t="n">
        <v>0</v>
      </c>
      <c r="P514" t="n">
        <v>0</v>
      </c>
      <c r="Q514" t="n">
        <v>0</v>
      </c>
      <c r="R514" s="2" t="inlineStr"/>
    </row>
    <row r="515" ht="15" customHeight="1">
      <c r="A515" t="inlineStr">
        <is>
          <t>A 51379-2023</t>
        </is>
      </c>
      <c r="B515" s="1" t="n">
        <v>45219</v>
      </c>
      <c r="C515" s="1" t="n">
        <v>46205</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18220-2026</t>
        </is>
      </c>
      <c r="B516" s="1" t="n">
        <v>46126</v>
      </c>
      <c r="C516" s="1" t="n">
        <v>46205</v>
      </c>
      <c r="D516" t="inlineStr">
        <is>
          <t>ÖREBRO LÄN</t>
        </is>
      </c>
      <c r="E516" t="inlineStr">
        <is>
          <t>LINDESBERG</t>
        </is>
      </c>
      <c r="G516" t="n">
        <v>5.7</v>
      </c>
      <c r="H516" t="n">
        <v>0</v>
      </c>
      <c r="I516" t="n">
        <v>0</v>
      </c>
      <c r="J516" t="n">
        <v>0</v>
      </c>
      <c r="K516" t="n">
        <v>0</v>
      </c>
      <c r="L516" t="n">
        <v>0</v>
      </c>
      <c r="M516" t="n">
        <v>0</v>
      </c>
      <c r="N516" t="n">
        <v>0</v>
      </c>
      <c r="O516" t="n">
        <v>0</v>
      </c>
      <c r="P516" t="n">
        <v>0</v>
      </c>
      <c r="Q516" t="n">
        <v>0</v>
      </c>
      <c r="R516" s="2" t="inlineStr"/>
    </row>
    <row r="517" ht="15" customHeight="1">
      <c r="A517" t="inlineStr">
        <is>
          <t>A 5080-2024</t>
        </is>
      </c>
      <c r="B517" s="1" t="n">
        <v>45330</v>
      </c>
      <c r="C517" s="1" t="n">
        <v>46205</v>
      </c>
      <c r="D517" t="inlineStr">
        <is>
          <t>ÖREBRO LÄN</t>
        </is>
      </c>
      <c r="E517" t="inlineStr">
        <is>
          <t>LINDESBERG</t>
        </is>
      </c>
      <c r="G517" t="n">
        <v>1.5</v>
      </c>
      <c r="H517" t="n">
        <v>0</v>
      </c>
      <c r="I517" t="n">
        <v>0</v>
      </c>
      <c r="J517" t="n">
        <v>0</v>
      </c>
      <c r="K517" t="n">
        <v>0</v>
      </c>
      <c r="L517" t="n">
        <v>0</v>
      </c>
      <c r="M517" t="n">
        <v>0</v>
      </c>
      <c r="N517" t="n">
        <v>0</v>
      </c>
      <c r="O517" t="n">
        <v>0</v>
      </c>
      <c r="P517" t="n">
        <v>0</v>
      </c>
      <c r="Q517" t="n">
        <v>0</v>
      </c>
      <c r="R517" s="2" t="inlineStr"/>
    </row>
    <row r="518" ht="15" customHeight="1">
      <c r="A518" t="inlineStr">
        <is>
          <t>A 45072-2024</t>
        </is>
      </c>
      <c r="B518" s="1" t="n">
        <v>45575</v>
      </c>
      <c r="C518" s="1" t="n">
        <v>46205</v>
      </c>
      <c r="D518" t="inlineStr">
        <is>
          <t>ÖREBRO LÄN</t>
        </is>
      </c>
      <c r="E518" t="inlineStr">
        <is>
          <t>LINDESBERG</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45075-2024</t>
        </is>
      </c>
      <c r="B519" s="1" t="n">
        <v>45575</v>
      </c>
      <c r="C519" s="1" t="n">
        <v>46205</v>
      </c>
      <c r="D519" t="inlineStr">
        <is>
          <t>ÖREBRO LÄN</t>
        </is>
      </c>
      <c r="E519" t="inlineStr">
        <is>
          <t>LINDESBERG</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41948-2023</t>
        </is>
      </c>
      <c r="B520" s="1" t="n">
        <v>45177</v>
      </c>
      <c r="C520" s="1" t="n">
        <v>46205</v>
      </c>
      <c r="D520" t="inlineStr">
        <is>
          <t>ÖREBRO LÄN</t>
        </is>
      </c>
      <c r="E520" t="inlineStr">
        <is>
          <t>LINDESBERG</t>
        </is>
      </c>
      <c r="F520" t="inlineStr">
        <is>
          <t>Kyrkan</t>
        </is>
      </c>
      <c r="G520" t="n">
        <v>1.4</v>
      </c>
      <c r="H520" t="n">
        <v>0</v>
      </c>
      <c r="I520" t="n">
        <v>0</v>
      </c>
      <c r="J520" t="n">
        <v>0</v>
      </c>
      <c r="K520" t="n">
        <v>0</v>
      </c>
      <c r="L520" t="n">
        <v>0</v>
      </c>
      <c r="M520" t="n">
        <v>0</v>
      </c>
      <c r="N520" t="n">
        <v>0</v>
      </c>
      <c r="O520" t="n">
        <v>0</v>
      </c>
      <c r="P520" t="n">
        <v>0</v>
      </c>
      <c r="Q520" t="n">
        <v>0</v>
      </c>
      <c r="R520" s="2" t="inlineStr"/>
    </row>
    <row r="521" ht="15" customHeight="1">
      <c r="A521" t="inlineStr">
        <is>
          <t>A 18637-2026</t>
        </is>
      </c>
      <c r="B521" s="1" t="n">
        <v>46128</v>
      </c>
      <c r="C521" s="1" t="n">
        <v>46205</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67016-2021</t>
        </is>
      </c>
      <c r="B522" s="1" t="n">
        <v>44522</v>
      </c>
      <c r="C522" s="1" t="n">
        <v>46205</v>
      </c>
      <c r="D522" t="inlineStr">
        <is>
          <t>ÖREBRO LÄN</t>
        </is>
      </c>
      <c r="E522" t="inlineStr">
        <is>
          <t>LINDESBERG</t>
        </is>
      </c>
      <c r="G522" t="n">
        <v>8</v>
      </c>
      <c r="H522" t="n">
        <v>0</v>
      </c>
      <c r="I522" t="n">
        <v>0</v>
      </c>
      <c r="J522" t="n">
        <v>0</v>
      </c>
      <c r="K522" t="n">
        <v>0</v>
      </c>
      <c r="L522" t="n">
        <v>0</v>
      </c>
      <c r="M522" t="n">
        <v>0</v>
      </c>
      <c r="N522" t="n">
        <v>0</v>
      </c>
      <c r="O522" t="n">
        <v>0</v>
      </c>
      <c r="P522" t="n">
        <v>0</v>
      </c>
      <c r="Q522" t="n">
        <v>0</v>
      </c>
      <c r="R522" s="2" t="inlineStr"/>
    </row>
    <row r="523" ht="15" customHeight="1">
      <c r="A523" t="inlineStr">
        <is>
          <t>A 10111-2022</t>
        </is>
      </c>
      <c r="B523" s="1" t="n">
        <v>44621</v>
      </c>
      <c r="C523" s="1" t="n">
        <v>46205</v>
      </c>
      <c r="D523" t="inlineStr">
        <is>
          <t>ÖREBRO LÄN</t>
        </is>
      </c>
      <c r="E523" t="inlineStr">
        <is>
          <t>LINDESBERG</t>
        </is>
      </c>
      <c r="G523" t="n">
        <v>2.4</v>
      </c>
      <c r="H523" t="n">
        <v>0</v>
      </c>
      <c r="I523" t="n">
        <v>0</v>
      </c>
      <c r="J523" t="n">
        <v>0</v>
      </c>
      <c r="K523" t="n">
        <v>0</v>
      </c>
      <c r="L523" t="n">
        <v>0</v>
      </c>
      <c r="M523" t="n">
        <v>0</v>
      </c>
      <c r="N523" t="n">
        <v>0</v>
      </c>
      <c r="O523" t="n">
        <v>0</v>
      </c>
      <c r="P523" t="n">
        <v>0</v>
      </c>
      <c r="Q523" t="n">
        <v>0</v>
      </c>
      <c r="R523" s="2" t="inlineStr"/>
    </row>
    <row r="524" ht="15" customHeight="1">
      <c r="A524" t="inlineStr">
        <is>
          <t>A 19960-2023</t>
        </is>
      </c>
      <c r="B524" s="1" t="n">
        <v>45054</v>
      </c>
      <c r="C524" s="1" t="n">
        <v>46205</v>
      </c>
      <c r="D524" t="inlineStr">
        <is>
          <t>ÖREBRO LÄN</t>
        </is>
      </c>
      <c r="E524" t="inlineStr">
        <is>
          <t>LINDESBERG</t>
        </is>
      </c>
      <c r="G524" t="n">
        <v>6.2</v>
      </c>
      <c r="H524" t="n">
        <v>0</v>
      </c>
      <c r="I524" t="n">
        <v>0</v>
      </c>
      <c r="J524" t="n">
        <v>0</v>
      </c>
      <c r="K524" t="n">
        <v>0</v>
      </c>
      <c r="L524" t="n">
        <v>0</v>
      </c>
      <c r="M524" t="n">
        <v>0</v>
      </c>
      <c r="N524" t="n">
        <v>0</v>
      </c>
      <c r="O524" t="n">
        <v>0</v>
      </c>
      <c r="P524" t="n">
        <v>0</v>
      </c>
      <c r="Q524" t="n">
        <v>0</v>
      </c>
      <c r="R524" s="2" t="inlineStr"/>
    </row>
    <row r="525" ht="15" customHeight="1">
      <c r="A525" t="inlineStr">
        <is>
          <t>A 24565-2026</t>
        </is>
      </c>
      <c r="B525" s="1" t="n">
        <v>46170</v>
      </c>
      <c r="C525" s="1" t="n">
        <v>46205</v>
      </c>
      <c r="D525" t="inlineStr">
        <is>
          <t>ÖREBRO LÄN</t>
        </is>
      </c>
      <c r="E525" t="inlineStr">
        <is>
          <t>LINDESBERG</t>
        </is>
      </c>
      <c r="F525" t="inlineStr">
        <is>
          <t>Kommuner</t>
        </is>
      </c>
      <c r="G525" t="n">
        <v>2.6</v>
      </c>
      <c r="H525" t="n">
        <v>0</v>
      </c>
      <c r="I525" t="n">
        <v>0</v>
      </c>
      <c r="J525" t="n">
        <v>0</v>
      </c>
      <c r="K525" t="n">
        <v>0</v>
      </c>
      <c r="L525" t="n">
        <v>0</v>
      </c>
      <c r="M525" t="n">
        <v>0</v>
      </c>
      <c r="N525" t="n">
        <v>0</v>
      </c>
      <c r="O525" t="n">
        <v>0</v>
      </c>
      <c r="P525" t="n">
        <v>0</v>
      </c>
      <c r="Q525" t="n">
        <v>0</v>
      </c>
      <c r="R525" s="2" t="inlineStr"/>
    </row>
    <row r="526" ht="15" customHeight="1">
      <c r="A526" t="inlineStr">
        <is>
          <t>A 50972-2023</t>
        </is>
      </c>
      <c r="B526" s="1" t="n">
        <v>45218</v>
      </c>
      <c r="C526" s="1" t="n">
        <v>46205</v>
      </c>
      <c r="D526" t="inlineStr">
        <is>
          <t>ÖREBRO LÄN</t>
        </is>
      </c>
      <c r="E526" t="inlineStr">
        <is>
          <t>LINDESBERG</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18634-2026</t>
        </is>
      </c>
      <c r="B527" s="1" t="n">
        <v>46128</v>
      </c>
      <c r="C527" s="1" t="n">
        <v>46205</v>
      </c>
      <c r="D527" t="inlineStr">
        <is>
          <t>ÖREBRO LÄN</t>
        </is>
      </c>
      <c r="E527" t="inlineStr">
        <is>
          <t>LINDESBERG</t>
        </is>
      </c>
      <c r="F527" t="inlineStr">
        <is>
          <t>Sveaskog</t>
        </is>
      </c>
      <c r="G527" t="n">
        <v>11.7</v>
      </c>
      <c r="H527" t="n">
        <v>0</v>
      </c>
      <c r="I527" t="n">
        <v>0</v>
      </c>
      <c r="J527" t="n">
        <v>0</v>
      </c>
      <c r="K527" t="n">
        <v>0</v>
      </c>
      <c r="L527" t="n">
        <v>0</v>
      </c>
      <c r="M527" t="n">
        <v>0</v>
      </c>
      <c r="N527" t="n">
        <v>0</v>
      </c>
      <c r="O527" t="n">
        <v>0</v>
      </c>
      <c r="P527" t="n">
        <v>0</v>
      </c>
      <c r="Q527" t="n">
        <v>0</v>
      </c>
      <c r="R527" s="2" t="inlineStr"/>
    </row>
    <row r="528" ht="15" customHeight="1">
      <c r="A528" t="inlineStr">
        <is>
          <t>A 18636-2026</t>
        </is>
      </c>
      <c r="B528" s="1" t="n">
        <v>46128</v>
      </c>
      <c r="C528" s="1" t="n">
        <v>46205</v>
      </c>
      <c r="D528" t="inlineStr">
        <is>
          <t>ÖREBRO LÄN</t>
        </is>
      </c>
      <c r="E528" t="inlineStr">
        <is>
          <t>LINDESBERG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24601-2026</t>
        </is>
      </c>
      <c r="B529" s="1" t="n">
        <v>46170</v>
      </c>
      <c r="C529" s="1" t="n">
        <v>46205</v>
      </c>
      <c r="D529" t="inlineStr">
        <is>
          <t>ÖREBRO LÄN</t>
        </is>
      </c>
      <c r="E529" t="inlineStr">
        <is>
          <t>LINDESBERG</t>
        </is>
      </c>
      <c r="G529" t="n">
        <v>2.7</v>
      </c>
      <c r="H529" t="n">
        <v>0</v>
      </c>
      <c r="I529" t="n">
        <v>0</v>
      </c>
      <c r="J529" t="n">
        <v>0</v>
      </c>
      <c r="K529" t="n">
        <v>0</v>
      </c>
      <c r="L529" t="n">
        <v>0</v>
      </c>
      <c r="M529" t="n">
        <v>0</v>
      </c>
      <c r="N529" t="n">
        <v>0</v>
      </c>
      <c r="O529" t="n">
        <v>0</v>
      </c>
      <c r="P529" t="n">
        <v>0</v>
      </c>
      <c r="Q529" t="n">
        <v>0</v>
      </c>
      <c r="R529" s="2" t="inlineStr"/>
    </row>
    <row r="530" ht="15" customHeight="1">
      <c r="A530" t="inlineStr">
        <is>
          <t>A 24638-2026</t>
        </is>
      </c>
      <c r="B530" s="1" t="n">
        <v>46171</v>
      </c>
      <c r="C530" s="1" t="n">
        <v>46205</v>
      </c>
      <c r="D530" t="inlineStr">
        <is>
          <t>ÖREBRO LÄN</t>
        </is>
      </c>
      <c r="E530" t="inlineStr">
        <is>
          <t>LINDESBERG</t>
        </is>
      </c>
      <c r="G530" t="n">
        <v>2.8</v>
      </c>
      <c r="H530" t="n">
        <v>0</v>
      </c>
      <c r="I530" t="n">
        <v>0</v>
      </c>
      <c r="J530" t="n">
        <v>0</v>
      </c>
      <c r="K530" t="n">
        <v>0</v>
      </c>
      <c r="L530" t="n">
        <v>0</v>
      </c>
      <c r="M530" t="n">
        <v>0</v>
      </c>
      <c r="N530" t="n">
        <v>0</v>
      </c>
      <c r="O530" t="n">
        <v>0</v>
      </c>
      <c r="P530" t="n">
        <v>0</v>
      </c>
      <c r="Q530" t="n">
        <v>0</v>
      </c>
      <c r="R530" s="2" t="inlineStr"/>
    </row>
    <row r="531" ht="15" customHeight="1">
      <c r="A531" t="inlineStr">
        <is>
          <t>A 25023-2026</t>
        </is>
      </c>
      <c r="B531" s="1" t="n">
        <v>46174</v>
      </c>
      <c r="C531" s="1" t="n">
        <v>46205</v>
      </c>
      <c r="D531" t="inlineStr">
        <is>
          <t>ÖREBRO LÄN</t>
        </is>
      </c>
      <c r="E531" t="inlineStr">
        <is>
          <t>LINDESBERG</t>
        </is>
      </c>
      <c r="F531" t="inlineStr">
        <is>
          <t>Kommuner</t>
        </is>
      </c>
      <c r="G531" t="n">
        <v>2.3</v>
      </c>
      <c r="H531" t="n">
        <v>0</v>
      </c>
      <c r="I531" t="n">
        <v>0</v>
      </c>
      <c r="J531" t="n">
        <v>0</v>
      </c>
      <c r="K531" t="n">
        <v>0</v>
      </c>
      <c r="L531" t="n">
        <v>0</v>
      </c>
      <c r="M531" t="n">
        <v>0</v>
      </c>
      <c r="N531" t="n">
        <v>0</v>
      </c>
      <c r="O531" t="n">
        <v>0</v>
      </c>
      <c r="P531" t="n">
        <v>0</v>
      </c>
      <c r="Q531" t="n">
        <v>0</v>
      </c>
      <c r="R531" s="2" t="inlineStr"/>
    </row>
    <row r="532" ht="15" customHeight="1">
      <c r="A532" t="inlineStr">
        <is>
          <t>A 24600-2026</t>
        </is>
      </c>
      <c r="B532" s="1" t="n">
        <v>46170</v>
      </c>
      <c r="C532" s="1" t="n">
        <v>46205</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33507-2023</t>
        </is>
      </c>
      <c r="B533" s="1" t="n">
        <v>45131</v>
      </c>
      <c r="C533" s="1" t="n">
        <v>46205</v>
      </c>
      <c r="D533" t="inlineStr">
        <is>
          <t>ÖREBRO LÄN</t>
        </is>
      </c>
      <c r="E533" t="inlineStr">
        <is>
          <t>LINDESBERG</t>
        </is>
      </c>
      <c r="G533" t="n">
        <v>3.2</v>
      </c>
      <c r="H533" t="n">
        <v>0</v>
      </c>
      <c r="I533" t="n">
        <v>0</v>
      </c>
      <c r="J533" t="n">
        <v>0</v>
      </c>
      <c r="K533" t="n">
        <v>0</v>
      </c>
      <c r="L533" t="n">
        <v>0</v>
      </c>
      <c r="M533" t="n">
        <v>0</v>
      </c>
      <c r="N533" t="n">
        <v>0</v>
      </c>
      <c r="O533" t="n">
        <v>0</v>
      </c>
      <c r="P533" t="n">
        <v>0</v>
      </c>
      <c r="Q533" t="n">
        <v>0</v>
      </c>
      <c r="R533" s="2" t="inlineStr"/>
    </row>
    <row r="534" ht="15" customHeight="1">
      <c r="A534" t="inlineStr">
        <is>
          <t>A 2406-2024</t>
        </is>
      </c>
      <c r="B534" s="1" t="n">
        <v>45310</v>
      </c>
      <c r="C534" s="1" t="n">
        <v>46205</v>
      </c>
      <c r="D534" t="inlineStr">
        <is>
          <t>ÖREBRO LÄN</t>
        </is>
      </c>
      <c r="E534" t="inlineStr">
        <is>
          <t>LINDESBERG</t>
        </is>
      </c>
      <c r="G534" t="n">
        <v>16.1</v>
      </c>
      <c r="H534" t="n">
        <v>0</v>
      </c>
      <c r="I534" t="n">
        <v>0</v>
      </c>
      <c r="J534" t="n">
        <v>0</v>
      </c>
      <c r="K534" t="n">
        <v>0</v>
      </c>
      <c r="L534" t="n">
        <v>0</v>
      </c>
      <c r="M534" t="n">
        <v>0</v>
      </c>
      <c r="N534" t="n">
        <v>0</v>
      </c>
      <c r="O534" t="n">
        <v>0</v>
      </c>
      <c r="P534" t="n">
        <v>0</v>
      </c>
      <c r="Q534" t="n">
        <v>0</v>
      </c>
      <c r="R534" s="2" t="inlineStr"/>
    </row>
    <row r="535" ht="15" customHeight="1">
      <c r="A535" t="inlineStr">
        <is>
          <t>A 17895-2022</t>
        </is>
      </c>
      <c r="B535" s="1" t="n">
        <v>44683</v>
      </c>
      <c r="C535" s="1" t="n">
        <v>46205</v>
      </c>
      <c r="D535" t="inlineStr">
        <is>
          <t>ÖREBRO LÄN</t>
        </is>
      </c>
      <c r="E535" t="inlineStr">
        <is>
          <t>LINDESBERG</t>
        </is>
      </c>
      <c r="G535" t="n">
        <v>1.3</v>
      </c>
      <c r="H535" t="n">
        <v>0</v>
      </c>
      <c r="I535" t="n">
        <v>0</v>
      </c>
      <c r="J535" t="n">
        <v>0</v>
      </c>
      <c r="K535" t="n">
        <v>0</v>
      </c>
      <c r="L535" t="n">
        <v>0</v>
      </c>
      <c r="M535" t="n">
        <v>0</v>
      </c>
      <c r="N535" t="n">
        <v>0</v>
      </c>
      <c r="O535" t="n">
        <v>0</v>
      </c>
      <c r="P535" t="n">
        <v>0</v>
      </c>
      <c r="Q535" t="n">
        <v>0</v>
      </c>
      <c r="R535" s="2" t="inlineStr"/>
    </row>
    <row r="536" ht="15" customHeight="1">
      <c r="A536" t="inlineStr">
        <is>
          <t>A 1395-2025</t>
        </is>
      </c>
      <c r="B536" s="1" t="n">
        <v>45667</v>
      </c>
      <c r="C536" s="1" t="n">
        <v>46205</v>
      </c>
      <c r="D536" t="inlineStr">
        <is>
          <t>ÖREBRO LÄN</t>
        </is>
      </c>
      <c r="E536" t="inlineStr">
        <is>
          <t>LINDESBERG</t>
        </is>
      </c>
      <c r="G536" t="n">
        <v>4.6</v>
      </c>
      <c r="H536" t="n">
        <v>0</v>
      </c>
      <c r="I536" t="n">
        <v>0</v>
      </c>
      <c r="J536" t="n">
        <v>0</v>
      </c>
      <c r="K536" t="n">
        <v>0</v>
      </c>
      <c r="L536" t="n">
        <v>0</v>
      </c>
      <c r="M536" t="n">
        <v>0</v>
      </c>
      <c r="N536" t="n">
        <v>0</v>
      </c>
      <c r="O536" t="n">
        <v>0</v>
      </c>
      <c r="P536" t="n">
        <v>0</v>
      </c>
      <c r="Q536" t="n">
        <v>0</v>
      </c>
      <c r="R536" s="2" t="inlineStr"/>
    </row>
    <row r="537" ht="15" customHeight="1">
      <c r="A537" t="inlineStr">
        <is>
          <t>A 52928-2024</t>
        </is>
      </c>
      <c r="B537" s="1" t="n">
        <v>45610</v>
      </c>
      <c r="C537" s="1" t="n">
        <v>46205</v>
      </c>
      <c r="D537" t="inlineStr">
        <is>
          <t>ÖREBRO LÄN</t>
        </is>
      </c>
      <c r="E537" t="inlineStr">
        <is>
          <t>LINDESBERG</t>
        </is>
      </c>
      <c r="G537" t="n">
        <v>8.6</v>
      </c>
      <c r="H537" t="n">
        <v>0</v>
      </c>
      <c r="I537" t="n">
        <v>0</v>
      </c>
      <c r="J537" t="n">
        <v>0</v>
      </c>
      <c r="K537" t="n">
        <v>0</v>
      </c>
      <c r="L537" t="n">
        <v>0</v>
      </c>
      <c r="M537" t="n">
        <v>0</v>
      </c>
      <c r="N537" t="n">
        <v>0</v>
      </c>
      <c r="O537" t="n">
        <v>0</v>
      </c>
      <c r="P537" t="n">
        <v>0</v>
      </c>
      <c r="Q537" t="n">
        <v>0</v>
      </c>
      <c r="R537" s="2" t="inlineStr"/>
    </row>
    <row r="538" ht="15" customHeight="1">
      <c r="A538" t="inlineStr">
        <is>
          <t>A 40970-2023</t>
        </is>
      </c>
      <c r="B538" s="1" t="n">
        <v>45173</v>
      </c>
      <c r="C538" s="1" t="n">
        <v>46205</v>
      </c>
      <c r="D538" t="inlineStr">
        <is>
          <t>ÖREBRO LÄN</t>
        </is>
      </c>
      <c r="E538" t="inlineStr">
        <is>
          <t>LINDESBERG</t>
        </is>
      </c>
      <c r="G538" t="n">
        <v>2.1</v>
      </c>
      <c r="H538" t="n">
        <v>0</v>
      </c>
      <c r="I538" t="n">
        <v>0</v>
      </c>
      <c r="J538" t="n">
        <v>0</v>
      </c>
      <c r="K538" t="n">
        <v>0</v>
      </c>
      <c r="L538" t="n">
        <v>0</v>
      </c>
      <c r="M538" t="n">
        <v>0</v>
      </c>
      <c r="N538" t="n">
        <v>0</v>
      </c>
      <c r="O538" t="n">
        <v>0</v>
      </c>
      <c r="P538" t="n">
        <v>0</v>
      </c>
      <c r="Q538" t="n">
        <v>0</v>
      </c>
      <c r="R538" s="2" t="inlineStr"/>
    </row>
    <row r="539" ht="15" customHeight="1">
      <c r="A539" t="inlineStr">
        <is>
          <t>A 19292-2026</t>
        </is>
      </c>
      <c r="B539" s="1" t="n">
        <v>46133</v>
      </c>
      <c r="C539" s="1" t="n">
        <v>46205</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25116-2026</t>
        </is>
      </c>
      <c r="B540" s="1" t="n">
        <v>46175</v>
      </c>
      <c r="C540" s="1" t="n">
        <v>46205</v>
      </c>
      <c r="D540" t="inlineStr">
        <is>
          <t>ÖREBRO LÄN</t>
        </is>
      </c>
      <c r="E540" t="inlineStr">
        <is>
          <t>LINDESBERG</t>
        </is>
      </c>
      <c r="F540" t="inlineStr">
        <is>
          <t>Sveaskog</t>
        </is>
      </c>
      <c r="G540" t="n">
        <v>3.8</v>
      </c>
      <c r="H540" t="n">
        <v>0</v>
      </c>
      <c r="I540" t="n">
        <v>0</v>
      </c>
      <c r="J540" t="n">
        <v>0</v>
      </c>
      <c r="K540" t="n">
        <v>0</v>
      </c>
      <c r="L540" t="n">
        <v>0</v>
      </c>
      <c r="M540" t="n">
        <v>0</v>
      </c>
      <c r="N540" t="n">
        <v>0</v>
      </c>
      <c r="O540" t="n">
        <v>0</v>
      </c>
      <c r="P540" t="n">
        <v>0</v>
      </c>
      <c r="Q540" t="n">
        <v>0</v>
      </c>
      <c r="R540" s="2" t="inlineStr"/>
    </row>
    <row r="541" ht="15" customHeight="1">
      <c r="A541" t="inlineStr">
        <is>
          <t>A 40117-2023</t>
        </is>
      </c>
      <c r="B541" s="1" t="n">
        <v>45168</v>
      </c>
      <c r="C541" s="1" t="n">
        <v>46205</v>
      </c>
      <c r="D541" t="inlineStr">
        <is>
          <t>ÖREBRO LÄN</t>
        </is>
      </c>
      <c r="E541" t="inlineStr">
        <is>
          <t>LINDESBERG</t>
        </is>
      </c>
      <c r="G541" t="n">
        <v>2.3</v>
      </c>
      <c r="H541" t="n">
        <v>0</v>
      </c>
      <c r="I541" t="n">
        <v>0</v>
      </c>
      <c r="J541" t="n">
        <v>0</v>
      </c>
      <c r="K541" t="n">
        <v>0</v>
      </c>
      <c r="L541" t="n">
        <v>0</v>
      </c>
      <c r="M541" t="n">
        <v>0</v>
      </c>
      <c r="N541" t="n">
        <v>0</v>
      </c>
      <c r="O541" t="n">
        <v>0</v>
      </c>
      <c r="P541" t="n">
        <v>0</v>
      </c>
      <c r="Q541" t="n">
        <v>0</v>
      </c>
      <c r="R541" s="2" t="inlineStr"/>
    </row>
    <row r="542" ht="15" customHeight="1">
      <c r="A542" t="inlineStr">
        <is>
          <t>A 25117-2026</t>
        </is>
      </c>
      <c r="B542" s="1" t="n">
        <v>46175</v>
      </c>
      <c r="C542" s="1" t="n">
        <v>46205</v>
      </c>
      <c r="D542" t="inlineStr">
        <is>
          <t>ÖREBRO LÄN</t>
        </is>
      </c>
      <c r="E542" t="inlineStr">
        <is>
          <t>LINDESBERG</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11366-2024</t>
        </is>
      </c>
      <c r="B543" s="1" t="n">
        <v>45372</v>
      </c>
      <c r="C543" s="1" t="n">
        <v>46205</v>
      </c>
      <c r="D543" t="inlineStr">
        <is>
          <t>ÖREBRO LÄN</t>
        </is>
      </c>
      <c r="E543" t="inlineStr">
        <is>
          <t>LINDESBERG</t>
        </is>
      </c>
      <c r="G543" t="n">
        <v>4.4</v>
      </c>
      <c r="H543" t="n">
        <v>0</v>
      </c>
      <c r="I543" t="n">
        <v>0</v>
      </c>
      <c r="J543" t="n">
        <v>0</v>
      </c>
      <c r="K543" t="n">
        <v>0</v>
      </c>
      <c r="L543" t="n">
        <v>0</v>
      </c>
      <c r="M543" t="n">
        <v>0</v>
      </c>
      <c r="N543" t="n">
        <v>0</v>
      </c>
      <c r="O543" t="n">
        <v>0</v>
      </c>
      <c r="P543" t="n">
        <v>0</v>
      </c>
      <c r="Q543" t="n">
        <v>0</v>
      </c>
      <c r="R543" s="2" t="inlineStr"/>
    </row>
    <row r="544" ht="15" customHeight="1">
      <c r="A544" t="inlineStr">
        <is>
          <t>A 60943-2024</t>
        </is>
      </c>
      <c r="B544" s="1" t="n">
        <v>45645</v>
      </c>
      <c r="C544" s="1" t="n">
        <v>46205</v>
      </c>
      <c r="D544" t="inlineStr">
        <is>
          <t>ÖREBRO LÄN</t>
        </is>
      </c>
      <c r="E544" t="inlineStr">
        <is>
          <t>LINDESBERG</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56912-2024</t>
        </is>
      </c>
      <c r="B545" s="1" t="n">
        <v>45628</v>
      </c>
      <c r="C545" s="1" t="n">
        <v>46205</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44010-2023</t>
        </is>
      </c>
      <c r="B546" s="1" t="n">
        <v>45188</v>
      </c>
      <c r="C546" s="1" t="n">
        <v>46205</v>
      </c>
      <c r="D546" t="inlineStr">
        <is>
          <t>ÖREBRO LÄN</t>
        </is>
      </c>
      <c r="E546" t="inlineStr">
        <is>
          <t>LINDESBERG</t>
        </is>
      </c>
      <c r="G546" t="n">
        <v>2.3</v>
      </c>
      <c r="H546" t="n">
        <v>0</v>
      </c>
      <c r="I546" t="n">
        <v>0</v>
      </c>
      <c r="J546" t="n">
        <v>0</v>
      </c>
      <c r="K546" t="n">
        <v>0</v>
      </c>
      <c r="L546" t="n">
        <v>0</v>
      </c>
      <c r="M546" t="n">
        <v>0</v>
      </c>
      <c r="N546" t="n">
        <v>0</v>
      </c>
      <c r="O546" t="n">
        <v>0</v>
      </c>
      <c r="P546" t="n">
        <v>0</v>
      </c>
      <c r="Q546" t="n">
        <v>0</v>
      </c>
      <c r="R546" s="2" t="inlineStr"/>
    </row>
    <row r="547" ht="15" customHeight="1">
      <c r="A547" t="inlineStr">
        <is>
          <t>A 31221-2025</t>
        </is>
      </c>
      <c r="B547" s="1" t="n">
        <v>45832</v>
      </c>
      <c r="C547" s="1" t="n">
        <v>46205</v>
      </c>
      <c r="D547" t="inlineStr">
        <is>
          <t>ÖREBRO LÄN</t>
        </is>
      </c>
      <c r="E547" t="inlineStr">
        <is>
          <t>LINDESBERG</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v>
      </c>
      <c r="C548" s="1" t="n">
        <v>46205</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16864-2022</t>
        </is>
      </c>
      <c r="B549" s="1" t="n">
        <v>44675</v>
      </c>
      <c r="C549" s="1" t="n">
        <v>46205</v>
      </c>
      <c r="D549" t="inlineStr">
        <is>
          <t>ÖREBRO LÄN</t>
        </is>
      </c>
      <c r="E549" t="inlineStr">
        <is>
          <t>LINDESBERG</t>
        </is>
      </c>
      <c r="F549" t="inlineStr">
        <is>
          <t>Kyrkan</t>
        </is>
      </c>
      <c r="G549" t="n">
        <v>1.7</v>
      </c>
      <c r="H549" t="n">
        <v>0</v>
      </c>
      <c r="I549" t="n">
        <v>0</v>
      </c>
      <c r="J549" t="n">
        <v>0</v>
      </c>
      <c r="K549" t="n">
        <v>0</v>
      </c>
      <c r="L549" t="n">
        <v>0</v>
      </c>
      <c r="M549" t="n">
        <v>0</v>
      </c>
      <c r="N549" t="n">
        <v>0</v>
      </c>
      <c r="O549" t="n">
        <v>0</v>
      </c>
      <c r="P549" t="n">
        <v>0</v>
      </c>
      <c r="Q549" t="n">
        <v>0</v>
      </c>
      <c r="R549" s="2" t="inlineStr"/>
    </row>
    <row r="550" ht="15" customHeight="1">
      <c r="A550" t="inlineStr">
        <is>
          <t>A 32928-2023</t>
        </is>
      </c>
      <c r="B550" s="1" t="n">
        <v>45125</v>
      </c>
      <c r="C550" s="1" t="n">
        <v>46205</v>
      </c>
      <c r="D550" t="inlineStr">
        <is>
          <t>ÖREBRO LÄN</t>
        </is>
      </c>
      <c r="E550" t="inlineStr">
        <is>
          <t>LINDESBERG</t>
        </is>
      </c>
      <c r="G550" t="n">
        <v>4.8</v>
      </c>
      <c r="H550" t="n">
        <v>0</v>
      </c>
      <c r="I550" t="n">
        <v>0</v>
      </c>
      <c r="J550" t="n">
        <v>0</v>
      </c>
      <c r="K550" t="n">
        <v>0</v>
      </c>
      <c r="L550" t="n">
        <v>0</v>
      </c>
      <c r="M550" t="n">
        <v>0</v>
      </c>
      <c r="N550" t="n">
        <v>0</v>
      </c>
      <c r="O550" t="n">
        <v>0</v>
      </c>
      <c r="P550" t="n">
        <v>0</v>
      </c>
      <c r="Q550" t="n">
        <v>0</v>
      </c>
      <c r="R550" s="2" t="inlineStr"/>
    </row>
    <row r="551" ht="15" customHeight="1">
      <c r="A551" t="inlineStr">
        <is>
          <t>A 36754-2024</t>
        </is>
      </c>
      <c r="B551" s="1" t="n">
        <v>45538</v>
      </c>
      <c r="C551" s="1" t="n">
        <v>46205</v>
      </c>
      <c r="D551" t="inlineStr">
        <is>
          <t>ÖREBRO LÄN</t>
        </is>
      </c>
      <c r="E551" t="inlineStr">
        <is>
          <t>LINDESBERG</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21016-2023</t>
        </is>
      </c>
      <c r="B552" s="1" t="n">
        <v>45061</v>
      </c>
      <c r="C552" s="1" t="n">
        <v>46205</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40306-2022</t>
        </is>
      </c>
      <c r="B553" s="1" t="n">
        <v>44822</v>
      </c>
      <c r="C553" s="1" t="n">
        <v>46205</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27440-2023</t>
        </is>
      </c>
      <c r="B554" s="1" t="n">
        <v>45097</v>
      </c>
      <c r="C554" s="1" t="n">
        <v>46205</v>
      </c>
      <c r="D554" t="inlineStr">
        <is>
          <t>ÖREBRO LÄN</t>
        </is>
      </c>
      <c r="E554" t="inlineStr">
        <is>
          <t>LINDESBERG</t>
        </is>
      </c>
      <c r="G554" t="n">
        <v>6.6</v>
      </c>
      <c r="H554" t="n">
        <v>0</v>
      </c>
      <c r="I554" t="n">
        <v>0</v>
      </c>
      <c r="J554" t="n">
        <v>0</v>
      </c>
      <c r="K554" t="n">
        <v>0</v>
      </c>
      <c r="L554" t="n">
        <v>0</v>
      </c>
      <c r="M554" t="n">
        <v>0</v>
      </c>
      <c r="N554" t="n">
        <v>0</v>
      </c>
      <c r="O554" t="n">
        <v>0</v>
      </c>
      <c r="P554" t="n">
        <v>0</v>
      </c>
      <c r="Q554" t="n">
        <v>0</v>
      </c>
      <c r="R554" s="2" t="inlineStr"/>
    </row>
    <row r="555" ht="15" customHeight="1">
      <c r="A555" t="inlineStr">
        <is>
          <t>A 40905-2023</t>
        </is>
      </c>
      <c r="B555" s="1" t="n">
        <v>45173</v>
      </c>
      <c r="C555" s="1" t="n">
        <v>46205</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41951-2023</t>
        </is>
      </c>
      <c r="B556" s="1" t="n">
        <v>45177</v>
      </c>
      <c r="C556" s="1" t="n">
        <v>46205</v>
      </c>
      <c r="D556" t="inlineStr">
        <is>
          <t>ÖREBRO LÄN</t>
        </is>
      </c>
      <c r="E556" t="inlineStr">
        <is>
          <t>LINDESBERG</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4310-2025</t>
        </is>
      </c>
      <c r="B557" s="1" t="n">
        <v>45685</v>
      </c>
      <c r="C557" s="1" t="n">
        <v>46205</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23245-2025</t>
        </is>
      </c>
      <c r="B558" s="1" t="n">
        <v>45791</v>
      </c>
      <c r="C558" s="1" t="n">
        <v>46205</v>
      </c>
      <c r="D558" t="inlineStr">
        <is>
          <t>ÖREBRO LÄN</t>
        </is>
      </c>
      <c r="E558" t="inlineStr">
        <is>
          <t>LINDESBERG</t>
        </is>
      </c>
      <c r="G558" t="n">
        <v>6.8</v>
      </c>
      <c r="H558" t="n">
        <v>0</v>
      </c>
      <c r="I558" t="n">
        <v>0</v>
      </c>
      <c r="J558" t="n">
        <v>0</v>
      </c>
      <c r="K558" t="n">
        <v>0</v>
      </c>
      <c r="L558" t="n">
        <v>0</v>
      </c>
      <c r="M558" t="n">
        <v>0</v>
      </c>
      <c r="N558" t="n">
        <v>0</v>
      </c>
      <c r="O558" t="n">
        <v>0</v>
      </c>
      <c r="P558" t="n">
        <v>0</v>
      </c>
      <c r="Q558" t="n">
        <v>0</v>
      </c>
      <c r="R558" s="2" t="inlineStr"/>
    </row>
    <row r="559" ht="15" customHeight="1">
      <c r="A559" t="inlineStr">
        <is>
          <t>A 34025-2024</t>
        </is>
      </c>
      <c r="B559" s="1" t="n">
        <v>45523</v>
      </c>
      <c r="C559" s="1" t="n">
        <v>46205</v>
      </c>
      <c r="D559" t="inlineStr">
        <is>
          <t>ÖREBRO LÄN</t>
        </is>
      </c>
      <c r="E559" t="inlineStr">
        <is>
          <t>LINDESBERG</t>
        </is>
      </c>
      <c r="G559" t="n">
        <v>1.3</v>
      </c>
      <c r="H559" t="n">
        <v>0</v>
      </c>
      <c r="I559" t="n">
        <v>0</v>
      </c>
      <c r="J559" t="n">
        <v>0</v>
      </c>
      <c r="K559" t="n">
        <v>0</v>
      </c>
      <c r="L559" t="n">
        <v>0</v>
      </c>
      <c r="M559" t="n">
        <v>0</v>
      </c>
      <c r="N559" t="n">
        <v>0</v>
      </c>
      <c r="O559" t="n">
        <v>0</v>
      </c>
      <c r="P559" t="n">
        <v>0</v>
      </c>
      <c r="Q559" t="n">
        <v>0</v>
      </c>
      <c r="R559" s="2" t="inlineStr"/>
    </row>
    <row r="560" ht="15" customHeight="1">
      <c r="A560" t="inlineStr">
        <is>
          <t>A 44067-2025</t>
        </is>
      </c>
      <c r="B560" s="1" t="n">
        <v>45915</v>
      </c>
      <c r="C560" s="1" t="n">
        <v>46205</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34434-2023</t>
        </is>
      </c>
      <c r="B561" s="1" t="n">
        <v>45139</v>
      </c>
      <c r="C561" s="1" t="n">
        <v>46205</v>
      </c>
      <c r="D561" t="inlineStr">
        <is>
          <t>ÖREBRO LÄN</t>
        </is>
      </c>
      <c r="E561" t="inlineStr">
        <is>
          <t>LINDESBERG</t>
        </is>
      </c>
      <c r="F561" t="inlineStr">
        <is>
          <t>Kyrkan</t>
        </is>
      </c>
      <c r="G561" t="n">
        <v>1.7</v>
      </c>
      <c r="H561" t="n">
        <v>0</v>
      </c>
      <c r="I561" t="n">
        <v>0</v>
      </c>
      <c r="J561" t="n">
        <v>0</v>
      </c>
      <c r="K561" t="n">
        <v>0</v>
      </c>
      <c r="L561" t="n">
        <v>0</v>
      </c>
      <c r="M561" t="n">
        <v>0</v>
      </c>
      <c r="N561" t="n">
        <v>0</v>
      </c>
      <c r="O561" t="n">
        <v>0</v>
      </c>
      <c r="P561" t="n">
        <v>0</v>
      </c>
      <c r="Q561" t="n">
        <v>0</v>
      </c>
      <c r="R561" s="2" t="inlineStr"/>
    </row>
    <row r="562" ht="15" customHeight="1">
      <c r="A562" t="inlineStr">
        <is>
          <t>A 61691-2023</t>
        </is>
      </c>
      <c r="B562" s="1" t="n">
        <v>45265</v>
      </c>
      <c r="C562" s="1" t="n">
        <v>46205</v>
      </c>
      <c r="D562" t="inlineStr">
        <is>
          <t>ÖREBRO LÄN</t>
        </is>
      </c>
      <c r="E562" t="inlineStr">
        <is>
          <t>LINDESBERG</t>
        </is>
      </c>
      <c r="G562" t="n">
        <v>2.6</v>
      </c>
      <c r="H562" t="n">
        <v>0</v>
      </c>
      <c r="I562" t="n">
        <v>0</v>
      </c>
      <c r="J562" t="n">
        <v>0</v>
      </c>
      <c r="K562" t="n">
        <v>0</v>
      </c>
      <c r="L562" t="n">
        <v>0</v>
      </c>
      <c r="M562" t="n">
        <v>0</v>
      </c>
      <c r="N562" t="n">
        <v>0</v>
      </c>
      <c r="O562" t="n">
        <v>0</v>
      </c>
      <c r="P562" t="n">
        <v>0</v>
      </c>
      <c r="Q562" t="n">
        <v>0</v>
      </c>
      <c r="R562" s="2" t="inlineStr"/>
    </row>
    <row r="563" ht="15" customHeight="1">
      <c r="A563" t="inlineStr">
        <is>
          <t>A 37507-2023</t>
        </is>
      </c>
      <c r="B563" s="1" t="n">
        <v>45158</v>
      </c>
      <c r="C563" s="1" t="n">
        <v>46205</v>
      </c>
      <c r="D563" t="inlineStr">
        <is>
          <t>ÖREBRO LÄN</t>
        </is>
      </c>
      <c r="E563" t="inlineStr">
        <is>
          <t>LINDESBERG</t>
        </is>
      </c>
      <c r="G563" t="n">
        <v>0.6</v>
      </c>
      <c r="H563" t="n">
        <v>0</v>
      </c>
      <c r="I563" t="n">
        <v>0</v>
      </c>
      <c r="J563" t="n">
        <v>0</v>
      </c>
      <c r="K563" t="n">
        <v>0</v>
      </c>
      <c r="L563" t="n">
        <v>0</v>
      </c>
      <c r="M563" t="n">
        <v>0</v>
      </c>
      <c r="N563" t="n">
        <v>0</v>
      </c>
      <c r="O563" t="n">
        <v>0</v>
      </c>
      <c r="P563" t="n">
        <v>0</v>
      </c>
      <c r="Q563" t="n">
        <v>0</v>
      </c>
      <c r="R563" s="2" t="inlineStr"/>
    </row>
    <row r="564" ht="15" customHeight="1">
      <c r="A564" t="inlineStr">
        <is>
          <t>A 48061-2025</t>
        </is>
      </c>
      <c r="B564" s="1" t="n">
        <v>45932</v>
      </c>
      <c r="C564" s="1" t="n">
        <v>46205</v>
      </c>
      <c r="D564" t="inlineStr">
        <is>
          <t>ÖREBRO LÄN</t>
        </is>
      </c>
      <c r="E564" t="inlineStr">
        <is>
          <t>LINDESBERG</t>
        </is>
      </c>
      <c r="G564" t="n">
        <v>1.5</v>
      </c>
      <c r="H564" t="n">
        <v>0</v>
      </c>
      <c r="I564" t="n">
        <v>0</v>
      </c>
      <c r="J564" t="n">
        <v>0</v>
      </c>
      <c r="K564" t="n">
        <v>0</v>
      </c>
      <c r="L564" t="n">
        <v>0</v>
      </c>
      <c r="M564" t="n">
        <v>0</v>
      </c>
      <c r="N564" t="n">
        <v>0</v>
      </c>
      <c r="O564" t="n">
        <v>0</v>
      </c>
      <c r="P564" t="n">
        <v>0</v>
      </c>
      <c r="Q564" t="n">
        <v>0</v>
      </c>
      <c r="R564" s="2" t="inlineStr"/>
    </row>
    <row r="565" ht="15" customHeight="1">
      <c r="A565" t="inlineStr">
        <is>
          <t>A 41576-2021</t>
        </is>
      </c>
      <c r="B565" s="1" t="n">
        <v>44425</v>
      </c>
      <c r="C565" s="1" t="n">
        <v>46205</v>
      </c>
      <c r="D565" t="inlineStr">
        <is>
          <t>ÖREBRO LÄN</t>
        </is>
      </c>
      <c r="E565" t="inlineStr">
        <is>
          <t>LINDESBERG</t>
        </is>
      </c>
      <c r="F565" t="inlineStr">
        <is>
          <t>Sveaskog</t>
        </is>
      </c>
      <c r="G565" t="n">
        <v>1.6</v>
      </c>
      <c r="H565" t="n">
        <v>0</v>
      </c>
      <c r="I565" t="n">
        <v>0</v>
      </c>
      <c r="J565" t="n">
        <v>0</v>
      </c>
      <c r="K565" t="n">
        <v>0</v>
      </c>
      <c r="L565" t="n">
        <v>0</v>
      </c>
      <c r="M565" t="n">
        <v>0</v>
      </c>
      <c r="N565" t="n">
        <v>0</v>
      </c>
      <c r="O565" t="n">
        <v>0</v>
      </c>
      <c r="P565" t="n">
        <v>0</v>
      </c>
      <c r="Q565" t="n">
        <v>0</v>
      </c>
      <c r="R565" s="2" t="inlineStr"/>
    </row>
    <row r="566" ht="15" customHeight="1">
      <c r="A566" t="inlineStr">
        <is>
          <t>A 59052-2023</t>
        </is>
      </c>
      <c r="B566" s="1" t="n">
        <v>45252</v>
      </c>
      <c r="C566" s="1" t="n">
        <v>46205</v>
      </c>
      <c r="D566" t="inlineStr">
        <is>
          <t>ÖREBRO LÄN</t>
        </is>
      </c>
      <c r="E566" t="inlineStr">
        <is>
          <t>LINDESBERG</t>
        </is>
      </c>
      <c r="G566" t="n">
        <v>4.2</v>
      </c>
      <c r="H566" t="n">
        <v>0</v>
      </c>
      <c r="I566" t="n">
        <v>0</v>
      </c>
      <c r="J566" t="n">
        <v>0</v>
      </c>
      <c r="K566" t="n">
        <v>0</v>
      </c>
      <c r="L566" t="n">
        <v>0</v>
      </c>
      <c r="M566" t="n">
        <v>0</v>
      </c>
      <c r="N566" t="n">
        <v>0</v>
      </c>
      <c r="O566" t="n">
        <v>0</v>
      </c>
      <c r="P566" t="n">
        <v>0</v>
      </c>
      <c r="Q566" t="n">
        <v>0</v>
      </c>
      <c r="R566" s="2" t="inlineStr"/>
    </row>
    <row r="567" ht="15" customHeight="1">
      <c r="A567" t="inlineStr">
        <is>
          <t>A 46675-2023</t>
        </is>
      </c>
      <c r="B567" s="1" t="n">
        <v>45194</v>
      </c>
      <c r="C567" s="1" t="n">
        <v>46205</v>
      </c>
      <c r="D567" t="inlineStr">
        <is>
          <t>ÖREBRO LÄN</t>
        </is>
      </c>
      <c r="E567" t="inlineStr">
        <is>
          <t>LINDESBERG</t>
        </is>
      </c>
      <c r="G567" t="n">
        <v>3.8</v>
      </c>
      <c r="H567" t="n">
        <v>0</v>
      </c>
      <c r="I567" t="n">
        <v>0</v>
      </c>
      <c r="J567" t="n">
        <v>0</v>
      </c>
      <c r="K567" t="n">
        <v>0</v>
      </c>
      <c r="L567" t="n">
        <v>0</v>
      </c>
      <c r="M567" t="n">
        <v>0</v>
      </c>
      <c r="N567" t="n">
        <v>0</v>
      </c>
      <c r="O567" t="n">
        <v>0</v>
      </c>
      <c r="P567" t="n">
        <v>0</v>
      </c>
      <c r="Q567" t="n">
        <v>0</v>
      </c>
      <c r="R567" s="2" t="inlineStr"/>
    </row>
    <row r="568" ht="15" customHeight="1">
      <c r="A568" t="inlineStr">
        <is>
          <t>A 52098-2025</t>
        </is>
      </c>
      <c r="B568" s="1" t="n">
        <v>45952</v>
      </c>
      <c r="C568" s="1" t="n">
        <v>46205</v>
      </c>
      <c r="D568" t="inlineStr">
        <is>
          <t>ÖREBRO LÄN</t>
        </is>
      </c>
      <c r="E568" t="inlineStr">
        <is>
          <t>LINDESBERG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60492-2024</t>
        </is>
      </c>
      <c r="B569" s="1" t="n">
        <v>45642</v>
      </c>
      <c r="C569" s="1" t="n">
        <v>46205</v>
      </c>
      <c r="D569" t="inlineStr">
        <is>
          <t>ÖREBRO LÄN</t>
        </is>
      </c>
      <c r="E569" t="inlineStr">
        <is>
          <t>LINDESBERG</t>
        </is>
      </c>
      <c r="G569" t="n">
        <v>2.6</v>
      </c>
      <c r="H569" t="n">
        <v>0</v>
      </c>
      <c r="I569" t="n">
        <v>0</v>
      </c>
      <c r="J569" t="n">
        <v>0</v>
      </c>
      <c r="K569" t="n">
        <v>0</v>
      </c>
      <c r="L569" t="n">
        <v>0</v>
      </c>
      <c r="M569" t="n">
        <v>0</v>
      </c>
      <c r="N569" t="n">
        <v>0</v>
      </c>
      <c r="O569" t="n">
        <v>0</v>
      </c>
      <c r="P569" t="n">
        <v>0</v>
      </c>
      <c r="Q569" t="n">
        <v>0</v>
      </c>
      <c r="R569" s="2" t="inlineStr"/>
    </row>
    <row r="570" ht="15" customHeight="1">
      <c r="A570" t="inlineStr">
        <is>
          <t>A 53510-2024</t>
        </is>
      </c>
      <c r="B570" s="1" t="n">
        <v>45614</v>
      </c>
      <c r="C570" s="1" t="n">
        <v>46205</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54432-2023</t>
        </is>
      </c>
      <c r="B571" s="1" t="n">
        <v>45233</v>
      </c>
      <c r="C571" s="1" t="n">
        <v>46205</v>
      </c>
      <c r="D571" t="inlineStr">
        <is>
          <t>ÖREBRO LÄN</t>
        </is>
      </c>
      <c r="E571" t="inlineStr">
        <is>
          <t>LINDESBERG</t>
        </is>
      </c>
      <c r="F571" t="inlineStr">
        <is>
          <t>Sveaskog</t>
        </is>
      </c>
      <c r="G571" t="n">
        <v>1.3</v>
      </c>
      <c r="H571" t="n">
        <v>0</v>
      </c>
      <c r="I571" t="n">
        <v>0</v>
      </c>
      <c r="J571" t="n">
        <v>0</v>
      </c>
      <c r="K571" t="n">
        <v>0</v>
      </c>
      <c r="L571" t="n">
        <v>0</v>
      </c>
      <c r="M571" t="n">
        <v>0</v>
      </c>
      <c r="N571" t="n">
        <v>0</v>
      </c>
      <c r="O571" t="n">
        <v>0</v>
      </c>
      <c r="P571" t="n">
        <v>0</v>
      </c>
      <c r="Q571" t="n">
        <v>0</v>
      </c>
      <c r="R571" s="2" t="inlineStr"/>
    </row>
    <row r="572" ht="15" customHeight="1">
      <c r="A572" t="inlineStr">
        <is>
          <t>A 15933-2025</t>
        </is>
      </c>
      <c r="B572" s="1" t="n">
        <v>45749</v>
      </c>
      <c r="C572" s="1" t="n">
        <v>46205</v>
      </c>
      <c r="D572" t="inlineStr">
        <is>
          <t>ÖREBRO LÄN</t>
        </is>
      </c>
      <c r="E572" t="inlineStr">
        <is>
          <t>LINDESBERG</t>
        </is>
      </c>
      <c r="G572" t="n">
        <v>6.1</v>
      </c>
      <c r="H572" t="n">
        <v>0</v>
      </c>
      <c r="I572" t="n">
        <v>0</v>
      </c>
      <c r="J572" t="n">
        <v>0</v>
      </c>
      <c r="K572" t="n">
        <v>0</v>
      </c>
      <c r="L572" t="n">
        <v>0</v>
      </c>
      <c r="M572" t="n">
        <v>0</v>
      </c>
      <c r="N572" t="n">
        <v>0</v>
      </c>
      <c r="O572" t="n">
        <v>0</v>
      </c>
      <c r="P572" t="n">
        <v>0</v>
      </c>
      <c r="Q572" t="n">
        <v>0</v>
      </c>
      <c r="R572" s="2" t="inlineStr"/>
    </row>
    <row r="573" ht="15" customHeight="1">
      <c r="A573" t="inlineStr">
        <is>
          <t>A 15936-2025</t>
        </is>
      </c>
      <c r="B573" s="1" t="n">
        <v>45749</v>
      </c>
      <c r="C573" s="1" t="n">
        <v>46205</v>
      </c>
      <c r="D573" t="inlineStr">
        <is>
          <t>ÖREBRO LÄN</t>
        </is>
      </c>
      <c r="E573" t="inlineStr">
        <is>
          <t>LINDESBERG</t>
        </is>
      </c>
      <c r="G573" t="n">
        <v>22.3</v>
      </c>
      <c r="H573" t="n">
        <v>0</v>
      </c>
      <c r="I573" t="n">
        <v>0</v>
      </c>
      <c r="J573" t="n">
        <v>0</v>
      </c>
      <c r="K573" t="n">
        <v>0</v>
      </c>
      <c r="L573" t="n">
        <v>0</v>
      </c>
      <c r="M573" t="n">
        <v>0</v>
      </c>
      <c r="N573" t="n">
        <v>0</v>
      </c>
      <c r="O573" t="n">
        <v>0</v>
      </c>
      <c r="P573" t="n">
        <v>0</v>
      </c>
      <c r="Q573" t="n">
        <v>0</v>
      </c>
      <c r="R573" s="2" t="inlineStr"/>
    </row>
    <row r="574" ht="15" customHeight="1">
      <c r="A574" t="inlineStr">
        <is>
          <t>A 1490-2024</t>
        </is>
      </c>
      <c r="B574" s="1" t="n">
        <v>45305</v>
      </c>
      <c r="C574" s="1" t="n">
        <v>46205</v>
      </c>
      <c r="D574" t="inlineStr">
        <is>
          <t>ÖREBRO LÄN</t>
        </is>
      </c>
      <c r="E574" t="inlineStr">
        <is>
          <t>LINDESBERG</t>
        </is>
      </c>
      <c r="G574" t="n">
        <v>17.6</v>
      </c>
      <c r="H574" t="n">
        <v>0</v>
      </c>
      <c r="I574" t="n">
        <v>0</v>
      </c>
      <c r="J574" t="n">
        <v>0</v>
      </c>
      <c r="K574" t="n">
        <v>0</v>
      </c>
      <c r="L574" t="n">
        <v>0</v>
      </c>
      <c r="M574" t="n">
        <v>0</v>
      </c>
      <c r="N574" t="n">
        <v>0</v>
      </c>
      <c r="O574" t="n">
        <v>0</v>
      </c>
      <c r="P574" t="n">
        <v>0</v>
      </c>
      <c r="Q574" t="n">
        <v>0</v>
      </c>
      <c r="R574" s="2" t="inlineStr"/>
    </row>
    <row r="575" ht="15" customHeight="1">
      <c r="A575" t="inlineStr">
        <is>
          <t>A 53168-2023</t>
        </is>
      </c>
      <c r="B575" s="1" t="n">
        <v>45229</v>
      </c>
      <c r="C575" s="1" t="n">
        <v>46205</v>
      </c>
      <c r="D575" t="inlineStr">
        <is>
          <t>ÖREBRO LÄN</t>
        </is>
      </c>
      <c r="E575" t="inlineStr">
        <is>
          <t>LINDESBERG</t>
        </is>
      </c>
      <c r="G575" t="n">
        <v>1.5</v>
      </c>
      <c r="H575" t="n">
        <v>0</v>
      </c>
      <c r="I575" t="n">
        <v>0</v>
      </c>
      <c r="J575" t="n">
        <v>0</v>
      </c>
      <c r="K575" t="n">
        <v>0</v>
      </c>
      <c r="L575" t="n">
        <v>0</v>
      </c>
      <c r="M575" t="n">
        <v>0</v>
      </c>
      <c r="N575" t="n">
        <v>0</v>
      </c>
      <c r="O575" t="n">
        <v>0</v>
      </c>
      <c r="P575" t="n">
        <v>0</v>
      </c>
      <c r="Q575" t="n">
        <v>0</v>
      </c>
      <c r="R575" s="2" t="inlineStr"/>
    </row>
    <row r="576" ht="15" customHeight="1">
      <c r="A576" t="inlineStr">
        <is>
          <t>A 41353-2024</t>
        </is>
      </c>
      <c r="B576" s="1" t="n">
        <v>45559</v>
      </c>
      <c r="C576" s="1" t="n">
        <v>46205</v>
      </c>
      <c r="D576" t="inlineStr">
        <is>
          <t>ÖREBRO LÄN</t>
        </is>
      </c>
      <c r="E576" t="inlineStr">
        <is>
          <t>LINDESBERG</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17242-2025</t>
        </is>
      </c>
      <c r="B577" s="1" t="n">
        <v>45756</v>
      </c>
      <c r="C577" s="1" t="n">
        <v>46205</v>
      </c>
      <c r="D577" t="inlineStr">
        <is>
          <t>ÖREBRO LÄN</t>
        </is>
      </c>
      <c r="E577" t="inlineStr">
        <is>
          <t>LINDESBERG</t>
        </is>
      </c>
      <c r="G577" t="n">
        <v>7.3</v>
      </c>
      <c r="H577" t="n">
        <v>0</v>
      </c>
      <c r="I577" t="n">
        <v>0</v>
      </c>
      <c r="J577" t="n">
        <v>0</v>
      </c>
      <c r="K577" t="n">
        <v>0</v>
      </c>
      <c r="L577" t="n">
        <v>0</v>
      </c>
      <c r="M577" t="n">
        <v>0</v>
      </c>
      <c r="N577" t="n">
        <v>0</v>
      </c>
      <c r="O577" t="n">
        <v>0</v>
      </c>
      <c r="P577" t="n">
        <v>0</v>
      </c>
      <c r="Q577" t="n">
        <v>0</v>
      </c>
      <c r="R577" s="2" t="inlineStr"/>
    </row>
    <row r="578" ht="15" customHeight="1">
      <c r="A578" t="inlineStr">
        <is>
          <t>A 31215-2025</t>
        </is>
      </c>
      <c r="B578" s="1" t="n">
        <v>45832</v>
      </c>
      <c r="C578" s="1" t="n">
        <v>46205</v>
      </c>
      <c r="D578" t="inlineStr">
        <is>
          <t>ÖREBRO LÄN</t>
        </is>
      </c>
      <c r="E578" t="inlineStr">
        <is>
          <t>LINDESBERG</t>
        </is>
      </c>
      <c r="F578" t="inlineStr">
        <is>
          <t>Sveaskog</t>
        </is>
      </c>
      <c r="G578" t="n">
        <v>4</v>
      </c>
      <c r="H578" t="n">
        <v>0</v>
      </c>
      <c r="I578" t="n">
        <v>0</v>
      </c>
      <c r="J578" t="n">
        <v>0</v>
      </c>
      <c r="K578" t="n">
        <v>0</v>
      </c>
      <c r="L578" t="n">
        <v>0</v>
      </c>
      <c r="M578" t="n">
        <v>0</v>
      </c>
      <c r="N578" t="n">
        <v>0</v>
      </c>
      <c r="O578" t="n">
        <v>0</v>
      </c>
      <c r="P578" t="n">
        <v>0</v>
      </c>
      <c r="Q578" t="n">
        <v>0</v>
      </c>
      <c r="R578" s="2" t="inlineStr"/>
    </row>
    <row r="579" ht="15" customHeight="1">
      <c r="A579" t="inlineStr">
        <is>
          <t>A 53062-2023</t>
        </is>
      </c>
      <c r="B579" s="1" t="n">
        <v>45227</v>
      </c>
      <c r="C579" s="1" t="n">
        <v>46205</v>
      </c>
      <c r="D579" t="inlineStr">
        <is>
          <t>ÖREBRO LÄN</t>
        </is>
      </c>
      <c r="E579" t="inlineStr">
        <is>
          <t>LINDESBERG</t>
        </is>
      </c>
      <c r="G579" t="n">
        <v>3.1</v>
      </c>
      <c r="H579" t="n">
        <v>0</v>
      </c>
      <c r="I579" t="n">
        <v>0</v>
      </c>
      <c r="J579" t="n">
        <v>0</v>
      </c>
      <c r="K579" t="n">
        <v>0</v>
      </c>
      <c r="L579" t="n">
        <v>0</v>
      </c>
      <c r="M579" t="n">
        <v>0</v>
      </c>
      <c r="N579" t="n">
        <v>0</v>
      </c>
      <c r="O579" t="n">
        <v>0</v>
      </c>
      <c r="P579" t="n">
        <v>0</v>
      </c>
      <c r="Q579" t="n">
        <v>0</v>
      </c>
      <c r="R579" s="2" t="inlineStr"/>
    </row>
    <row r="580" ht="15" customHeight="1">
      <c r="A580" t="inlineStr">
        <is>
          <t>A 8902-2024</t>
        </is>
      </c>
      <c r="B580" s="1" t="n">
        <v>45357</v>
      </c>
      <c r="C580" s="1" t="n">
        <v>46205</v>
      </c>
      <c r="D580" t="inlineStr">
        <is>
          <t>ÖREBRO LÄN</t>
        </is>
      </c>
      <c r="E580" t="inlineStr">
        <is>
          <t>LINDESBERG</t>
        </is>
      </c>
      <c r="F580" t="inlineStr">
        <is>
          <t>Kommuner</t>
        </is>
      </c>
      <c r="G580" t="n">
        <v>0.5</v>
      </c>
      <c r="H580" t="n">
        <v>0</v>
      </c>
      <c r="I580" t="n">
        <v>0</v>
      </c>
      <c r="J580" t="n">
        <v>0</v>
      </c>
      <c r="K580" t="n">
        <v>0</v>
      </c>
      <c r="L580" t="n">
        <v>0</v>
      </c>
      <c r="M580" t="n">
        <v>0</v>
      </c>
      <c r="N580" t="n">
        <v>0</v>
      </c>
      <c r="O580" t="n">
        <v>0</v>
      </c>
      <c r="P580" t="n">
        <v>0</v>
      </c>
      <c r="Q580" t="n">
        <v>0</v>
      </c>
      <c r="R580" s="2" t="inlineStr"/>
    </row>
    <row r="581" ht="15" customHeight="1">
      <c r="A581" t="inlineStr">
        <is>
          <t>A 59631-2023</t>
        </is>
      </c>
      <c r="B581" s="1" t="n">
        <v>45254</v>
      </c>
      <c r="C581" s="1" t="n">
        <v>46205</v>
      </c>
      <c r="D581" t="inlineStr">
        <is>
          <t>ÖREBRO LÄN</t>
        </is>
      </c>
      <c r="E581" t="inlineStr">
        <is>
          <t>LINDESBERG</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19110-2025</t>
        </is>
      </c>
      <c r="B582" s="1" t="n">
        <v>45768</v>
      </c>
      <c r="C582" s="1" t="n">
        <v>46205</v>
      </c>
      <c r="D582" t="inlineStr">
        <is>
          <t>ÖREBRO LÄN</t>
        </is>
      </c>
      <c r="E582" t="inlineStr">
        <is>
          <t>LINDESBERG</t>
        </is>
      </c>
      <c r="G582" t="n">
        <v>2.6</v>
      </c>
      <c r="H582" t="n">
        <v>0</v>
      </c>
      <c r="I582" t="n">
        <v>0</v>
      </c>
      <c r="J582" t="n">
        <v>0</v>
      </c>
      <c r="K582" t="n">
        <v>0</v>
      </c>
      <c r="L582" t="n">
        <v>0</v>
      </c>
      <c r="M582" t="n">
        <v>0</v>
      </c>
      <c r="N582" t="n">
        <v>0</v>
      </c>
      <c r="O582" t="n">
        <v>0</v>
      </c>
      <c r="P582" t="n">
        <v>0</v>
      </c>
      <c r="Q582" t="n">
        <v>0</v>
      </c>
      <c r="R582" s="2" t="inlineStr"/>
    </row>
    <row r="583" ht="15" customHeight="1">
      <c r="A583" t="inlineStr">
        <is>
          <t>A 21245-2024</t>
        </is>
      </c>
      <c r="B583" s="1" t="n">
        <v>45440</v>
      </c>
      <c r="C583" s="1" t="n">
        <v>46205</v>
      </c>
      <c r="D583" t="inlineStr">
        <is>
          <t>ÖREBRO LÄN</t>
        </is>
      </c>
      <c r="E583" t="inlineStr">
        <is>
          <t>LINDESBERG</t>
        </is>
      </c>
      <c r="G583" t="n">
        <v>2</v>
      </c>
      <c r="H583" t="n">
        <v>0</v>
      </c>
      <c r="I583" t="n">
        <v>0</v>
      </c>
      <c r="J583" t="n">
        <v>0</v>
      </c>
      <c r="K583" t="n">
        <v>0</v>
      </c>
      <c r="L583" t="n">
        <v>0</v>
      </c>
      <c r="M583" t="n">
        <v>0</v>
      </c>
      <c r="N583" t="n">
        <v>0</v>
      </c>
      <c r="O583" t="n">
        <v>0</v>
      </c>
      <c r="P583" t="n">
        <v>0</v>
      </c>
      <c r="Q583" t="n">
        <v>0</v>
      </c>
      <c r="R583" s="2" t="inlineStr"/>
    </row>
    <row r="584" ht="15" customHeight="1">
      <c r="A584" t="inlineStr">
        <is>
          <t>A 29350-2022</t>
        </is>
      </c>
      <c r="B584" s="1" t="n">
        <v>44753</v>
      </c>
      <c r="C584" s="1" t="n">
        <v>46205</v>
      </c>
      <c r="D584" t="inlineStr">
        <is>
          <t>ÖREBRO LÄN</t>
        </is>
      </c>
      <c r="E584" t="inlineStr">
        <is>
          <t>LINDESBERG</t>
        </is>
      </c>
      <c r="G584" t="n">
        <v>7.7</v>
      </c>
      <c r="H584" t="n">
        <v>0</v>
      </c>
      <c r="I584" t="n">
        <v>0</v>
      </c>
      <c r="J584" t="n">
        <v>0</v>
      </c>
      <c r="K584" t="n">
        <v>0</v>
      </c>
      <c r="L584" t="n">
        <v>0</v>
      </c>
      <c r="M584" t="n">
        <v>0</v>
      </c>
      <c r="N584" t="n">
        <v>0</v>
      </c>
      <c r="O584" t="n">
        <v>0</v>
      </c>
      <c r="P584" t="n">
        <v>0</v>
      </c>
      <c r="Q584" t="n">
        <v>0</v>
      </c>
      <c r="R584" s="2" t="inlineStr"/>
    </row>
    <row r="585" ht="15" customHeight="1">
      <c r="A585" t="inlineStr">
        <is>
          <t>A 10836-2024</t>
        </is>
      </c>
      <c r="B585" s="1" t="n">
        <v>45369</v>
      </c>
      <c r="C585" s="1" t="n">
        <v>46205</v>
      </c>
      <c r="D585" t="inlineStr">
        <is>
          <t>ÖREBRO LÄN</t>
        </is>
      </c>
      <c r="E585" t="inlineStr">
        <is>
          <t>LINDESBERG</t>
        </is>
      </c>
      <c r="G585" t="n">
        <v>2.8</v>
      </c>
      <c r="H585" t="n">
        <v>0</v>
      </c>
      <c r="I585" t="n">
        <v>0</v>
      </c>
      <c r="J585" t="n">
        <v>0</v>
      </c>
      <c r="K585" t="n">
        <v>0</v>
      </c>
      <c r="L585" t="n">
        <v>0</v>
      </c>
      <c r="M585" t="n">
        <v>0</v>
      </c>
      <c r="N585" t="n">
        <v>0</v>
      </c>
      <c r="O585" t="n">
        <v>0</v>
      </c>
      <c r="P585" t="n">
        <v>0</v>
      </c>
      <c r="Q585" t="n">
        <v>0</v>
      </c>
      <c r="R585" s="2" t="inlineStr"/>
    </row>
    <row r="586" ht="15" customHeight="1">
      <c r="A586" t="inlineStr">
        <is>
          <t>A 2414-2024</t>
        </is>
      </c>
      <c r="B586" s="1" t="n">
        <v>45310</v>
      </c>
      <c r="C586" s="1" t="n">
        <v>46205</v>
      </c>
      <c r="D586" t="inlineStr">
        <is>
          <t>ÖREBRO LÄN</t>
        </is>
      </c>
      <c r="E586" t="inlineStr">
        <is>
          <t>LINDESBERG</t>
        </is>
      </c>
      <c r="G586" t="n">
        <v>7.2</v>
      </c>
      <c r="H586" t="n">
        <v>0</v>
      </c>
      <c r="I586" t="n">
        <v>0</v>
      </c>
      <c r="J586" t="n">
        <v>0</v>
      </c>
      <c r="K586" t="n">
        <v>0</v>
      </c>
      <c r="L586" t="n">
        <v>0</v>
      </c>
      <c r="M586" t="n">
        <v>0</v>
      </c>
      <c r="N586" t="n">
        <v>0</v>
      </c>
      <c r="O586" t="n">
        <v>0</v>
      </c>
      <c r="P586" t="n">
        <v>0</v>
      </c>
      <c r="Q586" t="n">
        <v>0</v>
      </c>
      <c r="R586" s="2" t="inlineStr"/>
    </row>
    <row r="587" ht="15" customHeight="1">
      <c r="A587" t="inlineStr">
        <is>
          <t>A 28463-2024</t>
        </is>
      </c>
      <c r="B587" s="1" t="n">
        <v>45477</v>
      </c>
      <c r="C587" s="1" t="n">
        <v>46205</v>
      </c>
      <c r="D587" t="inlineStr">
        <is>
          <t>ÖREBRO LÄN</t>
        </is>
      </c>
      <c r="E587" t="inlineStr">
        <is>
          <t>LINDESBERG</t>
        </is>
      </c>
      <c r="G587" t="n">
        <v>6.3</v>
      </c>
      <c r="H587" t="n">
        <v>0</v>
      </c>
      <c r="I587" t="n">
        <v>0</v>
      </c>
      <c r="J587" t="n">
        <v>0</v>
      </c>
      <c r="K587" t="n">
        <v>0</v>
      </c>
      <c r="L587" t="n">
        <v>0</v>
      </c>
      <c r="M587" t="n">
        <v>0</v>
      </c>
      <c r="N587" t="n">
        <v>0</v>
      </c>
      <c r="O587" t="n">
        <v>0</v>
      </c>
      <c r="P587" t="n">
        <v>0</v>
      </c>
      <c r="Q587" t="n">
        <v>0</v>
      </c>
      <c r="R587" s="2" t="inlineStr"/>
    </row>
    <row r="588" ht="15" customHeight="1">
      <c r="A588" t="inlineStr">
        <is>
          <t>A 63668-2023</t>
        </is>
      </c>
      <c r="B588" s="1" t="n">
        <v>45274</v>
      </c>
      <c r="C588" s="1" t="n">
        <v>46205</v>
      </c>
      <c r="D588" t="inlineStr">
        <is>
          <t>ÖREBRO LÄN</t>
        </is>
      </c>
      <c r="E588" t="inlineStr">
        <is>
          <t>LINDESBERG</t>
        </is>
      </c>
      <c r="G588" t="n">
        <v>0.7</v>
      </c>
      <c r="H588" t="n">
        <v>0</v>
      </c>
      <c r="I588" t="n">
        <v>0</v>
      </c>
      <c r="J588" t="n">
        <v>0</v>
      </c>
      <c r="K588" t="n">
        <v>0</v>
      </c>
      <c r="L588" t="n">
        <v>0</v>
      </c>
      <c r="M588" t="n">
        <v>0</v>
      </c>
      <c r="N588" t="n">
        <v>0</v>
      </c>
      <c r="O588" t="n">
        <v>0</v>
      </c>
      <c r="P588" t="n">
        <v>0</v>
      </c>
      <c r="Q588" t="n">
        <v>0</v>
      </c>
      <c r="R588" s="2" t="inlineStr"/>
    </row>
    <row r="589" ht="15" customHeight="1">
      <c r="A589" t="inlineStr">
        <is>
          <t>A 12276-2025</t>
        </is>
      </c>
      <c r="B589" s="1" t="n">
        <v>45729</v>
      </c>
      <c r="C589" s="1" t="n">
        <v>46205</v>
      </c>
      <c r="D589" t="inlineStr">
        <is>
          <t>ÖREBRO LÄN</t>
        </is>
      </c>
      <c r="E589" t="inlineStr">
        <is>
          <t>LINDESBERG</t>
        </is>
      </c>
      <c r="G589" t="n">
        <v>7.6</v>
      </c>
      <c r="H589" t="n">
        <v>0</v>
      </c>
      <c r="I589" t="n">
        <v>0</v>
      </c>
      <c r="J589" t="n">
        <v>0</v>
      </c>
      <c r="K589" t="n">
        <v>0</v>
      </c>
      <c r="L589" t="n">
        <v>0</v>
      </c>
      <c r="M589" t="n">
        <v>0</v>
      </c>
      <c r="N589" t="n">
        <v>0</v>
      </c>
      <c r="O589" t="n">
        <v>0</v>
      </c>
      <c r="P589" t="n">
        <v>0</v>
      </c>
      <c r="Q589" t="n">
        <v>0</v>
      </c>
      <c r="R589" s="2" t="inlineStr"/>
    </row>
    <row r="590" ht="15" customHeight="1">
      <c r="A590" t="inlineStr">
        <is>
          <t>A 26707-2026</t>
        </is>
      </c>
      <c r="B590" s="1" t="n">
        <v>46184</v>
      </c>
      <c r="C590" s="1" t="n">
        <v>46205</v>
      </c>
      <c r="D590" t="inlineStr">
        <is>
          <t>ÖREBRO LÄN</t>
        </is>
      </c>
      <c r="E590" t="inlineStr">
        <is>
          <t>LINDESBERG</t>
        </is>
      </c>
      <c r="G590" t="n">
        <v>3.6</v>
      </c>
      <c r="H590" t="n">
        <v>0</v>
      </c>
      <c r="I590" t="n">
        <v>0</v>
      </c>
      <c r="J590" t="n">
        <v>0</v>
      </c>
      <c r="K590" t="n">
        <v>0</v>
      </c>
      <c r="L590" t="n">
        <v>0</v>
      </c>
      <c r="M590" t="n">
        <v>0</v>
      </c>
      <c r="N590" t="n">
        <v>0</v>
      </c>
      <c r="O590" t="n">
        <v>0</v>
      </c>
      <c r="P590" t="n">
        <v>0</v>
      </c>
      <c r="Q590" t="n">
        <v>0</v>
      </c>
      <c r="R590" s="2" t="inlineStr"/>
    </row>
    <row r="591" ht="15" customHeight="1">
      <c r="A591" t="inlineStr">
        <is>
          <t>A 36291-2022</t>
        </is>
      </c>
      <c r="B591" s="1" t="n">
        <v>44803</v>
      </c>
      <c r="C591" s="1" t="n">
        <v>46205</v>
      </c>
      <c r="D591" t="inlineStr">
        <is>
          <t>ÖREBRO LÄN</t>
        </is>
      </c>
      <c r="E591" t="inlineStr">
        <is>
          <t>LINDESBERG</t>
        </is>
      </c>
      <c r="G591" t="n">
        <v>3.8</v>
      </c>
      <c r="H591" t="n">
        <v>0</v>
      </c>
      <c r="I591" t="n">
        <v>0</v>
      </c>
      <c r="J591" t="n">
        <v>0</v>
      </c>
      <c r="K591" t="n">
        <v>0</v>
      </c>
      <c r="L591" t="n">
        <v>0</v>
      </c>
      <c r="M591" t="n">
        <v>0</v>
      </c>
      <c r="N591" t="n">
        <v>0</v>
      </c>
      <c r="O591" t="n">
        <v>0</v>
      </c>
      <c r="P591" t="n">
        <v>0</v>
      </c>
      <c r="Q591" t="n">
        <v>0</v>
      </c>
      <c r="R591" s="2" t="inlineStr"/>
    </row>
    <row r="592" ht="15" customHeight="1">
      <c r="A592" t="inlineStr">
        <is>
          <t>A 26778-2023</t>
        </is>
      </c>
      <c r="B592" s="1" t="n">
        <v>45093</v>
      </c>
      <c r="C592" s="1" t="n">
        <v>46205</v>
      </c>
      <c r="D592" t="inlineStr">
        <is>
          <t>ÖREBRO LÄN</t>
        </is>
      </c>
      <c r="E592" t="inlineStr">
        <is>
          <t>LINDESBERG</t>
        </is>
      </c>
      <c r="G592" t="n">
        <v>7.5</v>
      </c>
      <c r="H592" t="n">
        <v>0</v>
      </c>
      <c r="I592" t="n">
        <v>0</v>
      </c>
      <c r="J592" t="n">
        <v>0</v>
      </c>
      <c r="K592" t="n">
        <v>0</v>
      </c>
      <c r="L592" t="n">
        <v>0</v>
      </c>
      <c r="M592" t="n">
        <v>0</v>
      </c>
      <c r="N592" t="n">
        <v>0</v>
      </c>
      <c r="O592" t="n">
        <v>0</v>
      </c>
      <c r="P592" t="n">
        <v>0</v>
      </c>
      <c r="Q592" t="n">
        <v>0</v>
      </c>
      <c r="R592" s="2" t="inlineStr"/>
    </row>
    <row r="593" ht="15" customHeight="1">
      <c r="A593" t="inlineStr">
        <is>
          <t>A 61597-2023</t>
        </is>
      </c>
      <c r="B593" s="1" t="n">
        <v>45265</v>
      </c>
      <c r="C593" s="1" t="n">
        <v>46205</v>
      </c>
      <c r="D593" t="inlineStr">
        <is>
          <t>ÖREBRO LÄN</t>
        </is>
      </c>
      <c r="E593" t="inlineStr">
        <is>
          <t>LINDESBERG</t>
        </is>
      </c>
      <c r="G593" t="n">
        <v>10.3</v>
      </c>
      <c r="H593" t="n">
        <v>0</v>
      </c>
      <c r="I593" t="n">
        <v>0</v>
      </c>
      <c r="J593" t="n">
        <v>0</v>
      </c>
      <c r="K593" t="n">
        <v>0</v>
      </c>
      <c r="L593" t="n">
        <v>0</v>
      </c>
      <c r="M593" t="n">
        <v>0</v>
      </c>
      <c r="N593" t="n">
        <v>0</v>
      </c>
      <c r="O593" t="n">
        <v>0</v>
      </c>
      <c r="P593" t="n">
        <v>0</v>
      </c>
      <c r="Q593" t="n">
        <v>0</v>
      </c>
      <c r="R593" s="2" t="inlineStr"/>
    </row>
    <row r="594" ht="15" customHeight="1">
      <c r="A594" t="inlineStr">
        <is>
          <t>A 20970-2026</t>
        </is>
      </c>
      <c r="B594" s="1" t="n">
        <v>46142</v>
      </c>
      <c r="C594" s="1" t="n">
        <v>46205</v>
      </c>
      <c r="D594" t="inlineStr">
        <is>
          <t>ÖREBRO LÄN</t>
        </is>
      </c>
      <c r="E594" t="inlineStr">
        <is>
          <t>LINDESBERG</t>
        </is>
      </c>
      <c r="F594" t="inlineStr">
        <is>
          <t>Naturvårdsverket</t>
        </is>
      </c>
      <c r="G594" t="n">
        <v>5</v>
      </c>
      <c r="H594" t="n">
        <v>0</v>
      </c>
      <c r="I594" t="n">
        <v>0</v>
      </c>
      <c r="J594" t="n">
        <v>0</v>
      </c>
      <c r="K594" t="n">
        <v>0</v>
      </c>
      <c r="L594" t="n">
        <v>0</v>
      </c>
      <c r="M594" t="n">
        <v>0</v>
      </c>
      <c r="N594" t="n">
        <v>0</v>
      </c>
      <c r="O594" t="n">
        <v>0</v>
      </c>
      <c r="P594" t="n">
        <v>0</v>
      </c>
      <c r="Q594" t="n">
        <v>0</v>
      </c>
      <c r="R594" s="2" t="inlineStr"/>
    </row>
    <row r="595" ht="15" customHeight="1">
      <c r="A595" t="inlineStr">
        <is>
          <t>A 62968-2023</t>
        </is>
      </c>
      <c r="B595" s="1" t="n">
        <v>45272</v>
      </c>
      <c r="C595" s="1" t="n">
        <v>46205</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24270-2023</t>
        </is>
      </c>
      <c r="B596" s="1" t="n">
        <v>45079</v>
      </c>
      <c r="C596" s="1" t="n">
        <v>46205</v>
      </c>
      <c r="D596" t="inlineStr">
        <is>
          <t>ÖREBRO LÄN</t>
        </is>
      </c>
      <c r="E596" t="inlineStr">
        <is>
          <t>LINDESBERG</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24271-2023</t>
        </is>
      </c>
      <c r="B597" s="1" t="n">
        <v>45079</v>
      </c>
      <c r="C597" s="1" t="n">
        <v>46205</v>
      </c>
      <c r="D597" t="inlineStr">
        <is>
          <t>ÖREBRO LÄN</t>
        </is>
      </c>
      <c r="E597" t="inlineStr">
        <is>
          <t>LINDESBERG</t>
        </is>
      </c>
      <c r="F597" t="inlineStr">
        <is>
          <t>Sveaskog</t>
        </is>
      </c>
      <c r="G597" t="n">
        <v>0.4</v>
      </c>
      <c r="H597" t="n">
        <v>0</v>
      </c>
      <c r="I597" t="n">
        <v>0</v>
      </c>
      <c r="J597" t="n">
        <v>0</v>
      </c>
      <c r="K597" t="n">
        <v>0</v>
      </c>
      <c r="L597" t="n">
        <v>0</v>
      </c>
      <c r="M597" t="n">
        <v>0</v>
      </c>
      <c r="N597" t="n">
        <v>0</v>
      </c>
      <c r="O597" t="n">
        <v>0</v>
      </c>
      <c r="P597" t="n">
        <v>0</v>
      </c>
      <c r="Q597" t="n">
        <v>0</v>
      </c>
      <c r="R597" s="2" t="inlineStr"/>
    </row>
    <row r="598" ht="15" customHeight="1">
      <c r="A598" t="inlineStr">
        <is>
          <t>A 13416-2025</t>
        </is>
      </c>
      <c r="B598" s="1" t="n">
        <v>45736</v>
      </c>
      <c r="C598" s="1" t="n">
        <v>46205</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4013-2025</t>
        </is>
      </c>
      <c r="B599" s="1" t="n">
        <v>45684</v>
      </c>
      <c r="C599" s="1" t="n">
        <v>46205</v>
      </c>
      <c r="D599" t="inlineStr">
        <is>
          <t>ÖREBRO LÄN</t>
        </is>
      </c>
      <c r="E599" t="inlineStr">
        <is>
          <t>LINDESBERG</t>
        </is>
      </c>
      <c r="G599" t="n">
        <v>0.9</v>
      </c>
      <c r="H599" t="n">
        <v>0</v>
      </c>
      <c r="I599" t="n">
        <v>0</v>
      </c>
      <c r="J599" t="n">
        <v>0</v>
      </c>
      <c r="K599" t="n">
        <v>0</v>
      </c>
      <c r="L599" t="n">
        <v>0</v>
      </c>
      <c r="M599" t="n">
        <v>0</v>
      </c>
      <c r="N599" t="n">
        <v>0</v>
      </c>
      <c r="O599" t="n">
        <v>0</v>
      </c>
      <c r="P599" t="n">
        <v>0</v>
      </c>
      <c r="Q599" t="n">
        <v>0</v>
      </c>
      <c r="R599" s="2" t="inlineStr"/>
    </row>
    <row r="600" ht="15" customHeight="1">
      <c r="A600" t="inlineStr">
        <is>
          <t>A 20971-2026</t>
        </is>
      </c>
      <c r="B600" s="1" t="n">
        <v>46142</v>
      </c>
      <c r="C600" s="1" t="n">
        <v>46205</v>
      </c>
      <c r="D600" t="inlineStr">
        <is>
          <t>ÖREBRO LÄN</t>
        </is>
      </c>
      <c r="E600" t="inlineStr">
        <is>
          <t>LINDESBERG</t>
        </is>
      </c>
      <c r="F600" t="inlineStr">
        <is>
          <t>Naturvårdsverket</t>
        </is>
      </c>
      <c r="G600" t="n">
        <v>4.5</v>
      </c>
      <c r="H600" t="n">
        <v>0</v>
      </c>
      <c r="I600" t="n">
        <v>0</v>
      </c>
      <c r="J600" t="n">
        <v>0</v>
      </c>
      <c r="K600" t="n">
        <v>0</v>
      </c>
      <c r="L600" t="n">
        <v>0</v>
      </c>
      <c r="M600" t="n">
        <v>0</v>
      </c>
      <c r="N600" t="n">
        <v>0</v>
      </c>
      <c r="O600" t="n">
        <v>0</v>
      </c>
      <c r="P600" t="n">
        <v>0</v>
      </c>
      <c r="Q600" t="n">
        <v>0</v>
      </c>
      <c r="R600" s="2" t="inlineStr"/>
    </row>
    <row r="601" ht="15" customHeight="1">
      <c r="A601" t="inlineStr">
        <is>
          <t>A 34093-2022</t>
        </is>
      </c>
      <c r="B601" s="1" t="n">
        <v>44791</v>
      </c>
      <c r="C601" s="1" t="n">
        <v>46205</v>
      </c>
      <c r="D601" t="inlineStr">
        <is>
          <t>ÖREBRO LÄN</t>
        </is>
      </c>
      <c r="E601" t="inlineStr">
        <is>
          <t>LINDESBERG</t>
        </is>
      </c>
      <c r="G601" t="n">
        <v>3.3</v>
      </c>
      <c r="H601" t="n">
        <v>0</v>
      </c>
      <c r="I601" t="n">
        <v>0</v>
      </c>
      <c r="J601" t="n">
        <v>0</v>
      </c>
      <c r="K601" t="n">
        <v>0</v>
      </c>
      <c r="L601" t="n">
        <v>0</v>
      </c>
      <c r="M601" t="n">
        <v>0</v>
      </c>
      <c r="N601" t="n">
        <v>0</v>
      </c>
      <c r="O601" t="n">
        <v>0</v>
      </c>
      <c r="P601" t="n">
        <v>0</v>
      </c>
      <c r="Q601" t="n">
        <v>0</v>
      </c>
      <c r="R601" s="2" t="inlineStr"/>
    </row>
    <row r="602" ht="15" customHeight="1">
      <c r="A602" t="inlineStr">
        <is>
          <t>A 29500-2023</t>
        </is>
      </c>
      <c r="B602" s="1" t="n">
        <v>45106</v>
      </c>
      <c r="C602" s="1" t="n">
        <v>46205</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59804-2023</t>
        </is>
      </c>
      <c r="B603" s="1" t="n">
        <v>45257</v>
      </c>
      <c r="C603" s="1" t="n">
        <v>46205</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27434-2023</t>
        </is>
      </c>
      <c r="B604" s="1" t="n">
        <v>45097</v>
      </c>
      <c r="C604" s="1" t="n">
        <v>46205</v>
      </c>
      <c r="D604" t="inlineStr">
        <is>
          <t>ÖREBRO LÄN</t>
        </is>
      </c>
      <c r="E604" t="inlineStr">
        <is>
          <t>LINDESBERG</t>
        </is>
      </c>
      <c r="G604" t="n">
        <v>10.7</v>
      </c>
      <c r="H604" t="n">
        <v>0</v>
      </c>
      <c r="I604" t="n">
        <v>0</v>
      </c>
      <c r="J604" t="n">
        <v>0</v>
      </c>
      <c r="K604" t="n">
        <v>0</v>
      </c>
      <c r="L604" t="n">
        <v>0</v>
      </c>
      <c r="M604" t="n">
        <v>0</v>
      </c>
      <c r="N604" t="n">
        <v>0</v>
      </c>
      <c r="O604" t="n">
        <v>0</v>
      </c>
      <c r="P604" t="n">
        <v>0</v>
      </c>
      <c r="Q604" t="n">
        <v>0</v>
      </c>
      <c r="R604" s="2" t="inlineStr"/>
    </row>
    <row r="605" ht="15" customHeight="1">
      <c r="A605" t="inlineStr">
        <is>
          <t>A 45060-2024</t>
        </is>
      </c>
      <c r="B605" s="1" t="n">
        <v>45575</v>
      </c>
      <c r="C605" s="1" t="n">
        <v>46205</v>
      </c>
      <c r="D605" t="inlineStr">
        <is>
          <t>ÖREBRO LÄN</t>
        </is>
      </c>
      <c r="E605" t="inlineStr">
        <is>
          <t>LINDESBERG</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72706-2021</t>
        </is>
      </c>
      <c r="B606" s="1" t="n">
        <v>44546</v>
      </c>
      <c r="C606" s="1" t="n">
        <v>46205</v>
      </c>
      <c r="D606" t="inlineStr">
        <is>
          <t>ÖREBRO LÄN</t>
        </is>
      </c>
      <c r="E606" t="inlineStr">
        <is>
          <t>LINDESBERG</t>
        </is>
      </c>
      <c r="G606" t="n">
        <v>1.7</v>
      </c>
      <c r="H606" t="n">
        <v>0</v>
      </c>
      <c r="I606" t="n">
        <v>0</v>
      </c>
      <c r="J606" t="n">
        <v>0</v>
      </c>
      <c r="K606" t="n">
        <v>0</v>
      </c>
      <c r="L606" t="n">
        <v>0</v>
      </c>
      <c r="M606" t="n">
        <v>0</v>
      </c>
      <c r="N606" t="n">
        <v>0</v>
      </c>
      <c r="O606" t="n">
        <v>0</v>
      </c>
      <c r="P606" t="n">
        <v>0</v>
      </c>
      <c r="Q606" t="n">
        <v>0</v>
      </c>
      <c r="R606" s="2" t="inlineStr"/>
    </row>
    <row r="607" ht="15" customHeight="1">
      <c r="A607" t="inlineStr">
        <is>
          <t>A 53366-2023</t>
        </is>
      </c>
      <c r="B607" s="1" t="n">
        <v>45229</v>
      </c>
      <c r="C607" s="1" t="n">
        <v>46205</v>
      </c>
      <c r="D607" t="inlineStr">
        <is>
          <t>ÖREBRO LÄN</t>
        </is>
      </c>
      <c r="E607" t="inlineStr">
        <is>
          <t>LINDESBERG</t>
        </is>
      </c>
      <c r="G607" t="n">
        <v>1.9</v>
      </c>
      <c r="H607" t="n">
        <v>0</v>
      </c>
      <c r="I607" t="n">
        <v>0</v>
      </c>
      <c r="J607" t="n">
        <v>0</v>
      </c>
      <c r="K607" t="n">
        <v>0</v>
      </c>
      <c r="L607" t="n">
        <v>0</v>
      </c>
      <c r="M607" t="n">
        <v>0</v>
      </c>
      <c r="N607" t="n">
        <v>0</v>
      </c>
      <c r="O607" t="n">
        <v>0</v>
      </c>
      <c r="P607" t="n">
        <v>0</v>
      </c>
      <c r="Q607" t="n">
        <v>0</v>
      </c>
      <c r="R607" s="2" t="inlineStr"/>
    </row>
    <row r="608" ht="15" customHeight="1">
      <c r="A608" t="inlineStr">
        <is>
          <t>A 19219-2023</t>
        </is>
      </c>
      <c r="B608" s="1" t="n">
        <v>45048</v>
      </c>
      <c r="C608" s="1" t="n">
        <v>46205</v>
      </c>
      <c r="D608" t="inlineStr">
        <is>
          <t>ÖREBRO LÄN</t>
        </is>
      </c>
      <c r="E608" t="inlineStr">
        <is>
          <t>LINDESBERG</t>
        </is>
      </c>
      <c r="G608" t="n">
        <v>1</v>
      </c>
      <c r="H608" t="n">
        <v>0</v>
      </c>
      <c r="I608" t="n">
        <v>0</v>
      </c>
      <c r="J608" t="n">
        <v>0</v>
      </c>
      <c r="K608" t="n">
        <v>0</v>
      </c>
      <c r="L608" t="n">
        <v>0</v>
      </c>
      <c r="M608" t="n">
        <v>0</v>
      </c>
      <c r="N608" t="n">
        <v>0</v>
      </c>
      <c r="O608" t="n">
        <v>0</v>
      </c>
      <c r="P608" t="n">
        <v>0</v>
      </c>
      <c r="Q608" t="n">
        <v>0</v>
      </c>
      <c r="R608" s="2" t="inlineStr"/>
    </row>
    <row r="609" ht="15" customHeight="1">
      <c r="A609" t="inlineStr">
        <is>
          <t>A 19043-2023</t>
        </is>
      </c>
      <c r="B609" s="1" t="n">
        <v>45047</v>
      </c>
      <c r="C609" s="1" t="n">
        <v>46205</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27031-2024</t>
        </is>
      </c>
      <c r="B610" s="1" t="n">
        <v>45471</v>
      </c>
      <c r="C610" s="1" t="n">
        <v>46205</v>
      </c>
      <c r="D610" t="inlineStr">
        <is>
          <t>ÖREBRO LÄN</t>
        </is>
      </c>
      <c r="E610" t="inlineStr">
        <is>
          <t>LINDESBERG</t>
        </is>
      </c>
      <c r="G610" t="n">
        <v>1.1</v>
      </c>
      <c r="H610" t="n">
        <v>0</v>
      </c>
      <c r="I610" t="n">
        <v>0</v>
      </c>
      <c r="J610" t="n">
        <v>0</v>
      </c>
      <c r="K610" t="n">
        <v>0</v>
      </c>
      <c r="L610" t="n">
        <v>0</v>
      </c>
      <c r="M610" t="n">
        <v>0</v>
      </c>
      <c r="N610" t="n">
        <v>0</v>
      </c>
      <c r="O610" t="n">
        <v>0</v>
      </c>
      <c r="P610" t="n">
        <v>0</v>
      </c>
      <c r="Q610" t="n">
        <v>0</v>
      </c>
      <c r="R610" s="2" t="inlineStr"/>
    </row>
    <row r="611" ht="15" customHeight="1">
      <c r="A611" t="inlineStr">
        <is>
          <t>A 38696-2024</t>
        </is>
      </c>
      <c r="B611" s="1" t="n">
        <v>45547</v>
      </c>
      <c r="C611" s="1" t="n">
        <v>46205</v>
      </c>
      <c r="D611" t="inlineStr">
        <is>
          <t>ÖREBRO LÄN</t>
        </is>
      </c>
      <c r="E611" t="inlineStr">
        <is>
          <t>LINDESBERG</t>
        </is>
      </c>
      <c r="G611" t="n">
        <v>2</v>
      </c>
      <c r="H611" t="n">
        <v>0</v>
      </c>
      <c r="I611" t="n">
        <v>0</v>
      </c>
      <c r="J611" t="n">
        <v>0</v>
      </c>
      <c r="K611" t="n">
        <v>0</v>
      </c>
      <c r="L611" t="n">
        <v>0</v>
      </c>
      <c r="M611" t="n">
        <v>0</v>
      </c>
      <c r="N611" t="n">
        <v>0</v>
      </c>
      <c r="O611" t="n">
        <v>0</v>
      </c>
      <c r="P611" t="n">
        <v>0</v>
      </c>
      <c r="Q611" t="n">
        <v>0</v>
      </c>
      <c r="R611" s="2" t="inlineStr"/>
    </row>
    <row r="612" ht="15" customHeight="1">
      <c r="A612" t="inlineStr">
        <is>
          <t>A 54663-2021</t>
        </is>
      </c>
      <c r="B612" s="1" t="n">
        <v>44473</v>
      </c>
      <c r="C612" s="1" t="n">
        <v>46205</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14028-2023</t>
        </is>
      </c>
      <c r="B613" s="1" t="n">
        <v>45008</v>
      </c>
      <c r="C613" s="1" t="n">
        <v>46205</v>
      </c>
      <c r="D613" t="inlineStr">
        <is>
          <t>ÖREBRO LÄN</t>
        </is>
      </c>
      <c r="E613" t="inlineStr">
        <is>
          <t>LINDESBERG</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27432-2026</t>
        </is>
      </c>
      <c r="B614" s="1" t="n">
        <v>46189</v>
      </c>
      <c r="C614" s="1" t="n">
        <v>46205</v>
      </c>
      <c r="D614" t="inlineStr">
        <is>
          <t>ÖREBRO LÄN</t>
        </is>
      </c>
      <c r="E614" t="inlineStr">
        <is>
          <t>LINDESBERG</t>
        </is>
      </c>
      <c r="G614" t="n">
        <v>2.4</v>
      </c>
      <c r="H614" t="n">
        <v>0</v>
      </c>
      <c r="I614" t="n">
        <v>0</v>
      </c>
      <c r="J614" t="n">
        <v>0</v>
      </c>
      <c r="K614" t="n">
        <v>0</v>
      </c>
      <c r="L614" t="n">
        <v>0</v>
      </c>
      <c r="M614" t="n">
        <v>0</v>
      </c>
      <c r="N614" t="n">
        <v>0</v>
      </c>
      <c r="O614" t="n">
        <v>0</v>
      </c>
      <c r="P614" t="n">
        <v>0</v>
      </c>
      <c r="Q614" t="n">
        <v>0</v>
      </c>
      <c r="R614" s="2" t="inlineStr"/>
    </row>
    <row r="615" ht="15" customHeight="1">
      <c r="A615" t="inlineStr">
        <is>
          <t>A 27438-2026</t>
        </is>
      </c>
      <c r="B615" s="1" t="n">
        <v>46189</v>
      </c>
      <c r="C615" s="1" t="n">
        <v>46205</v>
      </c>
      <c r="D615" t="inlineStr">
        <is>
          <t>ÖREBRO LÄN</t>
        </is>
      </c>
      <c r="E615" t="inlineStr">
        <is>
          <t>LINDESBERG</t>
        </is>
      </c>
      <c r="G615" t="n">
        <v>1</v>
      </c>
      <c r="H615" t="n">
        <v>0</v>
      </c>
      <c r="I615" t="n">
        <v>0</v>
      </c>
      <c r="J615" t="n">
        <v>0</v>
      </c>
      <c r="K615" t="n">
        <v>0</v>
      </c>
      <c r="L615" t="n">
        <v>0</v>
      </c>
      <c r="M615" t="n">
        <v>0</v>
      </c>
      <c r="N615" t="n">
        <v>0</v>
      </c>
      <c r="O615" t="n">
        <v>0</v>
      </c>
      <c r="P615" t="n">
        <v>0</v>
      </c>
      <c r="Q615" t="n">
        <v>0</v>
      </c>
      <c r="R615" s="2" t="inlineStr"/>
    </row>
    <row r="616" ht="15" customHeight="1">
      <c r="A616" t="inlineStr">
        <is>
          <t>A 27714-2026</t>
        </is>
      </c>
      <c r="B616" s="1" t="n">
        <v>46190</v>
      </c>
      <c r="C616" s="1" t="n">
        <v>46205</v>
      </c>
      <c r="D616" t="inlineStr">
        <is>
          <t>ÖREBRO LÄN</t>
        </is>
      </c>
      <c r="E616" t="inlineStr">
        <is>
          <t>LINDESBERG</t>
        </is>
      </c>
      <c r="G616" t="n">
        <v>1.5</v>
      </c>
      <c r="H616" t="n">
        <v>0</v>
      </c>
      <c r="I616" t="n">
        <v>0</v>
      </c>
      <c r="J616" t="n">
        <v>0</v>
      </c>
      <c r="K616" t="n">
        <v>0</v>
      </c>
      <c r="L616" t="n">
        <v>0</v>
      </c>
      <c r="M616" t="n">
        <v>0</v>
      </c>
      <c r="N616" t="n">
        <v>0</v>
      </c>
      <c r="O616" t="n">
        <v>0</v>
      </c>
      <c r="P616" t="n">
        <v>0</v>
      </c>
      <c r="Q616" t="n">
        <v>0</v>
      </c>
      <c r="R616" s="2" t="inlineStr"/>
    </row>
    <row r="617" ht="15" customHeight="1">
      <c r="A617" t="inlineStr">
        <is>
          <t>A 27501-2026</t>
        </is>
      </c>
      <c r="B617" s="1" t="n">
        <v>46189</v>
      </c>
      <c r="C617" s="1" t="n">
        <v>46205</v>
      </c>
      <c r="D617" t="inlineStr">
        <is>
          <t>ÖREBRO LÄN</t>
        </is>
      </c>
      <c r="E617" t="inlineStr">
        <is>
          <t>LINDESBERG</t>
        </is>
      </c>
      <c r="G617" t="n">
        <v>0.6</v>
      </c>
      <c r="H617" t="n">
        <v>0</v>
      </c>
      <c r="I617" t="n">
        <v>0</v>
      </c>
      <c r="J617" t="n">
        <v>0</v>
      </c>
      <c r="K617" t="n">
        <v>0</v>
      </c>
      <c r="L617" t="n">
        <v>0</v>
      </c>
      <c r="M617" t="n">
        <v>0</v>
      </c>
      <c r="N617" t="n">
        <v>0</v>
      </c>
      <c r="O617" t="n">
        <v>0</v>
      </c>
      <c r="P617" t="n">
        <v>0</v>
      </c>
      <c r="Q617" t="n">
        <v>0</v>
      </c>
      <c r="R617" s="2" t="inlineStr"/>
    </row>
    <row r="618" ht="15" customHeight="1">
      <c r="A618" t="inlineStr">
        <is>
          <t>A 57069-2022</t>
        </is>
      </c>
      <c r="B618" s="1" t="n">
        <v>44895</v>
      </c>
      <c r="C618" s="1" t="n">
        <v>46205</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61405-2022</t>
        </is>
      </c>
      <c r="B619" s="1" t="n">
        <v>44916</v>
      </c>
      <c r="C619" s="1" t="n">
        <v>46205</v>
      </c>
      <c r="D619" t="inlineStr">
        <is>
          <t>ÖREBRO LÄN</t>
        </is>
      </c>
      <c r="E619" t="inlineStr">
        <is>
          <t>LINDESBERG</t>
        </is>
      </c>
      <c r="G619" t="n">
        <v>4.4</v>
      </c>
      <c r="H619" t="n">
        <v>0</v>
      </c>
      <c r="I619" t="n">
        <v>0</v>
      </c>
      <c r="J619" t="n">
        <v>0</v>
      </c>
      <c r="K619" t="n">
        <v>0</v>
      </c>
      <c r="L619" t="n">
        <v>0</v>
      </c>
      <c r="M619" t="n">
        <v>0</v>
      </c>
      <c r="N619" t="n">
        <v>0</v>
      </c>
      <c r="O619" t="n">
        <v>0</v>
      </c>
      <c r="P619" t="n">
        <v>0</v>
      </c>
      <c r="Q619" t="n">
        <v>0</v>
      </c>
      <c r="R619" s="2" t="inlineStr"/>
    </row>
    <row r="620" ht="15" customHeight="1">
      <c r="A620" t="inlineStr">
        <is>
          <t>A 9961-2023</t>
        </is>
      </c>
      <c r="B620" s="1" t="n">
        <v>44979</v>
      </c>
      <c r="C620" s="1" t="n">
        <v>46205</v>
      </c>
      <c r="D620" t="inlineStr">
        <is>
          <t>ÖREBRO LÄN</t>
        </is>
      </c>
      <c r="E620" t="inlineStr">
        <is>
          <t>LINDESBERG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27715-2026</t>
        </is>
      </c>
      <c r="B621" s="1" t="n">
        <v>46190</v>
      </c>
      <c r="C621" s="1" t="n">
        <v>46205</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45041-2024</t>
        </is>
      </c>
      <c r="B622" s="1" t="n">
        <v>45575</v>
      </c>
      <c r="C622" s="1" t="n">
        <v>46205</v>
      </c>
      <c r="D622" t="inlineStr">
        <is>
          <t>ÖREBRO LÄN</t>
        </is>
      </c>
      <c r="E622" t="inlineStr">
        <is>
          <t>LINDESBERG</t>
        </is>
      </c>
      <c r="F622" t="inlineStr">
        <is>
          <t>Sveaskog</t>
        </is>
      </c>
      <c r="G622" t="n">
        <v>0.3</v>
      </c>
      <c r="H622" t="n">
        <v>0</v>
      </c>
      <c r="I622" t="n">
        <v>0</v>
      </c>
      <c r="J622" t="n">
        <v>0</v>
      </c>
      <c r="K622" t="n">
        <v>0</v>
      </c>
      <c r="L622" t="n">
        <v>0</v>
      </c>
      <c r="M622" t="n">
        <v>0</v>
      </c>
      <c r="N622" t="n">
        <v>0</v>
      </c>
      <c r="O622" t="n">
        <v>0</v>
      </c>
      <c r="P622" t="n">
        <v>0</v>
      </c>
      <c r="Q622" t="n">
        <v>0</v>
      </c>
      <c r="R622" s="2" t="inlineStr"/>
    </row>
    <row r="623" ht="15" customHeight="1">
      <c r="A623" t="inlineStr">
        <is>
          <t>A 21796-2026</t>
        </is>
      </c>
      <c r="B623" s="1" t="n">
        <v>46150</v>
      </c>
      <c r="C623" s="1" t="n">
        <v>46205</v>
      </c>
      <c r="D623" t="inlineStr">
        <is>
          <t>ÖREBRO LÄN</t>
        </is>
      </c>
      <c r="E623" t="inlineStr">
        <is>
          <t>LINDESBERG</t>
        </is>
      </c>
      <c r="F623" t="inlineStr">
        <is>
          <t>Naturvårdsverket</t>
        </is>
      </c>
      <c r="G623" t="n">
        <v>5.1</v>
      </c>
      <c r="H623" t="n">
        <v>0</v>
      </c>
      <c r="I623" t="n">
        <v>0</v>
      </c>
      <c r="J623" t="n">
        <v>0</v>
      </c>
      <c r="K623" t="n">
        <v>0</v>
      </c>
      <c r="L623" t="n">
        <v>0</v>
      </c>
      <c r="M623" t="n">
        <v>0</v>
      </c>
      <c r="N623" t="n">
        <v>0</v>
      </c>
      <c r="O623" t="n">
        <v>0</v>
      </c>
      <c r="P623" t="n">
        <v>0</v>
      </c>
      <c r="Q623" t="n">
        <v>0</v>
      </c>
      <c r="R623" s="2" t="inlineStr"/>
    </row>
    <row r="624" ht="15" customHeight="1">
      <c r="A624" t="inlineStr">
        <is>
          <t>A 39419-2023</t>
        </is>
      </c>
      <c r="B624" s="1" t="n">
        <v>45166</v>
      </c>
      <c r="C624" s="1" t="n">
        <v>46205</v>
      </c>
      <c r="D624" t="inlineStr">
        <is>
          <t>ÖREBRO LÄN</t>
        </is>
      </c>
      <c r="E624" t="inlineStr">
        <is>
          <t>LINDESBERG</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27724-2026</t>
        </is>
      </c>
      <c r="B625" s="1" t="n">
        <v>46191</v>
      </c>
      <c r="C625" s="1" t="n">
        <v>46205</v>
      </c>
      <c r="D625" t="inlineStr">
        <is>
          <t>ÖREBRO LÄN</t>
        </is>
      </c>
      <c r="E625" t="inlineStr">
        <is>
          <t>LINDESBERG</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27909-2026</t>
        </is>
      </c>
      <c r="B626" s="1" t="n">
        <v>46191</v>
      </c>
      <c r="C626" s="1" t="n">
        <v>46205</v>
      </c>
      <c r="D626" t="inlineStr">
        <is>
          <t>ÖREBRO LÄN</t>
        </is>
      </c>
      <c r="E626" t="inlineStr">
        <is>
          <t>LINDESBERG</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27914-2026</t>
        </is>
      </c>
      <c r="B627" s="1" t="n">
        <v>46191</v>
      </c>
      <c r="C627" s="1" t="n">
        <v>46205</v>
      </c>
      <c r="D627" t="inlineStr">
        <is>
          <t>ÖREBRO LÄN</t>
        </is>
      </c>
      <c r="E627" t="inlineStr">
        <is>
          <t>LINDESBERG</t>
        </is>
      </c>
      <c r="F627" t="inlineStr">
        <is>
          <t>Sveaskog</t>
        </is>
      </c>
      <c r="G627" t="n">
        <v>4</v>
      </c>
      <c r="H627" t="n">
        <v>0</v>
      </c>
      <c r="I627" t="n">
        <v>0</v>
      </c>
      <c r="J627" t="n">
        <v>0</v>
      </c>
      <c r="K627" t="n">
        <v>0</v>
      </c>
      <c r="L627" t="n">
        <v>0</v>
      </c>
      <c r="M627" t="n">
        <v>0</v>
      </c>
      <c r="N627" t="n">
        <v>0</v>
      </c>
      <c r="O627" t="n">
        <v>0</v>
      </c>
      <c r="P627" t="n">
        <v>0</v>
      </c>
      <c r="Q627" t="n">
        <v>0</v>
      </c>
      <c r="R627" s="2" t="inlineStr"/>
    </row>
    <row r="628" ht="15" customHeight="1">
      <c r="A628" t="inlineStr">
        <is>
          <t>A 27917-2026</t>
        </is>
      </c>
      <c r="B628" s="1" t="n">
        <v>46191</v>
      </c>
      <c r="C628" s="1" t="n">
        <v>46205</v>
      </c>
      <c r="D628" t="inlineStr">
        <is>
          <t>ÖREBRO LÄN</t>
        </is>
      </c>
      <c r="E628" t="inlineStr">
        <is>
          <t>LINDESBERG</t>
        </is>
      </c>
      <c r="F628" t="inlineStr">
        <is>
          <t>Sveaskog</t>
        </is>
      </c>
      <c r="G628" t="n">
        <v>6.9</v>
      </c>
      <c r="H628" t="n">
        <v>0</v>
      </c>
      <c r="I628" t="n">
        <v>0</v>
      </c>
      <c r="J628" t="n">
        <v>0</v>
      </c>
      <c r="K628" t="n">
        <v>0</v>
      </c>
      <c r="L628" t="n">
        <v>0</v>
      </c>
      <c r="M628" t="n">
        <v>0</v>
      </c>
      <c r="N628" t="n">
        <v>0</v>
      </c>
      <c r="O628" t="n">
        <v>0</v>
      </c>
      <c r="P628" t="n">
        <v>0</v>
      </c>
      <c r="Q628" t="n">
        <v>0</v>
      </c>
      <c r="R628" s="2" t="inlineStr"/>
    </row>
    <row r="629" ht="15" customHeight="1">
      <c r="A629" t="inlineStr">
        <is>
          <t>A 27918-2026</t>
        </is>
      </c>
      <c r="B629" s="1" t="n">
        <v>46191</v>
      </c>
      <c r="C629" s="1" t="n">
        <v>46205</v>
      </c>
      <c r="D629" t="inlineStr">
        <is>
          <t>ÖREBRO LÄN</t>
        </is>
      </c>
      <c r="E629" t="inlineStr">
        <is>
          <t>LINDESBERG</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27756-2026</t>
        </is>
      </c>
      <c r="B630" s="1" t="n">
        <v>46191</v>
      </c>
      <c r="C630" s="1" t="n">
        <v>46205</v>
      </c>
      <c r="D630" t="inlineStr">
        <is>
          <t>ÖREBRO LÄN</t>
        </is>
      </c>
      <c r="E630" t="inlineStr">
        <is>
          <t>LINDESBERG</t>
        </is>
      </c>
      <c r="F630" t="inlineStr">
        <is>
          <t>Sveaskog</t>
        </is>
      </c>
      <c r="G630" t="n">
        <v>17.8</v>
      </c>
      <c r="H630" t="n">
        <v>0</v>
      </c>
      <c r="I630" t="n">
        <v>0</v>
      </c>
      <c r="J630" t="n">
        <v>0</v>
      </c>
      <c r="K630" t="n">
        <v>0</v>
      </c>
      <c r="L630" t="n">
        <v>0</v>
      </c>
      <c r="M630" t="n">
        <v>0</v>
      </c>
      <c r="N630" t="n">
        <v>0</v>
      </c>
      <c r="O630" t="n">
        <v>0</v>
      </c>
      <c r="P630" t="n">
        <v>0</v>
      </c>
      <c r="Q630" t="n">
        <v>0</v>
      </c>
      <c r="R630" s="2" t="inlineStr"/>
    </row>
    <row r="631" ht="15" customHeight="1">
      <c r="A631" t="inlineStr">
        <is>
          <t>A 27761-2026</t>
        </is>
      </c>
      <c r="B631" s="1" t="n">
        <v>46191</v>
      </c>
      <c r="C631" s="1" t="n">
        <v>46205</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27766-2026</t>
        </is>
      </c>
      <c r="B632" s="1" t="n">
        <v>46191</v>
      </c>
      <c r="C632" s="1" t="n">
        <v>46205</v>
      </c>
      <c r="D632" t="inlineStr">
        <is>
          <t>ÖREBRO LÄN</t>
        </is>
      </c>
      <c r="E632" t="inlineStr">
        <is>
          <t>LINDESBERG</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27775-2026</t>
        </is>
      </c>
      <c r="B633" s="1" t="n">
        <v>46191</v>
      </c>
      <c r="C633" s="1" t="n">
        <v>46205</v>
      </c>
      <c r="D633" t="inlineStr">
        <is>
          <t>ÖREBRO LÄN</t>
        </is>
      </c>
      <c r="E633" t="inlineStr">
        <is>
          <t>LINDESBERG</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27773-2026</t>
        </is>
      </c>
      <c r="B634" s="1" t="n">
        <v>46191</v>
      </c>
      <c r="C634" s="1" t="n">
        <v>46205</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27769-2026</t>
        </is>
      </c>
      <c r="B635" s="1" t="n">
        <v>46191</v>
      </c>
      <c r="C635" s="1" t="n">
        <v>46205</v>
      </c>
      <c r="D635" t="inlineStr">
        <is>
          <t>ÖREBRO LÄN</t>
        </is>
      </c>
      <c r="E635" t="inlineStr">
        <is>
          <t>LINDESBERG</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27728-2026</t>
        </is>
      </c>
      <c r="B636" s="1" t="n">
        <v>46191</v>
      </c>
      <c r="C636" s="1" t="n">
        <v>46205</v>
      </c>
      <c r="D636" t="inlineStr">
        <is>
          <t>ÖREBRO LÄN</t>
        </is>
      </c>
      <c r="E636" t="inlineStr">
        <is>
          <t>LINDESBERG</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27763-2026</t>
        </is>
      </c>
      <c r="B637" s="1" t="n">
        <v>46191</v>
      </c>
      <c r="C637" s="1" t="n">
        <v>46205</v>
      </c>
      <c r="D637" t="inlineStr">
        <is>
          <t>ÖREBRO LÄN</t>
        </is>
      </c>
      <c r="E637" t="inlineStr">
        <is>
          <t>LINDESBERG</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27772-2026</t>
        </is>
      </c>
      <c r="B638" s="1" t="n">
        <v>46191</v>
      </c>
      <c r="C638" s="1" t="n">
        <v>46205</v>
      </c>
      <c r="D638" t="inlineStr">
        <is>
          <t>ÖREBRO LÄN</t>
        </is>
      </c>
      <c r="E638" t="inlineStr">
        <is>
          <t>LINDESBERG</t>
        </is>
      </c>
      <c r="F638" t="inlineStr">
        <is>
          <t>Sveaskog</t>
        </is>
      </c>
      <c r="G638" t="n">
        <v>0.5</v>
      </c>
      <c r="H638" t="n">
        <v>0</v>
      </c>
      <c r="I638" t="n">
        <v>0</v>
      </c>
      <c r="J638" t="n">
        <v>0</v>
      </c>
      <c r="K638" t="n">
        <v>0</v>
      </c>
      <c r="L638" t="n">
        <v>0</v>
      </c>
      <c r="M638" t="n">
        <v>0</v>
      </c>
      <c r="N638" t="n">
        <v>0</v>
      </c>
      <c r="O638" t="n">
        <v>0</v>
      </c>
      <c r="P638" t="n">
        <v>0</v>
      </c>
      <c r="Q638" t="n">
        <v>0</v>
      </c>
      <c r="R638" s="2" t="inlineStr"/>
    </row>
    <row r="639" ht="15" customHeight="1">
      <c r="A639" t="inlineStr">
        <is>
          <t>A 15750-2024</t>
        </is>
      </c>
      <c r="B639" s="1" t="n">
        <v>45404</v>
      </c>
      <c r="C639" s="1" t="n">
        <v>46205</v>
      </c>
      <c r="D639" t="inlineStr">
        <is>
          <t>ÖREBRO LÄN</t>
        </is>
      </c>
      <c r="E639" t="inlineStr">
        <is>
          <t>LINDESBERG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60115-2022</t>
        </is>
      </c>
      <c r="B640" s="1" t="n">
        <v>44902</v>
      </c>
      <c r="C640" s="1" t="n">
        <v>46205</v>
      </c>
      <c r="D640" t="inlineStr">
        <is>
          <t>ÖREBRO LÄN</t>
        </is>
      </c>
      <c r="E640" t="inlineStr">
        <is>
          <t>LINDESBERG</t>
        </is>
      </c>
      <c r="G640" t="n">
        <v>0.5</v>
      </c>
      <c r="H640" t="n">
        <v>0</v>
      </c>
      <c r="I640" t="n">
        <v>0</v>
      </c>
      <c r="J640" t="n">
        <v>0</v>
      </c>
      <c r="K640" t="n">
        <v>0</v>
      </c>
      <c r="L640" t="n">
        <v>0</v>
      </c>
      <c r="M640" t="n">
        <v>0</v>
      </c>
      <c r="N640" t="n">
        <v>0</v>
      </c>
      <c r="O640" t="n">
        <v>0</v>
      </c>
      <c r="P640" t="n">
        <v>0</v>
      </c>
      <c r="Q640" t="n">
        <v>0</v>
      </c>
      <c r="R640" s="2" t="inlineStr"/>
    </row>
    <row r="641" ht="15" customHeight="1">
      <c r="A641" t="inlineStr">
        <is>
          <t>A 27731-2026</t>
        </is>
      </c>
      <c r="B641" s="1" t="n">
        <v>46191</v>
      </c>
      <c r="C641" s="1" t="n">
        <v>46205</v>
      </c>
      <c r="D641" t="inlineStr">
        <is>
          <t>ÖREBRO LÄN</t>
        </is>
      </c>
      <c r="E641" t="inlineStr">
        <is>
          <t>LINDESBERG</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29857-2023</t>
        </is>
      </c>
      <c r="B642" s="1" t="n">
        <v>45107</v>
      </c>
      <c r="C642" s="1" t="n">
        <v>46205</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37497-2025</t>
        </is>
      </c>
      <c r="B643" s="1" t="n">
        <v>45877</v>
      </c>
      <c r="C643" s="1" t="n">
        <v>46205</v>
      </c>
      <c r="D643" t="inlineStr">
        <is>
          <t>ÖREBRO LÄN</t>
        </is>
      </c>
      <c r="E643" t="inlineStr">
        <is>
          <t>LINDESBERG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44664-2023</t>
        </is>
      </c>
      <c r="B644" s="1" t="n">
        <v>45189</v>
      </c>
      <c r="C644" s="1" t="n">
        <v>46205</v>
      </c>
      <c r="D644" t="inlineStr">
        <is>
          <t>ÖREBRO LÄN</t>
        </is>
      </c>
      <c r="E644" t="inlineStr">
        <is>
          <t>LINDESBERG</t>
        </is>
      </c>
      <c r="G644" t="n">
        <v>2.1</v>
      </c>
      <c r="H644" t="n">
        <v>0</v>
      </c>
      <c r="I644" t="n">
        <v>0</v>
      </c>
      <c r="J644" t="n">
        <v>0</v>
      </c>
      <c r="K644" t="n">
        <v>0</v>
      </c>
      <c r="L644" t="n">
        <v>0</v>
      </c>
      <c r="M644" t="n">
        <v>0</v>
      </c>
      <c r="N644" t="n">
        <v>0</v>
      </c>
      <c r="O644" t="n">
        <v>0</v>
      </c>
      <c r="P644" t="n">
        <v>0</v>
      </c>
      <c r="Q644" t="n">
        <v>0</v>
      </c>
      <c r="R644" s="2" t="inlineStr"/>
    </row>
    <row r="645" ht="15" customHeight="1">
      <c r="A645" t="inlineStr">
        <is>
          <t>A 28569-2024</t>
        </is>
      </c>
      <c r="B645" s="1" t="n">
        <v>45478</v>
      </c>
      <c r="C645" s="1" t="n">
        <v>46205</v>
      </c>
      <c r="D645" t="inlineStr">
        <is>
          <t>ÖREBRO LÄN</t>
        </is>
      </c>
      <c r="E645" t="inlineStr">
        <is>
          <t>LINDESBERG</t>
        </is>
      </c>
      <c r="F645" t="inlineStr">
        <is>
          <t>Sveaskog</t>
        </is>
      </c>
      <c r="G645" t="n">
        <v>2.6</v>
      </c>
      <c r="H645" t="n">
        <v>0</v>
      </c>
      <c r="I645" t="n">
        <v>0</v>
      </c>
      <c r="J645" t="n">
        <v>0</v>
      </c>
      <c r="K645" t="n">
        <v>0</v>
      </c>
      <c r="L645" t="n">
        <v>0</v>
      </c>
      <c r="M645" t="n">
        <v>0</v>
      </c>
      <c r="N645" t="n">
        <v>0</v>
      </c>
      <c r="O645" t="n">
        <v>0</v>
      </c>
      <c r="P645" t="n">
        <v>0</v>
      </c>
      <c r="Q645" t="n">
        <v>0</v>
      </c>
      <c r="R645" s="2" t="inlineStr"/>
    </row>
    <row r="646" ht="15" customHeight="1">
      <c r="A646" t="inlineStr">
        <is>
          <t>A 47535-2022</t>
        </is>
      </c>
      <c r="B646" s="1" t="n">
        <v>44853</v>
      </c>
      <c r="C646" s="1" t="n">
        <v>46205</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30830-2024</t>
        </is>
      </c>
      <c r="B647" s="1" t="n">
        <v>45497</v>
      </c>
      <c r="C647" s="1" t="n">
        <v>46205</v>
      </c>
      <c r="D647" t="inlineStr">
        <is>
          <t>ÖREBRO LÄN</t>
        </is>
      </c>
      <c r="E647" t="inlineStr">
        <is>
          <t>LINDESBERG</t>
        </is>
      </c>
      <c r="G647" t="n">
        <v>2.8</v>
      </c>
      <c r="H647" t="n">
        <v>0</v>
      </c>
      <c r="I647" t="n">
        <v>0</v>
      </c>
      <c r="J647" t="n">
        <v>0</v>
      </c>
      <c r="K647" t="n">
        <v>0</v>
      </c>
      <c r="L647" t="n">
        <v>0</v>
      </c>
      <c r="M647" t="n">
        <v>0</v>
      </c>
      <c r="N647" t="n">
        <v>0</v>
      </c>
      <c r="O647" t="n">
        <v>0</v>
      </c>
      <c r="P647" t="n">
        <v>0</v>
      </c>
      <c r="Q647" t="n">
        <v>0</v>
      </c>
      <c r="R647" s="2" t="inlineStr"/>
    </row>
    <row r="648" ht="15" customHeight="1">
      <c r="A648" t="inlineStr">
        <is>
          <t>A 59395-2022</t>
        </is>
      </c>
      <c r="B648" s="1" t="n">
        <v>44906</v>
      </c>
      <c r="C648" s="1" t="n">
        <v>46205</v>
      </c>
      <c r="D648" t="inlineStr">
        <is>
          <t>ÖREBRO LÄN</t>
        </is>
      </c>
      <c r="E648" t="inlineStr">
        <is>
          <t>LINDESBERG</t>
        </is>
      </c>
      <c r="G648" t="n">
        <v>4.3</v>
      </c>
      <c r="H648" t="n">
        <v>0</v>
      </c>
      <c r="I648" t="n">
        <v>0</v>
      </c>
      <c r="J648" t="n">
        <v>0</v>
      </c>
      <c r="K648" t="n">
        <v>0</v>
      </c>
      <c r="L648" t="n">
        <v>0</v>
      </c>
      <c r="M648" t="n">
        <v>0</v>
      </c>
      <c r="N648" t="n">
        <v>0</v>
      </c>
      <c r="O648" t="n">
        <v>0</v>
      </c>
      <c r="P648" t="n">
        <v>0</v>
      </c>
      <c r="Q648" t="n">
        <v>0</v>
      </c>
      <c r="R648" s="2" t="inlineStr"/>
    </row>
    <row r="649" ht="15" customHeight="1">
      <c r="A649" t="inlineStr">
        <is>
          <t>A 55272-2023</t>
        </is>
      </c>
      <c r="B649" s="1" t="n">
        <v>45237</v>
      </c>
      <c r="C649" s="1" t="n">
        <v>46205</v>
      </c>
      <c r="D649" t="inlineStr">
        <is>
          <t>ÖREBRO LÄN</t>
        </is>
      </c>
      <c r="E649" t="inlineStr">
        <is>
          <t>LINDESBERG</t>
        </is>
      </c>
      <c r="G649" t="n">
        <v>2.4</v>
      </c>
      <c r="H649" t="n">
        <v>0</v>
      </c>
      <c r="I649" t="n">
        <v>0</v>
      </c>
      <c r="J649" t="n">
        <v>0</v>
      </c>
      <c r="K649" t="n">
        <v>0</v>
      </c>
      <c r="L649" t="n">
        <v>0</v>
      </c>
      <c r="M649" t="n">
        <v>0</v>
      </c>
      <c r="N649" t="n">
        <v>0</v>
      </c>
      <c r="O649" t="n">
        <v>0</v>
      </c>
      <c r="P649" t="n">
        <v>0</v>
      </c>
      <c r="Q649" t="n">
        <v>0</v>
      </c>
      <c r="R649" s="2" t="inlineStr"/>
    </row>
    <row r="650" ht="15" customHeight="1">
      <c r="A650" t="inlineStr">
        <is>
          <t>A 27576-2024</t>
        </is>
      </c>
      <c r="B650" s="1" t="n">
        <v>45474</v>
      </c>
      <c r="C650" s="1" t="n">
        <v>46205</v>
      </c>
      <c r="D650" t="inlineStr">
        <is>
          <t>ÖREBRO LÄN</t>
        </is>
      </c>
      <c r="E650" t="inlineStr">
        <is>
          <t>LINDESBERG</t>
        </is>
      </c>
      <c r="F650" t="inlineStr">
        <is>
          <t>Kyrkan</t>
        </is>
      </c>
      <c r="G650" t="n">
        <v>1.3</v>
      </c>
      <c r="H650" t="n">
        <v>0</v>
      </c>
      <c r="I650" t="n">
        <v>0</v>
      </c>
      <c r="J650" t="n">
        <v>0</v>
      </c>
      <c r="K650" t="n">
        <v>0</v>
      </c>
      <c r="L650" t="n">
        <v>0</v>
      </c>
      <c r="M650" t="n">
        <v>0</v>
      </c>
      <c r="N650" t="n">
        <v>0</v>
      </c>
      <c r="O650" t="n">
        <v>0</v>
      </c>
      <c r="P650" t="n">
        <v>0</v>
      </c>
      <c r="Q650" t="n">
        <v>0</v>
      </c>
      <c r="R650" s="2" t="inlineStr"/>
    </row>
    <row r="651" ht="15" customHeight="1">
      <c r="A651" t="inlineStr">
        <is>
          <t>A 52930-2024</t>
        </is>
      </c>
      <c r="B651" s="1" t="n">
        <v>45610</v>
      </c>
      <c r="C651" s="1" t="n">
        <v>46205</v>
      </c>
      <c r="D651" t="inlineStr">
        <is>
          <t>ÖREBRO LÄN</t>
        </is>
      </c>
      <c r="E651" t="inlineStr">
        <is>
          <t>LINDESBERG</t>
        </is>
      </c>
      <c r="G651" t="n">
        <v>2.8</v>
      </c>
      <c r="H651" t="n">
        <v>0</v>
      </c>
      <c r="I651" t="n">
        <v>0</v>
      </c>
      <c r="J651" t="n">
        <v>0</v>
      </c>
      <c r="K651" t="n">
        <v>0</v>
      </c>
      <c r="L651" t="n">
        <v>0</v>
      </c>
      <c r="M651" t="n">
        <v>0</v>
      </c>
      <c r="N651" t="n">
        <v>0</v>
      </c>
      <c r="O651" t="n">
        <v>0</v>
      </c>
      <c r="P651" t="n">
        <v>0</v>
      </c>
      <c r="Q651" t="n">
        <v>0</v>
      </c>
      <c r="R651" s="2" t="inlineStr"/>
    </row>
    <row r="652" ht="15" customHeight="1">
      <c r="A652" t="inlineStr">
        <is>
          <t>A 2103-2022</t>
        </is>
      </c>
      <c r="B652" s="1" t="n">
        <v>44577</v>
      </c>
      <c r="C652" s="1" t="n">
        <v>46205</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54860-2024</t>
        </is>
      </c>
      <c r="B653" s="1" t="n">
        <v>45618</v>
      </c>
      <c r="C653" s="1" t="n">
        <v>46205</v>
      </c>
      <c r="D653" t="inlineStr">
        <is>
          <t>ÖREBRO LÄN</t>
        </is>
      </c>
      <c r="E653" t="inlineStr">
        <is>
          <t>LINDESBERG</t>
        </is>
      </c>
      <c r="F653" t="inlineStr">
        <is>
          <t>Sveaskog</t>
        </is>
      </c>
      <c r="G653" t="n">
        <v>0.3</v>
      </c>
      <c r="H653" t="n">
        <v>0</v>
      </c>
      <c r="I653" t="n">
        <v>0</v>
      </c>
      <c r="J653" t="n">
        <v>0</v>
      </c>
      <c r="K653" t="n">
        <v>0</v>
      </c>
      <c r="L653" t="n">
        <v>0</v>
      </c>
      <c r="M653" t="n">
        <v>0</v>
      </c>
      <c r="N653" t="n">
        <v>0</v>
      </c>
      <c r="O653" t="n">
        <v>0</v>
      </c>
      <c r="P653" t="n">
        <v>0</v>
      </c>
      <c r="Q653" t="n">
        <v>0</v>
      </c>
      <c r="R653" s="2" t="inlineStr"/>
    </row>
    <row r="654" ht="15" customHeight="1">
      <c r="A654" t="inlineStr">
        <is>
          <t>A 28703-2026</t>
        </is>
      </c>
      <c r="B654" s="1" t="n">
        <v>46198</v>
      </c>
      <c r="C654" s="1" t="n">
        <v>46205</v>
      </c>
      <c r="D654" t="inlineStr">
        <is>
          <t>ÖREBRO LÄN</t>
        </is>
      </c>
      <c r="E654" t="inlineStr">
        <is>
          <t>LINDESBERG</t>
        </is>
      </c>
      <c r="G654" t="n">
        <v>5.1</v>
      </c>
      <c r="H654" t="n">
        <v>0</v>
      </c>
      <c r="I654" t="n">
        <v>0</v>
      </c>
      <c r="J654" t="n">
        <v>0</v>
      </c>
      <c r="K654" t="n">
        <v>0</v>
      </c>
      <c r="L654" t="n">
        <v>0</v>
      </c>
      <c r="M654" t="n">
        <v>0</v>
      </c>
      <c r="N654" t="n">
        <v>0</v>
      </c>
      <c r="O654" t="n">
        <v>0</v>
      </c>
      <c r="P654" t="n">
        <v>0</v>
      </c>
      <c r="Q654" t="n">
        <v>0</v>
      </c>
      <c r="R654" s="2" t="inlineStr"/>
    </row>
    <row r="655" ht="15" customHeight="1">
      <c r="A655" t="inlineStr">
        <is>
          <t>A 28040-2025</t>
        </is>
      </c>
      <c r="B655" s="1" t="n">
        <v>45817</v>
      </c>
      <c r="C655" s="1" t="n">
        <v>46205</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49358-2023</t>
        </is>
      </c>
      <c r="B656" s="1" t="n">
        <v>45211</v>
      </c>
      <c r="C656" s="1" t="n">
        <v>46205</v>
      </c>
      <c r="D656" t="inlineStr">
        <is>
          <t>ÖREBRO LÄN</t>
        </is>
      </c>
      <c r="E656" t="inlineStr">
        <is>
          <t>LINDESBERG</t>
        </is>
      </c>
      <c r="F656" t="inlineStr">
        <is>
          <t>Sveaskog</t>
        </is>
      </c>
      <c r="G656" t="n">
        <v>4.7</v>
      </c>
      <c r="H656" t="n">
        <v>0</v>
      </c>
      <c r="I656" t="n">
        <v>0</v>
      </c>
      <c r="J656" t="n">
        <v>0</v>
      </c>
      <c r="K656" t="n">
        <v>0</v>
      </c>
      <c r="L656" t="n">
        <v>0</v>
      </c>
      <c r="M656" t="n">
        <v>0</v>
      </c>
      <c r="N656" t="n">
        <v>0</v>
      </c>
      <c r="O656" t="n">
        <v>0</v>
      </c>
      <c r="P656" t="n">
        <v>0</v>
      </c>
      <c r="Q656" t="n">
        <v>0</v>
      </c>
      <c r="R656" s="2" t="inlineStr"/>
    </row>
    <row r="657" ht="15" customHeight="1">
      <c r="A657" t="inlineStr">
        <is>
          <t>A 23579-2022</t>
        </is>
      </c>
      <c r="B657" s="1" t="n">
        <v>44721</v>
      </c>
      <c r="C657" s="1" t="n">
        <v>46205</v>
      </c>
      <c r="D657" t="inlineStr">
        <is>
          <t>ÖREBRO LÄN</t>
        </is>
      </c>
      <c r="E657" t="inlineStr">
        <is>
          <t>LINDESBERG</t>
        </is>
      </c>
      <c r="G657" t="n">
        <v>0.7</v>
      </c>
      <c r="H657" t="n">
        <v>0</v>
      </c>
      <c r="I657" t="n">
        <v>0</v>
      </c>
      <c r="J657" t="n">
        <v>0</v>
      </c>
      <c r="K657" t="n">
        <v>0</v>
      </c>
      <c r="L657" t="n">
        <v>0</v>
      </c>
      <c r="M657" t="n">
        <v>0</v>
      </c>
      <c r="N657" t="n">
        <v>0</v>
      </c>
      <c r="O657" t="n">
        <v>0</v>
      </c>
      <c r="P657" t="n">
        <v>0</v>
      </c>
      <c r="Q657" t="n">
        <v>0</v>
      </c>
      <c r="R657" s="2" t="inlineStr"/>
    </row>
    <row r="658" ht="15" customHeight="1">
      <c r="A658" t="inlineStr">
        <is>
          <t>A 30512-2025</t>
        </is>
      </c>
      <c r="B658" s="1" t="n">
        <v>45831</v>
      </c>
      <c r="C658" s="1" t="n">
        <v>46205</v>
      </c>
      <c r="D658" t="inlineStr">
        <is>
          <t>ÖREBRO LÄN</t>
        </is>
      </c>
      <c r="E658" t="inlineStr">
        <is>
          <t>LINDESBERG</t>
        </is>
      </c>
      <c r="G658" t="n">
        <v>4.5</v>
      </c>
      <c r="H658" t="n">
        <v>0</v>
      </c>
      <c r="I658" t="n">
        <v>0</v>
      </c>
      <c r="J658" t="n">
        <v>0</v>
      </c>
      <c r="K658" t="n">
        <v>0</v>
      </c>
      <c r="L658" t="n">
        <v>0</v>
      </c>
      <c r="M658" t="n">
        <v>0</v>
      </c>
      <c r="N658" t="n">
        <v>0</v>
      </c>
      <c r="O658" t="n">
        <v>0</v>
      </c>
      <c r="P658" t="n">
        <v>0</v>
      </c>
      <c r="Q658" t="n">
        <v>0</v>
      </c>
      <c r="R658" s="2" t="inlineStr"/>
    </row>
    <row r="659" ht="15" customHeight="1">
      <c r="A659" t="inlineStr">
        <is>
          <t>A 32009-2023</t>
        </is>
      </c>
      <c r="B659" s="1" t="n">
        <v>45119</v>
      </c>
      <c r="C659" s="1" t="n">
        <v>46205</v>
      </c>
      <c r="D659" t="inlineStr">
        <is>
          <t>ÖREBRO LÄN</t>
        </is>
      </c>
      <c r="E659" t="inlineStr">
        <is>
          <t>LINDESBERG</t>
        </is>
      </c>
      <c r="F659" t="inlineStr">
        <is>
          <t>Kyrkan</t>
        </is>
      </c>
      <c r="G659" t="n">
        <v>0.8</v>
      </c>
      <c r="H659" t="n">
        <v>0</v>
      </c>
      <c r="I659" t="n">
        <v>0</v>
      </c>
      <c r="J659" t="n">
        <v>0</v>
      </c>
      <c r="K659" t="n">
        <v>0</v>
      </c>
      <c r="L659" t="n">
        <v>0</v>
      </c>
      <c r="M659" t="n">
        <v>0</v>
      </c>
      <c r="N659" t="n">
        <v>0</v>
      </c>
      <c r="O659" t="n">
        <v>0</v>
      </c>
      <c r="P659" t="n">
        <v>0</v>
      </c>
      <c r="Q659" t="n">
        <v>0</v>
      </c>
      <c r="R659" s="2" t="inlineStr"/>
    </row>
    <row r="660" ht="15" customHeight="1">
      <c r="A660" t="inlineStr">
        <is>
          <t>A 23260-2024</t>
        </is>
      </c>
      <c r="B660" s="1" t="n">
        <v>45453</v>
      </c>
      <c r="C660" s="1" t="n">
        <v>46205</v>
      </c>
      <c r="D660" t="inlineStr">
        <is>
          <t>ÖREBRO LÄN</t>
        </is>
      </c>
      <c r="E660" t="inlineStr">
        <is>
          <t>LINDESBERG</t>
        </is>
      </c>
      <c r="F660" t="inlineStr">
        <is>
          <t>Sveaskog</t>
        </is>
      </c>
      <c r="G660" t="n">
        <v>0.3</v>
      </c>
      <c r="H660" t="n">
        <v>0</v>
      </c>
      <c r="I660" t="n">
        <v>0</v>
      </c>
      <c r="J660" t="n">
        <v>0</v>
      </c>
      <c r="K660" t="n">
        <v>0</v>
      </c>
      <c r="L660" t="n">
        <v>0</v>
      </c>
      <c r="M660" t="n">
        <v>0</v>
      </c>
      <c r="N660" t="n">
        <v>0</v>
      </c>
      <c r="O660" t="n">
        <v>0</v>
      </c>
      <c r="P660" t="n">
        <v>0</v>
      </c>
      <c r="Q660" t="n">
        <v>0</v>
      </c>
      <c r="R660" s="2" t="inlineStr"/>
    </row>
    <row r="661" ht="15" customHeight="1">
      <c r="A661" t="inlineStr">
        <is>
          <t>A 26067-2022</t>
        </is>
      </c>
      <c r="B661" s="1" t="n">
        <v>44734</v>
      </c>
      <c r="C661" s="1" t="n">
        <v>46205</v>
      </c>
      <c r="D661" t="inlineStr">
        <is>
          <t>ÖREBRO LÄN</t>
        </is>
      </c>
      <c r="E661" t="inlineStr">
        <is>
          <t>LINDESBERG</t>
        </is>
      </c>
      <c r="G661" t="n">
        <v>3.1</v>
      </c>
      <c r="H661" t="n">
        <v>0</v>
      </c>
      <c r="I661" t="n">
        <v>0</v>
      </c>
      <c r="J661" t="n">
        <v>0</v>
      </c>
      <c r="K661" t="n">
        <v>0</v>
      </c>
      <c r="L661" t="n">
        <v>0</v>
      </c>
      <c r="M661" t="n">
        <v>0</v>
      </c>
      <c r="N661" t="n">
        <v>0</v>
      </c>
      <c r="O661" t="n">
        <v>0</v>
      </c>
      <c r="P661" t="n">
        <v>0</v>
      </c>
      <c r="Q661" t="n">
        <v>0</v>
      </c>
      <c r="R661" s="2" t="inlineStr"/>
    </row>
    <row r="662" ht="15" customHeight="1">
      <c r="A662" t="inlineStr">
        <is>
          <t>A 3233-2023</t>
        </is>
      </c>
      <c r="B662" s="1" t="n">
        <v>44946</v>
      </c>
      <c r="C662" s="1" t="n">
        <v>46205</v>
      </c>
      <c r="D662" t="inlineStr">
        <is>
          <t>ÖREBRO LÄN</t>
        </is>
      </c>
      <c r="E662" t="inlineStr">
        <is>
          <t>LINDESBERG</t>
        </is>
      </c>
      <c r="G662" t="n">
        <v>3</v>
      </c>
      <c r="H662" t="n">
        <v>0</v>
      </c>
      <c r="I662" t="n">
        <v>0</v>
      </c>
      <c r="J662" t="n">
        <v>0</v>
      </c>
      <c r="K662" t="n">
        <v>0</v>
      </c>
      <c r="L662" t="n">
        <v>0</v>
      </c>
      <c r="M662" t="n">
        <v>0</v>
      </c>
      <c r="N662" t="n">
        <v>0</v>
      </c>
      <c r="O662" t="n">
        <v>0</v>
      </c>
      <c r="P662" t="n">
        <v>0</v>
      </c>
      <c r="Q662" t="n">
        <v>0</v>
      </c>
      <c r="R662" s="2" t="inlineStr"/>
    </row>
    <row r="663" ht="15" customHeight="1">
      <c r="A663" t="inlineStr">
        <is>
          <t>A 5047-2023</t>
        </is>
      </c>
      <c r="B663" s="1" t="n">
        <v>44958</v>
      </c>
      <c r="C663" s="1" t="n">
        <v>46205</v>
      </c>
      <c r="D663" t="inlineStr">
        <is>
          <t>ÖREBRO LÄN</t>
        </is>
      </c>
      <c r="E663" t="inlineStr">
        <is>
          <t>LINDESBERG</t>
        </is>
      </c>
      <c r="G663" t="n">
        <v>2</v>
      </c>
      <c r="H663" t="n">
        <v>0</v>
      </c>
      <c r="I663" t="n">
        <v>0</v>
      </c>
      <c r="J663" t="n">
        <v>0</v>
      </c>
      <c r="K663" t="n">
        <v>0</v>
      </c>
      <c r="L663" t="n">
        <v>0</v>
      </c>
      <c r="M663" t="n">
        <v>0</v>
      </c>
      <c r="N663" t="n">
        <v>0</v>
      </c>
      <c r="O663" t="n">
        <v>0</v>
      </c>
      <c r="P663" t="n">
        <v>0</v>
      </c>
      <c r="Q663" t="n">
        <v>0</v>
      </c>
      <c r="R663" s="2" t="inlineStr"/>
    </row>
    <row r="664" ht="15" customHeight="1">
      <c r="A664" t="inlineStr">
        <is>
          <t>A 50072-2025</t>
        </is>
      </c>
      <c r="B664" s="1" t="n">
        <v>45943</v>
      </c>
      <c r="C664" s="1" t="n">
        <v>46205</v>
      </c>
      <c r="D664" t="inlineStr">
        <is>
          <t>ÖREBRO LÄN</t>
        </is>
      </c>
      <c r="E664" t="inlineStr">
        <is>
          <t>LINDESBERG</t>
        </is>
      </c>
      <c r="G664" t="n">
        <v>1.5</v>
      </c>
      <c r="H664" t="n">
        <v>0</v>
      </c>
      <c r="I664" t="n">
        <v>0</v>
      </c>
      <c r="J664" t="n">
        <v>0</v>
      </c>
      <c r="K664" t="n">
        <v>0</v>
      </c>
      <c r="L664" t="n">
        <v>0</v>
      </c>
      <c r="M664" t="n">
        <v>0</v>
      </c>
      <c r="N664" t="n">
        <v>0</v>
      </c>
      <c r="O664" t="n">
        <v>0</v>
      </c>
      <c r="P664" t="n">
        <v>0</v>
      </c>
      <c r="Q664" t="n">
        <v>0</v>
      </c>
      <c r="R664" s="2" t="inlineStr"/>
    </row>
    <row r="665" ht="15" customHeight="1">
      <c r="A665" t="inlineStr">
        <is>
          <t>A 1749-2026</t>
        </is>
      </c>
      <c r="B665" s="1" t="n">
        <v>46034</v>
      </c>
      <c r="C665" s="1" t="n">
        <v>46205</v>
      </c>
      <c r="D665" t="inlineStr">
        <is>
          <t>ÖREBRO LÄN</t>
        </is>
      </c>
      <c r="E665" t="inlineStr">
        <is>
          <t>LINDESBERG</t>
        </is>
      </c>
      <c r="G665" t="n">
        <v>2.2</v>
      </c>
      <c r="H665" t="n">
        <v>0</v>
      </c>
      <c r="I665" t="n">
        <v>0</v>
      </c>
      <c r="J665" t="n">
        <v>0</v>
      </c>
      <c r="K665" t="n">
        <v>0</v>
      </c>
      <c r="L665" t="n">
        <v>0</v>
      </c>
      <c r="M665" t="n">
        <v>0</v>
      </c>
      <c r="N665" t="n">
        <v>0</v>
      </c>
      <c r="O665" t="n">
        <v>0</v>
      </c>
      <c r="P665" t="n">
        <v>0</v>
      </c>
      <c r="Q665" t="n">
        <v>0</v>
      </c>
      <c r="R665" s="2" t="inlineStr"/>
    </row>
    <row r="666" ht="15" customHeight="1">
      <c r="A666" t="inlineStr">
        <is>
          <t>A 28726-2026</t>
        </is>
      </c>
      <c r="B666" s="1" t="n">
        <v>46198</v>
      </c>
      <c r="C666" s="1" t="n">
        <v>46205</v>
      </c>
      <c r="D666" t="inlineStr">
        <is>
          <t>ÖREBRO LÄN</t>
        </is>
      </c>
      <c r="E666" t="inlineStr">
        <is>
          <t>LINDESBERG</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8836-2023</t>
        </is>
      </c>
      <c r="B667" s="1" t="n">
        <v>44978</v>
      </c>
      <c r="C667" s="1" t="n">
        <v>46205</v>
      </c>
      <c r="D667" t="inlineStr">
        <is>
          <t>ÖREBRO LÄN</t>
        </is>
      </c>
      <c r="E667" t="inlineStr">
        <is>
          <t>LINDESBERG</t>
        </is>
      </c>
      <c r="G667" t="n">
        <v>1</v>
      </c>
      <c r="H667" t="n">
        <v>0</v>
      </c>
      <c r="I667" t="n">
        <v>0</v>
      </c>
      <c r="J667" t="n">
        <v>0</v>
      </c>
      <c r="K667" t="n">
        <v>0</v>
      </c>
      <c r="L667" t="n">
        <v>0</v>
      </c>
      <c r="M667" t="n">
        <v>0</v>
      </c>
      <c r="N667" t="n">
        <v>0</v>
      </c>
      <c r="O667" t="n">
        <v>0</v>
      </c>
      <c r="P667" t="n">
        <v>0</v>
      </c>
      <c r="Q667" t="n">
        <v>0</v>
      </c>
      <c r="R667" s="2" t="inlineStr"/>
    </row>
    <row r="668" ht="15" customHeight="1">
      <c r="A668" t="inlineStr">
        <is>
          <t>A 46219-2022</t>
        </is>
      </c>
      <c r="B668" s="1" t="n">
        <v>44846</v>
      </c>
      <c r="C668" s="1" t="n">
        <v>46205</v>
      </c>
      <c r="D668" t="inlineStr">
        <is>
          <t>ÖREBRO LÄN</t>
        </is>
      </c>
      <c r="E668" t="inlineStr">
        <is>
          <t>LINDESBERG</t>
        </is>
      </c>
      <c r="G668" t="n">
        <v>6</v>
      </c>
      <c r="H668" t="n">
        <v>0</v>
      </c>
      <c r="I668" t="n">
        <v>0</v>
      </c>
      <c r="J668" t="n">
        <v>0</v>
      </c>
      <c r="K668" t="n">
        <v>0</v>
      </c>
      <c r="L668" t="n">
        <v>0</v>
      </c>
      <c r="M668" t="n">
        <v>0</v>
      </c>
      <c r="N668" t="n">
        <v>0</v>
      </c>
      <c r="O668" t="n">
        <v>0</v>
      </c>
      <c r="P668" t="n">
        <v>0</v>
      </c>
      <c r="Q668" t="n">
        <v>0</v>
      </c>
      <c r="R668" s="2" t="inlineStr"/>
    </row>
    <row r="669" ht="15" customHeight="1">
      <c r="A669" t="inlineStr">
        <is>
          <t>A 48244-2024</t>
        </is>
      </c>
      <c r="B669" s="1" t="n">
        <v>45590</v>
      </c>
      <c r="C669" s="1" t="n">
        <v>46205</v>
      </c>
      <c r="D669" t="inlineStr">
        <is>
          <t>ÖREBRO LÄN</t>
        </is>
      </c>
      <c r="E669" t="inlineStr">
        <is>
          <t>LINDESBERG</t>
        </is>
      </c>
      <c r="G669" t="n">
        <v>1.1</v>
      </c>
      <c r="H669" t="n">
        <v>0</v>
      </c>
      <c r="I669" t="n">
        <v>0</v>
      </c>
      <c r="J669" t="n">
        <v>0</v>
      </c>
      <c r="K669" t="n">
        <v>0</v>
      </c>
      <c r="L669" t="n">
        <v>0</v>
      </c>
      <c r="M669" t="n">
        <v>0</v>
      </c>
      <c r="N669" t="n">
        <v>0</v>
      </c>
      <c r="O669" t="n">
        <v>0</v>
      </c>
      <c r="P669" t="n">
        <v>0</v>
      </c>
      <c r="Q669" t="n">
        <v>0</v>
      </c>
      <c r="R669" s="2" t="inlineStr"/>
    </row>
    <row r="670" ht="15" customHeight="1">
      <c r="A670" t="inlineStr">
        <is>
          <t>A 59633-2023</t>
        </is>
      </c>
      <c r="B670" s="1" t="n">
        <v>45254</v>
      </c>
      <c r="C670" s="1" t="n">
        <v>46205</v>
      </c>
      <c r="D670" t="inlineStr">
        <is>
          <t>ÖREBRO LÄN</t>
        </is>
      </c>
      <c r="E670" t="inlineStr">
        <is>
          <t>LINDESBERG</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18418-2025</t>
        </is>
      </c>
      <c r="B671" s="1" t="n">
        <v>45762</v>
      </c>
      <c r="C671" s="1" t="n">
        <v>46205</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23649-2023</t>
        </is>
      </c>
      <c r="B672" s="1" t="n">
        <v>45074</v>
      </c>
      <c r="C672" s="1" t="n">
        <v>46205</v>
      </c>
      <c r="D672" t="inlineStr">
        <is>
          <t>ÖREBRO LÄN</t>
        </is>
      </c>
      <c r="E672" t="inlineStr">
        <is>
          <t>LINDESBERG</t>
        </is>
      </c>
      <c r="G672" t="n">
        <v>1.2</v>
      </c>
      <c r="H672" t="n">
        <v>0</v>
      </c>
      <c r="I672" t="n">
        <v>0</v>
      </c>
      <c r="J672" t="n">
        <v>0</v>
      </c>
      <c r="K672" t="n">
        <v>0</v>
      </c>
      <c r="L672" t="n">
        <v>0</v>
      </c>
      <c r="M672" t="n">
        <v>0</v>
      </c>
      <c r="N672" t="n">
        <v>0</v>
      </c>
      <c r="O672" t="n">
        <v>0</v>
      </c>
      <c r="P672" t="n">
        <v>0</v>
      </c>
      <c r="Q672" t="n">
        <v>0</v>
      </c>
      <c r="R672" s="2" t="inlineStr"/>
    </row>
    <row r="673" ht="15" customHeight="1">
      <c r="A673" t="inlineStr">
        <is>
          <t>A 43081-2021</t>
        </is>
      </c>
      <c r="B673" s="1" t="n">
        <v>44431</v>
      </c>
      <c r="C673" s="1" t="n">
        <v>46205</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51071-2022</t>
        </is>
      </c>
      <c r="B674" s="1" t="n">
        <v>44868</v>
      </c>
      <c r="C674" s="1" t="n">
        <v>46205</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22745-2026</t>
        </is>
      </c>
      <c r="B675" s="1" t="n">
        <v>46157</v>
      </c>
      <c r="C675" s="1" t="n">
        <v>46205</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44449-2023</t>
        </is>
      </c>
      <c r="B676" s="1" t="n">
        <v>45189</v>
      </c>
      <c r="C676" s="1" t="n">
        <v>46205</v>
      </c>
      <c r="D676" t="inlineStr">
        <is>
          <t>ÖREBRO LÄN</t>
        </is>
      </c>
      <c r="E676" t="inlineStr">
        <is>
          <t>LINDESBERG</t>
        </is>
      </c>
      <c r="G676" t="n">
        <v>13.7</v>
      </c>
      <c r="H676" t="n">
        <v>0</v>
      </c>
      <c r="I676" t="n">
        <v>0</v>
      </c>
      <c r="J676" t="n">
        <v>0</v>
      </c>
      <c r="K676" t="n">
        <v>0</v>
      </c>
      <c r="L676" t="n">
        <v>0</v>
      </c>
      <c r="M676" t="n">
        <v>0</v>
      </c>
      <c r="N676" t="n">
        <v>0</v>
      </c>
      <c r="O676" t="n">
        <v>0</v>
      </c>
      <c r="P676" t="n">
        <v>0</v>
      </c>
      <c r="Q676" t="n">
        <v>0</v>
      </c>
      <c r="R676" s="2" t="inlineStr"/>
    </row>
    <row r="677" ht="15" customHeight="1">
      <c r="A677" t="inlineStr">
        <is>
          <t>A 22748-2026</t>
        </is>
      </c>
      <c r="B677" s="1" t="n">
        <v>46157</v>
      </c>
      <c r="C677" s="1" t="n">
        <v>46205</v>
      </c>
      <c r="D677" t="inlineStr">
        <is>
          <t>ÖREBRO LÄN</t>
        </is>
      </c>
      <c r="E677" t="inlineStr">
        <is>
          <t>LINDESBERG</t>
        </is>
      </c>
      <c r="G677" t="n">
        <v>3.1</v>
      </c>
      <c r="H677" t="n">
        <v>0</v>
      </c>
      <c r="I677" t="n">
        <v>0</v>
      </c>
      <c r="J677" t="n">
        <v>0</v>
      </c>
      <c r="K677" t="n">
        <v>0</v>
      </c>
      <c r="L677" t="n">
        <v>0</v>
      </c>
      <c r="M677" t="n">
        <v>0</v>
      </c>
      <c r="N677" t="n">
        <v>0</v>
      </c>
      <c r="O677" t="n">
        <v>0</v>
      </c>
      <c r="P677" t="n">
        <v>0</v>
      </c>
      <c r="Q677" t="n">
        <v>0</v>
      </c>
      <c r="R677" s="2" t="inlineStr"/>
    </row>
    <row r="678" ht="15" customHeight="1">
      <c r="A678" t="inlineStr">
        <is>
          <t>A 22861-2026</t>
        </is>
      </c>
      <c r="B678" s="1" t="n">
        <v>46160</v>
      </c>
      <c r="C678" s="1" t="n">
        <v>46205</v>
      </c>
      <c r="D678" t="inlineStr">
        <is>
          <t>ÖREBRO LÄN</t>
        </is>
      </c>
      <c r="E678" t="inlineStr">
        <is>
          <t>LINDESBERG</t>
        </is>
      </c>
      <c r="G678" t="n">
        <v>2.3</v>
      </c>
      <c r="H678" t="n">
        <v>0</v>
      </c>
      <c r="I678" t="n">
        <v>0</v>
      </c>
      <c r="J678" t="n">
        <v>0</v>
      </c>
      <c r="K678" t="n">
        <v>0</v>
      </c>
      <c r="L678" t="n">
        <v>0</v>
      </c>
      <c r="M678" t="n">
        <v>0</v>
      </c>
      <c r="N678" t="n">
        <v>0</v>
      </c>
      <c r="O678" t="n">
        <v>0</v>
      </c>
      <c r="P678" t="n">
        <v>0</v>
      </c>
      <c r="Q678" t="n">
        <v>0</v>
      </c>
      <c r="R678" s="2" t="inlineStr"/>
    </row>
    <row r="679" ht="15" customHeight="1">
      <c r="A679" t="inlineStr">
        <is>
          <t>A 22752-2026</t>
        </is>
      </c>
      <c r="B679" s="1" t="n">
        <v>46157</v>
      </c>
      <c r="C679" s="1" t="n">
        <v>46205</v>
      </c>
      <c r="D679" t="inlineStr">
        <is>
          <t>ÖREBRO LÄN</t>
        </is>
      </c>
      <c r="E679" t="inlineStr">
        <is>
          <t>LINDESBERG</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22862-2026</t>
        </is>
      </c>
      <c r="B680" s="1" t="n">
        <v>46160</v>
      </c>
      <c r="C680" s="1" t="n">
        <v>46205</v>
      </c>
      <c r="D680" t="inlineStr">
        <is>
          <t>ÖREBRO LÄN</t>
        </is>
      </c>
      <c r="E680" t="inlineStr">
        <is>
          <t>LINDESBERG</t>
        </is>
      </c>
      <c r="G680" t="n">
        <v>2.2</v>
      </c>
      <c r="H680" t="n">
        <v>0</v>
      </c>
      <c r="I680" t="n">
        <v>0</v>
      </c>
      <c r="J680" t="n">
        <v>0</v>
      </c>
      <c r="K680" t="n">
        <v>0</v>
      </c>
      <c r="L680" t="n">
        <v>0</v>
      </c>
      <c r="M680" t="n">
        <v>0</v>
      </c>
      <c r="N680" t="n">
        <v>0</v>
      </c>
      <c r="O680" t="n">
        <v>0</v>
      </c>
      <c r="P680" t="n">
        <v>0</v>
      </c>
      <c r="Q680" t="n">
        <v>0</v>
      </c>
      <c r="R680" s="2" t="inlineStr"/>
    </row>
    <row r="681" ht="15" customHeight="1">
      <c r="A681" t="inlineStr">
        <is>
          <t>A 45078-2024</t>
        </is>
      </c>
      <c r="B681" s="1" t="n">
        <v>45575</v>
      </c>
      <c r="C681" s="1" t="n">
        <v>46205</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29407-2026</t>
        </is>
      </c>
      <c r="B682" s="1" t="n">
        <v>46203</v>
      </c>
      <c r="C682" s="1" t="n">
        <v>46205</v>
      </c>
      <c r="D682" t="inlineStr">
        <is>
          <t>ÖREBRO LÄN</t>
        </is>
      </c>
      <c r="E682" t="inlineStr">
        <is>
          <t>LINDESBERG</t>
        </is>
      </c>
      <c r="F682" t="inlineStr">
        <is>
          <t>Sveaskog</t>
        </is>
      </c>
      <c r="G682" t="n">
        <v>4.9</v>
      </c>
      <c r="H682" t="n">
        <v>0</v>
      </c>
      <c r="I682" t="n">
        <v>0</v>
      </c>
      <c r="J682" t="n">
        <v>0</v>
      </c>
      <c r="K682" t="n">
        <v>0</v>
      </c>
      <c r="L682" t="n">
        <v>0</v>
      </c>
      <c r="M682" t="n">
        <v>0</v>
      </c>
      <c r="N682" t="n">
        <v>0</v>
      </c>
      <c r="O682" t="n">
        <v>0</v>
      </c>
      <c r="P682" t="n">
        <v>0</v>
      </c>
      <c r="Q682" t="n">
        <v>0</v>
      </c>
      <c r="R682" s="2" t="inlineStr"/>
    </row>
    <row r="683" ht="15" customHeight="1">
      <c r="A683" t="inlineStr">
        <is>
          <t>A 23180-2026</t>
        </is>
      </c>
      <c r="B683" s="1" t="n">
        <v>46161</v>
      </c>
      <c r="C683" s="1" t="n">
        <v>46205</v>
      </c>
      <c r="D683" t="inlineStr">
        <is>
          <t>ÖREBRO LÄN</t>
        </is>
      </c>
      <c r="E683" t="inlineStr">
        <is>
          <t>LINDESBERG</t>
        </is>
      </c>
      <c r="F683" t="inlineStr">
        <is>
          <t>Sveaskog</t>
        </is>
      </c>
      <c r="G683" t="n">
        <v>1.9</v>
      </c>
      <c r="H683" t="n">
        <v>0</v>
      </c>
      <c r="I683" t="n">
        <v>0</v>
      </c>
      <c r="J683" t="n">
        <v>0</v>
      </c>
      <c r="K683" t="n">
        <v>0</v>
      </c>
      <c r="L683" t="n">
        <v>0</v>
      </c>
      <c r="M683" t="n">
        <v>0</v>
      </c>
      <c r="N683" t="n">
        <v>0</v>
      </c>
      <c r="O683" t="n">
        <v>0</v>
      </c>
      <c r="P683" t="n">
        <v>0</v>
      </c>
      <c r="Q683" t="n">
        <v>0</v>
      </c>
      <c r="R683" s="2" t="inlineStr"/>
    </row>
    <row r="684" ht="15" customHeight="1">
      <c r="A684" t="inlineStr">
        <is>
          <t>A 27001-2024</t>
        </is>
      </c>
      <c r="B684" s="1" t="n">
        <v>45471</v>
      </c>
      <c r="C684" s="1" t="n">
        <v>46205</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20467-2023</t>
        </is>
      </c>
      <c r="B685" s="1" t="n">
        <v>45057</v>
      </c>
      <c r="C685" s="1" t="n">
        <v>46205</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23393-2026</t>
        </is>
      </c>
      <c r="B686" s="1" t="n">
        <v>46162</v>
      </c>
      <c r="C686" s="1" t="n">
        <v>46205</v>
      </c>
      <c r="D686" t="inlineStr">
        <is>
          <t>ÖREBRO LÄN</t>
        </is>
      </c>
      <c r="E686" t="inlineStr">
        <is>
          <t>LINDESBERG</t>
        </is>
      </c>
      <c r="F686" t="inlineStr">
        <is>
          <t>Naturvårdsverket</t>
        </is>
      </c>
      <c r="G686" t="n">
        <v>1.9</v>
      </c>
      <c r="H686" t="n">
        <v>0</v>
      </c>
      <c r="I686" t="n">
        <v>0</v>
      </c>
      <c r="J686" t="n">
        <v>0</v>
      </c>
      <c r="K686" t="n">
        <v>0</v>
      </c>
      <c r="L686" t="n">
        <v>0</v>
      </c>
      <c r="M686" t="n">
        <v>0</v>
      </c>
      <c r="N686" t="n">
        <v>0</v>
      </c>
      <c r="O686" t="n">
        <v>0</v>
      </c>
      <c r="P686" t="n">
        <v>0</v>
      </c>
      <c r="Q686" t="n">
        <v>0</v>
      </c>
      <c r="R686" s="2" t="inlineStr"/>
    </row>
    <row r="687" ht="15" customHeight="1">
      <c r="A687" t="inlineStr">
        <is>
          <t>A 23338-2026</t>
        </is>
      </c>
      <c r="B687" s="1" t="n">
        <v>46162</v>
      </c>
      <c r="C687" s="1" t="n">
        <v>46205</v>
      </c>
      <c r="D687" t="inlineStr">
        <is>
          <t>ÖREBRO LÄN</t>
        </is>
      </c>
      <c r="E687" t="inlineStr">
        <is>
          <t>LINDESBERG</t>
        </is>
      </c>
      <c r="F687" t="inlineStr">
        <is>
          <t>Naturvårdsverket</t>
        </is>
      </c>
      <c r="G687" t="n">
        <v>2.2</v>
      </c>
      <c r="H687" t="n">
        <v>0</v>
      </c>
      <c r="I687" t="n">
        <v>0</v>
      </c>
      <c r="J687" t="n">
        <v>0</v>
      </c>
      <c r="K687" t="n">
        <v>0</v>
      </c>
      <c r="L687" t="n">
        <v>0</v>
      </c>
      <c r="M687" t="n">
        <v>0</v>
      </c>
      <c r="N687" t="n">
        <v>0</v>
      </c>
      <c r="O687" t="n">
        <v>0</v>
      </c>
      <c r="P687" t="n">
        <v>0</v>
      </c>
      <c r="Q687" t="n">
        <v>0</v>
      </c>
      <c r="R687" s="2" t="inlineStr"/>
    </row>
    <row r="688" ht="15" customHeight="1">
      <c r="A688" t="inlineStr">
        <is>
          <t>A 50170-2022</t>
        </is>
      </c>
      <c r="B688" s="1" t="n">
        <v>44865</v>
      </c>
      <c r="C688" s="1" t="n">
        <v>46205</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23175-2026</t>
        </is>
      </c>
      <c r="B689" s="1" t="n">
        <v>46161</v>
      </c>
      <c r="C689" s="1" t="n">
        <v>46205</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1354-2024</t>
        </is>
      </c>
      <c r="B690" s="1" t="n">
        <v>45303</v>
      </c>
      <c r="C690" s="1" t="n">
        <v>46205</v>
      </c>
      <c r="D690" t="inlineStr">
        <is>
          <t>ÖREBRO LÄN</t>
        </is>
      </c>
      <c r="E690" t="inlineStr">
        <is>
          <t>LINDESBERG</t>
        </is>
      </c>
      <c r="G690" t="n">
        <v>2.1</v>
      </c>
      <c r="H690" t="n">
        <v>0</v>
      </c>
      <c r="I690" t="n">
        <v>0</v>
      </c>
      <c r="J690" t="n">
        <v>0</v>
      </c>
      <c r="K690" t="n">
        <v>0</v>
      </c>
      <c r="L690" t="n">
        <v>0</v>
      </c>
      <c r="M690" t="n">
        <v>0</v>
      </c>
      <c r="N690" t="n">
        <v>0</v>
      </c>
      <c r="O690" t="n">
        <v>0</v>
      </c>
      <c r="P690" t="n">
        <v>0</v>
      </c>
      <c r="Q690" t="n">
        <v>0</v>
      </c>
      <c r="R690" s="2" t="inlineStr"/>
    </row>
    <row r="691" ht="15" customHeight="1">
      <c r="A691" t="inlineStr">
        <is>
          <t>A 23174-2026</t>
        </is>
      </c>
      <c r="B691" s="1" t="n">
        <v>46161</v>
      </c>
      <c r="C691" s="1" t="n">
        <v>46205</v>
      </c>
      <c r="D691" t="inlineStr">
        <is>
          <t>ÖREBRO LÄN</t>
        </is>
      </c>
      <c r="E691" t="inlineStr">
        <is>
          <t>LINDESBERG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23184-2026</t>
        </is>
      </c>
      <c r="B692" s="1" t="n">
        <v>46161</v>
      </c>
      <c r="C692" s="1" t="n">
        <v>46205</v>
      </c>
      <c r="D692" t="inlineStr">
        <is>
          <t>ÖREBRO LÄN</t>
        </is>
      </c>
      <c r="E692" t="inlineStr">
        <is>
          <t>LINDESBERG</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23187-2026</t>
        </is>
      </c>
      <c r="B693" s="1" t="n">
        <v>46161</v>
      </c>
      <c r="C693" s="1" t="n">
        <v>46205</v>
      </c>
      <c r="D693" t="inlineStr">
        <is>
          <t>ÖREBRO LÄN</t>
        </is>
      </c>
      <c r="E693" t="inlineStr">
        <is>
          <t>LINDESBERG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23191-2026</t>
        </is>
      </c>
      <c r="B694" s="1" t="n">
        <v>46161</v>
      </c>
      <c r="C694" s="1" t="n">
        <v>46205</v>
      </c>
      <c r="D694" t="inlineStr">
        <is>
          <t>ÖREBRO LÄN</t>
        </is>
      </c>
      <c r="E694" t="inlineStr">
        <is>
          <t>LINDESBERG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23190-2026</t>
        </is>
      </c>
      <c r="B695" s="1" t="n">
        <v>46161</v>
      </c>
      <c r="C695" s="1" t="n">
        <v>46205</v>
      </c>
      <c r="D695" t="inlineStr">
        <is>
          <t>ÖREBRO LÄN</t>
        </is>
      </c>
      <c r="E695" t="inlineStr">
        <is>
          <t>LINDESBERG</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23173-2026</t>
        </is>
      </c>
      <c r="B696" s="1" t="n">
        <v>46161</v>
      </c>
      <c r="C696" s="1" t="n">
        <v>46205</v>
      </c>
      <c r="D696" t="inlineStr">
        <is>
          <t>ÖREBRO LÄN</t>
        </is>
      </c>
      <c r="E696" t="inlineStr">
        <is>
          <t>LINDESBERG</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29405-2026</t>
        </is>
      </c>
      <c r="B697" s="1" t="n">
        <v>46203</v>
      </c>
      <c r="C697" s="1" t="n">
        <v>46205</v>
      </c>
      <c r="D697" t="inlineStr">
        <is>
          <t>ÖREBRO LÄN</t>
        </is>
      </c>
      <c r="E697" t="inlineStr">
        <is>
          <t>LINDESBERG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29408-2026</t>
        </is>
      </c>
      <c r="B698" s="1" t="n">
        <v>46203</v>
      </c>
      <c r="C698" s="1" t="n">
        <v>46205</v>
      </c>
      <c r="D698" t="inlineStr">
        <is>
          <t>ÖREBRO LÄN</t>
        </is>
      </c>
      <c r="E698" t="inlineStr">
        <is>
          <t>LINDESBERG</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33886-2024</t>
        </is>
      </c>
      <c r="B699" s="1" t="n">
        <v>45523</v>
      </c>
      <c r="C699" s="1" t="n">
        <v>46205</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29409-2026</t>
        </is>
      </c>
      <c r="B700" s="1" t="n">
        <v>46203</v>
      </c>
      <c r="C700" s="1" t="n">
        <v>46205</v>
      </c>
      <c r="D700" t="inlineStr">
        <is>
          <t>ÖREBRO LÄN</t>
        </is>
      </c>
      <c r="E700" t="inlineStr">
        <is>
          <t>LINDESBERG</t>
        </is>
      </c>
      <c r="F700" t="inlineStr">
        <is>
          <t>Sveaskog</t>
        </is>
      </c>
      <c r="G700" t="n">
        <v>7.9</v>
      </c>
      <c r="H700" t="n">
        <v>0</v>
      </c>
      <c r="I700" t="n">
        <v>0</v>
      </c>
      <c r="J700" t="n">
        <v>0</v>
      </c>
      <c r="K700" t="n">
        <v>0</v>
      </c>
      <c r="L700" t="n">
        <v>0</v>
      </c>
      <c r="M700" t="n">
        <v>0</v>
      </c>
      <c r="N700" t="n">
        <v>0</v>
      </c>
      <c r="O700" t="n">
        <v>0</v>
      </c>
      <c r="P700" t="n">
        <v>0</v>
      </c>
      <c r="Q700" t="n">
        <v>0</v>
      </c>
      <c r="R700" s="2" t="inlineStr"/>
    </row>
    <row r="701" ht="15" customHeight="1">
      <c r="A701" t="inlineStr">
        <is>
          <t>A 23188-2026</t>
        </is>
      </c>
      <c r="B701" s="1" t="n">
        <v>46161</v>
      </c>
      <c r="C701" s="1" t="n">
        <v>46205</v>
      </c>
      <c r="D701" t="inlineStr">
        <is>
          <t>ÖREBRO LÄN</t>
        </is>
      </c>
      <c r="E701" t="inlineStr">
        <is>
          <t>LINDESBERG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1405-2025</t>
        </is>
      </c>
      <c r="B702" s="1" t="n">
        <v>45667</v>
      </c>
      <c r="C702" s="1" t="n">
        <v>46205</v>
      </c>
      <c r="D702" t="inlineStr">
        <is>
          <t>ÖREBRO LÄN</t>
        </is>
      </c>
      <c r="E702" t="inlineStr">
        <is>
          <t>LINDESBERG</t>
        </is>
      </c>
      <c r="F702" t="inlineStr">
        <is>
          <t>Allmännings- och besparingsskogar</t>
        </is>
      </c>
      <c r="G702" t="n">
        <v>3.1</v>
      </c>
      <c r="H702" t="n">
        <v>0</v>
      </c>
      <c r="I702" t="n">
        <v>0</v>
      </c>
      <c r="J702" t="n">
        <v>0</v>
      </c>
      <c r="K702" t="n">
        <v>0</v>
      </c>
      <c r="L702" t="n">
        <v>0</v>
      </c>
      <c r="M702" t="n">
        <v>0</v>
      </c>
      <c r="N702" t="n">
        <v>0</v>
      </c>
      <c r="O702" t="n">
        <v>0</v>
      </c>
      <c r="P702" t="n">
        <v>0</v>
      </c>
      <c r="Q702" t="n">
        <v>0</v>
      </c>
      <c r="R702" s="2" t="inlineStr"/>
    </row>
    <row r="703" ht="15" customHeight="1">
      <c r="A703" t="inlineStr">
        <is>
          <t>A 25842-2025</t>
        </is>
      </c>
      <c r="B703" s="1" t="n">
        <v>45804</v>
      </c>
      <c r="C703" s="1" t="n">
        <v>46205</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40456-2023</t>
        </is>
      </c>
      <c r="B704" s="1" t="n">
        <v>45170</v>
      </c>
      <c r="C704" s="1" t="n">
        <v>46205</v>
      </c>
      <c r="D704" t="inlineStr">
        <is>
          <t>ÖREBRO LÄN</t>
        </is>
      </c>
      <c r="E704" t="inlineStr">
        <is>
          <t>LINDESBERG</t>
        </is>
      </c>
      <c r="F704" t="inlineStr">
        <is>
          <t>Kyrkan</t>
        </is>
      </c>
      <c r="G704" t="n">
        <v>0.6</v>
      </c>
      <c r="H704" t="n">
        <v>0</v>
      </c>
      <c r="I704" t="n">
        <v>0</v>
      </c>
      <c r="J704" t="n">
        <v>0</v>
      </c>
      <c r="K704" t="n">
        <v>0</v>
      </c>
      <c r="L704" t="n">
        <v>0</v>
      </c>
      <c r="M704" t="n">
        <v>0</v>
      </c>
      <c r="N704" t="n">
        <v>0</v>
      </c>
      <c r="O704" t="n">
        <v>0</v>
      </c>
      <c r="P704" t="n">
        <v>0</v>
      </c>
      <c r="Q704" t="n">
        <v>0</v>
      </c>
      <c r="R704" s="2" t="inlineStr"/>
    </row>
    <row r="705" ht="15" customHeight="1">
      <c r="A705" t="inlineStr">
        <is>
          <t>A 23181-2026</t>
        </is>
      </c>
      <c r="B705" s="1" t="n">
        <v>46161</v>
      </c>
      <c r="C705" s="1" t="n">
        <v>46205</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28562-2023</t>
        </is>
      </c>
      <c r="B706" s="1" t="n">
        <v>45103</v>
      </c>
      <c r="C706" s="1" t="n">
        <v>46205</v>
      </c>
      <c r="D706" t="inlineStr">
        <is>
          <t>ÖREBRO LÄN</t>
        </is>
      </c>
      <c r="E706" t="inlineStr">
        <is>
          <t>LINDESBERG</t>
        </is>
      </c>
      <c r="G706" t="n">
        <v>2</v>
      </c>
      <c r="H706" t="n">
        <v>0</v>
      </c>
      <c r="I706" t="n">
        <v>0</v>
      </c>
      <c r="J706" t="n">
        <v>0</v>
      </c>
      <c r="K706" t="n">
        <v>0</v>
      </c>
      <c r="L706" t="n">
        <v>0</v>
      </c>
      <c r="M706" t="n">
        <v>0</v>
      </c>
      <c r="N706" t="n">
        <v>0</v>
      </c>
      <c r="O706" t="n">
        <v>0</v>
      </c>
      <c r="P706" t="n">
        <v>0</v>
      </c>
      <c r="Q706" t="n">
        <v>0</v>
      </c>
      <c r="R706" s="2" t="inlineStr"/>
    </row>
    <row r="707" ht="15" customHeight="1">
      <c r="A707" t="inlineStr">
        <is>
          <t>A 17463-2023</t>
        </is>
      </c>
      <c r="B707" s="1" t="n">
        <v>45036</v>
      </c>
      <c r="C707" s="1" t="n">
        <v>46205</v>
      </c>
      <c r="D707" t="inlineStr">
        <is>
          <t>ÖREBRO LÄN</t>
        </is>
      </c>
      <c r="E707" t="inlineStr">
        <is>
          <t>LINDESBERG</t>
        </is>
      </c>
      <c r="G707" t="n">
        <v>0.6</v>
      </c>
      <c r="H707" t="n">
        <v>0</v>
      </c>
      <c r="I707" t="n">
        <v>0</v>
      </c>
      <c r="J707" t="n">
        <v>0</v>
      </c>
      <c r="K707" t="n">
        <v>0</v>
      </c>
      <c r="L707" t="n">
        <v>0</v>
      </c>
      <c r="M707" t="n">
        <v>0</v>
      </c>
      <c r="N707" t="n">
        <v>0</v>
      </c>
      <c r="O707" t="n">
        <v>0</v>
      </c>
      <c r="P707" t="n">
        <v>0</v>
      </c>
      <c r="Q707" t="n">
        <v>0</v>
      </c>
      <c r="R707" s="2" t="inlineStr"/>
    </row>
    <row r="708" ht="15" customHeight="1">
      <c r="A708" t="inlineStr">
        <is>
          <t>A 23177-2026</t>
        </is>
      </c>
      <c r="B708" s="1" t="n">
        <v>46161</v>
      </c>
      <c r="C708" s="1" t="n">
        <v>46205</v>
      </c>
      <c r="D708" t="inlineStr">
        <is>
          <t>ÖREBRO LÄN</t>
        </is>
      </c>
      <c r="E708" t="inlineStr">
        <is>
          <t>LINDESBERG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22829-2023</t>
        </is>
      </c>
      <c r="B709" s="1" t="n">
        <v>45072</v>
      </c>
      <c r="C709" s="1" t="n">
        <v>46205</v>
      </c>
      <c r="D709" t="inlineStr">
        <is>
          <t>ÖREBRO LÄN</t>
        </is>
      </c>
      <c r="E709" t="inlineStr">
        <is>
          <t>LINDESBERG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60105-2022</t>
        </is>
      </c>
      <c r="B710" s="1" t="n">
        <v>44902</v>
      </c>
      <c r="C710" s="1" t="n">
        <v>46205</v>
      </c>
      <c r="D710" t="inlineStr">
        <is>
          <t>ÖREBRO LÄN</t>
        </is>
      </c>
      <c r="E710" t="inlineStr">
        <is>
          <t>LINDESBERG</t>
        </is>
      </c>
      <c r="G710" t="n">
        <v>0.5</v>
      </c>
      <c r="H710" t="n">
        <v>0</v>
      </c>
      <c r="I710" t="n">
        <v>0</v>
      </c>
      <c r="J710" t="n">
        <v>0</v>
      </c>
      <c r="K710" t="n">
        <v>0</v>
      </c>
      <c r="L710" t="n">
        <v>0</v>
      </c>
      <c r="M710" t="n">
        <v>0</v>
      </c>
      <c r="N710" t="n">
        <v>0</v>
      </c>
      <c r="O710" t="n">
        <v>0</v>
      </c>
      <c r="P710" t="n">
        <v>0</v>
      </c>
      <c r="Q710" t="n">
        <v>0</v>
      </c>
      <c r="R710" s="2" t="inlineStr"/>
    </row>
    <row r="711" ht="15" customHeight="1">
      <c r="A711" t="inlineStr">
        <is>
          <t>A 53046-2024</t>
        </is>
      </c>
      <c r="B711" s="1" t="n">
        <v>45611</v>
      </c>
      <c r="C711" s="1" t="n">
        <v>46205</v>
      </c>
      <c r="D711" t="inlineStr">
        <is>
          <t>ÖREBRO LÄN</t>
        </is>
      </c>
      <c r="E711" t="inlineStr">
        <is>
          <t>LINDESBERG</t>
        </is>
      </c>
      <c r="G711" t="n">
        <v>1.2</v>
      </c>
      <c r="H711" t="n">
        <v>0</v>
      </c>
      <c r="I711" t="n">
        <v>0</v>
      </c>
      <c r="J711" t="n">
        <v>0</v>
      </c>
      <c r="K711" t="n">
        <v>0</v>
      </c>
      <c r="L711" t="n">
        <v>0</v>
      </c>
      <c r="M711" t="n">
        <v>0</v>
      </c>
      <c r="N711" t="n">
        <v>0</v>
      </c>
      <c r="O711" t="n">
        <v>0</v>
      </c>
      <c r="P711" t="n">
        <v>0</v>
      </c>
      <c r="Q711" t="n">
        <v>0</v>
      </c>
      <c r="R711" s="2" t="inlineStr"/>
    </row>
    <row r="712" ht="15" customHeight="1">
      <c r="A712" t="inlineStr">
        <is>
          <t>A 18590-2023</t>
        </is>
      </c>
      <c r="B712" s="1" t="n">
        <v>45043</v>
      </c>
      <c r="C712" s="1" t="n">
        <v>46205</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51539-2024</t>
        </is>
      </c>
      <c r="B713" s="1" t="n">
        <v>45604</v>
      </c>
      <c r="C713" s="1" t="n">
        <v>46205</v>
      </c>
      <c r="D713" t="inlineStr">
        <is>
          <t>ÖREBRO LÄN</t>
        </is>
      </c>
      <c r="E713" t="inlineStr">
        <is>
          <t>LINDESBERG</t>
        </is>
      </c>
      <c r="G713" t="n">
        <v>1.4</v>
      </c>
      <c r="H713" t="n">
        <v>0</v>
      </c>
      <c r="I713" t="n">
        <v>0</v>
      </c>
      <c r="J713" t="n">
        <v>0</v>
      </c>
      <c r="K713" t="n">
        <v>0</v>
      </c>
      <c r="L713" t="n">
        <v>0</v>
      </c>
      <c r="M713" t="n">
        <v>0</v>
      </c>
      <c r="N713" t="n">
        <v>0</v>
      </c>
      <c r="O713" t="n">
        <v>0</v>
      </c>
      <c r="P713" t="n">
        <v>0</v>
      </c>
      <c r="Q713" t="n">
        <v>0</v>
      </c>
      <c r="R713" s="2" t="inlineStr"/>
    </row>
    <row r="714" ht="15" customHeight="1">
      <c r="A714" t="inlineStr">
        <is>
          <t>A 34539-2024</t>
        </is>
      </c>
      <c r="B714" s="1" t="n">
        <v>45525</v>
      </c>
      <c r="C714" s="1" t="n">
        <v>46205</v>
      </c>
      <c r="D714" t="inlineStr">
        <is>
          <t>ÖREBRO LÄN</t>
        </is>
      </c>
      <c r="E714" t="inlineStr">
        <is>
          <t>LINDESBERG</t>
        </is>
      </c>
      <c r="G714" t="n">
        <v>5.4</v>
      </c>
      <c r="H714" t="n">
        <v>0</v>
      </c>
      <c r="I714" t="n">
        <v>0</v>
      </c>
      <c r="J714" t="n">
        <v>0</v>
      </c>
      <c r="K714" t="n">
        <v>0</v>
      </c>
      <c r="L714" t="n">
        <v>0</v>
      </c>
      <c r="M714" t="n">
        <v>0</v>
      </c>
      <c r="N714" t="n">
        <v>0</v>
      </c>
      <c r="O714" t="n">
        <v>0</v>
      </c>
      <c r="P714" t="n">
        <v>0</v>
      </c>
      <c r="Q714" t="n">
        <v>0</v>
      </c>
      <c r="R714" s="2" t="inlineStr"/>
    </row>
    <row r="715" ht="15" customHeight="1">
      <c r="A715" t="inlineStr">
        <is>
          <t>A 35739-2024</t>
        </is>
      </c>
      <c r="B715" s="1" t="n">
        <v>45532</v>
      </c>
      <c r="C715" s="1" t="n">
        <v>46205</v>
      </c>
      <c r="D715" t="inlineStr">
        <is>
          <t>ÖREBRO LÄN</t>
        </is>
      </c>
      <c r="E715" t="inlineStr">
        <is>
          <t>LINDESBERG</t>
        </is>
      </c>
      <c r="G715" t="n">
        <v>0.6</v>
      </c>
      <c r="H715" t="n">
        <v>0</v>
      </c>
      <c r="I715" t="n">
        <v>0</v>
      </c>
      <c r="J715" t="n">
        <v>0</v>
      </c>
      <c r="K715" t="n">
        <v>0</v>
      </c>
      <c r="L715" t="n">
        <v>0</v>
      </c>
      <c r="M715" t="n">
        <v>0</v>
      </c>
      <c r="N715" t="n">
        <v>0</v>
      </c>
      <c r="O715" t="n">
        <v>0</v>
      </c>
      <c r="P715" t="n">
        <v>0</v>
      </c>
      <c r="Q715" t="n">
        <v>0</v>
      </c>
      <c r="R715" s="2" t="inlineStr"/>
    </row>
    <row r="716" ht="15" customHeight="1">
      <c r="A716" t="inlineStr">
        <is>
          <t>A 43247-2023</t>
        </is>
      </c>
      <c r="B716" s="1" t="n">
        <v>45183</v>
      </c>
      <c r="C716" s="1" t="n">
        <v>46205</v>
      </c>
      <c r="D716" t="inlineStr">
        <is>
          <t>ÖREBRO LÄN</t>
        </is>
      </c>
      <c r="E716" t="inlineStr">
        <is>
          <t>LINDESBERG</t>
        </is>
      </c>
      <c r="G716" t="n">
        <v>3</v>
      </c>
      <c r="H716" t="n">
        <v>0</v>
      </c>
      <c r="I716" t="n">
        <v>0</v>
      </c>
      <c r="J716" t="n">
        <v>0</v>
      </c>
      <c r="K716" t="n">
        <v>0</v>
      </c>
      <c r="L716" t="n">
        <v>0</v>
      </c>
      <c r="M716" t="n">
        <v>0</v>
      </c>
      <c r="N716" t="n">
        <v>0</v>
      </c>
      <c r="O716" t="n">
        <v>0</v>
      </c>
      <c r="P716" t="n">
        <v>0</v>
      </c>
      <c r="Q716" t="n">
        <v>0</v>
      </c>
      <c r="R716" s="2" t="inlineStr"/>
    </row>
    <row r="717" ht="15" customHeight="1">
      <c r="A717" t="inlineStr">
        <is>
          <t>A 626-2025</t>
        </is>
      </c>
      <c r="B717" s="1" t="n">
        <v>45664</v>
      </c>
      <c r="C717" s="1" t="n">
        <v>46205</v>
      </c>
      <c r="D717" t="inlineStr">
        <is>
          <t>ÖREBRO LÄN</t>
        </is>
      </c>
      <c r="E717" t="inlineStr">
        <is>
          <t>LINDESBERG</t>
        </is>
      </c>
      <c r="G717" t="n">
        <v>0.5</v>
      </c>
      <c r="H717" t="n">
        <v>0</v>
      </c>
      <c r="I717" t="n">
        <v>0</v>
      </c>
      <c r="J717" t="n">
        <v>0</v>
      </c>
      <c r="K717" t="n">
        <v>0</v>
      </c>
      <c r="L717" t="n">
        <v>0</v>
      </c>
      <c r="M717" t="n">
        <v>0</v>
      </c>
      <c r="N717" t="n">
        <v>0</v>
      </c>
      <c r="O717" t="n">
        <v>0</v>
      </c>
      <c r="P717" t="n">
        <v>0</v>
      </c>
      <c r="Q717" t="n">
        <v>0</v>
      </c>
      <c r="R717" s="2" t="inlineStr"/>
    </row>
    <row r="718" ht="15" customHeight="1">
      <c r="A718" t="inlineStr">
        <is>
          <t>A 43046-2022</t>
        </is>
      </c>
      <c r="B718" s="1" t="n">
        <v>44833</v>
      </c>
      <c r="C718" s="1" t="n">
        <v>46205</v>
      </c>
      <c r="D718" t="inlineStr">
        <is>
          <t>ÖREBRO LÄN</t>
        </is>
      </c>
      <c r="E718" t="inlineStr">
        <is>
          <t>LINDESBERG</t>
        </is>
      </c>
      <c r="G718" t="n">
        <v>0.9</v>
      </c>
      <c r="H718" t="n">
        <v>0</v>
      </c>
      <c r="I718" t="n">
        <v>0</v>
      </c>
      <c r="J718" t="n">
        <v>0</v>
      </c>
      <c r="K718" t="n">
        <v>0</v>
      </c>
      <c r="L718" t="n">
        <v>0</v>
      </c>
      <c r="M718" t="n">
        <v>0</v>
      </c>
      <c r="N718" t="n">
        <v>0</v>
      </c>
      <c r="O718" t="n">
        <v>0</v>
      </c>
      <c r="P718" t="n">
        <v>0</v>
      </c>
      <c r="Q718" t="n">
        <v>0</v>
      </c>
      <c r="R718" s="2" t="inlineStr"/>
    </row>
    <row r="719" ht="15" customHeight="1">
      <c r="A719" t="inlineStr">
        <is>
          <t>A 43433-2024</t>
        </is>
      </c>
      <c r="B719" s="1" t="n">
        <v>45568</v>
      </c>
      <c r="C719" s="1" t="n">
        <v>46205</v>
      </c>
      <c r="D719" t="inlineStr">
        <is>
          <t>ÖREBRO LÄN</t>
        </is>
      </c>
      <c r="E719" t="inlineStr">
        <is>
          <t>LINDESBERG</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6604-2024</t>
        </is>
      </c>
      <c r="B720" s="1" t="n">
        <v>45341</v>
      </c>
      <c r="C720" s="1" t="n">
        <v>46205</v>
      </c>
      <c r="D720" t="inlineStr">
        <is>
          <t>ÖREBRO LÄN</t>
        </is>
      </c>
      <c r="E720" t="inlineStr">
        <is>
          <t>LINDESBERG</t>
        </is>
      </c>
      <c r="F720" t="inlineStr">
        <is>
          <t>Sveaskog</t>
        </is>
      </c>
      <c r="G720" t="n">
        <v>2.3</v>
      </c>
      <c r="H720" t="n">
        <v>0</v>
      </c>
      <c r="I720" t="n">
        <v>0</v>
      </c>
      <c r="J720" t="n">
        <v>0</v>
      </c>
      <c r="K720" t="n">
        <v>0</v>
      </c>
      <c r="L720" t="n">
        <v>0</v>
      </c>
      <c r="M720" t="n">
        <v>0</v>
      </c>
      <c r="N720" t="n">
        <v>0</v>
      </c>
      <c r="O720" t="n">
        <v>0</v>
      </c>
      <c r="P720" t="n">
        <v>0</v>
      </c>
      <c r="Q720" t="n">
        <v>0</v>
      </c>
      <c r="R720" s="2" t="inlineStr"/>
    </row>
    <row r="721" ht="15" customHeight="1">
      <c r="A721" t="inlineStr">
        <is>
          <t>A 5550-2024</t>
        </is>
      </c>
      <c r="B721" s="1" t="n">
        <v>45334</v>
      </c>
      <c r="C721" s="1" t="n">
        <v>46205</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63125-2023</t>
        </is>
      </c>
      <c r="B722" s="1" t="n">
        <v>45273</v>
      </c>
      <c r="C722" s="1" t="n">
        <v>46205</v>
      </c>
      <c r="D722" t="inlineStr">
        <is>
          <t>ÖREBRO LÄN</t>
        </is>
      </c>
      <c r="E722" t="inlineStr">
        <is>
          <t>LINDESBERG</t>
        </is>
      </c>
      <c r="G722" t="n">
        <v>1.7</v>
      </c>
      <c r="H722" t="n">
        <v>0</v>
      </c>
      <c r="I722" t="n">
        <v>0</v>
      </c>
      <c r="J722" t="n">
        <v>0</v>
      </c>
      <c r="K722" t="n">
        <v>0</v>
      </c>
      <c r="L722" t="n">
        <v>0</v>
      </c>
      <c r="M722" t="n">
        <v>0</v>
      </c>
      <c r="N722" t="n">
        <v>0</v>
      </c>
      <c r="O722" t="n">
        <v>0</v>
      </c>
      <c r="P722" t="n">
        <v>0</v>
      </c>
      <c r="Q722" t="n">
        <v>0</v>
      </c>
      <c r="R722" s="2" t="inlineStr"/>
    </row>
    <row r="723" ht="15" customHeight="1">
      <c r="A723" t="inlineStr">
        <is>
          <t>A 35229-2024</t>
        </is>
      </c>
      <c r="B723" s="1" t="n">
        <v>45530</v>
      </c>
      <c r="C723" s="1" t="n">
        <v>46205</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50986-2023</t>
        </is>
      </c>
      <c r="B724" s="1" t="n">
        <v>45218</v>
      </c>
      <c r="C724" s="1" t="n">
        <v>46205</v>
      </c>
      <c r="D724" t="inlineStr">
        <is>
          <t>ÖREBRO LÄN</t>
        </is>
      </c>
      <c r="E724" t="inlineStr">
        <is>
          <t>LINDESBERG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25046-2024</t>
        </is>
      </c>
      <c r="B725" s="1" t="n">
        <v>45462</v>
      </c>
      <c r="C725" s="1" t="n">
        <v>46205</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44675-2021</t>
        </is>
      </c>
      <c r="B726" s="1" t="n">
        <v>44438</v>
      </c>
      <c r="C726" s="1" t="n">
        <v>46205</v>
      </c>
      <c r="D726" t="inlineStr">
        <is>
          <t>ÖREBRO LÄN</t>
        </is>
      </c>
      <c r="E726" t="inlineStr">
        <is>
          <t>LINDESBERG</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32829-2024</t>
        </is>
      </c>
      <c r="B727" s="1" t="n">
        <v>45516</v>
      </c>
      <c r="C727" s="1" t="n">
        <v>46205</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43416-2024</t>
        </is>
      </c>
      <c r="B728" s="1" t="n">
        <v>45568</v>
      </c>
      <c r="C728" s="1" t="n">
        <v>46205</v>
      </c>
      <c r="D728" t="inlineStr">
        <is>
          <t>ÖREBRO LÄN</t>
        </is>
      </c>
      <c r="E728" t="inlineStr">
        <is>
          <t>LINDESBERG</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10654-2023</t>
        </is>
      </c>
      <c r="B729" s="1" t="n">
        <v>44984</v>
      </c>
      <c r="C729" s="1" t="n">
        <v>46205</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30534-2023</t>
        </is>
      </c>
      <c r="B730" s="1" t="n">
        <v>45111</v>
      </c>
      <c r="C730" s="1" t="n">
        <v>46205</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27013-2024</t>
        </is>
      </c>
      <c r="B731" s="1" t="n">
        <v>45471</v>
      </c>
      <c r="C731" s="1" t="n">
        <v>46205</v>
      </c>
      <c r="D731" t="inlineStr">
        <is>
          <t>ÖREBRO LÄN</t>
        </is>
      </c>
      <c r="E731" t="inlineStr">
        <is>
          <t>LINDESBERG</t>
        </is>
      </c>
      <c r="G731" t="n">
        <v>5.2</v>
      </c>
      <c r="H731" t="n">
        <v>0</v>
      </c>
      <c r="I731" t="n">
        <v>0</v>
      </c>
      <c r="J731" t="n">
        <v>0</v>
      </c>
      <c r="K731" t="n">
        <v>0</v>
      </c>
      <c r="L731" t="n">
        <v>0</v>
      </c>
      <c r="M731" t="n">
        <v>0</v>
      </c>
      <c r="N731" t="n">
        <v>0</v>
      </c>
      <c r="O731" t="n">
        <v>0</v>
      </c>
      <c r="P731" t="n">
        <v>0</v>
      </c>
      <c r="Q731" t="n">
        <v>0</v>
      </c>
      <c r="R731" s="2" t="inlineStr"/>
    </row>
    <row r="732" ht="15" customHeight="1">
      <c r="A732" t="inlineStr">
        <is>
          <t>A 9140-2025</t>
        </is>
      </c>
      <c r="B732" s="1" t="n">
        <v>45714</v>
      </c>
      <c r="C732" s="1" t="n">
        <v>46205</v>
      </c>
      <c r="D732" t="inlineStr">
        <is>
          <t>ÖREBRO LÄN</t>
        </is>
      </c>
      <c r="E732" t="inlineStr">
        <is>
          <t>LINDESBERG</t>
        </is>
      </c>
      <c r="G732" t="n">
        <v>0.8</v>
      </c>
      <c r="H732" t="n">
        <v>0</v>
      </c>
      <c r="I732" t="n">
        <v>0</v>
      </c>
      <c r="J732" t="n">
        <v>0</v>
      </c>
      <c r="K732" t="n">
        <v>0</v>
      </c>
      <c r="L732" t="n">
        <v>0</v>
      </c>
      <c r="M732" t="n">
        <v>0</v>
      </c>
      <c r="N732" t="n">
        <v>0</v>
      </c>
      <c r="O732" t="n">
        <v>0</v>
      </c>
      <c r="P732" t="n">
        <v>0</v>
      </c>
      <c r="Q732" t="n">
        <v>0</v>
      </c>
      <c r="R732" s="2" t="inlineStr"/>
    </row>
    <row r="733" ht="15" customHeight="1">
      <c r="A733" t="inlineStr">
        <is>
          <t>A 28469-2023</t>
        </is>
      </c>
      <c r="B733" s="1" t="n">
        <v>45103</v>
      </c>
      <c r="C733" s="1" t="n">
        <v>46205</v>
      </c>
      <c r="D733" t="inlineStr">
        <is>
          <t>ÖREBRO LÄN</t>
        </is>
      </c>
      <c r="E733" t="inlineStr">
        <is>
          <t>LINDESBERG</t>
        </is>
      </c>
      <c r="G733" t="n">
        <v>0.3</v>
      </c>
      <c r="H733" t="n">
        <v>0</v>
      </c>
      <c r="I733" t="n">
        <v>0</v>
      </c>
      <c r="J733" t="n">
        <v>0</v>
      </c>
      <c r="K733" t="n">
        <v>0</v>
      </c>
      <c r="L733" t="n">
        <v>0</v>
      </c>
      <c r="M733" t="n">
        <v>0</v>
      </c>
      <c r="N733" t="n">
        <v>0</v>
      </c>
      <c r="O733" t="n">
        <v>0</v>
      </c>
      <c r="P733" t="n">
        <v>0</v>
      </c>
      <c r="Q733" t="n">
        <v>0</v>
      </c>
      <c r="R733" s="2" t="inlineStr"/>
    </row>
    <row r="734" ht="15" customHeight="1">
      <c r="A734" t="inlineStr">
        <is>
          <t>A 12278-2025</t>
        </is>
      </c>
      <c r="B734" s="1" t="n">
        <v>45729</v>
      </c>
      <c r="C734" s="1" t="n">
        <v>46205</v>
      </c>
      <c r="D734" t="inlineStr">
        <is>
          <t>ÖREBRO LÄN</t>
        </is>
      </c>
      <c r="E734" t="inlineStr">
        <is>
          <t>LINDESBERG</t>
        </is>
      </c>
      <c r="G734" t="n">
        <v>3.2</v>
      </c>
      <c r="H734" t="n">
        <v>0</v>
      </c>
      <c r="I734" t="n">
        <v>0</v>
      </c>
      <c r="J734" t="n">
        <v>0</v>
      </c>
      <c r="K734" t="n">
        <v>0</v>
      </c>
      <c r="L734" t="n">
        <v>0</v>
      </c>
      <c r="M734" t="n">
        <v>0</v>
      </c>
      <c r="N734" t="n">
        <v>0</v>
      </c>
      <c r="O734" t="n">
        <v>0</v>
      </c>
      <c r="P734" t="n">
        <v>0</v>
      </c>
      <c r="Q734" t="n">
        <v>0</v>
      </c>
      <c r="R734" s="2" t="inlineStr"/>
    </row>
    <row r="735" ht="15" customHeight="1">
      <c r="A735" t="inlineStr">
        <is>
          <t>A 20954-2024</t>
        </is>
      </c>
      <c r="B735" s="1" t="n">
        <v>45439</v>
      </c>
      <c r="C735" s="1" t="n">
        <v>46205</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7120-2025</t>
        </is>
      </c>
      <c r="B736" s="1" t="n">
        <v>45702</v>
      </c>
      <c r="C736" s="1" t="n">
        <v>46205</v>
      </c>
      <c r="D736" t="inlineStr">
        <is>
          <t>ÖREBRO LÄN</t>
        </is>
      </c>
      <c r="E736" t="inlineStr">
        <is>
          <t>LINDESBERG</t>
        </is>
      </c>
      <c r="G736" t="n">
        <v>0.5</v>
      </c>
      <c r="H736" t="n">
        <v>0</v>
      </c>
      <c r="I736" t="n">
        <v>0</v>
      </c>
      <c r="J736" t="n">
        <v>0</v>
      </c>
      <c r="K736" t="n">
        <v>0</v>
      </c>
      <c r="L736" t="n">
        <v>0</v>
      </c>
      <c r="M736" t="n">
        <v>0</v>
      </c>
      <c r="N736" t="n">
        <v>0</v>
      </c>
      <c r="O736" t="n">
        <v>0</v>
      </c>
      <c r="P736" t="n">
        <v>0</v>
      </c>
      <c r="Q736" t="n">
        <v>0</v>
      </c>
      <c r="R736" s="2" t="inlineStr"/>
    </row>
    <row r="737" ht="15" customHeight="1">
      <c r="A737" t="inlineStr">
        <is>
          <t>A 36773-2024</t>
        </is>
      </c>
      <c r="B737" s="1" t="n">
        <v>45538</v>
      </c>
      <c r="C737" s="1" t="n">
        <v>46205</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53897-2024</t>
        </is>
      </c>
      <c r="B738" s="1" t="n">
        <v>45615</v>
      </c>
      <c r="C738" s="1" t="n">
        <v>46205</v>
      </c>
      <c r="D738" t="inlineStr">
        <is>
          <t>ÖREBRO LÄN</t>
        </is>
      </c>
      <c r="E738" t="inlineStr">
        <is>
          <t>LINDESBERG</t>
        </is>
      </c>
      <c r="G738" t="n">
        <v>1.1</v>
      </c>
      <c r="H738" t="n">
        <v>0</v>
      </c>
      <c r="I738" t="n">
        <v>0</v>
      </c>
      <c r="J738" t="n">
        <v>0</v>
      </c>
      <c r="K738" t="n">
        <v>0</v>
      </c>
      <c r="L738" t="n">
        <v>0</v>
      </c>
      <c r="M738" t="n">
        <v>0</v>
      </c>
      <c r="N738" t="n">
        <v>0</v>
      </c>
      <c r="O738" t="n">
        <v>0</v>
      </c>
      <c r="P738" t="n">
        <v>0</v>
      </c>
      <c r="Q738" t="n">
        <v>0</v>
      </c>
      <c r="R738" s="2" t="inlineStr"/>
    </row>
    <row r="739" ht="15" customHeight="1">
      <c r="A739" t="inlineStr">
        <is>
          <t>A 12692-2024</t>
        </is>
      </c>
      <c r="B739" s="1" t="n">
        <v>45384</v>
      </c>
      <c r="C739" s="1" t="n">
        <v>46205</v>
      </c>
      <c r="D739" t="inlineStr">
        <is>
          <t>ÖREBRO LÄN</t>
        </is>
      </c>
      <c r="E739" t="inlineStr">
        <is>
          <t>LINDESBERG</t>
        </is>
      </c>
      <c r="G739" t="n">
        <v>5.2</v>
      </c>
      <c r="H739" t="n">
        <v>0</v>
      </c>
      <c r="I739" t="n">
        <v>0</v>
      </c>
      <c r="J739" t="n">
        <v>0</v>
      </c>
      <c r="K739" t="n">
        <v>0</v>
      </c>
      <c r="L739" t="n">
        <v>0</v>
      </c>
      <c r="M739" t="n">
        <v>0</v>
      </c>
      <c r="N739" t="n">
        <v>0</v>
      </c>
      <c r="O739" t="n">
        <v>0</v>
      </c>
      <c r="P739" t="n">
        <v>0</v>
      </c>
      <c r="Q739" t="n">
        <v>0</v>
      </c>
      <c r="R739" s="2" t="inlineStr"/>
    </row>
    <row r="740" ht="15" customHeight="1">
      <c r="A740" t="inlineStr">
        <is>
          <t>A 15325-2024</t>
        </is>
      </c>
      <c r="B740" s="1" t="n">
        <v>45400</v>
      </c>
      <c r="C740" s="1" t="n">
        <v>46205</v>
      </c>
      <c r="D740" t="inlineStr">
        <is>
          <t>ÖREBRO LÄN</t>
        </is>
      </c>
      <c r="E740" t="inlineStr">
        <is>
          <t>LINDESBERG</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7119-2025</t>
        </is>
      </c>
      <c r="B741" s="1" t="n">
        <v>45702</v>
      </c>
      <c r="C741" s="1" t="n">
        <v>46205</v>
      </c>
      <c r="D741" t="inlineStr">
        <is>
          <t>ÖREBRO LÄN</t>
        </is>
      </c>
      <c r="E741" t="inlineStr">
        <is>
          <t>LINDESBERG</t>
        </is>
      </c>
      <c r="G741" t="n">
        <v>0.9</v>
      </c>
      <c r="H741" t="n">
        <v>0</v>
      </c>
      <c r="I741" t="n">
        <v>0</v>
      </c>
      <c r="J741" t="n">
        <v>0</v>
      </c>
      <c r="K741" t="n">
        <v>0</v>
      </c>
      <c r="L741" t="n">
        <v>0</v>
      </c>
      <c r="M741" t="n">
        <v>0</v>
      </c>
      <c r="N741" t="n">
        <v>0</v>
      </c>
      <c r="O741" t="n">
        <v>0</v>
      </c>
      <c r="P741" t="n">
        <v>0</v>
      </c>
      <c r="Q741" t="n">
        <v>0</v>
      </c>
      <c r="R741" s="2" t="inlineStr"/>
    </row>
    <row r="742" ht="15" customHeight="1">
      <c r="A742" t="inlineStr">
        <is>
          <t>A 20804-2025</t>
        </is>
      </c>
      <c r="B742" s="1" t="n">
        <v>45776</v>
      </c>
      <c r="C742" s="1" t="n">
        <v>46205</v>
      </c>
      <c r="D742" t="inlineStr">
        <is>
          <t>ÖREBRO LÄN</t>
        </is>
      </c>
      <c r="E742" t="inlineStr">
        <is>
          <t>LINDESBERG</t>
        </is>
      </c>
      <c r="G742" t="n">
        <v>3.2</v>
      </c>
      <c r="H742" t="n">
        <v>0</v>
      </c>
      <c r="I742" t="n">
        <v>0</v>
      </c>
      <c r="J742" t="n">
        <v>0</v>
      </c>
      <c r="K742" t="n">
        <v>0</v>
      </c>
      <c r="L742" t="n">
        <v>0</v>
      </c>
      <c r="M742" t="n">
        <v>0</v>
      </c>
      <c r="N742" t="n">
        <v>0</v>
      </c>
      <c r="O742" t="n">
        <v>0</v>
      </c>
      <c r="P742" t="n">
        <v>0</v>
      </c>
      <c r="Q742" t="n">
        <v>0</v>
      </c>
      <c r="R742" s="2" t="inlineStr"/>
    </row>
    <row r="743" ht="15" customHeight="1">
      <c r="A743" t="inlineStr">
        <is>
          <t>A 20950-2025</t>
        </is>
      </c>
      <c r="B743" s="1" t="n">
        <v>45777</v>
      </c>
      <c r="C743" s="1" t="n">
        <v>46205</v>
      </c>
      <c r="D743" t="inlineStr">
        <is>
          <t>ÖREBRO LÄN</t>
        </is>
      </c>
      <c r="E743" t="inlineStr">
        <is>
          <t>LINDESBERG</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20944-2025</t>
        </is>
      </c>
      <c r="B744" s="1" t="n">
        <v>45777</v>
      </c>
      <c r="C744" s="1" t="n">
        <v>46205</v>
      </c>
      <c r="D744" t="inlineStr">
        <is>
          <t>ÖREBRO LÄN</t>
        </is>
      </c>
      <c r="E744" t="inlineStr">
        <is>
          <t>LINDESBERG</t>
        </is>
      </c>
      <c r="F744" t="inlineStr">
        <is>
          <t>Sveaskog</t>
        </is>
      </c>
      <c r="G744" t="n">
        <v>2.6</v>
      </c>
      <c r="H744" t="n">
        <v>0</v>
      </c>
      <c r="I744" t="n">
        <v>0</v>
      </c>
      <c r="J744" t="n">
        <v>0</v>
      </c>
      <c r="K744" t="n">
        <v>0</v>
      </c>
      <c r="L744" t="n">
        <v>0</v>
      </c>
      <c r="M744" t="n">
        <v>0</v>
      </c>
      <c r="N744" t="n">
        <v>0</v>
      </c>
      <c r="O744" t="n">
        <v>0</v>
      </c>
      <c r="P744" t="n">
        <v>0</v>
      </c>
      <c r="Q744" t="n">
        <v>0</v>
      </c>
      <c r="R744" s="2" t="inlineStr"/>
    </row>
    <row r="745" ht="15" customHeight="1">
      <c r="A745" t="inlineStr">
        <is>
          <t>A 21812-2025</t>
        </is>
      </c>
      <c r="B745" s="1" t="n">
        <v>45783</v>
      </c>
      <c r="C745" s="1" t="n">
        <v>46205</v>
      </c>
      <c r="D745" t="inlineStr">
        <is>
          <t>ÖREBRO LÄN</t>
        </is>
      </c>
      <c r="E745" t="inlineStr">
        <is>
          <t>LINDESBERG</t>
        </is>
      </c>
      <c r="G745" t="n">
        <v>0.9</v>
      </c>
      <c r="H745" t="n">
        <v>0</v>
      </c>
      <c r="I745" t="n">
        <v>0</v>
      </c>
      <c r="J745" t="n">
        <v>0</v>
      </c>
      <c r="K745" t="n">
        <v>0</v>
      </c>
      <c r="L745" t="n">
        <v>0</v>
      </c>
      <c r="M745" t="n">
        <v>0</v>
      </c>
      <c r="N745" t="n">
        <v>0</v>
      </c>
      <c r="O745" t="n">
        <v>0</v>
      </c>
      <c r="P745" t="n">
        <v>0</v>
      </c>
      <c r="Q745" t="n">
        <v>0</v>
      </c>
      <c r="R745" s="2" t="inlineStr"/>
    </row>
    <row r="746" ht="15" customHeight="1">
      <c r="A746" t="inlineStr">
        <is>
          <t>A 31861-2024</t>
        </is>
      </c>
      <c r="B746" s="1" t="n">
        <v>45509</v>
      </c>
      <c r="C746" s="1" t="n">
        <v>46205</v>
      </c>
      <c r="D746" t="inlineStr">
        <is>
          <t>ÖREBRO LÄN</t>
        </is>
      </c>
      <c r="E746" t="inlineStr">
        <is>
          <t>LINDESBERG</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43195-2024</t>
        </is>
      </c>
      <c r="B747" s="1" t="n">
        <v>45567</v>
      </c>
      <c r="C747" s="1" t="n">
        <v>46205</v>
      </c>
      <c r="D747" t="inlineStr">
        <is>
          <t>ÖREBRO LÄN</t>
        </is>
      </c>
      <c r="E747" t="inlineStr">
        <is>
          <t>LINDESBERG</t>
        </is>
      </c>
      <c r="G747" t="n">
        <v>27.8</v>
      </c>
      <c r="H747" t="n">
        <v>0</v>
      </c>
      <c r="I747" t="n">
        <v>0</v>
      </c>
      <c r="J747" t="n">
        <v>0</v>
      </c>
      <c r="K747" t="n">
        <v>0</v>
      </c>
      <c r="L747" t="n">
        <v>0</v>
      </c>
      <c r="M747" t="n">
        <v>0</v>
      </c>
      <c r="N747" t="n">
        <v>0</v>
      </c>
      <c r="O747" t="n">
        <v>0</v>
      </c>
      <c r="P747" t="n">
        <v>0</v>
      </c>
      <c r="Q747" t="n">
        <v>0</v>
      </c>
      <c r="R747" s="2" t="inlineStr"/>
    </row>
    <row r="748" ht="15" customHeight="1">
      <c r="A748" t="inlineStr">
        <is>
          <t>A 24583-2024</t>
        </is>
      </c>
      <c r="B748" s="1" t="n">
        <v>45460</v>
      </c>
      <c r="C748" s="1" t="n">
        <v>46205</v>
      </c>
      <c r="D748" t="inlineStr">
        <is>
          <t>ÖREBRO LÄN</t>
        </is>
      </c>
      <c r="E748" t="inlineStr">
        <is>
          <t>LINDESBERG</t>
        </is>
      </c>
      <c r="G748" t="n">
        <v>13.7</v>
      </c>
      <c r="H748" t="n">
        <v>0</v>
      </c>
      <c r="I748" t="n">
        <v>0</v>
      </c>
      <c r="J748" t="n">
        <v>0</v>
      </c>
      <c r="K748" t="n">
        <v>0</v>
      </c>
      <c r="L748" t="n">
        <v>0</v>
      </c>
      <c r="M748" t="n">
        <v>0</v>
      </c>
      <c r="N748" t="n">
        <v>0</v>
      </c>
      <c r="O748" t="n">
        <v>0</v>
      </c>
      <c r="P748" t="n">
        <v>0</v>
      </c>
      <c r="Q748" t="n">
        <v>0</v>
      </c>
      <c r="R748" s="2" t="inlineStr"/>
    </row>
    <row r="749" ht="15" customHeight="1">
      <c r="A749" t="inlineStr">
        <is>
          <t>A 43532-2024</t>
        </is>
      </c>
      <c r="B749" s="1" t="n">
        <v>45569</v>
      </c>
      <c r="C749" s="1" t="n">
        <v>46205</v>
      </c>
      <c r="D749" t="inlineStr">
        <is>
          <t>ÖREBRO LÄN</t>
        </is>
      </c>
      <c r="E749" t="inlineStr">
        <is>
          <t>LINDESBERG</t>
        </is>
      </c>
      <c r="G749" t="n">
        <v>2.4</v>
      </c>
      <c r="H749" t="n">
        <v>0</v>
      </c>
      <c r="I749" t="n">
        <v>0</v>
      </c>
      <c r="J749" t="n">
        <v>0</v>
      </c>
      <c r="K749" t="n">
        <v>0</v>
      </c>
      <c r="L749" t="n">
        <v>0</v>
      </c>
      <c r="M749" t="n">
        <v>0</v>
      </c>
      <c r="N749" t="n">
        <v>0</v>
      </c>
      <c r="O749" t="n">
        <v>0</v>
      </c>
      <c r="P749" t="n">
        <v>0</v>
      </c>
      <c r="Q749" t="n">
        <v>0</v>
      </c>
      <c r="R749" s="2" t="inlineStr"/>
    </row>
    <row r="750" ht="15" customHeight="1">
      <c r="A750" t="inlineStr">
        <is>
          <t>A 59282-2023</t>
        </is>
      </c>
      <c r="B750" s="1" t="n">
        <v>45253</v>
      </c>
      <c r="C750" s="1" t="n">
        <v>46205</v>
      </c>
      <c r="D750" t="inlineStr">
        <is>
          <t>ÖREBRO LÄN</t>
        </is>
      </c>
      <c r="E750" t="inlineStr">
        <is>
          <t>LINDESBERG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47601-2023</t>
        </is>
      </c>
      <c r="B751" s="1" t="n">
        <v>45203</v>
      </c>
      <c r="C751" s="1" t="n">
        <v>46205</v>
      </c>
      <c r="D751" t="inlineStr">
        <is>
          <t>ÖREBRO LÄN</t>
        </is>
      </c>
      <c r="E751" t="inlineStr">
        <is>
          <t>LINDESBERG</t>
        </is>
      </c>
      <c r="G751" t="n">
        <v>37.6</v>
      </c>
      <c r="H751" t="n">
        <v>0</v>
      </c>
      <c r="I751" t="n">
        <v>0</v>
      </c>
      <c r="J751" t="n">
        <v>0</v>
      </c>
      <c r="K751" t="n">
        <v>0</v>
      </c>
      <c r="L751" t="n">
        <v>0</v>
      </c>
      <c r="M751" t="n">
        <v>0</v>
      </c>
      <c r="N751" t="n">
        <v>0</v>
      </c>
      <c r="O751" t="n">
        <v>0</v>
      </c>
      <c r="P751" t="n">
        <v>0</v>
      </c>
      <c r="Q751" t="n">
        <v>0</v>
      </c>
      <c r="R751" s="2" t="inlineStr"/>
    </row>
    <row r="752" ht="15" customHeight="1">
      <c r="A752" t="inlineStr">
        <is>
          <t>A 62308-2023</t>
        </is>
      </c>
      <c r="B752" s="1" t="n">
        <v>45267</v>
      </c>
      <c r="C752" s="1" t="n">
        <v>46205</v>
      </c>
      <c r="D752" t="inlineStr">
        <is>
          <t>ÖREBRO LÄN</t>
        </is>
      </c>
      <c r="E752" t="inlineStr">
        <is>
          <t>LINDESBERG</t>
        </is>
      </c>
      <c r="F752" t="inlineStr">
        <is>
          <t>Naturvårdsverket</t>
        </is>
      </c>
      <c r="G752" t="n">
        <v>3.1</v>
      </c>
      <c r="H752" t="n">
        <v>0</v>
      </c>
      <c r="I752" t="n">
        <v>0</v>
      </c>
      <c r="J752" t="n">
        <v>0</v>
      </c>
      <c r="K752" t="n">
        <v>0</v>
      </c>
      <c r="L752" t="n">
        <v>0</v>
      </c>
      <c r="M752" t="n">
        <v>0</v>
      </c>
      <c r="N752" t="n">
        <v>0</v>
      </c>
      <c r="O752" t="n">
        <v>0</v>
      </c>
      <c r="P752" t="n">
        <v>0</v>
      </c>
      <c r="Q752" t="n">
        <v>0</v>
      </c>
      <c r="R752" s="2" t="inlineStr"/>
    </row>
    <row r="753" ht="15" customHeight="1">
      <c r="A753" t="inlineStr">
        <is>
          <t>A 36686-2024</t>
        </is>
      </c>
      <c r="B753" s="1" t="n">
        <v>45537</v>
      </c>
      <c r="C753" s="1" t="n">
        <v>46205</v>
      </c>
      <c r="D753" t="inlineStr">
        <is>
          <t>ÖREBRO LÄN</t>
        </is>
      </c>
      <c r="E753" t="inlineStr">
        <is>
          <t>LINDESBERG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53355-2023</t>
        </is>
      </c>
      <c r="B754" s="1" t="n">
        <v>45229</v>
      </c>
      <c r="C754" s="1" t="n">
        <v>46205</v>
      </c>
      <c r="D754" t="inlineStr">
        <is>
          <t>ÖREBRO LÄN</t>
        </is>
      </c>
      <c r="E754" t="inlineStr">
        <is>
          <t>LINDESBERG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36680-2024</t>
        </is>
      </c>
      <c r="B755" s="1" t="n">
        <v>45537</v>
      </c>
      <c r="C755" s="1" t="n">
        <v>46205</v>
      </c>
      <c r="D755" t="inlineStr">
        <is>
          <t>ÖREBRO LÄN</t>
        </is>
      </c>
      <c r="E755" t="inlineStr">
        <is>
          <t>LINDESBERG</t>
        </is>
      </c>
      <c r="F755" t="inlineStr">
        <is>
          <t>Sveaskog</t>
        </is>
      </c>
      <c r="G755" t="n">
        <v>2.1</v>
      </c>
      <c r="H755" t="n">
        <v>0</v>
      </c>
      <c r="I755" t="n">
        <v>0</v>
      </c>
      <c r="J755" t="n">
        <v>0</v>
      </c>
      <c r="K755" t="n">
        <v>0</v>
      </c>
      <c r="L755" t="n">
        <v>0</v>
      </c>
      <c r="M755" t="n">
        <v>0</v>
      </c>
      <c r="N755" t="n">
        <v>0</v>
      </c>
      <c r="O755" t="n">
        <v>0</v>
      </c>
      <c r="P755" t="n">
        <v>0</v>
      </c>
      <c r="Q755" t="n">
        <v>0</v>
      </c>
      <c r="R755" s="2" t="inlineStr"/>
    </row>
    <row r="756" ht="15" customHeight="1">
      <c r="A756" t="inlineStr">
        <is>
          <t>A 54793-2024</t>
        </is>
      </c>
      <c r="B756" s="1" t="n">
        <v>45618</v>
      </c>
      <c r="C756" s="1" t="n">
        <v>46205</v>
      </c>
      <c r="D756" t="inlineStr">
        <is>
          <t>ÖREBRO LÄN</t>
        </is>
      </c>
      <c r="E756" t="inlineStr">
        <is>
          <t>LINDESBERG</t>
        </is>
      </c>
      <c r="G756" t="n">
        <v>3</v>
      </c>
      <c r="H756" t="n">
        <v>0</v>
      </c>
      <c r="I756" t="n">
        <v>0</v>
      </c>
      <c r="J756" t="n">
        <v>0</v>
      </c>
      <c r="K756" t="n">
        <v>0</v>
      </c>
      <c r="L756" t="n">
        <v>0</v>
      </c>
      <c r="M756" t="n">
        <v>0</v>
      </c>
      <c r="N756" t="n">
        <v>0</v>
      </c>
      <c r="O756" t="n">
        <v>0</v>
      </c>
      <c r="P756" t="n">
        <v>0</v>
      </c>
      <c r="Q756" t="n">
        <v>0</v>
      </c>
      <c r="R756" s="2" t="inlineStr"/>
    </row>
    <row r="757" ht="15" customHeight="1">
      <c r="A757" t="inlineStr">
        <is>
          <t>A 38380-2024</t>
        </is>
      </c>
      <c r="B757" s="1" t="n">
        <v>45546</v>
      </c>
      <c r="C757" s="1" t="n">
        <v>46205</v>
      </c>
      <c r="D757" t="inlineStr">
        <is>
          <t>ÖREBRO LÄN</t>
        </is>
      </c>
      <c r="E757" t="inlineStr">
        <is>
          <t>LINDESBERG</t>
        </is>
      </c>
      <c r="G757" t="n">
        <v>6.8</v>
      </c>
      <c r="H757" t="n">
        <v>0</v>
      </c>
      <c r="I757" t="n">
        <v>0</v>
      </c>
      <c r="J757" t="n">
        <v>0</v>
      </c>
      <c r="K757" t="n">
        <v>0</v>
      </c>
      <c r="L757" t="n">
        <v>0</v>
      </c>
      <c r="M757" t="n">
        <v>0</v>
      </c>
      <c r="N757" t="n">
        <v>0</v>
      </c>
      <c r="O757" t="n">
        <v>0</v>
      </c>
      <c r="P757" t="n">
        <v>0</v>
      </c>
      <c r="Q757" t="n">
        <v>0</v>
      </c>
      <c r="R757" s="2" t="inlineStr"/>
    </row>
    <row r="758" ht="15" customHeight="1">
      <c r="A758" t="inlineStr">
        <is>
          <t>A 42707-2023</t>
        </is>
      </c>
      <c r="B758" s="1" t="n">
        <v>45181</v>
      </c>
      <c r="C758" s="1" t="n">
        <v>46205</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59641-2024</t>
        </is>
      </c>
      <c r="B759" s="1" t="n">
        <v>45639</v>
      </c>
      <c r="C759" s="1" t="n">
        <v>46205</v>
      </c>
      <c r="D759" t="inlineStr">
        <is>
          <t>ÖREBRO LÄN</t>
        </is>
      </c>
      <c r="E759" t="inlineStr">
        <is>
          <t>LINDESBERG</t>
        </is>
      </c>
      <c r="G759" t="n">
        <v>2.1</v>
      </c>
      <c r="H759" t="n">
        <v>0</v>
      </c>
      <c r="I759" t="n">
        <v>0</v>
      </c>
      <c r="J759" t="n">
        <v>0</v>
      </c>
      <c r="K759" t="n">
        <v>0</v>
      </c>
      <c r="L759" t="n">
        <v>0</v>
      </c>
      <c r="M759" t="n">
        <v>0</v>
      </c>
      <c r="N759" t="n">
        <v>0</v>
      </c>
      <c r="O759" t="n">
        <v>0</v>
      </c>
      <c r="P759" t="n">
        <v>0</v>
      </c>
      <c r="Q759" t="n">
        <v>0</v>
      </c>
      <c r="R759" s="2" t="inlineStr"/>
    </row>
    <row r="760" ht="15" customHeight="1">
      <c r="A760" t="inlineStr">
        <is>
          <t>A 17779-2024</t>
        </is>
      </c>
      <c r="B760" s="1" t="n">
        <v>45418</v>
      </c>
      <c r="C760" s="1" t="n">
        <v>46205</v>
      </c>
      <c r="D760" t="inlineStr">
        <is>
          <t>ÖREBRO LÄN</t>
        </is>
      </c>
      <c r="E760" t="inlineStr">
        <is>
          <t>LINDESBERG</t>
        </is>
      </c>
      <c r="G760" t="n">
        <v>3.7</v>
      </c>
      <c r="H760" t="n">
        <v>0</v>
      </c>
      <c r="I760" t="n">
        <v>0</v>
      </c>
      <c r="J760" t="n">
        <v>0</v>
      </c>
      <c r="K760" t="n">
        <v>0</v>
      </c>
      <c r="L760" t="n">
        <v>0</v>
      </c>
      <c r="M760" t="n">
        <v>0</v>
      </c>
      <c r="N760" t="n">
        <v>0</v>
      </c>
      <c r="O760" t="n">
        <v>0</v>
      </c>
      <c r="P760" t="n">
        <v>0</v>
      </c>
      <c r="Q760" t="n">
        <v>0</v>
      </c>
      <c r="R760" s="2" t="inlineStr"/>
    </row>
    <row r="761" ht="15" customHeight="1">
      <c r="A761" t="inlineStr">
        <is>
          <t>A 21202-2024</t>
        </is>
      </c>
      <c r="B761" s="1" t="n">
        <v>45440</v>
      </c>
      <c r="C761" s="1" t="n">
        <v>46205</v>
      </c>
      <c r="D761" t="inlineStr">
        <is>
          <t>ÖREBRO LÄN</t>
        </is>
      </c>
      <c r="E761" t="inlineStr">
        <is>
          <t>LINDESBERG</t>
        </is>
      </c>
      <c r="G761" t="n">
        <v>4</v>
      </c>
      <c r="H761" t="n">
        <v>0</v>
      </c>
      <c r="I761" t="n">
        <v>0</v>
      </c>
      <c r="J761" t="n">
        <v>0</v>
      </c>
      <c r="K761" t="n">
        <v>0</v>
      </c>
      <c r="L761" t="n">
        <v>0</v>
      </c>
      <c r="M761" t="n">
        <v>0</v>
      </c>
      <c r="N761" t="n">
        <v>0</v>
      </c>
      <c r="O761" t="n">
        <v>0</v>
      </c>
      <c r="P761" t="n">
        <v>0</v>
      </c>
      <c r="Q761" t="n">
        <v>0</v>
      </c>
      <c r="R761" s="2" t="inlineStr"/>
    </row>
    <row r="762" ht="15" customHeight="1">
      <c r="A762" t="inlineStr">
        <is>
          <t>A 1400-2025</t>
        </is>
      </c>
      <c r="B762" s="1" t="n">
        <v>45667</v>
      </c>
      <c r="C762" s="1" t="n">
        <v>46205</v>
      </c>
      <c r="D762" t="inlineStr">
        <is>
          <t>ÖREBRO LÄN</t>
        </is>
      </c>
      <c r="E762" t="inlineStr">
        <is>
          <t>LINDESBERG</t>
        </is>
      </c>
      <c r="F762" t="inlineStr">
        <is>
          <t>Allmännings- och besparingsskogar</t>
        </is>
      </c>
      <c r="G762" t="n">
        <v>11.3</v>
      </c>
      <c r="H762" t="n">
        <v>0</v>
      </c>
      <c r="I762" t="n">
        <v>0</v>
      </c>
      <c r="J762" t="n">
        <v>0</v>
      </c>
      <c r="K762" t="n">
        <v>0</v>
      </c>
      <c r="L762" t="n">
        <v>0</v>
      </c>
      <c r="M762" t="n">
        <v>0</v>
      </c>
      <c r="N762" t="n">
        <v>0</v>
      </c>
      <c r="O762" t="n">
        <v>0</v>
      </c>
      <c r="P762" t="n">
        <v>0</v>
      </c>
      <c r="Q762" t="n">
        <v>0</v>
      </c>
      <c r="R762" s="2" t="inlineStr"/>
    </row>
    <row r="763" ht="15" customHeight="1">
      <c r="A763" t="inlineStr">
        <is>
          <t>A 24017-2025</t>
        </is>
      </c>
      <c r="B763" s="1" t="n">
        <v>45796</v>
      </c>
      <c r="C763" s="1" t="n">
        <v>46205</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23932-2025</t>
        </is>
      </c>
      <c r="B764" s="1" t="n">
        <v>45795</v>
      </c>
      <c r="C764" s="1" t="n">
        <v>46205</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24011-2025</t>
        </is>
      </c>
      <c r="B765" s="1" t="n">
        <v>45796</v>
      </c>
      <c r="C765" s="1" t="n">
        <v>46205</v>
      </c>
      <c r="D765" t="inlineStr">
        <is>
          <t>ÖREBRO LÄN</t>
        </is>
      </c>
      <c r="E765" t="inlineStr">
        <is>
          <t>LINDESBERG</t>
        </is>
      </c>
      <c r="F765" t="inlineStr">
        <is>
          <t>Sveaskog</t>
        </is>
      </c>
      <c r="G765" t="n">
        <v>4.2</v>
      </c>
      <c r="H765" t="n">
        <v>0</v>
      </c>
      <c r="I765" t="n">
        <v>0</v>
      </c>
      <c r="J765" t="n">
        <v>0</v>
      </c>
      <c r="K765" t="n">
        <v>0</v>
      </c>
      <c r="L765" t="n">
        <v>0</v>
      </c>
      <c r="M765" t="n">
        <v>0</v>
      </c>
      <c r="N765" t="n">
        <v>0</v>
      </c>
      <c r="O765" t="n">
        <v>0</v>
      </c>
      <c r="P765" t="n">
        <v>0</v>
      </c>
      <c r="Q765" t="n">
        <v>0</v>
      </c>
      <c r="R765" s="2" t="inlineStr"/>
    </row>
    <row r="766" ht="15" customHeight="1">
      <c r="A766" t="inlineStr">
        <is>
          <t>A 24020-2025</t>
        </is>
      </c>
      <c r="B766" s="1" t="n">
        <v>45796</v>
      </c>
      <c r="C766" s="1" t="n">
        <v>46205</v>
      </c>
      <c r="D766" t="inlineStr">
        <is>
          <t>ÖREBRO LÄN</t>
        </is>
      </c>
      <c r="E766" t="inlineStr">
        <is>
          <t>LINDESBERG</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57944-2023</t>
        </is>
      </c>
      <c r="B767" s="1" t="n">
        <v>45244</v>
      </c>
      <c r="C767" s="1" t="n">
        <v>46205</v>
      </c>
      <c r="D767" t="inlineStr">
        <is>
          <t>ÖREBRO LÄN</t>
        </is>
      </c>
      <c r="E767" t="inlineStr">
        <is>
          <t>LINDESBERG</t>
        </is>
      </c>
      <c r="G767" t="n">
        <v>2.4</v>
      </c>
      <c r="H767" t="n">
        <v>0</v>
      </c>
      <c r="I767" t="n">
        <v>0</v>
      </c>
      <c r="J767" t="n">
        <v>0</v>
      </c>
      <c r="K767" t="n">
        <v>0</v>
      </c>
      <c r="L767" t="n">
        <v>0</v>
      </c>
      <c r="M767" t="n">
        <v>0</v>
      </c>
      <c r="N767" t="n">
        <v>0</v>
      </c>
      <c r="O767" t="n">
        <v>0</v>
      </c>
      <c r="P767" t="n">
        <v>0</v>
      </c>
      <c r="Q767" t="n">
        <v>0</v>
      </c>
      <c r="R767" s="2" t="inlineStr"/>
    </row>
    <row r="768" ht="15" customHeight="1">
      <c r="A768" t="inlineStr">
        <is>
          <t>A 24043-2024</t>
        </is>
      </c>
      <c r="B768" s="1" t="n">
        <v>45456</v>
      </c>
      <c r="C768" s="1" t="n">
        <v>46205</v>
      </c>
      <c r="D768" t="inlineStr">
        <is>
          <t>ÖREBRO LÄN</t>
        </is>
      </c>
      <c r="E768" t="inlineStr">
        <is>
          <t>LINDESBERG</t>
        </is>
      </c>
      <c r="G768" t="n">
        <v>6.2</v>
      </c>
      <c r="H768" t="n">
        <v>0</v>
      </c>
      <c r="I768" t="n">
        <v>0</v>
      </c>
      <c r="J768" t="n">
        <v>0</v>
      </c>
      <c r="K768" t="n">
        <v>0</v>
      </c>
      <c r="L768" t="n">
        <v>0</v>
      </c>
      <c r="M768" t="n">
        <v>0</v>
      </c>
      <c r="N768" t="n">
        <v>0</v>
      </c>
      <c r="O768" t="n">
        <v>0</v>
      </c>
      <c r="P768" t="n">
        <v>0</v>
      </c>
      <c r="Q768" t="n">
        <v>0</v>
      </c>
      <c r="R768" s="2" t="inlineStr"/>
    </row>
    <row r="769">
      <c r="A769" t="inlineStr">
        <is>
          <t>A 23844-2025</t>
        </is>
      </c>
      <c r="B769" s="1" t="n">
        <v>45793</v>
      </c>
      <c r="C769" s="1" t="n">
        <v>46205</v>
      </c>
      <c r="D769" t="inlineStr">
        <is>
          <t>ÖREBRO LÄN</t>
        </is>
      </c>
      <c r="E769" t="inlineStr">
        <is>
          <t>LINDESBERG</t>
        </is>
      </c>
      <c r="F769" t="inlineStr">
        <is>
          <t>Sveaskog</t>
        </is>
      </c>
      <c r="G769" t="n">
        <v>0.4</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2026-07-02T00:57:05Z</dcterms:created>
  <dcterms:modified xmlns:dcterms="http://purl.org/dc/terms/" xmlns:xsi="http://www.w3.org/2001/XMLSchema-instance" xsi:type="dcterms:W3CDTF">2026-07-02T00:57:06Z</dcterms:modified>
</cp:coreProperties>
</file>