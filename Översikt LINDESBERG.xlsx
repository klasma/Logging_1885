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46126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46126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46126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46126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46126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46126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46126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46126</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46126</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46126</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46126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46126</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46126</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46126</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46126</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46126</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34293-2023</t>
        </is>
      </c>
      <c r="B18" s="1" t="n">
        <v>45138</v>
      </c>
      <c r="C18" s="1" t="n">
        <v>46126</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39189-2025</t>
        </is>
      </c>
      <c r="B19" s="1" t="n">
        <v>45888.67560185185</v>
      </c>
      <c r="C19" s="1" t="n">
        <v>46126</v>
      </c>
      <c r="D19" t="inlineStr">
        <is>
          <t>ÖREBRO LÄN</t>
        </is>
      </c>
      <c r="E19" t="inlineStr">
        <is>
          <t>LINDESBERG</t>
        </is>
      </c>
      <c r="G19" t="n">
        <v>2.1</v>
      </c>
      <c r="H19" t="n">
        <v>0</v>
      </c>
      <c r="I19" t="n">
        <v>2</v>
      </c>
      <c r="J19" t="n">
        <v>2</v>
      </c>
      <c r="K19" t="n">
        <v>0</v>
      </c>
      <c r="L19" t="n">
        <v>0</v>
      </c>
      <c r="M19" t="n">
        <v>0</v>
      </c>
      <c r="N19" t="n">
        <v>0</v>
      </c>
      <c r="O19" t="n">
        <v>2</v>
      </c>
      <c r="P19" t="n">
        <v>0</v>
      </c>
      <c r="Q19" t="n">
        <v>4</v>
      </c>
      <c r="R19" s="2" t="inlineStr">
        <is>
          <t>Svartvit taggsvamp
Ullticka
Dropptaggsvamp
Vedticka</t>
        </is>
      </c>
      <c r="S19">
        <f>HYPERLINK("https://klasma.github.io/Logging_1885/artfynd/A 39189-2025 artfynd.xlsx", "A 39189-2025")</f>
        <v/>
      </c>
      <c r="T19">
        <f>HYPERLINK("https://klasma.github.io/Logging_1885/kartor/A 39189-2025 karta.png", "A 39189-2025")</f>
        <v/>
      </c>
      <c r="V19">
        <f>HYPERLINK("https://klasma.github.io/Logging_1885/klagomål/A 39189-2025 FSC-klagomål.docx", "A 39189-2025")</f>
        <v/>
      </c>
      <c r="W19">
        <f>HYPERLINK("https://klasma.github.io/Logging_1885/klagomålsmail/A 39189-2025 FSC-klagomål mail.docx", "A 39189-2025")</f>
        <v/>
      </c>
      <c r="X19">
        <f>HYPERLINK("https://klasma.github.io/Logging_1885/tillsyn/A 39189-2025 tillsynsbegäran.docx", "A 39189-2025")</f>
        <v/>
      </c>
      <c r="Y19">
        <f>HYPERLINK("https://klasma.github.io/Logging_1885/tillsynsmail/A 39189-2025 tillsynsbegäran mail.docx", "A 39189-2025")</f>
        <v/>
      </c>
    </row>
    <row r="20" ht="15" customHeight="1">
      <c r="A20" t="inlineStr">
        <is>
          <t>A 57803-2021</t>
        </is>
      </c>
      <c r="B20" s="1" t="n">
        <v>44484</v>
      </c>
      <c r="C20" s="1" t="n">
        <v>46126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46126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54020-2024</t>
        </is>
      </c>
      <c r="B22" s="1" t="n">
        <v>45616.38605324074</v>
      </c>
      <c r="C22" s="1" t="n">
        <v>46126</v>
      </c>
      <c r="D22" t="inlineStr">
        <is>
          <t>ÖREBRO LÄN</t>
        </is>
      </c>
      <c r="E22" t="inlineStr">
        <is>
          <t>LINDESBERG</t>
        </is>
      </c>
      <c r="G22" t="n">
        <v>2.8</v>
      </c>
      <c r="H22" t="n">
        <v>1</v>
      </c>
      <c r="I22" t="n">
        <v>1</v>
      </c>
      <c r="J22" t="n">
        <v>2</v>
      </c>
      <c r="K22" t="n">
        <v>0</v>
      </c>
      <c r="L22" t="n">
        <v>0</v>
      </c>
      <c r="M22" t="n">
        <v>0</v>
      </c>
      <c r="N22" t="n">
        <v>0</v>
      </c>
      <c r="O22" t="n">
        <v>2</v>
      </c>
      <c r="P22" t="n">
        <v>0</v>
      </c>
      <c r="Q22" t="n">
        <v>3</v>
      </c>
      <c r="R22" s="2" t="inlineStr">
        <is>
          <t>Mindre hackspett
Skogsklocka
Kambräken</t>
        </is>
      </c>
      <c r="S22">
        <f>HYPERLINK("https://klasma.github.io/Logging_1885/artfynd/A 54020-2024 artfynd.xlsx", "A 54020-2024")</f>
        <v/>
      </c>
      <c r="T22">
        <f>HYPERLINK("https://klasma.github.io/Logging_1885/kartor/A 54020-2024 karta.png", "A 54020-2024")</f>
        <v/>
      </c>
      <c r="V22">
        <f>HYPERLINK("https://klasma.github.io/Logging_1885/klagomål/A 54020-2024 FSC-klagomål.docx", "A 54020-2024")</f>
        <v/>
      </c>
      <c r="W22">
        <f>HYPERLINK("https://klasma.github.io/Logging_1885/klagomålsmail/A 54020-2024 FSC-klagomål mail.docx", "A 54020-2024")</f>
        <v/>
      </c>
      <c r="X22">
        <f>HYPERLINK("https://klasma.github.io/Logging_1885/tillsyn/A 54020-2024 tillsynsbegäran.docx", "A 54020-2024")</f>
        <v/>
      </c>
      <c r="Y22">
        <f>HYPERLINK("https://klasma.github.io/Logging_1885/tillsynsmail/A 54020-2024 tillsynsbegäran mail.docx", "A 54020-2024")</f>
        <v/>
      </c>
      <c r="Z22">
        <f>HYPERLINK("https://klasma.github.io/Logging_1885/fåglar/A 54020-2024 prioriterade fågelarter.docx", "A 54020-2024")</f>
        <v/>
      </c>
    </row>
    <row r="23" ht="15" customHeight="1">
      <c r="A23" t="inlineStr">
        <is>
          <t>A 39193-2025</t>
        </is>
      </c>
      <c r="B23" s="1" t="n">
        <v>45888.67765046296</v>
      </c>
      <c r="C23" s="1" t="n">
        <v>46126</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46126</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46126</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46126</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46126</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34266-2025</t>
        </is>
      </c>
      <c r="B28" s="1" t="n">
        <v>45845.75751157408</v>
      </c>
      <c r="C28" s="1" t="n">
        <v>46126</v>
      </c>
      <c r="D28" t="inlineStr">
        <is>
          <t>ÖREBRO LÄN</t>
        </is>
      </c>
      <c r="E28" t="inlineStr">
        <is>
          <t>LINDESBERG</t>
        </is>
      </c>
      <c r="G28" t="n">
        <v>4.5</v>
      </c>
      <c r="H28" t="n">
        <v>2</v>
      </c>
      <c r="I28" t="n">
        <v>1</v>
      </c>
      <c r="J28" t="n">
        <v>1</v>
      </c>
      <c r="K28" t="n">
        <v>0</v>
      </c>
      <c r="L28" t="n">
        <v>0</v>
      </c>
      <c r="M28" t="n">
        <v>0</v>
      </c>
      <c r="N28" t="n">
        <v>0</v>
      </c>
      <c r="O28" t="n">
        <v>1</v>
      </c>
      <c r="P28" t="n">
        <v>0</v>
      </c>
      <c r="Q28" t="n">
        <v>3</v>
      </c>
      <c r="R28" s="2" t="inlineStr">
        <is>
          <t>Spillkråka
Dropptaggsvamp
Kungsfågel</t>
        </is>
      </c>
      <c r="S28">
        <f>HYPERLINK("https://klasma.github.io/Logging_1885/artfynd/A 34266-2025 artfynd.xlsx", "A 34266-2025")</f>
        <v/>
      </c>
      <c r="T28">
        <f>HYPERLINK("https://klasma.github.io/Logging_1885/kartor/A 34266-2025 karta.png", "A 34266-2025")</f>
        <v/>
      </c>
      <c r="V28">
        <f>HYPERLINK("https://klasma.github.io/Logging_1885/klagomål/A 34266-2025 FSC-klagomål.docx", "A 34266-2025")</f>
        <v/>
      </c>
      <c r="W28">
        <f>HYPERLINK("https://klasma.github.io/Logging_1885/klagomålsmail/A 34266-2025 FSC-klagomål mail.docx", "A 34266-2025")</f>
        <v/>
      </c>
      <c r="X28">
        <f>HYPERLINK("https://klasma.github.io/Logging_1885/tillsyn/A 34266-2025 tillsynsbegäran.docx", "A 34266-2025")</f>
        <v/>
      </c>
      <c r="Y28">
        <f>HYPERLINK("https://klasma.github.io/Logging_1885/tillsynsmail/A 34266-2025 tillsynsbegäran mail.docx", "A 34266-2025")</f>
        <v/>
      </c>
      <c r="Z28">
        <f>HYPERLINK("https://klasma.github.io/Logging_1885/fåglar/A 34266-2025 prioriterade fågelarter.docx", "A 34266-2025")</f>
        <v/>
      </c>
    </row>
    <row r="29" ht="15" customHeight="1">
      <c r="A29" t="inlineStr">
        <is>
          <t>A 8195-2026</t>
        </is>
      </c>
      <c r="B29" s="1" t="n">
        <v>46064.43017361111</v>
      </c>
      <c r="C29" s="1" t="n">
        <v>46126</v>
      </c>
      <c r="D29" t="inlineStr">
        <is>
          <t>ÖREBRO LÄN</t>
        </is>
      </c>
      <c r="E29" t="inlineStr">
        <is>
          <t>LINDESBERG</t>
        </is>
      </c>
      <c r="G29" t="n">
        <v>2.3</v>
      </c>
      <c r="H29" t="n">
        <v>2</v>
      </c>
      <c r="I29" t="n">
        <v>1</v>
      </c>
      <c r="J29" t="n">
        <v>1</v>
      </c>
      <c r="K29" t="n">
        <v>0</v>
      </c>
      <c r="L29" t="n">
        <v>0</v>
      </c>
      <c r="M29" t="n">
        <v>0</v>
      </c>
      <c r="N29" t="n">
        <v>0</v>
      </c>
      <c r="O29" t="n">
        <v>1</v>
      </c>
      <c r="P29" t="n">
        <v>0</v>
      </c>
      <c r="Q29" t="n">
        <v>3</v>
      </c>
      <c r="R29" s="2" t="inlineStr">
        <is>
          <t>Spillkråka
Rödgul trumpetsvamp
Kungsfågel</t>
        </is>
      </c>
      <c r="S29">
        <f>HYPERLINK("https://klasma.github.io/Logging_1885/artfynd/A 8195-2026 artfynd.xlsx", "A 8195-2026")</f>
        <v/>
      </c>
      <c r="T29">
        <f>HYPERLINK("https://klasma.github.io/Logging_1885/kartor/A 8195-2026 karta.png", "A 8195-2026")</f>
        <v/>
      </c>
      <c r="V29">
        <f>HYPERLINK("https://klasma.github.io/Logging_1885/klagomål/A 8195-2026 FSC-klagomål.docx", "A 8195-2026")</f>
        <v/>
      </c>
      <c r="W29">
        <f>HYPERLINK("https://klasma.github.io/Logging_1885/klagomålsmail/A 8195-2026 FSC-klagomål mail.docx", "A 8195-2026")</f>
        <v/>
      </c>
      <c r="X29">
        <f>HYPERLINK("https://klasma.github.io/Logging_1885/tillsyn/A 8195-2026 tillsynsbegäran.docx", "A 8195-2026")</f>
        <v/>
      </c>
      <c r="Y29">
        <f>HYPERLINK("https://klasma.github.io/Logging_1885/tillsynsmail/A 8195-2026 tillsynsbegäran mail.docx", "A 8195-2026")</f>
        <v/>
      </c>
      <c r="Z29">
        <f>HYPERLINK("https://klasma.github.io/Logging_1885/fåglar/A 8195-2026 prioriterade fågelarter.docx", "A 8195-2026")</f>
        <v/>
      </c>
    </row>
    <row r="30" ht="15" customHeight="1">
      <c r="A30" t="inlineStr">
        <is>
          <t>A 54332-2021</t>
        </is>
      </c>
      <c r="B30" s="1" t="n">
        <v>44472</v>
      </c>
      <c r="C30" s="1" t="n">
        <v>46126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46126</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15687-2023</t>
        </is>
      </c>
      <c r="B32" s="1" t="n">
        <v>45021</v>
      </c>
      <c r="C32" s="1" t="n">
        <v>46126</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46126</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42629-2025</t>
        </is>
      </c>
      <c r="B34" s="1" t="n">
        <v>45905.88938657408</v>
      </c>
      <c r="C34" s="1" t="n">
        <v>46126</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46126</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51851-2025</t>
        </is>
      </c>
      <c r="B36" s="1" t="n">
        <v>45952.35611111111</v>
      </c>
      <c r="C36" s="1" t="n">
        <v>46126</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46126</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46126</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46126</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57319-2025</t>
        </is>
      </c>
      <c r="B40" s="1" t="n">
        <v>45980.01497685185</v>
      </c>
      <c r="C40" s="1" t="n">
        <v>46126</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53686-2024</t>
        </is>
      </c>
      <c r="B41" s="1" t="n">
        <v>45615</v>
      </c>
      <c r="C41" s="1" t="n">
        <v>46126</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8189-2026</t>
        </is>
      </c>
      <c r="B42" s="1" t="n">
        <v>46064.42460648148</v>
      </c>
      <c r="C42" s="1" t="n">
        <v>46126</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46126</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46126</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46126</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46126</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46126</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46126</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46126</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16791-2024</t>
        </is>
      </c>
      <c r="B50" s="1" t="n">
        <v>45411.42858796296</v>
      </c>
      <c r="C50" s="1" t="n">
        <v>46126</v>
      </c>
      <c r="D50" t="inlineStr">
        <is>
          <t>ÖREBRO LÄN</t>
        </is>
      </c>
      <c r="E50" t="inlineStr">
        <is>
          <t>LINDESBERG</t>
        </is>
      </c>
      <c r="G50" t="n">
        <v>16.1</v>
      </c>
      <c r="H50" t="n">
        <v>1</v>
      </c>
      <c r="I50" t="n">
        <v>0</v>
      </c>
      <c r="J50" t="n">
        <v>1</v>
      </c>
      <c r="K50" t="n">
        <v>0</v>
      </c>
      <c r="L50" t="n">
        <v>0</v>
      </c>
      <c r="M50" t="n">
        <v>0</v>
      </c>
      <c r="N50" t="n">
        <v>0</v>
      </c>
      <c r="O50" t="n">
        <v>1</v>
      </c>
      <c r="P50" t="n">
        <v>0</v>
      </c>
      <c r="Q50" t="n">
        <v>1</v>
      </c>
      <c r="R50" s="2" t="inlineStr">
        <is>
          <t>Spillkråka</t>
        </is>
      </c>
      <c r="S50">
        <f>HYPERLINK("https://klasma.github.io/Logging_1885/artfynd/A 16791-2024 artfynd.xlsx", "A 16791-2024")</f>
        <v/>
      </c>
      <c r="T50">
        <f>HYPERLINK("https://klasma.github.io/Logging_1885/kartor/A 16791-2024 karta.png", "A 16791-2024")</f>
        <v/>
      </c>
      <c r="V50">
        <f>HYPERLINK("https://klasma.github.io/Logging_1885/klagomål/A 16791-2024 FSC-klagomål.docx", "A 16791-2024")</f>
        <v/>
      </c>
      <c r="W50">
        <f>HYPERLINK("https://klasma.github.io/Logging_1885/klagomålsmail/A 16791-2024 FSC-klagomål mail.docx", "A 16791-2024")</f>
        <v/>
      </c>
      <c r="X50">
        <f>HYPERLINK("https://klasma.github.io/Logging_1885/tillsyn/A 16791-2024 tillsynsbegäran.docx", "A 16791-2024")</f>
        <v/>
      </c>
      <c r="Y50">
        <f>HYPERLINK("https://klasma.github.io/Logging_1885/tillsynsmail/A 16791-2024 tillsynsbegäran mail.docx", "A 16791-2024")</f>
        <v/>
      </c>
      <c r="Z50">
        <f>HYPERLINK("https://klasma.github.io/Logging_1885/fåglar/A 16791-2024 prioriterade fågelarter.docx", "A 16791-2024")</f>
        <v/>
      </c>
    </row>
    <row r="51" ht="15" customHeight="1">
      <c r="A51" t="inlineStr">
        <is>
          <t>A 58206-2023</t>
        </is>
      </c>
      <c r="B51" s="1" t="n">
        <v>45250</v>
      </c>
      <c r="C51" s="1" t="n">
        <v>46126</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61132-2024</t>
        </is>
      </c>
      <c r="B52" s="1" t="n">
        <v>45645</v>
      </c>
      <c r="C52" s="1" t="n">
        <v>46126</v>
      </c>
      <c r="D52" t="inlineStr">
        <is>
          <t>ÖREBRO LÄN</t>
        </is>
      </c>
      <c r="E52" t="inlineStr">
        <is>
          <t>LINDESBERG</t>
        </is>
      </c>
      <c r="F52" t="inlineStr">
        <is>
          <t>Sveaskog</t>
        </is>
      </c>
      <c r="G52" t="n">
        <v>2.5</v>
      </c>
      <c r="H52" t="n">
        <v>0</v>
      </c>
      <c r="I52" t="n">
        <v>1</v>
      </c>
      <c r="J52" t="n">
        <v>0</v>
      </c>
      <c r="K52" t="n">
        <v>0</v>
      </c>
      <c r="L52" t="n">
        <v>0</v>
      </c>
      <c r="M52" t="n">
        <v>0</v>
      </c>
      <c r="N52" t="n">
        <v>0</v>
      </c>
      <c r="O52" t="n">
        <v>0</v>
      </c>
      <c r="P52" t="n">
        <v>0</v>
      </c>
      <c r="Q52" t="n">
        <v>1</v>
      </c>
      <c r="R52" s="2" t="inlineStr">
        <is>
          <t>Bollvitmossa</t>
        </is>
      </c>
      <c r="S52">
        <f>HYPERLINK("https://klasma.github.io/Logging_1885/artfynd/A 61132-2024 artfynd.xlsx", "A 61132-2024")</f>
        <v/>
      </c>
      <c r="T52">
        <f>HYPERLINK("https://klasma.github.io/Logging_1885/kartor/A 61132-2024 karta.png", "A 61132-2024")</f>
        <v/>
      </c>
      <c r="V52">
        <f>HYPERLINK("https://klasma.github.io/Logging_1885/klagomål/A 61132-2024 FSC-klagomål.docx", "A 61132-2024")</f>
        <v/>
      </c>
      <c r="W52">
        <f>HYPERLINK("https://klasma.github.io/Logging_1885/klagomålsmail/A 61132-2024 FSC-klagomål mail.docx", "A 61132-2024")</f>
        <v/>
      </c>
      <c r="X52">
        <f>HYPERLINK("https://klasma.github.io/Logging_1885/tillsyn/A 61132-2024 tillsynsbegäran.docx", "A 61132-2024")</f>
        <v/>
      </c>
      <c r="Y52">
        <f>HYPERLINK("https://klasma.github.io/Logging_1885/tillsynsmail/A 61132-2024 tillsynsbegäran mail.docx", "A 61132-2024")</f>
        <v/>
      </c>
    </row>
    <row r="53" ht="15" customHeight="1">
      <c r="A53" t="inlineStr">
        <is>
          <t>A 30347-2025</t>
        </is>
      </c>
      <c r="B53" s="1" t="n">
        <v>45827.53077546296</v>
      </c>
      <c r="C53" s="1" t="n">
        <v>46126</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21440-2025</t>
        </is>
      </c>
      <c r="B54" s="1" t="n">
        <v>45782.5300462963</v>
      </c>
      <c r="C54" s="1" t="n">
        <v>46126</v>
      </c>
      <c r="D54" t="inlineStr">
        <is>
          <t>ÖREBRO LÄN</t>
        </is>
      </c>
      <c r="E54" t="inlineStr">
        <is>
          <t>LINDESBERG</t>
        </is>
      </c>
      <c r="F54" t="inlineStr">
        <is>
          <t>Sveaskog</t>
        </is>
      </c>
      <c r="G54" t="n">
        <v>1.3</v>
      </c>
      <c r="H54" t="n">
        <v>0</v>
      </c>
      <c r="I54" t="n">
        <v>0</v>
      </c>
      <c r="J54" t="n">
        <v>1</v>
      </c>
      <c r="K54" t="n">
        <v>0</v>
      </c>
      <c r="L54" t="n">
        <v>0</v>
      </c>
      <c r="M54" t="n">
        <v>0</v>
      </c>
      <c r="N54" t="n">
        <v>0</v>
      </c>
      <c r="O54" t="n">
        <v>1</v>
      </c>
      <c r="P54" t="n">
        <v>0</v>
      </c>
      <c r="Q54" t="n">
        <v>1</v>
      </c>
      <c r="R54" s="2" t="inlineStr">
        <is>
          <t>Motaggsvamp</t>
        </is>
      </c>
      <c r="S54">
        <f>HYPERLINK("https://klasma.github.io/Logging_1885/artfynd/A 21440-2025 artfynd.xlsx", "A 21440-2025")</f>
        <v/>
      </c>
      <c r="T54">
        <f>HYPERLINK("https://klasma.github.io/Logging_1885/kartor/A 21440-2025 karta.png", "A 21440-2025")</f>
        <v/>
      </c>
      <c r="V54">
        <f>HYPERLINK("https://klasma.github.io/Logging_1885/klagomål/A 21440-2025 FSC-klagomål.docx", "A 21440-2025")</f>
        <v/>
      </c>
      <c r="W54">
        <f>HYPERLINK("https://klasma.github.io/Logging_1885/klagomålsmail/A 21440-2025 FSC-klagomål mail.docx", "A 21440-2025")</f>
        <v/>
      </c>
      <c r="X54">
        <f>HYPERLINK("https://klasma.github.io/Logging_1885/tillsyn/A 21440-2025 tillsynsbegäran.docx", "A 21440-2025")</f>
        <v/>
      </c>
      <c r="Y54">
        <f>HYPERLINK("https://klasma.github.io/Logging_1885/tillsynsmail/A 21440-2025 tillsynsbegäran mail.docx", "A 21440-2025")</f>
        <v/>
      </c>
    </row>
    <row r="55" ht="15" customHeight="1">
      <c r="A55" t="inlineStr">
        <is>
          <t>A 21779-2025</t>
        </is>
      </c>
      <c r="B55" s="1" t="n">
        <v>45783.66537037037</v>
      </c>
      <c r="C55" s="1" t="n">
        <v>46126</v>
      </c>
      <c r="D55" t="inlineStr">
        <is>
          <t>ÖREBRO LÄN</t>
        </is>
      </c>
      <c r="E55" t="inlineStr">
        <is>
          <t>LINDESBERG</t>
        </is>
      </c>
      <c r="G55" t="n">
        <v>8.5</v>
      </c>
      <c r="H55" t="n">
        <v>1</v>
      </c>
      <c r="I55" t="n">
        <v>0</v>
      </c>
      <c r="J55" t="n">
        <v>0</v>
      </c>
      <c r="K55" t="n">
        <v>0</v>
      </c>
      <c r="L55" t="n">
        <v>0</v>
      </c>
      <c r="M55" t="n">
        <v>0</v>
      </c>
      <c r="N55" t="n">
        <v>0</v>
      </c>
      <c r="O55" t="n">
        <v>0</v>
      </c>
      <c r="P55" t="n">
        <v>0</v>
      </c>
      <c r="Q55" t="n">
        <v>1</v>
      </c>
      <c r="R55" s="2" t="inlineStr">
        <is>
          <t>Mindre vattensalamander</t>
        </is>
      </c>
      <c r="S55">
        <f>HYPERLINK("https://klasma.github.io/Logging_1885/artfynd/A 21779-2025 artfynd.xlsx", "A 21779-2025")</f>
        <v/>
      </c>
      <c r="T55">
        <f>HYPERLINK("https://klasma.github.io/Logging_1885/kartor/A 21779-2025 karta.png", "A 21779-2025")</f>
        <v/>
      </c>
      <c r="V55">
        <f>HYPERLINK("https://klasma.github.io/Logging_1885/klagomål/A 21779-2025 FSC-klagomål.docx", "A 21779-2025")</f>
        <v/>
      </c>
      <c r="W55">
        <f>HYPERLINK("https://klasma.github.io/Logging_1885/klagomålsmail/A 21779-2025 FSC-klagomål mail.docx", "A 21779-2025")</f>
        <v/>
      </c>
      <c r="X55">
        <f>HYPERLINK("https://klasma.github.io/Logging_1885/tillsyn/A 21779-2025 tillsynsbegäran.docx", "A 21779-2025")</f>
        <v/>
      </c>
      <c r="Y55">
        <f>HYPERLINK("https://klasma.github.io/Logging_1885/tillsynsmail/A 21779-2025 tillsynsbegäran mail.docx", "A 21779-2025")</f>
        <v/>
      </c>
    </row>
    <row r="56" ht="15" customHeight="1">
      <c r="A56" t="inlineStr">
        <is>
          <t>A 33286-2024</t>
        </is>
      </c>
      <c r="B56" s="1" t="n">
        <v>45518</v>
      </c>
      <c r="C56" s="1" t="n">
        <v>46126</v>
      </c>
      <c r="D56" t="inlineStr">
        <is>
          <t>ÖREBRO LÄN</t>
        </is>
      </c>
      <c r="E56" t="inlineStr">
        <is>
          <t>LINDESBERG</t>
        </is>
      </c>
      <c r="F56" t="inlineStr">
        <is>
          <t>Sveaskog</t>
        </is>
      </c>
      <c r="G56" t="n">
        <v>2.1</v>
      </c>
      <c r="H56" t="n">
        <v>0</v>
      </c>
      <c r="I56" t="n">
        <v>1</v>
      </c>
      <c r="J56" t="n">
        <v>0</v>
      </c>
      <c r="K56" t="n">
        <v>0</v>
      </c>
      <c r="L56" t="n">
        <v>0</v>
      </c>
      <c r="M56" t="n">
        <v>0</v>
      </c>
      <c r="N56" t="n">
        <v>0</v>
      </c>
      <c r="O56" t="n">
        <v>0</v>
      </c>
      <c r="P56" t="n">
        <v>0</v>
      </c>
      <c r="Q56" t="n">
        <v>1</v>
      </c>
      <c r="R56" s="2" t="inlineStr">
        <is>
          <t>Vedticka</t>
        </is>
      </c>
      <c r="S56">
        <f>HYPERLINK("https://klasma.github.io/Logging_1885/artfynd/A 33286-2024 artfynd.xlsx", "A 33286-2024")</f>
        <v/>
      </c>
      <c r="T56">
        <f>HYPERLINK("https://klasma.github.io/Logging_1885/kartor/A 33286-2024 karta.png", "A 33286-2024")</f>
        <v/>
      </c>
      <c r="V56">
        <f>HYPERLINK("https://klasma.github.io/Logging_1885/klagomål/A 33286-2024 FSC-klagomål.docx", "A 33286-2024")</f>
        <v/>
      </c>
      <c r="W56">
        <f>HYPERLINK("https://klasma.github.io/Logging_1885/klagomålsmail/A 33286-2024 FSC-klagomål mail.docx", "A 33286-2024")</f>
        <v/>
      </c>
      <c r="X56">
        <f>HYPERLINK("https://klasma.github.io/Logging_1885/tillsyn/A 33286-2024 tillsynsbegäran.docx", "A 33286-2024")</f>
        <v/>
      </c>
      <c r="Y56">
        <f>HYPERLINK("https://klasma.github.io/Logging_1885/tillsynsmail/A 33286-2024 tillsynsbegäran mail.docx", "A 33286-2024")</f>
        <v/>
      </c>
    </row>
    <row r="57" ht="15" customHeight="1">
      <c r="A57" t="inlineStr">
        <is>
          <t>A 45467-2025</t>
        </is>
      </c>
      <c r="B57" s="1" t="n">
        <v>45922.49990740741</v>
      </c>
      <c r="C57" s="1" t="n">
        <v>46126</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3729-2023</t>
        </is>
      </c>
      <c r="B58" s="1" t="n">
        <v>44949</v>
      </c>
      <c r="C58" s="1" t="n">
        <v>46126</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48956-2025</t>
        </is>
      </c>
      <c r="B59" s="1" t="n">
        <v>45937.54982638889</v>
      </c>
      <c r="C59" s="1" t="n">
        <v>46126</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50766-2025</t>
        </is>
      </c>
      <c r="B60" s="1" t="n">
        <v>45946.44423611111</v>
      </c>
      <c r="C60" s="1" t="n">
        <v>46126</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46126</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46126</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46126</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46126</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54092-2025</t>
        </is>
      </c>
      <c r="B65" s="1" t="n">
        <v>45964.3965625</v>
      </c>
      <c r="C65" s="1" t="n">
        <v>46126</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31052-2025</t>
        </is>
      </c>
      <c r="B66" s="1" t="n">
        <v>45832.56153935185</v>
      </c>
      <c r="C66" s="1" t="n">
        <v>46126</v>
      </c>
      <c r="D66" t="inlineStr">
        <is>
          <t>ÖREBRO LÄN</t>
        </is>
      </c>
      <c r="E66" t="inlineStr">
        <is>
          <t>LINDESBERG</t>
        </is>
      </c>
      <c r="F66" t="inlineStr">
        <is>
          <t>Sveaskog</t>
        </is>
      </c>
      <c r="G66" t="n">
        <v>1.1</v>
      </c>
      <c r="H66" t="n">
        <v>1</v>
      </c>
      <c r="I66" t="n">
        <v>0</v>
      </c>
      <c r="J66" t="n">
        <v>0</v>
      </c>
      <c r="K66" t="n">
        <v>0</v>
      </c>
      <c r="L66" t="n">
        <v>0</v>
      </c>
      <c r="M66" t="n">
        <v>0</v>
      </c>
      <c r="N66" t="n">
        <v>0</v>
      </c>
      <c r="O66" t="n">
        <v>0</v>
      </c>
      <c r="P66" t="n">
        <v>0</v>
      </c>
      <c r="Q66" t="n">
        <v>1</v>
      </c>
      <c r="R66" s="2" t="inlineStr">
        <is>
          <t>Fläcknycklar</t>
        </is>
      </c>
      <c r="S66">
        <f>HYPERLINK("https://klasma.github.io/Logging_1885/artfynd/A 31052-2025 artfynd.xlsx", "A 31052-2025")</f>
        <v/>
      </c>
      <c r="T66">
        <f>HYPERLINK("https://klasma.github.io/Logging_1885/kartor/A 31052-2025 karta.png", "A 31052-2025")</f>
        <v/>
      </c>
      <c r="V66">
        <f>HYPERLINK("https://klasma.github.io/Logging_1885/klagomål/A 31052-2025 FSC-klagomål.docx", "A 31052-2025")</f>
        <v/>
      </c>
      <c r="W66">
        <f>HYPERLINK("https://klasma.github.io/Logging_1885/klagomålsmail/A 31052-2025 FSC-klagomål mail.docx", "A 31052-2025")</f>
        <v/>
      </c>
      <c r="X66">
        <f>HYPERLINK("https://klasma.github.io/Logging_1885/tillsyn/A 31052-2025 tillsynsbegäran.docx", "A 31052-2025")</f>
        <v/>
      </c>
      <c r="Y66">
        <f>HYPERLINK("https://klasma.github.io/Logging_1885/tillsynsmail/A 31052-2025 tillsynsbegäran mail.docx", "A 31052-2025")</f>
        <v/>
      </c>
    </row>
    <row r="67" ht="15" customHeight="1">
      <c r="A67" t="inlineStr">
        <is>
          <t>A 57362-2025</t>
        </is>
      </c>
      <c r="B67" s="1" t="n">
        <v>45980.37108796297</v>
      </c>
      <c r="C67" s="1" t="n">
        <v>46126</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46126</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36669-2024</t>
        </is>
      </c>
      <c r="B69" s="1" t="n">
        <v>45537.64484953704</v>
      </c>
      <c r="C69" s="1" t="n">
        <v>46126</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Garnlav</t>
        </is>
      </c>
      <c r="S69">
        <f>HYPERLINK("https://klasma.github.io/Logging_1885/artfynd/A 36669-2024 artfynd.xlsx", "A 36669-2024")</f>
        <v/>
      </c>
      <c r="T69">
        <f>HYPERLINK("https://klasma.github.io/Logging_1885/kartor/A 36669-2024 karta.png", "A 36669-2024")</f>
        <v/>
      </c>
      <c r="V69">
        <f>HYPERLINK("https://klasma.github.io/Logging_1885/klagomål/A 36669-2024 FSC-klagomål.docx", "A 36669-2024")</f>
        <v/>
      </c>
      <c r="W69">
        <f>HYPERLINK("https://klasma.github.io/Logging_1885/klagomålsmail/A 36669-2024 FSC-klagomål mail.docx", "A 36669-2024")</f>
        <v/>
      </c>
      <c r="X69">
        <f>HYPERLINK("https://klasma.github.io/Logging_1885/tillsyn/A 36669-2024 tillsynsbegäran.docx", "A 36669-2024")</f>
        <v/>
      </c>
      <c r="Y69">
        <f>HYPERLINK("https://klasma.github.io/Logging_1885/tillsynsmail/A 36669-2024 tillsynsbegäran mail.docx", "A 36669-2024")</f>
        <v/>
      </c>
    </row>
    <row r="70" ht="15" customHeight="1">
      <c r="A70" t="inlineStr">
        <is>
          <t>A 37834-2025</t>
        </is>
      </c>
      <c r="B70" s="1" t="n">
        <v>45881.42446759259</v>
      </c>
      <c r="C70" s="1" t="n">
        <v>46126</v>
      </c>
      <c r="D70" t="inlineStr">
        <is>
          <t>ÖREBRO LÄN</t>
        </is>
      </c>
      <c r="E70" t="inlineStr">
        <is>
          <t>LINDESBERG</t>
        </is>
      </c>
      <c r="G70" t="n">
        <v>3.1</v>
      </c>
      <c r="H70" t="n">
        <v>0</v>
      </c>
      <c r="I70" t="n">
        <v>0</v>
      </c>
      <c r="J70" t="n">
        <v>1</v>
      </c>
      <c r="K70" t="n">
        <v>0</v>
      </c>
      <c r="L70" t="n">
        <v>0</v>
      </c>
      <c r="M70" t="n">
        <v>0</v>
      </c>
      <c r="N70" t="n">
        <v>0</v>
      </c>
      <c r="O70" t="n">
        <v>1</v>
      </c>
      <c r="P70" t="n">
        <v>0</v>
      </c>
      <c r="Q70" t="n">
        <v>1</v>
      </c>
      <c r="R70" s="2" t="inlineStr">
        <is>
          <t>Svart taggsvamp agg.</t>
        </is>
      </c>
      <c r="S70">
        <f>HYPERLINK("https://klasma.github.io/Logging_1885/artfynd/A 37834-2025 artfynd.xlsx", "A 37834-2025")</f>
        <v/>
      </c>
      <c r="T70">
        <f>HYPERLINK("https://klasma.github.io/Logging_1885/kartor/A 37834-2025 karta.png", "A 37834-2025")</f>
        <v/>
      </c>
      <c r="V70">
        <f>HYPERLINK("https://klasma.github.io/Logging_1885/klagomål/A 37834-2025 FSC-klagomål.docx", "A 37834-2025")</f>
        <v/>
      </c>
      <c r="W70">
        <f>HYPERLINK("https://klasma.github.io/Logging_1885/klagomålsmail/A 37834-2025 FSC-klagomål mail.docx", "A 37834-2025")</f>
        <v/>
      </c>
      <c r="X70">
        <f>HYPERLINK("https://klasma.github.io/Logging_1885/tillsyn/A 37834-2025 tillsynsbegäran.docx", "A 37834-2025")</f>
        <v/>
      </c>
      <c r="Y70">
        <f>HYPERLINK("https://klasma.github.io/Logging_1885/tillsynsmail/A 37834-2025 tillsynsbegäran mail.docx", "A 37834-2025")</f>
        <v/>
      </c>
    </row>
    <row r="71" ht="15" customHeight="1">
      <c r="A71" t="inlineStr">
        <is>
          <t>A 28787-2023</t>
        </is>
      </c>
      <c r="B71" s="1" t="n">
        <v>45104.3483912037</v>
      </c>
      <c r="C71" s="1" t="n">
        <v>46126</v>
      </c>
      <c r="D71" t="inlineStr">
        <is>
          <t>ÖREBRO LÄN</t>
        </is>
      </c>
      <c r="E71" t="inlineStr">
        <is>
          <t>LINDESBERG</t>
        </is>
      </c>
      <c r="F71" t="inlineStr">
        <is>
          <t>Sveaskog</t>
        </is>
      </c>
      <c r="G71" t="n">
        <v>0.5</v>
      </c>
      <c r="H71" t="n">
        <v>1</v>
      </c>
      <c r="I71" t="n">
        <v>0</v>
      </c>
      <c r="J71" t="n">
        <v>0</v>
      </c>
      <c r="K71" t="n">
        <v>0</v>
      </c>
      <c r="L71" t="n">
        <v>0</v>
      </c>
      <c r="M71" t="n">
        <v>0</v>
      </c>
      <c r="N71" t="n">
        <v>0</v>
      </c>
      <c r="O71" t="n">
        <v>0</v>
      </c>
      <c r="P71" t="n">
        <v>0</v>
      </c>
      <c r="Q71" t="n">
        <v>1</v>
      </c>
      <c r="R71" s="2" t="inlineStr">
        <is>
          <t>Fläcknycklar</t>
        </is>
      </c>
      <c r="S71">
        <f>HYPERLINK("https://klasma.github.io/Logging_1885/artfynd/A 28787-2023 artfynd.xlsx", "A 28787-2023")</f>
        <v/>
      </c>
      <c r="T71">
        <f>HYPERLINK("https://klasma.github.io/Logging_1885/kartor/A 28787-2023 karta.png", "A 28787-2023")</f>
        <v/>
      </c>
      <c r="V71">
        <f>HYPERLINK("https://klasma.github.io/Logging_1885/klagomål/A 28787-2023 FSC-klagomål.docx", "A 28787-2023")</f>
        <v/>
      </c>
      <c r="W71">
        <f>HYPERLINK("https://klasma.github.io/Logging_1885/klagomålsmail/A 28787-2023 FSC-klagomål mail.docx", "A 28787-2023")</f>
        <v/>
      </c>
      <c r="X71">
        <f>HYPERLINK("https://klasma.github.io/Logging_1885/tillsyn/A 28787-2023 tillsynsbegäran.docx", "A 28787-2023")</f>
        <v/>
      </c>
      <c r="Y71">
        <f>HYPERLINK("https://klasma.github.io/Logging_1885/tillsynsmail/A 28787-2023 tillsynsbegäran mail.docx", "A 28787-2023")</f>
        <v/>
      </c>
    </row>
    <row r="72" ht="15" customHeight="1">
      <c r="A72" t="inlineStr">
        <is>
          <t>A 27900-2024</t>
        </is>
      </c>
      <c r="B72" s="1" t="n">
        <v>45475.92849537037</v>
      </c>
      <c r="C72" s="1" t="n">
        <v>46126</v>
      </c>
      <c r="D72" t="inlineStr">
        <is>
          <t>ÖREBRO LÄN</t>
        </is>
      </c>
      <c r="E72" t="inlineStr">
        <is>
          <t>LINDESBERG</t>
        </is>
      </c>
      <c r="F72" t="inlineStr">
        <is>
          <t>Sveaskog</t>
        </is>
      </c>
      <c r="G72" t="n">
        <v>4.1</v>
      </c>
      <c r="H72" t="n">
        <v>1</v>
      </c>
      <c r="I72" t="n">
        <v>0</v>
      </c>
      <c r="J72" t="n">
        <v>0</v>
      </c>
      <c r="K72" t="n">
        <v>0</v>
      </c>
      <c r="L72" t="n">
        <v>0</v>
      </c>
      <c r="M72" t="n">
        <v>0</v>
      </c>
      <c r="N72" t="n">
        <v>0</v>
      </c>
      <c r="O72" t="n">
        <v>0</v>
      </c>
      <c r="P72" t="n">
        <v>0</v>
      </c>
      <c r="Q72" t="n">
        <v>1</v>
      </c>
      <c r="R72" s="2" t="inlineStr">
        <is>
          <t>Fläcknycklar</t>
        </is>
      </c>
      <c r="S72">
        <f>HYPERLINK("https://klasma.github.io/Logging_1885/artfynd/A 27900-2024 artfynd.xlsx", "A 27900-2024")</f>
        <v/>
      </c>
      <c r="T72">
        <f>HYPERLINK("https://klasma.github.io/Logging_1885/kartor/A 27900-2024 karta.png", "A 27900-2024")</f>
        <v/>
      </c>
      <c r="V72">
        <f>HYPERLINK("https://klasma.github.io/Logging_1885/klagomål/A 27900-2024 FSC-klagomål.docx", "A 27900-2024")</f>
        <v/>
      </c>
      <c r="W72">
        <f>HYPERLINK("https://klasma.github.io/Logging_1885/klagomålsmail/A 27900-2024 FSC-klagomål mail.docx", "A 27900-2024")</f>
        <v/>
      </c>
      <c r="X72">
        <f>HYPERLINK("https://klasma.github.io/Logging_1885/tillsyn/A 27900-2024 tillsynsbegäran.docx", "A 27900-2024")</f>
        <v/>
      </c>
      <c r="Y72">
        <f>HYPERLINK("https://klasma.github.io/Logging_1885/tillsynsmail/A 27900-2024 tillsynsbegäran mail.docx", "A 27900-2024")</f>
        <v/>
      </c>
    </row>
    <row r="73" ht="15" customHeight="1">
      <c r="A73" t="inlineStr">
        <is>
          <t>A 2829-2026</t>
        </is>
      </c>
      <c r="B73" s="1" t="n">
        <v>46038.45296296296</v>
      </c>
      <c r="C73" s="1" t="n">
        <v>46126</v>
      </c>
      <c r="D73" t="inlineStr">
        <is>
          <t>ÖREBRO LÄN</t>
        </is>
      </c>
      <c r="E73" t="inlineStr">
        <is>
          <t>LINDESBERG</t>
        </is>
      </c>
      <c r="G73" t="n">
        <v>6.3</v>
      </c>
      <c r="H73" t="n">
        <v>0</v>
      </c>
      <c r="I73" t="n">
        <v>1</v>
      </c>
      <c r="J73" t="n">
        <v>0</v>
      </c>
      <c r="K73" t="n">
        <v>0</v>
      </c>
      <c r="L73" t="n">
        <v>0</v>
      </c>
      <c r="M73" t="n">
        <v>0</v>
      </c>
      <c r="N73" t="n">
        <v>0</v>
      </c>
      <c r="O73" t="n">
        <v>0</v>
      </c>
      <c r="P73" t="n">
        <v>0</v>
      </c>
      <c r="Q73" t="n">
        <v>1</v>
      </c>
      <c r="R73" s="2" t="inlineStr">
        <is>
          <t>Vedticka</t>
        </is>
      </c>
      <c r="S73">
        <f>HYPERLINK("https://klasma.github.io/Logging_1885/artfynd/A 2829-2026 artfynd.xlsx", "A 2829-2026")</f>
        <v/>
      </c>
      <c r="T73">
        <f>HYPERLINK("https://klasma.github.io/Logging_1885/kartor/A 2829-2026 karta.png", "A 2829-2026")</f>
        <v/>
      </c>
      <c r="U73">
        <f>HYPERLINK("https://klasma.github.io/Logging_1885/knärot/A 2829-2026 karta knärot.png", "A 2829-2026")</f>
        <v/>
      </c>
      <c r="V73">
        <f>HYPERLINK("https://klasma.github.io/Logging_1885/klagomål/A 2829-2026 FSC-klagomål.docx", "A 2829-2026")</f>
        <v/>
      </c>
      <c r="W73">
        <f>HYPERLINK("https://klasma.github.io/Logging_1885/klagomålsmail/A 2829-2026 FSC-klagomål mail.docx", "A 2829-2026")</f>
        <v/>
      </c>
      <c r="X73">
        <f>HYPERLINK("https://klasma.github.io/Logging_1885/tillsyn/A 2829-2026 tillsynsbegäran.docx", "A 2829-2026")</f>
        <v/>
      </c>
      <c r="Y73">
        <f>HYPERLINK("https://klasma.github.io/Logging_1885/tillsynsmail/A 2829-2026 tillsynsbegäran mail.docx", "A 2829-2026")</f>
        <v/>
      </c>
    </row>
    <row r="74" ht="15" customHeight="1">
      <c r="A74" t="inlineStr">
        <is>
          <t>A 53598-2024</t>
        </is>
      </c>
      <c r="B74" s="1" t="n">
        <v>45614.68287037037</v>
      </c>
      <c r="C74" s="1" t="n">
        <v>46126</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70466-2021</t>
        </is>
      </c>
      <c r="B75" s="1" t="n">
        <v>44536</v>
      </c>
      <c r="C75" s="1" t="n">
        <v>46126</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53600-2024</t>
        </is>
      </c>
      <c r="B76" s="1" t="n">
        <v>45614.68596064814</v>
      </c>
      <c r="C76" s="1" t="n">
        <v>46126</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8172-2026</t>
        </is>
      </c>
      <c r="B77" s="1" t="n">
        <v>46064</v>
      </c>
      <c r="C77" s="1" t="n">
        <v>46126</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46126</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8175-2026</t>
        </is>
      </c>
      <c r="B79" s="1" t="n">
        <v>46064</v>
      </c>
      <c r="C79" s="1" t="n">
        <v>46126</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18180-2026</t>
        </is>
      </c>
      <c r="B80" s="1" t="n">
        <v>46125.67597222222</v>
      </c>
      <c r="C80" s="1" t="n">
        <v>46126</v>
      </c>
      <c r="D80" t="inlineStr">
        <is>
          <t>ÖREBRO LÄN</t>
        </is>
      </c>
      <c r="E80" t="inlineStr">
        <is>
          <t>LINDESBERG</t>
        </is>
      </c>
      <c r="F80" t="inlineStr">
        <is>
          <t>Sveaskog</t>
        </is>
      </c>
      <c r="G80" t="n">
        <v>2.1</v>
      </c>
      <c r="H80" t="n">
        <v>0</v>
      </c>
      <c r="I80" t="n">
        <v>1</v>
      </c>
      <c r="J80" t="n">
        <v>0</v>
      </c>
      <c r="K80" t="n">
        <v>0</v>
      </c>
      <c r="L80" t="n">
        <v>0</v>
      </c>
      <c r="M80" t="n">
        <v>0</v>
      </c>
      <c r="N80" t="n">
        <v>0</v>
      </c>
      <c r="O80" t="n">
        <v>0</v>
      </c>
      <c r="P80" t="n">
        <v>0</v>
      </c>
      <c r="Q80" t="n">
        <v>1</v>
      </c>
      <c r="R80" s="2" t="inlineStr">
        <is>
          <t>Dropptaggsvamp</t>
        </is>
      </c>
      <c r="S80">
        <f>HYPERLINK("https://klasma.github.io/Logging_1885/artfynd/A 18180-2026 artfynd.xlsx", "A 18180-2026")</f>
        <v/>
      </c>
      <c r="T80">
        <f>HYPERLINK("https://klasma.github.io/Logging_1885/kartor/A 18180-2026 karta.png", "A 18180-2026")</f>
        <v/>
      </c>
      <c r="V80">
        <f>HYPERLINK("https://klasma.github.io/Logging_1885/klagomål/A 18180-2026 FSC-klagomål.docx", "A 18180-2026")</f>
        <v/>
      </c>
      <c r="W80">
        <f>HYPERLINK("https://klasma.github.io/Logging_1885/klagomålsmail/A 18180-2026 FSC-klagomål mail.docx", "A 18180-2026")</f>
        <v/>
      </c>
      <c r="X80">
        <f>HYPERLINK("https://klasma.github.io/Logging_1885/tillsyn/A 18180-2026 tillsynsbegäran.docx", "A 18180-2026")</f>
        <v/>
      </c>
      <c r="Y80">
        <f>HYPERLINK("https://klasma.github.io/Logging_1885/tillsynsmail/A 18180-2026 tillsynsbegäran mail.docx", "A 18180-2026")</f>
        <v/>
      </c>
    </row>
    <row r="81" ht="15" customHeight="1">
      <c r="A81" t="inlineStr">
        <is>
          <t>A 18178-2026</t>
        </is>
      </c>
      <c r="B81" s="1" t="n">
        <v>46125.67452546296</v>
      </c>
      <c r="C81" s="1" t="n">
        <v>46126</v>
      </c>
      <c r="D81" t="inlineStr">
        <is>
          <t>ÖREBRO LÄN</t>
        </is>
      </c>
      <c r="E81" t="inlineStr">
        <is>
          <t>LINDESBERG</t>
        </is>
      </c>
      <c r="F81" t="inlineStr">
        <is>
          <t>Sveaskog</t>
        </is>
      </c>
      <c r="G81" t="n">
        <v>4.4</v>
      </c>
      <c r="H81" t="n">
        <v>0</v>
      </c>
      <c r="I81" t="n">
        <v>0</v>
      </c>
      <c r="J81" t="n">
        <v>1</v>
      </c>
      <c r="K81" t="n">
        <v>0</v>
      </c>
      <c r="L81" t="n">
        <v>0</v>
      </c>
      <c r="M81" t="n">
        <v>0</v>
      </c>
      <c r="N81" t="n">
        <v>0</v>
      </c>
      <c r="O81" t="n">
        <v>1</v>
      </c>
      <c r="P81" t="n">
        <v>0</v>
      </c>
      <c r="Q81" t="n">
        <v>1</v>
      </c>
      <c r="R81" s="2" t="inlineStr">
        <is>
          <t>Svartvit taggsvamp</t>
        </is>
      </c>
      <c r="S81">
        <f>HYPERLINK("https://klasma.github.io/Logging_1885/artfynd/A 18178-2026 artfynd.xlsx", "A 18178-2026")</f>
        <v/>
      </c>
      <c r="T81">
        <f>HYPERLINK("https://klasma.github.io/Logging_1885/kartor/A 18178-2026 karta.png", "A 18178-2026")</f>
        <v/>
      </c>
      <c r="V81">
        <f>HYPERLINK("https://klasma.github.io/Logging_1885/klagomål/A 18178-2026 FSC-klagomål.docx", "A 18178-2026")</f>
        <v/>
      </c>
      <c r="W81">
        <f>HYPERLINK("https://klasma.github.io/Logging_1885/klagomålsmail/A 18178-2026 FSC-klagomål mail.docx", "A 18178-2026")</f>
        <v/>
      </c>
      <c r="X81">
        <f>HYPERLINK("https://klasma.github.io/Logging_1885/tillsyn/A 18178-2026 tillsynsbegäran.docx", "A 18178-2026")</f>
        <v/>
      </c>
      <c r="Y81">
        <f>HYPERLINK("https://klasma.github.io/Logging_1885/tillsynsmail/A 18178-2026 tillsynsbegäran mail.docx", "A 18178-2026")</f>
        <v/>
      </c>
    </row>
    <row r="82" ht="15" customHeight="1">
      <c r="A82" t="inlineStr">
        <is>
          <t>A 45051-2024</t>
        </is>
      </c>
      <c r="B82" s="1" t="n">
        <v>45575.54934027778</v>
      </c>
      <c r="C82" s="1" t="n">
        <v>46126</v>
      </c>
      <c r="D82" t="inlineStr">
        <is>
          <t>ÖREBRO LÄN</t>
        </is>
      </c>
      <c r="E82" t="inlineStr">
        <is>
          <t>LINDESBERG</t>
        </is>
      </c>
      <c r="F82" t="inlineStr">
        <is>
          <t>Sveaskog</t>
        </is>
      </c>
      <c r="G82" t="n">
        <v>2.2</v>
      </c>
      <c r="H82" t="n">
        <v>1</v>
      </c>
      <c r="I82" t="n">
        <v>0</v>
      </c>
      <c r="J82" t="n">
        <v>1</v>
      </c>
      <c r="K82" t="n">
        <v>0</v>
      </c>
      <c r="L82" t="n">
        <v>0</v>
      </c>
      <c r="M82" t="n">
        <v>0</v>
      </c>
      <c r="N82" t="n">
        <v>0</v>
      </c>
      <c r="O82" t="n">
        <v>1</v>
      </c>
      <c r="P82" t="n">
        <v>0</v>
      </c>
      <c r="Q82" t="n">
        <v>1</v>
      </c>
      <c r="R82" s="2" t="inlineStr">
        <is>
          <t>Spillkråka</t>
        </is>
      </c>
      <c r="S82">
        <f>HYPERLINK("https://klasma.github.io/Logging_1885/artfynd/A 45051-2024 artfynd.xlsx", "A 45051-2024")</f>
        <v/>
      </c>
      <c r="T82">
        <f>HYPERLINK("https://klasma.github.io/Logging_1885/kartor/A 45051-2024 karta.png", "A 45051-2024")</f>
        <v/>
      </c>
      <c r="V82">
        <f>HYPERLINK("https://klasma.github.io/Logging_1885/klagomål/A 45051-2024 FSC-klagomål.docx", "A 45051-2024")</f>
        <v/>
      </c>
      <c r="W82">
        <f>HYPERLINK("https://klasma.github.io/Logging_1885/klagomålsmail/A 45051-2024 FSC-klagomål mail.docx", "A 45051-2024")</f>
        <v/>
      </c>
      <c r="X82">
        <f>HYPERLINK("https://klasma.github.io/Logging_1885/tillsyn/A 45051-2024 tillsynsbegäran.docx", "A 45051-2024")</f>
        <v/>
      </c>
      <c r="Y82">
        <f>HYPERLINK("https://klasma.github.io/Logging_1885/tillsynsmail/A 45051-2024 tillsynsbegäran mail.docx", "A 45051-2024")</f>
        <v/>
      </c>
      <c r="Z82">
        <f>HYPERLINK("https://klasma.github.io/Logging_1885/fåglar/A 45051-2024 prioriterade fågelarter.docx", "A 45051-2024")</f>
        <v/>
      </c>
    </row>
    <row r="83" ht="15" customHeight="1">
      <c r="A83" t="inlineStr">
        <is>
          <t>A 64513-2023</t>
        </is>
      </c>
      <c r="B83" s="1" t="n">
        <v>45281</v>
      </c>
      <c r="C83" s="1" t="n">
        <v>46126</v>
      </c>
      <c r="D83" t="inlineStr">
        <is>
          <t>ÖREBRO LÄN</t>
        </is>
      </c>
      <c r="E83" t="inlineStr">
        <is>
          <t>LINDESBERG</t>
        </is>
      </c>
      <c r="G83" t="n">
        <v>4.7</v>
      </c>
      <c r="H83" t="n">
        <v>0</v>
      </c>
      <c r="I83" t="n">
        <v>1</v>
      </c>
      <c r="J83" t="n">
        <v>0</v>
      </c>
      <c r="K83" t="n">
        <v>0</v>
      </c>
      <c r="L83" t="n">
        <v>0</v>
      </c>
      <c r="M83" t="n">
        <v>0</v>
      </c>
      <c r="N83" t="n">
        <v>0</v>
      </c>
      <c r="O83" t="n">
        <v>0</v>
      </c>
      <c r="P83" t="n">
        <v>0</v>
      </c>
      <c r="Q83" t="n">
        <v>1</v>
      </c>
      <c r="R83" s="2" t="inlineStr">
        <is>
          <t>Västlig hakmossa</t>
        </is>
      </c>
      <c r="S83">
        <f>HYPERLINK("https://klasma.github.io/Logging_1885/artfynd/A 64513-2023 artfynd.xlsx", "A 64513-2023")</f>
        <v/>
      </c>
      <c r="T83">
        <f>HYPERLINK("https://klasma.github.io/Logging_1885/kartor/A 64513-2023 karta.png", "A 64513-2023")</f>
        <v/>
      </c>
      <c r="V83">
        <f>HYPERLINK("https://klasma.github.io/Logging_1885/klagomål/A 64513-2023 FSC-klagomål.docx", "A 64513-2023")</f>
        <v/>
      </c>
      <c r="W83">
        <f>HYPERLINK("https://klasma.github.io/Logging_1885/klagomålsmail/A 64513-2023 FSC-klagomål mail.docx", "A 64513-2023")</f>
        <v/>
      </c>
      <c r="X83">
        <f>HYPERLINK("https://klasma.github.io/Logging_1885/tillsyn/A 64513-2023 tillsynsbegäran.docx", "A 64513-2023")</f>
        <v/>
      </c>
      <c r="Y83">
        <f>HYPERLINK("https://klasma.github.io/Logging_1885/tillsynsmail/A 64513-2023 tillsynsbegäran mail.docx", "A 64513-2023")</f>
        <v/>
      </c>
    </row>
    <row r="84" ht="15" customHeight="1">
      <c r="A84" t="inlineStr">
        <is>
          <t>A 28569-2024</t>
        </is>
      </c>
      <c r="B84" s="1" t="n">
        <v>45478.39592592593</v>
      </c>
      <c r="C84" s="1" t="n">
        <v>46126</v>
      </c>
      <c r="D84" t="inlineStr">
        <is>
          <t>ÖREBRO LÄN</t>
        </is>
      </c>
      <c r="E84" t="inlineStr">
        <is>
          <t>LINDESBERG</t>
        </is>
      </c>
      <c r="F84" t="inlineStr">
        <is>
          <t>Sveaskog</t>
        </is>
      </c>
      <c r="G84" t="n">
        <v>2.6</v>
      </c>
      <c r="H84" t="n">
        <v>0</v>
      </c>
      <c r="I84" t="n">
        <v>0</v>
      </c>
      <c r="J84" t="n">
        <v>1</v>
      </c>
      <c r="K84" t="n">
        <v>0</v>
      </c>
      <c r="L84" t="n">
        <v>0</v>
      </c>
      <c r="M84" t="n">
        <v>0</v>
      </c>
      <c r="N84" t="n">
        <v>0</v>
      </c>
      <c r="O84" t="n">
        <v>1</v>
      </c>
      <c r="P84" t="n">
        <v>0</v>
      </c>
      <c r="Q84" t="n">
        <v>1</v>
      </c>
      <c r="R84" s="2" t="inlineStr">
        <is>
          <t>Granticka</t>
        </is>
      </c>
      <c r="S84">
        <f>HYPERLINK("https://klasma.github.io/Logging_1885/artfynd/A 28569-2024 artfynd.xlsx", "A 28569-2024")</f>
        <v/>
      </c>
      <c r="T84">
        <f>HYPERLINK("https://klasma.github.io/Logging_1885/kartor/A 28569-2024 karta.png", "A 28569-2024")</f>
        <v/>
      </c>
      <c r="V84">
        <f>HYPERLINK("https://klasma.github.io/Logging_1885/klagomål/A 28569-2024 FSC-klagomål.docx", "A 28569-2024")</f>
        <v/>
      </c>
      <c r="W84">
        <f>HYPERLINK("https://klasma.github.io/Logging_1885/klagomålsmail/A 28569-2024 FSC-klagomål mail.docx", "A 28569-2024")</f>
        <v/>
      </c>
      <c r="X84">
        <f>HYPERLINK("https://klasma.github.io/Logging_1885/tillsyn/A 28569-2024 tillsynsbegäran.docx", "A 28569-2024")</f>
        <v/>
      </c>
      <c r="Y84">
        <f>HYPERLINK("https://klasma.github.io/Logging_1885/tillsynsmail/A 28569-2024 tillsynsbegäran mail.docx", "A 28569-2024")</f>
        <v/>
      </c>
    </row>
    <row r="85" ht="15" customHeight="1">
      <c r="A85" t="inlineStr">
        <is>
          <t>A 61129-2024</t>
        </is>
      </c>
      <c r="B85" s="1" t="n">
        <v>45645</v>
      </c>
      <c r="C85" s="1" t="n">
        <v>46126</v>
      </c>
      <c r="D85" t="inlineStr">
        <is>
          <t>ÖREBRO LÄN</t>
        </is>
      </c>
      <c r="E85" t="inlineStr">
        <is>
          <t>LINDESBERG</t>
        </is>
      </c>
      <c r="F85" t="inlineStr">
        <is>
          <t>Sveaskog</t>
        </is>
      </c>
      <c r="G85" t="n">
        <v>6.6</v>
      </c>
      <c r="H85" t="n">
        <v>1</v>
      </c>
      <c r="I85" t="n">
        <v>0</v>
      </c>
      <c r="J85" t="n">
        <v>1</v>
      </c>
      <c r="K85" t="n">
        <v>0</v>
      </c>
      <c r="L85" t="n">
        <v>0</v>
      </c>
      <c r="M85" t="n">
        <v>0</v>
      </c>
      <c r="N85" t="n">
        <v>0</v>
      </c>
      <c r="O85" t="n">
        <v>1</v>
      </c>
      <c r="P85" t="n">
        <v>0</v>
      </c>
      <c r="Q85" t="n">
        <v>1</v>
      </c>
      <c r="R85" s="2" t="inlineStr">
        <is>
          <t>Tretåig hackspett</t>
        </is>
      </c>
      <c r="S85">
        <f>HYPERLINK("https://klasma.github.io/Logging_1885/artfynd/A 61129-2024 artfynd.xlsx", "A 61129-2024")</f>
        <v/>
      </c>
      <c r="T85">
        <f>HYPERLINK("https://klasma.github.io/Logging_1885/kartor/A 61129-2024 karta.png", "A 61129-2024")</f>
        <v/>
      </c>
      <c r="V85">
        <f>HYPERLINK("https://klasma.github.io/Logging_1885/klagomål/A 61129-2024 FSC-klagomål.docx", "A 61129-2024")</f>
        <v/>
      </c>
      <c r="W85">
        <f>HYPERLINK("https://klasma.github.io/Logging_1885/klagomålsmail/A 61129-2024 FSC-klagomål mail.docx", "A 61129-2024")</f>
        <v/>
      </c>
      <c r="X85">
        <f>HYPERLINK("https://klasma.github.io/Logging_1885/tillsyn/A 61129-2024 tillsynsbegäran.docx", "A 61129-2024")</f>
        <v/>
      </c>
      <c r="Y85">
        <f>HYPERLINK("https://klasma.github.io/Logging_1885/tillsynsmail/A 61129-2024 tillsynsbegäran mail.docx", "A 61129-2024")</f>
        <v/>
      </c>
      <c r="Z85">
        <f>HYPERLINK("https://klasma.github.io/Logging_1885/fåglar/A 61129-2024 prioriterade fågelarter.docx", "A 61129-2024")</f>
        <v/>
      </c>
    </row>
    <row r="86" ht="15" customHeight="1">
      <c r="A86" t="inlineStr">
        <is>
          <t>A 54857-2024</t>
        </is>
      </c>
      <c r="B86" s="1" t="n">
        <v>45618.58876157407</v>
      </c>
      <c r="C86" s="1" t="n">
        <v>46126</v>
      </c>
      <c r="D86" t="inlineStr">
        <is>
          <t>ÖREBRO LÄN</t>
        </is>
      </c>
      <c r="E86" t="inlineStr">
        <is>
          <t>LINDESBERG</t>
        </is>
      </c>
      <c r="F86" t="inlineStr">
        <is>
          <t>Sveaskog</t>
        </is>
      </c>
      <c r="G86" t="n">
        <v>6.1</v>
      </c>
      <c r="H86" t="n">
        <v>0</v>
      </c>
      <c r="I86" t="n">
        <v>0</v>
      </c>
      <c r="J86" t="n">
        <v>1</v>
      </c>
      <c r="K86" t="n">
        <v>0</v>
      </c>
      <c r="L86" t="n">
        <v>0</v>
      </c>
      <c r="M86" t="n">
        <v>0</v>
      </c>
      <c r="N86" t="n">
        <v>0</v>
      </c>
      <c r="O86" t="n">
        <v>1</v>
      </c>
      <c r="P86" t="n">
        <v>0</v>
      </c>
      <c r="Q86" t="n">
        <v>1</v>
      </c>
      <c r="R86" s="2" t="inlineStr">
        <is>
          <t>Sexfläckig bastardsvärmare</t>
        </is>
      </c>
      <c r="S86">
        <f>HYPERLINK("https://klasma.github.io/Logging_1885/artfynd/A 54857-2024 artfynd.xlsx", "A 54857-2024")</f>
        <v/>
      </c>
      <c r="T86">
        <f>HYPERLINK("https://klasma.github.io/Logging_1885/kartor/A 54857-2024 karta.png", "A 54857-2024")</f>
        <v/>
      </c>
      <c r="V86">
        <f>HYPERLINK("https://klasma.github.io/Logging_1885/klagomål/A 54857-2024 FSC-klagomål.docx", "A 54857-2024")</f>
        <v/>
      </c>
      <c r="W86">
        <f>HYPERLINK("https://klasma.github.io/Logging_1885/klagomålsmail/A 54857-2024 FSC-klagomål mail.docx", "A 54857-2024")</f>
        <v/>
      </c>
      <c r="X86">
        <f>HYPERLINK("https://klasma.github.io/Logging_1885/tillsyn/A 54857-2024 tillsynsbegäran.docx", "A 54857-2024")</f>
        <v/>
      </c>
      <c r="Y86">
        <f>HYPERLINK("https://klasma.github.io/Logging_1885/tillsynsmail/A 54857-2024 tillsynsbegäran mail.docx", "A 54857-2024")</f>
        <v/>
      </c>
    </row>
    <row r="87" ht="15" customHeight="1">
      <c r="A87" t="inlineStr">
        <is>
          <t>A 67013-2021</t>
        </is>
      </c>
      <c r="B87" s="1" t="n">
        <v>44522</v>
      </c>
      <c r="C87" s="1" t="n">
        <v>46126</v>
      </c>
      <c r="D87" t="inlineStr">
        <is>
          <t>ÖREBRO LÄN</t>
        </is>
      </c>
      <c r="E87" t="inlineStr">
        <is>
          <t>LINDESBERG</t>
        </is>
      </c>
      <c r="G87" t="n">
        <v>0.5</v>
      </c>
      <c r="H87" t="n">
        <v>0</v>
      </c>
      <c r="I87" t="n">
        <v>0</v>
      </c>
      <c r="J87" t="n">
        <v>1</v>
      </c>
      <c r="K87" t="n">
        <v>0</v>
      </c>
      <c r="L87" t="n">
        <v>0</v>
      </c>
      <c r="M87" t="n">
        <v>0</v>
      </c>
      <c r="N87" t="n">
        <v>0</v>
      </c>
      <c r="O87" t="n">
        <v>1</v>
      </c>
      <c r="P87" t="n">
        <v>0</v>
      </c>
      <c r="Q87" t="n">
        <v>1</v>
      </c>
      <c r="R87" s="2" t="inlineStr">
        <is>
          <t>Skogsklocka</t>
        </is>
      </c>
      <c r="S87">
        <f>HYPERLINK("https://klasma.github.io/Logging_1885/artfynd/A 67013-2021 artfynd.xlsx", "A 67013-2021")</f>
        <v/>
      </c>
      <c r="T87">
        <f>HYPERLINK("https://klasma.github.io/Logging_1885/kartor/A 67013-2021 karta.png", "A 67013-2021")</f>
        <v/>
      </c>
      <c r="V87">
        <f>HYPERLINK("https://klasma.github.io/Logging_1885/klagomål/A 67013-2021 FSC-klagomål.docx", "A 67013-2021")</f>
        <v/>
      </c>
      <c r="W87">
        <f>HYPERLINK("https://klasma.github.io/Logging_1885/klagomålsmail/A 67013-2021 FSC-klagomål mail.docx", "A 67013-2021")</f>
        <v/>
      </c>
      <c r="X87">
        <f>HYPERLINK("https://klasma.github.io/Logging_1885/tillsyn/A 67013-2021 tillsynsbegäran.docx", "A 67013-2021")</f>
        <v/>
      </c>
      <c r="Y87">
        <f>HYPERLINK("https://klasma.github.io/Logging_1885/tillsynsmail/A 67013-2021 tillsynsbegäran mail.docx", "A 67013-2021")</f>
        <v/>
      </c>
    </row>
    <row r="88" ht="15" customHeight="1">
      <c r="A88" t="inlineStr">
        <is>
          <t>A 56049-2022</t>
        </is>
      </c>
      <c r="B88" s="1" t="n">
        <v>44889.5746875</v>
      </c>
      <c r="C88" s="1" t="n">
        <v>46126</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46126</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46126</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46126</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46126</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46126</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46126</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46126</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46126</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22605-2021</t>
        </is>
      </c>
      <c r="B97" s="1" t="n">
        <v>44327</v>
      </c>
      <c r="C97" s="1" t="n">
        <v>46126</v>
      </c>
      <c r="D97" t="inlineStr">
        <is>
          <t>ÖREBRO LÄN</t>
        </is>
      </c>
      <c r="E97" t="inlineStr">
        <is>
          <t>LINDESBERG</t>
        </is>
      </c>
      <c r="F97" t="inlineStr">
        <is>
          <t>Kommuner</t>
        </is>
      </c>
      <c r="G97" t="n">
        <v>2</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46126</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46126</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46126</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46126</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46126</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46126</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46126</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46126</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46126</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46126</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46126</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46126</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46126</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46126</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46126</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46126</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46126</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46126</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46126</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46126</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46126</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46126</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46126</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46126</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46126</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46126</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46126</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46126</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46126</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46126</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46126</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46126</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46126</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46126</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46126</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46126</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46126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46126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46126</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46126</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46126</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46126</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46126</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46126</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46126</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46126</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46126</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46126</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46126</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46126</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46126</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46126</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46126</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46126</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46126</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46126</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46126</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46126</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46126</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46126</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46126</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46126</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46126</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46126</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46126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46126</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46126</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46126</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46126</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46126</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46126</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46126</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46126</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46126</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46126</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46126</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46126</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46126</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46126</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46126</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46126</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48939-2021</t>
        </is>
      </c>
      <c r="B179" s="1" t="n">
        <v>44453</v>
      </c>
      <c r="C179" s="1" t="n">
        <v>46126</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70500-2021</t>
        </is>
      </c>
      <c r="B180" s="1" t="n">
        <v>44536</v>
      </c>
      <c r="C180" s="1" t="n">
        <v>46126</v>
      </c>
      <c r="D180" t="inlineStr">
        <is>
          <t>ÖREBRO LÄN</t>
        </is>
      </c>
      <c r="E180" t="inlineStr">
        <is>
          <t>LINDESBERG</t>
        </is>
      </c>
      <c r="G180" t="n">
        <v>1.8</v>
      </c>
      <c r="H180" t="n">
        <v>0</v>
      </c>
      <c r="I180" t="n">
        <v>0</v>
      </c>
      <c r="J180" t="n">
        <v>0</v>
      </c>
      <c r="K180" t="n">
        <v>0</v>
      </c>
      <c r="L180" t="n">
        <v>0</v>
      </c>
      <c r="M180" t="n">
        <v>0</v>
      </c>
      <c r="N180" t="n">
        <v>0</v>
      </c>
      <c r="O180" t="n">
        <v>0</v>
      </c>
      <c r="P180" t="n">
        <v>0</v>
      </c>
      <c r="Q180" t="n">
        <v>0</v>
      </c>
      <c r="R180" s="2" t="inlineStr"/>
    </row>
    <row r="181" ht="15" customHeight="1">
      <c r="A181" t="inlineStr">
        <is>
          <t>A 40692-2021</t>
        </is>
      </c>
      <c r="B181" s="1" t="n">
        <v>44420.60616898148</v>
      </c>
      <c r="C181" s="1" t="n">
        <v>46126</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49055-2022</t>
        </is>
      </c>
      <c r="B182" s="1" t="n">
        <v>44860</v>
      </c>
      <c r="C182" s="1" t="n">
        <v>46126</v>
      </c>
      <c r="D182" t="inlineStr">
        <is>
          <t>ÖREBRO LÄN</t>
        </is>
      </c>
      <c r="E182" t="inlineStr">
        <is>
          <t>LINDESBERG</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56907-2024</t>
        </is>
      </c>
      <c r="B183" s="1" t="n">
        <v>45628.58975694444</v>
      </c>
      <c r="C183" s="1" t="n">
        <v>46126</v>
      </c>
      <c r="D183" t="inlineStr">
        <is>
          <t>ÖREBRO LÄN</t>
        </is>
      </c>
      <c r="E183" t="inlineStr">
        <is>
          <t>LINDESBERG</t>
        </is>
      </c>
      <c r="G183" t="n">
        <v>1.1</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46126</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7201-2024</t>
        </is>
      </c>
      <c r="B185" s="1" t="n">
        <v>45344.6027662037</v>
      </c>
      <c r="C185" s="1" t="n">
        <v>46126</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48363-2021</t>
        </is>
      </c>
      <c r="B186" s="1" t="n">
        <v>44451</v>
      </c>
      <c r="C186" s="1" t="n">
        <v>46126</v>
      </c>
      <c r="D186" t="inlineStr">
        <is>
          <t>ÖREBRO LÄN</t>
        </is>
      </c>
      <c r="E186" t="inlineStr">
        <is>
          <t>LINDESBERG</t>
        </is>
      </c>
      <c r="G186" t="n">
        <v>2.7</v>
      </c>
      <c r="H186" t="n">
        <v>0</v>
      </c>
      <c r="I186" t="n">
        <v>0</v>
      </c>
      <c r="J186" t="n">
        <v>0</v>
      </c>
      <c r="K186" t="n">
        <v>0</v>
      </c>
      <c r="L186" t="n">
        <v>0</v>
      </c>
      <c r="M186" t="n">
        <v>0</v>
      </c>
      <c r="N186" t="n">
        <v>0</v>
      </c>
      <c r="O186" t="n">
        <v>0</v>
      </c>
      <c r="P186" t="n">
        <v>0</v>
      </c>
      <c r="Q186" t="n">
        <v>0</v>
      </c>
      <c r="R186" s="2" t="inlineStr"/>
    </row>
    <row r="187" ht="15" customHeight="1">
      <c r="A187" t="inlineStr">
        <is>
          <t>A 52153-2022</t>
        </is>
      </c>
      <c r="B187" s="1" t="n">
        <v>44873.47148148148</v>
      </c>
      <c r="C187" s="1" t="n">
        <v>46126</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14190-2024</t>
        </is>
      </c>
      <c r="B188" s="1" t="n">
        <v>45393.36060185185</v>
      </c>
      <c r="C188" s="1" t="n">
        <v>46126</v>
      </c>
      <c r="D188" t="inlineStr">
        <is>
          <t>ÖREBRO LÄN</t>
        </is>
      </c>
      <c r="E188" t="inlineStr">
        <is>
          <t>LINDESBERG</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36220-2021</t>
        </is>
      </c>
      <c r="B189" s="1" t="n">
        <v>44389</v>
      </c>
      <c r="C189" s="1" t="n">
        <v>46126</v>
      </c>
      <c r="D189" t="inlineStr">
        <is>
          <t>ÖREBRO LÄN</t>
        </is>
      </c>
      <c r="E189" t="inlineStr">
        <is>
          <t>LINDESBERG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70475-2021</t>
        </is>
      </c>
      <c r="B190" s="1" t="n">
        <v>44536</v>
      </c>
      <c r="C190" s="1" t="n">
        <v>46126</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17087-2023</t>
        </is>
      </c>
      <c r="B191" s="1" t="n">
        <v>45034.5174537037</v>
      </c>
      <c r="C191" s="1" t="n">
        <v>46126</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33084-2021</t>
        </is>
      </c>
      <c r="B192" s="1" t="n">
        <v>44376</v>
      </c>
      <c r="C192" s="1" t="n">
        <v>46126</v>
      </c>
      <c r="D192" t="inlineStr">
        <is>
          <t>ÖREBRO LÄN</t>
        </is>
      </c>
      <c r="E192" t="inlineStr">
        <is>
          <t>LINDESBERG</t>
        </is>
      </c>
      <c r="G192" t="n">
        <v>3.1</v>
      </c>
      <c r="H192" t="n">
        <v>0</v>
      </c>
      <c r="I192" t="n">
        <v>0</v>
      </c>
      <c r="J192" t="n">
        <v>0</v>
      </c>
      <c r="K192" t="n">
        <v>0</v>
      </c>
      <c r="L192" t="n">
        <v>0</v>
      </c>
      <c r="M192" t="n">
        <v>0</v>
      </c>
      <c r="N192" t="n">
        <v>0</v>
      </c>
      <c r="O192" t="n">
        <v>0</v>
      </c>
      <c r="P192" t="n">
        <v>0</v>
      </c>
      <c r="Q192" t="n">
        <v>0</v>
      </c>
      <c r="R192" s="2" t="inlineStr"/>
    </row>
    <row r="193" ht="15" customHeight="1">
      <c r="A193" t="inlineStr">
        <is>
          <t>A 7598-2022</t>
        </is>
      </c>
      <c r="B193" s="1" t="n">
        <v>44607.64115740741</v>
      </c>
      <c r="C193" s="1" t="n">
        <v>46126</v>
      </c>
      <c r="D193" t="inlineStr">
        <is>
          <t>ÖREBRO LÄN</t>
        </is>
      </c>
      <c r="E193" t="inlineStr">
        <is>
          <t>LINDESBERG</t>
        </is>
      </c>
      <c r="G193" t="n">
        <v>3.1</v>
      </c>
      <c r="H193" t="n">
        <v>0</v>
      </c>
      <c r="I193" t="n">
        <v>0</v>
      </c>
      <c r="J193" t="n">
        <v>0</v>
      </c>
      <c r="K193" t="n">
        <v>0</v>
      </c>
      <c r="L193" t="n">
        <v>0</v>
      </c>
      <c r="M193" t="n">
        <v>0</v>
      </c>
      <c r="N193" t="n">
        <v>0</v>
      </c>
      <c r="O193" t="n">
        <v>0</v>
      </c>
      <c r="P193" t="n">
        <v>0</v>
      </c>
      <c r="Q193" t="n">
        <v>0</v>
      </c>
      <c r="R193" s="2" t="inlineStr"/>
    </row>
    <row r="194" ht="15" customHeight="1">
      <c r="A194" t="inlineStr">
        <is>
          <t>A 16130-2022</t>
        </is>
      </c>
      <c r="B194" s="1" t="n">
        <v>44665</v>
      </c>
      <c r="C194" s="1" t="n">
        <v>46126</v>
      </c>
      <c r="D194" t="inlineStr">
        <is>
          <t>ÖREBRO LÄN</t>
        </is>
      </c>
      <c r="E194" t="inlineStr">
        <is>
          <t>LINDESBERG</t>
        </is>
      </c>
      <c r="G194" t="n">
        <v>3.5</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46126</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31950-2022</t>
        </is>
      </c>
      <c r="B196" s="1" t="n">
        <v>44777</v>
      </c>
      <c r="C196" s="1" t="n">
        <v>46126</v>
      </c>
      <c r="D196" t="inlineStr">
        <is>
          <t>ÖREBRO LÄN</t>
        </is>
      </c>
      <c r="E196" t="inlineStr">
        <is>
          <t>LINDESBERG</t>
        </is>
      </c>
      <c r="G196" t="n">
        <v>1.2</v>
      </c>
      <c r="H196" t="n">
        <v>0</v>
      </c>
      <c r="I196" t="n">
        <v>0</v>
      </c>
      <c r="J196" t="n">
        <v>0</v>
      </c>
      <c r="K196" t="n">
        <v>0</v>
      </c>
      <c r="L196" t="n">
        <v>0</v>
      </c>
      <c r="M196" t="n">
        <v>0</v>
      </c>
      <c r="N196" t="n">
        <v>0</v>
      </c>
      <c r="O196" t="n">
        <v>0</v>
      </c>
      <c r="P196" t="n">
        <v>0</v>
      </c>
      <c r="Q196" t="n">
        <v>0</v>
      </c>
      <c r="R196" s="2" t="inlineStr"/>
    </row>
    <row r="197" ht="15" customHeight="1">
      <c r="A197" t="inlineStr">
        <is>
          <t>A 48365-2021</t>
        </is>
      </c>
      <c r="B197" s="1" t="n">
        <v>44451.78710648148</v>
      </c>
      <c r="C197" s="1" t="n">
        <v>46126</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35990-2021</t>
        </is>
      </c>
      <c r="B198" s="1" t="n">
        <v>44389</v>
      </c>
      <c r="C198" s="1" t="n">
        <v>46126</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71090-2021</t>
        </is>
      </c>
      <c r="B199" s="1" t="n">
        <v>44539.31923611111</v>
      </c>
      <c r="C199" s="1" t="n">
        <v>46126</v>
      </c>
      <c r="D199" t="inlineStr">
        <is>
          <t>ÖREBRO LÄN</t>
        </is>
      </c>
      <c r="E199" t="inlineStr">
        <is>
          <t>LINDESBERG</t>
        </is>
      </c>
      <c r="G199" t="n">
        <v>4.3</v>
      </c>
      <c r="H199" t="n">
        <v>0</v>
      </c>
      <c r="I199" t="n">
        <v>0</v>
      </c>
      <c r="J199" t="n">
        <v>0</v>
      </c>
      <c r="K199" t="n">
        <v>0</v>
      </c>
      <c r="L199" t="n">
        <v>0</v>
      </c>
      <c r="M199" t="n">
        <v>0</v>
      </c>
      <c r="N199" t="n">
        <v>0</v>
      </c>
      <c r="O199" t="n">
        <v>0</v>
      </c>
      <c r="P199" t="n">
        <v>0</v>
      </c>
      <c r="Q199" t="n">
        <v>0</v>
      </c>
      <c r="R199" s="2" t="inlineStr"/>
    </row>
    <row r="200" ht="15" customHeight="1">
      <c r="A200" t="inlineStr">
        <is>
          <t>A 71092-2021</t>
        </is>
      </c>
      <c r="B200" s="1" t="n">
        <v>44539</v>
      </c>
      <c r="C200" s="1" t="n">
        <v>46126</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30122-2021</t>
        </is>
      </c>
      <c r="B201" s="1" t="n">
        <v>44363</v>
      </c>
      <c r="C201" s="1" t="n">
        <v>46126</v>
      </c>
      <c r="D201" t="inlineStr">
        <is>
          <t>ÖREBRO LÄN</t>
        </is>
      </c>
      <c r="E201" t="inlineStr">
        <is>
          <t>LINDESBERG</t>
        </is>
      </c>
      <c r="G201" t="n">
        <v>3.3</v>
      </c>
      <c r="H201" t="n">
        <v>0</v>
      </c>
      <c r="I201" t="n">
        <v>0</v>
      </c>
      <c r="J201" t="n">
        <v>0</v>
      </c>
      <c r="K201" t="n">
        <v>0</v>
      </c>
      <c r="L201" t="n">
        <v>0</v>
      </c>
      <c r="M201" t="n">
        <v>0</v>
      </c>
      <c r="N201" t="n">
        <v>0</v>
      </c>
      <c r="O201" t="n">
        <v>0</v>
      </c>
      <c r="P201" t="n">
        <v>0</v>
      </c>
      <c r="Q201" t="n">
        <v>0</v>
      </c>
      <c r="R201" s="2" t="inlineStr"/>
    </row>
    <row r="202" ht="15" customHeight="1">
      <c r="A202" t="inlineStr">
        <is>
          <t>A 64372-2021</t>
        </is>
      </c>
      <c r="B202" s="1" t="n">
        <v>44511.39611111111</v>
      </c>
      <c r="C202" s="1" t="n">
        <v>46126</v>
      </c>
      <c r="D202" t="inlineStr">
        <is>
          <t>ÖREBRO LÄN</t>
        </is>
      </c>
      <c r="E202" t="inlineStr">
        <is>
          <t>LINDESBERG</t>
        </is>
      </c>
      <c r="G202" t="n">
        <v>3.6</v>
      </c>
      <c r="H202" t="n">
        <v>0</v>
      </c>
      <c r="I202" t="n">
        <v>0</v>
      </c>
      <c r="J202" t="n">
        <v>0</v>
      </c>
      <c r="K202" t="n">
        <v>0</v>
      </c>
      <c r="L202" t="n">
        <v>0</v>
      </c>
      <c r="M202" t="n">
        <v>0</v>
      </c>
      <c r="N202" t="n">
        <v>0</v>
      </c>
      <c r="O202" t="n">
        <v>0</v>
      </c>
      <c r="P202" t="n">
        <v>0</v>
      </c>
      <c r="Q202" t="n">
        <v>0</v>
      </c>
      <c r="R202" s="2" t="inlineStr"/>
    </row>
    <row r="203" ht="15" customHeight="1">
      <c r="A203" t="inlineStr">
        <is>
          <t>A 53189-2023</t>
        </is>
      </c>
      <c r="B203" s="1" t="n">
        <v>45194</v>
      </c>
      <c r="C203" s="1" t="n">
        <v>46126</v>
      </c>
      <c r="D203" t="inlineStr">
        <is>
          <t>ÖREBRO LÄN</t>
        </is>
      </c>
      <c r="E203" t="inlineStr">
        <is>
          <t>LINDESBERG</t>
        </is>
      </c>
      <c r="G203" t="n">
        <v>2</v>
      </c>
      <c r="H203" t="n">
        <v>0</v>
      </c>
      <c r="I203" t="n">
        <v>0</v>
      </c>
      <c r="J203" t="n">
        <v>0</v>
      </c>
      <c r="K203" t="n">
        <v>0</v>
      </c>
      <c r="L203" t="n">
        <v>0</v>
      </c>
      <c r="M203" t="n">
        <v>0</v>
      </c>
      <c r="N203" t="n">
        <v>0</v>
      </c>
      <c r="O203" t="n">
        <v>0</v>
      </c>
      <c r="P203" t="n">
        <v>0</v>
      </c>
      <c r="Q203" t="n">
        <v>0</v>
      </c>
      <c r="R203" s="2" t="inlineStr"/>
    </row>
    <row r="204" ht="15" customHeight="1">
      <c r="A204" t="inlineStr">
        <is>
          <t>A 62010-2021</t>
        </is>
      </c>
      <c r="B204" s="1" t="n">
        <v>44502.49809027778</v>
      </c>
      <c r="C204" s="1" t="n">
        <v>46126</v>
      </c>
      <c r="D204" t="inlineStr">
        <is>
          <t>ÖREBRO LÄN</t>
        </is>
      </c>
      <c r="E204" t="inlineStr">
        <is>
          <t>LINDESBERG</t>
        </is>
      </c>
      <c r="G204" t="n">
        <v>3.2</v>
      </c>
      <c r="H204" t="n">
        <v>0</v>
      </c>
      <c r="I204" t="n">
        <v>0</v>
      </c>
      <c r="J204" t="n">
        <v>0</v>
      </c>
      <c r="K204" t="n">
        <v>0</v>
      </c>
      <c r="L204" t="n">
        <v>0</v>
      </c>
      <c r="M204" t="n">
        <v>0</v>
      </c>
      <c r="N204" t="n">
        <v>0</v>
      </c>
      <c r="O204" t="n">
        <v>0</v>
      </c>
      <c r="P204" t="n">
        <v>0</v>
      </c>
      <c r="Q204" t="n">
        <v>0</v>
      </c>
      <c r="R204" s="2" t="inlineStr"/>
    </row>
    <row r="205" ht="15" customHeight="1">
      <c r="A205" t="inlineStr">
        <is>
          <t>A 62014-2021</t>
        </is>
      </c>
      <c r="B205" s="1" t="n">
        <v>44502</v>
      </c>
      <c r="C205" s="1" t="n">
        <v>46126</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56681-2021</t>
        </is>
      </c>
      <c r="B206" s="1" t="n">
        <v>44481.34877314815</v>
      </c>
      <c r="C206" s="1" t="n">
        <v>46126</v>
      </c>
      <c r="D206" t="inlineStr">
        <is>
          <t>ÖREBRO LÄN</t>
        </is>
      </c>
      <c r="E206" t="inlineStr">
        <is>
          <t>LINDESBERG</t>
        </is>
      </c>
      <c r="G206" t="n">
        <v>2.6</v>
      </c>
      <c r="H206" t="n">
        <v>0</v>
      </c>
      <c r="I206" t="n">
        <v>0</v>
      </c>
      <c r="J206" t="n">
        <v>0</v>
      </c>
      <c r="K206" t="n">
        <v>0</v>
      </c>
      <c r="L206" t="n">
        <v>0</v>
      </c>
      <c r="M206" t="n">
        <v>0</v>
      </c>
      <c r="N206" t="n">
        <v>0</v>
      </c>
      <c r="O206" t="n">
        <v>0</v>
      </c>
      <c r="P206" t="n">
        <v>0</v>
      </c>
      <c r="Q206" t="n">
        <v>0</v>
      </c>
      <c r="R206" s="2" t="inlineStr"/>
    </row>
    <row r="207" ht="15" customHeight="1">
      <c r="A207" t="inlineStr">
        <is>
          <t>A 59671-2021</t>
        </is>
      </c>
      <c r="B207" s="1" t="n">
        <v>44491</v>
      </c>
      <c r="C207" s="1" t="n">
        <v>46126</v>
      </c>
      <c r="D207" t="inlineStr">
        <is>
          <t>ÖREBRO LÄN</t>
        </is>
      </c>
      <c r="E207" t="inlineStr">
        <is>
          <t>LINDESBERG</t>
        </is>
      </c>
      <c r="G207" t="n">
        <v>7</v>
      </c>
      <c r="H207" t="n">
        <v>0</v>
      </c>
      <c r="I207" t="n">
        <v>0</v>
      </c>
      <c r="J207" t="n">
        <v>0</v>
      </c>
      <c r="K207" t="n">
        <v>0</v>
      </c>
      <c r="L207" t="n">
        <v>0</v>
      </c>
      <c r="M207" t="n">
        <v>0</v>
      </c>
      <c r="N207" t="n">
        <v>0</v>
      </c>
      <c r="O207" t="n">
        <v>0</v>
      </c>
      <c r="P207" t="n">
        <v>0</v>
      </c>
      <c r="Q207" t="n">
        <v>0</v>
      </c>
      <c r="R207" s="2" t="inlineStr"/>
    </row>
    <row r="208" ht="15" customHeight="1">
      <c r="A208" t="inlineStr">
        <is>
          <t>A 59006-2021</t>
        </is>
      </c>
      <c r="B208" s="1" t="n">
        <v>44490</v>
      </c>
      <c r="C208" s="1" t="n">
        <v>46126</v>
      </c>
      <c r="D208" t="inlineStr">
        <is>
          <t>ÖREBRO LÄN</t>
        </is>
      </c>
      <c r="E208" t="inlineStr">
        <is>
          <t>LINDESBERG</t>
        </is>
      </c>
      <c r="G208" t="n">
        <v>5.6</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46126</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46126</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60926-2024</t>
        </is>
      </c>
      <c r="B211" s="1" t="n">
        <v>45645</v>
      </c>
      <c r="C211" s="1" t="n">
        <v>46126</v>
      </c>
      <c r="D211" t="inlineStr">
        <is>
          <t>ÖREBRO LÄN</t>
        </is>
      </c>
      <c r="E211" t="inlineStr">
        <is>
          <t>LINDESBERG</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46126</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32907-2022</t>
        </is>
      </c>
      <c r="B213" s="1" t="n">
        <v>44784</v>
      </c>
      <c r="C213" s="1" t="n">
        <v>46126</v>
      </c>
      <c r="D213" t="inlineStr">
        <is>
          <t>ÖREBRO LÄN</t>
        </is>
      </c>
      <c r="E213" t="inlineStr">
        <is>
          <t>LINDESBERG</t>
        </is>
      </c>
      <c r="G213" t="n">
        <v>0.5</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46126</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46126</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36001-2021</t>
        </is>
      </c>
      <c r="B216" s="1" t="n">
        <v>44389</v>
      </c>
      <c r="C216" s="1" t="n">
        <v>46126</v>
      </c>
      <c r="D216" t="inlineStr">
        <is>
          <t>ÖREBRO LÄN</t>
        </is>
      </c>
      <c r="E216" t="inlineStr">
        <is>
          <t>LINDESBERG</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46126</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23158-2021</t>
        </is>
      </c>
      <c r="B218" s="1" t="n">
        <v>44332.74105324074</v>
      </c>
      <c r="C218" s="1" t="n">
        <v>46126</v>
      </c>
      <c r="D218" t="inlineStr">
        <is>
          <t>ÖREBRO LÄN</t>
        </is>
      </c>
      <c r="E218" t="inlineStr">
        <is>
          <t>LINDESBERG</t>
        </is>
      </c>
      <c r="G218" t="n">
        <v>0.7</v>
      </c>
      <c r="H218" t="n">
        <v>0</v>
      </c>
      <c r="I218" t="n">
        <v>0</v>
      </c>
      <c r="J218" t="n">
        <v>0</v>
      </c>
      <c r="K218" t="n">
        <v>0</v>
      </c>
      <c r="L218" t="n">
        <v>0</v>
      </c>
      <c r="M218" t="n">
        <v>0</v>
      </c>
      <c r="N218" t="n">
        <v>0</v>
      </c>
      <c r="O218" t="n">
        <v>0</v>
      </c>
      <c r="P218" t="n">
        <v>0</v>
      </c>
      <c r="Q218" t="n">
        <v>0</v>
      </c>
      <c r="R218" s="2" t="inlineStr"/>
    </row>
    <row r="219" ht="15" customHeight="1">
      <c r="A219" t="inlineStr">
        <is>
          <t>A 6470-2024</t>
        </is>
      </c>
      <c r="B219" s="1" t="n">
        <v>45338</v>
      </c>
      <c r="C219" s="1" t="n">
        <v>46126</v>
      </c>
      <c r="D219" t="inlineStr">
        <is>
          <t>ÖREBRO LÄN</t>
        </is>
      </c>
      <c r="E219" t="inlineStr">
        <is>
          <t>LINDESBERG</t>
        </is>
      </c>
      <c r="G219" t="n">
        <v>1.2</v>
      </c>
      <c r="H219" t="n">
        <v>0</v>
      </c>
      <c r="I219" t="n">
        <v>0</v>
      </c>
      <c r="J219" t="n">
        <v>0</v>
      </c>
      <c r="K219" t="n">
        <v>0</v>
      </c>
      <c r="L219" t="n">
        <v>0</v>
      </c>
      <c r="M219" t="n">
        <v>0</v>
      </c>
      <c r="N219" t="n">
        <v>0</v>
      </c>
      <c r="O219" t="n">
        <v>0</v>
      </c>
      <c r="P219" t="n">
        <v>0</v>
      </c>
      <c r="Q219" t="n">
        <v>0</v>
      </c>
      <c r="R219" s="2" t="inlineStr"/>
    </row>
    <row r="220" ht="15" customHeight="1">
      <c r="A220" t="inlineStr">
        <is>
          <t>A 35222-2021</t>
        </is>
      </c>
      <c r="B220" s="1" t="n">
        <v>44384.56912037037</v>
      </c>
      <c r="C220" s="1" t="n">
        <v>46126</v>
      </c>
      <c r="D220" t="inlineStr">
        <is>
          <t>ÖREBRO LÄN</t>
        </is>
      </c>
      <c r="E220" t="inlineStr">
        <is>
          <t>LINDESBERG</t>
        </is>
      </c>
      <c r="G220" t="n">
        <v>10.5</v>
      </c>
      <c r="H220" t="n">
        <v>0</v>
      </c>
      <c r="I220" t="n">
        <v>0</v>
      </c>
      <c r="J220" t="n">
        <v>0</v>
      </c>
      <c r="K220" t="n">
        <v>0</v>
      </c>
      <c r="L220" t="n">
        <v>0</v>
      </c>
      <c r="M220" t="n">
        <v>0</v>
      </c>
      <c r="N220" t="n">
        <v>0</v>
      </c>
      <c r="O220" t="n">
        <v>0</v>
      </c>
      <c r="P220" t="n">
        <v>0</v>
      </c>
      <c r="Q220" t="n">
        <v>0</v>
      </c>
      <c r="R220" s="2" t="inlineStr"/>
    </row>
    <row r="221" ht="15" customHeight="1">
      <c r="A221" t="inlineStr">
        <is>
          <t>A 38509-2025</t>
        </is>
      </c>
      <c r="B221" s="1" t="n">
        <v>45884.38858796296</v>
      </c>
      <c r="C221" s="1" t="n">
        <v>46126</v>
      </c>
      <c r="D221" t="inlineStr">
        <is>
          <t>ÖREBRO LÄN</t>
        </is>
      </c>
      <c r="E221" t="inlineStr">
        <is>
          <t>LINDESBERG</t>
        </is>
      </c>
      <c r="G221" t="n">
        <v>14.9</v>
      </c>
      <c r="H221" t="n">
        <v>0</v>
      </c>
      <c r="I221" t="n">
        <v>0</v>
      </c>
      <c r="J221" t="n">
        <v>0</v>
      </c>
      <c r="K221" t="n">
        <v>0</v>
      </c>
      <c r="L221" t="n">
        <v>0</v>
      </c>
      <c r="M221" t="n">
        <v>0</v>
      </c>
      <c r="N221" t="n">
        <v>0</v>
      </c>
      <c r="O221" t="n">
        <v>0</v>
      </c>
      <c r="P221" t="n">
        <v>0</v>
      </c>
      <c r="Q221" t="n">
        <v>0</v>
      </c>
      <c r="R221" s="2" t="inlineStr"/>
    </row>
    <row r="222" ht="15" customHeight="1">
      <c r="A222" t="inlineStr">
        <is>
          <t>A 44449-2023</t>
        </is>
      </c>
      <c r="B222" s="1" t="n">
        <v>45189.38135416667</v>
      </c>
      <c r="C222" s="1" t="n">
        <v>46126</v>
      </c>
      <c r="D222" t="inlineStr">
        <is>
          <t>ÖREBRO LÄN</t>
        </is>
      </c>
      <c r="E222" t="inlineStr">
        <is>
          <t>LINDESBERG</t>
        </is>
      </c>
      <c r="G222" t="n">
        <v>13.7</v>
      </c>
      <c r="H222" t="n">
        <v>0</v>
      </c>
      <c r="I222" t="n">
        <v>0</v>
      </c>
      <c r="J222" t="n">
        <v>0</v>
      </c>
      <c r="K222" t="n">
        <v>0</v>
      </c>
      <c r="L222" t="n">
        <v>0</v>
      </c>
      <c r="M222" t="n">
        <v>0</v>
      </c>
      <c r="N222" t="n">
        <v>0</v>
      </c>
      <c r="O222" t="n">
        <v>0</v>
      </c>
      <c r="P222" t="n">
        <v>0</v>
      </c>
      <c r="Q222" t="n">
        <v>0</v>
      </c>
      <c r="R222" s="2" t="inlineStr"/>
    </row>
    <row r="223" ht="15" customHeight="1">
      <c r="A223" t="inlineStr">
        <is>
          <t>A 14231-2023</t>
        </is>
      </c>
      <c r="B223" s="1" t="n">
        <v>45009.64217592592</v>
      </c>
      <c r="C223" s="1" t="n">
        <v>46126</v>
      </c>
      <c r="D223" t="inlineStr">
        <is>
          <t>ÖREBRO LÄN</t>
        </is>
      </c>
      <c r="E223" t="inlineStr">
        <is>
          <t>LINDESBERG</t>
        </is>
      </c>
      <c r="G223" t="n">
        <v>4.3</v>
      </c>
      <c r="H223" t="n">
        <v>0</v>
      </c>
      <c r="I223" t="n">
        <v>0</v>
      </c>
      <c r="J223" t="n">
        <v>0</v>
      </c>
      <c r="K223" t="n">
        <v>0</v>
      </c>
      <c r="L223" t="n">
        <v>0</v>
      </c>
      <c r="M223" t="n">
        <v>0</v>
      </c>
      <c r="N223" t="n">
        <v>0</v>
      </c>
      <c r="O223" t="n">
        <v>0</v>
      </c>
      <c r="P223" t="n">
        <v>0</v>
      </c>
      <c r="Q223" t="n">
        <v>0</v>
      </c>
      <c r="R223" s="2" t="inlineStr"/>
    </row>
    <row r="224" ht="15" customHeight="1">
      <c r="A224" t="inlineStr">
        <is>
          <t>A 15894-2025</t>
        </is>
      </c>
      <c r="B224" s="1" t="n">
        <v>45749</v>
      </c>
      <c r="C224" s="1" t="n">
        <v>46126</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45481-2023</t>
        </is>
      </c>
      <c r="B225" s="1" t="n">
        <v>45194</v>
      </c>
      <c r="C225" s="1" t="n">
        <v>46126</v>
      </c>
      <c r="D225" t="inlineStr">
        <is>
          <t>ÖREBRO LÄN</t>
        </is>
      </c>
      <c r="E225" t="inlineStr">
        <is>
          <t>LINDESBERG</t>
        </is>
      </c>
      <c r="G225" t="n">
        <v>2.1</v>
      </c>
      <c r="H225" t="n">
        <v>0</v>
      </c>
      <c r="I225" t="n">
        <v>0</v>
      </c>
      <c r="J225" t="n">
        <v>0</v>
      </c>
      <c r="K225" t="n">
        <v>0</v>
      </c>
      <c r="L225" t="n">
        <v>0</v>
      </c>
      <c r="M225" t="n">
        <v>0</v>
      </c>
      <c r="N225" t="n">
        <v>0</v>
      </c>
      <c r="O225" t="n">
        <v>0</v>
      </c>
      <c r="P225" t="n">
        <v>0</v>
      </c>
      <c r="Q225" t="n">
        <v>0</v>
      </c>
      <c r="R225" s="2" t="inlineStr"/>
    </row>
    <row r="226" ht="15" customHeight="1">
      <c r="A226" t="inlineStr">
        <is>
          <t>A 33707-2021</t>
        </is>
      </c>
      <c r="B226" s="1" t="n">
        <v>44378.46403935185</v>
      </c>
      <c r="C226" s="1" t="n">
        <v>46126</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62608-2021</t>
        </is>
      </c>
      <c r="B227" s="1" t="n">
        <v>44503</v>
      </c>
      <c r="C227" s="1" t="n">
        <v>46126</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34436-2023</t>
        </is>
      </c>
      <c r="B228" s="1" t="n">
        <v>45139.64328703703</v>
      </c>
      <c r="C228" s="1" t="n">
        <v>46126</v>
      </c>
      <c r="D228" t="inlineStr">
        <is>
          <t>ÖREBRO LÄN</t>
        </is>
      </c>
      <c r="E228" t="inlineStr">
        <is>
          <t>LINDESBERG</t>
        </is>
      </c>
      <c r="F228" t="inlineStr">
        <is>
          <t>Kyrkan</t>
        </is>
      </c>
      <c r="G228" t="n">
        <v>5.8</v>
      </c>
      <c r="H228" t="n">
        <v>0</v>
      </c>
      <c r="I228" t="n">
        <v>0</v>
      </c>
      <c r="J228" t="n">
        <v>0</v>
      </c>
      <c r="K228" t="n">
        <v>0</v>
      </c>
      <c r="L228" t="n">
        <v>0</v>
      </c>
      <c r="M228" t="n">
        <v>0</v>
      </c>
      <c r="N228" t="n">
        <v>0</v>
      </c>
      <c r="O228" t="n">
        <v>0</v>
      </c>
      <c r="P228" t="n">
        <v>0</v>
      </c>
      <c r="Q228" t="n">
        <v>0</v>
      </c>
      <c r="R228" s="2" t="inlineStr"/>
    </row>
    <row r="229" ht="15" customHeight="1">
      <c r="A229" t="inlineStr">
        <is>
          <t>A 35140-2023</t>
        </is>
      </c>
      <c r="B229" s="1" t="n">
        <v>45145</v>
      </c>
      <c r="C229" s="1" t="n">
        <v>46126</v>
      </c>
      <c r="D229" t="inlineStr">
        <is>
          <t>ÖREBRO LÄN</t>
        </is>
      </c>
      <c r="E229" t="inlineStr">
        <is>
          <t>LINDESBERG</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37616-2023</t>
        </is>
      </c>
      <c r="B230" s="1" t="n">
        <v>45159.44525462963</v>
      </c>
      <c r="C230" s="1" t="n">
        <v>46126</v>
      </c>
      <c r="D230" t="inlineStr">
        <is>
          <t>ÖREBRO LÄN</t>
        </is>
      </c>
      <c r="E230" t="inlineStr">
        <is>
          <t>LINDESBERG</t>
        </is>
      </c>
      <c r="G230" t="n">
        <v>5.3</v>
      </c>
      <c r="H230" t="n">
        <v>0</v>
      </c>
      <c r="I230" t="n">
        <v>0</v>
      </c>
      <c r="J230" t="n">
        <v>0</v>
      </c>
      <c r="K230" t="n">
        <v>0</v>
      </c>
      <c r="L230" t="n">
        <v>0</v>
      </c>
      <c r="M230" t="n">
        <v>0</v>
      </c>
      <c r="N230" t="n">
        <v>0</v>
      </c>
      <c r="O230" t="n">
        <v>0</v>
      </c>
      <c r="P230" t="n">
        <v>0</v>
      </c>
      <c r="Q230" t="n">
        <v>0</v>
      </c>
      <c r="R230" s="2" t="inlineStr"/>
    </row>
    <row r="231" ht="15" customHeight="1">
      <c r="A231" t="inlineStr">
        <is>
          <t>A 45078-2024</t>
        </is>
      </c>
      <c r="B231" s="1" t="n">
        <v>45575.57104166667</v>
      </c>
      <c r="C231" s="1" t="n">
        <v>46126</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29938-2024</t>
        </is>
      </c>
      <c r="B232" s="1" t="n">
        <v>45488.41480324074</v>
      </c>
      <c r="C232" s="1" t="n">
        <v>46126</v>
      </c>
      <c r="D232" t="inlineStr">
        <is>
          <t>ÖREBRO LÄN</t>
        </is>
      </c>
      <c r="E232" t="inlineStr">
        <is>
          <t>LINDESBERG</t>
        </is>
      </c>
      <c r="G232" t="n">
        <v>4</v>
      </c>
      <c r="H232" t="n">
        <v>0</v>
      </c>
      <c r="I232" t="n">
        <v>0</v>
      </c>
      <c r="J232" t="n">
        <v>0</v>
      </c>
      <c r="K232" t="n">
        <v>0</v>
      </c>
      <c r="L232" t="n">
        <v>0</v>
      </c>
      <c r="M232" t="n">
        <v>0</v>
      </c>
      <c r="N232" t="n">
        <v>0</v>
      </c>
      <c r="O232" t="n">
        <v>0</v>
      </c>
      <c r="P232" t="n">
        <v>0</v>
      </c>
      <c r="Q232" t="n">
        <v>0</v>
      </c>
      <c r="R232" s="2" t="inlineStr"/>
    </row>
    <row r="233" ht="15" customHeight="1">
      <c r="A233" t="inlineStr">
        <is>
          <t>A 24030-2023</t>
        </is>
      </c>
      <c r="B233" s="1" t="n">
        <v>45078.82620370371</v>
      </c>
      <c r="C233" s="1" t="n">
        <v>46126</v>
      </c>
      <c r="D233" t="inlineStr">
        <is>
          <t>ÖREBRO LÄN</t>
        </is>
      </c>
      <c r="E233" t="inlineStr">
        <is>
          <t>LINDESBERG</t>
        </is>
      </c>
      <c r="G233" t="n">
        <v>1.5</v>
      </c>
      <c r="H233" t="n">
        <v>0</v>
      </c>
      <c r="I233" t="n">
        <v>0</v>
      </c>
      <c r="J233" t="n">
        <v>0</v>
      </c>
      <c r="K233" t="n">
        <v>0</v>
      </c>
      <c r="L233" t="n">
        <v>0</v>
      </c>
      <c r="M233" t="n">
        <v>0</v>
      </c>
      <c r="N233" t="n">
        <v>0</v>
      </c>
      <c r="O233" t="n">
        <v>0</v>
      </c>
      <c r="P233" t="n">
        <v>0</v>
      </c>
      <c r="Q233" t="n">
        <v>0</v>
      </c>
      <c r="R233" s="2" t="inlineStr"/>
    </row>
    <row r="234" ht="15" customHeight="1">
      <c r="A234" t="inlineStr">
        <is>
          <t>A 27001-2024</t>
        </is>
      </c>
      <c r="B234" s="1" t="n">
        <v>45471.38995370371</v>
      </c>
      <c r="C234" s="1" t="n">
        <v>46126</v>
      </c>
      <c r="D234" t="inlineStr">
        <is>
          <t>ÖREBRO LÄN</t>
        </is>
      </c>
      <c r="E234" t="inlineStr">
        <is>
          <t>LINDESBERG</t>
        </is>
      </c>
      <c r="G234" t="n">
        <v>2.8</v>
      </c>
      <c r="H234" t="n">
        <v>0</v>
      </c>
      <c r="I234" t="n">
        <v>0</v>
      </c>
      <c r="J234" t="n">
        <v>0</v>
      </c>
      <c r="K234" t="n">
        <v>0</v>
      </c>
      <c r="L234" t="n">
        <v>0</v>
      </c>
      <c r="M234" t="n">
        <v>0</v>
      </c>
      <c r="N234" t="n">
        <v>0</v>
      </c>
      <c r="O234" t="n">
        <v>0</v>
      </c>
      <c r="P234" t="n">
        <v>0</v>
      </c>
      <c r="Q234" t="n">
        <v>0</v>
      </c>
      <c r="R234" s="2" t="inlineStr"/>
    </row>
    <row r="235" ht="15" customHeight="1">
      <c r="A235" t="inlineStr">
        <is>
          <t>A 20467-2023</t>
        </is>
      </c>
      <c r="B235" s="1" t="n">
        <v>45057</v>
      </c>
      <c r="C235" s="1" t="n">
        <v>46126</v>
      </c>
      <c r="D235" t="inlineStr">
        <is>
          <t>ÖREBRO LÄN</t>
        </is>
      </c>
      <c r="E235" t="inlineStr">
        <is>
          <t>LINDESBERG</t>
        </is>
      </c>
      <c r="G235" t="n">
        <v>2.1</v>
      </c>
      <c r="H235" t="n">
        <v>0</v>
      </c>
      <c r="I235" t="n">
        <v>0</v>
      </c>
      <c r="J235" t="n">
        <v>0</v>
      </c>
      <c r="K235" t="n">
        <v>0</v>
      </c>
      <c r="L235" t="n">
        <v>0</v>
      </c>
      <c r="M235" t="n">
        <v>0</v>
      </c>
      <c r="N235" t="n">
        <v>0</v>
      </c>
      <c r="O235" t="n">
        <v>0</v>
      </c>
      <c r="P235" t="n">
        <v>0</v>
      </c>
      <c r="Q235" t="n">
        <v>0</v>
      </c>
      <c r="R235" s="2" t="inlineStr"/>
    </row>
    <row r="236" ht="15" customHeight="1">
      <c r="A236" t="inlineStr">
        <is>
          <t>A 36747-2024</t>
        </is>
      </c>
      <c r="B236" s="1" t="n">
        <v>45538.34193287037</v>
      </c>
      <c r="C236" s="1" t="n">
        <v>46126</v>
      </c>
      <c r="D236" t="inlineStr">
        <is>
          <t>ÖREBRO LÄN</t>
        </is>
      </c>
      <c r="E236" t="inlineStr">
        <is>
          <t>LINDESBERG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25012-2023</t>
        </is>
      </c>
      <c r="B237" s="1" t="n">
        <v>45085</v>
      </c>
      <c r="C237" s="1" t="n">
        <v>46126</v>
      </c>
      <c r="D237" t="inlineStr">
        <is>
          <t>ÖREBRO LÄN</t>
        </is>
      </c>
      <c r="E237" t="inlineStr">
        <is>
          <t>LINDESBERG</t>
        </is>
      </c>
      <c r="G237" t="n">
        <v>1.1</v>
      </c>
      <c r="H237" t="n">
        <v>0</v>
      </c>
      <c r="I237" t="n">
        <v>0</v>
      </c>
      <c r="J237" t="n">
        <v>0</v>
      </c>
      <c r="K237" t="n">
        <v>0</v>
      </c>
      <c r="L237" t="n">
        <v>0</v>
      </c>
      <c r="M237" t="n">
        <v>0</v>
      </c>
      <c r="N237" t="n">
        <v>0</v>
      </c>
      <c r="O237" t="n">
        <v>0</v>
      </c>
      <c r="P237" t="n">
        <v>0</v>
      </c>
      <c r="Q237" t="n">
        <v>0</v>
      </c>
      <c r="R237" s="2" t="inlineStr"/>
    </row>
    <row r="238" ht="15" customHeight="1">
      <c r="A238" t="inlineStr">
        <is>
          <t>A 26778-2023</t>
        </is>
      </c>
      <c r="B238" s="1" t="n">
        <v>45093.48221064815</v>
      </c>
      <c r="C238" s="1" t="n">
        <v>46126</v>
      </c>
      <c r="D238" t="inlineStr">
        <is>
          <t>ÖREBRO LÄN</t>
        </is>
      </c>
      <c r="E238" t="inlineStr">
        <is>
          <t>LINDESBERG</t>
        </is>
      </c>
      <c r="G238" t="n">
        <v>7.5</v>
      </c>
      <c r="H238" t="n">
        <v>0</v>
      </c>
      <c r="I238" t="n">
        <v>0</v>
      </c>
      <c r="J238" t="n">
        <v>0</v>
      </c>
      <c r="K238" t="n">
        <v>0</v>
      </c>
      <c r="L238" t="n">
        <v>0</v>
      </c>
      <c r="M238" t="n">
        <v>0</v>
      </c>
      <c r="N238" t="n">
        <v>0</v>
      </c>
      <c r="O238" t="n">
        <v>0</v>
      </c>
      <c r="P238" t="n">
        <v>0</v>
      </c>
      <c r="Q238" t="n">
        <v>0</v>
      </c>
      <c r="R238" s="2" t="inlineStr"/>
    </row>
    <row r="239" ht="15" customHeight="1">
      <c r="A239" t="inlineStr">
        <is>
          <t>A 50170-2022</t>
        </is>
      </c>
      <c r="B239" s="1" t="n">
        <v>44865.600625</v>
      </c>
      <c r="C239" s="1" t="n">
        <v>46126</v>
      </c>
      <c r="D239" t="inlineStr">
        <is>
          <t>ÖREBRO LÄN</t>
        </is>
      </c>
      <c r="E239" t="inlineStr">
        <is>
          <t>LINDESBERG</t>
        </is>
      </c>
      <c r="G239" t="n">
        <v>2.1</v>
      </c>
      <c r="H239" t="n">
        <v>0</v>
      </c>
      <c r="I239" t="n">
        <v>0</v>
      </c>
      <c r="J239" t="n">
        <v>0</v>
      </c>
      <c r="K239" t="n">
        <v>0</v>
      </c>
      <c r="L239" t="n">
        <v>0</v>
      </c>
      <c r="M239" t="n">
        <v>0</v>
      </c>
      <c r="N239" t="n">
        <v>0</v>
      </c>
      <c r="O239" t="n">
        <v>0</v>
      </c>
      <c r="P239" t="n">
        <v>0</v>
      </c>
      <c r="Q239" t="n">
        <v>0</v>
      </c>
      <c r="R239" s="2" t="inlineStr"/>
    </row>
    <row r="240" ht="15" customHeight="1">
      <c r="A240" t="inlineStr">
        <is>
          <t>A 32097-2024</t>
        </is>
      </c>
      <c r="B240" s="1" t="n">
        <v>45511.39445601852</v>
      </c>
      <c r="C240" s="1" t="n">
        <v>46126</v>
      </c>
      <c r="D240" t="inlineStr">
        <is>
          <t>ÖREBRO LÄN</t>
        </is>
      </c>
      <c r="E240" t="inlineStr">
        <is>
          <t>LINDESBERG</t>
        </is>
      </c>
      <c r="G240" t="n">
        <v>1.7</v>
      </c>
      <c r="H240" t="n">
        <v>0</v>
      </c>
      <c r="I240" t="n">
        <v>0</v>
      </c>
      <c r="J240" t="n">
        <v>0</v>
      </c>
      <c r="K240" t="n">
        <v>0</v>
      </c>
      <c r="L240" t="n">
        <v>0</v>
      </c>
      <c r="M240" t="n">
        <v>0</v>
      </c>
      <c r="N240" t="n">
        <v>0</v>
      </c>
      <c r="O240" t="n">
        <v>0</v>
      </c>
      <c r="P240" t="n">
        <v>0</v>
      </c>
      <c r="Q240" t="n">
        <v>0</v>
      </c>
      <c r="R240" s="2" t="inlineStr"/>
    </row>
    <row r="241" ht="15" customHeight="1">
      <c r="A241" t="inlineStr">
        <is>
          <t>A 32099-2024</t>
        </is>
      </c>
      <c r="B241" s="1" t="n">
        <v>45511.40297453704</v>
      </c>
      <c r="C241" s="1" t="n">
        <v>46126</v>
      </c>
      <c r="D241" t="inlineStr">
        <is>
          <t>ÖREBRO LÄN</t>
        </is>
      </c>
      <c r="E241" t="inlineStr">
        <is>
          <t>LINDESBERG</t>
        </is>
      </c>
      <c r="G241" t="n">
        <v>2.3</v>
      </c>
      <c r="H241" t="n">
        <v>0</v>
      </c>
      <c r="I241" t="n">
        <v>0</v>
      </c>
      <c r="J241" t="n">
        <v>0</v>
      </c>
      <c r="K241" t="n">
        <v>0</v>
      </c>
      <c r="L241" t="n">
        <v>0</v>
      </c>
      <c r="M241" t="n">
        <v>0</v>
      </c>
      <c r="N241" t="n">
        <v>0</v>
      </c>
      <c r="O241" t="n">
        <v>0</v>
      </c>
      <c r="P241" t="n">
        <v>0</v>
      </c>
      <c r="Q241" t="n">
        <v>0</v>
      </c>
      <c r="R241" s="2" t="inlineStr"/>
    </row>
    <row r="242" ht="15" customHeight="1">
      <c r="A242" t="inlineStr">
        <is>
          <t>A 1354-2024</t>
        </is>
      </c>
      <c r="B242" s="1" t="n">
        <v>45303</v>
      </c>
      <c r="C242" s="1" t="n">
        <v>46126</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61360-2024</t>
        </is>
      </c>
      <c r="B243" s="1" t="n">
        <v>45646</v>
      </c>
      <c r="C243" s="1" t="n">
        <v>46126</v>
      </c>
      <c r="D243" t="inlineStr">
        <is>
          <t>ÖREBRO LÄN</t>
        </is>
      </c>
      <c r="E243" t="inlineStr">
        <is>
          <t>LINDESBERG</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3803-2023</t>
        </is>
      </c>
      <c r="B244" s="1" t="n">
        <v>44951.5830324074</v>
      </c>
      <c r="C244" s="1" t="n">
        <v>46126</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63686-2023</t>
        </is>
      </c>
      <c r="B245" s="1" t="n">
        <v>45274</v>
      </c>
      <c r="C245" s="1" t="n">
        <v>46126</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60200-2024</t>
        </is>
      </c>
      <c r="B246" s="1" t="n">
        <v>45642.66184027777</v>
      </c>
      <c r="C246" s="1" t="n">
        <v>46126</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33886-2024</t>
        </is>
      </c>
      <c r="B247" s="1" t="n">
        <v>45523.31621527778</v>
      </c>
      <c r="C247" s="1" t="n">
        <v>46126</v>
      </c>
      <c r="D247" t="inlineStr">
        <is>
          <t>ÖREBRO LÄN</t>
        </is>
      </c>
      <c r="E247" t="inlineStr">
        <is>
          <t>LINDESBERG</t>
        </is>
      </c>
      <c r="G247" t="n">
        <v>1.3</v>
      </c>
      <c r="H247" t="n">
        <v>0</v>
      </c>
      <c r="I247" t="n">
        <v>0</v>
      </c>
      <c r="J247" t="n">
        <v>0</v>
      </c>
      <c r="K247" t="n">
        <v>0</v>
      </c>
      <c r="L247" t="n">
        <v>0</v>
      </c>
      <c r="M247" t="n">
        <v>0</v>
      </c>
      <c r="N247" t="n">
        <v>0</v>
      </c>
      <c r="O247" t="n">
        <v>0</v>
      </c>
      <c r="P247" t="n">
        <v>0</v>
      </c>
      <c r="Q247" t="n">
        <v>0</v>
      </c>
      <c r="R247" s="2" t="inlineStr"/>
    </row>
    <row r="248" ht="15" customHeight="1">
      <c r="A248" t="inlineStr">
        <is>
          <t>A 8612-2024</t>
        </is>
      </c>
      <c r="B248" s="1" t="n">
        <v>45355.70009259259</v>
      </c>
      <c r="C248" s="1" t="n">
        <v>46126</v>
      </c>
      <c r="D248" t="inlineStr">
        <is>
          <t>ÖREBRO LÄN</t>
        </is>
      </c>
      <c r="E248" t="inlineStr">
        <is>
          <t>LINDESBERG</t>
        </is>
      </c>
      <c r="G248" t="n">
        <v>4.5</v>
      </c>
      <c r="H248" t="n">
        <v>0</v>
      </c>
      <c r="I248" t="n">
        <v>0</v>
      </c>
      <c r="J248" t="n">
        <v>0</v>
      </c>
      <c r="K248" t="n">
        <v>0</v>
      </c>
      <c r="L248" t="n">
        <v>0</v>
      </c>
      <c r="M248" t="n">
        <v>0</v>
      </c>
      <c r="N248" t="n">
        <v>0</v>
      </c>
      <c r="O248" t="n">
        <v>0</v>
      </c>
      <c r="P248" t="n">
        <v>0</v>
      </c>
      <c r="Q248" t="n">
        <v>0</v>
      </c>
      <c r="R248" s="2" t="inlineStr"/>
    </row>
    <row r="249" ht="15" customHeight="1">
      <c r="A249" t="inlineStr">
        <is>
          <t>A 50285-2022</t>
        </is>
      </c>
      <c r="B249" s="1" t="n">
        <v>44865.87770833333</v>
      </c>
      <c r="C249" s="1" t="n">
        <v>46126</v>
      </c>
      <c r="D249" t="inlineStr">
        <is>
          <t>ÖREBRO LÄN</t>
        </is>
      </c>
      <c r="E249" t="inlineStr">
        <is>
          <t>LINDESBERG</t>
        </is>
      </c>
      <c r="G249" t="n">
        <v>2.5</v>
      </c>
      <c r="H249" t="n">
        <v>0</v>
      </c>
      <c r="I249" t="n">
        <v>0</v>
      </c>
      <c r="J249" t="n">
        <v>0</v>
      </c>
      <c r="K249" t="n">
        <v>0</v>
      </c>
      <c r="L249" t="n">
        <v>0</v>
      </c>
      <c r="M249" t="n">
        <v>0</v>
      </c>
      <c r="N249" t="n">
        <v>0</v>
      </c>
      <c r="O249" t="n">
        <v>0</v>
      </c>
      <c r="P249" t="n">
        <v>0</v>
      </c>
      <c r="Q249" t="n">
        <v>0</v>
      </c>
      <c r="R249" s="2" t="inlineStr"/>
    </row>
    <row r="250" ht="15" customHeight="1">
      <c r="A250" t="inlineStr">
        <is>
          <t>A 17104-2024</t>
        </is>
      </c>
      <c r="B250" s="1" t="n">
        <v>45412.54541666667</v>
      </c>
      <c r="C250" s="1" t="n">
        <v>46126</v>
      </c>
      <c r="D250" t="inlineStr">
        <is>
          <t>ÖREBRO LÄN</t>
        </is>
      </c>
      <c r="E250" t="inlineStr">
        <is>
          <t>LINDESBERG</t>
        </is>
      </c>
      <c r="G250" t="n">
        <v>2.2</v>
      </c>
      <c r="H250" t="n">
        <v>0</v>
      </c>
      <c r="I250" t="n">
        <v>0</v>
      </c>
      <c r="J250" t="n">
        <v>0</v>
      </c>
      <c r="K250" t="n">
        <v>0</v>
      </c>
      <c r="L250" t="n">
        <v>0</v>
      </c>
      <c r="M250" t="n">
        <v>0</v>
      </c>
      <c r="N250" t="n">
        <v>0</v>
      </c>
      <c r="O250" t="n">
        <v>0</v>
      </c>
      <c r="P250" t="n">
        <v>0</v>
      </c>
      <c r="Q250" t="n">
        <v>0</v>
      </c>
      <c r="R250" s="2" t="inlineStr"/>
    </row>
    <row r="251" ht="15" customHeight="1">
      <c r="A251" t="inlineStr">
        <is>
          <t>A 1405-2025</t>
        </is>
      </c>
      <c r="B251" s="1" t="n">
        <v>45667</v>
      </c>
      <c r="C251" s="1" t="n">
        <v>46126</v>
      </c>
      <c r="D251" t="inlineStr">
        <is>
          <t>ÖREBRO LÄN</t>
        </is>
      </c>
      <c r="E251" t="inlineStr">
        <is>
          <t>LINDESBERG</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40456-2023</t>
        </is>
      </c>
      <c r="B252" s="1" t="n">
        <v>45170</v>
      </c>
      <c r="C252" s="1" t="n">
        <v>46126</v>
      </c>
      <c r="D252" t="inlineStr">
        <is>
          <t>ÖREBRO LÄN</t>
        </is>
      </c>
      <c r="E252" t="inlineStr">
        <is>
          <t>LINDESBERG</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26093-2023</t>
        </is>
      </c>
      <c r="B253" s="1" t="n">
        <v>45091.39362268519</v>
      </c>
      <c r="C253" s="1" t="n">
        <v>46126</v>
      </c>
      <c r="D253" t="inlineStr">
        <is>
          <t>ÖREBRO LÄN</t>
        </is>
      </c>
      <c r="E253" t="inlineStr">
        <is>
          <t>LINDESBERG</t>
        </is>
      </c>
      <c r="G253" t="n">
        <v>0.4</v>
      </c>
      <c r="H253" t="n">
        <v>0</v>
      </c>
      <c r="I253" t="n">
        <v>0</v>
      </c>
      <c r="J253" t="n">
        <v>0</v>
      </c>
      <c r="K253" t="n">
        <v>0</v>
      </c>
      <c r="L253" t="n">
        <v>0</v>
      </c>
      <c r="M253" t="n">
        <v>0</v>
      </c>
      <c r="N253" t="n">
        <v>0</v>
      </c>
      <c r="O253" t="n">
        <v>0</v>
      </c>
      <c r="P253" t="n">
        <v>0</v>
      </c>
      <c r="Q253" t="n">
        <v>0</v>
      </c>
      <c r="R253" s="2" t="inlineStr"/>
    </row>
    <row r="254" ht="15" customHeight="1">
      <c r="A254" t="inlineStr">
        <is>
          <t>A 17823-2021</t>
        </is>
      </c>
      <c r="B254" s="1" t="n">
        <v>44300</v>
      </c>
      <c r="C254" s="1" t="n">
        <v>46126</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21084-2021</t>
        </is>
      </c>
      <c r="B255" s="1" t="n">
        <v>44319</v>
      </c>
      <c r="C255" s="1" t="n">
        <v>46126</v>
      </c>
      <c r="D255" t="inlineStr">
        <is>
          <t>ÖREBRO LÄN</t>
        </is>
      </c>
      <c r="E255" t="inlineStr">
        <is>
          <t>LINDESBERG</t>
        </is>
      </c>
      <c r="G255" t="n">
        <v>3.1</v>
      </c>
      <c r="H255" t="n">
        <v>0</v>
      </c>
      <c r="I255" t="n">
        <v>0</v>
      </c>
      <c r="J255" t="n">
        <v>0</v>
      </c>
      <c r="K255" t="n">
        <v>0</v>
      </c>
      <c r="L255" t="n">
        <v>0</v>
      </c>
      <c r="M255" t="n">
        <v>0</v>
      </c>
      <c r="N255" t="n">
        <v>0</v>
      </c>
      <c r="O255" t="n">
        <v>0</v>
      </c>
      <c r="P255" t="n">
        <v>0</v>
      </c>
      <c r="Q255" t="n">
        <v>0</v>
      </c>
      <c r="R255" s="2" t="inlineStr"/>
    </row>
    <row r="256" ht="15" customHeight="1">
      <c r="A256" t="inlineStr">
        <is>
          <t>A 6161-2025</t>
        </is>
      </c>
      <c r="B256" s="1" t="n">
        <v>45698</v>
      </c>
      <c r="C256" s="1" t="n">
        <v>46126</v>
      </c>
      <c r="D256" t="inlineStr">
        <is>
          <t>ÖREBRO LÄN</t>
        </is>
      </c>
      <c r="E256" t="inlineStr">
        <is>
          <t>LINDESBERG</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6165-2025</t>
        </is>
      </c>
      <c r="B257" s="1" t="n">
        <v>45698</v>
      </c>
      <c r="C257" s="1" t="n">
        <v>46126</v>
      </c>
      <c r="D257" t="inlineStr">
        <is>
          <t>ÖREBRO LÄN</t>
        </is>
      </c>
      <c r="E257" t="inlineStr">
        <is>
          <t>LINDESBERG</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6181-2025</t>
        </is>
      </c>
      <c r="B258" s="1" t="n">
        <v>45698</v>
      </c>
      <c r="C258" s="1" t="n">
        <v>46126</v>
      </c>
      <c r="D258" t="inlineStr">
        <is>
          <t>ÖREBRO LÄN</t>
        </is>
      </c>
      <c r="E258" t="inlineStr">
        <is>
          <t>LINDESBERG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28562-2023</t>
        </is>
      </c>
      <c r="B259" s="1" t="n">
        <v>45103.53614583334</v>
      </c>
      <c r="C259" s="1" t="n">
        <v>46126</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17463-2023</t>
        </is>
      </c>
      <c r="B260" s="1" t="n">
        <v>45036</v>
      </c>
      <c r="C260" s="1" t="n">
        <v>46126</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6511-2025</t>
        </is>
      </c>
      <c r="B261" s="1" t="n">
        <v>45699.65424768518</v>
      </c>
      <c r="C261" s="1" t="n">
        <v>46126</v>
      </c>
      <c r="D261" t="inlineStr">
        <is>
          <t>ÖREBRO LÄN</t>
        </is>
      </c>
      <c r="E261" t="inlineStr">
        <is>
          <t>LINDESBERG</t>
        </is>
      </c>
      <c r="G261" t="n">
        <v>9.1</v>
      </c>
      <c r="H261" t="n">
        <v>0</v>
      </c>
      <c r="I261" t="n">
        <v>0</v>
      </c>
      <c r="J261" t="n">
        <v>0</v>
      </c>
      <c r="K261" t="n">
        <v>0</v>
      </c>
      <c r="L261" t="n">
        <v>0</v>
      </c>
      <c r="M261" t="n">
        <v>0</v>
      </c>
      <c r="N261" t="n">
        <v>0</v>
      </c>
      <c r="O261" t="n">
        <v>0</v>
      </c>
      <c r="P261" t="n">
        <v>0</v>
      </c>
      <c r="Q261" t="n">
        <v>0</v>
      </c>
      <c r="R261" s="2" t="inlineStr"/>
    </row>
    <row r="262" ht="15" customHeight="1">
      <c r="A262" t="inlineStr">
        <is>
          <t>A 25229-2021</t>
        </is>
      </c>
      <c r="B262" s="1" t="n">
        <v>44342.39703703704</v>
      </c>
      <c r="C262" s="1" t="n">
        <v>46126</v>
      </c>
      <c r="D262" t="inlineStr">
        <is>
          <t>ÖREBRO LÄN</t>
        </is>
      </c>
      <c r="E262" t="inlineStr">
        <is>
          <t>LINDESBERG</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17995-2021</t>
        </is>
      </c>
      <c r="B263" s="1" t="n">
        <v>44301</v>
      </c>
      <c r="C263" s="1" t="n">
        <v>46126</v>
      </c>
      <c r="D263" t="inlineStr">
        <is>
          <t>ÖREBRO LÄN</t>
        </is>
      </c>
      <c r="E263" t="inlineStr">
        <is>
          <t>LINDESBERG</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22829-2023</t>
        </is>
      </c>
      <c r="B264" s="1" t="n">
        <v>45072.42776620371</v>
      </c>
      <c r="C264" s="1" t="n">
        <v>46126</v>
      </c>
      <c r="D264" t="inlineStr">
        <is>
          <t>ÖREBRO LÄN</t>
        </is>
      </c>
      <c r="E264" t="inlineStr">
        <is>
          <t>LINDESBERG</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34093-2022</t>
        </is>
      </c>
      <c r="B265" s="1" t="n">
        <v>44791</v>
      </c>
      <c r="C265" s="1" t="n">
        <v>46126</v>
      </c>
      <c r="D265" t="inlineStr">
        <is>
          <t>ÖREBRO LÄN</t>
        </is>
      </c>
      <c r="E265" t="inlineStr">
        <is>
          <t>LINDESBERG</t>
        </is>
      </c>
      <c r="G265" t="n">
        <v>3.3</v>
      </c>
      <c r="H265" t="n">
        <v>0</v>
      </c>
      <c r="I265" t="n">
        <v>0</v>
      </c>
      <c r="J265" t="n">
        <v>0</v>
      </c>
      <c r="K265" t="n">
        <v>0</v>
      </c>
      <c r="L265" t="n">
        <v>0</v>
      </c>
      <c r="M265" t="n">
        <v>0</v>
      </c>
      <c r="N265" t="n">
        <v>0</v>
      </c>
      <c r="O265" t="n">
        <v>0</v>
      </c>
      <c r="P265" t="n">
        <v>0</v>
      </c>
      <c r="Q265" t="n">
        <v>0</v>
      </c>
      <c r="R265" s="2" t="inlineStr"/>
    </row>
    <row r="266" ht="15" customHeight="1">
      <c r="A266" t="inlineStr">
        <is>
          <t>A 60105-2022</t>
        </is>
      </c>
      <c r="B266" s="1" t="n">
        <v>44902</v>
      </c>
      <c r="C266" s="1" t="n">
        <v>46126</v>
      </c>
      <c r="D266" t="inlineStr">
        <is>
          <t>ÖREBRO LÄN</t>
        </is>
      </c>
      <c r="E266" t="inlineStr">
        <is>
          <t>LINDESBERG</t>
        </is>
      </c>
      <c r="G266" t="n">
        <v>0.5</v>
      </c>
      <c r="H266" t="n">
        <v>0</v>
      </c>
      <c r="I266" t="n">
        <v>0</v>
      </c>
      <c r="J266" t="n">
        <v>0</v>
      </c>
      <c r="K266" t="n">
        <v>0</v>
      </c>
      <c r="L266" t="n">
        <v>0</v>
      </c>
      <c r="M266" t="n">
        <v>0</v>
      </c>
      <c r="N266" t="n">
        <v>0</v>
      </c>
      <c r="O266" t="n">
        <v>0</v>
      </c>
      <c r="P266" t="n">
        <v>0</v>
      </c>
      <c r="Q266" t="n">
        <v>0</v>
      </c>
      <c r="R266" s="2" t="inlineStr"/>
    </row>
    <row r="267" ht="15" customHeight="1">
      <c r="A267" t="inlineStr">
        <is>
          <t>A 38534-2025</t>
        </is>
      </c>
      <c r="B267" s="1" t="n">
        <v>45884</v>
      </c>
      <c r="C267" s="1" t="n">
        <v>46126</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51656-2023</t>
        </is>
      </c>
      <c r="B268" s="1" t="n">
        <v>45222</v>
      </c>
      <c r="C268" s="1" t="n">
        <v>46126</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53046-2024</t>
        </is>
      </c>
      <c r="B269" s="1" t="n">
        <v>45611.44960648148</v>
      </c>
      <c r="C269" s="1" t="n">
        <v>46126</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19914-2024</t>
        </is>
      </c>
      <c r="B270" s="1" t="n">
        <v>45433.58099537037</v>
      </c>
      <c r="C270" s="1" t="n">
        <v>46126</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18590-2023</t>
        </is>
      </c>
      <c r="B271" s="1" t="n">
        <v>45043.40300925926</v>
      </c>
      <c r="C271" s="1" t="n">
        <v>46126</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12739-2024</t>
        </is>
      </c>
      <c r="B272" s="1" t="n">
        <v>45384</v>
      </c>
      <c r="C272" s="1" t="n">
        <v>46126</v>
      </c>
      <c r="D272" t="inlineStr">
        <is>
          <t>ÖREBRO LÄN</t>
        </is>
      </c>
      <c r="E272" t="inlineStr">
        <is>
          <t>LINDESBERG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56561-2023</t>
        </is>
      </c>
      <c r="B273" s="1" t="n">
        <v>45243</v>
      </c>
      <c r="C273" s="1" t="n">
        <v>46126</v>
      </c>
      <c r="D273" t="inlineStr">
        <is>
          <t>ÖREBRO LÄN</t>
        </is>
      </c>
      <c r="E273" t="inlineStr">
        <is>
          <t>LINDESBERG</t>
        </is>
      </c>
      <c r="G273" t="n">
        <v>1.9</v>
      </c>
      <c r="H273" t="n">
        <v>0</v>
      </c>
      <c r="I273" t="n">
        <v>0</v>
      </c>
      <c r="J273" t="n">
        <v>0</v>
      </c>
      <c r="K273" t="n">
        <v>0</v>
      </c>
      <c r="L273" t="n">
        <v>0</v>
      </c>
      <c r="M273" t="n">
        <v>0</v>
      </c>
      <c r="N273" t="n">
        <v>0</v>
      </c>
      <c r="O273" t="n">
        <v>0</v>
      </c>
      <c r="P273" t="n">
        <v>0</v>
      </c>
      <c r="Q273" t="n">
        <v>0</v>
      </c>
      <c r="R273" s="2" t="inlineStr"/>
    </row>
    <row r="274" ht="15" customHeight="1">
      <c r="A274" t="inlineStr">
        <is>
          <t>A 56579-2023</t>
        </is>
      </c>
      <c r="B274" s="1" t="n">
        <v>45243.62420138889</v>
      </c>
      <c r="C274" s="1" t="n">
        <v>46126</v>
      </c>
      <c r="D274" t="inlineStr">
        <is>
          <t>ÖREBRO LÄN</t>
        </is>
      </c>
      <c r="E274" t="inlineStr">
        <is>
          <t>LINDESBERG</t>
        </is>
      </c>
      <c r="F274" t="inlineStr">
        <is>
          <t>Naturvårdsverket</t>
        </is>
      </c>
      <c r="G274" t="n">
        <v>1.6</v>
      </c>
      <c r="H274" t="n">
        <v>0</v>
      </c>
      <c r="I274" t="n">
        <v>0</v>
      </c>
      <c r="J274" t="n">
        <v>0</v>
      </c>
      <c r="K274" t="n">
        <v>0</v>
      </c>
      <c r="L274" t="n">
        <v>0</v>
      </c>
      <c r="M274" t="n">
        <v>0</v>
      </c>
      <c r="N274" t="n">
        <v>0</v>
      </c>
      <c r="O274" t="n">
        <v>0</v>
      </c>
      <c r="P274" t="n">
        <v>0</v>
      </c>
      <c r="Q274" t="n">
        <v>0</v>
      </c>
      <c r="R274" s="2" t="inlineStr"/>
    </row>
    <row r="275" ht="15" customHeight="1">
      <c r="A275" t="inlineStr">
        <is>
          <t>A 56582-2023</t>
        </is>
      </c>
      <c r="B275" s="1" t="n">
        <v>45243</v>
      </c>
      <c r="C275" s="1" t="n">
        <v>46126</v>
      </c>
      <c r="D275" t="inlineStr">
        <is>
          <t>ÖREBRO LÄN</t>
        </is>
      </c>
      <c r="E275" t="inlineStr">
        <is>
          <t>LINDESBERG</t>
        </is>
      </c>
      <c r="F275" t="inlineStr">
        <is>
          <t>Naturvårdsverket</t>
        </is>
      </c>
      <c r="G275" t="n">
        <v>2.3</v>
      </c>
      <c r="H275" t="n">
        <v>0</v>
      </c>
      <c r="I275" t="n">
        <v>0</v>
      </c>
      <c r="J275" t="n">
        <v>0</v>
      </c>
      <c r="K275" t="n">
        <v>0</v>
      </c>
      <c r="L275" t="n">
        <v>0</v>
      </c>
      <c r="M275" t="n">
        <v>0</v>
      </c>
      <c r="N275" t="n">
        <v>0</v>
      </c>
      <c r="O275" t="n">
        <v>0</v>
      </c>
      <c r="P275" t="n">
        <v>0</v>
      </c>
      <c r="Q275" t="n">
        <v>0</v>
      </c>
      <c r="R275" s="2" t="inlineStr"/>
    </row>
    <row r="276" ht="15" customHeight="1">
      <c r="A276" t="inlineStr">
        <is>
          <t>A 58697-2024</t>
        </is>
      </c>
      <c r="B276" s="1" t="n">
        <v>45635.63706018519</v>
      </c>
      <c r="C276" s="1" t="n">
        <v>46126</v>
      </c>
      <c r="D276" t="inlineStr">
        <is>
          <t>ÖREBRO LÄN</t>
        </is>
      </c>
      <c r="E276" t="inlineStr">
        <is>
          <t>LINDESBERG</t>
        </is>
      </c>
      <c r="G276" t="n">
        <v>25.1</v>
      </c>
      <c r="H276" t="n">
        <v>0</v>
      </c>
      <c r="I276" t="n">
        <v>0</v>
      </c>
      <c r="J276" t="n">
        <v>0</v>
      </c>
      <c r="K276" t="n">
        <v>0</v>
      </c>
      <c r="L276" t="n">
        <v>0</v>
      </c>
      <c r="M276" t="n">
        <v>0</v>
      </c>
      <c r="N276" t="n">
        <v>0</v>
      </c>
      <c r="O276" t="n">
        <v>0</v>
      </c>
      <c r="P276" t="n">
        <v>0</v>
      </c>
      <c r="Q276" t="n">
        <v>0</v>
      </c>
      <c r="R276" s="2" t="inlineStr"/>
    </row>
    <row r="277" ht="15" customHeight="1">
      <c r="A277" t="inlineStr">
        <is>
          <t>A 56217-2022</t>
        </is>
      </c>
      <c r="B277" s="1" t="n">
        <v>44890.46174768519</v>
      </c>
      <c r="C277" s="1" t="n">
        <v>46126</v>
      </c>
      <c r="D277" t="inlineStr">
        <is>
          <t>ÖREBRO LÄN</t>
        </is>
      </c>
      <c r="E277" t="inlineStr">
        <is>
          <t>LINDESBERG</t>
        </is>
      </c>
      <c r="G277" t="n">
        <v>6.9</v>
      </c>
      <c r="H277" t="n">
        <v>0</v>
      </c>
      <c r="I277" t="n">
        <v>0</v>
      </c>
      <c r="J277" t="n">
        <v>0</v>
      </c>
      <c r="K277" t="n">
        <v>0</v>
      </c>
      <c r="L277" t="n">
        <v>0</v>
      </c>
      <c r="M277" t="n">
        <v>0</v>
      </c>
      <c r="N277" t="n">
        <v>0</v>
      </c>
      <c r="O277" t="n">
        <v>0</v>
      </c>
      <c r="P277" t="n">
        <v>0</v>
      </c>
      <c r="Q277" t="n">
        <v>0</v>
      </c>
      <c r="R277" s="2" t="inlineStr"/>
    </row>
    <row r="278" ht="15" customHeight="1">
      <c r="A278" t="inlineStr">
        <is>
          <t>A 40305-2024</t>
        </is>
      </c>
      <c r="B278" s="1" t="n">
        <v>45554.71863425926</v>
      </c>
      <c r="C278" s="1" t="n">
        <v>46126</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51539-2024</t>
        </is>
      </c>
      <c r="B279" s="1" t="n">
        <v>45604.58837962963</v>
      </c>
      <c r="C279" s="1" t="n">
        <v>46126</v>
      </c>
      <c r="D279" t="inlineStr">
        <is>
          <t>ÖREBRO LÄN</t>
        </is>
      </c>
      <c r="E279" t="inlineStr">
        <is>
          <t>LINDESBERG</t>
        </is>
      </c>
      <c r="G279" t="n">
        <v>1.4</v>
      </c>
      <c r="H279" t="n">
        <v>0</v>
      </c>
      <c r="I279" t="n">
        <v>0</v>
      </c>
      <c r="J279" t="n">
        <v>0</v>
      </c>
      <c r="K279" t="n">
        <v>0</v>
      </c>
      <c r="L279" t="n">
        <v>0</v>
      </c>
      <c r="M279" t="n">
        <v>0</v>
      </c>
      <c r="N279" t="n">
        <v>0</v>
      </c>
      <c r="O279" t="n">
        <v>0</v>
      </c>
      <c r="P279" t="n">
        <v>0</v>
      </c>
      <c r="Q279" t="n">
        <v>0</v>
      </c>
      <c r="R279" s="2" t="inlineStr"/>
    </row>
    <row r="280" ht="15" customHeight="1">
      <c r="A280" t="inlineStr">
        <is>
          <t>A 27134-2024</t>
        </is>
      </c>
      <c r="B280" s="1" t="n">
        <v>45471.52878472222</v>
      </c>
      <c r="C280" s="1" t="n">
        <v>46126</v>
      </c>
      <c r="D280" t="inlineStr">
        <is>
          <t>ÖREBRO LÄN</t>
        </is>
      </c>
      <c r="E280" t="inlineStr">
        <is>
          <t>LINDESBERG</t>
        </is>
      </c>
      <c r="G280" t="n">
        <v>0.7</v>
      </c>
      <c r="H280" t="n">
        <v>0</v>
      </c>
      <c r="I280" t="n">
        <v>0</v>
      </c>
      <c r="J280" t="n">
        <v>0</v>
      </c>
      <c r="K280" t="n">
        <v>0</v>
      </c>
      <c r="L280" t="n">
        <v>0</v>
      </c>
      <c r="M280" t="n">
        <v>0</v>
      </c>
      <c r="N280" t="n">
        <v>0</v>
      </c>
      <c r="O280" t="n">
        <v>0</v>
      </c>
      <c r="P280" t="n">
        <v>0</v>
      </c>
      <c r="Q280" t="n">
        <v>0</v>
      </c>
      <c r="R280" s="2" t="inlineStr"/>
    </row>
    <row r="281" ht="15" customHeight="1">
      <c r="A281" t="inlineStr">
        <is>
          <t>A 15852-2025</t>
        </is>
      </c>
      <c r="B281" s="1" t="n">
        <v>45749</v>
      </c>
      <c r="C281" s="1" t="n">
        <v>46126</v>
      </c>
      <c r="D281" t="inlineStr">
        <is>
          <t>ÖREBRO LÄN</t>
        </is>
      </c>
      <c r="E281" t="inlineStr">
        <is>
          <t>LINDESBERG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34539-2024</t>
        </is>
      </c>
      <c r="B282" s="1" t="n">
        <v>45525.7374537037</v>
      </c>
      <c r="C282" s="1" t="n">
        <v>46126</v>
      </c>
      <c r="D282" t="inlineStr">
        <is>
          <t>ÖREBRO LÄN</t>
        </is>
      </c>
      <c r="E282" t="inlineStr">
        <is>
          <t>LINDESBERG</t>
        </is>
      </c>
      <c r="G282" t="n">
        <v>5.4</v>
      </c>
      <c r="H282" t="n">
        <v>0</v>
      </c>
      <c r="I282" t="n">
        <v>0</v>
      </c>
      <c r="J282" t="n">
        <v>0</v>
      </c>
      <c r="K282" t="n">
        <v>0</v>
      </c>
      <c r="L282" t="n">
        <v>0</v>
      </c>
      <c r="M282" t="n">
        <v>0</v>
      </c>
      <c r="N282" t="n">
        <v>0</v>
      </c>
      <c r="O282" t="n">
        <v>0</v>
      </c>
      <c r="P282" t="n">
        <v>0</v>
      </c>
      <c r="Q282" t="n">
        <v>0</v>
      </c>
      <c r="R282" s="2" t="inlineStr"/>
    </row>
    <row r="283" ht="15" customHeight="1">
      <c r="A283" t="inlineStr">
        <is>
          <t>A 35739-2024</t>
        </is>
      </c>
      <c r="B283" s="1" t="n">
        <v>45532</v>
      </c>
      <c r="C283" s="1" t="n">
        <v>46126</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46126</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33280-2024</t>
        </is>
      </c>
      <c r="B285" s="1" t="n">
        <v>45518.71048611111</v>
      </c>
      <c r="C285" s="1" t="n">
        <v>46126</v>
      </c>
      <c r="D285" t="inlineStr">
        <is>
          <t>ÖREBRO LÄN</t>
        </is>
      </c>
      <c r="E285" t="inlineStr">
        <is>
          <t>LINDESBERG</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1383-2025</t>
        </is>
      </c>
      <c r="B286" s="1" t="n">
        <v>45667</v>
      </c>
      <c r="C286" s="1" t="n">
        <v>46126</v>
      </c>
      <c r="D286" t="inlineStr">
        <is>
          <t>ÖREBRO LÄN</t>
        </is>
      </c>
      <c r="E286" t="inlineStr">
        <is>
          <t>LINDESBERG</t>
        </is>
      </c>
      <c r="G286" t="n">
        <v>5</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46126</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10057-2025</t>
        </is>
      </c>
      <c r="B288" s="1" t="n">
        <v>45719.52871527777</v>
      </c>
      <c r="C288" s="1" t="n">
        <v>46126</v>
      </c>
      <c r="D288" t="inlineStr">
        <is>
          <t>ÖREBRO LÄN</t>
        </is>
      </c>
      <c r="E288" t="inlineStr">
        <is>
          <t>LINDESBERG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24944-2024</t>
        </is>
      </c>
      <c r="B289" s="1" t="n">
        <v>45461.62924768519</v>
      </c>
      <c r="C289" s="1" t="n">
        <v>46126</v>
      </c>
      <c r="D289" t="inlineStr">
        <is>
          <t>ÖREBRO LÄN</t>
        </is>
      </c>
      <c r="E289" t="inlineStr">
        <is>
          <t>LINDESBERG</t>
        </is>
      </c>
      <c r="F289" t="inlineStr">
        <is>
          <t>Kyrkan</t>
        </is>
      </c>
      <c r="G289" t="n">
        <v>13.7</v>
      </c>
      <c r="H289" t="n">
        <v>0</v>
      </c>
      <c r="I289" t="n">
        <v>0</v>
      </c>
      <c r="J289" t="n">
        <v>0</v>
      </c>
      <c r="K289" t="n">
        <v>0</v>
      </c>
      <c r="L289" t="n">
        <v>0</v>
      </c>
      <c r="M289" t="n">
        <v>0</v>
      </c>
      <c r="N289" t="n">
        <v>0</v>
      </c>
      <c r="O289" t="n">
        <v>0</v>
      </c>
      <c r="P289" t="n">
        <v>0</v>
      </c>
      <c r="Q289" t="n">
        <v>0</v>
      </c>
      <c r="R289" s="2" t="inlineStr"/>
    </row>
    <row r="290" ht="15" customHeight="1">
      <c r="A290" t="inlineStr">
        <is>
          <t>A 37432-2022</t>
        </is>
      </c>
      <c r="B290" s="1" t="n">
        <v>44809</v>
      </c>
      <c r="C290" s="1" t="n">
        <v>46126</v>
      </c>
      <c r="D290" t="inlineStr">
        <is>
          <t>ÖREBRO LÄN</t>
        </is>
      </c>
      <c r="E290" t="inlineStr">
        <is>
          <t>LINDESBERG</t>
        </is>
      </c>
      <c r="G290" t="n">
        <v>3.6</v>
      </c>
      <c r="H290" t="n">
        <v>0</v>
      </c>
      <c r="I290" t="n">
        <v>0</v>
      </c>
      <c r="J290" t="n">
        <v>0</v>
      </c>
      <c r="K290" t="n">
        <v>0</v>
      </c>
      <c r="L290" t="n">
        <v>0</v>
      </c>
      <c r="M290" t="n">
        <v>0</v>
      </c>
      <c r="N290" t="n">
        <v>0</v>
      </c>
      <c r="O290" t="n">
        <v>0</v>
      </c>
      <c r="P290" t="n">
        <v>0</v>
      </c>
      <c r="Q290" t="n">
        <v>0</v>
      </c>
      <c r="R290" s="2" t="inlineStr"/>
    </row>
    <row r="291" ht="15" customHeight="1">
      <c r="A291" t="inlineStr">
        <is>
          <t>A 53054-2022</t>
        </is>
      </c>
      <c r="B291" s="1" t="n">
        <v>44876.35706018518</v>
      </c>
      <c r="C291" s="1" t="n">
        <v>46126</v>
      </c>
      <c r="D291" t="inlineStr">
        <is>
          <t>ÖREBRO LÄN</t>
        </is>
      </c>
      <c r="E291" t="inlineStr">
        <is>
          <t>LINDESBERG</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39424-2025</t>
        </is>
      </c>
      <c r="B292" s="1" t="n">
        <v>45889.67290509259</v>
      </c>
      <c r="C292" s="1" t="n">
        <v>46126</v>
      </c>
      <c r="D292" t="inlineStr">
        <is>
          <t>ÖREBRO LÄN</t>
        </is>
      </c>
      <c r="E292" t="inlineStr">
        <is>
          <t>LINDESBERG</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39429-2025</t>
        </is>
      </c>
      <c r="B293" s="1" t="n">
        <v>45889.67577546297</v>
      </c>
      <c r="C293" s="1" t="n">
        <v>46126</v>
      </c>
      <c r="D293" t="inlineStr">
        <is>
          <t>ÖREBRO LÄN</t>
        </is>
      </c>
      <c r="E293" t="inlineStr">
        <is>
          <t>LINDESBERG</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39421-2025</t>
        </is>
      </c>
      <c r="B294" s="1" t="n">
        <v>45889.66935185185</v>
      </c>
      <c r="C294" s="1" t="n">
        <v>46126</v>
      </c>
      <c r="D294" t="inlineStr">
        <is>
          <t>ÖREBRO LÄN</t>
        </is>
      </c>
      <c r="E294" t="inlineStr">
        <is>
          <t>LINDESBERG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50619-2022</t>
        </is>
      </c>
      <c r="B295" s="1" t="n">
        <v>44866.79668981482</v>
      </c>
      <c r="C295" s="1" t="n">
        <v>46126</v>
      </c>
      <c r="D295" t="inlineStr">
        <is>
          <t>ÖREBRO LÄN</t>
        </is>
      </c>
      <c r="E295" t="inlineStr">
        <is>
          <t>LINDESBERG</t>
        </is>
      </c>
      <c r="G295" t="n">
        <v>1.4</v>
      </c>
      <c r="H295" t="n">
        <v>0</v>
      </c>
      <c r="I295" t="n">
        <v>0</v>
      </c>
      <c r="J295" t="n">
        <v>0</v>
      </c>
      <c r="K295" t="n">
        <v>0</v>
      </c>
      <c r="L295" t="n">
        <v>0</v>
      </c>
      <c r="M295" t="n">
        <v>0</v>
      </c>
      <c r="N295" t="n">
        <v>0</v>
      </c>
      <c r="O295" t="n">
        <v>0</v>
      </c>
      <c r="P295" t="n">
        <v>0</v>
      </c>
      <c r="Q295" t="n">
        <v>0</v>
      </c>
      <c r="R295" s="2" t="inlineStr"/>
    </row>
    <row r="296" ht="15" customHeight="1">
      <c r="A296" t="inlineStr">
        <is>
          <t>A 43247-2023</t>
        </is>
      </c>
      <c r="B296" s="1" t="n">
        <v>45183.48666666666</v>
      </c>
      <c r="C296" s="1" t="n">
        <v>46126</v>
      </c>
      <c r="D296" t="inlineStr">
        <is>
          <t>ÖREBRO LÄN</t>
        </is>
      </c>
      <c r="E296" t="inlineStr">
        <is>
          <t>LINDESBERG</t>
        </is>
      </c>
      <c r="G296" t="n">
        <v>3</v>
      </c>
      <c r="H296" t="n">
        <v>0</v>
      </c>
      <c r="I296" t="n">
        <v>0</v>
      </c>
      <c r="J296" t="n">
        <v>0</v>
      </c>
      <c r="K296" t="n">
        <v>0</v>
      </c>
      <c r="L296" t="n">
        <v>0</v>
      </c>
      <c r="M296" t="n">
        <v>0</v>
      </c>
      <c r="N296" t="n">
        <v>0</v>
      </c>
      <c r="O296" t="n">
        <v>0</v>
      </c>
      <c r="P296" t="n">
        <v>0</v>
      </c>
      <c r="Q296" t="n">
        <v>0</v>
      </c>
      <c r="R296" s="2" t="inlineStr"/>
    </row>
    <row r="297" ht="15" customHeight="1">
      <c r="A297" t="inlineStr">
        <is>
          <t>A 626-2025</t>
        </is>
      </c>
      <c r="B297" s="1" t="n">
        <v>45664</v>
      </c>
      <c r="C297" s="1" t="n">
        <v>46126</v>
      </c>
      <c r="D297" t="inlineStr">
        <is>
          <t>ÖREBRO LÄN</t>
        </is>
      </c>
      <c r="E297" t="inlineStr">
        <is>
          <t>LINDESBERG</t>
        </is>
      </c>
      <c r="G297" t="n">
        <v>0.5</v>
      </c>
      <c r="H297" t="n">
        <v>0</v>
      </c>
      <c r="I297" t="n">
        <v>0</v>
      </c>
      <c r="J297" t="n">
        <v>0</v>
      </c>
      <c r="K297" t="n">
        <v>0</v>
      </c>
      <c r="L297" t="n">
        <v>0</v>
      </c>
      <c r="M297" t="n">
        <v>0</v>
      </c>
      <c r="N297" t="n">
        <v>0</v>
      </c>
      <c r="O297" t="n">
        <v>0</v>
      </c>
      <c r="P297" t="n">
        <v>0</v>
      </c>
      <c r="Q297" t="n">
        <v>0</v>
      </c>
      <c r="R297" s="2" t="inlineStr"/>
    </row>
    <row r="298" ht="15" customHeight="1">
      <c r="A298" t="inlineStr">
        <is>
          <t>A 43046-2022</t>
        </is>
      </c>
      <c r="B298" s="1" t="n">
        <v>44833</v>
      </c>
      <c r="C298" s="1" t="n">
        <v>46126</v>
      </c>
      <c r="D298" t="inlineStr">
        <is>
          <t>ÖREBRO LÄN</t>
        </is>
      </c>
      <c r="E298" t="inlineStr">
        <is>
          <t>LINDESBERG</t>
        </is>
      </c>
      <c r="G298" t="n">
        <v>0.9</v>
      </c>
      <c r="H298" t="n">
        <v>0</v>
      </c>
      <c r="I298" t="n">
        <v>0</v>
      </c>
      <c r="J298" t="n">
        <v>0</v>
      </c>
      <c r="K298" t="n">
        <v>0</v>
      </c>
      <c r="L298" t="n">
        <v>0</v>
      </c>
      <c r="M298" t="n">
        <v>0</v>
      </c>
      <c r="N298" t="n">
        <v>0</v>
      </c>
      <c r="O298" t="n">
        <v>0</v>
      </c>
      <c r="P298" t="n">
        <v>0</v>
      </c>
      <c r="Q298" t="n">
        <v>0</v>
      </c>
      <c r="R298" s="2" t="inlineStr"/>
    </row>
    <row r="299" ht="15" customHeight="1">
      <c r="A299" t="inlineStr">
        <is>
          <t>A 57795-2021</t>
        </is>
      </c>
      <c r="B299" s="1" t="n">
        <v>44484</v>
      </c>
      <c r="C299" s="1" t="n">
        <v>46126</v>
      </c>
      <c r="D299" t="inlineStr">
        <is>
          <t>ÖREBRO LÄN</t>
        </is>
      </c>
      <c r="E299" t="inlineStr">
        <is>
          <t>LINDESBERG</t>
        </is>
      </c>
      <c r="G299" t="n">
        <v>39.4</v>
      </c>
      <c r="H299" t="n">
        <v>0</v>
      </c>
      <c r="I299" t="n">
        <v>0</v>
      </c>
      <c r="J299" t="n">
        <v>0</v>
      </c>
      <c r="K299" t="n">
        <v>0</v>
      </c>
      <c r="L299" t="n">
        <v>0</v>
      </c>
      <c r="M299" t="n">
        <v>0</v>
      </c>
      <c r="N299" t="n">
        <v>0</v>
      </c>
      <c r="O299" t="n">
        <v>0</v>
      </c>
      <c r="P299" t="n">
        <v>0</v>
      </c>
      <c r="Q299" t="n">
        <v>0</v>
      </c>
      <c r="R299" s="2" t="inlineStr"/>
    </row>
    <row r="300" ht="15" customHeight="1">
      <c r="A300" t="inlineStr">
        <is>
          <t>A 46603-2021</t>
        </is>
      </c>
      <c r="B300" s="1" t="n">
        <v>44445</v>
      </c>
      <c r="C300" s="1" t="n">
        <v>46126</v>
      </c>
      <c r="D300" t="inlineStr">
        <is>
          <t>ÖREBRO LÄN</t>
        </is>
      </c>
      <c r="E300" t="inlineStr">
        <is>
          <t>LINDESBERG</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17115-2025</t>
        </is>
      </c>
      <c r="B301" s="1" t="n">
        <v>45755.68247685185</v>
      </c>
      <c r="C301" s="1" t="n">
        <v>46126</v>
      </c>
      <c r="D301" t="inlineStr">
        <is>
          <t>ÖREBRO LÄN</t>
        </is>
      </c>
      <c r="E301" t="inlineStr">
        <is>
          <t>LINDESBERG</t>
        </is>
      </c>
      <c r="G301" t="n">
        <v>0.6</v>
      </c>
      <c r="H301" t="n">
        <v>0</v>
      </c>
      <c r="I301" t="n">
        <v>0</v>
      </c>
      <c r="J301" t="n">
        <v>0</v>
      </c>
      <c r="K301" t="n">
        <v>0</v>
      </c>
      <c r="L301" t="n">
        <v>0</v>
      </c>
      <c r="M301" t="n">
        <v>0</v>
      </c>
      <c r="N301" t="n">
        <v>0</v>
      </c>
      <c r="O301" t="n">
        <v>0</v>
      </c>
      <c r="P301" t="n">
        <v>0</v>
      </c>
      <c r="Q301" t="n">
        <v>0</v>
      </c>
      <c r="R301" s="2" t="inlineStr"/>
    </row>
    <row r="302" ht="15" customHeight="1">
      <c r="A302" t="inlineStr">
        <is>
          <t>A 16054-2022</t>
        </is>
      </c>
      <c r="B302" s="1" t="n">
        <v>44665</v>
      </c>
      <c r="C302" s="1" t="n">
        <v>46126</v>
      </c>
      <c r="D302" t="inlineStr">
        <is>
          <t>ÖREBRO LÄN</t>
        </is>
      </c>
      <c r="E302" t="inlineStr">
        <is>
          <t>LINDESBERG</t>
        </is>
      </c>
      <c r="G302" t="n">
        <v>6.9</v>
      </c>
      <c r="H302" t="n">
        <v>0</v>
      </c>
      <c r="I302" t="n">
        <v>0</v>
      </c>
      <c r="J302" t="n">
        <v>0</v>
      </c>
      <c r="K302" t="n">
        <v>0</v>
      </c>
      <c r="L302" t="n">
        <v>0</v>
      </c>
      <c r="M302" t="n">
        <v>0</v>
      </c>
      <c r="N302" t="n">
        <v>0</v>
      </c>
      <c r="O302" t="n">
        <v>0</v>
      </c>
      <c r="P302" t="n">
        <v>0</v>
      </c>
      <c r="Q302" t="n">
        <v>0</v>
      </c>
      <c r="R302" s="2" t="inlineStr"/>
    </row>
    <row r="303" ht="15" customHeight="1">
      <c r="A303" t="inlineStr">
        <is>
          <t>A 41343-2021</t>
        </is>
      </c>
      <c r="B303" s="1" t="n">
        <v>44424.61709490741</v>
      </c>
      <c r="C303" s="1" t="n">
        <v>46126</v>
      </c>
      <c r="D303" t="inlineStr">
        <is>
          <t>ÖREBRO LÄN</t>
        </is>
      </c>
      <c r="E303" t="inlineStr">
        <is>
          <t>LINDESBERG</t>
        </is>
      </c>
      <c r="G303" t="n">
        <v>8.9</v>
      </c>
      <c r="H303" t="n">
        <v>0</v>
      </c>
      <c r="I303" t="n">
        <v>0</v>
      </c>
      <c r="J303" t="n">
        <v>0</v>
      </c>
      <c r="K303" t="n">
        <v>0</v>
      </c>
      <c r="L303" t="n">
        <v>0</v>
      </c>
      <c r="M303" t="n">
        <v>0</v>
      </c>
      <c r="N303" t="n">
        <v>0</v>
      </c>
      <c r="O303" t="n">
        <v>0</v>
      </c>
      <c r="P303" t="n">
        <v>0</v>
      </c>
      <c r="Q303" t="n">
        <v>0</v>
      </c>
      <c r="R303" s="2" t="inlineStr"/>
    </row>
    <row r="304" ht="15" customHeight="1">
      <c r="A304" t="inlineStr">
        <is>
          <t>A 36136-2023</t>
        </is>
      </c>
      <c r="B304" s="1" t="n">
        <v>45149</v>
      </c>
      <c r="C304" s="1" t="n">
        <v>46126</v>
      </c>
      <c r="D304" t="inlineStr">
        <is>
          <t>ÖREBRO LÄN</t>
        </is>
      </c>
      <c r="E304" t="inlineStr">
        <is>
          <t>LINDESBERG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43433-2024</t>
        </is>
      </c>
      <c r="B305" s="1" t="n">
        <v>45568.64523148148</v>
      </c>
      <c r="C305" s="1" t="n">
        <v>46126</v>
      </c>
      <c r="D305" t="inlineStr">
        <is>
          <t>ÖREBRO LÄN</t>
        </is>
      </c>
      <c r="E305" t="inlineStr">
        <is>
          <t>LINDESBERG</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6604-2024</t>
        </is>
      </c>
      <c r="B306" s="1" t="n">
        <v>45341.56577546296</v>
      </c>
      <c r="C306" s="1" t="n">
        <v>46126</v>
      </c>
      <c r="D306" t="inlineStr">
        <is>
          <t>ÖREBRO LÄN</t>
        </is>
      </c>
      <c r="E306" t="inlineStr">
        <is>
          <t>LINDESBERG</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5550-2024</t>
        </is>
      </c>
      <c r="B307" s="1" t="n">
        <v>45334</v>
      </c>
      <c r="C307" s="1" t="n">
        <v>46126</v>
      </c>
      <c r="D307" t="inlineStr">
        <is>
          <t>ÖREBRO LÄN</t>
        </is>
      </c>
      <c r="E307" t="inlineStr">
        <is>
          <t>LINDESBERG</t>
        </is>
      </c>
      <c r="G307" t="n">
        <v>0.6</v>
      </c>
      <c r="H307" t="n">
        <v>0</v>
      </c>
      <c r="I307" t="n">
        <v>0</v>
      </c>
      <c r="J307" t="n">
        <v>0</v>
      </c>
      <c r="K307" t="n">
        <v>0</v>
      </c>
      <c r="L307" t="n">
        <v>0</v>
      </c>
      <c r="M307" t="n">
        <v>0</v>
      </c>
      <c r="N307" t="n">
        <v>0</v>
      </c>
      <c r="O307" t="n">
        <v>0</v>
      </c>
      <c r="P307" t="n">
        <v>0</v>
      </c>
      <c r="Q307" t="n">
        <v>0</v>
      </c>
      <c r="R307" s="2" t="inlineStr"/>
    </row>
    <row r="308" ht="15" customHeight="1">
      <c r="A308" t="inlineStr">
        <is>
          <t>A 13573-2025</t>
        </is>
      </c>
      <c r="B308" s="1" t="n">
        <v>45736</v>
      </c>
      <c r="C308" s="1" t="n">
        <v>46126</v>
      </c>
      <c r="D308" t="inlineStr">
        <is>
          <t>ÖREBRO LÄN</t>
        </is>
      </c>
      <c r="E308" t="inlineStr">
        <is>
          <t>LINDESBERG</t>
        </is>
      </c>
      <c r="G308" t="n">
        <v>11.7</v>
      </c>
      <c r="H308" t="n">
        <v>0</v>
      </c>
      <c r="I308" t="n">
        <v>0</v>
      </c>
      <c r="J308" t="n">
        <v>0</v>
      </c>
      <c r="K308" t="n">
        <v>0</v>
      </c>
      <c r="L308" t="n">
        <v>0</v>
      </c>
      <c r="M308" t="n">
        <v>0</v>
      </c>
      <c r="N308" t="n">
        <v>0</v>
      </c>
      <c r="O308" t="n">
        <v>0</v>
      </c>
      <c r="P308" t="n">
        <v>0</v>
      </c>
      <c r="Q308" t="n">
        <v>0</v>
      </c>
      <c r="R308" s="2" t="inlineStr"/>
    </row>
    <row r="309" ht="15" customHeight="1">
      <c r="A309" t="inlineStr">
        <is>
          <t>A 23641-2024</t>
        </is>
      </c>
      <c r="B309" s="1" t="n">
        <v>45454.49679398148</v>
      </c>
      <c r="C309" s="1" t="n">
        <v>46126</v>
      </c>
      <c r="D309" t="inlineStr">
        <is>
          <t>ÖREBRO LÄN</t>
        </is>
      </c>
      <c r="E309" t="inlineStr">
        <is>
          <t>LINDESBERG</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61601-2024</t>
        </is>
      </c>
      <c r="B310" s="1" t="n">
        <v>45646.63839120371</v>
      </c>
      <c r="C310" s="1" t="n">
        <v>46126</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40366-2025</t>
        </is>
      </c>
      <c r="B311" s="1" t="n">
        <v>45895.49994212963</v>
      </c>
      <c r="C311" s="1" t="n">
        <v>46126</v>
      </c>
      <c r="D311" t="inlineStr">
        <is>
          <t>ÖREBRO LÄN</t>
        </is>
      </c>
      <c r="E311" t="inlineStr">
        <is>
          <t>LINDESBERG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58662-2022</t>
        </is>
      </c>
      <c r="B312" s="1" t="n">
        <v>44902</v>
      </c>
      <c r="C312" s="1" t="n">
        <v>46126</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40357-2025</t>
        </is>
      </c>
      <c r="B313" s="1" t="n">
        <v>45895.48927083334</v>
      </c>
      <c r="C313" s="1" t="n">
        <v>46126</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63125-2023</t>
        </is>
      </c>
      <c r="B314" s="1" t="n">
        <v>45273</v>
      </c>
      <c r="C314" s="1" t="n">
        <v>46126</v>
      </c>
      <c r="D314" t="inlineStr">
        <is>
          <t>ÖREBRO LÄN</t>
        </is>
      </c>
      <c r="E314" t="inlineStr">
        <is>
          <t>LINDESBERG</t>
        </is>
      </c>
      <c r="G314" t="n">
        <v>1.7</v>
      </c>
      <c r="H314" t="n">
        <v>0</v>
      </c>
      <c r="I314" t="n">
        <v>0</v>
      </c>
      <c r="J314" t="n">
        <v>0</v>
      </c>
      <c r="K314" t="n">
        <v>0</v>
      </c>
      <c r="L314" t="n">
        <v>0</v>
      </c>
      <c r="M314" t="n">
        <v>0</v>
      </c>
      <c r="N314" t="n">
        <v>0</v>
      </c>
      <c r="O314" t="n">
        <v>0</v>
      </c>
      <c r="P314" t="n">
        <v>0</v>
      </c>
      <c r="Q314" t="n">
        <v>0</v>
      </c>
      <c r="R314" s="2" t="inlineStr"/>
    </row>
    <row r="315" ht="15" customHeight="1">
      <c r="A315" t="inlineStr">
        <is>
          <t>A 40351-2025</t>
        </is>
      </c>
      <c r="B315" s="1" t="n">
        <v>45895.48394675926</v>
      </c>
      <c r="C315" s="1" t="n">
        <v>46126</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40347-2025</t>
        </is>
      </c>
      <c r="B316" s="1" t="n">
        <v>45895.4790625</v>
      </c>
      <c r="C316" s="1" t="n">
        <v>46126</v>
      </c>
      <c r="D316" t="inlineStr">
        <is>
          <t>ÖREBRO LÄN</t>
        </is>
      </c>
      <c r="E316" t="inlineStr">
        <is>
          <t>LINDESBERG</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46126</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46126</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4067-2024</t>
        </is>
      </c>
      <c r="B319" s="1" t="n">
        <v>45323</v>
      </c>
      <c r="C319" s="1" t="n">
        <v>46126</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40450-2023</t>
        </is>
      </c>
      <c r="B320" s="1" t="n">
        <v>45170</v>
      </c>
      <c r="C320" s="1" t="n">
        <v>46126</v>
      </c>
      <c r="D320" t="inlineStr">
        <is>
          <t>ÖREBRO LÄN</t>
        </is>
      </c>
      <c r="E320" t="inlineStr">
        <is>
          <t>LINDESBERG</t>
        </is>
      </c>
      <c r="F320" t="inlineStr">
        <is>
          <t>Kyrkan</t>
        </is>
      </c>
      <c r="G320" t="n">
        <v>4.3</v>
      </c>
      <c r="H320" t="n">
        <v>0</v>
      </c>
      <c r="I320" t="n">
        <v>0</v>
      </c>
      <c r="J320" t="n">
        <v>0</v>
      </c>
      <c r="K320" t="n">
        <v>0</v>
      </c>
      <c r="L320" t="n">
        <v>0</v>
      </c>
      <c r="M320" t="n">
        <v>0</v>
      </c>
      <c r="N320" t="n">
        <v>0</v>
      </c>
      <c r="O320" t="n">
        <v>0</v>
      </c>
      <c r="P320" t="n">
        <v>0</v>
      </c>
      <c r="Q320" t="n">
        <v>0</v>
      </c>
      <c r="R320" s="2" t="inlineStr"/>
    </row>
    <row r="321" ht="15" customHeight="1">
      <c r="A321" t="inlineStr">
        <is>
          <t>A 15752-2024</t>
        </is>
      </c>
      <c r="B321" s="1" t="n">
        <v>45404.55681712963</v>
      </c>
      <c r="C321" s="1" t="n">
        <v>46126</v>
      </c>
      <c r="D321" t="inlineStr">
        <is>
          <t>ÖREBRO LÄN</t>
        </is>
      </c>
      <c r="E321" t="inlineStr">
        <is>
          <t>LINDESBERG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35229-2024</t>
        </is>
      </c>
      <c r="B322" s="1" t="n">
        <v>45530</v>
      </c>
      <c r="C322" s="1" t="n">
        <v>46126</v>
      </c>
      <c r="D322" t="inlineStr">
        <is>
          <t>ÖREBRO LÄN</t>
        </is>
      </c>
      <c r="E322" t="inlineStr">
        <is>
          <t>LINDESBERG</t>
        </is>
      </c>
      <c r="G322" t="n">
        <v>0.8</v>
      </c>
      <c r="H322" t="n">
        <v>0</v>
      </c>
      <c r="I322" t="n">
        <v>0</v>
      </c>
      <c r="J322" t="n">
        <v>0</v>
      </c>
      <c r="K322" t="n">
        <v>0</v>
      </c>
      <c r="L322" t="n">
        <v>0</v>
      </c>
      <c r="M322" t="n">
        <v>0</v>
      </c>
      <c r="N322" t="n">
        <v>0</v>
      </c>
      <c r="O322" t="n">
        <v>0</v>
      </c>
      <c r="P322" t="n">
        <v>0</v>
      </c>
      <c r="Q322" t="n">
        <v>0</v>
      </c>
      <c r="R322" s="2" t="inlineStr"/>
    </row>
    <row r="323" ht="15" customHeight="1">
      <c r="A323" t="inlineStr">
        <is>
          <t>A 50986-2023</t>
        </is>
      </c>
      <c r="B323" s="1" t="n">
        <v>45218</v>
      </c>
      <c r="C323" s="1" t="n">
        <v>46126</v>
      </c>
      <c r="D323" t="inlineStr">
        <is>
          <t>ÖREBRO LÄN</t>
        </is>
      </c>
      <c r="E323" t="inlineStr">
        <is>
          <t>LINDESBERG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25046-2024</t>
        </is>
      </c>
      <c r="B324" s="1" t="n">
        <v>45462</v>
      </c>
      <c r="C324" s="1" t="n">
        <v>46126</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22824-2023</t>
        </is>
      </c>
      <c r="B325" s="1" t="n">
        <v>45072</v>
      </c>
      <c r="C325" s="1" t="n">
        <v>46126</v>
      </c>
      <c r="D325" t="inlineStr">
        <is>
          <t>ÖREBRO LÄN</t>
        </is>
      </c>
      <c r="E325" t="inlineStr">
        <is>
          <t>LINDESBERG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44675-2021</t>
        </is>
      </c>
      <c r="B326" s="1" t="n">
        <v>44438</v>
      </c>
      <c r="C326" s="1" t="n">
        <v>46126</v>
      </c>
      <c r="D326" t="inlineStr">
        <is>
          <t>ÖREBRO LÄN</t>
        </is>
      </c>
      <c r="E326" t="inlineStr">
        <is>
          <t>LINDESBERG</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32829-2024</t>
        </is>
      </c>
      <c r="B327" s="1" t="n">
        <v>45516.59447916667</v>
      </c>
      <c r="C327" s="1" t="n">
        <v>46126</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43416-2024</t>
        </is>
      </c>
      <c r="B328" s="1" t="n">
        <v>45568.62625</v>
      </c>
      <c r="C328" s="1" t="n">
        <v>46126</v>
      </c>
      <c r="D328" t="inlineStr">
        <is>
          <t>ÖREBRO LÄN</t>
        </is>
      </c>
      <c r="E328" t="inlineStr">
        <is>
          <t>LINDESBERG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54859-2024</t>
        </is>
      </c>
      <c r="B329" s="1" t="n">
        <v>45618.58962962963</v>
      </c>
      <c r="C329" s="1" t="n">
        <v>46126</v>
      </c>
      <c r="D329" t="inlineStr">
        <is>
          <t>ÖREBRO LÄN</t>
        </is>
      </c>
      <c r="E329" t="inlineStr">
        <is>
          <t>LINDESBERG</t>
        </is>
      </c>
      <c r="F329" t="inlineStr">
        <is>
          <t>Sveaskog</t>
        </is>
      </c>
      <c r="G329" t="n">
        <v>5.3</v>
      </c>
      <c r="H329" t="n">
        <v>0</v>
      </c>
      <c r="I329" t="n">
        <v>0</v>
      </c>
      <c r="J329" t="n">
        <v>0</v>
      </c>
      <c r="K329" t="n">
        <v>0</v>
      </c>
      <c r="L329" t="n">
        <v>0</v>
      </c>
      <c r="M329" t="n">
        <v>0</v>
      </c>
      <c r="N329" t="n">
        <v>0</v>
      </c>
      <c r="O329" t="n">
        <v>0</v>
      </c>
      <c r="P329" t="n">
        <v>0</v>
      </c>
      <c r="Q329" t="n">
        <v>0</v>
      </c>
      <c r="R329" s="2" t="inlineStr"/>
    </row>
    <row r="330" ht="15" customHeight="1">
      <c r="A330" t="inlineStr">
        <is>
          <t>A 30767-2023</t>
        </is>
      </c>
      <c r="B330" s="1" t="n">
        <v>45112.67952546296</v>
      </c>
      <c r="C330" s="1" t="n">
        <v>46126</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10654-2023</t>
        </is>
      </c>
      <c r="B331" s="1" t="n">
        <v>44984</v>
      </c>
      <c r="C331" s="1" t="n">
        <v>46126</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63508-2023</t>
        </is>
      </c>
      <c r="B332" s="1" t="n">
        <v>45274</v>
      </c>
      <c r="C332" s="1" t="n">
        <v>46126</v>
      </c>
      <c r="D332" t="inlineStr">
        <is>
          <t>ÖREBRO LÄN</t>
        </is>
      </c>
      <c r="E332" t="inlineStr">
        <is>
          <t>LINDESBERG</t>
        </is>
      </c>
      <c r="G332" t="n">
        <v>1.4</v>
      </c>
      <c r="H332" t="n">
        <v>0</v>
      </c>
      <c r="I332" t="n">
        <v>0</v>
      </c>
      <c r="J332" t="n">
        <v>0</v>
      </c>
      <c r="K332" t="n">
        <v>0</v>
      </c>
      <c r="L332" t="n">
        <v>0</v>
      </c>
      <c r="M332" t="n">
        <v>0</v>
      </c>
      <c r="N332" t="n">
        <v>0</v>
      </c>
      <c r="O332" t="n">
        <v>0</v>
      </c>
      <c r="P332" t="n">
        <v>0</v>
      </c>
      <c r="Q332" t="n">
        <v>0</v>
      </c>
      <c r="R332" s="2" t="inlineStr"/>
    </row>
    <row r="333" ht="15" customHeight="1">
      <c r="A333" t="inlineStr">
        <is>
          <t>A 41027-2025</t>
        </is>
      </c>
      <c r="B333" s="1" t="n">
        <v>45898.37138888889</v>
      </c>
      <c r="C333" s="1" t="n">
        <v>46126</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30534-2023</t>
        </is>
      </c>
      <c r="B334" s="1" t="n">
        <v>45111</v>
      </c>
      <c r="C334" s="1" t="n">
        <v>46126</v>
      </c>
      <c r="D334" t="inlineStr">
        <is>
          <t>ÖREBRO LÄN</t>
        </is>
      </c>
      <c r="E334" t="inlineStr">
        <is>
          <t>LINDESBERG</t>
        </is>
      </c>
      <c r="G334" t="n">
        <v>0.7</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46126</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46126</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33978-2023</t>
        </is>
      </c>
      <c r="B337" s="1" t="n">
        <v>45134.68158564815</v>
      </c>
      <c r="C337" s="1" t="n">
        <v>46126</v>
      </c>
      <c r="D337" t="inlineStr">
        <is>
          <t>ÖREBRO LÄN</t>
        </is>
      </c>
      <c r="E337" t="inlineStr">
        <is>
          <t>LINDESBERG</t>
        </is>
      </c>
      <c r="G337" t="n">
        <v>4.1</v>
      </c>
      <c r="H337" t="n">
        <v>0</v>
      </c>
      <c r="I337" t="n">
        <v>0</v>
      </c>
      <c r="J337" t="n">
        <v>0</v>
      </c>
      <c r="K337" t="n">
        <v>0</v>
      </c>
      <c r="L337" t="n">
        <v>0</v>
      </c>
      <c r="M337" t="n">
        <v>0</v>
      </c>
      <c r="N337" t="n">
        <v>0</v>
      </c>
      <c r="O337" t="n">
        <v>0</v>
      </c>
      <c r="P337" t="n">
        <v>0</v>
      </c>
      <c r="Q337" t="n">
        <v>0</v>
      </c>
      <c r="R337" s="2" t="inlineStr"/>
    </row>
    <row r="338" ht="15" customHeight="1">
      <c r="A338" t="inlineStr">
        <is>
          <t>A 38762-2021</t>
        </is>
      </c>
      <c r="B338" s="1" t="n">
        <v>44410.61837962963</v>
      </c>
      <c r="C338" s="1" t="n">
        <v>46126</v>
      </c>
      <c r="D338" t="inlineStr">
        <is>
          <t>ÖREBRO LÄN</t>
        </is>
      </c>
      <c r="E338" t="inlineStr">
        <is>
          <t>LINDESBERG</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41653-2025</t>
        </is>
      </c>
      <c r="B339" s="1" t="n">
        <v>45902.3406712963</v>
      </c>
      <c r="C339" s="1" t="n">
        <v>46126</v>
      </c>
      <c r="D339" t="inlineStr">
        <is>
          <t>ÖREBRO LÄN</t>
        </is>
      </c>
      <c r="E339" t="inlineStr">
        <is>
          <t>LINDESBERG</t>
        </is>
      </c>
      <c r="G339" t="n">
        <v>1.5</v>
      </c>
      <c r="H339" t="n">
        <v>0</v>
      </c>
      <c r="I339" t="n">
        <v>0</v>
      </c>
      <c r="J339" t="n">
        <v>0</v>
      </c>
      <c r="K339" t="n">
        <v>0</v>
      </c>
      <c r="L339" t="n">
        <v>0</v>
      </c>
      <c r="M339" t="n">
        <v>0</v>
      </c>
      <c r="N339" t="n">
        <v>0</v>
      </c>
      <c r="O339" t="n">
        <v>0</v>
      </c>
      <c r="P339" t="n">
        <v>0</v>
      </c>
      <c r="Q339" t="n">
        <v>0</v>
      </c>
      <c r="R339" s="2" t="inlineStr"/>
    </row>
    <row r="340" ht="15" customHeight="1">
      <c r="A340" t="inlineStr">
        <is>
          <t>A 27013-2024</t>
        </is>
      </c>
      <c r="B340" s="1" t="n">
        <v>45471.40384259259</v>
      </c>
      <c r="C340" s="1" t="n">
        <v>46126</v>
      </c>
      <c r="D340" t="inlineStr">
        <is>
          <t>ÖREBRO LÄN</t>
        </is>
      </c>
      <c r="E340" t="inlineStr">
        <is>
          <t>LINDESBERG</t>
        </is>
      </c>
      <c r="G340" t="n">
        <v>5.2</v>
      </c>
      <c r="H340" t="n">
        <v>0</v>
      </c>
      <c r="I340" t="n">
        <v>0</v>
      </c>
      <c r="J340" t="n">
        <v>0</v>
      </c>
      <c r="K340" t="n">
        <v>0</v>
      </c>
      <c r="L340" t="n">
        <v>0</v>
      </c>
      <c r="M340" t="n">
        <v>0</v>
      </c>
      <c r="N340" t="n">
        <v>0</v>
      </c>
      <c r="O340" t="n">
        <v>0</v>
      </c>
      <c r="P340" t="n">
        <v>0</v>
      </c>
      <c r="Q340" t="n">
        <v>0</v>
      </c>
      <c r="R340" s="2" t="inlineStr"/>
    </row>
    <row r="341" ht="15" customHeight="1">
      <c r="A341" t="inlineStr">
        <is>
          <t>A 36015-2021</t>
        </is>
      </c>
      <c r="B341" s="1" t="n">
        <v>44389</v>
      </c>
      <c r="C341" s="1" t="n">
        <v>46126</v>
      </c>
      <c r="D341" t="inlineStr">
        <is>
          <t>ÖREBRO LÄN</t>
        </is>
      </c>
      <c r="E341" t="inlineStr">
        <is>
          <t>LINDESBERG</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41340-2025</t>
        </is>
      </c>
      <c r="B342" s="1" t="n">
        <v>45899.38057870371</v>
      </c>
      <c r="C342" s="1" t="n">
        <v>46126</v>
      </c>
      <c r="D342" t="inlineStr">
        <is>
          <t>ÖREBRO LÄN</t>
        </is>
      </c>
      <c r="E342" t="inlineStr">
        <is>
          <t>LINDESBERG</t>
        </is>
      </c>
      <c r="G342" t="n">
        <v>16.5</v>
      </c>
      <c r="H342" t="n">
        <v>0</v>
      </c>
      <c r="I342" t="n">
        <v>0</v>
      </c>
      <c r="J342" t="n">
        <v>0</v>
      </c>
      <c r="K342" t="n">
        <v>0</v>
      </c>
      <c r="L342" t="n">
        <v>0</v>
      </c>
      <c r="M342" t="n">
        <v>0</v>
      </c>
      <c r="N342" t="n">
        <v>0</v>
      </c>
      <c r="O342" t="n">
        <v>0</v>
      </c>
      <c r="P342" t="n">
        <v>0</v>
      </c>
      <c r="Q342" t="n">
        <v>0</v>
      </c>
      <c r="R342" s="2" t="inlineStr"/>
    </row>
    <row r="343" ht="15" customHeight="1">
      <c r="A343" t="inlineStr">
        <is>
          <t>A 54705-2022</t>
        </is>
      </c>
      <c r="B343" s="1" t="n">
        <v>44883</v>
      </c>
      <c r="C343" s="1" t="n">
        <v>46126</v>
      </c>
      <c r="D343" t="inlineStr">
        <is>
          <t>ÖREBRO LÄN</t>
        </is>
      </c>
      <c r="E343" t="inlineStr">
        <is>
          <t>LINDESBERG</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9140-2025</t>
        </is>
      </c>
      <c r="B344" s="1" t="n">
        <v>45714.31533564815</v>
      </c>
      <c r="C344" s="1" t="n">
        <v>46126</v>
      </c>
      <c r="D344" t="inlineStr">
        <is>
          <t>ÖREBRO LÄN</t>
        </is>
      </c>
      <c r="E344" t="inlineStr">
        <is>
          <t>LINDESBERG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36748-2024</t>
        </is>
      </c>
      <c r="B345" s="1" t="n">
        <v>45538.34460648148</v>
      </c>
      <c r="C345" s="1" t="n">
        <v>46126</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21390-2024</t>
        </is>
      </c>
      <c r="B346" s="1" t="n">
        <v>45441.30899305556</v>
      </c>
      <c r="C346" s="1" t="n">
        <v>46126</v>
      </c>
      <c r="D346" t="inlineStr">
        <is>
          <t>ÖREBRO LÄN</t>
        </is>
      </c>
      <c r="E346" t="inlineStr">
        <is>
          <t>LINDESBERG</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21392-2024</t>
        </is>
      </c>
      <c r="B347" s="1" t="n">
        <v>45441.30998842593</v>
      </c>
      <c r="C347" s="1" t="n">
        <v>46126</v>
      </c>
      <c r="D347" t="inlineStr">
        <is>
          <t>ÖREBRO LÄN</t>
        </is>
      </c>
      <c r="E347" t="inlineStr">
        <is>
          <t>LINDESBERG</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41889-2025</t>
        </is>
      </c>
      <c r="B348" s="1" t="n">
        <v>45903.37475694445</v>
      </c>
      <c r="C348" s="1" t="n">
        <v>46126</v>
      </c>
      <c r="D348" t="inlineStr">
        <is>
          <t>ÖREBRO LÄN</t>
        </is>
      </c>
      <c r="E348" t="inlineStr">
        <is>
          <t>LINDESBERG</t>
        </is>
      </c>
      <c r="F348" t="inlineStr">
        <is>
          <t>Sveaskog</t>
        </is>
      </c>
      <c r="G348" t="n">
        <v>7.7</v>
      </c>
      <c r="H348" t="n">
        <v>0</v>
      </c>
      <c r="I348" t="n">
        <v>0</v>
      </c>
      <c r="J348" t="n">
        <v>0</v>
      </c>
      <c r="K348" t="n">
        <v>0</v>
      </c>
      <c r="L348" t="n">
        <v>0</v>
      </c>
      <c r="M348" t="n">
        <v>0</v>
      </c>
      <c r="N348" t="n">
        <v>0</v>
      </c>
      <c r="O348" t="n">
        <v>0</v>
      </c>
      <c r="P348" t="n">
        <v>0</v>
      </c>
      <c r="Q348" t="n">
        <v>0</v>
      </c>
      <c r="R348" s="2" t="inlineStr"/>
    </row>
    <row r="349" ht="15" customHeight="1">
      <c r="A349" t="inlineStr">
        <is>
          <t>A 28469-2023</t>
        </is>
      </c>
      <c r="B349" s="1" t="n">
        <v>45103</v>
      </c>
      <c r="C349" s="1" t="n">
        <v>46126</v>
      </c>
      <c r="D349" t="inlineStr">
        <is>
          <t>ÖREBRO LÄN</t>
        </is>
      </c>
      <c r="E349" t="inlineStr">
        <is>
          <t>LINDESBERG</t>
        </is>
      </c>
      <c r="G349" t="n">
        <v>0.3</v>
      </c>
      <c r="H349" t="n">
        <v>0</v>
      </c>
      <c r="I349" t="n">
        <v>0</v>
      </c>
      <c r="J349" t="n">
        <v>0</v>
      </c>
      <c r="K349" t="n">
        <v>0</v>
      </c>
      <c r="L349" t="n">
        <v>0</v>
      </c>
      <c r="M349" t="n">
        <v>0</v>
      </c>
      <c r="N349" t="n">
        <v>0</v>
      </c>
      <c r="O349" t="n">
        <v>0</v>
      </c>
      <c r="P349" t="n">
        <v>0</v>
      </c>
      <c r="Q349" t="n">
        <v>0</v>
      </c>
      <c r="R349" s="2" t="inlineStr"/>
    </row>
    <row r="350" ht="15" customHeight="1">
      <c r="A350" t="inlineStr">
        <is>
          <t>A 12278-2025</t>
        </is>
      </c>
      <c r="B350" s="1" t="n">
        <v>45729.65171296296</v>
      </c>
      <c r="C350" s="1" t="n">
        <v>46126</v>
      </c>
      <c r="D350" t="inlineStr">
        <is>
          <t>ÖREBRO LÄN</t>
        </is>
      </c>
      <c r="E350" t="inlineStr">
        <is>
          <t>LINDESBERG</t>
        </is>
      </c>
      <c r="G350" t="n">
        <v>3.2</v>
      </c>
      <c r="H350" t="n">
        <v>0</v>
      </c>
      <c r="I350" t="n">
        <v>0</v>
      </c>
      <c r="J350" t="n">
        <v>0</v>
      </c>
      <c r="K350" t="n">
        <v>0</v>
      </c>
      <c r="L350" t="n">
        <v>0</v>
      </c>
      <c r="M350" t="n">
        <v>0</v>
      </c>
      <c r="N350" t="n">
        <v>0</v>
      </c>
      <c r="O350" t="n">
        <v>0</v>
      </c>
      <c r="P350" t="n">
        <v>0</v>
      </c>
      <c r="Q350" t="n">
        <v>0</v>
      </c>
      <c r="R350" s="2" t="inlineStr"/>
    </row>
    <row r="351" ht="15" customHeight="1">
      <c r="A351" t="inlineStr">
        <is>
          <t>A 72698-2021</t>
        </is>
      </c>
      <c r="B351" s="1" t="n">
        <v>44546.6679050926</v>
      </c>
      <c r="C351" s="1" t="n">
        <v>46126</v>
      </c>
      <c r="D351" t="inlineStr">
        <is>
          <t>ÖREBRO LÄN</t>
        </is>
      </c>
      <c r="E351" t="inlineStr">
        <is>
          <t>LINDESBERG</t>
        </is>
      </c>
      <c r="G351" t="n">
        <v>1.6</v>
      </c>
      <c r="H351" t="n">
        <v>0</v>
      </c>
      <c r="I351" t="n">
        <v>0</v>
      </c>
      <c r="J351" t="n">
        <v>0</v>
      </c>
      <c r="K351" t="n">
        <v>0</v>
      </c>
      <c r="L351" t="n">
        <v>0</v>
      </c>
      <c r="M351" t="n">
        <v>0</v>
      </c>
      <c r="N351" t="n">
        <v>0</v>
      </c>
      <c r="O351" t="n">
        <v>0</v>
      </c>
      <c r="P351" t="n">
        <v>0</v>
      </c>
      <c r="Q351" t="n">
        <v>0</v>
      </c>
      <c r="R351" s="2" t="inlineStr"/>
    </row>
    <row r="352" ht="15" customHeight="1">
      <c r="A352" t="inlineStr">
        <is>
          <t>A 20954-2024</t>
        </is>
      </c>
      <c r="B352" s="1" t="n">
        <v>45439.56605324074</v>
      </c>
      <c r="C352" s="1" t="n">
        <v>46126</v>
      </c>
      <c r="D352" t="inlineStr">
        <is>
          <t>ÖREBRO LÄN</t>
        </is>
      </c>
      <c r="E352" t="inlineStr">
        <is>
          <t>LINDESBERG</t>
        </is>
      </c>
      <c r="G352" t="n">
        <v>0.9</v>
      </c>
      <c r="H352" t="n">
        <v>0</v>
      </c>
      <c r="I352" t="n">
        <v>0</v>
      </c>
      <c r="J352" t="n">
        <v>0</v>
      </c>
      <c r="K352" t="n">
        <v>0</v>
      </c>
      <c r="L352" t="n">
        <v>0</v>
      </c>
      <c r="M352" t="n">
        <v>0</v>
      </c>
      <c r="N352" t="n">
        <v>0</v>
      </c>
      <c r="O352" t="n">
        <v>0</v>
      </c>
      <c r="P352" t="n">
        <v>0</v>
      </c>
      <c r="Q352" t="n">
        <v>0</v>
      </c>
      <c r="R352" s="2" t="inlineStr"/>
    </row>
    <row r="353" ht="15" customHeight="1">
      <c r="A353" t="inlineStr">
        <is>
          <t>A 34237-2023</t>
        </is>
      </c>
      <c r="B353" s="1" t="n">
        <v>45138</v>
      </c>
      <c r="C353" s="1" t="n">
        <v>46126</v>
      </c>
      <c r="D353" t="inlineStr">
        <is>
          <t>ÖREBRO LÄN</t>
        </is>
      </c>
      <c r="E353" t="inlineStr">
        <is>
          <t>LINDESBERG</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32994-2023</t>
        </is>
      </c>
      <c r="B354" s="1" t="n">
        <v>45113</v>
      </c>
      <c r="C354" s="1" t="n">
        <v>46126</v>
      </c>
      <c r="D354" t="inlineStr">
        <is>
          <t>ÖREBRO LÄN</t>
        </is>
      </c>
      <c r="E354" t="inlineStr">
        <is>
          <t>LINDESBERG</t>
        </is>
      </c>
      <c r="G354" t="n">
        <v>2.3</v>
      </c>
      <c r="H354" t="n">
        <v>0</v>
      </c>
      <c r="I354" t="n">
        <v>0</v>
      </c>
      <c r="J354" t="n">
        <v>0</v>
      </c>
      <c r="K354" t="n">
        <v>0</v>
      </c>
      <c r="L354" t="n">
        <v>0</v>
      </c>
      <c r="M354" t="n">
        <v>0</v>
      </c>
      <c r="N354" t="n">
        <v>0</v>
      </c>
      <c r="O354" t="n">
        <v>0</v>
      </c>
      <c r="P354" t="n">
        <v>0</v>
      </c>
      <c r="Q354" t="n">
        <v>0</v>
      </c>
      <c r="R354" s="2" t="inlineStr"/>
    </row>
    <row r="355" ht="15" customHeight="1">
      <c r="A355" t="inlineStr">
        <is>
          <t>A 7120-2025</t>
        </is>
      </c>
      <c r="B355" s="1" t="n">
        <v>45702</v>
      </c>
      <c r="C355" s="1" t="n">
        <v>46126</v>
      </c>
      <c r="D355" t="inlineStr">
        <is>
          <t>ÖREBRO LÄN</t>
        </is>
      </c>
      <c r="E355" t="inlineStr">
        <is>
          <t>LINDESBERG</t>
        </is>
      </c>
      <c r="G355" t="n">
        <v>0.5</v>
      </c>
      <c r="H355" t="n">
        <v>0</v>
      </c>
      <c r="I355" t="n">
        <v>0</v>
      </c>
      <c r="J355" t="n">
        <v>0</v>
      </c>
      <c r="K355" t="n">
        <v>0</v>
      </c>
      <c r="L355" t="n">
        <v>0</v>
      </c>
      <c r="M355" t="n">
        <v>0</v>
      </c>
      <c r="N355" t="n">
        <v>0</v>
      </c>
      <c r="O355" t="n">
        <v>0</v>
      </c>
      <c r="P355" t="n">
        <v>0</v>
      </c>
      <c r="Q355" t="n">
        <v>0</v>
      </c>
      <c r="R355" s="2" t="inlineStr"/>
    </row>
    <row r="356" ht="15" customHeight="1">
      <c r="A356" t="inlineStr">
        <is>
          <t>A 36773-2024</t>
        </is>
      </c>
      <c r="B356" s="1" t="n">
        <v>45538</v>
      </c>
      <c r="C356" s="1" t="n">
        <v>46126</v>
      </c>
      <c r="D356" t="inlineStr">
        <is>
          <t>ÖREBRO LÄN</t>
        </is>
      </c>
      <c r="E356" t="inlineStr">
        <is>
          <t>LINDESBERG</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42630-2025</t>
        </is>
      </c>
      <c r="B357" s="1" t="n">
        <v>45905.89143518519</v>
      </c>
      <c r="C357" s="1" t="n">
        <v>46126</v>
      </c>
      <c r="D357" t="inlineStr">
        <is>
          <t>ÖREBRO LÄN</t>
        </is>
      </c>
      <c r="E357" t="inlineStr">
        <is>
          <t>LINDESBERG</t>
        </is>
      </c>
      <c r="F357" t="inlineStr">
        <is>
          <t>Sveaskog</t>
        </is>
      </c>
      <c r="G357" t="n">
        <v>9.9</v>
      </c>
      <c r="H357" t="n">
        <v>0</v>
      </c>
      <c r="I357" t="n">
        <v>0</v>
      </c>
      <c r="J357" t="n">
        <v>0</v>
      </c>
      <c r="K357" t="n">
        <v>0</v>
      </c>
      <c r="L357" t="n">
        <v>0</v>
      </c>
      <c r="M357" t="n">
        <v>0</v>
      </c>
      <c r="N357" t="n">
        <v>0</v>
      </c>
      <c r="O357" t="n">
        <v>0</v>
      </c>
      <c r="P357" t="n">
        <v>0</v>
      </c>
      <c r="Q357" t="n">
        <v>0</v>
      </c>
      <c r="R357" s="2" t="inlineStr"/>
    </row>
    <row r="358" ht="15" customHeight="1">
      <c r="A358" t="inlineStr">
        <is>
          <t>A 53897-2024</t>
        </is>
      </c>
      <c r="B358" s="1" t="n">
        <v>45615.69570601852</v>
      </c>
      <c r="C358" s="1" t="n">
        <v>46126</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36170-2021</t>
        </is>
      </c>
      <c r="B359" s="1" t="n">
        <v>44389</v>
      </c>
      <c r="C359" s="1" t="n">
        <v>46126</v>
      </c>
      <c r="D359" t="inlineStr">
        <is>
          <t>ÖREBRO LÄN</t>
        </is>
      </c>
      <c r="E359" t="inlineStr">
        <is>
          <t>LINDESBERG</t>
        </is>
      </c>
      <c r="G359" t="n">
        <v>0.4</v>
      </c>
      <c r="H359" t="n">
        <v>0</v>
      </c>
      <c r="I359" t="n">
        <v>0</v>
      </c>
      <c r="J359" t="n">
        <v>0</v>
      </c>
      <c r="K359" t="n">
        <v>0</v>
      </c>
      <c r="L359" t="n">
        <v>0</v>
      </c>
      <c r="M359" t="n">
        <v>0</v>
      </c>
      <c r="N359" t="n">
        <v>0</v>
      </c>
      <c r="O359" t="n">
        <v>0</v>
      </c>
      <c r="P359" t="n">
        <v>0</v>
      </c>
      <c r="Q359" t="n">
        <v>0</v>
      </c>
      <c r="R359" s="2" t="inlineStr"/>
    </row>
    <row r="360" ht="15" customHeight="1">
      <c r="A360" t="inlineStr">
        <is>
          <t>A 13305-2023</t>
        </is>
      </c>
      <c r="B360" s="1" t="n">
        <v>45005.35967592592</v>
      </c>
      <c r="C360" s="1" t="n">
        <v>46126</v>
      </c>
      <c r="D360" t="inlineStr">
        <is>
          <t>ÖREBRO LÄN</t>
        </is>
      </c>
      <c r="E360" t="inlineStr">
        <is>
          <t>LINDESBERG</t>
        </is>
      </c>
      <c r="G360" t="n">
        <v>5.5</v>
      </c>
      <c r="H360" t="n">
        <v>0</v>
      </c>
      <c r="I360" t="n">
        <v>0</v>
      </c>
      <c r="J360" t="n">
        <v>0</v>
      </c>
      <c r="K360" t="n">
        <v>0</v>
      </c>
      <c r="L360" t="n">
        <v>0</v>
      </c>
      <c r="M360" t="n">
        <v>0</v>
      </c>
      <c r="N360" t="n">
        <v>0</v>
      </c>
      <c r="O360" t="n">
        <v>0</v>
      </c>
      <c r="P360" t="n">
        <v>0</v>
      </c>
      <c r="Q360" t="n">
        <v>0</v>
      </c>
      <c r="R360" s="2" t="inlineStr"/>
    </row>
    <row r="361" ht="15" customHeight="1">
      <c r="A361" t="inlineStr">
        <is>
          <t>A 12692-2024</t>
        </is>
      </c>
      <c r="B361" s="1" t="n">
        <v>45384.43418981481</v>
      </c>
      <c r="C361" s="1" t="n">
        <v>46126</v>
      </c>
      <c r="D361" t="inlineStr">
        <is>
          <t>ÖREBRO LÄN</t>
        </is>
      </c>
      <c r="E361" t="inlineStr">
        <is>
          <t>LINDESBERG</t>
        </is>
      </c>
      <c r="G361" t="n">
        <v>5.2</v>
      </c>
      <c r="H361" t="n">
        <v>0</v>
      </c>
      <c r="I361" t="n">
        <v>0</v>
      </c>
      <c r="J361" t="n">
        <v>0</v>
      </c>
      <c r="K361" t="n">
        <v>0</v>
      </c>
      <c r="L361" t="n">
        <v>0</v>
      </c>
      <c r="M361" t="n">
        <v>0</v>
      </c>
      <c r="N361" t="n">
        <v>0</v>
      </c>
      <c r="O361" t="n">
        <v>0</v>
      </c>
      <c r="P361" t="n">
        <v>0</v>
      </c>
      <c r="Q361" t="n">
        <v>0</v>
      </c>
      <c r="R361" s="2" t="inlineStr"/>
    </row>
    <row r="362" ht="15" customHeight="1">
      <c r="A362" t="inlineStr">
        <is>
          <t>A 13368-2023</t>
        </is>
      </c>
      <c r="B362" s="1" t="n">
        <v>45005.47820601852</v>
      </c>
      <c r="C362" s="1" t="n">
        <v>46126</v>
      </c>
      <c r="D362" t="inlineStr">
        <is>
          <t>ÖREBRO LÄN</t>
        </is>
      </c>
      <c r="E362" t="inlineStr">
        <is>
          <t>LINDESBERG</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15325-2024</t>
        </is>
      </c>
      <c r="B363" s="1" t="n">
        <v>45400.6709837963</v>
      </c>
      <c r="C363" s="1" t="n">
        <v>46126</v>
      </c>
      <c r="D363" t="inlineStr">
        <is>
          <t>ÖREBRO LÄN</t>
        </is>
      </c>
      <c r="E363" t="inlineStr">
        <is>
          <t>LINDESBERG</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29942-2024</t>
        </is>
      </c>
      <c r="B364" s="1" t="n">
        <v>45488.42258101852</v>
      </c>
      <c r="C364" s="1" t="n">
        <v>46126</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8834-2023</t>
        </is>
      </c>
      <c r="B365" s="1" t="n">
        <v>44978</v>
      </c>
      <c r="C365" s="1" t="n">
        <v>46126</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42631-2025</t>
        </is>
      </c>
      <c r="B366" s="1" t="n">
        <v>45905.89236111111</v>
      </c>
      <c r="C366" s="1" t="n">
        <v>46126</v>
      </c>
      <c r="D366" t="inlineStr">
        <is>
          <t>ÖREBRO LÄN</t>
        </is>
      </c>
      <c r="E366" t="inlineStr">
        <is>
          <t>LINDESBERG</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42632-2025</t>
        </is>
      </c>
      <c r="B367" s="1" t="n">
        <v>45905.89329861111</v>
      </c>
      <c r="C367" s="1" t="n">
        <v>46126</v>
      </c>
      <c r="D367" t="inlineStr">
        <is>
          <t>ÖREBRO LÄN</t>
        </is>
      </c>
      <c r="E367" t="inlineStr">
        <is>
          <t>LINDESBERG</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47110-2024</t>
        </is>
      </c>
      <c r="B368" s="1" t="n">
        <v>45586.55451388889</v>
      </c>
      <c r="C368" s="1" t="n">
        <v>46126</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10822-2023</t>
        </is>
      </c>
      <c r="B369" s="1" t="n">
        <v>44990</v>
      </c>
      <c r="C369" s="1" t="n">
        <v>46126</v>
      </c>
      <c r="D369" t="inlineStr">
        <is>
          <t>ÖREBRO LÄN</t>
        </is>
      </c>
      <c r="E369" t="inlineStr">
        <is>
          <t>LINDESBERG</t>
        </is>
      </c>
      <c r="G369" t="n">
        <v>1.3</v>
      </c>
      <c r="H369" t="n">
        <v>0</v>
      </c>
      <c r="I369" t="n">
        <v>0</v>
      </c>
      <c r="J369" t="n">
        <v>0</v>
      </c>
      <c r="K369" t="n">
        <v>0</v>
      </c>
      <c r="L369" t="n">
        <v>0</v>
      </c>
      <c r="M369" t="n">
        <v>0</v>
      </c>
      <c r="N369" t="n">
        <v>0</v>
      </c>
      <c r="O369" t="n">
        <v>0</v>
      </c>
      <c r="P369" t="n">
        <v>0</v>
      </c>
      <c r="Q369" t="n">
        <v>0</v>
      </c>
      <c r="R369" s="2" t="inlineStr"/>
    </row>
    <row r="370" ht="15" customHeight="1">
      <c r="A370" t="inlineStr">
        <is>
          <t>A 7119-2025</t>
        </is>
      </c>
      <c r="B370" s="1" t="n">
        <v>45702</v>
      </c>
      <c r="C370" s="1" t="n">
        <v>46126</v>
      </c>
      <c r="D370" t="inlineStr">
        <is>
          <t>ÖREBRO LÄN</t>
        </is>
      </c>
      <c r="E370" t="inlineStr">
        <is>
          <t>LINDESBERG</t>
        </is>
      </c>
      <c r="G370" t="n">
        <v>0.9</v>
      </c>
      <c r="H370" t="n">
        <v>0</v>
      </c>
      <c r="I370" t="n">
        <v>0</v>
      </c>
      <c r="J370" t="n">
        <v>0</v>
      </c>
      <c r="K370" t="n">
        <v>0</v>
      </c>
      <c r="L370" t="n">
        <v>0</v>
      </c>
      <c r="M370" t="n">
        <v>0</v>
      </c>
      <c r="N370" t="n">
        <v>0</v>
      </c>
      <c r="O370" t="n">
        <v>0</v>
      </c>
      <c r="P370" t="n">
        <v>0</v>
      </c>
      <c r="Q370" t="n">
        <v>0</v>
      </c>
      <c r="R370" s="2" t="inlineStr"/>
    </row>
    <row r="371" ht="15" customHeight="1">
      <c r="A371" t="inlineStr">
        <is>
          <t>A 20804-2025</t>
        </is>
      </c>
      <c r="B371" s="1" t="n">
        <v>45776.65518518518</v>
      </c>
      <c r="C371" s="1" t="n">
        <v>46126</v>
      </c>
      <c r="D371" t="inlineStr">
        <is>
          <t>ÖREBRO LÄN</t>
        </is>
      </c>
      <c r="E371" t="inlineStr">
        <is>
          <t>LINDESBERG</t>
        </is>
      </c>
      <c r="G371" t="n">
        <v>3.2</v>
      </c>
      <c r="H371" t="n">
        <v>0</v>
      </c>
      <c r="I371" t="n">
        <v>0</v>
      </c>
      <c r="J371" t="n">
        <v>0</v>
      </c>
      <c r="K371" t="n">
        <v>0</v>
      </c>
      <c r="L371" t="n">
        <v>0</v>
      </c>
      <c r="M371" t="n">
        <v>0</v>
      </c>
      <c r="N371" t="n">
        <v>0</v>
      </c>
      <c r="O371" t="n">
        <v>0</v>
      </c>
      <c r="P371" t="n">
        <v>0</v>
      </c>
      <c r="Q371" t="n">
        <v>0</v>
      </c>
      <c r="R371" s="2" t="inlineStr"/>
    </row>
    <row r="372" ht="15" customHeight="1">
      <c r="A372" t="inlineStr">
        <is>
          <t>A 21468-2024</t>
        </is>
      </c>
      <c r="B372" s="1" t="n">
        <v>45441.48670138889</v>
      </c>
      <c r="C372" s="1" t="n">
        <v>46126</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54855-2024</t>
        </is>
      </c>
      <c r="B373" s="1" t="n">
        <v>45618.58622685185</v>
      </c>
      <c r="C373" s="1" t="n">
        <v>46126</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6727-2022</t>
        </is>
      </c>
      <c r="B374" s="1" t="n">
        <v>44602.45490740741</v>
      </c>
      <c r="C374" s="1" t="n">
        <v>46126</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20923-2025</t>
        </is>
      </c>
      <c r="B375" s="1" t="n">
        <v>45777.41673611111</v>
      </c>
      <c r="C375" s="1" t="n">
        <v>46126</v>
      </c>
      <c r="D375" t="inlineStr">
        <is>
          <t>ÖREBRO LÄN</t>
        </is>
      </c>
      <c r="E375" t="inlineStr">
        <is>
          <t>LINDESBERG</t>
        </is>
      </c>
      <c r="F375" t="inlineStr">
        <is>
          <t>Sveaskog</t>
        </is>
      </c>
      <c r="G375" t="n">
        <v>10.3</v>
      </c>
      <c r="H375" t="n">
        <v>0</v>
      </c>
      <c r="I375" t="n">
        <v>0</v>
      </c>
      <c r="J375" t="n">
        <v>0</v>
      </c>
      <c r="K375" t="n">
        <v>0</v>
      </c>
      <c r="L375" t="n">
        <v>0</v>
      </c>
      <c r="M375" t="n">
        <v>0</v>
      </c>
      <c r="N375" t="n">
        <v>0</v>
      </c>
      <c r="O375" t="n">
        <v>0</v>
      </c>
      <c r="P375" t="n">
        <v>0</v>
      </c>
      <c r="Q375" t="n">
        <v>0</v>
      </c>
      <c r="R375" s="2" t="inlineStr"/>
    </row>
    <row r="376" ht="15" customHeight="1">
      <c r="A376" t="inlineStr">
        <is>
          <t>A 20950-2025</t>
        </is>
      </c>
      <c r="B376" s="1" t="n">
        <v>45777.43878472222</v>
      </c>
      <c r="C376" s="1" t="n">
        <v>46126</v>
      </c>
      <c r="D376" t="inlineStr">
        <is>
          <t>ÖREBRO LÄN</t>
        </is>
      </c>
      <c r="E376" t="inlineStr">
        <is>
          <t>LINDESBERG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12795-2025</t>
        </is>
      </c>
      <c r="B377" s="1" t="n">
        <v>45733.60959490741</v>
      </c>
      <c r="C377" s="1" t="n">
        <v>46126</v>
      </c>
      <c r="D377" t="inlineStr">
        <is>
          <t>ÖREBRO LÄN</t>
        </is>
      </c>
      <c r="E377" t="inlineStr">
        <is>
          <t>LINDESBERG</t>
        </is>
      </c>
      <c r="G377" t="n">
        <v>10.8</v>
      </c>
      <c r="H377" t="n">
        <v>0</v>
      </c>
      <c r="I377" t="n">
        <v>0</v>
      </c>
      <c r="J377" t="n">
        <v>0</v>
      </c>
      <c r="K377" t="n">
        <v>0</v>
      </c>
      <c r="L377" t="n">
        <v>0</v>
      </c>
      <c r="M377" t="n">
        <v>0</v>
      </c>
      <c r="N377" t="n">
        <v>0</v>
      </c>
      <c r="O377" t="n">
        <v>0</v>
      </c>
      <c r="P377" t="n">
        <v>0</v>
      </c>
      <c r="Q377" t="n">
        <v>0</v>
      </c>
      <c r="R377" s="2" t="inlineStr"/>
    </row>
    <row r="378" ht="15" customHeight="1">
      <c r="A378" t="inlineStr">
        <is>
          <t>A 6723-2022</t>
        </is>
      </c>
      <c r="B378" s="1" t="n">
        <v>44602.45162037037</v>
      </c>
      <c r="C378" s="1" t="n">
        <v>46126</v>
      </c>
      <c r="D378" t="inlineStr">
        <is>
          <t>ÖREBRO LÄN</t>
        </is>
      </c>
      <c r="E378" t="inlineStr">
        <is>
          <t>LINDESBERG</t>
        </is>
      </c>
      <c r="G378" t="n">
        <v>4.2</v>
      </c>
      <c r="H378" t="n">
        <v>0</v>
      </c>
      <c r="I378" t="n">
        <v>0</v>
      </c>
      <c r="J378" t="n">
        <v>0</v>
      </c>
      <c r="K378" t="n">
        <v>0</v>
      </c>
      <c r="L378" t="n">
        <v>0</v>
      </c>
      <c r="M378" t="n">
        <v>0</v>
      </c>
      <c r="N378" t="n">
        <v>0</v>
      </c>
      <c r="O378" t="n">
        <v>0</v>
      </c>
      <c r="P378" t="n">
        <v>0</v>
      </c>
      <c r="Q378" t="n">
        <v>0</v>
      </c>
      <c r="R378" s="2" t="inlineStr"/>
    </row>
    <row r="379" ht="15" customHeight="1">
      <c r="A379" t="inlineStr">
        <is>
          <t>A 20930-2025</t>
        </is>
      </c>
      <c r="B379" s="1" t="n">
        <v>45777.42628472222</v>
      </c>
      <c r="C379" s="1" t="n">
        <v>46126</v>
      </c>
      <c r="D379" t="inlineStr">
        <is>
          <t>ÖREBRO LÄN</t>
        </is>
      </c>
      <c r="E379" t="inlineStr">
        <is>
          <t>LINDESBERG</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37843-2025</t>
        </is>
      </c>
      <c r="B380" s="1" t="n">
        <v>45881.43759259259</v>
      </c>
      <c r="C380" s="1" t="n">
        <v>46126</v>
      </c>
      <c r="D380" t="inlineStr">
        <is>
          <t>ÖREBRO LÄN</t>
        </is>
      </c>
      <c r="E380" t="inlineStr">
        <is>
          <t>LINDESBERG</t>
        </is>
      </c>
      <c r="G380" t="n">
        <v>5.2</v>
      </c>
      <c r="H380" t="n">
        <v>0</v>
      </c>
      <c r="I380" t="n">
        <v>0</v>
      </c>
      <c r="J380" t="n">
        <v>0</v>
      </c>
      <c r="K380" t="n">
        <v>0</v>
      </c>
      <c r="L380" t="n">
        <v>0</v>
      </c>
      <c r="M380" t="n">
        <v>0</v>
      </c>
      <c r="N380" t="n">
        <v>0</v>
      </c>
      <c r="O380" t="n">
        <v>0</v>
      </c>
      <c r="P380" t="n">
        <v>0</v>
      </c>
      <c r="Q380" t="n">
        <v>0</v>
      </c>
      <c r="R380" s="2" t="inlineStr"/>
    </row>
    <row r="381" ht="15" customHeight="1">
      <c r="A381" t="inlineStr">
        <is>
          <t>A 20944-2025</t>
        </is>
      </c>
      <c r="B381" s="1" t="n">
        <v>45777</v>
      </c>
      <c r="C381" s="1" t="n">
        <v>46126</v>
      </c>
      <c r="D381" t="inlineStr">
        <is>
          <t>ÖREBRO LÄN</t>
        </is>
      </c>
      <c r="E381" t="inlineStr">
        <is>
          <t>LINDESBERG</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11581-2024</t>
        </is>
      </c>
      <c r="B382" s="1" t="n">
        <v>45373.34383101852</v>
      </c>
      <c r="C382" s="1" t="n">
        <v>46126</v>
      </c>
      <c r="D382" t="inlineStr">
        <is>
          <t>ÖREBRO LÄN</t>
        </is>
      </c>
      <c r="E382" t="inlineStr">
        <is>
          <t>LINDESBERG</t>
        </is>
      </c>
      <c r="F382" t="inlineStr">
        <is>
          <t>BillerudKorsnäs AB</t>
        </is>
      </c>
      <c r="G382" t="n">
        <v>3.9</v>
      </c>
      <c r="H382" t="n">
        <v>0</v>
      </c>
      <c r="I382" t="n">
        <v>0</v>
      </c>
      <c r="J382" t="n">
        <v>0</v>
      </c>
      <c r="K382" t="n">
        <v>0</v>
      </c>
      <c r="L382" t="n">
        <v>0</v>
      </c>
      <c r="M382" t="n">
        <v>0</v>
      </c>
      <c r="N382" t="n">
        <v>0</v>
      </c>
      <c r="O382" t="n">
        <v>0</v>
      </c>
      <c r="P382" t="n">
        <v>0</v>
      </c>
      <c r="Q382" t="n">
        <v>0</v>
      </c>
      <c r="R382" s="2" t="inlineStr"/>
    </row>
    <row r="383" ht="15" customHeight="1">
      <c r="A383" t="inlineStr">
        <is>
          <t>A 4997-2024</t>
        </is>
      </c>
      <c r="B383" s="1" t="n">
        <v>45329</v>
      </c>
      <c r="C383" s="1" t="n">
        <v>46126</v>
      </c>
      <c r="D383" t="inlineStr">
        <is>
          <t>ÖREBRO LÄN</t>
        </is>
      </c>
      <c r="E383" t="inlineStr">
        <is>
          <t>LINDESBERG</t>
        </is>
      </c>
      <c r="F383" t="inlineStr">
        <is>
          <t>BillerudKorsnäs AB</t>
        </is>
      </c>
      <c r="G383" t="n">
        <v>3</v>
      </c>
      <c r="H383" t="n">
        <v>0</v>
      </c>
      <c r="I383" t="n">
        <v>0</v>
      </c>
      <c r="J383" t="n">
        <v>0</v>
      </c>
      <c r="K383" t="n">
        <v>0</v>
      </c>
      <c r="L383" t="n">
        <v>0</v>
      </c>
      <c r="M383" t="n">
        <v>0</v>
      </c>
      <c r="N383" t="n">
        <v>0</v>
      </c>
      <c r="O383" t="n">
        <v>0</v>
      </c>
      <c r="P383" t="n">
        <v>0</v>
      </c>
      <c r="Q383" t="n">
        <v>0</v>
      </c>
      <c r="R383" s="2" t="inlineStr"/>
    </row>
    <row r="384" ht="15" customHeight="1">
      <c r="A384" t="inlineStr">
        <is>
          <t>A 36893-2024</t>
        </is>
      </c>
      <c r="B384" s="1" t="n">
        <v>45538</v>
      </c>
      <c r="C384" s="1" t="n">
        <v>46126</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43837-2025</t>
        </is>
      </c>
      <c r="B385" s="1" t="n">
        <v>45912.63451388889</v>
      </c>
      <c r="C385" s="1" t="n">
        <v>46126</v>
      </c>
      <c r="D385" t="inlineStr">
        <is>
          <t>ÖREBRO LÄN</t>
        </is>
      </c>
      <c r="E385" t="inlineStr">
        <is>
          <t>LINDESBERG</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35230-2024</t>
        </is>
      </c>
      <c r="B386" s="1" t="n">
        <v>45530</v>
      </c>
      <c r="C386" s="1" t="n">
        <v>46126</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43847-2025</t>
        </is>
      </c>
      <c r="B387" s="1" t="n">
        <v>45912.63751157407</v>
      </c>
      <c r="C387" s="1" t="n">
        <v>46126</v>
      </c>
      <c r="D387" t="inlineStr">
        <is>
          <t>ÖREBRO LÄN</t>
        </is>
      </c>
      <c r="E387" t="inlineStr">
        <is>
          <t>LINDESBERG</t>
        </is>
      </c>
      <c r="F387" t="inlineStr">
        <is>
          <t>Sveaskog</t>
        </is>
      </c>
      <c r="G387" t="n">
        <v>3.4</v>
      </c>
      <c r="H387" t="n">
        <v>0</v>
      </c>
      <c r="I387" t="n">
        <v>0</v>
      </c>
      <c r="J387" t="n">
        <v>0</v>
      </c>
      <c r="K387" t="n">
        <v>0</v>
      </c>
      <c r="L387" t="n">
        <v>0</v>
      </c>
      <c r="M387" t="n">
        <v>0</v>
      </c>
      <c r="N387" t="n">
        <v>0</v>
      </c>
      <c r="O387" t="n">
        <v>0</v>
      </c>
      <c r="P387" t="n">
        <v>0</v>
      </c>
      <c r="Q387" t="n">
        <v>0</v>
      </c>
      <c r="R387" s="2" t="inlineStr"/>
    </row>
    <row r="388" ht="15" customHeight="1">
      <c r="A388" t="inlineStr">
        <is>
          <t>A 43836-2025</t>
        </is>
      </c>
      <c r="B388" s="1" t="n">
        <v>45912.63359953704</v>
      </c>
      <c r="C388" s="1" t="n">
        <v>46126</v>
      </c>
      <c r="D388" t="inlineStr">
        <is>
          <t>ÖREBRO LÄN</t>
        </is>
      </c>
      <c r="E388" t="inlineStr">
        <is>
          <t>LINDESBERG</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46126</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21812-2025</t>
        </is>
      </c>
      <c r="B390" s="1" t="n">
        <v>45783.71833333333</v>
      </c>
      <c r="C390" s="1" t="n">
        <v>46126</v>
      </c>
      <c r="D390" t="inlineStr">
        <is>
          <t>ÖREBRO LÄN</t>
        </is>
      </c>
      <c r="E390" t="inlineStr">
        <is>
          <t>LINDESBERG</t>
        </is>
      </c>
      <c r="G390" t="n">
        <v>0.9</v>
      </c>
      <c r="H390" t="n">
        <v>0</v>
      </c>
      <c r="I390" t="n">
        <v>0</v>
      </c>
      <c r="J390" t="n">
        <v>0</v>
      </c>
      <c r="K390" t="n">
        <v>0</v>
      </c>
      <c r="L390" t="n">
        <v>0</v>
      </c>
      <c r="M390" t="n">
        <v>0</v>
      </c>
      <c r="N390" t="n">
        <v>0</v>
      </c>
      <c r="O390" t="n">
        <v>0</v>
      </c>
      <c r="P390" t="n">
        <v>0</v>
      </c>
      <c r="Q390" t="n">
        <v>0</v>
      </c>
      <c r="R390" s="2" t="inlineStr"/>
    </row>
    <row r="391" ht="15" customHeight="1">
      <c r="A391" t="inlineStr">
        <is>
          <t>A 31861-2024</t>
        </is>
      </c>
      <c r="B391" s="1" t="n">
        <v>45509.73383101852</v>
      </c>
      <c r="C391" s="1" t="n">
        <v>46126</v>
      </c>
      <c r="D391" t="inlineStr">
        <is>
          <t>ÖREBRO LÄN</t>
        </is>
      </c>
      <c r="E391" t="inlineStr">
        <is>
          <t>LINDESBERG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10564-2023</t>
        </is>
      </c>
      <c r="B392" s="1" t="n">
        <v>44988</v>
      </c>
      <c r="C392" s="1" t="n">
        <v>46126</v>
      </c>
      <c r="D392" t="inlineStr">
        <is>
          <t>ÖREBRO LÄN</t>
        </is>
      </c>
      <c r="E392" t="inlineStr">
        <is>
          <t>LINDESBERG</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43195-2024</t>
        </is>
      </c>
      <c r="B393" s="1" t="n">
        <v>45567.68003472222</v>
      </c>
      <c r="C393" s="1" t="n">
        <v>46126</v>
      </c>
      <c r="D393" t="inlineStr">
        <is>
          <t>ÖREBRO LÄN</t>
        </is>
      </c>
      <c r="E393" t="inlineStr">
        <is>
          <t>LINDESBERG</t>
        </is>
      </c>
      <c r="G393" t="n">
        <v>27.8</v>
      </c>
      <c r="H393" t="n">
        <v>0</v>
      </c>
      <c r="I393" t="n">
        <v>0</v>
      </c>
      <c r="J393" t="n">
        <v>0</v>
      </c>
      <c r="K393" t="n">
        <v>0</v>
      </c>
      <c r="L393" t="n">
        <v>0</v>
      </c>
      <c r="M393" t="n">
        <v>0</v>
      </c>
      <c r="N393" t="n">
        <v>0</v>
      </c>
      <c r="O393" t="n">
        <v>0</v>
      </c>
      <c r="P393" t="n">
        <v>0</v>
      </c>
      <c r="Q393" t="n">
        <v>0</v>
      </c>
      <c r="R393" s="2" t="inlineStr"/>
    </row>
    <row r="394" ht="15" customHeight="1">
      <c r="A394" t="inlineStr">
        <is>
          <t>A 44041-2025</t>
        </is>
      </c>
      <c r="B394" s="1" t="n">
        <v>45915.49238425926</v>
      </c>
      <c r="C394" s="1" t="n">
        <v>46126</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24583-2024</t>
        </is>
      </c>
      <c r="B395" s="1" t="n">
        <v>45460.46358796296</v>
      </c>
      <c r="C395" s="1" t="n">
        <v>46126</v>
      </c>
      <c r="D395" t="inlineStr">
        <is>
          <t>ÖREBRO LÄN</t>
        </is>
      </c>
      <c r="E395" t="inlineStr">
        <is>
          <t>LINDESBERG</t>
        </is>
      </c>
      <c r="G395" t="n">
        <v>13.7</v>
      </c>
      <c r="H395" t="n">
        <v>0</v>
      </c>
      <c r="I395" t="n">
        <v>0</v>
      </c>
      <c r="J395" t="n">
        <v>0</v>
      </c>
      <c r="K395" t="n">
        <v>0</v>
      </c>
      <c r="L395" t="n">
        <v>0</v>
      </c>
      <c r="M395" t="n">
        <v>0</v>
      </c>
      <c r="N395" t="n">
        <v>0</v>
      </c>
      <c r="O395" t="n">
        <v>0</v>
      </c>
      <c r="P395" t="n">
        <v>0</v>
      </c>
      <c r="Q395" t="n">
        <v>0</v>
      </c>
      <c r="R395" s="2" t="inlineStr"/>
    </row>
    <row r="396" ht="15" customHeight="1">
      <c r="A396" t="inlineStr">
        <is>
          <t>A 28776-2023</t>
        </is>
      </c>
      <c r="B396" s="1" t="n">
        <v>45104.34107638889</v>
      </c>
      <c r="C396" s="1" t="n">
        <v>46126</v>
      </c>
      <c r="D396" t="inlineStr">
        <is>
          <t>ÖREBRO LÄN</t>
        </is>
      </c>
      <c r="E396" t="inlineStr">
        <is>
          <t>LINDESBERG</t>
        </is>
      </c>
      <c r="F396" t="inlineStr">
        <is>
          <t>Sveaskog</t>
        </is>
      </c>
      <c r="G396" t="n">
        <v>4.1</v>
      </c>
      <c r="H396" t="n">
        <v>0</v>
      </c>
      <c r="I396" t="n">
        <v>0</v>
      </c>
      <c r="J396" t="n">
        <v>0</v>
      </c>
      <c r="K396" t="n">
        <v>0</v>
      </c>
      <c r="L396" t="n">
        <v>0</v>
      </c>
      <c r="M396" t="n">
        <v>0</v>
      </c>
      <c r="N396" t="n">
        <v>0</v>
      </c>
      <c r="O396" t="n">
        <v>0</v>
      </c>
      <c r="P396" t="n">
        <v>0</v>
      </c>
      <c r="Q396" t="n">
        <v>0</v>
      </c>
      <c r="R396" s="2" t="inlineStr"/>
    </row>
    <row r="397" ht="15" customHeight="1">
      <c r="A397" t="inlineStr">
        <is>
          <t>A 14185-2024</t>
        </is>
      </c>
      <c r="B397" s="1" t="n">
        <v>45393.3562962963</v>
      </c>
      <c r="C397" s="1" t="n">
        <v>46126</v>
      </c>
      <c r="D397" t="inlineStr">
        <is>
          <t>ÖREBRO LÄN</t>
        </is>
      </c>
      <c r="E397" t="inlineStr">
        <is>
          <t>LINDESBERG</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44077-2025</t>
        </is>
      </c>
      <c r="B398" s="1" t="n">
        <v>45915.54983796296</v>
      </c>
      <c r="C398" s="1" t="n">
        <v>46126</v>
      </c>
      <c r="D398" t="inlineStr">
        <is>
          <t>ÖREBRO LÄN</t>
        </is>
      </c>
      <c r="E398" t="inlineStr">
        <is>
          <t>LINDESBERG</t>
        </is>
      </c>
      <c r="G398" t="n">
        <v>4.2</v>
      </c>
      <c r="H398" t="n">
        <v>0</v>
      </c>
      <c r="I398" t="n">
        <v>0</v>
      </c>
      <c r="J398" t="n">
        <v>0</v>
      </c>
      <c r="K398" t="n">
        <v>0</v>
      </c>
      <c r="L398" t="n">
        <v>0</v>
      </c>
      <c r="M398" t="n">
        <v>0</v>
      </c>
      <c r="N398" t="n">
        <v>0</v>
      </c>
      <c r="O398" t="n">
        <v>0</v>
      </c>
      <c r="P398" t="n">
        <v>0</v>
      </c>
      <c r="Q398" t="n">
        <v>0</v>
      </c>
      <c r="R398" s="2" t="inlineStr"/>
    </row>
    <row r="399" ht="15" customHeight="1">
      <c r="A399" t="inlineStr">
        <is>
          <t>A 11218-2025</t>
        </is>
      </c>
      <c r="B399" s="1" t="n">
        <v>45726.33763888889</v>
      </c>
      <c r="C399" s="1" t="n">
        <v>46126</v>
      </c>
      <c r="D399" t="inlineStr">
        <is>
          <t>ÖREBRO LÄN</t>
        </is>
      </c>
      <c r="E399" t="inlineStr">
        <is>
          <t>LINDESBERG</t>
        </is>
      </c>
      <c r="G399" t="n">
        <v>0.4</v>
      </c>
      <c r="H399" t="n">
        <v>0</v>
      </c>
      <c r="I399" t="n">
        <v>0</v>
      </c>
      <c r="J399" t="n">
        <v>0</v>
      </c>
      <c r="K399" t="n">
        <v>0</v>
      </c>
      <c r="L399" t="n">
        <v>0</v>
      </c>
      <c r="M399" t="n">
        <v>0</v>
      </c>
      <c r="N399" t="n">
        <v>0</v>
      </c>
      <c r="O399" t="n">
        <v>0</v>
      </c>
      <c r="P399" t="n">
        <v>0</v>
      </c>
      <c r="Q399" t="n">
        <v>0</v>
      </c>
      <c r="R399" s="2" t="inlineStr"/>
    </row>
    <row r="400" ht="15" customHeight="1">
      <c r="A400" t="inlineStr">
        <is>
          <t>A 9198-2025</t>
        </is>
      </c>
      <c r="B400" s="1" t="n">
        <v>45714</v>
      </c>
      <c r="C400" s="1" t="n">
        <v>46126</v>
      </c>
      <c r="D400" t="inlineStr">
        <is>
          <t>ÖREBRO LÄN</t>
        </is>
      </c>
      <c r="E400" t="inlineStr">
        <is>
          <t>LINDESBERG</t>
        </is>
      </c>
      <c r="G400" t="n">
        <v>3.3</v>
      </c>
      <c r="H400" t="n">
        <v>0</v>
      </c>
      <c r="I400" t="n">
        <v>0</v>
      </c>
      <c r="J400" t="n">
        <v>0</v>
      </c>
      <c r="K400" t="n">
        <v>0</v>
      </c>
      <c r="L400" t="n">
        <v>0</v>
      </c>
      <c r="M400" t="n">
        <v>0</v>
      </c>
      <c r="N400" t="n">
        <v>0</v>
      </c>
      <c r="O400" t="n">
        <v>0</v>
      </c>
      <c r="P400" t="n">
        <v>0</v>
      </c>
      <c r="Q400" t="n">
        <v>0</v>
      </c>
      <c r="R400" s="2" t="inlineStr"/>
    </row>
    <row r="401" ht="15" customHeight="1">
      <c r="A401" t="inlineStr">
        <is>
          <t>A 11220-2025</t>
        </is>
      </c>
      <c r="B401" s="1" t="n">
        <v>45726.34090277777</v>
      </c>
      <c r="C401" s="1" t="n">
        <v>46126</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43801-2024</t>
        </is>
      </c>
      <c r="B402" s="1" t="n">
        <v>45571.71736111111</v>
      </c>
      <c r="C402" s="1" t="n">
        <v>46126</v>
      </c>
      <c r="D402" t="inlineStr">
        <is>
          <t>ÖREBRO LÄN</t>
        </is>
      </c>
      <c r="E402" t="inlineStr">
        <is>
          <t>LINDESBERG</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61222-2022</t>
        </is>
      </c>
      <c r="B403" s="1" t="n">
        <v>44909</v>
      </c>
      <c r="C403" s="1" t="n">
        <v>46126</v>
      </c>
      <c r="D403" t="inlineStr">
        <is>
          <t>ÖREBRO LÄN</t>
        </is>
      </c>
      <c r="E403" t="inlineStr">
        <is>
          <t>LINDESBERG</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72331-2021</t>
        </is>
      </c>
      <c r="B404" s="1" t="n">
        <v>44544</v>
      </c>
      <c r="C404" s="1" t="n">
        <v>46126</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45062-2022</t>
        </is>
      </c>
      <c r="B405" s="1" t="n">
        <v>44841</v>
      </c>
      <c r="C405" s="1" t="n">
        <v>46126</v>
      </c>
      <c r="D405" t="inlineStr">
        <is>
          <t>ÖREBRO LÄN</t>
        </is>
      </c>
      <c r="E405" t="inlineStr">
        <is>
          <t>LINDESBERG</t>
        </is>
      </c>
      <c r="G405" t="n">
        <v>2</v>
      </c>
      <c r="H405" t="n">
        <v>0</v>
      </c>
      <c r="I405" t="n">
        <v>0</v>
      </c>
      <c r="J405" t="n">
        <v>0</v>
      </c>
      <c r="K405" t="n">
        <v>0</v>
      </c>
      <c r="L405" t="n">
        <v>0</v>
      </c>
      <c r="M405" t="n">
        <v>0</v>
      </c>
      <c r="N405" t="n">
        <v>0</v>
      </c>
      <c r="O405" t="n">
        <v>0</v>
      </c>
      <c r="P405" t="n">
        <v>0</v>
      </c>
      <c r="Q405" t="n">
        <v>0</v>
      </c>
      <c r="R405" s="2" t="inlineStr"/>
    </row>
    <row r="406" ht="15" customHeight="1">
      <c r="A406" t="inlineStr">
        <is>
          <t>A 36754-2024</t>
        </is>
      </c>
      <c r="B406" s="1" t="n">
        <v>45538.34796296297</v>
      </c>
      <c r="C406" s="1" t="n">
        <v>46126</v>
      </c>
      <c r="D406" t="inlineStr">
        <is>
          <t>ÖREBRO LÄN</t>
        </is>
      </c>
      <c r="E406" t="inlineStr">
        <is>
          <t>LINDESBERG</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44067-2025</t>
        </is>
      </c>
      <c r="B407" s="1" t="n">
        <v>45915.54439814815</v>
      </c>
      <c r="C407" s="1" t="n">
        <v>46126</v>
      </c>
      <c r="D407" t="inlineStr">
        <is>
          <t>ÖREBRO LÄN</t>
        </is>
      </c>
      <c r="E407" t="inlineStr">
        <is>
          <t>LINDESBERG</t>
        </is>
      </c>
      <c r="G407" t="n">
        <v>2.8</v>
      </c>
      <c r="H407" t="n">
        <v>0</v>
      </c>
      <c r="I407" t="n">
        <v>0</v>
      </c>
      <c r="J407" t="n">
        <v>0</v>
      </c>
      <c r="K407" t="n">
        <v>0</v>
      </c>
      <c r="L407" t="n">
        <v>0</v>
      </c>
      <c r="M407" t="n">
        <v>0</v>
      </c>
      <c r="N407" t="n">
        <v>0</v>
      </c>
      <c r="O407" t="n">
        <v>0</v>
      </c>
      <c r="P407" t="n">
        <v>0</v>
      </c>
      <c r="Q407" t="n">
        <v>0</v>
      </c>
      <c r="R407" s="2" t="inlineStr"/>
    </row>
    <row r="408" ht="15" customHeight="1">
      <c r="A408" t="inlineStr">
        <is>
          <t>A 22438-2025</t>
        </is>
      </c>
      <c r="B408" s="1" t="n">
        <v>45786</v>
      </c>
      <c r="C408" s="1" t="n">
        <v>46126</v>
      </c>
      <c r="D408" t="inlineStr">
        <is>
          <t>ÖREBRO LÄN</t>
        </is>
      </c>
      <c r="E408" t="inlineStr">
        <is>
          <t>LINDESBERG</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50964-2023</t>
        </is>
      </c>
      <c r="B409" s="1" t="n">
        <v>45218.488125</v>
      </c>
      <c r="C409" s="1" t="n">
        <v>46126</v>
      </c>
      <c r="D409" t="inlineStr">
        <is>
          <t>ÖREBRO LÄN</t>
        </is>
      </c>
      <c r="E409" t="inlineStr">
        <is>
          <t>LINDESBERG</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16618-2023</t>
        </is>
      </c>
      <c r="B410" s="1" t="n">
        <v>45030</v>
      </c>
      <c r="C410" s="1" t="n">
        <v>46126</v>
      </c>
      <c r="D410" t="inlineStr">
        <is>
          <t>ÖREBRO LÄN</t>
        </is>
      </c>
      <c r="E410" t="inlineStr">
        <is>
          <t>LINDESBERG</t>
        </is>
      </c>
      <c r="F410" t="inlineStr">
        <is>
          <t>Kommuner</t>
        </is>
      </c>
      <c r="G410" t="n">
        <v>4.6</v>
      </c>
      <c r="H410" t="n">
        <v>0</v>
      </c>
      <c r="I410" t="n">
        <v>0</v>
      </c>
      <c r="J410" t="n">
        <v>0</v>
      </c>
      <c r="K410" t="n">
        <v>0</v>
      </c>
      <c r="L410" t="n">
        <v>0</v>
      </c>
      <c r="M410" t="n">
        <v>0</v>
      </c>
      <c r="N410" t="n">
        <v>0</v>
      </c>
      <c r="O410" t="n">
        <v>0</v>
      </c>
      <c r="P410" t="n">
        <v>0</v>
      </c>
      <c r="Q410" t="n">
        <v>0</v>
      </c>
      <c r="R410" s="2" t="inlineStr"/>
    </row>
    <row r="411" ht="15" customHeight="1">
      <c r="A411" t="inlineStr">
        <is>
          <t>A 43532-2024</t>
        </is>
      </c>
      <c r="B411" s="1" t="n">
        <v>45569.3533912037</v>
      </c>
      <c r="C411" s="1" t="n">
        <v>46126</v>
      </c>
      <c r="D411" t="inlineStr">
        <is>
          <t>ÖREBRO LÄN</t>
        </is>
      </c>
      <c r="E411" t="inlineStr">
        <is>
          <t>LINDESBERG</t>
        </is>
      </c>
      <c r="G411" t="n">
        <v>2.4</v>
      </c>
      <c r="H411" t="n">
        <v>0</v>
      </c>
      <c r="I411" t="n">
        <v>0</v>
      </c>
      <c r="J411" t="n">
        <v>0</v>
      </c>
      <c r="K411" t="n">
        <v>0</v>
      </c>
      <c r="L411" t="n">
        <v>0</v>
      </c>
      <c r="M411" t="n">
        <v>0</v>
      </c>
      <c r="N411" t="n">
        <v>0</v>
      </c>
      <c r="O411" t="n">
        <v>0</v>
      </c>
      <c r="P411" t="n">
        <v>0</v>
      </c>
      <c r="Q411" t="n">
        <v>0</v>
      </c>
      <c r="R411" s="2" t="inlineStr"/>
    </row>
    <row r="412" ht="15" customHeight="1">
      <c r="A412" t="inlineStr">
        <is>
          <t>A 60941-2024</t>
        </is>
      </c>
      <c r="B412" s="1" t="n">
        <v>45645.3712037037</v>
      </c>
      <c r="C412" s="1" t="n">
        <v>46126</v>
      </c>
      <c r="D412" t="inlineStr">
        <is>
          <t>ÖREBRO LÄN</t>
        </is>
      </c>
      <c r="E412" t="inlineStr">
        <is>
          <t>LINDESBERG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59282-2023</t>
        </is>
      </c>
      <c r="B413" s="1" t="n">
        <v>45253</v>
      </c>
      <c r="C413" s="1" t="n">
        <v>46126</v>
      </c>
      <c r="D413" t="inlineStr">
        <is>
          <t>ÖREBRO LÄN</t>
        </is>
      </c>
      <c r="E413" t="inlineStr">
        <is>
          <t>LINDESBERG</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47601-2023</t>
        </is>
      </c>
      <c r="B414" s="1" t="n">
        <v>45203.45681712963</v>
      </c>
      <c r="C414" s="1" t="n">
        <v>46126</v>
      </c>
      <c r="D414" t="inlineStr">
        <is>
          <t>ÖREBRO LÄN</t>
        </is>
      </c>
      <c r="E414" t="inlineStr">
        <is>
          <t>LINDESBERG</t>
        </is>
      </c>
      <c r="G414" t="n">
        <v>37.6</v>
      </c>
      <c r="H414" t="n">
        <v>0</v>
      </c>
      <c r="I414" t="n">
        <v>0</v>
      </c>
      <c r="J414" t="n">
        <v>0</v>
      </c>
      <c r="K414" t="n">
        <v>0</v>
      </c>
      <c r="L414" t="n">
        <v>0</v>
      </c>
      <c r="M414" t="n">
        <v>0</v>
      </c>
      <c r="N414" t="n">
        <v>0</v>
      </c>
      <c r="O414" t="n">
        <v>0</v>
      </c>
      <c r="P414" t="n">
        <v>0</v>
      </c>
      <c r="Q414" t="n">
        <v>0</v>
      </c>
      <c r="R414" s="2" t="inlineStr"/>
    </row>
    <row r="415" ht="15" customHeight="1">
      <c r="A415" t="inlineStr">
        <is>
          <t>A 62308-2023</t>
        </is>
      </c>
      <c r="B415" s="1" t="n">
        <v>45267.69052083333</v>
      </c>
      <c r="C415" s="1" t="n">
        <v>46126</v>
      </c>
      <c r="D415" t="inlineStr">
        <is>
          <t>ÖREBRO LÄN</t>
        </is>
      </c>
      <c r="E415" t="inlineStr">
        <is>
          <t>LINDESBERG</t>
        </is>
      </c>
      <c r="F415" t="inlineStr">
        <is>
          <t>Naturvårdsverket</t>
        </is>
      </c>
      <c r="G415" t="n">
        <v>3.1</v>
      </c>
      <c r="H415" t="n">
        <v>0</v>
      </c>
      <c r="I415" t="n">
        <v>0</v>
      </c>
      <c r="J415" t="n">
        <v>0</v>
      </c>
      <c r="K415" t="n">
        <v>0</v>
      </c>
      <c r="L415" t="n">
        <v>0</v>
      </c>
      <c r="M415" t="n">
        <v>0</v>
      </c>
      <c r="N415" t="n">
        <v>0</v>
      </c>
      <c r="O415" t="n">
        <v>0</v>
      </c>
      <c r="P415" t="n">
        <v>0</v>
      </c>
      <c r="Q415" t="n">
        <v>0</v>
      </c>
      <c r="R415" s="2" t="inlineStr"/>
    </row>
    <row r="416" ht="15" customHeight="1">
      <c r="A416" t="inlineStr">
        <is>
          <t>A 64365-2023</t>
        </is>
      </c>
      <c r="B416" s="1" t="n">
        <v>45280</v>
      </c>
      <c r="C416" s="1" t="n">
        <v>46126</v>
      </c>
      <c r="D416" t="inlineStr">
        <is>
          <t>ÖREBRO LÄN</t>
        </is>
      </c>
      <c r="E416" t="inlineStr">
        <is>
          <t>LINDESBERG</t>
        </is>
      </c>
      <c r="F416" t="inlineStr">
        <is>
          <t>Kyrkan</t>
        </is>
      </c>
      <c r="G416" t="n">
        <v>1.4</v>
      </c>
      <c r="H416" t="n">
        <v>0</v>
      </c>
      <c r="I416" t="n">
        <v>0</v>
      </c>
      <c r="J416" t="n">
        <v>0</v>
      </c>
      <c r="K416" t="n">
        <v>0</v>
      </c>
      <c r="L416" t="n">
        <v>0</v>
      </c>
      <c r="M416" t="n">
        <v>0</v>
      </c>
      <c r="N416" t="n">
        <v>0</v>
      </c>
      <c r="O416" t="n">
        <v>0</v>
      </c>
      <c r="P416" t="n">
        <v>0</v>
      </c>
      <c r="Q416" t="n">
        <v>0</v>
      </c>
      <c r="R416" s="2" t="inlineStr"/>
    </row>
    <row r="417" ht="15" customHeight="1">
      <c r="A417" t="inlineStr">
        <is>
          <t>A 37738-2024</t>
        </is>
      </c>
      <c r="B417" s="1" t="n">
        <v>45541.66916666667</v>
      </c>
      <c r="C417" s="1" t="n">
        <v>46126</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33428-2024</t>
        </is>
      </c>
      <c r="B418" s="1" t="n">
        <v>45519.52319444445</v>
      </c>
      <c r="C418" s="1" t="n">
        <v>46126</v>
      </c>
      <c r="D418" t="inlineStr">
        <is>
          <t>ÖREBRO LÄN</t>
        </is>
      </c>
      <c r="E418" t="inlineStr">
        <is>
          <t>LINDESBERG</t>
        </is>
      </c>
      <c r="F418" t="inlineStr">
        <is>
          <t>Sveaskog</t>
        </is>
      </c>
      <c r="G418" t="n">
        <v>0.2</v>
      </c>
      <c r="H418" t="n">
        <v>0</v>
      </c>
      <c r="I418" t="n">
        <v>0</v>
      </c>
      <c r="J418" t="n">
        <v>0</v>
      </c>
      <c r="K418" t="n">
        <v>0</v>
      </c>
      <c r="L418" t="n">
        <v>0</v>
      </c>
      <c r="M418" t="n">
        <v>0</v>
      </c>
      <c r="N418" t="n">
        <v>0</v>
      </c>
      <c r="O418" t="n">
        <v>0</v>
      </c>
      <c r="P418" t="n">
        <v>0</v>
      </c>
      <c r="Q418" t="n">
        <v>0</v>
      </c>
      <c r="R418" s="2" t="inlineStr"/>
    </row>
    <row r="419" ht="15" customHeight="1">
      <c r="A419" t="inlineStr">
        <is>
          <t>A 22078-2025</t>
        </is>
      </c>
      <c r="B419" s="1" t="n">
        <v>45785.4253125</v>
      </c>
      <c r="C419" s="1" t="n">
        <v>46126</v>
      </c>
      <c r="D419" t="inlineStr">
        <is>
          <t>ÖREBRO LÄN</t>
        </is>
      </c>
      <c r="E419" t="inlineStr">
        <is>
          <t>LINDESBERG</t>
        </is>
      </c>
      <c r="G419" t="n">
        <v>2.4</v>
      </c>
      <c r="H419" t="n">
        <v>0</v>
      </c>
      <c r="I419" t="n">
        <v>0</v>
      </c>
      <c r="J419" t="n">
        <v>0</v>
      </c>
      <c r="K419" t="n">
        <v>0</v>
      </c>
      <c r="L419" t="n">
        <v>0</v>
      </c>
      <c r="M419" t="n">
        <v>0</v>
      </c>
      <c r="N419" t="n">
        <v>0</v>
      </c>
      <c r="O419" t="n">
        <v>0</v>
      </c>
      <c r="P419" t="n">
        <v>0</v>
      </c>
      <c r="Q419" t="n">
        <v>0</v>
      </c>
      <c r="R419" s="2" t="inlineStr"/>
    </row>
    <row r="420" ht="15" customHeight="1">
      <c r="A420" t="inlineStr">
        <is>
          <t>A 44545-2025</t>
        </is>
      </c>
      <c r="B420" s="1" t="n">
        <v>45917.31780092593</v>
      </c>
      <c r="C420" s="1" t="n">
        <v>46126</v>
      </c>
      <c r="D420" t="inlineStr">
        <is>
          <t>ÖREBRO LÄN</t>
        </is>
      </c>
      <c r="E420" t="inlineStr">
        <is>
          <t>LINDESBERG</t>
        </is>
      </c>
      <c r="F420" t="inlineStr">
        <is>
          <t>Kommuner</t>
        </is>
      </c>
      <c r="G420" t="n">
        <v>2.3</v>
      </c>
      <c r="H420" t="n">
        <v>0</v>
      </c>
      <c r="I420" t="n">
        <v>0</v>
      </c>
      <c r="J420" t="n">
        <v>0</v>
      </c>
      <c r="K420" t="n">
        <v>0</v>
      </c>
      <c r="L420" t="n">
        <v>0</v>
      </c>
      <c r="M420" t="n">
        <v>0</v>
      </c>
      <c r="N420" t="n">
        <v>0</v>
      </c>
      <c r="O420" t="n">
        <v>0</v>
      </c>
      <c r="P420" t="n">
        <v>0</v>
      </c>
      <c r="Q420" t="n">
        <v>0</v>
      </c>
      <c r="R420" s="2" t="inlineStr"/>
    </row>
    <row r="421" ht="15" customHeight="1">
      <c r="A421" t="inlineStr">
        <is>
          <t>A 59766-2022</t>
        </is>
      </c>
      <c r="B421" s="1" t="n">
        <v>44908.49152777778</v>
      </c>
      <c r="C421" s="1" t="n">
        <v>46126</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36686-2024</t>
        </is>
      </c>
      <c r="B422" s="1" t="n">
        <v>45537.665</v>
      </c>
      <c r="C422" s="1" t="n">
        <v>46126</v>
      </c>
      <c r="D422" t="inlineStr">
        <is>
          <t>ÖREBRO LÄN</t>
        </is>
      </c>
      <c r="E422" t="inlineStr">
        <is>
          <t>LINDESBERG</t>
        </is>
      </c>
      <c r="F422" t="inlineStr">
        <is>
          <t>Sveaskog</t>
        </is>
      </c>
      <c r="G422" t="n">
        <v>3.9</v>
      </c>
      <c r="H422" t="n">
        <v>0</v>
      </c>
      <c r="I422" t="n">
        <v>0</v>
      </c>
      <c r="J422" t="n">
        <v>0</v>
      </c>
      <c r="K422" t="n">
        <v>0</v>
      </c>
      <c r="L422" t="n">
        <v>0</v>
      </c>
      <c r="M422" t="n">
        <v>0</v>
      </c>
      <c r="N422" t="n">
        <v>0</v>
      </c>
      <c r="O422" t="n">
        <v>0</v>
      </c>
      <c r="P422" t="n">
        <v>0</v>
      </c>
      <c r="Q422" t="n">
        <v>0</v>
      </c>
      <c r="R422" s="2" t="inlineStr"/>
    </row>
    <row r="423" ht="15" customHeight="1">
      <c r="A423" t="inlineStr">
        <is>
          <t>A 53355-2023</t>
        </is>
      </c>
      <c r="B423" s="1" t="n">
        <v>45229.66430555555</v>
      </c>
      <c r="C423" s="1" t="n">
        <v>46126</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36680-2024</t>
        </is>
      </c>
      <c r="B424" s="1" t="n">
        <v>45537.65305555556</v>
      </c>
      <c r="C424" s="1" t="n">
        <v>46126</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33282-2024</t>
        </is>
      </c>
      <c r="B425" s="1" t="n">
        <v>45518.71482638889</v>
      </c>
      <c r="C425" s="1" t="n">
        <v>46126</v>
      </c>
      <c r="D425" t="inlineStr">
        <is>
          <t>ÖREBRO LÄN</t>
        </is>
      </c>
      <c r="E425" t="inlineStr">
        <is>
          <t>LINDESBERG</t>
        </is>
      </c>
      <c r="G425" t="n">
        <v>7.5</v>
      </c>
      <c r="H425" t="n">
        <v>0</v>
      </c>
      <c r="I425" t="n">
        <v>0</v>
      </c>
      <c r="J425" t="n">
        <v>0</v>
      </c>
      <c r="K425" t="n">
        <v>0</v>
      </c>
      <c r="L425" t="n">
        <v>0</v>
      </c>
      <c r="M425" t="n">
        <v>0</v>
      </c>
      <c r="N425" t="n">
        <v>0</v>
      </c>
      <c r="O425" t="n">
        <v>0</v>
      </c>
      <c r="P425" t="n">
        <v>0</v>
      </c>
      <c r="Q425" t="n">
        <v>0</v>
      </c>
      <c r="R425" s="2" t="inlineStr"/>
    </row>
    <row r="426" ht="15" customHeight="1">
      <c r="A426" t="inlineStr">
        <is>
          <t>A 15895-2025</t>
        </is>
      </c>
      <c r="B426" s="1" t="n">
        <v>45749</v>
      </c>
      <c r="C426" s="1" t="n">
        <v>46126</v>
      </c>
      <c r="D426" t="inlineStr">
        <is>
          <t>ÖREBRO LÄN</t>
        </is>
      </c>
      <c r="E426" t="inlineStr">
        <is>
          <t>LINDESBERG</t>
        </is>
      </c>
      <c r="G426" t="n">
        <v>1</v>
      </c>
      <c r="H426" t="n">
        <v>0</v>
      </c>
      <c r="I426" t="n">
        <v>0</v>
      </c>
      <c r="J426" t="n">
        <v>0</v>
      </c>
      <c r="K426" t="n">
        <v>0</v>
      </c>
      <c r="L426" t="n">
        <v>0</v>
      </c>
      <c r="M426" t="n">
        <v>0</v>
      </c>
      <c r="N426" t="n">
        <v>0</v>
      </c>
      <c r="O426" t="n">
        <v>0</v>
      </c>
      <c r="P426" t="n">
        <v>0</v>
      </c>
      <c r="Q426" t="n">
        <v>0</v>
      </c>
      <c r="R426" s="2" t="inlineStr"/>
    </row>
    <row r="427" ht="15" customHeight="1">
      <c r="A427" t="inlineStr">
        <is>
          <t>A 15941-2025</t>
        </is>
      </c>
      <c r="B427" s="1" t="n">
        <v>45749</v>
      </c>
      <c r="C427" s="1" t="n">
        <v>46126</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54793-2024</t>
        </is>
      </c>
      <c r="B428" s="1" t="n">
        <v>45618</v>
      </c>
      <c r="C428" s="1" t="n">
        <v>46126</v>
      </c>
      <c r="D428" t="inlineStr">
        <is>
          <t>ÖREBRO LÄN</t>
        </is>
      </c>
      <c r="E428" t="inlineStr">
        <is>
          <t>LINDESBERG</t>
        </is>
      </c>
      <c r="G428" t="n">
        <v>3</v>
      </c>
      <c r="H428" t="n">
        <v>0</v>
      </c>
      <c r="I428" t="n">
        <v>0</v>
      </c>
      <c r="J428" t="n">
        <v>0</v>
      </c>
      <c r="K428" t="n">
        <v>0</v>
      </c>
      <c r="L428" t="n">
        <v>0</v>
      </c>
      <c r="M428" t="n">
        <v>0</v>
      </c>
      <c r="N428" t="n">
        <v>0</v>
      </c>
      <c r="O428" t="n">
        <v>0</v>
      </c>
      <c r="P428" t="n">
        <v>0</v>
      </c>
      <c r="Q428" t="n">
        <v>0</v>
      </c>
      <c r="R428" s="2" t="inlineStr"/>
    </row>
    <row r="429" ht="15" customHeight="1">
      <c r="A429" t="inlineStr">
        <is>
          <t>A 54862-2024</t>
        </is>
      </c>
      <c r="B429" s="1" t="n">
        <v>45618</v>
      </c>
      <c r="C429" s="1" t="n">
        <v>46126</v>
      </c>
      <c r="D429" t="inlineStr">
        <is>
          <t>ÖREBRO LÄN</t>
        </is>
      </c>
      <c r="E429" t="inlineStr">
        <is>
          <t>LINDESBERG</t>
        </is>
      </c>
      <c r="F429" t="inlineStr">
        <is>
          <t>Sveaskog</t>
        </is>
      </c>
      <c r="G429" t="n">
        <v>12.2</v>
      </c>
      <c r="H429" t="n">
        <v>0</v>
      </c>
      <c r="I429" t="n">
        <v>0</v>
      </c>
      <c r="J429" t="n">
        <v>0</v>
      </c>
      <c r="K429" t="n">
        <v>0</v>
      </c>
      <c r="L429" t="n">
        <v>0</v>
      </c>
      <c r="M429" t="n">
        <v>0</v>
      </c>
      <c r="N429" t="n">
        <v>0</v>
      </c>
      <c r="O429" t="n">
        <v>0</v>
      </c>
      <c r="P429" t="n">
        <v>0</v>
      </c>
      <c r="Q429" t="n">
        <v>0</v>
      </c>
      <c r="R429" s="2" t="inlineStr"/>
    </row>
    <row r="430" ht="15" customHeight="1">
      <c r="A430" t="inlineStr">
        <is>
          <t>A 4298-2025</t>
        </is>
      </c>
      <c r="B430" s="1" t="n">
        <v>45685</v>
      </c>
      <c r="C430" s="1" t="n">
        <v>46126</v>
      </c>
      <c r="D430" t="inlineStr">
        <is>
          <t>ÖREBRO LÄN</t>
        </is>
      </c>
      <c r="E430" t="inlineStr">
        <is>
          <t>LINDESBERG</t>
        </is>
      </c>
      <c r="G430" t="n">
        <v>13.5</v>
      </c>
      <c r="H430" t="n">
        <v>0</v>
      </c>
      <c r="I430" t="n">
        <v>0</v>
      </c>
      <c r="J430" t="n">
        <v>0</v>
      </c>
      <c r="K430" t="n">
        <v>0</v>
      </c>
      <c r="L430" t="n">
        <v>0</v>
      </c>
      <c r="M430" t="n">
        <v>0</v>
      </c>
      <c r="N430" t="n">
        <v>0</v>
      </c>
      <c r="O430" t="n">
        <v>0</v>
      </c>
      <c r="P430" t="n">
        <v>0</v>
      </c>
      <c r="Q430" t="n">
        <v>0</v>
      </c>
      <c r="R430" s="2" t="inlineStr"/>
    </row>
    <row r="431" ht="15" customHeight="1">
      <c r="A431" t="inlineStr">
        <is>
          <t>A 1742-2022</t>
        </is>
      </c>
      <c r="B431" s="1" t="n">
        <v>44574.50425925926</v>
      </c>
      <c r="C431" s="1" t="n">
        <v>46126</v>
      </c>
      <c r="D431" t="inlineStr">
        <is>
          <t>ÖREBRO LÄN</t>
        </is>
      </c>
      <c r="E431" t="inlineStr">
        <is>
          <t>LINDESBERG</t>
        </is>
      </c>
      <c r="G431" t="n">
        <v>0.9</v>
      </c>
      <c r="H431" t="n">
        <v>0</v>
      </c>
      <c r="I431" t="n">
        <v>0</v>
      </c>
      <c r="J431" t="n">
        <v>0</v>
      </c>
      <c r="K431" t="n">
        <v>0</v>
      </c>
      <c r="L431" t="n">
        <v>0</v>
      </c>
      <c r="M431" t="n">
        <v>0</v>
      </c>
      <c r="N431" t="n">
        <v>0</v>
      </c>
      <c r="O431" t="n">
        <v>0</v>
      </c>
      <c r="P431" t="n">
        <v>0</v>
      </c>
      <c r="Q431" t="n">
        <v>0</v>
      </c>
      <c r="R431" s="2" t="inlineStr"/>
    </row>
    <row r="432" ht="15" customHeight="1">
      <c r="A432" t="inlineStr">
        <is>
          <t>A 14522-2025</t>
        </is>
      </c>
      <c r="B432" s="1" t="n">
        <v>45741.64491898148</v>
      </c>
      <c r="C432" s="1" t="n">
        <v>46126</v>
      </c>
      <c r="D432" t="inlineStr">
        <is>
          <t>ÖREBRO LÄN</t>
        </is>
      </c>
      <c r="E432" t="inlineStr">
        <is>
          <t>LINDESBERG</t>
        </is>
      </c>
      <c r="G432" t="n">
        <v>4.5</v>
      </c>
      <c r="H432" t="n">
        <v>0</v>
      </c>
      <c r="I432" t="n">
        <v>0</v>
      </c>
      <c r="J432" t="n">
        <v>0</v>
      </c>
      <c r="K432" t="n">
        <v>0</v>
      </c>
      <c r="L432" t="n">
        <v>0</v>
      </c>
      <c r="M432" t="n">
        <v>0</v>
      </c>
      <c r="N432" t="n">
        <v>0</v>
      </c>
      <c r="O432" t="n">
        <v>0</v>
      </c>
      <c r="P432" t="n">
        <v>0</v>
      </c>
      <c r="Q432" t="n">
        <v>0</v>
      </c>
      <c r="R432" s="2" t="inlineStr"/>
    </row>
    <row r="433" ht="15" customHeight="1">
      <c r="A433" t="inlineStr">
        <is>
          <t>A 22543-2025</t>
        </is>
      </c>
      <c r="B433" s="1" t="n">
        <v>45788.42467592593</v>
      </c>
      <c r="C433" s="1" t="n">
        <v>46126</v>
      </c>
      <c r="D433" t="inlineStr">
        <is>
          <t>ÖREBRO LÄN</t>
        </is>
      </c>
      <c r="E433" t="inlineStr">
        <is>
          <t>LINDESBERG</t>
        </is>
      </c>
      <c r="G433" t="n">
        <v>6.7</v>
      </c>
      <c r="H433" t="n">
        <v>0</v>
      </c>
      <c r="I433" t="n">
        <v>0</v>
      </c>
      <c r="J433" t="n">
        <v>0</v>
      </c>
      <c r="K433" t="n">
        <v>0</v>
      </c>
      <c r="L433" t="n">
        <v>0</v>
      </c>
      <c r="M433" t="n">
        <v>0</v>
      </c>
      <c r="N433" t="n">
        <v>0</v>
      </c>
      <c r="O433" t="n">
        <v>0</v>
      </c>
      <c r="P433" t="n">
        <v>0</v>
      </c>
      <c r="Q433" t="n">
        <v>0</v>
      </c>
      <c r="R433" s="2" t="inlineStr"/>
    </row>
    <row r="434" ht="15" customHeight="1">
      <c r="A434" t="inlineStr">
        <is>
          <t>A 73860-2021</t>
        </is>
      </c>
      <c r="B434" s="1" t="n">
        <v>44553.35407407407</v>
      </c>
      <c r="C434" s="1" t="n">
        <v>46126</v>
      </c>
      <c r="D434" t="inlineStr">
        <is>
          <t>ÖREBRO LÄN</t>
        </is>
      </c>
      <c r="E434" t="inlineStr">
        <is>
          <t>LINDESBERG</t>
        </is>
      </c>
      <c r="G434" t="n">
        <v>12.7</v>
      </c>
      <c r="H434" t="n">
        <v>0</v>
      </c>
      <c r="I434" t="n">
        <v>0</v>
      </c>
      <c r="J434" t="n">
        <v>0</v>
      </c>
      <c r="K434" t="n">
        <v>0</v>
      </c>
      <c r="L434" t="n">
        <v>0</v>
      </c>
      <c r="M434" t="n">
        <v>0</v>
      </c>
      <c r="N434" t="n">
        <v>0</v>
      </c>
      <c r="O434" t="n">
        <v>0</v>
      </c>
      <c r="P434" t="n">
        <v>0</v>
      </c>
      <c r="Q434" t="n">
        <v>0</v>
      </c>
      <c r="R434" s="2" t="inlineStr"/>
    </row>
    <row r="435" ht="15" customHeight="1">
      <c r="A435" t="inlineStr">
        <is>
          <t>A 5358-2022</t>
        </is>
      </c>
      <c r="B435" s="1" t="n">
        <v>44594.84091435185</v>
      </c>
      <c r="C435" s="1" t="n">
        <v>46126</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4999-2025</t>
        </is>
      </c>
      <c r="B436" s="1" t="n">
        <v>45691.36253472222</v>
      </c>
      <c r="C436" s="1" t="n">
        <v>46126</v>
      </c>
      <c r="D436" t="inlineStr">
        <is>
          <t>ÖREBRO LÄN</t>
        </is>
      </c>
      <c r="E436" t="inlineStr">
        <is>
          <t>LINDESBERG</t>
        </is>
      </c>
      <c r="G436" t="n">
        <v>4.7</v>
      </c>
      <c r="H436" t="n">
        <v>0</v>
      </c>
      <c r="I436" t="n">
        <v>0</v>
      </c>
      <c r="J436" t="n">
        <v>0</v>
      </c>
      <c r="K436" t="n">
        <v>0</v>
      </c>
      <c r="L436" t="n">
        <v>0</v>
      </c>
      <c r="M436" t="n">
        <v>0</v>
      </c>
      <c r="N436" t="n">
        <v>0</v>
      </c>
      <c r="O436" t="n">
        <v>0</v>
      </c>
      <c r="P436" t="n">
        <v>0</v>
      </c>
      <c r="Q436" t="n">
        <v>0</v>
      </c>
      <c r="R436" s="2" t="inlineStr"/>
    </row>
    <row r="437" ht="15" customHeight="1">
      <c r="A437" t="inlineStr">
        <is>
          <t>A 23245-2025</t>
        </is>
      </c>
      <c r="B437" s="1" t="n">
        <v>45791.50862268519</v>
      </c>
      <c r="C437" s="1" t="n">
        <v>46126</v>
      </c>
      <c r="D437" t="inlineStr">
        <is>
          <t>ÖREBRO LÄN</t>
        </is>
      </c>
      <c r="E437" t="inlineStr">
        <is>
          <t>LINDESBERG</t>
        </is>
      </c>
      <c r="G437" t="n">
        <v>6.8</v>
      </c>
      <c r="H437" t="n">
        <v>0</v>
      </c>
      <c r="I437" t="n">
        <v>0</v>
      </c>
      <c r="J437" t="n">
        <v>0</v>
      </c>
      <c r="K437" t="n">
        <v>0</v>
      </c>
      <c r="L437" t="n">
        <v>0</v>
      </c>
      <c r="M437" t="n">
        <v>0</v>
      </c>
      <c r="N437" t="n">
        <v>0</v>
      </c>
      <c r="O437" t="n">
        <v>0</v>
      </c>
      <c r="P437" t="n">
        <v>0</v>
      </c>
      <c r="Q437" t="n">
        <v>0</v>
      </c>
      <c r="R437" s="2" t="inlineStr"/>
    </row>
    <row r="438" ht="15" customHeight="1">
      <c r="A438" t="inlineStr">
        <is>
          <t>A 13884-2023</t>
        </is>
      </c>
      <c r="B438" s="1" t="n">
        <v>45007</v>
      </c>
      <c r="C438" s="1" t="n">
        <v>46126</v>
      </c>
      <c r="D438" t="inlineStr">
        <is>
          <t>ÖREBRO LÄN</t>
        </is>
      </c>
      <c r="E438" t="inlineStr">
        <is>
          <t>LINDESBERG</t>
        </is>
      </c>
      <c r="F438" t="inlineStr">
        <is>
          <t>Kommuner</t>
        </is>
      </c>
      <c r="G438" t="n">
        <v>7.7</v>
      </c>
      <c r="H438" t="n">
        <v>0</v>
      </c>
      <c r="I438" t="n">
        <v>0</v>
      </c>
      <c r="J438" t="n">
        <v>0</v>
      </c>
      <c r="K438" t="n">
        <v>0</v>
      </c>
      <c r="L438" t="n">
        <v>0</v>
      </c>
      <c r="M438" t="n">
        <v>0</v>
      </c>
      <c r="N438" t="n">
        <v>0</v>
      </c>
      <c r="O438" t="n">
        <v>0</v>
      </c>
      <c r="P438" t="n">
        <v>0</v>
      </c>
      <c r="Q438" t="n">
        <v>0</v>
      </c>
      <c r="R438" s="2" t="inlineStr"/>
    </row>
    <row r="439" ht="15" customHeight="1">
      <c r="A439" t="inlineStr">
        <is>
          <t>A 15324-2024</t>
        </is>
      </c>
      <c r="B439" s="1" t="n">
        <v>45400.66995370371</v>
      </c>
      <c r="C439" s="1" t="n">
        <v>46126</v>
      </c>
      <c r="D439" t="inlineStr">
        <is>
          <t>ÖREBRO LÄN</t>
        </is>
      </c>
      <c r="E439" t="inlineStr">
        <is>
          <t>LINDESBERG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42707-2023</t>
        </is>
      </c>
      <c r="B440" s="1" t="n">
        <v>45181</v>
      </c>
      <c r="C440" s="1" t="n">
        <v>46126</v>
      </c>
      <c r="D440" t="inlineStr">
        <is>
          <t>ÖREBRO LÄN</t>
        </is>
      </c>
      <c r="E440" t="inlineStr">
        <is>
          <t>LINDESBERG</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59641-2024</t>
        </is>
      </c>
      <c r="B441" s="1" t="n">
        <v>45639.30934027778</v>
      </c>
      <c r="C441" s="1" t="n">
        <v>46126</v>
      </c>
      <c r="D441" t="inlineStr">
        <is>
          <t>ÖREBRO LÄN</t>
        </is>
      </c>
      <c r="E441" t="inlineStr">
        <is>
          <t>LINDESBERG</t>
        </is>
      </c>
      <c r="G441" t="n">
        <v>2.1</v>
      </c>
      <c r="H441" t="n">
        <v>0</v>
      </c>
      <c r="I441" t="n">
        <v>0</v>
      </c>
      <c r="J441" t="n">
        <v>0</v>
      </c>
      <c r="K441" t="n">
        <v>0</v>
      </c>
      <c r="L441" t="n">
        <v>0</v>
      </c>
      <c r="M441" t="n">
        <v>0</v>
      </c>
      <c r="N441" t="n">
        <v>0</v>
      </c>
      <c r="O441" t="n">
        <v>0</v>
      </c>
      <c r="P441" t="n">
        <v>0</v>
      </c>
      <c r="Q441" t="n">
        <v>0</v>
      </c>
      <c r="R441" s="2" t="inlineStr"/>
    </row>
    <row r="442" ht="15" customHeight="1">
      <c r="A442" t="inlineStr">
        <is>
          <t>A 4539-2025</t>
        </is>
      </c>
      <c r="B442" s="1" t="n">
        <v>45687</v>
      </c>
      <c r="C442" s="1" t="n">
        <v>46126</v>
      </c>
      <c r="D442" t="inlineStr">
        <is>
          <t>ÖREBRO LÄN</t>
        </is>
      </c>
      <c r="E442" t="inlineStr">
        <is>
          <t>LINDESBERG</t>
        </is>
      </c>
      <c r="G442" t="n">
        <v>2.2</v>
      </c>
      <c r="H442" t="n">
        <v>0</v>
      </c>
      <c r="I442" t="n">
        <v>0</v>
      </c>
      <c r="J442" t="n">
        <v>0</v>
      </c>
      <c r="K442" t="n">
        <v>0</v>
      </c>
      <c r="L442" t="n">
        <v>0</v>
      </c>
      <c r="M442" t="n">
        <v>0</v>
      </c>
      <c r="N442" t="n">
        <v>0</v>
      </c>
      <c r="O442" t="n">
        <v>0</v>
      </c>
      <c r="P442" t="n">
        <v>0</v>
      </c>
      <c r="Q442" t="n">
        <v>0</v>
      </c>
      <c r="R442" s="2" t="inlineStr"/>
    </row>
    <row r="443" ht="15" customHeight="1">
      <c r="A443" t="inlineStr">
        <is>
          <t>A 46757-2025</t>
        </is>
      </c>
      <c r="B443" s="1" t="n">
        <v>45926.62039351852</v>
      </c>
      <c r="C443" s="1" t="n">
        <v>46126</v>
      </c>
      <c r="D443" t="inlineStr">
        <is>
          <t>ÖREBRO LÄN</t>
        </is>
      </c>
      <c r="E443" t="inlineStr">
        <is>
          <t>LINDESBERG</t>
        </is>
      </c>
      <c r="G443" t="n">
        <v>7.9</v>
      </c>
      <c r="H443" t="n">
        <v>0</v>
      </c>
      <c r="I443" t="n">
        <v>0</v>
      </c>
      <c r="J443" t="n">
        <v>0</v>
      </c>
      <c r="K443" t="n">
        <v>0</v>
      </c>
      <c r="L443" t="n">
        <v>0</v>
      </c>
      <c r="M443" t="n">
        <v>0</v>
      </c>
      <c r="N443" t="n">
        <v>0</v>
      </c>
      <c r="O443" t="n">
        <v>0</v>
      </c>
      <c r="P443" t="n">
        <v>0</v>
      </c>
      <c r="Q443" t="n">
        <v>0</v>
      </c>
      <c r="R443" s="2" t="inlineStr"/>
    </row>
    <row r="444" ht="15" customHeight="1">
      <c r="A444" t="inlineStr">
        <is>
          <t>A 44804-2024</t>
        </is>
      </c>
      <c r="B444" s="1" t="n">
        <v>45574.65189814815</v>
      </c>
      <c r="C444" s="1" t="n">
        <v>46126</v>
      </c>
      <c r="D444" t="inlineStr">
        <is>
          <t>ÖREBRO LÄN</t>
        </is>
      </c>
      <c r="E444" t="inlineStr">
        <is>
          <t>LINDESBERG</t>
        </is>
      </c>
      <c r="F444" t="inlineStr">
        <is>
          <t>Sveaskog</t>
        </is>
      </c>
      <c r="G444" t="n">
        <v>5.7</v>
      </c>
      <c r="H444" t="n">
        <v>0</v>
      </c>
      <c r="I444" t="n">
        <v>0</v>
      </c>
      <c r="J444" t="n">
        <v>0</v>
      </c>
      <c r="K444" t="n">
        <v>0</v>
      </c>
      <c r="L444" t="n">
        <v>0</v>
      </c>
      <c r="M444" t="n">
        <v>0</v>
      </c>
      <c r="N444" t="n">
        <v>0</v>
      </c>
      <c r="O444" t="n">
        <v>0</v>
      </c>
      <c r="P444" t="n">
        <v>0</v>
      </c>
      <c r="Q444" t="n">
        <v>0</v>
      </c>
      <c r="R444" s="2" t="inlineStr"/>
    </row>
    <row r="445" ht="15" customHeight="1">
      <c r="A445" t="inlineStr">
        <is>
          <t>A 17779-2024</t>
        </is>
      </c>
      <c r="B445" s="1" t="n">
        <v>45418.66800925926</v>
      </c>
      <c r="C445" s="1" t="n">
        <v>46126</v>
      </c>
      <c r="D445" t="inlineStr">
        <is>
          <t>ÖREBRO LÄN</t>
        </is>
      </c>
      <c r="E445" t="inlineStr">
        <is>
          <t>LINDESBERG</t>
        </is>
      </c>
      <c r="G445" t="n">
        <v>3.7</v>
      </c>
      <c r="H445" t="n">
        <v>0</v>
      </c>
      <c r="I445" t="n">
        <v>0</v>
      </c>
      <c r="J445" t="n">
        <v>0</v>
      </c>
      <c r="K445" t="n">
        <v>0</v>
      </c>
      <c r="L445" t="n">
        <v>0</v>
      </c>
      <c r="M445" t="n">
        <v>0</v>
      </c>
      <c r="N445" t="n">
        <v>0</v>
      </c>
      <c r="O445" t="n">
        <v>0</v>
      </c>
      <c r="P445" t="n">
        <v>0</v>
      </c>
      <c r="Q445" t="n">
        <v>0</v>
      </c>
      <c r="R445" s="2" t="inlineStr"/>
    </row>
    <row r="446" ht="15" customHeight="1">
      <c r="A446" t="inlineStr">
        <is>
          <t>A 46484-2025</t>
        </is>
      </c>
      <c r="B446" s="1" t="n">
        <v>45925.70290509259</v>
      </c>
      <c r="C446" s="1" t="n">
        <v>46126</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46404-2025</t>
        </is>
      </c>
      <c r="B447" s="1" t="n">
        <v>45925.56173611111</v>
      </c>
      <c r="C447" s="1" t="n">
        <v>46126</v>
      </c>
      <c r="D447" t="inlineStr">
        <is>
          <t>ÖREBRO LÄN</t>
        </is>
      </c>
      <c r="E447" t="inlineStr">
        <is>
          <t>LINDESBERG</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21202-2024</t>
        </is>
      </c>
      <c r="B448" s="1" t="n">
        <v>45440.5433912037</v>
      </c>
      <c r="C448" s="1" t="n">
        <v>46126</v>
      </c>
      <c r="D448" t="inlineStr">
        <is>
          <t>ÖREBRO LÄN</t>
        </is>
      </c>
      <c r="E448" t="inlineStr">
        <is>
          <t>LINDESBERG</t>
        </is>
      </c>
      <c r="G448" t="n">
        <v>4</v>
      </c>
      <c r="H448" t="n">
        <v>0</v>
      </c>
      <c r="I448" t="n">
        <v>0</v>
      </c>
      <c r="J448" t="n">
        <v>0</v>
      </c>
      <c r="K448" t="n">
        <v>0</v>
      </c>
      <c r="L448" t="n">
        <v>0</v>
      </c>
      <c r="M448" t="n">
        <v>0</v>
      </c>
      <c r="N448" t="n">
        <v>0</v>
      </c>
      <c r="O448" t="n">
        <v>0</v>
      </c>
      <c r="P448" t="n">
        <v>0</v>
      </c>
      <c r="Q448" t="n">
        <v>0</v>
      </c>
      <c r="R448" s="2" t="inlineStr"/>
    </row>
    <row r="449" ht="15" customHeight="1">
      <c r="A449" t="inlineStr">
        <is>
          <t>A 1400-2025</t>
        </is>
      </c>
      <c r="B449" s="1" t="n">
        <v>45667</v>
      </c>
      <c r="C449" s="1" t="n">
        <v>46126</v>
      </c>
      <c r="D449" t="inlineStr">
        <is>
          <t>ÖREBRO LÄN</t>
        </is>
      </c>
      <c r="E449" t="inlineStr">
        <is>
          <t>LINDESBERG</t>
        </is>
      </c>
      <c r="F449" t="inlineStr">
        <is>
          <t>Allmännings- och besparingsskogar</t>
        </is>
      </c>
      <c r="G449" t="n">
        <v>11.3</v>
      </c>
      <c r="H449" t="n">
        <v>0</v>
      </c>
      <c r="I449" t="n">
        <v>0</v>
      </c>
      <c r="J449" t="n">
        <v>0</v>
      </c>
      <c r="K449" t="n">
        <v>0</v>
      </c>
      <c r="L449" t="n">
        <v>0</v>
      </c>
      <c r="M449" t="n">
        <v>0</v>
      </c>
      <c r="N449" t="n">
        <v>0</v>
      </c>
      <c r="O449" t="n">
        <v>0</v>
      </c>
      <c r="P449" t="n">
        <v>0</v>
      </c>
      <c r="Q449" t="n">
        <v>0</v>
      </c>
      <c r="R449" s="2" t="inlineStr"/>
    </row>
    <row r="450" ht="15" customHeight="1">
      <c r="A450" t="inlineStr">
        <is>
          <t>A 23835-2025</t>
        </is>
      </c>
      <c r="B450" s="1" t="n">
        <v>45793.61047453704</v>
      </c>
      <c r="C450" s="1" t="n">
        <v>46126</v>
      </c>
      <c r="D450" t="inlineStr">
        <is>
          <t>ÖREBRO LÄN</t>
        </is>
      </c>
      <c r="E450" t="inlineStr">
        <is>
          <t>LINDESBERG</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47066-2023</t>
        </is>
      </c>
      <c r="B451" s="1" t="n">
        <v>45201</v>
      </c>
      <c r="C451" s="1" t="n">
        <v>46126</v>
      </c>
      <c r="D451" t="inlineStr">
        <is>
          <t>ÖREBRO LÄN</t>
        </is>
      </c>
      <c r="E451" t="inlineStr">
        <is>
          <t>LINDESBERG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42410-2024</t>
        </is>
      </c>
      <c r="B452" s="1" t="n">
        <v>45565</v>
      </c>
      <c r="C452" s="1" t="n">
        <v>46126</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24017-2025</t>
        </is>
      </c>
      <c r="B453" s="1" t="n">
        <v>45796.44885416667</v>
      </c>
      <c r="C453" s="1" t="n">
        <v>46126</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24107-2025</t>
        </is>
      </c>
      <c r="B454" s="1" t="n">
        <v>45796</v>
      </c>
      <c r="C454" s="1" t="n">
        <v>46126</v>
      </c>
      <c r="D454" t="inlineStr">
        <is>
          <t>ÖREBRO LÄN</t>
        </is>
      </c>
      <c r="E454" t="inlineStr">
        <is>
          <t>LINDESBERG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55631-2022</t>
        </is>
      </c>
      <c r="B455" s="1" t="n">
        <v>44888.4577662037</v>
      </c>
      <c r="C455" s="1" t="n">
        <v>46126</v>
      </c>
      <c r="D455" t="inlineStr">
        <is>
          <t>ÖREBRO LÄN</t>
        </is>
      </c>
      <c r="E455" t="inlineStr">
        <is>
          <t>LINDESBERG</t>
        </is>
      </c>
      <c r="G455" t="n">
        <v>4.4</v>
      </c>
      <c r="H455" t="n">
        <v>0</v>
      </c>
      <c r="I455" t="n">
        <v>0</v>
      </c>
      <c r="J455" t="n">
        <v>0</v>
      </c>
      <c r="K455" t="n">
        <v>0</v>
      </c>
      <c r="L455" t="n">
        <v>0</v>
      </c>
      <c r="M455" t="n">
        <v>0</v>
      </c>
      <c r="N455" t="n">
        <v>0</v>
      </c>
      <c r="O455" t="n">
        <v>0</v>
      </c>
      <c r="P455" t="n">
        <v>0</v>
      </c>
      <c r="Q455" t="n">
        <v>0</v>
      </c>
      <c r="R455" s="2" t="inlineStr"/>
    </row>
    <row r="456" ht="15" customHeight="1">
      <c r="A456" t="inlineStr">
        <is>
          <t>A 42282-2024</t>
        </is>
      </c>
      <c r="B456" s="1" t="n">
        <v>45562.61158564815</v>
      </c>
      <c r="C456" s="1" t="n">
        <v>46126</v>
      </c>
      <c r="D456" t="inlineStr">
        <is>
          <t>ÖREBRO LÄN</t>
        </is>
      </c>
      <c r="E456" t="inlineStr">
        <is>
          <t>LINDESBERG</t>
        </is>
      </c>
      <c r="G456" t="n">
        <v>0.8</v>
      </c>
      <c r="H456" t="n">
        <v>0</v>
      </c>
      <c r="I456" t="n">
        <v>0</v>
      </c>
      <c r="J456" t="n">
        <v>0</v>
      </c>
      <c r="K456" t="n">
        <v>0</v>
      </c>
      <c r="L456" t="n">
        <v>0</v>
      </c>
      <c r="M456" t="n">
        <v>0</v>
      </c>
      <c r="N456" t="n">
        <v>0</v>
      </c>
      <c r="O456" t="n">
        <v>0</v>
      </c>
      <c r="P456" t="n">
        <v>0</v>
      </c>
      <c r="Q456" t="n">
        <v>0</v>
      </c>
      <c r="R456" s="2" t="inlineStr"/>
    </row>
    <row r="457" ht="15" customHeight="1">
      <c r="A457" t="inlineStr">
        <is>
          <t>A 42430-2024</t>
        </is>
      </c>
      <c r="B457" s="1" t="n">
        <v>45565.40700231482</v>
      </c>
      <c r="C457" s="1" t="n">
        <v>46126</v>
      </c>
      <c r="D457" t="inlineStr">
        <is>
          <t>ÖREBRO LÄN</t>
        </is>
      </c>
      <c r="E457" t="inlineStr">
        <is>
          <t>LINDESBERG</t>
        </is>
      </c>
      <c r="G457" t="n">
        <v>4</v>
      </c>
      <c r="H457" t="n">
        <v>0</v>
      </c>
      <c r="I457" t="n">
        <v>0</v>
      </c>
      <c r="J457" t="n">
        <v>0</v>
      </c>
      <c r="K457" t="n">
        <v>0</v>
      </c>
      <c r="L457" t="n">
        <v>0</v>
      </c>
      <c r="M457" t="n">
        <v>0</v>
      </c>
      <c r="N457" t="n">
        <v>0</v>
      </c>
      <c r="O457" t="n">
        <v>0</v>
      </c>
      <c r="P457" t="n">
        <v>0</v>
      </c>
      <c r="Q457" t="n">
        <v>0</v>
      </c>
      <c r="R457" s="2" t="inlineStr"/>
    </row>
    <row r="458" ht="15" customHeight="1">
      <c r="A458" t="inlineStr">
        <is>
          <t>A 23932-2025</t>
        </is>
      </c>
      <c r="B458" s="1" t="n">
        <v>45795.70912037037</v>
      </c>
      <c r="C458" s="1" t="n">
        <v>46126</v>
      </c>
      <c r="D458" t="inlineStr">
        <is>
          <t>ÖREBRO LÄN</t>
        </is>
      </c>
      <c r="E458" t="inlineStr">
        <is>
          <t>LINDESBERG</t>
        </is>
      </c>
      <c r="G458" t="n">
        <v>2</v>
      </c>
      <c r="H458" t="n">
        <v>0</v>
      </c>
      <c r="I458" t="n">
        <v>0</v>
      </c>
      <c r="J458" t="n">
        <v>0</v>
      </c>
      <c r="K458" t="n">
        <v>0</v>
      </c>
      <c r="L458" t="n">
        <v>0</v>
      </c>
      <c r="M458" t="n">
        <v>0</v>
      </c>
      <c r="N458" t="n">
        <v>0</v>
      </c>
      <c r="O458" t="n">
        <v>0</v>
      </c>
      <c r="P458" t="n">
        <v>0</v>
      </c>
      <c r="Q458" t="n">
        <v>0</v>
      </c>
      <c r="R458" s="2" t="inlineStr"/>
    </row>
    <row r="459" ht="15" customHeight="1">
      <c r="A459" t="inlineStr">
        <is>
          <t>A 24011-2025</t>
        </is>
      </c>
      <c r="B459" s="1" t="n">
        <v>45796</v>
      </c>
      <c r="C459" s="1" t="n">
        <v>46126</v>
      </c>
      <c r="D459" t="inlineStr">
        <is>
          <t>ÖREBRO LÄN</t>
        </is>
      </c>
      <c r="E459" t="inlineStr">
        <is>
          <t>LINDESBERG</t>
        </is>
      </c>
      <c r="F459" t="inlineStr">
        <is>
          <t>Sveaskog</t>
        </is>
      </c>
      <c r="G459" t="n">
        <v>4.2</v>
      </c>
      <c r="H459" t="n">
        <v>0</v>
      </c>
      <c r="I459" t="n">
        <v>0</v>
      </c>
      <c r="J459" t="n">
        <v>0</v>
      </c>
      <c r="K459" t="n">
        <v>0</v>
      </c>
      <c r="L459" t="n">
        <v>0</v>
      </c>
      <c r="M459" t="n">
        <v>0</v>
      </c>
      <c r="N459" t="n">
        <v>0</v>
      </c>
      <c r="O459" t="n">
        <v>0</v>
      </c>
      <c r="P459" t="n">
        <v>0</v>
      </c>
      <c r="Q459" t="n">
        <v>0</v>
      </c>
      <c r="R459" s="2" t="inlineStr"/>
    </row>
    <row r="460" ht="15" customHeight="1">
      <c r="A460" t="inlineStr">
        <is>
          <t>A 24020-2025</t>
        </is>
      </c>
      <c r="B460" s="1" t="n">
        <v>45796.45054398148</v>
      </c>
      <c r="C460" s="1" t="n">
        <v>46126</v>
      </c>
      <c r="D460" t="inlineStr">
        <is>
          <t>ÖREBRO LÄN</t>
        </is>
      </c>
      <c r="E460" t="inlineStr">
        <is>
          <t>LINDESBERG</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15822-2024</t>
        </is>
      </c>
      <c r="B461" s="1" t="n">
        <v>45404.68190972223</v>
      </c>
      <c r="C461" s="1" t="n">
        <v>46126</v>
      </c>
      <c r="D461" t="inlineStr">
        <is>
          <t>ÖREBRO LÄN</t>
        </is>
      </c>
      <c r="E461" t="inlineStr">
        <is>
          <t>LINDESBERG</t>
        </is>
      </c>
      <c r="F461" t="inlineStr">
        <is>
          <t>Sveaskog</t>
        </is>
      </c>
      <c r="G461" t="n">
        <v>6.7</v>
      </c>
      <c r="H461" t="n">
        <v>0</v>
      </c>
      <c r="I461" t="n">
        <v>0</v>
      </c>
      <c r="J461" t="n">
        <v>0</v>
      </c>
      <c r="K461" t="n">
        <v>0</v>
      </c>
      <c r="L461" t="n">
        <v>0</v>
      </c>
      <c r="M461" t="n">
        <v>0</v>
      </c>
      <c r="N461" t="n">
        <v>0</v>
      </c>
      <c r="O461" t="n">
        <v>0</v>
      </c>
      <c r="P461" t="n">
        <v>0</v>
      </c>
      <c r="Q461" t="n">
        <v>0</v>
      </c>
      <c r="R461" s="2" t="inlineStr"/>
    </row>
    <row r="462" ht="15" customHeight="1">
      <c r="A462" t="inlineStr">
        <is>
          <t>A 40038-2024</t>
        </is>
      </c>
      <c r="B462" s="1" t="n">
        <v>45553</v>
      </c>
      <c r="C462" s="1" t="n">
        <v>46126</v>
      </c>
      <c r="D462" t="inlineStr">
        <is>
          <t>ÖREBRO LÄN</t>
        </is>
      </c>
      <c r="E462" t="inlineStr">
        <is>
          <t>LINDESBERG</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23897-2025</t>
        </is>
      </c>
      <c r="B463" s="1" t="n">
        <v>45794.33498842592</v>
      </c>
      <c r="C463" s="1" t="n">
        <v>46126</v>
      </c>
      <c r="D463" t="inlineStr">
        <is>
          <t>ÖREBRO LÄN</t>
        </is>
      </c>
      <c r="E463" t="inlineStr">
        <is>
          <t>LINDESBERG</t>
        </is>
      </c>
      <c r="G463" t="n">
        <v>5.6</v>
      </c>
      <c r="H463" t="n">
        <v>0</v>
      </c>
      <c r="I463" t="n">
        <v>0</v>
      </c>
      <c r="J463" t="n">
        <v>0</v>
      </c>
      <c r="K463" t="n">
        <v>0</v>
      </c>
      <c r="L463" t="n">
        <v>0</v>
      </c>
      <c r="M463" t="n">
        <v>0</v>
      </c>
      <c r="N463" t="n">
        <v>0</v>
      </c>
      <c r="O463" t="n">
        <v>0</v>
      </c>
      <c r="P463" t="n">
        <v>0</v>
      </c>
      <c r="Q463" t="n">
        <v>0</v>
      </c>
      <c r="R463" s="2" t="inlineStr"/>
    </row>
    <row r="464" ht="15" customHeight="1">
      <c r="A464" t="inlineStr">
        <is>
          <t>A 8213-2023</t>
        </is>
      </c>
      <c r="B464" s="1" t="n">
        <v>44974.55693287037</v>
      </c>
      <c r="C464" s="1" t="n">
        <v>46126</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23898-2025</t>
        </is>
      </c>
      <c r="B465" s="1" t="n">
        <v>45794.3419212963</v>
      </c>
      <c r="C465" s="1" t="n">
        <v>46126</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23933-2025</t>
        </is>
      </c>
      <c r="B466" s="1" t="n">
        <v>45795.71300925926</v>
      </c>
      <c r="C466" s="1" t="n">
        <v>46126</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3732-2023</t>
        </is>
      </c>
      <c r="B467" s="1" t="n">
        <v>44949</v>
      </c>
      <c r="C467" s="1" t="n">
        <v>46126</v>
      </c>
      <c r="D467" t="inlineStr">
        <is>
          <t>ÖREBRO LÄN</t>
        </is>
      </c>
      <c r="E467" t="inlineStr">
        <is>
          <t>LINDESBERG</t>
        </is>
      </c>
      <c r="G467" t="n">
        <v>3.3</v>
      </c>
      <c r="H467" t="n">
        <v>0</v>
      </c>
      <c r="I467" t="n">
        <v>0</v>
      </c>
      <c r="J467" t="n">
        <v>0</v>
      </c>
      <c r="K467" t="n">
        <v>0</v>
      </c>
      <c r="L467" t="n">
        <v>0</v>
      </c>
      <c r="M467" t="n">
        <v>0</v>
      </c>
      <c r="N467" t="n">
        <v>0</v>
      </c>
      <c r="O467" t="n">
        <v>0</v>
      </c>
      <c r="P467" t="n">
        <v>0</v>
      </c>
      <c r="Q467" t="n">
        <v>0</v>
      </c>
      <c r="R467" s="2" t="inlineStr"/>
    </row>
    <row r="468" ht="15" customHeight="1">
      <c r="A468" t="inlineStr">
        <is>
          <t>A 47155-2024</t>
        </is>
      </c>
      <c r="B468" s="1" t="n">
        <v>45586</v>
      </c>
      <c r="C468" s="1" t="n">
        <v>46126</v>
      </c>
      <c r="D468" t="inlineStr">
        <is>
          <t>ÖREBRO LÄN</t>
        </is>
      </c>
      <c r="E468" t="inlineStr">
        <is>
          <t>LINDESBERG</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23934-2025</t>
        </is>
      </c>
      <c r="B469" s="1" t="n">
        <v>45795.71547453704</v>
      </c>
      <c r="C469" s="1" t="n">
        <v>46126</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15892-2025</t>
        </is>
      </c>
      <c r="B470" s="1" t="n">
        <v>45749</v>
      </c>
      <c r="C470" s="1" t="n">
        <v>46126</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2569-2023</t>
        </is>
      </c>
      <c r="B471" s="1" t="n">
        <v>44943.73792824074</v>
      </c>
      <c r="C471" s="1" t="n">
        <v>46126</v>
      </c>
      <c r="D471" t="inlineStr">
        <is>
          <t>ÖREBRO LÄN</t>
        </is>
      </c>
      <c r="E471" t="inlineStr">
        <is>
          <t>LINDESBERG</t>
        </is>
      </c>
      <c r="G471" t="n">
        <v>2.3</v>
      </c>
      <c r="H471" t="n">
        <v>0</v>
      </c>
      <c r="I471" t="n">
        <v>0</v>
      </c>
      <c r="J471" t="n">
        <v>0</v>
      </c>
      <c r="K471" t="n">
        <v>0</v>
      </c>
      <c r="L471" t="n">
        <v>0</v>
      </c>
      <c r="M471" t="n">
        <v>0</v>
      </c>
      <c r="N471" t="n">
        <v>0</v>
      </c>
      <c r="O471" t="n">
        <v>0</v>
      </c>
      <c r="P471" t="n">
        <v>0</v>
      </c>
      <c r="Q471" t="n">
        <v>0</v>
      </c>
      <c r="R471" s="2" t="inlineStr"/>
    </row>
    <row r="472" ht="15" customHeight="1">
      <c r="A472" t="inlineStr">
        <is>
          <t>A 57944-2023</t>
        </is>
      </c>
      <c r="B472" s="1" t="n">
        <v>45244</v>
      </c>
      <c r="C472" s="1" t="n">
        <v>46126</v>
      </c>
      <c r="D472" t="inlineStr">
        <is>
          <t>ÖREBRO LÄN</t>
        </is>
      </c>
      <c r="E472" t="inlineStr">
        <is>
          <t>LINDESBERG</t>
        </is>
      </c>
      <c r="G472" t="n">
        <v>2.4</v>
      </c>
      <c r="H472" t="n">
        <v>0</v>
      </c>
      <c r="I472" t="n">
        <v>0</v>
      </c>
      <c r="J472" t="n">
        <v>0</v>
      </c>
      <c r="K472" t="n">
        <v>0</v>
      </c>
      <c r="L472" t="n">
        <v>0</v>
      </c>
      <c r="M472" t="n">
        <v>0</v>
      </c>
      <c r="N472" t="n">
        <v>0</v>
      </c>
      <c r="O472" t="n">
        <v>0</v>
      </c>
      <c r="P472" t="n">
        <v>0</v>
      </c>
      <c r="Q472" t="n">
        <v>0</v>
      </c>
      <c r="R472" s="2" t="inlineStr"/>
    </row>
    <row r="473" ht="15" customHeight="1">
      <c r="A473" t="inlineStr">
        <is>
          <t>A 24043-2024</t>
        </is>
      </c>
      <c r="B473" s="1" t="n">
        <v>45456.48927083334</v>
      </c>
      <c r="C473" s="1" t="n">
        <v>46126</v>
      </c>
      <c r="D473" t="inlineStr">
        <is>
          <t>ÖREBRO LÄN</t>
        </is>
      </c>
      <c r="E473" t="inlineStr">
        <is>
          <t>LINDESBERG</t>
        </is>
      </c>
      <c r="G473" t="n">
        <v>6.2</v>
      </c>
      <c r="H473" t="n">
        <v>0</v>
      </c>
      <c r="I473" t="n">
        <v>0</v>
      </c>
      <c r="J473" t="n">
        <v>0</v>
      </c>
      <c r="K473" t="n">
        <v>0</v>
      </c>
      <c r="L473" t="n">
        <v>0</v>
      </c>
      <c r="M473" t="n">
        <v>0</v>
      </c>
      <c r="N473" t="n">
        <v>0</v>
      </c>
      <c r="O473" t="n">
        <v>0</v>
      </c>
      <c r="P473" t="n">
        <v>0</v>
      </c>
      <c r="Q473" t="n">
        <v>0</v>
      </c>
      <c r="R473" s="2" t="inlineStr"/>
    </row>
    <row r="474" ht="15" customHeight="1">
      <c r="A474" t="inlineStr">
        <is>
          <t>A 23844-2025</t>
        </is>
      </c>
      <c r="B474" s="1" t="n">
        <v>45793.62422453704</v>
      </c>
      <c r="C474" s="1" t="n">
        <v>46126</v>
      </c>
      <c r="D474" t="inlineStr">
        <is>
          <t>ÖREBRO LÄN</t>
        </is>
      </c>
      <c r="E474" t="inlineStr">
        <is>
          <t>LINDESBERG</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9966-2023</t>
        </is>
      </c>
      <c r="B475" s="1" t="n">
        <v>44979</v>
      </c>
      <c r="C475" s="1" t="n">
        <v>46126</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12250-2025</t>
        </is>
      </c>
      <c r="B476" s="1" t="n">
        <v>45729.60775462963</v>
      </c>
      <c r="C476" s="1" t="n">
        <v>46126</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48061-2025</t>
        </is>
      </c>
      <c r="B477" s="1" t="n">
        <v>45932.68006944445</v>
      </c>
      <c r="C477" s="1" t="n">
        <v>46126</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47678-2025</t>
        </is>
      </c>
      <c r="B478" s="1" t="n">
        <v>45931.57967592592</v>
      </c>
      <c r="C478" s="1" t="n">
        <v>46126</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47069-2023</t>
        </is>
      </c>
      <c r="B479" s="1" t="n">
        <v>45201</v>
      </c>
      <c r="C479" s="1" t="n">
        <v>46126</v>
      </c>
      <c r="D479" t="inlineStr">
        <is>
          <t>ÖREBRO LÄN</t>
        </is>
      </c>
      <c r="E479" t="inlineStr">
        <is>
          <t>LINDESBERG</t>
        </is>
      </c>
      <c r="F479" t="inlineStr">
        <is>
          <t>Sveaskog</t>
        </is>
      </c>
      <c r="G479" t="n">
        <v>9.4</v>
      </c>
      <c r="H479" t="n">
        <v>0</v>
      </c>
      <c r="I479" t="n">
        <v>0</v>
      </c>
      <c r="J479" t="n">
        <v>0</v>
      </c>
      <c r="K479" t="n">
        <v>0</v>
      </c>
      <c r="L479" t="n">
        <v>0</v>
      </c>
      <c r="M479" t="n">
        <v>0</v>
      </c>
      <c r="N479" t="n">
        <v>0</v>
      </c>
      <c r="O479" t="n">
        <v>0</v>
      </c>
      <c r="P479" t="n">
        <v>0</v>
      </c>
      <c r="Q479" t="n">
        <v>0</v>
      </c>
      <c r="R479" s="2" t="inlineStr"/>
    </row>
    <row r="480" ht="15" customHeight="1">
      <c r="A480" t="inlineStr">
        <is>
          <t>A 47074-2023</t>
        </is>
      </c>
      <c r="B480" s="1" t="n">
        <v>45201.60283564815</v>
      </c>
      <c r="C480" s="1" t="n">
        <v>46126</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48231-2024</t>
        </is>
      </c>
      <c r="B481" s="1" t="n">
        <v>45590.37590277778</v>
      </c>
      <c r="C481" s="1" t="n">
        <v>46126</v>
      </c>
      <c r="D481" t="inlineStr">
        <is>
          <t>ÖREBRO LÄN</t>
        </is>
      </c>
      <c r="E481" t="inlineStr">
        <is>
          <t>LINDESBERG</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47676-2025</t>
        </is>
      </c>
      <c r="B482" s="1" t="n">
        <v>45931.57756944445</v>
      </c>
      <c r="C482" s="1" t="n">
        <v>46126</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48489-2025</t>
        </is>
      </c>
      <c r="B483" s="1" t="n">
        <v>45936.36637731481</v>
      </c>
      <c r="C483" s="1" t="n">
        <v>46126</v>
      </c>
      <c r="D483" t="inlineStr">
        <is>
          <t>ÖREBRO LÄN</t>
        </is>
      </c>
      <c r="E483" t="inlineStr">
        <is>
          <t>LINDESBERG</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37125-2023</t>
        </is>
      </c>
      <c r="B484" s="1" t="n">
        <v>45155.5653125</v>
      </c>
      <c r="C484" s="1" t="n">
        <v>46126</v>
      </c>
      <c r="D484" t="inlineStr">
        <is>
          <t>ÖREBRO LÄN</t>
        </is>
      </c>
      <c r="E484" t="inlineStr">
        <is>
          <t>LINDESBERG</t>
        </is>
      </c>
      <c r="G484" t="n">
        <v>2</v>
      </c>
      <c r="H484" t="n">
        <v>0</v>
      </c>
      <c r="I484" t="n">
        <v>0</v>
      </c>
      <c r="J484" t="n">
        <v>0</v>
      </c>
      <c r="K484" t="n">
        <v>0</v>
      </c>
      <c r="L484" t="n">
        <v>0</v>
      </c>
      <c r="M484" t="n">
        <v>0</v>
      </c>
      <c r="N484" t="n">
        <v>0</v>
      </c>
      <c r="O484" t="n">
        <v>0</v>
      </c>
      <c r="P484" t="n">
        <v>0</v>
      </c>
      <c r="Q484" t="n">
        <v>0</v>
      </c>
      <c r="R484" s="2" t="inlineStr"/>
    </row>
    <row r="485" ht="15" customHeight="1">
      <c r="A485" t="inlineStr">
        <is>
          <t>A 48750-2025</t>
        </is>
      </c>
      <c r="B485" s="1" t="n">
        <v>45936.68452546297</v>
      </c>
      <c r="C485" s="1" t="n">
        <v>46126</v>
      </c>
      <c r="D485" t="inlineStr">
        <is>
          <t>ÖREBRO LÄN</t>
        </is>
      </c>
      <c r="E485" t="inlineStr">
        <is>
          <t>LINDESBERG</t>
        </is>
      </c>
      <c r="G485" t="n">
        <v>2.1</v>
      </c>
      <c r="H485" t="n">
        <v>0</v>
      </c>
      <c r="I485" t="n">
        <v>0</v>
      </c>
      <c r="J485" t="n">
        <v>0</v>
      </c>
      <c r="K485" t="n">
        <v>0</v>
      </c>
      <c r="L485" t="n">
        <v>0</v>
      </c>
      <c r="M485" t="n">
        <v>0</v>
      </c>
      <c r="N485" t="n">
        <v>0</v>
      </c>
      <c r="O485" t="n">
        <v>0</v>
      </c>
      <c r="P485" t="n">
        <v>0</v>
      </c>
      <c r="Q485" t="n">
        <v>0</v>
      </c>
      <c r="R485" s="2" t="inlineStr"/>
    </row>
    <row r="486" ht="15" customHeight="1">
      <c r="A486" t="inlineStr">
        <is>
          <t>A 24186-2024</t>
        </is>
      </c>
      <c r="B486" s="1" t="n">
        <v>45456.90869212963</v>
      </c>
      <c r="C486" s="1" t="n">
        <v>46126</v>
      </c>
      <c r="D486" t="inlineStr">
        <is>
          <t>ÖREBRO LÄN</t>
        </is>
      </c>
      <c r="E486" t="inlineStr">
        <is>
          <t>LINDESBERG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48495-2025</t>
        </is>
      </c>
      <c r="B487" s="1" t="n">
        <v>45936.37237268518</v>
      </c>
      <c r="C487" s="1" t="n">
        <v>46126</v>
      </c>
      <c r="D487" t="inlineStr">
        <is>
          <t>ÖREBRO LÄN</t>
        </is>
      </c>
      <c r="E487" t="inlineStr">
        <is>
          <t>LINDESBERG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53352-2023</t>
        </is>
      </c>
      <c r="B488" s="1" t="n">
        <v>45229.66262731481</v>
      </c>
      <c r="C488" s="1" t="n">
        <v>46126</v>
      </c>
      <c r="D488" t="inlineStr">
        <is>
          <t>ÖREBRO LÄN</t>
        </is>
      </c>
      <c r="E488" t="inlineStr">
        <is>
          <t>LINDESBERG</t>
        </is>
      </c>
      <c r="F488" t="inlineStr">
        <is>
          <t>Sveaskog</t>
        </is>
      </c>
      <c r="G488" t="n">
        <v>0.3</v>
      </c>
      <c r="H488" t="n">
        <v>0</v>
      </c>
      <c r="I488" t="n">
        <v>0</v>
      </c>
      <c r="J488" t="n">
        <v>0</v>
      </c>
      <c r="K488" t="n">
        <v>0</v>
      </c>
      <c r="L488" t="n">
        <v>0</v>
      </c>
      <c r="M488" t="n">
        <v>0</v>
      </c>
      <c r="N488" t="n">
        <v>0</v>
      </c>
      <c r="O488" t="n">
        <v>0</v>
      </c>
      <c r="P488" t="n">
        <v>0</v>
      </c>
      <c r="Q488" t="n">
        <v>0</v>
      </c>
      <c r="R488" s="2" t="inlineStr"/>
    </row>
    <row r="489" ht="15" customHeight="1">
      <c r="A489" t="inlineStr">
        <is>
          <t>A 15213-2025</t>
        </is>
      </c>
      <c r="B489" s="1" t="n">
        <v>45744.57851851852</v>
      </c>
      <c r="C489" s="1" t="n">
        <v>46126</v>
      </c>
      <c r="D489" t="inlineStr">
        <is>
          <t>ÖREBRO LÄN</t>
        </is>
      </c>
      <c r="E489" t="inlineStr">
        <is>
          <t>LINDESBERG</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46678-2023</t>
        </is>
      </c>
      <c r="B490" s="1" t="n">
        <v>45194</v>
      </c>
      <c r="C490" s="1" t="n">
        <v>46126</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48618-2025</t>
        </is>
      </c>
      <c r="B491" s="1" t="n">
        <v>45936.49026620371</v>
      </c>
      <c r="C491" s="1" t="n">
        <v>46126</v>
      </c>
      <c r="D491" t="inlineStr">
        <is>
          <t>ÖREBRO LÄN</t>
        </is>
      </c>
      <c r="E491" t="inlineStr">
        <is>
          <t>LINDESBERG</t>
        </is>
      </c>
      <c r="F491" t="inlineStr">
        <is>
          <t>Sveaskog</t>
        </is>
      </c>
      <c r="G491" t="n">
        <v>4.2</v>
      </c>
      <c r="H491" t="n">
        <v>0</v>
      </c>
      <c r="I491" t="n">
        <v>0</v>
      </c>
      <c r="J491" t="n">
        <v>0</v>
      </c>
      <c r="K491" t="n">
        <v>0</v>
      </c>
      <c r="L491" t="n">
        <v>0</v>
      </c>
      <c r="M491" t="n">
        <v>0</v>
      </c>
      <c r="N491" t="n">
        <v>0</v>
      </c>
      <c r="O491" t="n">
        <v>0</v>
      </c>
      <c r="P491" t="n">
        <v>0</v>
      </c>
      <c r="Q491" t="n">
        <v>0</v>
      </c>
      <c r="R491" s="2" t="inlineStr"/>
    </row>
    <row r="492" ht="15" customHeight="1">
      <c r="A492" t="inlineStr">
        <is>
          <t>A 26967-2022</t>
        </is>
      </c>
      <c r="B492" s="1" t="n">
        <v>44740.66997685185</v>
      </c>
      <c r="C492" s="1" t="n">
        <v>46126</v>
      </c>
      <c r="D492" t="inlineStr">
        <is>
          <t>ÖREBRO LÄN</t>
        </is>
      </c>
      <c r="E492" t="inlineStr">
        <is>
          <t>LINDESBERG</t>
        </is>
      </c>
      <c r="G492" t="n">
        <v>1.6</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46126</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45978-2021</t>
        </is>
      </c>
      <c r="B494" s="1" t="n">
        <v>44441.70047453704</v>
      </c>
      <c r="C494" s="1" t="n">
        <v>46126</v>
      </c>
      <c r="D494" t="inlineStr">
        <is>
          <t>ÖREBRO LÄN</t>
        </is>
      </c>
      <c r="E494" t="inlineStr">
        <is>
          <t>LINDESBERG</t>
        </is>
      </c>
      <c r="G494" t="n">
        <v>4.4</v>
      </c>
      <c r="H494" t="n">
        <v>0</v>
      </c>
      <c r="I494" t="n">
        <v>0</v>
      </c>
      <c r="J494" t="n">
        <v>0</v>
      </c>
      <c r="K494" t="n">
        <v>0</v>
      </c>
      <c r="L494" t="n">
        <v>0</v>
      </c>
      <c r="M494" t="n">
        <v>0</v>
      </c>
      <c r="N494" t="n">
        <v>0</v>
      </c>
      <c r="O494" t="n">
        <v>0</v>
      </c>
      <c r="P494" t="n">
        <v>0</v>
      </c>
      <c r="Q494" t="n">
        <v>0</v>
      </c>
      <c r="R494" s="2" t="inlineStr"/>
    </row>
    <row r="495" ht="15" customHeight="1">
      <c r="A495" t="inlineStr">
        <is>
          <t>A 14454-2024</t>
        </is>
      </c>
      <c r="B495" s="1" t="n">
        <v>45394.51289351852</v>
      </c>
      <c r="C495" s="1" t="n">
        <v>46126</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40303-2024</t>
        </is>
      </c>
      <c r="B496" s="1" t="n">
        <v>45554.7158912037</v>
      </c>
      <c r="C496" s="1" t="n">
        <v>46126</v>
      </c>
      <c r="D496" t="inlineStr">
        <is>
          <t>ÖREBRO LÄN</t>
        </is>
      </c>
      <c r="E496" t="inlineStr">
        <is>
          <t>LINDESBERG</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46484-2024</t>
        </is>
      </c>
      <c r="B497" s="1" t="n">
        <v>45582.57542824074</v>
      </c>
      <c r="C497" s="1" t="n">
        <v>46126</v>
      </c>
      <c r="D497" t="inlineStr">
        <is>
          <t>ÖREBRO LÄN</t>
        </is>
      </c>
      <c r="E497" t="inlineStr">
        <is>
          <t>LINDESBERG</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19436-2025</t>
        </is>
      </c>
      <c r="B498" s="1" t="n">
        <v>45769.98449074074</v>
      </c>
      <c r="C498" s="1" t="n">
        <v>46126</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48620-2025</t>
        </is>
      </c>
      <c r="B499" s="1" t="n">
        <v>45936.49210648148</v>
      </c>
      <c r="C499" s="1" t="n">
        <v>46126</v>
      </c>
      <c r="D499" t="inlineStr">
        <is>
          <t>ÖREBRO LÄN</t>
        </is>
      </c>
      <c r="E499" t="inlineStr">
        <is>
          <t>LINDESBERG</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45428-2023</t>
        </is>
      </c>
      <c r="B500" s="1" t="n">
        <v>45194</v>
      </c>
      <c r="C500" s="1" t="n">
        <v>46126</v>
      </c>
      <c r="D500" t="inlineStr">
        <is>
          <t>ÖREBRO LÄN</t>
        </is>
      </c>
      <c r="E500" t="inlineStr">
        <is>
          <t>LINDESBERG</t>
        </is>
      </c>
      <c r="G500" t="n">
        <v>7.7</v>
      </c>
      <c r="H500" t="n">
        <v>0</v>
      </c>
      <c r="I500" t="n">
        <v>0</v>
      </c>
      <c r="J500" t="n">
        <v>0</v>
      </c>
      <c r="K500" t="n">
        <v>0</v>
      </c>
      <c r="L500" t="n">
        <v>0</v>
      </c>
      <c r="M500" t="n">
        <v>0</v>
      </c>
      <c r="N500" t="n">
        <v>0</v>
      </c>
      <c r="O500" t="n">
        <v>0</v>
      </c>
      <c r="P500" t="n">
        <v>0</v>
      </c>
      <c r="Q500" t="n">
        <v>0</v>
      </c>
      <c r="R500" s="2" t="inlineStr"/>
    </row>
    <row r="501" ht="15" customHeight="1">
      <c r="A501" t="inlineStr">
        <is>
          <t>A 13350-2024</t>
        </is>
      </c>
      <c r="B501" s="1" t="n">
        <v>45387.24732638889</v>
      </c>
      <c r="C501" s="1" t="n">
        <v>46126</v>
      </c>
      <c r="D501" t="inlineStr">
        <is>
          <t>ÖREBRO LÄN</t>
        </is>
      </c>
      <c r="E501" t="inlineStr">
        <is>
          <t>LINDESBERG</t>
        </is>
      </c>
      <c r="G501" t="n">
        <v>4.1</v>
      </c>
      <c r="H501" t="n">
        <v>0</v>
      </c>
      <c r="I501" t="n">
        <v>0</v>
      </c>
      <c r="J501" t="n">
        <v>0</v>
      </c>
      <c r="K501" t="n">
        <v>0</v>
      </c>
      <c r="L501" t="n">
        <v>0</v>
      </c>
      <c r="M501" t="n">
        <v>0</v>
      </c>
      <c r="N501" t="n">
        <v>0</v>
      </c>
      <c r="O501" t="n">
        <v>0</v>
      </c>
      <c r="P501" t="n">
        <v>0</v>
      </c>
      <c r="Q501" t="n">
        <v>0</v>
      </c>
      <c r="R501" s="2" t="inlineStr"/>
    </row>
    <row r="502" ht="15" customHeight="1">
      <c r="A502" t="inlineStr">
        <is>
          <t>A 13351-2024</t>
        </is>
      </c>
      <c r="B502" s="1" t="n">
        <v>45387.2521875</v>
      </c>
      <c r="C502" s="1" t="n">
        <v>46126</v>
      </c>
      <c r="D502" t="inlineStr">
        <is>
          <t>ÖREBRO LÄN</t>
        </is>
      </c>
      <c r="E502" t="inlineStr">
        <is>
          <t>LINDESBERG</t>
        </is>
      </c>
      <c r="G502" t="n">
        <v>1.7</v>
      </c>
      <c r="H502" t="n">
        <v>0</v>
      </c>
      <c r="I502" t="n">
        <v>0</v>
      </c>
      <c r="J502" t="n">
        <v>0</v>
      </c>
      <c r="K502" t="n">
        <v>0</v>
      </c>
      <c r="L502" t="n">
        <v>0</v>
      </c>
      <c r="M502" t="n">
        <v>0</v>
      </c>
      <c r="N502" t="n">
        <v>0</v>
      </c>
      <c r="O502" t="n">
        <v>0</v>
      </c>
      <c r="P502" t="n">
        <v>0</v>
      </c>
      <c r="Q502" t="n">
        <v>0</v>
      </c>
      <c r="R502" s="2" t="inlineStr"/>
    </row>
    <row r="503" ht="15" customHeight="1">
      <c r="A503" t="inlineStr">
        <is>
          <t>A 48953-2025</t>
        </is>
      </c>
      <c r="B503" s="1" t="n">
        <v>45937.54697916667</v>
      </c>
      <c r="C503" s="1" t="n">
        <v>46126</v>
      </c>
      <c r="D503" t="inlineStr">
        <is>
          <t>ÖREBRO LÄN</t>
        </is>
      </c>
      <c r="E503" t="inlineStr">
        <is>
          <t>LINDESBERG</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48971-2025</t>
        </is>
      </c>
      <c r="B504" s="1" t="n">
        <v>45937.56420138889</v>
      </c>
      <c r="C504" s="1" t="n">
        <v>46126</v>
      </c>
      <c r="D504" t="inlineStr">
        <is>
          <t>ÖREBRO LÄN</t>
        </is>
      </c>
      <c r="E504" t="inlineStr">
        <is>
          <t>LINDESBERG</t>
        </is>
      </c>
      <c r="F504" t="inlineStr">
        <is>
          <t>Sveaskog</t>
        </is>
      </c>
      <c r="G504" t="n">
        <v>4.1</v>
      </c>
      <c r="H504" t="n">
        <v>0</v>
      </c>
      <c r="I504" t="n">
        <v>0</v>
      </c>
      <c r="J504" t="n">
        <v>0</v>
      </c>
      <c r="K504" t="n">
        <v>0</v>
      </c>
      <c r="L504" t="n">
        <v>0</v>
      </c>
      <c r="M504" t="n">
        <v>0</v>
      </c>
      <c r="N504" t="n">
        <v>0</v>
      </c>
      <c r="O504" t="n">
        <v>0</v>
      </c>
      <c r="P504" t="n">
        <v>0</v>
      </c>
      <c r="Q504" t="n">
        <v>0</v>
      </c>
      <c r="R504" s="2" t="inlineStr"/>
    </row>
    <row r="505" ht="15" customHeight="1">
      <c r="A505" t="inlineStr">
        <is>
          <t>A 48975-2025</t>
        </is>
      </c>
      <c r="B505" s="1" t="n">
        <v>45937.56798611111</v>
      </c>
      <c r="C505" s="1" t="n">
        <v>46126</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48993-2025</t>
        </is>
      </c>
      <c r="B506" s="1" t="n">
        <v>45937.58590277778</v>
      </c>
      <c r="C506" s="1" t="n">
        <v>46126</v>
      </c>
      <c r="D506" t="inlineStr">
        <is>
          <t>ÖREBRO LÄN</t>
        </is>
      </c>
      <c r="E506" t="inlineStr">
        <is>
          <t>LINDESBERG</t>
        </is>
      </c>
      <c r="F506" t="inlineStr">
        <is>
          <t>Kyrkan</t>
        </is>
      </c>
      <c r="G506" t="n">
        <v>4</v>
      </c>
      <c r="H506" t="n">
        <v>0</v>
      </c>
      <c r="I506" t="n">
        <v>0</v>
      </c>
      <c r="J506" t="n">
        <v>0</v>
      </c>
      <c r="K506" t="n">
        <v>0</v>
      </c>
      <c r="L506" t="n">
        <v>0</v>
      </c>
      <c r="M506" t="n">
        <v>0</v>
      </c>
      <c r="N506" t="n">
        <v>0</v>
      </c>
      <c r="O506" t="n">
        <v>0</v>
      </c>
      <c r="P506" t="n">
        <v>0</v>
      </c>
      <c r="Q506" t="n">
        <v>0</v>
      </c>
      <c r="R506" s="2" t="inlineStr"/>
    </row>
    <row r="507" ht="15" customHeight="1">
      <c r="A507" t="inlineStr">
        <is>
          <t>A 49183-2025</t>
        </is>
      </c>
      <c r="B507" s="1" t="n">
        <v>45938.39741898148</v>
      </c>
      <c r="C507" s="1" t="n">
        <v>46126</v>
      </c>
      <c r="D507" t="inlineStr">
        <is>
          <t>ÖREBRO LÄN</t>
        </is>
      </c>
      <c r="E507" t="inlineStr">
        <is>
          <t>LINDESBERG</t>
        </is>
      </c>
      <c r="G507" t="n">
        <v>4.4</v>
      </c>
      <c r="H507" t="n">
        <v>0</v>
      </c>
      <c r="I507" t="n">
        <v>0</v>
      </c>
      <c r="J507" t="n">
        <v>0</v>
      </c>
      <c r="K507" t="n">
        <v>0</v>
      </c>
      <c r="L507" t="n">
        <v>0</v>
      </c>
      <c r="M507" t="n">
        <v>0</v>
      </c>
      <c r="N507" t="n">
        <v>0</v>
      </c>
      <c r="O507" t="n">
        <v>0</v>
      </c>
      <c r="P507" t="n">
        <v>0</v>
      </c>
      <c r="Q507" t="n">
        <v>0</v>
      </c>
      <c r="R507" s="2" t="inlineStr"/>
    </row>
    <row r="508" ht="15" customHeight="1">
      <c r="A508" t="inlineStr">
        <is>
          <t>A 49100-2025</t>
        </is>
      </c>
      <c r="B508" s="1" t="n">
        <v>45937.71556712963</v>
      </c>
      <c r="C508" s="1" t="n">
        <v>46126</v>
      </c>
      <c r="D508" t="inlineStr">
        <is>
          <t>ÖREBRO LÄN</t>
        </is>
      </c>
      <c r="E508" t="inlineStr">
        <is>
          <t>LINDESBERG</t>
        </is>
      </c>
      <c r="G508" t="n">
        <v>2.2</v>
      </c>
      <c r="H508" t="n">
        <v>0</v>
      </c>
      <c r="I508" t="n">
        <v>0</v>
      </c>
      <c r="J508" t="n">
        <v>0</v>
      </c>
      <c r="K508" t="n">
        <v>0</v>
      </c>
      <c r="L508" t="n">
        <v>0</v>
      </c>
      <c r="M508" t="n">
        <v>0</v>
      </c>
      <c r="N508" t="n">
        <v>0</v>
      </c>
      <c r="O508" t="n">
        <v>0</v>
      </c>
      <c r="P508" t="n">
        <v>0</v>
      </c>
      <c r="Q508" t="n">
        <v>0</v>
      </c>
      <c r="R508" s="2" t="inlineStr"/>
    </row>
    <row r="509" ht="15" customHeight="1">
      <c r="A509" t="inlineStr">
        <is>
          <t>A 12053-2024</t>
        </is>
      </c>
      <c r="B509" s="1" t="n">
        <v>45377.48265046296</v>
      </c>
      <c r="C509" s="1" t="n">
        <v>46126</v>
      </c>
      <c r="D509" t="inlineStr">
        <is>
          <t>ÖREBRO LÄN</t>
        </is>
      </c>
      <c r="E509" t="inlineStr">
        <is>
          <t>LINDESBERG</t>
        </is>
      </c>
      <c r="G509" t="n">
        <v>1.7</v>
      </c>
      <c r="H509" t="n">
        <v>0</v>
      </c>
      <c r="I509" t="n">
        <v>0</v>
      </c>
      <c r="J509" t="n">
        <v>0</v>
      </c>
      <c r="K509" t="n">
        <v>0</v>
      </c>
      <c r="L509" t="n">
        <v>0</v>
      </c>
      <c r="M509" t="n">
        <v>0</v>
      </c>
      <c r="N509" t="n">
        <v>0</v>
      </c>
      <c r="O509" t="n">
        <v>0</v>
      </c>
      <c r="P509" t="n">
        <v>0</v>
      </c>
      <c r="Q509" t="n">
        <v>0</v>
      </c>
      <c r="R509" s="2" t="inlineStr"/>
    </row>
    <row r="510" ht="15" customHeight="1">
      <c r="A510" t="inlineStr">
        <is>
          <t>A 25842-2025</t>
        </is>
      </c>
      <c r="B510" s="1" t="n">
        <v>45804.45474537037</v>
      </c>
      <c r="C510" s="1" t="n">
        <v>46126</v>
      </c>
      <c r="D510" t="inlineStr">
        <is>
          <t>ÖREBRO LÄN</t>
        </is>
      </c>
      <c r="E510" t="inlineStr">
        <is>
          <t>LINDESBERG</t>
        </is>
      </c>
      <c r="G510" t="n">
        <v>1.7</v>
      </c>
      <c r="H510" t="n">
        <v>0</v>
      </c>
      <c r="I510" t="n">
        <v>0</v>
      </c>
      <c r="J510" t="n">
        <v>0</v>
      </c>
      <c r="K510" t="n">
        <v>0</v>
      </c>
      <c r="L510" t="n">
        <v>0</v>
      </c>
      <c r="M510" t="n">
        <v>0</v>
      </c>
      <c r="N510" t="n">
        <v>0</v>
      </c>
      <c r="O510" t="n">
        <v>0</v>
      </c>
      <c r="P510" t="n">
        <v>0</v>
      </c>
      <c r="Q510" t="n">
        <v>0</v>
      </c>
      <c r="R510" s="2" t="inlineStr"/>
    </row>
    <row r="511" ht="15" customHeight="1">
      <c r="A511" t="inlineStr">
        <is>
          <t>A 27702-2025</t>
        </is>
      </c>
      <c r="B511" s="1" t="n">
        <v>45813</v>
      </c>
      <c r="C511" s="1" t="n">
        <v>46126</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48867-2025</t>
        </is>
      </c>
      <c r="B512" s="1" t="n">
        <v>45937.4484837963</v>
      </c>
      <c r="C512" s="1" t="n">
        <v>46126</v>
      </c>
      <c r="D512" t="inlineStr">
        <is>
          <t>ÖREBRO LÄN</t>
        </is>
      </c>
      <c r="E512" t="inlineStr">
        <is>
          <t>LINDESBERG</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25643-2025</t>
        </is>
      </c>
      <c r="B513" s="1" t="n">
        <v>45803</v>
      </c>
      <c r="C513" s="1" t="n">
        <v>46126</v>
      </c>
      <c r="D513" t="inlineStr">
        <is>
          <t>ÖREBRO LÄN</t>
        </is>
      </c>
      <c r="E513" t="inlineStr">
        <is>
          <t>LINDESBERG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25843-2025</t>
        </is>
      </c>
      <c r="B514" s="1" t="n">
        <v>45804.45584490741</v>
      </c>
      <c r="C514" s="1" t="n">
        <v>46126</v>
      </c>
      <c r="D514" t="inlineStr">
        <is>
          <t>ÖREBRO LÄN</t>
        </is>
      </c>
      <c r="E514" t="inlineStr">
        <is>
          <t>LINDESBERG</t>
        </is>
      </c>
      <c r="G514" t="n">
        <v>4.6</v>
      </c>
      <c r="H514" t="n">
        <v>0</v>
      </c>
      <c r="I514" t="n">
        <v>0</v>
      </c>
      <c r="J514" t="n">
        <v>0</v>
      </c>
      <c r="K514" t="n">
        <v>0</v>
      </c>
      <c r="L514" t="n">
        <v>0</v>
      </c>
      <c r="M514" t="n">
        <v>0</v>
      </c>
      <c r="N514" t="n">
        <v>0</v>
      </c>
      <c r="O514" t="n">
        <v>0</v>
      </c>
      <c r="P514" t="n">
        <v>0</v>
      </c>
      <c r="Q514" t="n">
        <v>0</v>
      </c>
      <c r="R514" s="2" t="inlineStr"/>
    </row>
    <row r="515" ht="15" customHeight="1">
      <c r="A515" t="inlineStr">
        <is>
          <t>A 49133-2025</t>
        </is>
      </c>
      <c r="B515" s="1" t="n">
        <v>45937.92319444445</v>
      </c>
      <c r="C515" s="1" t="n">
        <v>46126</v>
      </c>
      <c r="D515" t="inlineStr">
        <is>
          <t>ÖREBRO LÄN</t>
        </is>
      </c>
      <c r="E515" t="inlineStr">
        <is>
          <t>LINDESBERG</t>
        </is>
      </c>
      <c r="G515" t="n">
        <v>5</v>
      </c>
      <c r="H515" t="n">
        <v>0</v>
      </c>
      <c r="I515" t="n">
        <v>0</v>
      </c>
      <c r="J515" t="n">
        <v>0</v>
      </c>
      <c r="K515" t="n">
        <v>0</v>
      </c>
      <c r="L515" t="n">
        <v>0</v>
      </c>
      <c r="M515" t="n">
        <v>0</v>
      </c>
      <c r="N515" t="n">
        <v>0</v>
      </c>
      <c r="O515" t="n">
        <v>0</v>
      </c>
      <c r="P515" t="n">
        <v>0</v>
      </c>
      <c r="Q515" t="n">
        <v>0</v>
      </c>
      <c r="R515" s="2" t="inlineStr"/>
    </row>
    <row r="516" ht="15" customHeight="1">
      <c r="A516" t="inlineStr">
        <is>
          <t>A 26016-2025</t>
        </is>
      </c>
      <c r="B516" s="1" t="n">
        <v>45804.67795138889</v>
      </c>
      <c r="C516" s="1" t="n">
        <v>46126</v>
      </c>
      <c r="D516" t="inlineStr">
        <is>
          <t>ÖREBRO LÄN</t>
        </is>
      </c>
      <c r="E516" t="inlineStr">
        <is>
          <t>LINDESBERG</t>
        </is>
      </c>
      <c r="G516" t="n">
        <v>10</v>
      </c>
      <c r="H516" t="n">
        <v>0</v>
      </c>
      <c r="I516" t="n">
        <v>0</v>
      </c>
      <c r="J516" t="n">
        <v>0</v>
      </c>
      <c r="K516" t="n">
        <v>0</v>
      </c>
      <c r="L516" t="n">
        <v>0</v>
      </c>
      <c r="M516" t="n">
        <v>0</v>
      </c>
      <c r="N516" t="n">
        <v>0</v>
      </c>
      <c r="O516" t="n">
        <v>0</v>
      </c>
      <c r="P516" t="n">
        <v>0</v>
      </c>
      <c r="Q516" t="n">
        <v>0</v>
      </c>
      <c r="R516" s="2" t="inlineStr"/>
    </row>
    <row r="517" ht="15" customHeight="1">
      <c r="A517" t="inlineStr">
        <is>
          <t>A 49707-2025</t>
        </is>
      </c>
      <c r="B517" s="1" t="n">
        <v>45939.67951388889</v>
      </c>
      <c r="C517" s="1" t="n">
        <v>46126</v>
      </c>
      <c r="D517" t="inlineStr">
        <is>
          <t>ÖREBRO LÄN</t>
        </is>
      </c>
      <c r="E517" t="inlineStr">
        <is>
          <t>LINDESBERG</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39137-2024</t>
        </is>
      </c>
      <c r="B518" s="1" t="n">
        <v>45548</v>
      </c>
      <c r="C518" s="1" t="n">
        <v>46126</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39152-2024</t>
        </is>
      </c>
      <c r="B519" s="1" t="n">
        <v>45548</v>
      </c>
      <c r="C519" s="1" t="n">
        <v>46126</v>
      </c>
      <c r="D519" t="inlineStr">
        <is>
          <t>ÖREBRO LÄN</t>
        </is>
      </c>
      <c r="E519" t="inlineStr">
        <is>
          <t>LINDESBERG</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43529-2024</t>
        </is>
      </c>
      <c r="B520" s="1" t="n">
        <v>45569.35209490741</v>
      </c>
      <c r="C520" s="1" t="n">
        <v>46126</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49946-2025</t>
        </is>
      </c>
      <c r="B521" s="1" t="n">
        <v>45940.69862268519</v>
      </c>
      <c r="C521" s="1" t="n">
        <v>46126</v>
      </c>
      <c r="D521" t="inlineStr">
        <is>
          <t>ÖREBRO LÄN</t>
        </is>
      </c>
      <c r="E521" t="inlineStr">
        <is>
          <t>LINDESBERG</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46607-2021</t>
        </is>
      </c>
      <c r="B522" s="1" t="n">
        <v>44445.55690972223</v>
      </c>
      <c r="C522" s="1" t="n">
        <v>46126</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49944-2025</t>
        </is>
      </c>
      <c r="B523" s="1" t="n">
        <v>45940.69643518519</v>
      </c>
      <c r="C523" s="1" t="n">
        <v>46126</v>
      </c>
      <c r="D523" t="inlineStr">
        <is>
          <t>ÖREBRO LÄN</t>
        </is>
      </c>
      <c r="E523" t="inlineStr">
        <is>
          <t>LINDESBERG</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49947-2025</t>
        </is>
      </c>
      <c r="B524" s="1" t="n">
        <v>45940.70018518518</v>
      </c>
      <c r="C524" s="1" t="n">
        <v>46126</v>
      </c>
      <c r="D524" t="inlineStr">
        <is>
          <t>ÖREBRO LÄN</t>
        </is>
      </c>
      <c r="E524" t="inlineStr">
        <is>
          <t>LINDESBERG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49943-2025</t>
        </is>
      </c>
      <c r="B525" s="1" t="n">
        <v>45940.69521990741</v>
      </c>
      <c r="C525" s="1" t="n">
        <v>46126</v>
      </c>
      <c r="D525" t="inlineStr">
        <is>
          <t>ÖREBRO LÄN</t>
        </is>
      </c>
      <c r="E525" t="inlineStr">
        <is>
          <t>LINDESBERG</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27051-2023</t>
        </is>
      </c>
      <c r="B526" s="1" t="n">
        <v>45095</v>
      </c>
      <c r="C526" s="1" t="n">
        <v>46126</v>
      </c>
      <c r="D526" t="inlineStr">
        <is>
          <t>ÖREBRO LÄN</t>
        </is>
      </c>
      <c r="E526" t="inlineStr">
        <is>
          <t>LINDESBERG</t>
        </is>
      </c>
      <c r="G526" t="n">
        <v>1.4</v>
      </c>
      <c r="H526" t="n">
        <v>0</v>
      </c>
      <c r="I526" t="n">
        <v>0</v>
      </c>
      <c r="J526" t="n">
        <v>0</v>
      </c>
      <c r="K526" t="n">
        <v>0</v>
      </c>
      <c r="L526" t="n">
        <v>0</v>
      </c>
      <c r="M526" t="n">
        <v>0</v>
      </c>
      <c r="N526" t="n">
        <v>0</v>
      </c>
      <c r="O526" t="n">
        <v>0</v>
      </c>
      <c r="P526" t="n">
        <v>0</v>
      </c>
      <c r="Q526" t="n">
        <v>0</v>
      </c>
      <c r="R526" s="2" t="inlineStr"/>
    </row>
    <row r="527" ht="15" customHeight="1">
      <c r="A527" t="inlineStr">
        <is>
          <t>A 27052-2023</t>
        </is>
      </c>
      <c r="B527" s="1" t="n">
        <v>45095</v>
      </c>
      <c r="C527" s="1" t="n">
        <v>46126</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58710-2023</t>
        </is>
      </c>
      <c r="B528" s="1" t="n">
        <v>45251.696875</v>
      </c>
      <c r="C528" s="1" t="n">
        <v>46126</v>
      </c>
      <c r="D528" t="inlineStr">
        <is>
          <t>ÖREBRO LÄN</t>
        </is>
      </c>
      <c r="E528" t="inlineStr">
        <is>
          <t>LINDESBERG</t>
        </is>
      </c>
      <c r="G528" t="n">
        <v>6.3</v>
      </c>
      <c r="H528" t="n">
        <v>0</v>
      </c>
      <c r="I528" t="n">
        <v>0</v>
      </c>
      <c r="J528" t="n">
        <v>0</v>
      </c>
      <c r="K528" t="n">
        <v>0</v>
      </c>
      <c r="L528" t="n">
        <v>0</v>
      </c>
      <c r="M528" t="n">
        <v>0</v>
      </c>
      <c r="N528" t="n">
        <v>0</v>
      </c>
      <c r="O528" t="n">
        <v>0</v>
      </c>
      <c r="P528" t="n">
        <v>0</v>
      </c>
      <c r="Q528" t="n">
        <v>0</v>
      </c>
      <c r="R528" s="2" t="inlineStr"/>
    </row>
    <row r="529" ht="15" customHeight="1">
      <c r="A529" t="inlineStr">
        <is>
          <t>A 5772-2023</t>
        </is>
      </c>
      <c r="B529" s="1" t="n">
        <v>44963.37709490741</v>
      </c>
      <c r="C529" s="1" t="n">
        <v>46126</v>
      </c>
      <c r="D529" t="inlineStr">
        <is>
          <t>ÖREBRO LÄN</t>
        </is>
      </c>
      <c r="E529" t="inlineStr">
        <is>
          <t>LINDESBERG</t>
        </is>
      </c>
      <c r="G529" t="n">
        <v>3</v>
      </c>
      <c r="H529" t="n">
        <v>0</v>
      </c>
      <c r="I529" t="n">
        <v>0</v>
      </c>
      <c r="J529" t="n">
        <v>0</v>
      </c>
      <c r="K529" t="n">
        <v>0</v>
      </c>
      <c r="L529" t="n">
        <v>0</v>
      </c>
      <c r="M529" t="n">
        <v>0</v>
      </c>
      <c r="N529" t="n">
        <v>0</v>
      </c>
      <c r="O529" t="n">
        <v>0</v>
      </c>
      <c r="P529" t="n">
        <v>0</v>
      </c>
      <c r="Q529" t="n">
        <v>0</v>
      </c>
      <c r="R529" s="2" t="inlineStr"/>
    </row>
    <row r="530" ht="15" customHeight="1">
      <c r="A530" t="inlineStr">
        <is>
          <t>A 20210-2024</t>
        </is>
      </c>
      <c r="B530" s="1" t="n">
        <v>45434.65854166666</v>
      </c>
      <c r="C530" s="1" t="n">
        <v>46126</v>
      </c>
      <c r="D530" t="inlineStr">
        <is>
          <t>ÖREBRO LÄN</t>
        </is>
      </c>
      <c r="E530" t="inlineStr">
        <is>
          <t>LINDESBERG</t>
        </is>
      </c>
      <c r="G530" t="n">
        <v>5.5</v>
      </c>
      <c r="H530" t="n">
        <v>0</v>
      </c>
      <c r="I530" t="n">
        <v>0</v>
      </c>
      <c r="J530" t="n">
        <v>0</v>
      </c>
      <c r="K530" t="n">
        <v>0</v>
      </c>
      <c r="L530" t="n">
        <v>0</v>
      </c>
      <c r="M530" t="n">
        <v>0</v>
      </c>
      <c r="N530" t="n">
        <v>0</v>
      </c>
      <c r="O530" t="n">
        <v>0</v>
      </c>
      <c r="P530" t="n">
        <v>0</v>
      </c>
      <c r="Q530" t="n">
        <v>0</v>
      </c>
      <c r="R530" s="2" t="inlineStr"/>
    </row>
    <row r="531" ht="15" customHeight="1">
      <c r="A531" t="inlineStr">
        <is>
          <t>A 50072-2025</t>
        </is>
      </c>
      <c r="B531" s="1" t="n">
        <v>45943.45966435185</v>
      </c>
      <c r="C531" s="1" t="n">
        <v>46126</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50086-2025</t>
        </is>
      </c>
      <c r="B532" s="1" t="n">
        <v>45943.47649305555</v>
      </c>
      <c r="C532" s="1" t="n">
        <v>46126</v>
      </c>
      <c r="D532" t="inlineStr">
        <is>
          <t>ÖREBRO LÄN</t>
        </is>
      </c>
      <c r="E532" t="inlineStr">
        <is>
          <t>LINDESBERG</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50073-2025</t>
        </is>
      </c>
      <c r="B533" s="1" t="n">
        <v>45943.4603125</v>
      </c>
      <c r="C533" s="1" t="n">
        <v>46126</v>
      </c>
      <c r="D533" t="inlineStr">
        <is>
          <t>ÖREBRO LÄN</t>
        </is>
      </c>
      <c r="E533" t="inlineStr">
        <is>
          <t>LINDESBERG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26340-2022</t>
        </is>
      </c>
      <c r="B534" s="1" t="n">
        <v>44735.62539351852</v>
      </c>
      <c r="C534" s="1" t="n">
        <v>46126</v>
      </c>
      <c r="D534" t="inlineStr">
        <is>
          <t>ÖREBRO LÄN</t>
        </is>
      </c>
      <c r="E534" t="inlineStr">
        <is>
          <t>LINDESBERG</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50936-2025</t>
        </is>
      </c>
      <c r="B535" s="1" t="n">
        <v>45946.69616898148</v>
      </c>
      <c r="C535" s="1" t="n">
        <v>46126</v>
      </c>
      <c r="D535" t="inlineStr">
        <is>
          <t>ÖREBRO LÄN</t>
        </is>
      </c>
      <c r="E535" t="inlineStr">
        <is>
          <t>LINDESBERG</t>
        </is>
      </c>
      <c r="G535" t="n">
        <v>2.9</v>
      </c>
      <c r="H535" t="n">
        <v>0</v>
      </c>
      <c r="I535" t="n">
        <v>0</v>
      </c>
      <c r="J535" t="n">
        <v>0</v>
      </c>
      <c r="K535" t="n">
        <v>0</v>
      </c>
      <c r="L535" t="n">
        <v>0</v>
      </c>
      <c r="M535" t="n">
        <v>0</v>
      </c>
      <c r="N535" t="n">
        <v>0</v>
      </c>
      <c r="O535" t="n">
        <v>0</v>
      </c>
      <c r="P535" t="n">
        <v>0</v>
      </c>
      <c r="Q535" t="n">
        <v>0</v>
      </c>
      <c r="R535" s="2" t="inlineStr"/>
    </row>
    <row r="536" ht="15" customHeight="1">
      <c r="A536" t="inlineStr">
        <is>
          <t>A 23536-2023</t>
        </is>
      </c>
      <c r="B536" s="1" t="n">
        <v>45077</v>
      </c>
      <c r="C536" s="1" t="n">
        <v>46126</v>
      </c>
      <c r="D536" t="inlineStr">
        <is>
          <t>ÖREBRO LÄN</t>
        </is>
      </c>
      <c r="E536" t="inlineStr">
        <is>
          <t>LINDESBERG</t>
        </is>
      </c>
      <c r="F536" t="inlineStr">
        <is>
          <t>Kyrkan</t>
        </is>
      </c>
      <c r="G536" t="n">
        <v>0.5</v>
      </c>
      <c r="H536" t="n">
        <v>0</v>
      </c>
      <c r="I536" t="n">
        <v>0</v>
      </c>
      <c r="J536" t="n">
        <v>0</v>
      </c>
      <c r="K536" t="n">
        <v>0</v>
      </c>
      <c r="L536" t="n">
        <v>0</v>
      </c>
      <c r="M536" t="n">
        <v>0</v>
      </c>
      <c r="N536" t="n">
        <v>0</v>
      </c>
      <c r="O536" t="n">
        <v>0</v>
      </c>
      <c r="P536" t="n">
        <v>0</v>
      </c>
      <c r="Q536" t="n">
        <v>0</v>
      </c>
      <c r="R536" s="2" t="inlineStr"/>
    </row>
    <row r="537" ht="15" customHeight="1">
      <c r="A537" t="inlineStr">
        <is>
          <t>A 61969-2023</t>
        </is>
      </c>
      <c r="B537" s="1" t="n">
        <v>45266.58394675926</v>
      </c>
      <c r="C537" s="1" t="n">
        <v>46126</v>
      </c>
      <c r="D537" t="inlineStr">
        <is>
          <t>ÖREBRO LÄN</t>
        </is>
      </c>
      <c r="E537" t="inlineStr">
        <is>
          <t>LINDESBERG</t>
        </is>
      </c>
      <c r="G537" t="n">
        <v>10.5</v>
      </c>
      <c r="H537" t="n">
        <v>0</v>
      </c>
      <c r="I537" t="n">
        <v>0</v>
      </c>
      <c r="J537" t="n">
        <v>0</v>
      </c>
      <c r="K537" t="n">
        <v>0</v>
      </c>
      <c r="L537" t="n">
        <v>0</v>
      </c>
      <c r="M537" t="n">
        <v>0</v>
      </c>
      <c r="N537" t="n">
        <v>0</v>
      </c>
      <c r="O537" t="n">
        <v>0</v>
      </c>
      <c r="P537" t="n">
        <v>0</v>
      </c>
      <c r="Q537" t="n">
        <v>0</v>
      </c>
      <c r="R537" s="2" t="inlineStr"/>
    </row>
    <row r="538" ht="15" customHeight="1">
      <c r="A538" t="inlineStr">
        <is>
          <t>A 6962-2023</t>
        </is>
      </c>
      <c r="B538" s="1" t="n">
        <v>44967.60165509259</v>
      </c>
      <c r="C538" s="1" t="n">
        <v>46126</v>
      </c>
      <c r="D538" t="inlineStr">
        <is>
          <t>ÖREBRO LÄN</t>
        </is>
      </c>
      <c r="E538" t="inlineStr">
        <is>
          <t>LINDESBERG</t>
        </is>
      </c>
      <c r="G538" t="n">
        <v>11.4</v>
      </c>
      <c r="H538" t="n">
        <v>0</v>
      </c>
      <c r="I538" t="n">
        <v>0</v>
      </c>
      <c r="J538" t="n">
        <v>0</v>
      </c>
      <c r="K538" t="n">
        <v>0</v>
      </c>
      <c r="L538" t="n">
        <v>0</v>
      </c>
      <c r="M538" t="n">
        <v>0</v>
      </c>
      <c r="N538" t="n">
        <v>0</v>
      </c>
      <c r="O538" t="n">
        <v>0</v>
      </c>
      <c r="P538" t="n">
        <v>0</v>
      </c>
      <c r="Q538" t="n">
        <v>0</v>
      </c>
      <c r="R538" s="2" t="inlineStr"/>
    </row>
    <row r="539" ht="15" customHeight="1">
      <c r="A539" t="inlineStr">
        <is>
          <t>A 27309-2025</t>
        </is>
      </c>
      <c r="B539" s="1" t="n">
        <v>45812.57452546297</v>
      </c>
      <c r="C539" s="1" t="n">
        <v>46126</v>
      </c>
      <c r="D539" t="inlineStr">
        <is>
          <t>ÖREBRO LÄN</t>
        </is>
      </c>
      <c r="E539" t="inlineStr">
        <is>
          <t>LINDESBERG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27311-2025</t>
        </is>
      </c>
      <c r="B540" s="1" t="n">
        <v>45812.57604166667</v>
      </c>
      <c r="C540" s="1" t="n">
        <v>46126</v>
      </c>
      <c r="D540" t="inlineStr">
        <is>
          <t>ÖREBRO LÄN</t>
        </is>
      </c>
      <c r="E540" t="inlineStr">
        <is>
          <t>LINDESBERG</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27300-2025</t>
        </is>
      </c>
      <c r="B541" s="1" t="n">
        <v>45812.57143518519</v>
      </c>
      <c r="C541" s="1" t="n">
        <v>46126</v>
      </c>
      <c r="D541" t="inlineStr">
        <is>
          <t>ÖREBRO LÄN</t>
        </is>
      </c>
      <c r="E541" t="inlineStr">
        <is>
          <t>LINDESBERG</t>
        </is>
      </c>
      <c r="F541" t="inlineStr">
        <is>
          <t>Sveaskog</t>
        </is>
      </c>
      <c r="G541" t="n">
        <v>19.7</v>
      </c>
      <c r="H541" t="n">
        <v>0</v>
      </c>
      <c r="I541" t="n">
        <v>0</v>
      </c>
      <c r="J541" t="n">
        <v>0</v>
      </c>
      <c r="K541" t="n">
        <v>0</v>
      </c>
      <c r="L541" t="n">
        <v>0</v>
      </c>
      <c r="M541" t="n">
        <v>0</v>
      </c>
      <c r="N541" t="n">
        <v>0</v>
      </c>
      <c r="O541" t="n">
        <v>0</v>
      </c>
      <c r="P541" t="n">
        <v>0</v>
      </c>
      <c r="Q541" t="n">
        <v>0</v>
      </c>
      <c r="R541" s="2" t="inlineStr"/>
    </row>
    <row r="542" ht="15" customHeight="1">
      <c r="A542" t="inlineStr">
        <is>
          <t>A 50765-2025</t>
        </is>
      </c>
      <c r="B542" s="1" t="n">
        <v>45946.44216435185</v>
      </c>
      <c r="C542" s="1" t="n">
        <v>46126</v>
      </c>
      <c r="D542" t="inlineStr">
        <is>
          <t>ÖREBRO LÄN</t>
        </is>
      </c>
      <c r="E542" t="inlineStr">
        <is>
          <t>LINDESBERG</t>
        </is>
      </c>
      <c r="F542" t="inlineStr">
        <is>
          <t>Sveaskog</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27296-2025</t>
        </is>
      </c>
      <c r="B543" s="1" t="n">
        <v>45812.56952546296</v>
      </c>
      <c r="C543" s="1" t="n">
        <v>46126</v>
      </c>
      <c r="D543" t="inlineStr">
        <is>
          <t>ÖREBRO LÄN</t>
        </is>
      </c>
      <c r="E543" t="inlineStr">
        <is>
          <t>LINDESBERG</t>
        </is>
      </c>
      <c r="F543" t="inlineStr">
        <is>
          <t>Sveaskog</t>
        </is>
      </c>
      <c r="G543" t="n">
        <v>4.5</v>
      </c>
      <c r="H543" t="n">
        <v>0</v>
      </c>
      <c r="I543" t="n">
        <v>0</v>
      </c>
      <c r="J543" t="n">
        <v>0</v>
      </c>
      <c r="K543" t="n">
        <v>0</v>
      </c>
      <c r="L543" t="n">
        <v>0</v>
      </c>
      <c r="M543" t="n">
        <v>0</v>
      </c>
      <c r="N543" t="n">
        <v>0</v>
      </c>
      <c r="O543" t="n">
        <v>0</v>
      </c>
      <c r="P543" t="n">
        <v>0</v>
      </c>
      <c r="Q543" t="n">
        <v>0</v>
      </c>
      <c r="R543" s="2" t="inlineStr"/>
    </row>
    <row r="544" ht="15" customHeight="1">
      <c r="A544" t="inlineStr">
        <is>
          <t>A 7180-2023</t>
        </is>
      </c>
      <c r="B544" s="1" t="n">
        <v>44970.51849537037</v>
      </c>
      <c r="C544" s="1" t="n">
        <v>46126</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7661-2024</t>
        </is>
      </c>
      <c r="B545" s="1" t="n">
        <v>45348</v>
      </c>
      <c r="C545" s="1" t="n">
        <v>46126</v>
      </c>
      <c r="D545" t="inlineStr">
        <is>
          <t>ÖREBRO LÄN</t>
        </is>
      </c>
      <c r="E545" t="inlineStr">
        <is>
          <t>LINDESBERG</t>
        </is>
      </c>
      <c r="G545" t="n">
        <v>4.1</v>
      </c>
      <c r="H545" t="n">
        <v>0</v>
      </c>
      <c r="I545" t="n">
        <v>0</v>
      </c>
      <c r="J545" t="n">
        <v>0</v>
      </c>
      <c r="K545" t="n">
        <v>0</v>
      </c>
      <c r="L545" t="n">
        <v>0</v>
      </c>
      <c r="M545" t="n">
        <v>0</v>
      </c>
      <c r="N545" t="n">
        <v>0</v>
      </c>
      <c r="O545" t="n">
        <v>0</v>
      </c>
      <c r="P545" t="n">
        <v>0</v>
      </c>
      <c r="Q545" t="n">
        <v>0</v>
      </c>
      <c r="R545" s="2" t="inlineStr"/>
    </row>
    <row r="546" ht="15" customHeight="1">
      <c r="A546" t="inlineStr">
        <is>
          <t>A 50933-2025</t>
        </is>
      </c>
      <c r="B546" s="1" t="n">
        <v>45946.68859953704</v>
      </c>
      <c r="C546" s="1" t="n">
        <v>46126</v>
      </c>
      <c r="D546" t="inlineStr">
        <is>
          <t>ÖREBRO LÄN</t>
        </is>
      </c>
      <c r="E546" t="inlineStr">
        <is>
          <t>LINDESBERG</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51030-2025</t>
        </is>
      </c>
      <c r="B547" s="1" t="n">
        <v>45947.40105324074</v>
      </c>
      <c r="C547" s="1" t="n">
        <v>46126</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28031-2023</t>
        </is>
      </c>
      <c r="B548" s="1" t="n">
        <v>45099.27354166667</v>
      </c>
      <c r="C548" s="1" t="n">
        <v>46126</v>
      </c>
      <c r="D548" t="inlineStr">
        <is>
          <t>ÖREBRO LÄN</t>
        </is>
      </c>
      <c r="E548" t="inlineStr">
        <is>
          <t>LINDESBERG</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51186-2025</t>
        </is>
      </c>
      <c r="B549" s="1" t="n">
        <v>45947.62353009259</v>
      </c>
      <c r="C549" s="1" t="n">
        <v>46126</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46039-2024</t>
        </is>
      </c>
      <c r="B550" s="1" t="n">
        <v>45580.73525462963</v>
      </c>
      <c r="C550" s="1" t="n">
        <v>46126</v>
      </c>
      <c r="D550" t="inlineStr">
        <is>
          <t>ÖREBRO LÄN</t>
        </is>
      </c>
      <c r="E550" t="inlineStr">
        <is>
          <t>LINDESBERG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51172-2025</t>
        </is>
      </c>
      <c r="B551" s="1" t="n">
        <v>45947.60508101852</v>
      </c>
      <c r="C551" s="1" t="n">
        <v>46126</v>
      </c>
      <c r="D551" t="inlineStr">
        <is>
          <t>ÖREBRO LÄN</t>
        </is>
      </c>
      <c r="E551" t="inlineStr">
        <is>
          <t>LINDESBERG</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28082-2021</t>
        </is>
      </c>
      <c r="B552" s="1" t="n">
        <v>44355</v>
      </c>
      <c r="C552" s="1" t="n">
        <v>46126</v>
      </c>
      <c r="D552" t="inlineStr">
        <is>
          <t>ÖREBRO LÄN</t>
        </is>
      </c>
      <c r="E552" t="inlineStr">
        <is>
          <t>LINDESBERG</t>
        </is>
      </c>
      <c r="F552" t="inlineStr">
        <is>
          <t>Sveaskog</t>
        </is>
      </c>
      <c r="G552" t="n">
        <v>9.9</v>
      </c>
      <c r="H552" t="n">
        <v>0</v>
      </c>
      <c r="I552" t="n">
        <v>0</v>
      </c>
      <c r="J552" t="n">
        <v>0</v>
      </c>
      <c r="K552" t="n">
        <v>0</v>
      </c>
      <c r="L552" t="n">
        <v>0</v>
      </c>
      <c r="M552" t="n">
        <v>0</v>
      </c>
      <c r="N552" t="n">
        <v>0</v>
      </c>
      <c r="O552" t="n">
        <v>0</v>
      </c>
      <c r="P552" t="n">
        <v>0</v>
      </c>
      <c r="Q552" t="n">
        <v>0</v>
      </c>
      <c r="R552" s="2" t="inlineStr"/>
    </row>
    <row r="553" ht="15" customHeight="1">
      <c r="A553" t="inlineStr">
        <is>
          <t>A 57911-2022</t>
        </is>
      </c>
      <c r="B553" s="1" t="n">
        <v>44900.36149305556</v>
      </c>
      <c r="C553" s="1" t="n">
        <v>46126</v>
      </c>
      <c r="D553" t="inlineStr">
        <is>
          <t>ÖREBRO LÄN</t>
        </is>
      </c>
      <c r="E553" t="inlineStr">
        <is>
          <t>LINDESBERG</t>
        </is>
      </c>
      <c r="G553" t="n">
        <v>4.9</v>
      </c>
      <c r="H553" t="n">
        <v>0</v>
      </c>
      <c r="I553" t="n">
        <v>0</v>
      </c>
      <c r="J553" t="n">
        <v>0</v>
      </c>
      <c r="K553" t="n">
        <v>0</v>
      </c>
      <c r="L553" t="n">
        <v>0</v>
      </c>
      <c r="M553" t="n">
        <v>0</v>
      </c>
      <c r="N553" t="n">
        <v>0</v>
      </c>
      <c r="O553" t="n">
        <v>0</v>
      </c>
      <c r="P553" t="n">
        <v>0</v>
      </c>
      <c r="Q553" t="n">
        <v>0</v>
      </c>
      <c r="R553" s="2" t="inlineStr"/>
    </row>
    <row r="554" ht="15" customHeight="1">
      <c r="A554" t="inlineStr">
        <is>
          <t>A 52102-2025</t>
        </is>
      </c>
      <c r="B554" s="1" t="n">
        <v>45952.68358796297</v>
      </c>
      <c r="C554" s="1" t="n">
        <v>46126</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52117-2025</t>
        </is>
      </c>
      <c r="B555" s="1" t="n">
        <v>45952.70765046297</v>
      </c>
      <c r="C555" s="1" t="n">
        <v>46126</v>
      </c>
      <c r="D555" t="inlineStr">
        <is>
          <t>ÖREBRO LÄN</t>
        </is>
      </c>
      <c r="E555" t="inlineStr">
        <is>
          <t>LINDESBERG</t>
        </is>
      </c>
      <c r="G555" t="n">
        <v>4.6</v>
      </c>
      <c r="H555" t="n">
        <v>0</v>
      </c>
      <c r="I555" t="n">
        <v>0</v>
      </c>
      <c r="J555" t="n">
        <v>0</v>
      </c>
      <c r="K555" t="n">
        <v>0</v>
      </c>
      <c r="L555" t="n">
        <v>0</v>
      </c>
      <c r="M555" t="n">
        <v>0</v>
      </c>
      <c r="N555" t="n">
        <v>0</v>
      </c>
      <c r="O555" t="n">
        <v>0</v>
      </c>
      <c r="P555" t="n">
        <v>0</v>
      </c>
      <c r="Q555" t="n">
        <v>0</v>
      </c>
      <c r="R555" s="2" t="inlineStr"/>
    </row>
    <row r="556" ht="15" customHeight="1">
      <c r="A556" t="inlineStr">
        <is>
          <t>A 58741-2024</t>
        </is>
      </c>
      <c r="B556" s="1" t="n">
        <v>45635.69581018519</v>
      </c>
      <c r="C556" s="1" t="n">
        <v>46126</v>
      </c>
      <c r="D556" t="inlineStr">
        <is>
          <t>ÖREBRO LÄN</t>
        </is>
      </c>
      <c r="E556" t="inlineStr">
        <is>
          <t>LINDESBERG</t>
        </is>
      </c>
      <c r="G556" t="n">
        <v>1.5</v>
      </c>
      <c r="H556" t="n">
        <v>0</v>
      </c>
      <c r="I556" t="n">
        <v>0</v>
      </c>
      <c r="J556" t="n">
        <v>0</v>
      </c>
      <c r="K556" t="n">
        <v>0</v>
      </c>
      <c r="L556" t="n">
        <v>0</v>
      </c>
      <c r="M556" t="n">
        <v>0</v>
      </c>
      <c r="N556" t="n">
        <v>0</v>
      </c>
      <c r="O556" t="n">
        <v>0</v>
      </c>
      <c r="P556" t="n">
        <v>0</v>
      </c>
      <c r="Q556" t="n">
        <v>0</v>
      </c>
      <c r="R556" s="2" t="inlineStr"/>
    </row>
    <row r="557" ht="15" customHeight="1">
      <c r="A557" t="inlineStr">
        <is>
          <t>A 52098-2025</t>
        </is>
      </c>
      <c r="B557" s="1" t="n">
        <v>45952.68001157408</v>
      </c>
      <c r="C557" s="1" t="n">
        <v>46126</v>
      </c>
      <c r="D557" t="inlineStr">
        <is>
          <t>ÖREBRO LÄN</t>
        </is>
      </c>
      <c r="E557" t="inlineStr">
        <is>
          <t>LINDESBERG</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52103-2025</t>
        </is>
      </c>
      <c r="B558" s="1" t="n">
        <v>45952.68439814815</v>
      </c>
      <c r="C558" s="1" t="n">
        <v>46126</v>
      </c>
      <c r="D558" t="inlineStr">
        <is>
          <t>ÖREBRO LÄN</t>
        </is>
      </c>
      <c r="E558" t="inlineStr">
        <is>
          <t>LINDESBERG</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52101-2025</t>
        </is>
      </c>
      <c r="B559" s="1" t="n">
        <v>45952.68271990741</v>
      </c>
      <c r="C559" s="1" t="n">
        <v>46126</v>
      </c>
      <c r="D559" t="inlineStr">
        <is>
          <t>ÖREBRO LÄN</t>
        </is>
      </c>
      <c r="E559" t="inlineStr">
        <is>
          <t>LINDESBERG</t>
        </is>
      </c>
      <c r="F559" t="inlineStr">
        <is>
          <t>Sveaskog</t>
        </is>
      </c>
      <c r="G559" t="n">
        <v>10.9</v>
      </c>
      <c r="H559" t="n">
        <v>0</v>
      </c>
      <c r="I559" t="n">
        <v>0</v>
      </c>
      <c r="J559" t="n">
        <v>0</v>
      </c>
      <c r="K559" t="n">
        <v>0</v>
      </c>
      <c r="L559" t="n">
        <v>0</v>
      </c>
      <c r="M559" t="n">
        <v>0</v>
      </c>
      <c r="N559" t="n">
        <v>0</v>
      </c>
      <c r="O559" t="n">
        <v>0</v>
      </c>
      <c r="P559" t="n">
        <v>0</v>
      </c>
      <c r="Q559" t="n">
        <v>0</v>
      </c>
      <c r="R559" s="2" t="inlineStr"/>
    </row>
    <row r="560" ht="15" customHeight="1">
      <c r="A560" t="inlineStr">
        <is>
          <t>A 52104-2025</t>
        </is>
      </c>
      <c r="B560" s="1" t="n">
        <v>45952.68524305556</v>
      </c>
      <c r="C560" s="1" t="n">
        <v>46126</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3994-2023</t>
        </is>
      </c>
      <c r="B561" s="1" t="n">
        <v>44950</v>
      </c>
      <c r="C561" s="1" t="n">
        <v>46126</v>
      </c>
      <c r="D561" t="inlineStr">
        <is>
          <t>ÖREBRO LÄN</t>
        </is>
      </c>
      <c r="E561" t="inlineStr">
        <is>
          <t>LINDESBERG</t>
        </is>
      </c>
      <c r="G561" t="n">
        <v>4.8</v>
      </c>
      <c r="H561" t="n">
        <v>0</v>
      </c>
      <c r="I561" t="n">
        <v>0</v>
      </c>
      <c r="J561" t="n">
        <v>0</v>
      </c>
      <c r="K561" t="n">
        <v>0</v>
      </c>
      <c r="L561" t="n">
        <v>0</v>
      </c>
      <c r="M561" t="n">
        <v>0</v>
      </c>
      <c r="N561" t="n">
        <v>0</v>
      </c>
      <c r="O561" t="n">
        <v>0</v>
      </c>
      <c r="P561" t="n">
        <v>0</v>
      </c>
      <c r="Q561" t="n">
        <v>0</v>
      </c>
      <c r="R561" s="2" t="inlineStr"/>
    </row>
    <row r="562" ht="15" customHeight="1">
      <c r="A562" t="inlineStr">
        <is>
          <t>A 49094-2024</t>
        </is>
      </c>
      <c r="B562" s="1" t="n">
        <v>45594.63747685185</v>
      </c>
      <c r="C562" s="1" t="n">
        <v>46126</v>
      </c>
      <c r="D562" t="inlineStr">
        <is>
          <t>ÖREBRO LÄN</t>
        </is>
      </c>
      <c r="E562" t="inlineStr">
        <is>
          <t>LINDESBERG</t>
        </is>
      </c>
      <c r="G562" t="n">
        <v>3.8</v>
      </c>
      <c r="H562" t="n">
        <v>0</v>
      </c>
      <c r="I562" t="n">
        <v>0</v>
      </c>
      <c r="J562" t="n">
        <v>0</v>
      </c>
      <c r="K562" t="n">
        <v>0</v>
      </c>
      <c r="L562" t="n">
        <v>0</v>
      </c>
      <c r="M562" t="n">
        <v>0</v>
      </c>
      <c r="N562" t="n">
        <v>0</v>
      </c>
      <c r="O562" t="n">
        <v>0</v>
      </c>
      <c r="P562" t="n">
        <v>0</v>
      </c>
      <c r="Q562" t="n">
        <v>0</v>
      </c>
      <c r="R562" s="2" t="inlineStr"/>
    </row>
    <row r="563" ht="15" customHeight="1">
      <c r="A563" t="inlineStr">
        <is>
          <t>A 28040-2025</t>
        </is>
      </c>
      <c r="B563" s="1" t="n">
        <v>45817.6455324074</v>
      </c>
      <c r="C563" s="1" t="n">
        <v>46126</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64427-2021</t>
        </is>
      </c>
      <c r="B564" s="1" t="n">
        <v>44511</v>
      </c>
      <c r="C564" s="1" t="n">
        <v>46126</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28877-2025</t>
        </is>
      </c>
      <c r="B565" s="1" t="n">
        <v>45820.61684027778</v>
      </c>
      <c r="C565" s="1" t="n">
        <v>46126</v>
      </c>
      <c r="D565" t="inlineStr">
        <is>
          <t>ÖREBRO LÄN</t>
        </is>
      </c>
      <c r="E565" t="inlineStr">
        <is>
          <t>LINDESBERG</t>
        </is>
      </c>
      <c r="G565" t="n">
        <v>4.4</v>
      </c>
      <c r="H565" t="n">
        <v>0</v>
      </c>
      <c r="I565" t="n">
        <v>0</v>
      </c>
      <c r="J565" t="n">
        <v>0</v>
      </c>
      <c r="K565" t="n">
        <v>0</v>
      </c>
      <c r="L565" t="n">
        <v>0</v>
      </c>
      <c r="M565" t="n">
        <v>0</v>
      </c>
      <c r="N565" t="n">
        <v>0</v>
      </c>
      <c r="O565" t="n">
        <v>0</v>
      </c>
      <c r="P565" t="n">
        <v>0</v>
      </c>
      <c r="Q565" t="n">
        <v>0</v>
      </c>
      <c r="R565" s="2" t="inlineStr"/>
    </row>
    <row r="566" ht="15" customHeight="1">
      <c r="A566" t="inlineStr">
        <is>
          <t>A 52401-2025</t>
        </is>
      </c>
      <c r="B566" s="1" t="n">
        <v>45954.35075231481</v>
      </c>
      <c r="C566" s="1" t="n">
        <v>46126</v>
      </c>
      <c r="D566" t="inlineStr">
        <is>
          <t>ÖREBRO LÄN</t>
        </is>
      </c>
      <c r="E566" t="inlineStr">
        <is>
          <t>LINDESBERG</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52298-2025</t>
        </is>
      </c>
      <c r="B567" s="1" t="n">
        <v>45953.61387731481</v>
      </c>
      <c r="C567" s="1" t="n">
        <v>46126</v>
      </c>
      <c r="D567" t="inlineStr">
        <is>
          <t>ÖREBRO LÄN</t>
        </is>
      </c>
      <c r="E567" t="inlineStr">
        <is>
          <t>LINDESBERG</t>
        </is>
      </c>
      <c r="G567" t="n">
        <v>18.2</v>
      </c>
      <c r="H567" t="n">
        <v>0</v>
      </c>
      <c r="I567" t="n">
        <v>0</v>
      </c>
      <c r="J567" t="n">
        <v>0</v>
      </c>
      <c r="K567" t="n">
        <v>0</v>
      </c>
      <c r="L567" t="n">
        <v>0</v>
      </c>
      <c r="M567" t="n">
        <v>0</v>
      </c>
      <c r="N567" t="n">
        <v>0</v>
      </c>
      <c r="O567" t="n">
        <v>0</v>
      </c>
      <c r="P567" t="n">
        <v>0</v>
      </c>
      <c r="Q567" t="n">
        <v>0</v>
      </c>
      <c r="R567" s="2" t="inlineStr"/>
    </row>
    <row r="568" ht="15" customHeight="1">
      <c r="A568" t="inlineStr">
        <is>
          <t>A 19077-2025</t>
        </is>
      </c>
      <c r="B568" s="1" t="n">
        <v>45766.33309027777</v>
      </c>
      <c r="C568" s="1" t="n">
        <v>46126</v>
      </c>
      <c r="D568" t="inlineStr">
        <is>
          <t>ÖREBRO LÄN</t>
        </is>
      </c>
      <c r="E568" t="inlineStr">
        <is>
          <t>LINDESBERG</t>
        </is>
      </c>
      <c r="G568" t="n">
        <v>0</v>
      </c>
      <c r="H568" t="n">
        <v>0</v>
      </c>
      <c r="I568" t="n">
        <v>0</v>
      </c>
      <c r="J568" t="n">
        <v>0</v>
      </c>
      <c r="K568" t="n">
        <v>0</v>
      </c>
      <c r="L568" t="n">
        <v>0</v>
      </c>
      <c r="M568" t="n">
        <v>0</v>
      </c>
      <c r="N568" t="n">
        <v>0</v>
      </c>
      <c r="O568" t="n">
        <v>0</v>
      </c>
      <c r="P568" t="n">
        <v>0</v>
      </c>
      <c r="Q568" t="n">
        <v>0</v>
      </c>
      <c r="R568" s="2" t="inlineStr"/>
    </row>
    <row r="569" ht="15" customHeight="1">
      <c r="A569" t="inlineStr">
        <is>
          <t>A 52730-2025</t>
        </is>
      </c>
      <c r="B569" s="1" t="n">
        <v>45957.36386574074</v>
      </c>
      <c r="C569" s="1" t="n">
        <v>46126</v>
      </c>
      <c r="D569" t="inlineStr">
        <is>
          <t>ÖREBRO LÄN</t>
        </is>
      </c>
      <c r="E569" t="inlineStr">
        <is>
          <t>LINDESBERG</t>
        </is>
      </c>
      <c r="F569" t="inlineStr">
        <is>
          <t>Sveaskog</t>
        </is>
      </c>
      <c r="G569" t="n">
        <v>5</v>
      </c>
      <c r="H569" t="n">
        <v>0</v>
      </c>
      <c r="I569" t="n">
        <v>0</v>
      </c>
      <c r="J569" t="n">
        <v>0</v>
      </c>
      <c r="K569" t="n">
        <v>0</v>
      </c>
      <c r="L569" t="n">
        <v>0</v>
      </c>
      <c r="M569" t="n">
        <v>0</v>
      </c>
      <c r="N569" t="n">
        <v>0</v>
      </c>
      <c r="O569" t="n">
        <v>0</v>
      </c>
      <c r="P569" t="n">
        <v>0</v>
      </c>
      <c r="Q569" t="n">
        <v>0</v>
      </c>
      <c r="R569" s="2" t="inlineStr"/>
    </row>
    <row r="570" ht="15" customHeight="1">
      <c r="A570" t="inlineStr">
        <is>
          <t>A 49544-2023</t>
        </is>
      </c>
      <c r="B570" s="1" t="n">
        <v>45211</v>
      </c>
      <c r="C570" s="1" t="n">
        <v>46126</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28991-2025</t>
        </is>
      </c>
      <c r="B571" s="1" t="n">
        <v>45821.37199074074</v>
      </c>
      <c r="C571" s="1" t="n">
        <v>46126</v>
      </c>
      <c r="D571" t="inlineStr">
        <is>
          <t>ÖREBRO LÄN</t>
        </is>
      </c>
      <c r="E571" t="inlineStr">
        <is>
          <t>LINDESBERG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53187-2025</t>
        </is>
      </c>
      <c r="B572" s="1" t="n">
        <v>45958.55577546296</v>
      </c>
      <c r="C572" s="1" t="n">
        <v>46126</v>
      </c>
      <c r="D572" t="inlineStr">
        <is>
          <t>ÖREBRO LÄN</t>
        </is>
      </c>
      <c r="E572" t="inlineStr">
        <is>
          <t>LINDESBERG</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29037-2025</t>
        </is>
      </c>
      <c r="B573" s="1" t="n">
        <v>45821.44521990741</v>
      </c>
      <c r="C573" s="1" t="n">
        <v>46126</v>
      </c>
      <c r="D573" t="inlineStr">
        <is>
          <t>ÖREBRO LÄN</t>
        </is>
      </c>
      <c r="E573" t="inlineStr">
        <is>
          <t>LINDESBERG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29051-2025</t>
        </is>
      </c>
      <c r="B574" s="1" t="n">
        <v>45821.46486111111</v>
      </c>
      <c r="C574" s="1" t="n">
        <v>46126</v>
      </c>
      <c r="D574" t="inlineStr">
        <is>
          <t>ÖREBRO LÄN</t>
        </is>
      </c>
      <c r="E574" t="inlineStr">
        <is>
          <t>LINDESBERG</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29049-2025</t>
        </is>
      </c>
      <c r="B575" s="1" t="n">
        <v>45821.46135416667</v>
      </c>
      <c r="C575" s="1" t="n">
        <v>46126</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52402-2025</t>
        </is>
      </c>
      <c r="B576" s="1" t="n">
        <v>45954.35387731482</v>
      </c>
      <c r="C576" s="1" t="n">
        <v>46126</v>
      </c>
      <c r="D576" t="inlineStr">
        <is>
          <t>ÖREBRO LÄN</t>
        </is>
      </c>
      <c r="E576" t="inlineStr">
        <is>
          <t>LINDESBERG</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15094-2025</t>
        </is>
      </c>
      <c r="B577" s="1" t="n">
        <v>45744.32981481482</v>
      </c>
      <c r="C577" s="1" t="n">
        <v>46126</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13969-2025</t>
        </is>
      </c>
      <c r="B578" s="1" t="n">
        <v>45738.43714120371</v>
      </c>
      <c r="C578" s="1" t="n">
        <v>46126</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24352-2023</t>
        </is>
      </c>
      <c r="B579" s="1" t="n">
        <v>45082.31421296296</v>
      </c>
      <c r="C579" s="1" t="n">
        <v>46126</v>
      </c>
      <c r="D579" t="inlineStr">
        <is>
          <t>ÖREBRO LÄN</t>
        </is>
      </c>
      <c r="E579" t="inlineStr">
        <is>
          <t>LINDESBERG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484-2022</t>
        </is>
      </c>
      <c r="B580" s="1" t="n">
        <v>44566</v>
      </c>
      <c r="C580" s="1" t="n">
        <v>46126</v>
      </c>
      <c r="D580" t="inlineStr">
        <is>
          <t>ÖREBRO LÄN</t>
        </is>
      </c>
      <c r="E580" t="inlineStr">
        <is>
          <t>LINDESBERG</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30000-2025</t>
        </is>
      </c>
      <c r="B581" s="1" t="n">
        <v>45826.52024305556</v>
      </c>
      <c r="C581" s="1" t="n">
        <v>46126</v>
      </c>
      <c r="D581" t="inlineStr">
        <is>
          <t>ÖREBRO LÄN</t>
        </is>
      </c>
      <c r="E581" t="inlineStr">
        <is>
          <t>LINDESBERG</t>
        </is>
      </c>
      <c r="F581" t="inlineStr">
        <is>
          <t>Sveaskog</t>
        </is>
      </c>
      <c r="G581" t="n">
        <v>0.8</v>
      </c>
      <c r="H581" t="n">
        <v>0</v>
      </c>
      <c r="I581" t="n">
        <v>0</v>
      </c>
      <c r="J581" t="n">
        <v>0</v>
      </c>
      <c r="K581" t="n">
        <v>0</v>
      </c>
      <c r="L581" t="n">
        <v>0</v>
      </c>
      <c r="M581" t="n">
        <v>0</v>
      </c>
      <c r="N581" t="n">
        <v>0</v>
      </c>
      <c r="O581" t="n">
        <v>0</v>
      </c>
      <c r="P581" t="n">
        <v>0</v>
      </c>
      <c r="Q581" t="n">
        <v>0</v>
      </c>
      <c r="R581" s="2" t="inlineStr"/>
    </row>
    <row r="582" ht="15" customHeight="1">
      <c r="A582" t="inlineStr">
        <is>
          <t>A 53723-2025</t>
        </is>
      </c>
      <c r="B582" s="1" t="n">
        <v>45960.62986111111</v>
      </c>
      <c r="C582" s="1" t="n">
        <v>46126</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53288-2025</t>
        </is>
      </c>
      <c r="B583" s="1" t="n">
        <v>45958.79287037037</v>
      </c>
      <c r="C583" s="1" t="n">
        <v>46126</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53721-2025</t>
        </is>
      </c>
      <c r="B584" s="1" t="n">
        <v>45960</v>
      </c>
      <c r="C584" s="1" t="n">
        <v>46126</v>
      </c>
      <c r="D584" t="inlineStr">
        <is>
          <t>ÖREBRO LÄN</t>
        </is>
      </c>
      <c r="E584" t="inlineStr">
        <is>
          <t>LINDESBERG</t>
        </is>
      </c>
      <c r="G584" t="n">
        <v>3.3</v>
      </c>
      <c r="H584" t="n">
        <v>0</v>
      </c>
      <c r="I584" t="n">
        <v>0</v>
      </c>
      <c r="J584" t="n">
        <v>0</v>
      </c>
      <c r="K584" t="n">
        <v>0</v>
      </c>
      <c r="L584" t="n">
        <v>0</v>
      </c>
      <c r="M584" t="n">
        <v>0</v>
      </c>
      <c r="N584" t="n">
        <v>0</v>
      </c>
      <c r="O584" t="n">
        <v>0</v>
      </c>
      <c r="P584" t="n">
        <v>0</v>
      </c>
      <c r="Q584" t="n">
        <v>0</v>
      </c>
      <c r="R584" s="2" t="inlineStr"/>
    </row>
    <row r="585" ht="15" customHeight="1">
      <c r="A585" t="inlineStr">
        <is>
          <t>A 54070-2025</t>
        </is>
      </c>
      <c r="B585" s="1" t="n">
        <v>45964.34680555556</v>
      </c>
      <c r="C585" s="1" t="n">
        <v>46126</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36024-2021</t>
        </is>
      </c>
      <c r="B586" s="1" t="n">
        <v>44389</v>
      </c>
      <c r="C586" s="1" t="n">
        <v>46126</v>
      </c>
      <c r="D586" t="inlineStr">
        <is>
          <t>ÖREBRO LÄN</t>
        </is>
      </c>
      <c r="E586" t="inlineStr">
        <is>
          <t>LINDESBERG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54250-2025</t>
        </is>
      </c>
      <c r="B587" s="1" t="n">
        <v>45964.64709490741</v>
      </c>
      <c r="C587" s="1" t="n">
        <v>46126</v>
      </c>
      <c r="D587" t="inlineStr">
        <is>
          <t>ÖREBRO LÄN</t>
        </is>
      </c>
      <c r="E587" t="inlineStr">
        <is>
          <t>LINDESBERG</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54251-2025</t>
        </is>
      </c>
      <c r="B588" s="1" t="n">
        <v>45964.64778935185</v>
      </c>
      <c r="C588" s="1" t="n">
        <v>46126</v>
      </c>
      <c r="D588" t="inlineStr">
        <is>
          <t>ÖREBRO LÄN</t>
        </is>
      </c>
      <c r="E588" t="inlineStr">
        <is>
          <t>LINDESBERG</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10823-2023</t>
        </is>
      </c>
      <c r="B589" s="1" t="n">
        <v>44990</v>
      </c>
      <c r="C589" s="1" t="n">
        <v>46126</v>
      </c>
      <c r="D589" t="inlineStr">
        <is>
          <t>ÖREBRO LÄN</t>
        </is>
      </c>
      <c r="E589" t="inlineStr">
        <is>
          <t>LINDESBERG</t>
        </is>
      </c>
      <c r="G589" t="n">
        <v>1.8</v>
      </c>
      <c r="H589" t="n">
        <v>0</v>
      </c>
      <c r="I589" t="n">
        <v>0</v>
      </c>
      <c r="J589" t="n">
        <v>0</v>
      </c>
      <c r="K589" t="n">
        <v>0</v>
      </c>
      <c r="L589" t="n">
        <v>0</v>
      </c>
      <c r="M589" t="n">
        <v>0</v>
      </c>
      <c r="N589" t="n">
        <v>0</v>
      </c>
      <c r="O589" t="n">
        <v>0</v>
      </c>
      <c r="P589" t="n">
        <v>0</v>
      </c>
      <c r="Q589" t="n">
        <v>0</v>
      </c>
      <c r="R589" s="2" t="inlineStr"/>
    </row>
    <row r="590" ht="15" customHeight="1">
      <c r="A590" t="inlineStr">
        <is>
          <t>A 30341-2025</t>
        </is>
      </c>
      <c r="B590" s="1" t="n">
        <v>45827.51862268519</v>
      </c>
      <c r="C590" s="1" t="n">
        <v>46126</v>
      </c>
      <c r="D590" t="inlineStr">
        <is>
          <t>ÖREBRO LÄN</t>
        </is>
      </c>
      <c r="E590" t="inlineStr">
        <is>
          <t>LINDESBERG</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54240-2025</t>
        </is>
      </c>
      <c r="B591" s="1" t="n">
        <v>45964.62796296296</v>
      </c>
      <c r="C591" s="1" t="n">
        <v>46126</v>
      </c>
      <c r="D591" t="inlineStr">
        <is>
          <t>ÖREBRO LÄN</t>
        </is>
      </c>
      <c r="E591" t="inlineStr">
        <is>
          <t>LINDESBERG</t>
        </is>
      </c>
      <c r="G591" t="n">
        <v>3.9</v>
      </c>
      <c r="H591" t="n">
        <v>0</v>
      </c>
      <c r="I591" t="n">
        <v>0</v>
      </c>
      <c r="J591" t="n">
        <v>0</v>
      </c>
      <c r="K591" t="n">
        <v>0</v>
      </c>
      <c r="L591" t="n">
        <v>0</v>
      </c>
      <c r="M591" t="n">
        <v>0</v>
      </c>
      <c r="N591" t="n">
        <v>0</v>
      </c>
      <c r="O591" t="n">
        <v>0</v>
      </c>
      <c r="P591" t="n">
        <v>0</v>
      </c>
      <c r="Q591" t="n">
        <v>0</v>
      </c>
      <c r="R591" s="2" t="inlineStr"/>
    </row>
    <row r="592" ht="15" customHeight="1">
      <c r="A592" t="inlineStr">
        <is>
          <t>A 30340-2025</t>
        </is>
      </c>
      <c r="B592" s="1" t="n">
        <v>45827.51753472222</v>
      </c>
      <c r="C592" s="1" t="n">
        <v>46126</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30342-2025</t>
        </is>
      </c>
      <c r="B593" s="1" t="n">
        <v>45827.51956018519</v>
      </c>
      <c r="C593" s="1" t="n">
        <v>46126</v>
      </c>
      <c r="D593" t="inlineStr">
        <is>
          <t>ÖREBRO LÄN</t>
        </is>
      </c>
      <c r="E593" t="inlineStr">
        <is>
          <t>LINDESBERG</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30381-2025</t>
        </is>
      </c>
      <c r="B594" s="1" t="n">
        <v>45827.56939814815</v>
      </c>
      <c r="C594" s="1" t="n">
        <v>46126</v>
      </c>
      <c r="D594" t="inlineStr">
        <is>
          <t>ÖREBRO LÄN</t>
        </is>
      </c>
      <c r="E594" t="inlineStr">
        <is>
          <t>LINDESBERG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54072-2025</t>
        </is>
      </c>
      <c r="B595" s="1" t="n">
        <v>45964.3550925926</v>
      </c>
      <c r="C595" s="1" t="n">
        <v>46126</v>
      </c>
      <c r="D595" t="inlineStr">
        <is>
          <t>ÖREBRO LÄN</t>
        </is>
      </c>
      <c r="E595" t="inlineStr">
        <is>
          <t>LINDESBERG</t>
        </is>
      </c>
      <c r="G595" t="n">
        <v>1.3</v>
      </c>
      <c r="H595" t="n">
        <v>0</v>
      </c>
      <c r="I595" t="n">
        <v>0</v>
      </c>
      <c r="J595" t="n">
        <v>0</v>
      </c>
      <c r="K595" t="n">
        <v>0</v>
      </c>
      <c r="L595" t="n">
        <v>0</v>
      </c>
      <c r="M595" t="n">
        <v>0</v>
      </c>
      <c r="N595" t="n">
        <v>0</v>
      </c>
      <c r="O595" t="n">
        <v>0</v>
      </c>
      <c r="P595" t="n">
        <v>0</v>
      </c>
      <c r="Q595" t="n">
        <v>0</v>
      </c>
      <c r="R595" s="2" t="inlineStr"/>
    </row>
    <row r="596" ht="15" customHeight="1">
      <c r="A596" t="inlineStr">
        <is>
          <t>A 54249-2025</t>
        </is>
      </c>
      <c r="B596" s="1" t="n">
        <v>45964.64599537037</v>
      </c>
      <c r="C596" s="1" t="n">
        <v>46126</v>
      </c>
      <c r="D596" t="inlineStr">
        <is>
          <t>ÖREBRO LÄN</t>
        </is>
      </c>
      <c r="E596" t="inlineStr">
        <is>
          <t>LINDESBERG</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30339-2025</t>
        </is>
      </c>
      <c r="B597" s="1" t="n">
        <v>45827.51628472222</v>
      </c>
      <c r="C597" s="1" t="n">
        <v>46126</v>
      </c>
      <c r="D597" t="inlineStr">
        <is>
          <t>ÖREBRO LÄN</t>
        </is>
      </c>
      <c r="E597" t="inlineStr">
        <is>
          <t>LINDESBERG</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31215-2025</t>
        </is>
      </c>
      <c r="B598" s="1" t="n">
        <v>45832.74418981482</v>
      </c>
      <c r="C598" s="1" t="n">
        <v>46126</v>
      </c>
      <c r="D598" t="inlineStr">
        <is>
          <t>ÖREBRO LÄN</t>
        </is>
      </c>
      <c r="E598" t="inlineStr">
        <is>
          <t>LINDESBERG</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34029-2024</t>
        </is>
      </c>
      <c r="B599" s="1" t="n">
        <v>45523</v>
      </c>
      <c r="C599" s="1" t="n">
        <v>46126</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31014-2025</t>
        </is>
      </c>
      <c r="B600" s="1" t="n">
        <v>45832.51028935185</v>
      </c>
      <c r="C600" s="1" t="n">
        <v>46126</v>
      </c>
      <c r="D600" t="inlineStr">
        <is>
          <t>ÖREBRO LÄN</t>
        </is>
      </c>
      <c r="E600" t="inlineStr">
        <is>
          <t>LINDESBERG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31049-2025</t>
        </is>
      </c>
      <c r="B601" s="1" t="n">
        <v>45832.55810185185</v>
      </c>
      <c r="C601" s="1" t="n">
        <v>46126</v>
      </c>
      <c r="D601" t="inlineStr">
        <is>
          <t>ÖREBRO LÄN</t>
        </is>
      </c>
      <c r="E601" t="inlineStr">
        <is>
          <t>LINDESBERG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31000-2025</t>
        </is>
      </c>
      <c r="B602" s="1" t="n">
        <v>45832.49325231482</v>
      </c>
      <c r="C602" s="1" t="n">
        <v>46126</v>
      </c>
      <c r="D602" t="inlineStr">
        <is>
          <t>ÖREBRO LÄN</t>
        </is>
      </c>
      <c r="E602" t="inlineStr">
        <is>
          <t>LINDESBERG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31018-2025</t>
        </is>
      </c>
      <c r="B603" s="1" t="n">
        <v>45832.51255787037</v>
      </c>
      <c r="C603" s="1" t="n">
        <v>46126</v>
      </c>
      <c r="D603" t="inlineStr">
        <is>
          <t>ÖREBRO LÄN</t>
        </is>
      </c>
      <c r="E603" t="inlineStr">
        <is>
          <t>LINDESBERG</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31003-2025</t>
        </is>
      </c>
      <c r="B604" s="1" t="n">
        <v>45832.49579861111</v>
      </c>
      <c r="C604" s="1" t="n">
        <v>46126</v>
      </c>
      <c r="D604" t="inlineStr">
        <is>
          <t>ÖREBRO LÄN</t>
        </is>
      </c>
      <c r="E604" t="inlineStr">
        <is>
          <t>LINDESBERG</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31085-2025</t>
        </is>
      </c>
      <c r="B605" s="1" t="n">
        <v>45832.5902662037</v>
      </c>
      <c r="C605" s="1" t="n">
        <v>46126</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31213-2025</t>
        </is>
      </c>
      <c r="B606" s="1" t="n">
        <v>45832.72778935185</v>
      </c>
      <c r="C606" s="1" t="n">
        <v>46126</v>
      </c>
      <c r="D606" t="inlineStr">
        <is>
          <t>ÖREBRO LÄN</t>
        </is>
      </c>
      <c r="E606" t="inlineStr">
        <is>
          <t>LINDESBERG</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55255-2025</t>
        </is>
      </c>
      <c r="B607" s="1" t="n">
        <v>45968.63695601852</v>
      </c>
      <c r="C607" s="1" t="n">
        <v>46126</v>
      </c>
      <c r="D607" t="inlineStr">
        <is>
          <t>ÖREBRO LÄN</t>
        </is>
      </c>
      <c r="E607" t="inlineStr">
        <is>
          <t>LINDESBERG</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55065-2025</t>
        </is>
      </c>
      <c r="B608" s="1" t="n">
        <v>45967.7096875</v>
      </c>
      <c r="C608" s="1" t="n">
        <v>46126</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55477-2025</t>
        </is>
      </c>
      <c r="B609" s="1" t="n">
        <v>45971.56197916667</v>
      </c>
      <c r="C609" s="1" t="n">
        <v>46126</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55490-2025</t>
        </is>
      </c>
      <c r="B610" s="1" t="n">
        <v>45971.57659722222</v>
      </c>
      <c r="C610" s="1" t="n">
        <v>46126</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31221-2025</t>
        </is>
      </c>
      <c r="B611" s="1" t="n">
        <v>45832.76491898148</v>
      </c>
      <c r="C611" s="1" t="n">
        <v>46126</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31220-2025</t>
        </is>
      </c>
      <c r="B612" s="1" t="n">
        <v>45832.76100694444</v>
      </c>
      <c r="C612" s="1" t="n">
        <v>46126</v>
      </c>
      <c r="D612" t="inlineStr">
        <is>
          <t>ÖREBRO LÄN</t>
        </is>
      </c>
      <c r="E612" t="inlineStr">
        <is>
          <t>LINDESBERG</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56232-2025</t>
        </is>
      </c>
      <c r="B613" s="1" t="n">
        <v>45974.53239583333</v>
      </c>
      <c r="C613" s="1" t="n">
        <v>46126</v>
      </c>
      <c r="D613" t="inlineStr">
        <is>
          <t>ÖREBRO LÄN</t>
        </is>
      </c>
      <c r="E613" t="inlineStr">
        <is>
          <t>LINDESBERG</t>
        </is>
      </c>
      <c r="G613" t="n">
        <v>3.2</v>
      </c>
      <c r="H613" t="n">
        <v>0</v>
      </c>
      <c r="I613" t="n">
        <v>0</v>
      </c>
      <c r="J613" t="n">
        <v>0</v>
      </c>
      <c r="K613" t="n">
        <v>0</v>
      </c>
      <c r="L613" t="n">
        <v>0</v>
      </c>
      <c r="M613" t="n">
        <v>0</v>
      </c>
      <c r="N613" t="n">
        <v>0</v>
      </c>
      <c r="O613" t="n">
        <v>0</v>
      </c>
      <c r="P613" t="n">
        <v>0</v>
      </c>
      <c r="Q613" t="n">
        <v>0</v>
      </c>
      <c r="R613" s="2" t="inlineStr"/>
    </row>
    <row r="614" ht="15" customHeight="1">
      <c r="A614" t="inlineStr">
        <is>
          <t>A 58603-2023</t>
        </is>
      </c>
      <c r="B614" s="1" t="n">
        <v>45251</v>
      </c>
      <c r="C614" s="1" t="n">
        <v>46126</v>
      </c>
      <c r="D614" t="inlineStr">
        <is>
          <t>ÖREBRO LÄN</t>
        </is>
      </c>
      <c r="E614" t="inlineStr">
        <is>
          <t>LINDESBERG</t>
        </is>
      </c>
      <c r="G614" t="n">
        <v>1.1</v>
      </c>
      <c r="H614" t="n">
        <v>0</v>
      </c>
      <c r="I614" t="n">
        <v>0</v>
      </c>
      <c r="J614" t="n">
        <v>0</v>
      </c>
      <c r="K614" t="n">
        <v>0</v>
      </c>
      <c r="L614" t="n">
        <v>0</v>
      </c>
      <c r="M614" t="n">
        <v>0</v>
      </c>
      <c r="N614" t="n">
        <v>0</v>
      </c>
      <c r="O614" t="n">
        <v>0</v>
      </c>
      <c r="P614" t="n">
        <v>0</v>
      </c>
      <c r="Q614" t="n">
        <v>0</v>
      </c>
      <c r="R614" s="2" t="inlineStr"/>
    </row>
    <row r="615" ht="15" customHeight="1">
      <c r="A615" t="inlineStr">
        <is>
          <t>A 32504-2025</t>
        </is>
      </c>
      <c r="B615" s="1" t="n">
        <v>45838.46456018519</v>
      </c>
      <c r="C615" s="1" t="n">
        <v>46126</v>
      </c>
      <c r="D615" t="inlineStr">
        <is>
          <t>ÖREBRO LÄN</t>
        </is>
      </c>
      <c r="E615" t="inlineStr">
        <is>
          <t>LINDESBERG</t>
        </is>
      </c>
      <c r="F615" t="inlineStr">
        <is>
          <t>Sveaskog</t>
        </is>
      </c>
      <c r="G615" t="n">
        <v>16.9</v>
      </c>
      <c r="H615" t="n">
        <v>0</v>
      </c>
      <c r="I615" t="n">
        <v>0</v>
      </c>
      <c r="J615" t="n">
        <v>0</v>
      </c>
      <c r="K615" t="n">
        <v>0</v>
      </c>
      <c r="L615" t="n">
        <v>0</v>
      </c>
      <c r="M615" t="n">
        <v>0</v>
      </c>
      <c r="N615" t="n">
        <v>0</v>
      </c>
      <c r="O615" t="n">
        <v>0</v>
      </c>
      <c r="P615" t="n">
        <v>0</v>
      </c>
      <c r="Q615" t="n">
        <v>0</v>
      </c>
      <c r="R615" s="2" t="inlineStr"/>
    </row>
    <row r="616" ht="15" customHeight="1">
      <c r="A616" t="inlineStr">
        <is>
          <t>A 13417-2025</t>
        </is>
      </c>
      <c r="B616" s="1" t="n">
        <v>45736.30940972222</v>
      </c>
      <c r="C616" s="1" t="n">
        <v>46126</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56308-2025</t>
        </is>
      </c>
      <c r="B617" s="1" t="n">
        <v>45974.61344907407</v>
      </c>
      <c r="C617" s="1" t="n">
        <v>46126</v>
      </c>
      <c r="D617" t="inlineStr">
        <is>
          <t>ÖREBRO LÄN</t>
        </is>
      </c>
      <c r="E617" t="inlineStr">
        <is>
          <t>LINDESBERG</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32284-2025</t>
        </is>
      </c>
      <c r="B618" s="1" t="n">
        <v>45835.68443287037</v>
      </c>
      <c r="C618" s="1" t="n">
        <v>46126</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56226-2025</t>
        </is>
      </c>
      <c r="B619" s="1" t="n">
        <v>45974.51283564815</v>
      </c>
      <c r="C619" s="1" t="n">
        <v>46126</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56306-2025</t>
        </is>
      </c>
      <c r="B620" s="1" t="n">
        <v>45974.61217592593</v>
      </c>
      <c r="C620" s="1" t="n">
        <v>46126</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32502-2025</t>
        </is>
      </c>
      <c r="B621" s="1" t="n">
        <v>45838.46408564815</v>
      </c>
      <c r="C621" s="1" t="n">
        <v>46126</v>
      </c>
      <c r="D621" t="inlineStr">
        <is>
          <t>ÖREBRO LÄN</t>
        </is>
      </c>
      <c r="E621" t="inlineStr">
        <is>
          <t>LINDESBERG</t>
        </is>
      </c>
      <c r="F621" t="inlineStr">
        <is>
          <t>Sveaskog</t>
        </is>
      </c>
      <c r="G621" t="n">
        <v>17.7</v>
      </c>
      <c r="H621" t="n">
        <v>0</v>
      </c>
      <c r="I621" t="n">
        <v>0</v>
      </c>
      <c r="J621" t="n">
        <v>0</v>
      </c>
      <c r="K621" t="n">
        <v>0</v>
      </c>
      <c r="L621" t="n">
        <v>0</v>
      </c>
      <c r="M621" t="n">
        <v>0</v>
      </c>
      <c r="N621" t="n">
        <v>0</v>
      </c>
      <c r="O621" t="n">
        <v>0</v>
      </c>
      <c r="P621" t="n">
        <v>0</v>
      </c>
      <c r="Q621" t="n">
        <v>0</v>
      </c>
      <c r="R621" s="2" t="inlineStr"/>
    </row>
    <row r="622" ht="15" customHeight="1">
      <c r="A622" t="inlineStr">
        <is>
          <t>A 43066-2021</t>
        </is>
      </c>
      <c r="B622" s="1" t="n">
        <v>44431</v>
      </c>
      <c r="C622" s="1" t="n">
        <v>46126</v>
      </c>
      <c r="D622" t="inlineStr">
        <is>
          <t>ÖREBRO LÄN</t>
        </is>
      </c>
      <c r="E622" t="inlineStr">
        <is>
          <t>LINDESBERG</t>
        </is>
      </c>
      <c r="G622" t="n">
        <v>0.6</v>
      </c>
      <c r="H622" t="n">
        <v>0</v>
      </c>
      <c r="I622" t="n">
        <v>0</v>
      </c>
      <c r="J622" t="n">
        <v>0</v>
      </c>
      <c r="K622" t="n">
        <v>0</v>
      </c>
      <c r="L622" t="n">
        <v>0</v>
      </c>
      <c r="M622" t="n">
        <v>0</v>
      </c>
      <c r="N622" t="n">
        <v>0</v>
      </c>
      <c r="O622" t="n">
        <v>0</v>
      </c>
      <c r="P622" t="n">
        <v>0</v>
      </c>
      <c r="Q622" t="n">
        <v>0</v>
      </c>
      <c r="R622" s="2" t="inlineStr"/>
    </row>
    <row r="623" ht="15" customHeight="1">
      <c r="A623" t="inlineStr">
        <is>
          <t>A 23603-2023</t>
        </is>
      </c>
      <c r="B623" s="1" t="n">
        <v>45077</v>
      </c>
      <c r="C623" s="1" t="n">
        <v>46126</v>
      </c>
      <c r="D623" t="inlineStr">
        <is>
          <t>ÖREBRO LÄN</t>
        </is>
      </c>
      <c r="E623" t="inlineStr">
        <is>
          <t>LINDESBERG</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23607-2023</t>
        </is>
      </c>
      <c r="B624" s="1" t="n">
        <v>45077</v>
      </c>
      <c r="C624" s="1" t="n">
        <v>46126</v>
      </c>
      <c r="D624" t="inlineStr">
        <is>
          <t>ÖREBRO LÄN</t>
        </is>
      </c>
      <c r="E624" t="inlineStr">
        <is>
          <t>LINDESBERG</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23612-2023</t>
        </is>
      </c>
      <c r="B625" s="1" t="n">
        <v>45077</v>
      </c>
      <c r="C625" s="1" t="n">
        <v>46126</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33046-2025</t>
        </is>
      </c>
      <c r="B626" s="1" t="n">
        <v>45840</v>
      </c>
      <c r="C626" s="1" t="n">
        <v>46126</v>
      </c>
      <c r="D626" t="inlineStr">
        <is>
          <t>ÖREBRO LÄN</t>
        </is>
      </c>
      <c r="E626" t="inlineStr">
        <is>
          <t>LINDESBERG</t>
        </is>
      </c>
      <c r="G626" t="n">
        <v>6.1</v>
      </c>
      <c r="H626" t="n">
        <v>0</v>
      </c>
      <c r="I626" t="n">
        <v>0</v>
      </c>
      <c r="J626" t="n">
        <v>0</v>
      </c>
      <c r="K626" t="n">
        <v>0</v>
      </c>
      <c r="L626" t="n">
        <v>0</v>
      </c>
      <c r="M626" t="n">
        <v>0</v>
      </c>
      <c r="N626" t="n">
        <v>0</v>
      </c>
      <c r="O626" t="n">
        <v>0</v>
      </c>
      <c r="P626" t="n">
        <v>0</v>
      </c>
      <c r="Q626" t="n">
        <v>0</v>
      </c>
      <c r="R626" s="2" t="inlineStr"/>
    </row>
    <row r="627" ht="15" customHeight="1">
      <c r="A627" t="inlineStr">
        <is>
          <t>A 56982-2025</t>
        </is>
      </c>
      <c r="B627" s="1" t="n">
        <v>45978.71075231482</v>
      </c>
      <c r="C627" s="1" t="n">
        <v>46126</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23102-2023</t>
        </is>
      </c>
      <c r="B628" s="1" t="n">
        <v>45075.44152777778</v>
      </c>
      <c r="C628" s="1" t="n">
        <v>46126</v>
      </c>
      <c r="D628" t="inlineStr">
        <is>
          <t>ÖREBRO LÄN</t>
        </is>
      </c>
      <c r="E628" t="inlineStr">
        <is>
          <t>LINDESBERG</t>
        </is>
      </c>
      <c r="F628" t="inlineStr">
        <is>
          <t>Sveaskog</t>
        </is>
      </c>
      <c r="G628" t="n">
        <v>2.7</v>
      </c>
      <c r="H628" t="n">
        <v>0</v>
      </c>
      <c r="I628" t="n">
        <v>0</v>
      </c>
      <c r="J628" t="n">
        <v>0</v>
      </c>
      <c r="K628" t="n">
        <v>0</v>
      </c>
      <c r="L628" t="n">
        <v>0</v>
      </c>
      <c r="M628" t="n">
        <v>0</v>
      </c>
      <c r="N628" t="n">
        <v>0</v>
      </c>
      <c r="O628" t="n">
        <v>0</v>
      </c>
      <c r="P628" t="n">
        <v>0</v>
      </c>
      <c r="Q628" t="n">
        <v>0</v>
      </c>
      <c r="R628" s="2" t="inlineStr"/>
    </row>
    <row r="629" ht="15" customHeight="1">
      <c r="A629" t="inlineStr">
        <is>
          <t>A 32727-2024</t>
        </is>
      </c>
      <c r="B629" s="1" t="n">
        <v>45516.4221412037</v>
      </c>
      <c r="C629" s="1" t="n">
        <v>46126</v>
      </c>
      <c r="D629" t="inlineStr">
        <is>
          <t>ÖREBRO LÄN</t>
        </is>
      </c>
      <c r="E629" t="inlineStr">
        <is>
          <t>LINDESBERG</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15212-2025</t>
        </is>
      </c>
      <c r="B630" s="1" t="n">
        <v>45744.57673611111</v>
      </c>
      <c r="C630" s="1" t="n">
        <v>46126</v>
      </c>
      <c r="D630" t="inlineStr">
        <is>
          <t>ÖREBRO LÄN</t>
        </is>
      </c>
      <c r="E630" t="inlineStr">
        <is>
          <t>LINDESBERG</t>
        </is>
      </c>
      <c r="F630" t="inlineStr">
        <is>
          <t>Sveaskog</t>
        </is>
      </c>
      <c r="G630" t="n">
        <v>3</v>
      </c>
      <c r="H630" t="n">
        <v>0</v>
      </c>
      <c r="I630" t="n">
        <v>0</v>
      </c>
      <c r="J630" t="n">
        <v>0</v>
      </c>
      <c r="K630" t="n">
        <v>0</v>
      </c>
      <c r="L630" t="n">
        <v>0</v>
      </c>
      <c r="M630" t="n">
        <v>0</v>
      </c>
      <c r="N630" t="n">
        <v>0</v>
      </c>
      <c r="O630" t="n">
        <v>0</v>
      </c>
      <c r="P630" t="n">
        <v>0</v>
      </c>
      <c r="Q630" t="n">
        <v>0</v>
      </c>
      <c r="R630" s="2" t="inlineStr"/>
    </row>
    <row r="631" ht="15" customHeight="1">
      <c r="A631" t="inlineStr">
        <is>
          <t>A 3148-2023</t>
        </is>
      </c>
      <c r="B631" s="1" t="n">
        <v>44946.54424768518</v>
      </c>
      <c r="C631" s="1" t="n">
        <v>46126</v>
      </c>
      <c r="D631" t="inlineStr">
        <is>
          <t>ÖREBRO LÄN</t>
        </is>
      </c>
      <c r="E631" t="inlineStr">
        <is>
          <t>LINDESBERG</t>
        </is>
      </c>
      <c r="G631" t="n">
        <v>5.5</v>
      </c>
      <c r="H631" t="n">
        <v>0</v>
      </c>
      <c r="I631" t="n">
        <v>0</v>
      </c>
      <c r="J631" t="n">
        <v>0</v>
      </c>
      <c r="K631" t="n">
        <v>0</v>
      </c>
      <c r="L631" t="n">
        <v>0</v>
      </c>
      <c r="M631" t="n">
        <v>0</v>
      </c>
      <c r="N631" t="n">
        <v>0</v>
      </c>
      <c r="O631" t="n">
        <v>0</v>
      </c>
      <c r="P631" t="n">
        <v>0</v>
      </c>
      <c r="Q631" t="n">
        <v>0</v>
      </c>
      <c r="R631" s="2" t="inlineStr"/>
    </row>
    <row r="632" ht="15" customHeight="1">
      <c r="A632" t="inlineStr">
        <is>
          <t>A 57361-2025</t>
        </is>
      </c>
      <c r="B632" s="1" t="n">
        <v>45980.36988425926</v>
      </c>
      <c r="C632" s="1" t="n">
        <v>46126</v>
      </c>
      <c r="D632" t="inlineStr">
        <is>
          <t>ÖREBRO LÄN</t>
        </is>
      </c>
      <c r="E632" t="inlineStr">
        <is>
          <t>LINDESBERG</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57299-2025</t>
        </is>
      </c>
      <c r="B633" s="1" t="n">
        <v>45979.81347222222</v>
      </c>
      <c r="C633" s="1" t="n">
        <v>46126</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57359-2025</t>
        </is>
      </c>
      <c r="B634" s="1" t="n">
        <v>45980.36866898148</v>
      </c>
      <c r="C634" s="1" t="n">
        <v>46126</v>
      </c>
      <c r="D634" t="inlineStr">
        <is>
          <t>ÖREBRO LÄN</t>
        </is>
      </c>
      <c r="E634" t="inlineStr">
        <is>
          <t>LINDESBERG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46126</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57358-2025</t>
        </is>
      </c>
      <c r="B636" s="1" t="n">
        <v>45980.36679398148</v>
      </c>
      <c r="C636" s="1" t="n">
        <v>46126</v>
      </c>
      <c r="D636" t="inlineStr">
        <is>
          <t>ÖREBRO LÄN</t>
        </is>
      </c>
      <c r="E636" t="inlineStr">
        <is>
          <t>LINDESBERG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57313-2025</t>
        </is>
      </c>
      <c r="B637" s="1" t="n">
        <v>45979.97458333334</v>
      </c>
      <c r="C637" s="1" t="n">
        <v>46126</v>
      </c>
      <c r="D637" t="inlineStr">
        <is>
          <t>ÖREBRO LÄN</t>
        </is>
      </c>
      <c r="E637" t="inlineStr">
        <is>
          <t>LINDESBERG</t>
        </is>
      </c>
      <c r="F637" t="inlineStr">
        <is>
          <t>Sveaskog</t>
        </is>
      </c>
      <c r="G637" t="n">
        <v>9.1</v>
      </c>
      <c r="H637" t="n">
        <v>0</v>
      </c>
      <c r="I637" t="n">
        <v>0</v>
      </c>
      <c r="J637" t="n">
        <v>0</v>
      </c>
      <c r="K637" t="n">
        <v>0</v>
      </c>
      <c r="L637" t="n">
        <v>0</v>
      </c>
      <c r="M637" t="n">
        <v>0</v>
      </c>
      <c r="N637" t="n">
        <v>0</v>
      </c>
      <c r="O637" t="n">
        <v>0</v>
      </c>
      <c r="P637" t="n">
        <v>0</v>
      </c>
      <c r="Q637" t="n">
        <v>0</v>
      </c>
      <c r="R637" s="2" t="inlineStr"/>
    </row>
    <row r="638" ht="15" customHeight="1">
      <c r="A638" t="inlineStr">
        <is>
          <t>A 57314-2025</t>
        </is>
      </c>
      <c r="B638" s="1" t="n">
        <v>45980.00710648148</v>
      </c>
      <c r="C638" s="1" t="n">
        <v>46126</v>
      </c>
      <c r="D638" t="inlineStr">
        <is>
          <t>ÖREBRO LÄN</t>
        </is>
      </c>
      <c r="E638" t="inlineStr">
        <is>
          <t>LINDESBERG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57315-2025</t>
        </is>
      </c>
      <c r="B639" s="1" t="n">
        <v>45980.00753472222</v>
      </c>
      <c r="C639" s="1" t="n">
        <v>46126</v>
      </c>
      <c r="D639" t="inlineStr">
        <is>
          <t>ÖREBRO LÄN</t>
        </is>
      </c>
      <c r="E639" t="inlineStr">
        <is>
          <t>LINDESBERG</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57316-2025</t>
        </is>
      </c>
      <c r="B640" s="1" t="n">
        <v>45980.0115625</v>
      </c>
      <c r="C640" s="1" t="n">
        <v>46126</v>
      </c>
      <c r="D640" t="inlineStr">
        <is>
          <t>ÖREBRO LÄN</t>
        </is>
      </c>
      <c r="E640" t="inlineStr">
        <is>
          <t>LINDESBERG</t>
        </is>
      </c>
      <c r="F640" t="inlineStr">
        <is>
          <t>Sveaskog</t>
        </is>
      </c>
      <c r="G640" t="n">
        <v>6.5</v>
      </c>
      <c r="H640" t="n">
        <v>0</v>
      </c>
      <c r="I640" t="n">
        <v>0</v>
      </c>
      <c r="J640" t="n">
        <v>0</v>
      </c>
      <c r="K640" t="n">
        <v>0</v>
      </c>
      <c r="L640" t="n">
        <v>0</v>
      </c>
      <c r="M640" t="n">
        <v>0</v>
      </c>
      <c r="N640" t="n">
        <v>0</v>
      </c>
      <c r="O640" t="n">
        <v>0</v>
      </c>
      <c r="P640" t="n">
        <v>0</v>
      </c>
      <c r="Q640" t="n">
        <v>0</v>
      </c>
      <c r="R640" s="2" t="inlineStr"/>
    </row>
    <row r="641" ht="15" customHeight="1">
      <c r="A641" t="inlineStr">
        <is>
          <t>A 57320-2025</t>
        </is>
      </c>
      <c r="B641" s="1" t="n">
        <v>45980.01553240741</v>
      </c>
      <c r="C641" s="1" t="n">
        <v>46126</v>
      </c>
      <c r="D641" t="inlineStr">
        <is>
          <t>ÖREBRO LÄN</t>
        </is>
      </c>
      <c r="E641" t="inlineStr">
        <is>
          <t>LINDESBERG</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57363-2025</t>
        </is>
      </c>
      <c r="B642" s="1" t="n">
        <v>45980.3716087963</v>
      </c>
      <c r="C642" s="1" t="n">
        <v>46126</v>
      </c>
      <c r="D642" t="inlineStr">
        <is>
          <t>ÖREBRO LÄN</t>
        </is>
      </c>
      <c r="E642" t="inlineStr">
        <is>
          <t>LINDESBERG</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57317-2025</t>
        </is>
      </c>
      <c r="B643" s="1" t="n">
        <v>45980.01226851852</v>
      </c>
      <c r="C643" s="1" t="n">
        <v>46126</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57356-2025</t>
        </is>
      </c>
      <c r="B644" s="1" t="n">
        <v>45980.36633101852</v>
      </c>
      <c r="C644" s="1" t="n">
        <v>46126</v>
      </c>
      <c r="D644" t="inlineStr">
        <is>
          <t>ÖREBRO LÄN</t>
        </is>
      </c>
      <c r="E644" t="inlineStr">
        <is>
          <t>LINDESBERG</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33574-2024</t>
        </is>
      </c>
      <c r="B645" s="1" t="n">
        <v>45520.32887731482</v>
      </c>
      <c r="C645" s="1" t="n">
        <v>46126</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58166-2025</t>
        </is>
      </c>
      <c r="B646" s="1" t="n">
        <v>45982.71017361111</v>
      </c>
      <c r="C646" s="1" t="n">
        <v>46126</v>
      </c>
      <c r="D646" t="inlineStr">
        <is>
          <t>ÖREBRO LÄN</t>
        </is>
      </c>
      <c r="E646" t="inlineStr">
        <is>
          <t>LINDESBERG</t>
        </is>
      </c>
      <c r="G646" t="n">
        <v>2.5</v>
      </c>
      <c r="H646" t="n">
        <v>0</v>
      </c>
      <c r="I646" t="n">
        <v>0</v>
      </c>
      <c r="J646" t="n">
        <v>0</v>
      </c>
      <c r="K646" t="n">
        <v>0</v>
      </c>
      <c r="L646" t="n">
        <v>0</v>
      </c>
      <c r="M646" t="n">
        <v>0</v>
      </c>
      <c r="N646" t="n">
        <v>0</v>
      </c>
      <c r="O646" t="n">
        <v>0</v>
      </c>
      <c r="P646" t="n">
        <v>0</v>
      </c>
      <c r="Q646" t="n">
        <v>0</v>
      </c>
      <c r="R646" s="2" t="inlineStr"/>
    </row>
    <row r="647" ht="15" customHeight="1">
      <c r="A647" t="inlineStr">
        <is>
          <t>A 34264-2025</t>
        </is>
      </c>
      <c r="B647" s="1" t="n">
        <v>45845.75200231482</v>
      </c>
      <c r="C647" s="1" t="n">
        <v>46126</v>
      </c>
      <c r="D647" t="inlineStr">
        <is>
          <t>ÖREBRO LÄN</t>
        </is>
      </c>
      <c r="E647" t="inlineStr">
        <is>
          <t>LINDESBERG</t>
        </is>
      </c>
      <c r="G647" t="n">
        <v>3.9</v>
      </c>
      <c r="H647" t="n">
        <v>0</v>
      </c>
      <c r="I647" t="n">
        <v>0</v>
      </c>
      <c r="J647" t="n">
        <v>0</v>
      </c>
      <c r="K647" t="n">
        <v>0</v>
      </c>
      <c r="L647" t="n">
        <v>0</v>
      </c>
      <c r="M647" t="n">
        <v>0</v>
      </c>
      <c r="N647" t="n">
        <v>0</v>
      </c>
      <c r="O647" t="n">
        <v>0</v>
      </c>
      <c r="P647" t="n">
        <v>0</v>
      </c>
      <c r="Q647" t="n">
        <v>0</v>
      </c>
      <c r="R647" s="2" t="inlineStr"/>
    </row>
    <row r="648" ht="15" customHeight="1">
      <c r="A648" t="inlineStr">
        <is>
          <t>A 34003-2025</t>
        </is>
      </c>
      <c r="B648" s="1" t="n">
        <v>45844.57527777777</v>
      </c>
      <c r="C648" s="1" t="n">
        <v>46126</v>
      </c>
      <c r="D648" t="inlineStr">
        <is>
          <t>ÖREBRO LÄN</t>
        </is>
      </c>
      <c r="E648" t="inlineStr">
        <is>
          <t>LINDESBERG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34097-2025</t>
        </is>
      </c>
      <c r="B649" s="1" t="n">
        <v>45845.4855787037</v>
      </c>
      <c r="C649" s="1" t="n">
        <v>46126</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50225-2021</t>
        </is>
      </c>
      <c r="B650" s="1" t="n">
        <v>44457</v>
      </c>
      <c r="C650" s="1" t="n">
        <v>46126</v>
      </c>
      <c r="D650" t="inlineStr">
        <is>
          <t>ÖREBRO LÄN</t>
        </is>
      </c>
      <c r="E650" t="inlineStr">
        <is>
          <t>LINDESBERG</t>
        </is>
      </c>
      <c r="G650" t="n">
        <v>2.5</v>
      </c>
      <c r="H650" t="n">
        <v>0</v>
      </c>
      <c r="I650" t="n">
        <v>0</v>
      </c>
      <c r="J650" t="n">
        <v>0</v>
      </c>
      <c r="K650" t="n">
        <v>0</v>
      </c>
      <c r="L650" t="n">
        <v>0</v>
      </c>
      <c r="M650" t="n">
        <v>0</v>
      </c>
      <c r="N650" t="n">
        <v>0</v>
      </c>
      <c r="O650" t="n">
        <v>0</v>
      </c>
      <c r="P650" t="n">
        <v>0</v>
      </c>
      <c r="Q650" t="n">
        <v>0</v>
      </c>
      <c r="R650" s="2" t="inlineStr"/>
    </row>
    <row r="651" ht="15" customHeight="1">
      <c r="A651" t="inlineStr">
        <is>
          <t>A 34104-2025</t>
        </is>
      </c>
      <c r="B651" s="1" t="n">
        <v>45845.49216435185</v>
      </c>
      <c r="C651" s="1" t="n">
        <v>46126</v>
      </c>
      <c r="D651" t="inlineStr">
        <is>
          <t>ÖREBRO LÄN</t>
        </is>
      </c>
      <c r="E651" t="inlineStr">
        <is>
          <t>LINDESBERG</t>
        </is>
      </c>
      <c r="G651" t="n">
        <v>1</v>
      </c>
      <c r="H651" t="n">
        <v>0</v>
      </c>
      <c r="I651" t="n">
        <v>0</v>
      </c>
      <c r="J651" t="n">
        <v>0</v>
      </c>
      <c r="K651" t="n">
        <v>0</v>
      </c>
      <c r="L651" t="n">
        <v>0</v>
      </c>
      <c r="M651" t="n">
        <v>0</v>
      </c>
      <c r="N651" t="n">
        <v>0</v>
      </c>
      <c r="O651" t="n">
        <v>0</v>
      </c>
      <c r="P651" t="n">
        <v>0</v>
      </c>
      <c r="Q651" t="n">
        <v>0</v>
      </c>
      <c r="R651" s="2" t="inlineStr"/>
    </row>
    <row r="652" ht="15" customHeight="1">
      <c r="A652" t="inlineStr">
        <is>
          <t>A 34004-2025</t>
        </is>
      </c>
      <c r="B652" s="1" t="n">
        <v>45844.5775</v>
      </c>
      <c r="C652" s="1" t="n">
        <v>46126</v>
      </c>
      <c r="D652" t="inlineStr">
        <is>
          <t>ÖREBRO LÄN</t>
        </is>
      </c>
      <c r="E652" t="inlineStr">
        <is>
          <t>LINDESBERG</t>
        </is>
      </c>
      <c r="F652" t="inlineStr">
        <is>
          <t>Sveaskog</t>
        </is>
      </c>
      <c r="G652" t="n">
        <v>3.4</v>
      </c>
      <c r="H652" t="n">
        <v>0</v>
      </c>
      <c r="I652" t="n">
        <v>0</v>
      </c>
      <c r="J652" t="n">
        <v>0</v>
      </c>
      <c r="K652" t="n">
        <v>0</v>
      </c>
      <c r="L652" t="n">
        <v>0</v>
      </c>
      <c r="M652" t="n">
        <v>0</v>
      </c>
      <c r="N652" t="n">
        <v>0</v>
      </c>
      <c r="O652" t="n">
        <v>0</v>
      </c>
      <c r="P652" t="n">
        <v>0</v>
      </c>
      <c r="Q652" t="n">
        <v>0</v>
      </c>
      <c r="R652" s="2" t="inlineStr"/>
    </row>
    <row r="653" ht="15" customHeight="1">
      <c r="A653" t="inlineStr">
        <is>
          <t>A 34267-2025</t>
        </is>
      </c>
      <c r="B653" s="1" t="n">
        <v>45845.76005787037</v>
      </c>
      <c r="C653" s="1" t="n">
        <v>46126</v>
      </c>
      <c r="D653" t="inlineStr">
        <is>
          <t>ÖREBRO LÄN</t>
        </is>
      </c>
      <c r="E653" t="inlineStr">
        <is>
          <t>LINDESBERG</t>
        </is>
      </c>
      <c r="G653" t="n">
        <v>4.6</v>
      </c>
      <c r="H653" t="n">
        <v>0</v>
      </c>
      <c r="I653" t="n">
        <v>0</v>
      </c>
      <c r="J653" t="n">
        <v>0</v>
      </c>
      <c r="K653" t="n">
        <v>0</v>
      </c>
      <c r="L653" t="n">
        <v>0</v>
      </c>
      <c r="M653" t="n">
        <v>0</v>
      </c>
      <c r="N653" t="n">
        <v>0</v>
      </c>
      <c r="O653" t="n">
        <v>0</v>
      </c>
      <c r="P653" t="n">
        <v>0</v>
      </c>
      <c r="Q653" t="n">
        <v>0</v>
      </c>
      <c r="R653" s="2" t="inlineStr"/>
    </row>
    <row r="654" ht="15" customHeight="1">
      <c r="A654" t="inlineStr">
        <is>
          <t>A 61202-2023</t>
        </is>
      </c>
      <c r="B654" s="1" t="n">
        <v>45264.38084490741</v>
      </c>
      <c r="C654" s="1" t="n">
        <v>46126</v>
      </c>
      <c r="D654" t="inlineStr">
        <is>
          <t>ÖREBRO LÄN</t>
        </is>
      </c>
      <c r="E654" t="inlineStr">
        <is>
          <t>LINDESBERG</t>
        </is>
      </c>
      <c r="G654" t="n">
        <v>0.9</v>
      </c>
      <c r="H654" t="n">
        <v>0</v>
      </c>
      <c r="I654" t="n">
        <v>0</v>
      </c>
      <c r="J654" t="n">
        <v>0</v>
      </c>
      <c r="K654" t="n">
        <v>0</v>
      </c>
      <c r="L654" t="n">
        <v>0</v>
      </c>
      <c r="M654" t="n">
        <v>0</v>
      </c>
      <c r="N654" t="n">
        <v>0</v>
      </c>
      <c r="O654" t="n">
        <v>0</v>
      </c>
      <c r="P654" t="n">
        <v>0</v>
      </c>
      <c r="Q654" t="n">
        <v>0</v>
      </c>
      <c r="R654" s="2" t="inlineStr"/>
    </row>
    <row r="655" ht="15" customHeight="1">
      <c r="A655" t="inlineStr">
        <is>
          <t>A 34002-2025</t>
        </is>
      </c>
      <c r="B655" s="1" t="n">
        <v>45844.57328703703</v>
      </c>
      <c r="C655" s="1" t="n">
        <v>46126</v>
      </c>
      <c r="D655" t="inlineStr">
        <is>
          <t>ÖREBRO LÄN</t>
        </is>
      </c>
      <c r="E655" t="inlineStr">
        <is>
          <t>LINDESBERG</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14187-2024</t>
        </is>
      </c>
      <c r="B656" s="1" t="n">
        <v>45393.35787037037</v>
      </c>
      <c r="C656" s="1" t="n">
        <v>46126</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195-2022</t>
        </is>
      </c>
      <c r="B657" s="1" t="n">
        <v>44564</v>
      </c>
      <c r="C657" s="1" t="n">
        <v>46126</v>
      </c>
      <c r="D657" t="inlineStr">
        <is>
          <t>ÖREBRO LÄN</t>
        </is>
      </c>
      <c r="E657" t="inlineStr">
        <is>
          <t>LINDESBERG</t>
        </is>
      </c>
      <c r="G657" t="n">
        <v>4.7</v>
      </c>
      <c r="H657" t="n">
        <v>0</v>
      </c>
      <c r="I657" t="n">
        <v>0</v>
      </c>
      <c r="J657" t="n">
        <v>0</v>
      </c>
      <c r="K657" t="n">
        <v>0</v>
      </c>
      <c r="L657" t="n">
        <v>0</v>
      </c>
      <c r="M657" t="n">
        <v>0</v>
      </c>
      <c r="N657" t="n">
        <v>0</v>
      </c>
      <c r="O657" t="n">
        <v>0</v>
      </c>
      <c r="P657" t="n">
        <v>0</v>
      </c>
      <c r="Q657" t="n">
        <v>0</v>
      </c>
      <c r="R657" s="2" t="inlineStr"/>
    </row>
    <row r="658" ht="15" customHeight="1">
      <c r="A658" t="inlineStr">
        <is>
          <t>A 29500-2023</t>
        </is>
      </c>
      <c r="B658" s="1" t="n">
        <v>45106</v>
      </c>
      <c r="C658" s="1" t="n">
        <v>46126</v>
      </c>
      <c r="D658" t="inlineStr">
        <is>
          <t>ÖREBRO LÄN</t>
        </is>
      </c>
      <c r="E658" t="inlineStr">
        <is>
          <t>LINDESBERG</t>
        </is>
      </c>
      <c r="G658" t="n">
        <v>1.6</v>
      </c>
      <c r="H658" t="n">
        <v>0</v>
      </c>
      <c r="I658" t="n">
        <v>0</v>
      </c>
      <c r="J658" t="n">
        <v>0</v>
      </c>
      <c r="K658" t="n">
        <v>0</v>
      </c>
      <c r="L658" t="n">
        <v>0</v>
      </c>
      <c r="M658" t="n">
        <v>0</v>
      </c>
      <c r="N658" t="n">
        <v>0</v>
      </c>
      <c r="O658" t="n">
        <v>0</v>
      </c>
      <c r="P658" t="n">
        <v>0</v>
      </c>
      <c r="Q658" t="n">
        <v>0</v>
      </c>
      <c r="R658" s="2" t="inlineStr"/>
    </row>
    <row r="659" ht="15" customHeight="1">
      <c r="A659" t="inlineStr">
        <is>
          <t>A 39140-2024</t>
        </is>
      </c>
      <c r="B659" s="1" t="n">
        <v>45548</v>
      </c>
      <c r="C659" s="1" t="n">
        <v>46126</v>
      </c>
      <c r="D659" t="inlineStr">
        <is>
          <t>ÖREBRO LÄN</t>
        </is>
      </c>
      <c r="E659" t="inlineStr">
        <is>
          <t>LINDESBERG</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265-2023</t>
        </is>
      </c>
      <c r="B660" s="1" t="n">
        <v>44928</v>
      </c>
      <c r="C660" s="1" t="n">
        <v>46126</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41582-2021</t>
        </is>
      </c>
      <c r="B661" s="1" t="n">
        <v>44425.40297453704</v>
      </c>
      <c r="C661" s="1" t="n">
        <v>46126</v>
      </c>
      <c r="D661" t="inlineStr">
        <is>
          <t>ÖREBRO LÄN</t>
        </is>
      </c>
      <c r="E661" t="inlineStr">
        <is>
          <t>LINDESBERG</t>
        </is>
      </c>
      <c r="F661" t="inlineStr">
        <is>
          <t>Sveaskog</t>
        </is>
      </c>
      <c r="G661" t="n">
        <v>5.2</v>
      </c>
      <c r="H661" t="n">
        <v>0</v>
      </c>
      <c r="I661" t="n">
        <v>0</v>
      </c>
      <c r="J661" t="n">
        <v>0</v>
      </c>
      <c r="K661" t="n">
        <v>0</v>
      </c>
      <c r="L661" t="n">
        <v>0</v>
      </c>
      <c r="M661" t="n">
        <v>0</v>
      </c>
      <c r="N661" t="n">
        <v>0</v>
      </c>
      <c r="O661" t="n">
        <v>0</v>
      </c>
      <c r="P661" t="n">
        <v>0</v>
      </c>
      <c r="Q661" t="n">
        <v>0</v>
      </c>
      <c r="R661" s="2" t="inlineStr"/>
    </row>
    <row r="662" ht="15" customHeight="1">
      <c r="A662" t="inlineStr">
        <is>
          <t>A 58963-2025</t>
        </is>
      </c>
      <c r="B662" s="1" t="n">
        <v>45987.60012731481</v>
      </c>
      <c r="C662" s="1" t="n">
        <v>46126</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19392-2025</t>
        </is>
      </c>
      <c r="B663" s="1" t="n">
        <v>45769.66260416667</v>
      </c>
      <c r="C663" s="1" t="n">
        <v>46126</v>
      </c>
      <c r="D663" t="inlineStr">
        <is>
          <t>ÖREBRO LÄN</t>
        </is>
      </c>
      <c r="E663" t="inlineStr">
        <is>
          <t>LINDESBERG</t>
        </is>
      </c>
      <c r="G663" t="n">
        <v>6.5</v>
      </c>
      <c r="H663" t="n">
        <v>0</v>
      </c>
      <c r="I663" t="n">
        <v>0</v>
      </c>
      <c r="J663" t="n">
        <v>0</v>
      </c>
      <c r="K663" t="n">
        <v>0</v>
      </c>
      <c r="L663" t="n">
        <v>0</v>
      </c>
      <c r="M663" t="n">
        <v>0</v>
      </c>
      <c r="N663" t="n">
        <v>0</v>
      </c>
      <c r="O663" t="n">
        <v>0</v>
      </c>
      <c r="P663" t="n">
        <v>0</v>
      </c>
      <c r="Q663" t="n">
        <v>0</v>
      </c>
      <c r="R663" s="2" t="inlineStr"/>
    </row>
    <row r="664" ht="15" customHeight="1">
      <c r="A664" t="inlineStr">
        <is>
          <t>A 5677-2025</t>
        </is>
      </c>
      <c r="B664" s="1" t="n">
        <v>45694</v>
      </c>
      <c r="C664" s="1" t="n">
        <v>46126</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24916-2022</t>
        </is>
      </c>
      <c r="B665" s="1" t="n">
        <v>44728</v>
      </c>
      <c r="C665" s="1" t="n">
        <v>46126</v>
      </c>
      <c r="D665" t="inlineStr">
        <is>
          <t>ÖREBRO LÄN</t>
        </is>
      </c>
      <c r="E665" t="inlineStr">
        <is>
          <t>LINDESBERG</t>
        </is>
      </c>
      <c r="G665" t="n">
        <v>8.1</v>
      </c>
      <c r="H665" t="n">
        <v>0</v>
      </c>
      <c r="I665" t="n">
        <v>0</v>
      </c>
      <c r="J665" t="n">
        <v>0</v>
      </c>
      <c r="K665" t="n">
        <v>0</v>
      </c>
      <c r="L665" t="n">
        <v>0</v>
      </c>
      <c r="M665" t="n">
        <v>0</v>
      </c>
      <c r="N665" t="n">
        <v>0</v>
      </c>
      <c r="O665" t="n">
        <v>0</v>
      </c>
      <c r="P665" t="n">
        <v>0</v>
      </c>
      <c r="Q665" t="n">
        <v>0</v>
      </c>
      <c r="R665" s="2" t="inlineStr"/>
    </row>
    <row r="666" ht="15" customHeight="1">
      <c r="A666" t="inlineStr">
        <is>
          <t>A 59052-2023</t>
        </is>
      </c>
      <c r="B666" s="1" t="n">
        <v>45252.78021990741</v>
      </c>
      <c r="C666" s="1" t="n">
        <v>46126</v>
      </c>
      <c r="D666" t="inlineStr">
        <is>
          <t>ÖREBRO LÄN</t>
        </is>
      </c>
      <c r="E666" t="inlineStr">
        <is>
          <t>LINDESBERG</t>
        </is>
      </c>
      <c r="G666" t="n">
        <v>4.2</v>
      </c>
      <c r="H666" t="n">
        <v>0</v>
      </c>
      <c r="I666" t="n">
        <v>0</v>
      </c>
      <c r="J666" t="n">
        <v>0</v>
      </c>
      <c r="K666" t="n">
        <v>0</v>
      </c>
      <c r="L666" t="n">
        <v>0</v>
      </c>
      <c r="M666" t="n">
        <v>0</v>
      </c>
      <c r="N666" t="n">
        <v>0</v>
      </c>
      <c r="O666" t="n">
        <v>0</v>
      </c>
      <c r="P666" t="n">
        <v>0</v>
      </c>
      <c r="Q666" t="n">
        <v>0</v>
      </c>
      <c r="R666" s="2" t="inlineStr"/>
    </row>
    <row r="667" ht="15" customHeight="1">
      <c r="A667" t="inlineStr">
        <is>
          <t>A 1681-2025</t>
        </is>
      </c>
      <c r="B667" s="1" t="n">
        <v>45670.69458333333</v>
      </c>
      <c r="C667" s="1" t="n">
        <v>46126</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6-2023</t>
        </is>
      </c>
      <c r="B668" s="1" t="n">
        <v>44927.72487268518</v>
      </c>
      <c r="C668" s="1" t="n">
        <v>46126</v>
      </c>
      <c r="D668" t="inlineStr">
        <is>
          <t>ÖREBRO LÄN</t>
        </is>
      </c>
      <c r="E668" t="inlineStr">
        <is>
          <t>LINDESBERG</t>
        </is>
      </c>
      <c r="G668" t="n">
        <v>2.8</v>
      </c>
      <c r="H668" t="n">
        <v>0</v>
      </c>
      <c r="I668" t="n">
        <v>0</v>
      </c>
      <c r="J668" t="n">
        <v>0</v>
      </c>
      <c r="K668" t="n">
        <v>0</v>
      </c>
      <c r="L668" t="n">
        <v>0</v>
      </c>
      <c r="M668" t="n">
        <v>0</v>
      </c>
      <c r="N668" t="n">
        <v>0</v>
      </c>
      <c r="O668" t="n">
        <v>0</v>
      </c>
      <c r="P668" t="n">
        <v>0</v>
      </c>
      <c r="Q668" t="n">
        <v>0</v>
      </c>
      <c r="R668" s="2" t="inlineStr"/>
    </row>
    <row r="669" ht="15" customHeight="1">
      <c r="A669" t="inlineStr">
        <is>
          <t>A 36670-2024</t>
        </is>
      </c>
      <c r="B669" s="1" t="n">
        <v>45537.64621527777</v>
      </c>
      <c r="C669" s="1" t="n">
        <v>46126</v>
      </c>
      <c r="D669" t="inlineStr">
        <is>
          <t>ÖREBRO LÄN</t>
        </is>
      </c>
      <c r="E669" t="inlineStr">
        <is>
          <t>LINDESBERG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54864-2024</t>
        </is>
      </c>
      <c r="B670" s="1" t="n">
        <v>45618.59456018519</v>
      </c>
      <c r="C670" s="1" t="n">
        <v>46126</v>
      </c>
      <c r="D670" t="inlineStr">
        <is>
          <t>ÖREBRO LÄN</t>
        </is>
      </c>
      <c r="E670" t="inlineStr">
        <is>
          <t>LINDESBERG</t>
        </is>
      </c>
      <c r="F670" t="inlineStr">
        <is>
          <t>Sveaskog</t>
        </is>
      </c>
      <c r="G670" t="n">
        <v>4.4</v>
      </c>
      <c r="H670" t="n">
        <v>0</v>
      </c>
      <c r="I670" t="n">
        <v>0</v>
      </c>
      <c r="J670" t="n">
        <v>0</v>
      </c>
      <c r="K670" t="n">
        <v>0</v>
      </c>
      <c r="L670" t="n">
        <v>0</v>
      </c>
      <c r="M670" t="n">
        <v>0</v>
      </c>
      <c r="N670" t="n">
        <v>0</v>
      </c>
      <c r="O670" t="n">
        <v>0</v>
      </c>
      <c r="P670" t="n">
        <v>0</v>
      </c>
      <c r="Q670" t="n">
        <v>0</v>
      </c>
      <c r="R670" s="2" t="inlineStr"/>
    </row>
    <row r="671" ht="15" customHeight="1">
      <c r="A671" t="inlineStr">
        <is>
          <t>A 35292-2025</t>
        </is>
      </c>
      <c r="B671" s="1" t="n">
        <v>45854</v>
      </c>
      <c r="C671" s="1" t="n">
        <v>46126</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35366-2025</t>
        </is>
      </c>
      <c r="B672" s="1" t="n">
        <v>45854</v>
      </c>
      <c r="C672" s="1" t="n">
        <v>46126</v>
      </c>
      <c r="D672" t="inlineStr">
        <is>
          <t>ÖREBRO LÄN</t>
        </is>
      </c>
      <c r="E672" t="inlineStr">
        <is>
          <t>LINDESBERG</t>
        </is>
      </c>
      <c r="G672" t="n">
        <v>5.5</v>
      </c>
      <c r="H672" t="n">
        <v>0</v>
      </c>
      <c r="I672" t="n">
        <v>0</v>
      </c>
      <c r="J672" t="n">
        <v>0</v>
      </c>
      <c r="K672" t="n">
        <v>0</v>
      </c>
      <c r="L672" t="n">
        <v>0</v>
      </c>
      <c r="M672" t="n">
        <v>0</v>
      </c>
      <c r="N672" t="n">
        <v>0</v>
      </c>
      <c r="O672" t="n">
        <v>0</v>
      </c>
      <c r="P672" t="n">
        <v>0</v>
      </c>
      <c r="Q672" t="n">
        <v>0</v>
      </c>
      <c r="R672" s="2" t="inlineStr"/>
    </row>
    <row r="673" ht="15" customHeight="1">
      <c r="A673" t="inlineStr">
        <is>
          <t>A 35702-2025</t>
        </is>
      </c>
      <c r="B673" s="1" t="n">
        <v>45860.36222222223</v>
      </c>
      <c r="C673" s="1" t="n">
        <v>46126</v>
      </c>
      <c r="D673" t="inlineStr">
        <is>
          <t>ÖREBRO LÄN</t>
        </is>
      </c>
      <c r="E673" t="inlineStr">
        <is>
          <t>LINDESBERG</t>
        </is>
      </c>
      <c r="G673" t="n">
        <v>5.3</v>
      </c>
      <c r="H673" t="n">
        <v>0</v>
      </c>
      <c r="I673" t="n">
        <v>0</v>
      </c>
      <c r="J673" t="n">
        <v>0</v>
      </c>
      <c r="K673" t="n">
        <v>0</v>
      </c>
      <c r="L673" t="n">
        <v>0</v>
      </c>
      <c r="M673" t="n">
        <v>0</v>
      </c>
      <c r="N673" t="n">
        <v>0</v>
      </c>
      <c r="O673" t="n">
        <v>0</v>
      </c>
      <c r="P673" t="n">
        <v>0</v>
      </c>
      <c r="Q673" t="n">
        <v>0</v>
      </c>
      <c r="R673" s="2" t="inlineStr"/>
    </row>
    <row r="674" ht="15" customHeight="1">
      <c r="A674" t="inlineStr">
        <is>
          <t>A 35710-2025</t>
        </is>
      </c>
      <c r="B674" s="1" t="n">
        <v>45860.3857175926</v>
      </c>
      <c r="C674" s="1" t="n">
        <v>46126</v>
      </c>
      <c r="D674" t="inlineStr">
        <is>
          <t>ÖREBRO LÄN</t>
        </is>
      </c>
      <c r="E674" t="inlineStr">
        <is>
          <t>LINDESBERG</t>
        </is>
      </c>
      <c r="G674" t="n">
        <v>3.2</v>
      </c>
      <c r="H674" t="n">
        <v>0</v>
      </c>
      <c r="I674" t="n">
        <v>0</v>
      </c>
      <c r="J674" t="n">
        <v>0</v>
      </c>
      <c r="K674" t="n">
        <v>0</v>
      </c>
      <c r="L674" t="n">
        <v>0</v>
      </c>
      <c r="M674" t="n">
        <v>0</v>
      </c>
      <c r="N674" t="n">
        <v>0</v>
      </c>
      <c r="O674" t="n">
        <v>0</v>
      </c>
      <c r="P674" t="n">
        <v>0</v>
      </c>
      <c r="Q674" t="n">
        <v>0</v>
      </c>
      <c r="R674" s="2" t="inlineStr"/>
    </row>
    <row r="675" ht="15" customHeight="1">
      <c r="A675" t="inlineStr">
        <is>
          <t>A 47304-2024</t>
        </is>
      </c>
      <c r="B675" s="1" t="n">
        <v>45587</v>
      </c>
      <c r="C675" s="1" t="n">
        <v>46126</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45173-2024</t>
        </is>
      </c>
      <c r="B676" s="1" t="n">
        <v>45575.65721064815</v>
      </c>
      <c r="C676" s="1" t="n">
        <v>46126</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30514-2025</t>
        </is>
      </c>
      <c r="B677" s="1" t="n">
        <v>45831</v>
      </c>
      <c r="C677" s="1" t="n">
        <v>46126</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7211-2024</t>
        </is>
      </c>
      <c r="B678" s="1" t="n">
        <v>45344.623125</v>
      </c>
      <c r="C678" s="1" t="n">
        <v>46126</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36253-2024</t>
        </is>
      </c>
      <c r="B679" s="1" t="n">
        <v>45534.54032407407</v>
      </c>
      <c r="C679" s="1" t="n">
        <v>46126</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30512-2025</t>
        </is>
      </c>
      <c r="B680" s="1" t="n">
        <v>45831</v>
      </c>
      <c r="C680" s="1" t="n">
        <v>46126</v>
      </c>
      <c r="D680" t="inlineStr">
        <is>
          <t>ÖREBRO LÄN</t>
        </is>
      </c>
      <c r="E680" t="inlineStr">
        <is>
          <t>LINDESBERG</t>
        </is>
      </c>
      <c r="G680" t="n">
        <v>4.5</v>
      </c>
      <c r="H680" t="n">
        <v>0</v>
      </c>
      <c r="I680" t="n">
        <v>0</v>
      </c>
      <c r="J680" t="n">
        <v>0</v>
      </c>
      <c r="K680" t="n">
        <v>0</v>
      </c>
      <c r="L680" t="n">
        <v>0</v>
      </c>
      <c r="M680" t="n">
        <v>0</v>
      </c>
      <c r="N680" t="n">
        <v>0</v>
      </c>
      <c r="O680" t="n">
        <v>0</v>
      </c>
      <c r="P680" t="n">
        <v>0</v>
      </c>
      <c r="Q680" t="n">
        <v>0</v>
      </c>
      <c r="R680" s="2" t="inlineStr"/>
    </row>
    <row r="681" ht="15" customHeight="1">
      <c r="A681" t="inlineStr">
        <is>
          <t>A 60400-2025</t>
        </is>
      </c>
      <c r="B681" s="1" t="n">
        <v>45995</v>
      </c>
      <c r="C681" s="1" t="n">
        <v>46126</v>
      </c>
      <c r="D681" t="inlineStr">
        <is>
          <t>ÖREBRO LÄN</t>
        </is>
      </c>
      <c r="E681" t="inlineStr">
        <is>
          <t>LINDESBERG</t>
        </is>
      </c>
      <c r="G681" t="n">
        <v>11.2</v>
      </c>
      <c r="H681" t="n">
        <v>0</v>
      </c>
      <c r="I681" t="n">
        <v>0</v>
      </c>
      <c r="J681" t="n">
        <v>0</v>
      </c>
      <c r="K681" t="n">
        <v>0</v>
      </c>
      <c r="L681" t="n">
        <v>0</v>
      </c>
      <c r="M681" t="n">
        <v>0</v>
      </c>
      <c r="N681" t="n">
        <v>0</v>
      </c>
      <c r="O681" t="n">
        <v>0</v>
      </c>
      <c r="P681" t="n">
        <v>0</v>
      </c>
      <c r="Q681" t="n">
        <v>0</v>
      </c>
      <c r="R681" s="2" t="inlineStr"/>
    </row>
    <row r="682" ht="15" customHeight="1">
      <c r="A682" t="inlineStr">
        <is>
          <t>A 60450-2025</t>
        </is>
      </c>
      <c r="B682" s="1" t="n">
        <v>45995</v>
      </c>
      <c r="C682" s="1" t="n">
        <v>46126</v>
      </c>
      <c r="D682" t="inlineStr">
        <is>
          <t>ÖREBRO LÄN</t>
        </is>
      </c>
      <c r="E682" t="inlineStr">
        <is>
          <t>LINDESBERG</t>
        </is>
      </c>
      <c r="G682" t="n">
        <v>4.1</v>
      </c>
      <c r="H682" t="n">
        <v>0</v>
      </c>
      <c r="I682" t="n">
        <v>0</v>
      </c>
      <c r="J682" t="n">
        <v>0</v>
      </c>
      <c r="K682" t="n">
        <v>0</v>
      </c>
      <c r="L682" t="n">
        <v>0</v>
      </c>
      <c r="M682" t="n">
        <v>0</v>
      </c>
      <c r="N682" t="n">
        <v>0</v>
      </c>
      <c r="O682" t="n">
        <v>0</v>
      </c>
      <c r="P682" t="n">
        <v>0</v>
      </c>
      <c r="Q682" t="n">
        <v>0</v>
      </c>
      <c r="R682" s="2" t="inlineStr"/>
    </row>
    <row r="683" ht="15" customHeight="1">
      <c r="A683" t="inlineStr">
        <is>
          <t>A 36572-2025</t>
        </is>
      </c>
      <c r="B683" s="1" t="n">
        <v>45870</v>
      </c>
      <c r="C683" s="1" t="n">
        <v>46126</v>
      </c>
      <c r="D683" t="inlineStr">
        <is>
          <t>ÖREBRO LÄN</t>
        </is>
      </c>
      <c r="E683" t="inlineStr">
        <is>
          <t>LINDESBERG</t>
        </is>
      </c>
      <c r="G683" t="n">
        <v>11.9</v>
      </c>
      <c r="H683" t="n">
        <v>0</v>
      </c>
      <c r="I683" t="n">
        <v>0</v>
      </c>
      <c r="J683" t="n">
        <v>0</v>
      </c>
      <c r="K683" t="n">
        <v>0</v>
      </c>
      <c r="L683" t="n">
        <v>0</v>
      </c>
      <c r="M683" t="n">
        <v>0</v>
      </c>
      <c r="N683" t="n">
        <v>0</v>
      </c>
      <c r="O683" t="n">
        <v>0</v>
      </c>
      <c r="P683" t="n">
        <v>0</v>
      </c>
      <c r="Q683" t="n">
        <v>0</v>
      </c>
      <c r="R683" s="2" t="inlineStr"/>
    </row>
    <row r="684" ht="15" customHeight="1">
      <c r="A684" t="inlineStr">
        <is>
          <t>A 36577-2025</t>
        </is>
      </c>
      <c r="B684" s="1" t="n">
        <v>45870</v>
      </c>
      <c r="C684" s="1" t="n">
        <v>46126</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36574-2025</t>
        </is>
      </c>
      <c r="B685" s="1" t="n">
        <v>45870</v>
      </c>
      <c r="C685" s="1" t="n">
        <v>46126</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36579-2025</t>
        </is>
      </c>
      <c r="B686" s="1" t="n">
        <v>45870</v>
      </c>
      <c r="C686" s="1" t="n">
        <v>46126</v>
      </c>
      <c r="D686" t="inlineStr">
        <is>
          <t>ÖREBRO LÄN</t>
        </is>
      </c>
      <c r="E686" t="inlineStr">
        <is>
          <t>LINDESBERG</t>
        </is>
      </c>
      <c r="G686" t="n">
        <v>6</v>
      </c>
      <c r="H686" t="n">
        <v>0</v>
      </c>
      <c r="I686" t="n">
        <v>0</v>
      </c>
      <c r="J686" t="n">
        <v>0</v>
      </c>
      <c r="K686" t="n">
        <v>0</v>
      </c>
      <c r="L686" t="n">
        <v>0</v>
      </c>
      <c r="M686" t="n">
        <v>0</v>
      </c>
      <c r="N686" t="n">
        <v>0</v>
      </c>
      <c r="O686" t="n">
        <v>0</v>
      </c>
      <c r="P686" t="n">
        <v>0</v>
      </c>
      <c r="Q686" t="n">
        <v>0</v>
      </c>
      <c r="R686" s="2" t="inlineStr"/>
    </row>
    <row r="687" ht="15" customHeight="1">
      <c r="A687" t="inlineStr">
        <is>
          <t>A 15899-2025</t>
        </is>
      </c>
      <c r="B687" s="1" t="n">
        <v>45749.42258101852</v>
      </c>
      <c r="C687" s="1" t="n">
        <v>46126</v>
      </c>
      <c r="D687" t="inlineStr">
        <is>
          <t>ÖREBRO LÄN</t>
        </is>
      </c>
      <c r="E687" t="inlineStr">
        <is>
          <t>LINDESBERG</t>
        </is>
      </c>
      <c r="G687" t="n">
        <v>6.6</v>
      </c>
      <c r="H687" t="n">
        <v>0</v>
      </c>
      <c r="I687" t="n">
        <v>0</v>
      </c>
      <c r="J687" t="n">
        <v>0</v>
      </c>
      <c r="K687" t="n">
        <v>0</v>
      </c>
      <c r="L687" t="n">
        <v>0</v>
      </c>
      <c r="M687" t="n">
        <v>0</v>
      </c>
      <c r="N687" t="n">
        <v>0</v>
      </c>
      <c r="O687" t="n">
        <v>0</v>
      </c>
      <c r="P687" t="n">
        <v>0</v>
      </c>
      <c r="Q687" t="n">
        <v>0</v>
      </c>
      <c r="R687" s="2" t="inlineStr"/>
    </row>
    <row r="688" ht="15" customHeight="1">
      <c r="A688" t="inlineStr">
        <is>
          <t>A 50275-2024</t>
        </is>
      </c>
      <c r="B688" s="1" t="n">
        <v>45600.60071759259</v>
      </c>
      <c r="C688" s="1" t="n">
        <v>46126</v>
      </c>
      <c r="D688" t="inlineStr">
        <is>
          <t>ÖREBRO LÄN</t>
        </is>
      </c>
      <c r="E688" t="inlineStr">
        <is>
          <t>LINDESBERG</t>
        </is>
      </c>
      <c r="G688" t="n">
        <v>4.3</v>
      </c>
      <c r="H688" t="n">
        <v>0</v>
      </c>
      <c r="I688" t="n">
        <v>0</v>
      </c>
      <c r="J688" t="n">
        <v>0</v>
      </c>
      <c r="K688" t="n">
        <v>0</v>
      </c>
      <c r="L688" t="n">
        <v>0</v>
      </c>
      <c r="M688" t="n">
        <v>0</v>
      </c>
      <c r="N688" t="n">
        <v>0</v>
      </c>
      <c r="O688" t="n">
        <v>0</v>
      </c>
      <c r="P688" t="n">
        <v>0</v>
      </c>
      <c r="Q688" t="n">
        <v>0</v>
      </c>
      <c r="R688" s="2" t="inlineStr"/>
    </row>
    <row r="689" ht="15" customHeight="1">
      <c r="A689" t="inlineStr">
        <is>
          <t>A 7992-2025</t>
        </is>
      </c>
      <c r="B689" s="1" t="n">
        <v>45707</v>
      </c>
      <c r="C689" s="1" t="n">
        <v>46126</v>
      </c>
      <c r="D689" t="inlineStr">
        <is>
          <t>ÖREBRO LÄN</t>
        </is>
      </c>
      <c r="E689" t="inlineStr">
        <is>
          <t>LINDESBERG</t>
        </is>
      </c>
      <c r="G689" t="n">
        <v>4.8</v>
      </c>
      <c r="H689" t="n">
        <v>0</v>
      </c>
      <c r="I689" t="n">
        <v>0</v>
      </c>
      <c r="J689" t="n">
        <v>0</v>
      </c>
      <c r="K689" t="n">
        <v>0</v>
      </c>
      <c r="L689" t="n">
        <v>0</v>
      </c>
      <c r="M689" t="n">
        <v>0</v>
      </c>
      <c r="N689" t="n">
        <v>0</v>
      </c>
      <c r="O689" t="n">
        <v>0</v>
      </c>
      <c r="P689" t="n">
        <v>0</v>
      </c>
      <c r="Q689" t="n">
        <v>0</v>
      </c>
      <c r="R689" s="2" t="inlineStr"/>
    </row>
    <row r="690" ht="15" customHeight="1">
      <c r="A690" t="inlineStr">
        <is>
          <t>A 60806-2025</t>
        </is>
      </c>
      <c r="B690" s="1" t="n">
        <v>45999.43730324074</v>
      </c>
      <c r="C690" s="1" t="n">
        <v>46126</v>
      </c>
      <c r="D690" t="inlineStr">
        <is>
          <t>ÖREBRO LÄN</t>
        </is>
      </c>
      <c r="E690" t="inlineStr">
        <is>
          <t>LINDESBERG</t>
        </is>
      </c>
      <c r="G690" t="n">
        <v>7.9</v>
      </c>
      <c r="H690" t="n">
        <v>0</v>
      </c>
      <c r="I690" t="n">
        <v>0</v>
      </c>
      <c r="J690" t="n">
        <v>0</v>
      </c>
      <c r="K690" t="n">
        <v>0</v>
      </c>
      <c r="L690" t="n">
        <v>0</v>
      </c>
      <c r="M690" t="n">
        <v>0</v>
      </c>
      <c r="N690" t="n">
        <v>0</v>
      </c>
      <c r="O690" t="n">
        <v>0</v>
      </c>
      <c r="P690" t="n">
        <v>0</v>
      </c>
      <c r="Q690" t="n">
        <v>0</v>
      </c>
      <c r="R690" s="2" t="inlineStr"/>
    </row>
    <row r="691" ht="15" customHeight="1">
      <c r="A691" t="inlineStr">
        <is>
          <t>A 36859-2025</t>
        </is>
      </c>
      <c r="B691" s="1" t="n">
        <v>45874.40503472222</v>
      </c>
      <c r="C691" s="1" t="n">
        <v>46126</v>
      </c>
      <c r="D691" t="inlineStr">
        <is>
          <t>ÖREBRO LÄN</t>
        </is>
      </c>
      <c r="E691" t="inlineStr">
        <is>
          <t>LINDESBERG</t>
        </is>
      </c>
      <c r="F691" t="inlineStr">
        <is>
          <t>Övriga Aktiebolag</t>
        </is>
      </c>
      <c r="G691" t="n">
        <v>1.4</v>
      </c>
      <c r="H691" t="n">
        <v>0</v>
      </c>
      <c r="I691" t="n">
        <v>0</v>
      </c>
      <c r="J691" t="n">
        <v>0</v>
      </c>
      <c r="K691" t="n">
        <v>0</v>
      </c>
      <c r="L691" t="n">
        <v>0</v>
      </c>
      <c r="M691" t="n">
        <v>0</v>
      </c>
      <c r="N691" t="n">
        <v>0</v>
      </c>
      <c r="O691" t="n">
        <v>0</v>
      </c>
      <c r="P691" t="n">
        <v>0</v>
      </c>
      <c r="Q691" t="n">
        <v>0</v>
      </c>
      <c r="R691" s="2" t="inlineStr"/>
    </row>
    <row r="692" ht="15" customHeight="1">
      <c r="A692" t="inlineStr">
        <is>
          <t>A 3294-2024</t>
        </is>
      </c>
      <c r="B692" s="1" t="n">
        <v>45316</v>
      </c>
      <c r="C692" s="1" t="n">
        <v>46126</v>
      </c>
      <c r="D692" t="inlineStr">
        <is>
          <t>ÖREBRO LÄN</t>
        </is>
      </c>
      <c r="E692" t="inlineStr">
        <is>
          <t>LINDESBERG</t>
        </is>
      </c>
      <c r="G692" t="n">
        <v>3</v>
      </c>
      <c r="H692" t="n">
        <v>0</v>
      </c>
      <c r="I692" t="n">
        <v>0</v>
      </c>
      <c r="J692" t="n">
        <v>0</v>
      </c>
      <c r="K692" t="n">
        <v>0</v>
      </c>
      <c r="L692" t="n">
        <v>0</v>
      </c>
      <c r="M692" t="n">
        <v>0</v>
      </c>
      <c r="N692" t="n">
        <v>0</v>
      </c>
      <c r="O692" t="n">
        <v>0</v>
      </c>
      <c r="P692" t="n">
        <v>0</v>
      </c>
      <c r="Q692" t="n">
        <v>0</v>
      </c>
      <c r="R692" s="2" t="inlineStr"/>
    </row>
    <row r="693" ht="15" customHeight="1">
      <c r="A693" t="inlineStr">
        <is>
          <t>A 61761-2025</t>
        </is>
      </c>
      <c r="B693" s="1" t="n">
        <v>46002.62465277778</v>
      </c>
      <c r="C693" s="1" t="n">
        <v>46126</v>
      </c>
      <c r="D693" t="inlineStr">
        <is>
          <t>ÖREBRO LÄN</t>
        </is>
      </c>
      <c r="E693" t="inlineStr">
        <is>
          <t>LINDESBERG</t>
        </is>
      </c>
      <c r="G693" t="n">
        <v>3.8</v>
      </c>
      <c r="H693" t="n">
        <v>0</v>
      </c>
      <c r="I693" t="n">
        <v>0</v>
      </c>
      <c r="J693" t="n">
        <v>0</v>
      </c>
      <c r="K693" t="n">
        <v>0</v>
      </c>
      <c r="L693" t="n">
        <v>0</v>
      </c>
      <c r="M693" t="n">
        <v>0</v>
      </c>
      <c r="N693" t="n">
        <v>0</v>
      </c>
      <c r="O693" t="n">
        <v>0</v>
      </c>
      <c r="P693" t="n">
        <v>0</v>
      </c>
      <c r="Q693" t="n">
        <v>0</v>
      </c>
      <c r="R693" s="2" t="inlineStr"/>
    </row>
    <row r="694" ht="15" customHeight="1">
      <c r="A694" t="inlineStr">
        <is>
          <t>A 61745-2025</t>
        </is>
      </c>
      <c r="B694" s="1" t="n">
        <v>46002.60324074074</v>
      </c>
      <c r="C694" s="1" t="n">
        <v>46126</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41947-2023</t>
        </is>
      </c>
      <c r="B695" s="1" t="n">
        <v>45177.31795138889</v>
      </c>
      <c r="C695" s="1" t="n">
        <v>46126</v>
      </c>
      <c r="D695" t="inlineStr">
        <is>
          <t>ÖREBRO LÄN</t>
        </is>
      </c>
      <c r="E695" t="inlineStr">
        <is>
          <t>LINDESBERG</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16447-2025</t>
        </is>
      </c>
      <c r="B696" s="1" t="n">
        <v>45751.50498842593</v>
      </c>
      <c r="C696" s="1" t="n">
        <v>46126</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29975-2023</t>
        </is>
      </c>
      <c r="B697" s="1" t="n">
        <v>45108.7553587963</v>
      </c>
      <c r="C697" s="1" t="n">
        <v>46126</v>
      </c>
      <c r="D697" t="inlineStr">
        <is>
          <t>ÖREBRO LÄN</t>
        </is>
      </c>
      <c r="E697" t="inlineStr">
        <is>
          <t>LINDESBERG</t>
        </is>
      </c>
      <c r="G697" t="n">
        <v>6.4</v>
      </c>
      <c r="H697" t="n">
        <v>0</v>
      </c>
      <c r="I697" t="n">
        <v>0</v>
      </c>
      <c r="J697" t="n">
        <v>0</v>
      </c>
      <c r="K697" t="n">
        <v>0</v>
      </c>
      <c r="L697" t="n">
        <v>0</v>
      </c>
      <c r="M697" t="n">
        <v>0</v>
      </c>
      <c r="N697" t="n">
        <v>0</v>
      </c>
      <c r="O697" t="n">
        <v>0</v>
      </c>
      <c r="P697" t="n">
        <v>0</v>
      </c>
      <c r="Q697" t="n">
        <v>0</v>
      </c>
      <c r="R697" s="2" t="inlineStr"/>
    </row>
    <row r="698" ht="15" customHeight="1">
      <c r="A698" t="inlineStr">
        <is>
          <t>A 16448-2025</t>
        </is>
      </c>
      <c r="B698" s="1" t="n">
        <v>45751.5056712963</v>
      </c>
      <c r="C698" s="1" t="n">
        <v>46126</v>
      </c>
      <c r="D698" t="inlineStr">
        <is>
          <t>ÖREBRO LÄN</t>
        </is>
      </c>
      <c r="E698" t="inlineStr">
        <is>
          <t>LINDESBERG</t>
        </is>
      </c>
      <c r="G698" t="n">
        <v>20.1</v>
      </c>
      <c r="H698" t="n">
        <v>0</v>
      </c>
      <c r="I698" t="n">
        <v>0</v>
      </c>
      <c r="J698" t="n">
        <v>0</v>
      </c>
      <c r="K698" t="n">
        <v>0</v>
      </c>
      <c r="L698" t="n">
        <v>0</v>
      </c>
      <c r="M698" t="n">
        <v>0</v>
      </c>
      <c r="N698" t="n">
        <v>0</v>
      </c>
      <c r="O698" t="n">
        <v>0</v>
      </c>
      <c r="P698" t="n">
        <v>0</v>
      </c>
      <c r="Q698" t="n">
        <v>0</v>
      </c>
      <c r="R698" s="2" t="inlineStr"/>
    </row>
    <row r="699" ht="15" customHeight="1">
      <c r="A699" t="inlineStr">
        <is>
          <t>A 7126-2025</t>
        </is>
      </c>
      <c r="B699" s="1" t="n">
        <v>45702</v>
      </c>
      <c r="C699" s="1" t="n">
        <v>46126</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61758-2025</t>
        </is>
      </c>
      <c r="B700" s="1" t="n">
        <v>46002.61762731482</v>
      </c>
      <c r="C700" s="1" t="n">
        <v>46126</v>
      </c>
      <c r="D700" t="inlineStr">
        <is>
          <t>ÖREBRO LÄN</t>
        </is>
      </c>
      <c r="E700" t="inlineStr">
        <is>
          <t>LINDESBERG</t>
        </is>
      </c>
      <c r="G700" t="n">
        <v>1.8</v>
      </c>
      <c r="H700" t="n">
        <v>0</v>
      </c>
      <c r="I700" t="n">
        <v>0</v>
      </c>
      <c r="J700" t="n">
        <v>0</v>
      </c>
      <c r="K700" t="n">
        <v>0</v>
      </c>
      <c r="L700" t="n">
        <v>0</v>
      </c>
      <c r="M700" t="n">
        <v>0</v>
      </c>
      <c r="N700" t="n">
        <v>0</v>
      </c>
      <c r="O700" t="n">
        <v>0</v>
      </c>
      <c r="P700" t="n">
        <v>0</v>
      </c>
      <c r="Q700" t="n">
        <v>0</v>
      </c>
      <c r="R700" s="2" t="inlineStr"/>
    </row>
    <row r="701" ht="15" customHeight="1">
      <c r="A701" t="inlineStr">
        <is>
          <t>A 37301-2025</t>
        </is>
      </c>
      <c r="B701" s="1" t="n">
        <v>45876.59166666667</v>
      </c>
      <c r="C701" s="1" t="n">
        <v>46126</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37500-2025</t>
        </is>
      </c>
      <c r="B702" s="1" t="n">
        <v>45877.64776620371</v>
      </c>
      <c r="C702" s="1" t="n">
        <v>46126</v>
      </c>
      <c r="D702" t="inlineStr">
        <is>
          <t>ÖREBRO LÄN</t>
        </is>
      </c>
      <c r="E702" t="inlineStr">
        <is>
          <t>LINDESBERG</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37503-2025</t>
        </is>
      </c>
      <c r="B703" s="1" t="n">
        <v>45877.65075231482</v>
      </c>
      <c r="C703" s="1" t="n">
        <v>46126</v>
      </c>
      <c r="D703" t="inlineStr">
        <is>
          <t>ÖREBRO LÄN</t>
        </is>
      </c>
      <c r="E703" t="inlineStr">
        <is>
          <t>LINDESBERG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37501-2025</t>
        </is>
      </c>
      <c r="B704" s="1" t="n">
        <v>45877.64847222222</v>
      </c>
      <c r="C704" s="1" t="n">
        <v>46126</v>
      </c>
      <c r="D704" t="inlineStr">
        <is>
          <t>ÖREBRO LÄN</t>
        </is>
      </c>
      <c r="E704" t="inlineStr">
        <is>
          <t>LINDESBERG</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37552-2025</t>
        </is>
      </c>
      <c r="B705" s="1" t="n">
        <v>45880.28673611111</v>
      </c>
      <c r="C705" s="1" t="n">
        <v>46126</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62246-2025</t>
        </is>
      </c>
      <c r="B706" s="1" t="n">
        <v>46006.60633101852</v>
      </c>
      <c r="C706" s="1" t="n">
        <v>46126</v>
      </c>
      <c r="D706" t="inlineStr">
        <is>
          <t>ÖREBRO LÄN</t>
        </is>
      </c>
      <c r="E706" t="inlineStr">
        <is>
          <t>LINDESBERG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37491-2025</t>
        </is>
      </c>
      <c r="B707" s="1" t="n">
        <v>45877.64144675926</v>
      </c>
      <c r="C707" s="1" t="n">
        <v>46126</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37499-2025</t>
        </is>
      </c>
      <c r="B708" s="1" t="n">
        <v>45877.64605324074</v>
      </c>
      <c r="C708" s="1" t="n">
        <v>46126</v>
      </c>
      <c r="D708" t="inlineStr">
        <is>
          <t>ÖREBRO LÄN</t>
        </is>
      </c>
      <c r="E708" t="inlineStr">
        <is>
          <t>LINDESBERG</t>
        </is>
      </c>
      <c r="F708" t="inlineStr">
        <is>
          <t>Sveaskog</t>
        </is>
      </c>
      <c r="G708" t="n">
        <v>4</v>
      </c>
      <c r="H708" t="n">
        <v>0</v>
      </c>
      <c r="I708" t="n">
        <v>0</v>
      </c>
      <c r="J708" t="n">
        <v>0</v>
      </c>
      <c r="K708" t="n">
        <v>0</v>
      </c>
      <c r="L708" t="n">
        <v>0</v>
      </c>
      <c r="M708" t="n">
        <v>0</v>
      </c>
      <c r="N708" t="n">
        <v>0</v>
      </c>
      <c r="O708" t="n">
        <v>0</v>
      </c>
      <c r="P708" t="n">
        <v>0</v>
      </c>
      <c r="Q708" t="n">
        <v>0</v>
      </c>
      <c r="R708" s="2" t="inlineStr"/>
    </row>
    <row r="709" ht="15" customHeight="1">
      <c r="A709" t="inlineStr">
        <is>
          <t>A 37602-2025</t>
        </is>
      </c>
      <c r="B709" s="1" t="n">
        <v>45880</v>
      </c>
      <c r="C709" s="1" t="n">
        <v>46126</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37625-2025</t>
        </is>
      </c>
      <c r="B710" s="1" t="n">
        <v>45880.46056712963</v>
      </c>
      <c r="C710" s="1" t="n">
        <v>46126</v>
      </c>
      <c r="D710" t="inlineStr">
        <is>
          <t>ÖREBRO LÄN</t>
        </is>
      </c>
      <c r="E710" t="inlineStr">
        <is>
          <t>LINDESBERG</t>
        </is>
      </c>
      <c r="G710" t="n">
        <v>12.5</v>
      </c>
      <c r="H710" t="n">
        <v>0</v>
      </c>
      <c r="I710" t="n">
        <v>0</v>
      </c>
      <c r="J710" t="n">
        <v>0</v>
      </c>
      <c r="K710" t="n">
        <v>0</v>
      </c>
      <c r="L710" t="n">
        <v>0</v>
      </c>
      <c r="M710" t="n">
        <v>0</v>
      </c>
      <c r="N710" t="n">
        <v>0</v>
      </c>
      <c r="O710" t="n">
        <v>0</v>
      </c>
      <c r="P710" t="n">
        <v>0</v>
      </c>
      <c r="Q710" t="n">
        <v>0</v>
      </c>
      <c r="R710" s="2" t="inlineStr"/>
    </row>
    <row r="711" ht="15" customHeight="1">
      <c r="A711" t="inlineStr">
        <is>
          <t>A 37553-2025</t>
        </is>
      </c>
      <c r="B711" s="1" t="n">
        <v>45880.3172337963</v>
      </c>
      <c r="C711" s="1" t="n">
        <v>46126</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37497-2025</t>
        </is>
      </c>
      <c r="B712" s="1" t="n">
        <v>45877.64431712963</v>
      </c>
      <c r="C712" s="1" t="n">
        <v>46126</v>
      </c>
      <c r="D712" t="inlineStr">
        <is>
          <t>ÖREBRO LÄN</t>
        </is>
      </c>
      <c r="E712" t="inlineStr">
        <is>
          <t>LINDESBERG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37492-2025</t>
        </is>
      </c>
      <c r="B713" s="1" t="n">
        <v>45877.64230324074</v>
      </c>
      <c r="C713" s="1" t="n">
        <v>46126</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37490-2025</t>
        </is>
      </c>
      <c r="B714" s="1" t="n">
        <v>45877.63989583333</v>
      </c>
      <c r="C714" s="1" t="n">
        <v>46126</v>
      </c>
      <c r="D714" t="inlineStr">
        <is>
          <t>ÖREBRO LÄN</t>
        </is>
      </c>
      <c r="E714" t="inlineStr">
        <is>
          <t>LINDESBERG</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58050-2025</t>
        </is>
      </c>
      <c r="B715" s="1" t="n">
        <v>45982</v>
      </c>
      <c r="C715" s="1" t="n">
        <v>46126</v>
      </c>
      <c r="D715" t="inlineStr">
        <is>
          <t>ÖREBRO LÄN</t>
        </is>
      </c>
      <c r="E715" t="inlineStr">
        <is>
          <t>LINDESBERG</t>
        </is>
      </c>
      <c r="G715" t="n">
        <v>0.6</v>
      </c>
      <c r="H715" t="n">
        <v>0</v>
      </c>
      <c r="I715" t="n">
        <v>0</v>
      </c>
      <c r="J715" t="n">
        <v>0</v>
      </c>
      <c r="K715" t="n">
        <v>0</v>
      </c>
      <c r="L715" t="n">
        <v>0</v>
      </c>
      <c r="M715" t="n">
        <v>0</v>
      </c>
      <c r="N715" t="n">
        <v>0</v>
      </c>
      <c r="O715" t="n">
        <v>0</v>
      </c>
      <c r="P715" t="n">
        <v>0</v>
      </c>
      <c r="Q715" t="n">
        <v>0</v>
      </c>
      <c r="R715" s="2" t="inlineStr"/>
    </row>
    <row r="716" ht="15" customHeight="1">
      <c r="A716" t="inlineStr">
        <is>
          <t>A 62383-2025</t>
        </is>
      </c>
      <c r="B716" s="1" t="n">
        <v>46007.3708449074</v>
      </c>
      <c r="C716" s="1" t="n">
        <v>46126</v>
      </c>
      <c r="D716" t="inlineStr">
        <is>
          <t>ÖREBRO LÄN</t>
        </is>
      </c>
      <c r="E716" t="inlineStr">
        <is>
          <t>LINDESBERG</t>
        </is>
      </c>
      <c r="G716" t="n">
        <v>3.5</v>
      </c>
      <c r="H716" t="n">
        <v>0</v>
      </c>
      <c r="I716" t="n">
        <v>0</v>
      </c>
      <c r="J716" t="n">
        <v>0</v>
      </c>
      <c r="K716" t="n">
        <v>0</v>
      </c>
      <c r="L716" t="n">
        <v>0</v>
      </c>
      <c r="M716" t="n">
        <v>0</v>
      </c>
      <c r="N716" t="n">
        <v>0</v>
      </c>
      <c r="O716" t="n">
        <v>0</v>
      </c>
      <c r="P716" t="n">
        <v>0</v>
      </c>
      <c r="Q716" t="n">
        <v>0</v>
      </c>
      <c r="R716" s="2" t="inlineStr"/>
    </row>
    <row r="717" ht="15" customHeight="1">
      <c r="A717" t="inlineStr">
        <is>
          <t>A 62603-2025</t>
        </is>
      </c>
      <c r="B717" s="1" t="n">
        <v>46008.25765046296</v>
      </c>
      <c r="C717" s="1" t="n">
        <v>46126</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58056-2025</t>
        </is>
      </c>
      <c r="B718" s="1" t="n">
        <v>45982</v>
      </c>
      <c r="C718" s="1" t="n">
        <v>46126</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37935-2025</t>
        </is>
      </c>
      <c r="B719" s="1" t="n">
        <v>45881.59550925926</v>
      </c>
      <c r="C719" s="1" t="n">
        <v>46126</v>
      </c>
      <c r="D719" t="inlineStr">
        <is>
          <t>ÖREBRO LÄN</t>
        </is>
      </c>
      <c r="E719" t="inlineStr">
        <is>
          <t>LINDESBERG</t>
        </is>
      </c>
      <c r="G719" t="n">
        <v>5.1</v>
      </c>
      <c r="H719" t="n">
        <v>0</v>
      </c>
      <c r="I719" t="n">
        <v>0</v>
      </c>
      <c r="J719" t="n">
        <v>0</v>
      </c>
      <c r="K719" t="n">
        <v>0</v>
      </c>
      <c r="L719" t="n">
        <v>0</v>
      </c>
      <c r="M719" t="n">
        <v>0</v>
      </c>
      <c r="N719" t="n">
        <v>0</v>
      </c>
      <c r="O719" t="n">
        <v>0</v>
      </c>
      <c r="P719" t="n">
        <v>0</v>
      </c>
      <c r="Q719" t="n">
        <v>0</v>
      </c>
      <c r="R719" s="2" t="inlineStr"/>
    </row>
    <row r="720" ht="15" customHeight="1">
      <c r="A720" t="inlineStr">
        <is>
          <t>A 62604-2025</t>
        </is>
      </c>
      <c r="B720" s="1" t="n">
        <v>46008.26085648148</v>
      </c>
      <c r="C720" s="1" t="n">
        <v>46126</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37837-2025</t>
        </is>
      </c>
      <c r="B721" s="1" t="n">
        <v>45881.42791666667</v>
      </c>
      <c r="C721" s="1" t="n">
        <v>46126</v>
      </c>
      <c r="D721" t="inlineStr">
        <is>
          <t>ÖREBRO LÄN</t>
        </is>
      </c>
      <c r="E721" t="inlineStr">
        <is>
          <t>LINDESBERG</t>
        </is>
      </c>
      <c r="G721" t="n">
        <v>1.3</v>
      </c>
      <c r="H721" t="n">
        <v>0</v>
      </c>
      <c r="I721" t="n">
        <v>0</v>
      </c>
      <c r="J721" t="n">
        <v>0</v>
      </c>
      <c r="K721" t="n">
        <v>0</v>
      </c>
      <c r="L721" t="n">
        <v>0</v>
      </c>
      <c r="M721" t="n">
        <v>0</v>
      </c>
      <c r="N721" t="n">
        <v>0</v>
      </c>
      <c r="O721" t="n">
        <v>0</v>
      </c>
      <c r="P721" t="n">
        <v>0</v>
      </c>
      <c r="Q721" t="n">
        <v>0</v>
      </c>
      <c r="R721" s="2" t="inlineStr"/>
    </row>
    <row r="722" ht="15" customHeight="1">
      <c r="A722" t="inlineStr">
        <is>
          <t>A 40085-2023</t>
        </is>
      </c>
      <c r="B722" s="1" t="n">
        <v>45168.92155092592</v>
      </c>
      <c r="C722" s="1" t="n">
        <v>46126</v>
      </c>
      <c r="D722" t="inlineStr">
        <is>
          <t>ÖREBRO LÄN</t>
        </is>
      </c>
      <c r="E722" t="inlineStr">
        <is>
          <t>LINDESBERG</t>
        </is>
      </c>
      <c r="G722" t="n">
        <v>6.1</v>
      </c>
      <c r="H722" t="n">
        <v>0</v>
      </c>
      <c r="I722" t="n">
        <v>0</v>
      </c>
      <c r="J722" t="n">
        <v>0</v>
      </c>
      <c r="K722" t="n">
        <v>0</v>
      </c>
      <c r="L722" t="n">
        <v>0</v>
      </c>
      <c r="M722" t="n">
        <v>0</v>
      </c>
      <c r="N722" t="n">
        <v>0</v>
      </c>
      <c r="O722" t="n">
        <v>0</v>
      </c>
      <c r="P722" t="n">
        <v>0</v>
      </c>
      <c r="Q722" t="n">
        <v>0</v>
      </c>
      <c r="R722" s="2" t="inlineStr"/>
    </row>
    <row r="723" ht="15" customHeight="1">
      <c r="A723" t="inlineStr">
        <is>
          <t>A 63078-2025</t>
        </is>
      </c>
      <c r="B723" s="1" t="n">
        <v>46009</v>
      </c>
      <c r="C723" s="1" t="n">
        <v>46126</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28470-2023</t>
        </is>
      </c>
      <c r="B724" s="1" t="n">
        <v>45103</v>
      </c>
      <c r="C724" s="1" t="n">
        <v>46126</v>
      </c>
      <c r="D724" t="inlineStr">
        <is>
          <t>ÖREBRO LÄN</t>
        </is>
      </c>
      <c r="E724" t="inlineStr">
        <is>
          <t>LINDESBERG</t>
        </is>
      </c>
      <c r="G724" t="n">
        <v>6.7</v>
      </c>
      <c r="H724" t="n">
        <v>0</v>
      </c>
      <c r="I724" t="n">
        <v>0</v>
      </c>
      <c r="J724" t="n">
        <v>0</v>
      </c>
      <c r="K724" t="n">
        <v>0</v>
      </c>
      <c r="L724" t="n">
        <v>0</v>
      </c>
      <c r="M724" t="n">
        <v>0</v>
      </c>
      <c r="N724" t="n">
        <v>0</v>
      </c>
      <c r="O724" t="n">
        <v>0</v>
      </c>
      <c r="P724" t="n">
        <v>0</v>
      </c>
      <c r="Q724" t="n">
        <v>0</v>
      </c>
      <c r="R724" s="2" t="inlineStr"/>
    </row>
    <row r="725" ht="15" customHeight="1">
      <c r="A725" t="inlineStr">
        <is>
          <t>A 32002-2023</t>
        </is>
      </c>
      <c r="B725" s="1" t="n">
        <v>45119.46452546296</v>
      </c>
      <c r="C725" s="1" t="n">
        <v>46126</v>
      </c>
      <c r="D725" t="inlineStr">
        <is>
          <t>ÖREBRO LÄN</t>
        </is>
      </c>
      <c r="E725" t="inlineStr">
        <is>
          <t>LINDESBERG</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63083-2025</t>
        </is>
      </c>
      <c r="B726" s="1" t="n">
        <v>46009.67175925926</v>
      </c>
      <c r="C726" s="1" t="n">
        <v>46126</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61736-2025</t>
        </is>
      </c>
      <c r="B727" s="1" t="n">
        <v>46002</v>
      </c>
      <c r="C727" s="1" t="n">
        <v>46126</v>
      </c>
      <c r="D727" t="inlineStr">
        <is>
          <t>ÖREBRO LÄN</t>
        </is>
      </c>
      <c r="E727" t="inlineStr">
        <is>
          <t>LINDESBERG</t>
        </is>
      </c>
      <c r="G727" t="n">
        <v>4.5</v>
      </c>
      <c r="H727" t="n">
        <v>0</v>
      </c>
      <c r="I727" t="n">
        <v>0</v>
      </c>
      <c r="J727" t="n">
        <v>0</v>
      </c>
      <c r="K727" t="n">
        <v>0</v>
      </c>
      <c r="L727" t="n">
        <v>0</v>
      </c>
      <c r="M727" t="n">
        <v>0</v>
      </c>
      <c r="N727" t="n">
        <v>0</v>
      </c>
      <c r="O727" t="n">
        <v>0</v>
      </c>
      <c r="P727" t="n">
        <v>0</v>
      </c>
      <c r="Q727" t="n">
        <v>0</v>
      </c>
      <c r="R727" s="2" t="inlineStr"/>
    </row>
    <row r="728" ht="15" customHeight="1">
      <c r="A728" t="inlineStr">
        <is>
          <t>A 61739-2025</t>
        </is>
      </c>
      <c r="B728" s="1" t="n">
        <v>46002</v>
      </c>
      <c r="C728" s="1" t="n">
        <v>46126</v>
      </c>
      <c r="D728" t="inlineStr">
        <is>
          <t>ÖREBRO LÄN</t>
        </is>
      </c>
      <c r="E728" t="inlineStr">
        <is>
          <t>LINDESBERG</t>
        </is>
      </c>
      <c r="G728" t="n">
        <v>5.3</v>
      </c>
      <c r="H728" t="n">
        <v>0</v>
      </c>
      <c r="I728" t="n">
        <v>0</v>
      </c>
      <c r="J728" t="n">
        <v>0</v>
      </c>
      <c r="K728" t="n">
        <v>0</v>
      </c>
      <c r="L728" t="n">
        <v>0</v>
      </c>
      <c r="M728" t="n">
        <v>0</v>
      </c>
      <c r="N728" t="n">
        <v>0</v>
      </c>
      <c r="O728" t="n">
        <v>0</v>
      </c>
      <c r="P728" t="n">
        <v>0</v>
      </c>
      <c r="Q728" t="n">
        <v>0</v>
      </c>
      <c r="R728" s="2" t="inlineStr"/>
    </row>
    <row r="729" ht="15" customHeight="1">
      <c r="A729" t="inlineStr">
        <is>
          <t>A 29849-2023</t>
        </is>
      </c>
      <c r="B729" s="1" t="n">
        <v>45107</v>
      </c>
      <c r="C729" s="1" t="n">
        <v>46126</v>
      </c>
      <c r="D729" t="inlineStr">
        <is>
          <t>ÖREBRO LÄN</t>
        </is>
      </c>
      <c r="E729" t="inlineStr">
        <is>
          <t>LINDESBERG</t>
        </is>
      </c>
      <c r="G729" t="n">
        <v>2.1</v>
      </c>
      <c r="H729" t="n">
        <v>0</v>
      </c>
      <c r="I729" t="n">
        <v>0</v>
      </c>
      <c r="J729" t="n">
        <v>0</v>
      </c>
      <c r="K729" t="n">
        <v>0</v>
      </c>
      <c r="L729" t="n">
        <v>0</v>
      </c>
      <c r="M729" t="n">
        <v>0</v>
      </c>
      <c r="N729" t="n">
        <v>0</v>
      </c>
      <c r="O729" t="n">
        <v>0</v>
      </c>
      <c r="P729" t="n">
        <v>0</v>
      </c>
      <c r="Q729" t="n">
        <v>0</v>
      </c>
      <c r="R729" s="2" t="inlineStr"/>
    </row>
    <row r="730" ht="15" customHeight="1">
      <c r="A730" t="inlineStr">
        <is>
          <t>A 63526-2025</t>
        </is>
      </c>
      <c r="B730" s="1" t="n">
        <v>46013</v>
      </c>
      <c r="C730" s="1" t="n">
        <v>46126</v>
      </c>
      <c r="D730" t="inlineStr">
        <is>
          <t>ÖREBRO LÄN</t>
        </is>
      </c>
      <c r="E730" t="inlineStr">
        <is>
          <t>LINDESBERG</t>
        </is>
      </c>
      <c r="G730" t="n">
        <v>1.7</v>
      </c>
      <c r="H730" t="n">
        <v>0</v>
      </c>
      <c r="I730" t="n">
        <v>0</v>
      </c>
      <c r="J730" t="n">
        <v>0</v>
      </c>
      <c r="K730" t="n">
        <v>0</v>
      </c>
      <c r="L730" t="n">
        <v>0</v>
      </c>
      <c r="M730" t="n">
        <v>0</v>
      </c>
      <c r="N730" t="n">
        <v>0</v>
      </c>
      <c r="O730" t="n">
        <v>0</v>
      </c>
      <c r="P730" t="n">
        <v>0</v>
      </c>
      <c r="Q730" t="n">
        <v>0</v>
      </c>
      <c r="R730" s="2" t="inlineStr"/>
    </row>
    <row r="731" ht="15" customHeight="1">
      <c r="A731" t="inlineStr">
        <is>
          <t>A 5784-2025</t>
        </is>
      </c>
      <c r="B731" s="1" t="n">
        <v>45694</v>
      </c>
      <c r="C731" s="1" t="n">
        <v>46126</v>
      </c>
      <c r="D731" t="inlineStr">
        <is>
          <t>ÖREBRO LÄN</t>
        </is>
      </c>
      <c r="E731" t="inlineStr">
        <is>
          <t>LINDESBERG</t>
        </is>
      </c>
      <c r="F731" t="inlineStr">
        <is>
          <t>Allmännings- och besparingsskogar</t>
        </is>
      </c>
      <c r="G731" t="n">
        <v>1.6</v>
      </c>
      <c r="H731" t="n">
        <v>0</v>
      </c>
      <c r="I731" t="n">
        <v>0</v>
      </c>
      <c r="J731" t="n">
        <v>0</v>
      </c>
      <c r="K731" t="n">
        <v>0</v>
      </c>
      <c r="L731" t="n">
        <v>0</v>
      </c>
      <c r="M731" t="n">
        <v>0</v>
      </c>
      <c r="N731" t="n">
        <v>0</v>
      </c>
      <c r="O731" t="n">
        <v>0</v>
      </c>
      <c r="P731" t="n">
        <v>0</v>
      </c>
      <c r="Q731" t="n">
        <v>0</v>
      </c>
      <c r="R731" s="2" t="inlineStr"/>
    </row>
    <row r="732" ht="15" customHeight="1">
      <c r="A732" t="inlineStr">
        <is>
          <t>A 69208-2021</t>
        </is>
      </c>
      <c r="B732" s="1" t="n">
        <v>44531.3575</v>
      </c>
      <c r="C732" s="1" t="n">
        <v>46126</v>
      </c>
      <c r="D732" t="inlineStr">
        <is>
          <t>ÖREBRO LÄN</t>
        </is>
      </c>
      <c r="E732" t="inlineStr">
        <is>
          <t>LINDESBERG</t>
        </is>
      </c>
      <c r="G732" t="n">
        <v>2</v>
      </c>
      <c r="H732" t="n">
        <v>0</v>
      </c>
      <c r="I732" t="n">
        <v>0</v>
      </c>
      <c r="J732" t="n">
        <v>0</v>
      </c>
      <c r="K732" t="n">
        <v>0</v>
      </c>
      <c r="L732" t="n">
        <v>0</v>
      </c>
      <c r="M732" t="n">
        <v>0</v>
      </c>
      <c r="N732" t="n">
        <v>0</v>
      </c>
      <c r="O732" t="n">
        <v>0</v>
      </c>
      <c r="P732" t="n">
        <v>0</v>
      </c>
      <c r="Q732" t="n">
        <v>0</v>
      </c>
      <c r="R732" s="2" t="inlineStr"/>
    </row>
    <row r="733" ht="15" customHeight="1">
      <c r="A733" t="inlineStr">
        <is>
          <t>A 45038-2024</t>
        </is>
      </c>
      <c r="B733" s="1" t="n">
        <v>45575.53331018519</v>
      </c>
      <c r="C733" s="1" t="n">
        <v>46126</v>
      </c>
      <c r="D733" t="inlineStr">
        <is>
          <t>ÖREBRO LÄN</t>
        </is>
      </c>
      <c r="E733" t="inlineStr">
        <is>
          <t>LINDESBERG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45046-2024</t>
        </is>
      </c>
      <c r="B734" s="1" t="n">
        <v>45575.54489583334</v>
      </c>
      <c r="C734" s="1" t="n">
        <v>46126</v>
      </c>
      <c r="D734" t="inlineStr">
        <is>
          <t>ÖREBRO LÄN</t>
        </is>
      </c>
      <c r="E734" t="inlineStr">
        <is>
          <t>LINDESBERG</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38552-2023</t>
        </is>
      </c>
      <c r="B735" s="1" t="n">
        <v>45162.5978125</v>
      </c>
      <c r="C735" s="1" t="n">
        <v>46126</v>
      </c>
      <c r="D735" t="inlineStr">
        <is>
          <t>ÖREBRO LÄN</t>
        </is>
      </c>
      <c r="E735" t="inlineStr">
        <is>
          <t>LINDESBERG</t>
        </is>
      </c>
      <c r="G735" t="n">
        <v>10.4</v>
      </c>
      <c r="H735" t="n">
        <v>0</v>
      </c>
      <c r="I735" t="n">
        <v>0</v>
      </c>
      <c r="J735" t="n">
        <v>0</v>
      </c>
      <c r="K735" t="n">
        <v>0</v>
      </c>
      <c r="L735" t="n">
        <v>0</v>
      </c>
      <c r="M735" t="n">
        <v>0</v>
      </c>
      <c r="N735" t="n">
        <v>0</v>
      </c>
      <c r="O735" t="n">
        <v>0</v>
      </c>
      <c r="P735" t="n">
        <v>0</v>
      </c>
      <c r="Q735" t="n">
        <v>0</v>
      </c>
      <c r="R735" s="2" t="inlineStr"/>
    </row>
    <row r="736" ht="15" customHeight="1">
      <c r="A736" t="inlineStr">
        <is>
          <t>A 64084-2023</t>
        </is>
      </c>
      <c r="B736" s="1" t="n">
        <v>45279</v>
      </c>
      <c r="C736" s="1" t="n">
        <v>46126</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33424-2024</t>
        </is>
      </c>
      <c r="B737" s="1" t="n">
        <v>45519.51627314815</v>
      </c>
      <c r="C737" s="1" t="n">
        <v>46126</v>
      </c>
      <c r="D737" t="inlineStr">
        <is>
          <t>ÖREBRO LÄN</t>
        </is>
      </c>
      <c r="E737" t="inlineStr">
        <is>
          <t>LINDESBERG</t>
        </is>
      </c>
      <c r="F737" t="inlineStr">
        <is>
          <t>Sveaskog</t>
        </is>
      </c>
      <c r="G737" t="n">
        <v>0.1</v>
      </c>
      <c r="H737" t="n">
        <v>0</v>
      </c>
      <c r="I737" t="n">
        <v>0</v>
      </c>
      <c r="J737" t="n">
        <v>0</v>
      </c>
      <c r="K737" t="n">
        <v>0</v>
      </c>
      <c r="L737" t="n">
        <v>0</v>
      </c>
      <c r="M737" t="n">
        <v>0</v>
      </c>
      <c r="N737" t="n">
        <v>0</v>
      </c>
      <c r="O737" t="n">
        <v>0</v>
      </c>
      <c r="P737" t="n">
        <v>0</v>
      </c>
      <c r="Q737" t="n">
        <v>0</v>
      </c>
      <c r="R737" s="2" t="inlineStr"/>
    </row>
    <row r="738" ht="15" customHeight="1">
      <c r="A738" t="inlineStr">
        <is>
          <t>A 33427-2024</t>
        </is>
      </c>
      <c r="B738" s="1" t="n">
        <v>45519.52232638889</v>
      </c>
      <c r="C738" s="1" t="n">
        <v>46126</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36509-2024</t>
        </is>
      </c>
      <c r="B739" s="1" t="n">
        <v>45537.42240740741</v>
      </c>
      <c r="C739" s="1" t="n">
        <v>46126</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29894-2023</t>
        </is>
      </c>
      <c r="B740" s="1" t="n">
        <v>45107</v>
      </c>
      <c r="C740" s="1" t="n">
        <v>46126</v>
      </c>
      <c r="D740" t="inlineStr">
        <is>
          <t>ÖREBRO LÄN</t>
        </is>
      </c>
      <c r="E740" t="inlineStr">
        <is>
          <t>LINDESBERG</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610-2026</t>
        </is>
      </c>
      <c r="B741" s="1" t="n">
        <v>46029</v>
      </c>
      <c r="C741" s="1" t="n">
        <v>46126</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911-2026</t>
        </is>
      </c>
      <c r="B742" s="1" t="n">
        <v>46030.47725694445</v>
      </c>
      <c r="C742" s="1" t="n">
        <v>46126</v>
      </c>
      <c r="D742" t="inlineStr">
        <is>
          <t>ÖREBRO LÄN</t>
        </is>
      </c>
      <c r="E742" t="inlineStr">
        <is>
          <t>LINDESBERG</t>
        </is>
      </c>
      <c r="G742" t="n">
        <v>1.6</v>
      </c>
      <c r="H742" t="n">
        <v>0</v>
      </c>
      <c r="I742" t="n">
        <v>0</v>
      </c>
      <c r="J742" t="n">
        <v>0</v>
      </c>
      <c r="K742" t="n">
        <v>0</v>
      </c>
      <c r="L742" t="n">
        <v>0</v>
      </c>
      <c r="M742" t="n">
        <v>0</v>
      </c>
      <c r="N742" t="n">
        <v>0</v>
      </c>
      <c r="O742" t="n">
        <v>0</v>
      </c>
      <c r="P742" t="n">
        <v>0</v>
      </c>
      <c r="Q742" t="n">
        <v>0</v>
      </c>
      <c r="R742" s="2" t="inlineStr"/>
    </row>
    <row r="743" ht="15" customHeight="1">
      <c r="A743" t="inlineStr">
        <is>
          <t>A 11559-2024</t>
        </is>
      </c>
      <c r="B743" s="1" t="n">
        <v>45373.30434027778</v>
      </c>
      <c r="C743" s="1" t="n">
        <v>46126</v>
      </c>
      <c r="D743" t="inlineStr">
        <is>
          <t>ÖREBRO LÄN</t>
        </is>
      </c>
      <c r="E743" t="inlineStr">
        <is>
          <t>LINDESBERG</t>
        </is>
      </c>
      <c r="F743" t="inlineStr">
        <is>
          <t>BillerudKorsnäs AB</t>
        </is>
      </c>
      <c r="G743" t="n">
        <v>1.9</v>
      </c>
      <c r="H743" t="n">
        <v>0</v>
      </c>
      <c r="I743" t="n">
        <v>0</v>
      </c>
      <c r="J743" t="n">
        <v>0</v>
      </c>
      <c r="K743" t="n">
        <v>0</v>
      </c>
      <c r="L743" t="n">
        <v>0</v>
      </c>
      <c r="M743" t="n">
        <v>0</v>
      </c>
      <c r="N743" t="n">
        <v>0</v>
      </c>
      <c r="O743" t="n">
        <v>0</v>
      </c>
      <c r="P743" t="n">
        <v>0</v>
      </c>
      <c r="Q743" t="n">
        <v>0</v>
      </c>
      <c r="R743" s="2" t="inlineStr"/>
    </row>
    <row r="744" ht="15" customHeight="1">
      <c r="A744" t="inlineStr">
        <is>
          <t>A 878-2026</t>
        </is>
      </c>
      <c r="B744" s="1" t="n">
        <v>46030.44277777777</v>
      </c>
      <c r="C744" s="1" t="n">
        <v>46126</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13472-2023</t>
        </is>
      </c>
      <c r="B745" s="1" t="n">
        <v>45005</v>
      </c>
      <c r="C745" s="1" t="n">
        <v>46126</v>
      </c>
      <c r="D745" t="inlineStr">
        <is>
          <t>ÖREBRO LÄN</t>
        </is>
      </c>
      <c r="E745" t="inlineStr">
        <is>
          <t>LINDESBERG</t>
        </is>
      </c>
      <c r="G745" t="n">
        <v>2.5</v>
      </c>
      <c r="H745" t="n">
        <v>0</v>
      </c>
      <c r="I745" t="n">
        <v>0</v>
      </c>
      <c r="J745" t="n">
        <v>0</v>
      </c>
      <c r="K745" t="n">
        <v>0</v>
      </c>
      <c r="L745" t="n">
        <v>0</v>
      </c>
      <c r="M745" t="n">
        <v>0</v>
      </c>
      <c r="N745" t="n">
        <v>0</v>
      </c>
      <c r="O745" t="n">
        <v>0</v>
      </c>
      <c r="P745" t="n">
        <v>0</v>
      </c>
      <c r="Q745" t="n">
        <v>0</v>
      </c>
      <c r="R745" s="2" t="inlineStr"/>
    </row>
    <row r="746" ht="15" customHeight="1">
      <c r="A746" t="inlineStr">
        <is>
          <t>A 52284-2024</t>
        </is>
      </c>
      <c r="B746" s="1" t="n">
        <v>45608</v>
      </c>
      <c r="C746" s="1" t="n">
        <v>46126</v>
      </c>
      <c r="D746" t="inlineStr">
        <is>
          <t>ÖREBRO LÄN</t>
        </is>
      </c>
      <c r="E746" t="inlineStr">
        <is>
          <t>LINDESBERG</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38613-2024</t>
        </is>
      </c>
      <c r="B747" s="1" t="n">
        <v>45546.68743055555</v>
      </c>
      <c r="C747" s="1" t="n">
        <v>46126</v>
      </c>
      <c r="D747" t="inlineStr">
        <is>
          <t>ÖREBRO LÄN</t>
        </is>
      </c>
      <c r="E747" t="inlineStr">
        <is>
          <t>LINDESBERG</t>
        </is>
      </c>
      <c r="F747" t="inlineStr">
        <is>
          <t>Kyrkan</t>
        </is>
      </c>
      <c r="G747" t="n">
        <v>1.6</v>
      </c>
      <c r="H747" t="n">
        <v>0</v>
      </c>
      <c r="I747" t="n">
        <v>0</v>
      </c>
      <c r="J747" t="n">
        <v>0</v>
      </c>
      <c r="K747" t="n">
        <v>0</v>
      </c>
      <c r="L747" t="n">
        <v>0</v>
      </c>
      <c r="M747" t="n">
        <v>0</v>
      </c>
      <c r="N747" t="n">
        <v>0</v>
      </c>
      <c r="O747" t="n">
        <v>0</v>
      </c>
      <c r="P747" t="n">
        <v>0</v>
      </c>
      <c r="Q747" t="n">
        <v>0</v>
      </c>
      <c r="R747" s="2" t="inlineStr"/>
    </row>
    <row r="748" ht="15" customHeight="1">
      <c r="A748" t="inlineStr">
        <is>
          <t>A 1160-2026</t>
        </is>
      </c>
      <c r="B748" s="1" t="n">
        <v>46031</v>
      </c>
      <c r="C748" s="1" t="n">
        <v>46126</v>
      </c>
      <c r="D748" t="inlineStr">
        <is>
          <t>ÖREBRO LÄN</t>
        </is>
      </c>
      <c r="E748" t="inlineStr">
        <is>
          <t>LINDESBERG</t>
        </is>
      </c>
      <c r="G748" t="n">
        <v>12.2</v>
      </c>
      <c r="H748" t="n">
        <v>0</v>
      </c>
      <c r="I748" t="n">
        <v>0</v>
      </c>
      <c r="J748" t="n">
        <v>0</v>
      </c>
      <c r="K748" t="n">
        <v>0</v>
      </c>
      <c r="L748" t="n">
        <v>0</v>
      </c>
      <c r="M748" t="n">
        <v>0</v>
      </c>
      <c r="N748" t="n">
        <v>0</v>
      </c>
      <c r="O748" t="n">
        <v>0</v>
      </c>
      <c r="P748" t="n">
        <v>0</v>
      </c>
      <c r="Q748" t="n">
        <v>0</v>
      </c>
      <c r="R748" s="2" t="inlineStr"/>
    </row>
    <row r="749" ht="15" customHeight="1">
      <c r="A749" t="inlineStr">
        <is>
          <t>A 1749-2026</t>
        </is>
      </c>
      <c r="B749" s="1" t="n">
        <v>46034.65601851852</v>
      </c>
      <c r="C749" s="1" t="n">
        <v>46126</v>
      </c>
      <c r="D749" t="inlineStr">
        <is>
          <t>ÖREBRO LÄN</t>
        </is>
      </c>
      <c r="E749" t="inlineStr">
        <is>
          <t>LINDESBERG</t>
        </is>
      </c>
      <c r="G749" t="n">
        <v>2.2</v>
      </c>
      <c r="H749" t="n">
        <v>0</v>
      </c>
      <c r="I749" t="n">
        <v>0</v>
      </c>
      <c r="J749" t="n">
        <v>0</v>
      </c>
      <c r="K749" t="n">
        <v>0</v>
      </c>
      <c r="L749" t="n">
        <v>0</v>
      </c>
      <c r="M749" t="n">
        <v>0</v>
      </c>
      <c r="N749" t="n">
        <v>0</v>
      </c>
      <c r="O749" t="n">
        <v>0</v>
      </c>
      <c r="P749" t="n">
        <v>0</v>
      </c>
      <c r="Q749" t="n">
        <v>0</v>
      </c>
      <c r="R749" s="2" t="inlineStr"/>
    </row>
    <row r="750" ht="15" customHeight="1">
      <c r="A750" t="inlineStr">
        <is>
          <t>A 73500-2021</t>
        </is>
      </c>
      <c r="B750" s="1" t="n">
        <v>44551</v>
      </c>
      <c r="C750" s="1" t="n">
        <v>46126</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56507-2021</t>
        </is>
      </c>
      <c r="B751" s="1" t="n">
        <v>44480.58034722223</v>
      </c>
      <c r="C751" s="1" t="n">
        <v>46126</v>
      </c>
      <c r="D751" t="inlineStr">
        <is>
          <t>ÖREBRO LÄN</t>
        </is>
      </c>
      <c r="E751" t="inlineStr">
        <is>
          <t>LINDESBERG</t>
        </is>
      </c>
      <c r="G751" t="n">
        <v>2.3</v>
      </c>
      <c r="H751" t="n">
        <v>0</v>
      </c>
      <c r="I751" t="n">
        <v>0</v>
      </c>
      <c r="J751" t="n">
        <v>0</v>
      </c>
      <c r="K751" t="n">
        <v>0</v>
      </c>
      <c r="L751" t="n">
        <v>0</v>
      </c>
      <c r="M751" t="n">
        <v>0</v>
      </c>
      <c r="N751" t="n">
        <v>0</v>
      </c>
      <c r="O751" t="n">
        <v>0</v>
      </c>
      <c r="P751" t="n">
        <v>0</v>
      </c>
      <c r="Q751" t="n">
        <v>0</v>
      </c>
      <c r="R751" s="2" t="inlineStr"/>
    </row>
    <row r="752" ht="15" customHeight="1">
      <c r="A752" t="inlineStr">
        <is>
          <t>A 65194-2023</t>
        </is>
      </c>
      <c r="B752" s="1" t="n">
        <v>45289</v>
      </c>
      <c r="C752" s="1" t="n">
        <v>46126</v>
      </c>
      <c r="D752" t="inlineStr">
        <is>
          <t>ÖREBRO LÄN</t>
        </is>
      </c>
      <c r="E752" t="inlineStr">
        <is>
          <t>LINDESBERG</t>
        </is>
      </c>
      <c r="G752" t="n">
        <v>1</v>
      </c>
      <c r="H752" t="n">
        <v>0</v>
      </c>
      <c r="I752" t="n">
        <v>0</v>
      </c>
      <c r="J752" t="n">
        <v>0</v>
      </c>
      <c r="K752" t="n">
        <v>0</v>
      </c>
      <c r="L752" t="n">
        <v>0</v>
      </c>
      <c r="M752" t="n">
        <v>0</v>
      </c>
      <c r="N752" t="n">
        <v>0</v>
      </c>
      <c r="O752" t="n">
        <v>0</v>
      </c>
      <c r="P752" t="n">
        <v>0</v>
      </c>
      <c r="Q752" t="n">
        <v>0</v>
      </c>
      <c r="R752" s="2" t="inlineStr"/>
    </row>
    <row r="753" ht="15" customHeight="1">
      <c r="A753" t="inlineStr">
        <is>
          <t>A 9436-2023</t>
        </is>
      </c>
      <c r="B753" s="1" t="n">
        <v>44981</v>
      </c>
      <c r="C753" s="1" t="n">
        <v>46126</v>
      </c>
      <c r="D753" t="inlineStr">
        <is>
          <t>ÖREBRO LÄN</t>
        </is>
      </c>
      <c r="E753" t="inlineStr">
        <is>
          <t>LINDESBERG</t>
        </is>
      </c>
      <c r="G753" t="n">
        <v>2.8</v>
      </c>
      <c r="H753" t="n">
        <v>0</v>
      </c>
      <c r="I753" t="n">
        <v>0</v>
      </c>
      <c r="J753" t="n">
        <v>0</v>
      </c>
      <c r="K753" t="n">
        <v>0</v>
      </c>
      <c r="L753" t="n">
        <v>0</v>
      </c>
      <c r="M753" t="n">
        <v>0</v>
      </c>
      <c r="N753" t="n">
        <v>0</v>
      </c>
      <c r="O753" t="n">
        <v>0</v>
      </c>
      <c r="P753" t="n">
        <v>0</v>
      </c>
      <c r="Q753" t="n">
        <v>0</v>
      </c>
      <c r="R753" s="2" t="inlineStr"/>
    </row>
    <row r="754" ht="15" customHeight="1">
      <c r="A754" t="inlineStr">
        <is>
          <t>A 36121-2023</t>
        </is>
      </c>
      <c r="B754" s="1" t="n">
        <v>45148</v>
      </c>
      <c r="C754" s="1" t="n">
        <v>46126</v>
      </c>
      <c r="D754" t="inlineStr">
        <is>
          <t>ÖREBRO LÄN</t>
        </is>
      </c>
      <c r="E754" t="inlineStr">
        <is>
          <t>LINDESBERG</t>
        </is>
      </c>
      <c r="G754" t="n">
        <v>7.1</v>
      </c>
      <c r="H754" t="n">
        <v>0</v>
      </c>
      <c r="I754" t="n">
        <v>0</v>
      </c>
      <c r="J754" t="n">
        <v>0</v>
      </c>
      <c r="K754" t="n">
        <v>0</v>
      </c>
      <c r="L754" t="n">
        <v>0</v>
      </c>
      <c r="M754" t="n">
        <v>0</v>
      </c>
      <c r="N754" t="n">
        <v>0</v>
      </c>
      <c r="O754" t="n">
        <v>0</v>
      </c>
      <c r="P754" t="n">
        <v>0</v>
      </c>
      <c r="Q754" t="n">
        <v>0</v>
      </c>
      <c r="R754" s="2" t="inlineStr"/>
    </row>
    <row r="755" ht="15" customHeight="1">
      <c r="A755" t="inlineStr">
        <is>
          <t>A 34838-2023</t>
        </is>
      </c>
      <c r="B755" s="1" t="n">
        <v>45141.76530092592</v>
      </c>
      <c r="C755" s="1" t="n">
        <v>46126</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2556-2026</t>
        </is>
      </c>
      <c r="B756" s="1" t="n">
        <v>46035</v>
      </c>
      <c r="C756" s="1" t="n">
        <v>46126</v>
      </c>
      <c r="D756" t="inlineStr">
        <is>
          <t>ÖREBRO LÄN</t>
        </is>
      </c>
      <c r="E756" t="inlineStr">
        <is>
          <t>LINDESBERG</t>
        </is>
      </c>
      <c r="G756" t="n">
        <v>3.4</v>
      </c>
      <c r="H756" t="n">
        <v>0</v>
      </c>
      <c r="I756" t="n">
        <v>0</v>
      </c>
      <c r="J756" t="n">
        <v>0</v>
      </c>
      <c r="K756" t="n">
        <v>0</v>
      </c>
      <c r="L756" t="n">
        <v>0</v>
      </c>
      <c r="M756" t="n">
        <v>0</v>
      </c>
      <c r="N756" t="n">
        <v>0</v>
      </c>
      <c r="O756" t="n">
        <v>0</v>
      </c>
      <c r="P756" t="n">
        <v>0</v>
      </c>
      <c r="Q756" t="n">
        <v>0</v>
      </c>
      <c r="R756" s="2" t="inlineStr"/>
    </row>
    <row r="757" ht="15" customHeight="1">
      <c r="A757" t="inlineStr">
        <is>
          <t>A 31024-2023</t>
        </is>
      </c>
      <c r="B757" s="1" t="n">
        <v>45113</v>
      </c>
      <c r="C757" s="1" t="n">
        <v>46126</v>
      </c>
      <c r="D757" t="inlineStr">
        <is>
          <t>ÖREBRO LÄN</t>
        </is>
      </c>
      <c r="E757" t="inlineStr">
        <is>
          <t>LINDESBERG</t>
        </is>
      </c>
      <c r="G757" t="n">
        <v>5.1</v>
      </c>
      <c r="H757" t="n">
        <v>0</v>
      </c>
      <c r="I757" t="n">
        <v>0</v>
      </c>
      <c r="J757" t="n">
        <v>0</v>
      </c>
      <c r="K757" t="n">
        <v>0</v>
      </c>
      <c r="L757" t="n">
        <v>0</v>
      </c>
      <c r="M757" t="n">
        <v>0</v>
      </c>
      <c r="N757" t="n">
        <v>0</v>
      </c>
      <c r="O757" t="n">
        <v>0</v>
      </c>
      <c r="P757" t="n">
        <v>0</v>
      </c>
      <c r="Q757" t="n">
        <v>0</v>
      </c>
      <c r="R757" s="2" t="inlineStr"/>
    </row>
    <row r="758" ht="15" customHeight="1">
      <c r="A758" t="inlineStr">
        <is>
          <t>A 2958-2026</t>
        </is>
      </c>
      <c r="B758" s="1" t="n">
        <v>46038.61067129629</v>
      </c>
      <c r="C758" s="1" t="n">
        <v>46126</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2704-2026</t>
        </is>
      </c>
      <c r="B759" s="1" t="n">
        <v>46037.69133101852</v>
      </c>
      <c r="C759" s="1" t="n">
        <v>46126</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2859-2026</t>
        </is>
      </c>
      <c r="B760" s="1" t="n">
        <v>46038.49269675926</v>
      </c>
      <c r="C760" s="1" t="n">
        <v>46126</v>
      </c>
      <c r="D760" t="inlineStr">
        <is>
          <t>ÖREBRO LÄN</t>
        </is>
      </c>
      <c r="E760" t="inlineStr">
        <is>
          <t>LINDESBERG</t>
        </is>
      </c>
      <c r="G760" t="n">
        <v>2.1</v>
      </c>
      <c r="H760" t="n">
        <v>0</v>
      </c>
      <c r="I760" t="n">
        <v>0</v>
      </c>
      <c r="J760" t="n">
        <v>0</v>
      </c>
      <c r="K760" t="n">
        <v>0</v>
      </c>
      <c r="L760" t="n">
        <v>0</v>
      </c>
      <c r="M760" t="n">
        <v>0</v>
      </c>
      <c r="N760" t="n">
        <v>0</v>
      </c>
      <c r="O760" t="n">
        <v>0</v>
      </c>
      <c r="P760" t="n">
        <v>0</v>
      </c>
      <c r="Q760" t="n">
        <v>0</v>
      </c>
      <c r="R760" s="2" t="inlineStr"/>
    </row>
    <row r="761" ht="15" customHeight="1">
      <c r="A761" t="inlineStr">
        <is>
          <t>A 2929-2026</t>
        </is>
      </c>
      <c r="B761" s="1" t="n">
        <v>46038.58241898148</v>
      </c>
      <c r="C761" s="1" t="n">
        <v>46126</v>
      </c>
      <c r="D761" t="inlineStr">
        <is>
          <t>ÖREBRO LÄN</t>
        </is>
      </c>
      <c r="E761" t="inlineStr">
        <is>
          <t>LINDESBERG</t>
        </is>
      </c>
      <c r="G761" t="n">
        <v>1.8</v>
      </c>
      <c r="H761" t="n">
        <v>0</v>
      </c>
      <c r="I761" t="n">
        <v>0</v>
      </c>
      <c r="J761" t="n">
        <v>0</v>
      </c>
      <c r="K761" t="n">
        <v>0</v>
      </c>
      <c r="L761" t="n">
        <v>0</v>
      </c>
      <c r="M761" t="n">
        <v>0</v>
      </c>
      <c r="N761" t="n">
        <v>0</v>
      </c>
      <c r="O761" t="n">
        <v>0</v>
      </c>
      <c r="P761" t="n">
        <v>0</v>
      </c>
      <c r="Q761" t="n">
        <v>0</v>
      </c>
      <c r="R761" s="2" t="inlineStr"/>
    </row>
    <row r="762" ht="15" customHeight="1">
      <c r="A762" t="inlineStr">
        <is>
          <t>A 2902-2026</t>
        </is>
      </c>
      <c r="B762" s="1" t="n">
        <v>46038.55849537037</v>
      </c>
      <c r="C762" s="1" t="n">
        <v>46126</v>
      </c>
      <c r="D762" t="inlineStr">
        <is>
          <t>ÖREBRO LÄN</t>
        </is>
      </c>
      <c r="E762" t="inlineStr">
        <is>
          <t>LINDESBERG</t>
        </is>
      </c>
      <c r="G762" t="n">
        <v>2.1</v>
      </c>
      <c r="H762" t="n">
        <v>0</v>
      </c>
      <c r="I762" t="n">
        <v>0</v>
      </c>
      <c r="J762" t="n">
        <v>0</v>
      </c>
      <c r="K762" t="n">
        <v>0</v>
      </c>
      <c r="L762" t="n">
        <v>0</v>
      </c>
      <c r="M762" t="n">
        <v>0</v>
      </c>
      <c r="N762" t="n">
        <v>0</v>
      </c>
      <c r="O762" t="n">
        <v>0</v>
      </c>
      <c r="P762" t="n">
        <v>0</v>
      </c>
      <c r="Q762" t="n">
        <v>0</v>
      </c>
      <c r="R762" s="2" t="inlineStr"/>
    </row>
    <row r="763" ht="15" customHeight="1">
      <c r="A763" t="inlineStr">
        <is>
          <t>A 33281-2024</t>
        </is>
      </c>
      <c r="B763" s="1" t="n">
        <v>45518.71202546296</v>
      </c>
      <c r="C763" s="1" t="n">
        <v>46126</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33283-2024</t>
        </is>
      </c>
      <c r="B764" s="1" t="n">
        <v>45518.71591435185</v>
      </c>
      <c r="C764" s="1" t="n">
        <v>46126</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2949-2026</t>
        </is>
      </c>
      <c r="B765" s="1" t="n">
        <v>46038.59640046296</v>
      </c>
      <c r="C765" s="1" t="n">
        <v>46126</v>
      </c>
      <c r="D765" t="inlineStr">
        <is>
          <t>ÖREBRO LÄN</t>
        </is>
      </c>
      <c r="E765" t="inlineStr">
        <is>
          <t>LINDESBERG</t>
        </is>
      </c>
      <c r="G765" t="n">
        <v>4</v>
      </c>
      <c r="H765" t="n">
        <v>0</v>
      </c>
      <c r="I765" t="n">
        <v>0</v>
      </c>
      <c r="J765" t="n">
        <v>0</v>
      </c>
      <c r="K765" t="n">
        <v>0</v>
      </c>
      <c r="L765" t="n">
        <v>0</v>
      </c>
      <c r="M765" t="n">
        <v>0</v>
      </c>
      <c r="N765" t="n">
        <v>0</v>
      </c>
      <c r="O765" t="n">
        <v>0</v>
      </c>
      <c r="P765" t="n">
        <v>0</v>
      </c>
      <c r="Q765" t="n">
        <v>0</v>
      </c>
      <c r="R765" s="2" t="inlineStr"/>
    </row>
    <row r="766" ht="15" customHeight="1">
      <c r="A766" t="inlineStr">
        <is>
          <t>A 61960-2024</t>
        </is>
      </c>
      <c r="B766" s="1" t="n">
        <v>45653.53664351852</v>
      </c>
      <c r="C766" s="1" t="n">
        <v>46126</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48756-2024</t>
        </is>
      </c>
      <c r="B767" s="1" t="n">
        <v>45593.59681712963</v>
      </c>
      <c r="C767" s="1" t="n">
        <v>46126</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2969-2026</t>
        </is>
      </c>
      <c r="B768" s="1" t="n">
        <v>46038.61912037037</v>
      </c>
      <c r="C768" s="1" t="n">
        <v>46126</v>
      </c>
      <c r="D768" t="inlineStr">
        <is>
          <t>ÖREBRO LÄN</t>
        </is>
      </c>
      <c r="E768" t="inlineStr">
        <is>
          <t>LINDESBERG</t>
        </is>
      </c>
      <c r="G768" t="n">
        <v>2.6</v>
      </c>
      <c r="H768" t="n">
        <v>0</v>
      </c>
      <c r="I768" t="n">
        <v>0</v>
      </c>
      <c r="J768" t="n">
        <v>0</v>
      </c>
      <c r="K768" t="n">
        <v>0</v>
      </c>
      <c r="L768" t="n">
        <v>0</v>
      </c>
      <c r="M768" t="n">
        <v>0</v>
      </c>
      <c r="N768" t="n">
        <v>0</v>
      </c>
      <c r="O768" t="n">
        <v>0</v>
      </c>
      <c r="P768" t="n">
        <v>0</v>
      </c>
      <c r="Q768" t="n">
        <v>0</v>
      </c>
      <c r="R768" s="2" t="inlineStr"/>
    </row>
    <row r="769" ht="15" customHeight="1">
      <c r="A769" t="inlineStr">
        <is>
          <t>A 60449-2024</t>
        </is>
      </c>
      <c r="B769" s="1" t="n">
        <v>45643</v>
      </c>
      <c r="C769" s="1" t="n">
        <v>46126</v>
      </c>
      <c r="D769" t="inlineStr">
        <is>
          <t>ÖREBRO LÄN</t>
        </is>
      </c>
      <c r="E769" t="inlineStr">
        <is>
          <t>LINDESBERG</t>
        </is>
      </c>
      <c r="G769" t="n">
        <v>1.2</v>
      </c>
      <c r="H769" t="n">
        <v>0</v>
      </c>
      <c r="I769" t="n">
        <v>0</v>
      </c>
      <c r="J769" t="n">
        <v>0</v>
      </c>
      <c r="K769" t="n">
        <v>0</v>
      </c>
      <c r="L769" t="n">
        <v>0</v>
      </c>
      <c r="M769" t="n">
        <v>0</v>
      </c>
      <c r="N769" t="n">
        <v>0</v>
      </c>
      <c r="O769" t="n">
        <v>0</v>
      </c>
      <c r="P769" t="n">
        <v>0</v>
      </c>
      <c r="Q769" t="n">
        <v>0</v>
      </c>
      <c r="R769" s="2" t="inlineStr"/>
    </row>
    <row r="770" ht="15" customHeight="1">
      <c r="A770" t="inlineStr">
        <is>
          <t>A 3227-2026</t>
        </is>
      </c>
      <c r="B770" s="1" t="n">
        <v>46041.54181712963</v>
      </c>
      <c r="C770" s="1" t="n">
        <v>46126</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15060-2024</t>
        </is>
      </c>
      <c r="B771" s="1" t="n">
        <v>45399.56596064815</v>
      </c>
      <c r="C771" s="1" t="n">
        <v>46126</v>
      </c>
      <c r="D771" t="inlineStr">
        <is>
          <t>ÖREBRO LÄN</t>
        </is>
      </c>
      <c r="E771" t="inlineStr">
        <is>
          <t>LINDESBERG</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3315-2026</t>
        </is>
      </c>
      <c r="B772" s="1" t="n">
        <v>46041.68443287037</v>
      </c>
      <c r="C772" s="1" t="n">
        <v>46126</v>
      </c>
      <c r="D772" t="inlineStr">
        <is>
          <t>ÖREBRO LÄN</t>
        </is>
      </c>
      <c r="E772" t="inlineStr">
        <is>
          <t>LINDESBERG</t>
        </is>
      </c>
      <c r="G772" t="n">
        <v>7.6</v>
      </c>
      <c r="H772" t="n">
        <v>0</v>
      </c>
      <c r="I772" t="n">
        <v>0</v>
      </c>
      <c r="J772" t="n">
        <v>0</v>
      </c>
      <c r="K772" t="n">
        <v>0</v>
      </c>
      <c r="L772" t="n">
        <v>0</v>
      </c>
      <c r="M772" t="n">
        <v>0</v>
      </c>
      <c r="N772" t="n">
        <v>0</v>
      </c>
      <c r="O772" t="n">
        <v>0</v>
      </c>
      <c r="P772" t="n">
        <v>0</v>
      </c>
      <c r="Q772" t="n">
        <v>0</v>
      </c>
      <c r="R772" s="2" t="inlineStr"/>
    </row>
    <row r="773" ht="15" customHeight="1">
      <c r="A773" t="inlineStr">
        <is>
          <t>A 53510-2024</t>
        </is>
      </c>
      <c r="B773" s="1" t="n">
        <v>45614.5968287037</v>
      </c>
      <c r="C773" s="1" t="n">
        <v>46126</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34676-2023</t>
        </is>
      </c>
      <c r="B774" s="1" t="n">
        <v>45140</v>
      </c>
      <c r="C774" s="1" t="n">
        <v>46126</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3660-2026</t>
        </is>
      </c>
      <c r="B775" s="1" t="n">
        <v>46043.38744212963</v>
      </c>
      <c r="C775" s="1" t="n">
        <v>46126</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61594-2024</t>
        </is>
      </c>
      <c r="B776" s="1" t="n">
        <v>45646.63482638889</v>
      </c>
      <c r="C776" s="1" t="n">
        <v>46126</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3659-2026</t>
        </is>
      </c>
      <c r="B777" s="1" t="n">
        <v>46043</v>
      </c>
      <c r="C777" s="1" t="n">
        <v>46126</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3951-2026</t>
        </is>
      </c>
      <c r="B778" s="1" t="n">
        <v>46044</v>
      </c>
      <c r="C778" s="1" t="n">
        <v>46126</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40563-2023</t>
        </is>
      </c>
      <c r="B779" s="1" t="n">
        <v>45170.45921296296</v>
      </c>
      <c r="C779" s="1" t="n">
        <v>46126</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7026-2024</t>
        </is>
      </c>
      <c r="B780" s="1" t="n">
        <v>45343.58587962963</v>
      </c>
      <c r="C780" s="1" t="n">
        <v>46126</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41353-2024</t>
        </is>
      </c>
      <c r="B781" s="1" t="n">
        <v>45559</v>
      </c>
      <c r="C781" s="1" t="n">
        <v>46126</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51379-2023</t>
        </is>
      </c>
      <c r="B782" s="1" t="n">
        <v>45219</v>
      </c>
      <c r="C782" s="1" t="n">
        <v>46126</v>
      </c>
      <c r="D782" t="inlineStr">
        <is>
          <t>ÖREBRO LÄN</t>
        </is>
      </c>
      <c r="E782" t="inlineStr">
        <is>
          <t>LINDESBERG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5080-2024</t>
        </is>
      </c>
      <c r="B783" s="1" t="n">
        <v>45330</v>
      </c>
      <c r="C783" s="1" t="n">
        <v>46126</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12307-2025</t>
        </is>
      </c>
      <c r="B784" s="1" t="n">
        <v>45729.76231481481</v>
      </c>
      <c r="C784" s="1" t="n">
        <v>46126</v>
      </c>
      <c r="D784" t="inlineStr">
        <is>
          <t>ÖREBRO LÄN</t>
        </is>
      </c>
      <c r="E784" t="inlineStr">
        <is>
          <t>LINDESBERG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45056-2024</t>
        </is>
      </c>
      <c r="B785" s="1" t="n">
        <v>45575.55273148148</v>
      </c>
      <c r="C785" s="1" t="n">
        <v>46126</v>
      </c>
      <c r="D785" t="inlineStr">
        <is>
          <t>ÖREBRO LÄN</t>
        </is>
      </c>
      <c r="E785" t="inlineStr">
        <is>
          <t>LINDESBERG</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45058-2024</t>
        </is>
      </c>
      <c r="B786" s="1" t="n">
        <v>45575.5547337963</v>
      </c>
      <c r="C786" s="1" t="n">
        <v>46126</v>
      </c>
      <c r="D786" t="inlineStr">
        <is>
          <t>ÖREBRO LÄN</t>
        </is>
      </c>
      <c r="E786" t="inlineStr">
        <is>
          <t>LINDESBERG</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45063-2024</t>
        </is>
      </c>
      <c r="B787" s="1" t="n">
        <v>45575.55684027778</v>
      </c>
      <c r="C787" s="1" t="n">
        <v>46126</v>
      </c>
      <c r="D787" t="inlineStr">
        <is>
          <t>ÖREBRO LÄN</t>
        </is>
      </c>
      <c r="E787" t="inlineStr">
        <is>
          <t>LINDESBERG</t>
        </is>
      </c>
      <c r="F787" t="inlineStr">
        <is>
          <t>Sveaskog</t>
        </is>
      </c>
      <c r="G787" t="n">
        <v>3.3</v>
      </c>
      <c r="H787" t="n">
        <v>0</v>
      </c>
      <c r="I787" t="n">
        <v>0</v>
      </c>
      <c r="J787" t="n">
        <v>0</v>
      </c>
      <c r="K787" t="n">
        <v>0</v>
      </c>
      <c r="L787" t="n">
        <v>0</v>
      </c>
      <c r="M787" t="n">
        <v>0</v>
      </c>
      <c r="N787" t="n">
        <v>0</v>
      </c>
      <c r="O787" t="n">
        <v>0</v>
      </c>
      <c r="P787" t="n">
        <v>0</v>
      </c>
      <c r="Q787" t="n">
        <v>0</v>
      </c>
      <c r="R787" s="2" t="inlineStr"/>
    </row>
    <row r="788" ht="15" customHeight="1">
      <c r="A788" t="inlineStr">
        <is>
          <t>A 45072-2024</t>
        </is>
      </c>
      <c r="B788" s="1" t="n">
        <v>45575.56686342593</v>
      </c>
      <c r="C788" s="1" t="n">
        <v>46126</v>
      </c>
      <c r="D788" t="inlineStr">
        <is>
          <t>ÖREBRO LÄN</t>
        </is>
      </c>
      <c r="E788" t="inlineStr">
        <is>
          <t>LINDESBERG</t>
        </is>
      </c>
      <c r="F788" t="inlineStr">
        <is>
          <t>Sveaskog</t>
        </is>
      </c>
      <c r="G788" t="n">
        <v>2</v>
      </c>
      <c r="H788" t="n">
        <v>0</v>
      </c>
      <c r="I788" t="n">
        <v>0</v>
      </c>
      <c r="J788" t="n">
        <v>0</v>
      </c>
      <c r="K788" t="n">
        <v>0</v>
      </c>
      <c r="L788" t="n">
        <v>0</v>
      </c>
      <c r="M788" t="n">
        <v>0</v>
      </c>
      <c r="N788" t="n">
        <v>0</v>
      </c>
      <c r="O788" t="n">
        <v>0</v>
      </c>
      <c r="P788" t="n">
        <v>0</v>
      </c>
      <c r="Q788" t="n">
        <v>0</v>
      </c>
      <c r="R788" s="2" t="inlineStr"/>
    </row>
    <row r="789" ht="15" customHeight="1">
      <c r="A789" t="inlineStr">
        <is>
          <t>A 45075-2024</t>
        </is>
      </c>
      <c r="B789" s="1" t="n">
        <v>45575.56820601852</v>
      </c>
      <c r="C789" s="1" t="n">
        <v>46126</v>
      </c>
      <c r="D789" t="inlineStr">
        <is>
          <t>ÖREBRO LÄN</t>
        </is>
      </c>
      <c r="E789" t="inlineStr">
        <is>
          <t>LINDESBERG</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5235-2026</t>
        </is>
      </c>
      <c r="B790" s="1" t="n">
        <v>46049.84017361111</v>
      </c>
      <c r="C790" s="1" t="n">
        <v>46126</v>
      </c>
      <c r="D790" t="inlineStr">
        <is>
          <t>ÖREBRO LÄN</t>
        </is>
      </c>
      <c r="E790" t="inlineStr">
        <is>
          <t>LINDESBERG</t>
        </is>
      </c>
      <c r="G790" t="n">
        <v>4.8</v>
      </c>
      <c r="H790" t="n">
        <v>0</v>
      </c>
      <c r="I790" t="n">
        <v>0</v>
      </c>
      <c r="J790" t="n">
        <v>0</v>
      </c>
      <c r="K790" t="n">
        <v>0</v>
      </c>
      <c r="L790" t="n">
        <v>0</v>
      </c>
      <c r="M790" t="n">
        <v>0</v>
      </c>
      <c r="N790" t="n">
        <v>0</v>
      </c>
      <c r="O790" t="n">
        <v>0</v>
      </c>
      <c r="P790" t="n">
        <v>0</v>
      </c>
      <c r="Q790" t="n">
        <v>0</v>
      </c>
      <c r="R790" s="2" t="inlineStr"/>
    </row>
    <row r="791" ht="15" customHeight="1">
      <c r="A791" t="inlineStr">
        <is>
          <t>A 41948-2023</t>
        </is>
      </c>
      <c r="B791" s="1" t="n">
        <v>45177.33091435185</v>
      </c>
      <c r="C791" s="1" t="n">
        <v>46126</v>
      </c>
      <c r="D791" t="inlineStr">
        <is>
          <t>ÖREBRO LÄN</t>
        </is>
      </c>
      <c r="E791" t="inlineStr">
        <is>
          <t>LINDESBERG</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67016-2021</t>
        </is>
      </c>
      <c r="B792" s="1" t="n">
        <v>44522</v>
      </c>
      <c r="C792" s="1" t="n">
        <v>46126</v>
      </c>
      <c r="D792" t="inlineStr">
        <is>
          <t>ÖREBRO LÄN</t>
        </is>
      </c>
      <c r="E792" t="inlineStr">
        <is>
          <t>LINDESBERG</t>
        </is>
      </c>
      <c r="G792" t="n">
        <v>8</v>
      </c>
      <c r="H792" t="n">
        <v>0</v>
      </c>
      <c r="I792" t="n">
        <v>0</v>
      </c>
      <c r="J792" t="n">
        <v>0</v>
      </c>
      <c r="K792" t="n">
        <v>0</v>
      </c>
      <c r="L792" t="n">
        <v>0</v>
      </c>
      <c r="M792" t="n">
        <v>0</v>
      </c>
      <c r="N792" t="n">
        <v>0</v>
      </c>
      <c r="O792" t="n">
        <v>0</v>
      </c>
      <c r="P792" t="n">
        <v>0</v>
      </c>
      <c r="Q792" t="n">
        <v>0</v>
      </c>
      <c r="R792" s="2" t="inlineStr"/>
    </row>
    <row r="793" ht="15" customHeight="1">
      <c r="A793" t="inlineStr">
        <is>
          <t>A 10111-2022</t>
        </is>
      </c>
      <c r="B793" s="1" t="n">
        <v>44621.85737268518</v>
      </c>
      <c r="C793" s="1" t="n">
        <v>46126</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19960-2023</t>
        </is>
      </c>
      <c r="B794" s="1" t="n">
        <v>45054</v>
      </c>
      <c r="C794" s="1" t="n">
        <v>46126</v>
      </c>
      <c r="D794" t="inlineStr">
        <is>
          <t>ÖREBRO LÄN</t>
        </is>
      </c>
      <c r="E794" t="inlineStr">
        <is>
          <t>LINDESBERG</t>
        </is>
      </c>
      <c r="G794" t="n">
        <v>6.2</v>
      </c>
      <c r="H794" t="n">
        <v>0</v>
      </c>
      <c r="I794" t="n">
        <v>0</v>
      </c>
      <c r="J794" t="n">
        <v>0</v>
      </c>
      <c r="K794" t="n">
        <v>0</v>
      </c>
      <c r="L794" t="n">
        <v>0</v>
      </c>
      <c r="M794" t="n">
        <v>0</v>
      </c>
      <c r="N794" t="n">
        <v>0</v>
      </c>
      <c r="O794" t="n">
        <v>0</v>
      </c>
      <c r="P794" t="n">
        <v>0</v>
      </c>
      <c r="Q794" t="n">
        <v>0</v>
      </c>
      <c r="R794" s="2" t="inlineStr"/>
    </row>
    <row r="795" ht="15" customHeight="1">
      <c r="A795" t="inlineStr">
        <is>
          <t>A 5715-2026</t>
        </is>
      </c>
      <c r="B795" s="1" t="n">
        <v>46051.53563657407</v>
      </c>
      <c r="C795" s="1" t="n">
        <v>46126</v>
      </c>
      <c r="D795" t="inlineStr">
        <is>
          <t>ÖREBRO LÄN</t>
        </is>
      </c>
      <c r="E795" t="inlineStr">
        <is>
          <t>LINDESBERG</t>
        </is>
      </c>
      <c r="G795" t="n">
        <v>0.7</v>
      </c>
      <c r="H795" t="n">
        <v>0</v>
      </c>
      <c r="I795" t="n">
        <v>0</v>
      </c>
      <c r="J795" t="n">
        <v>0</v>
      </c>
      <c r="K795" t="n">
        <v>0</v>
      </c>
      <c r="L795" t="n">
        <v>0</v>
      </c>
      <c r="M795" t="n">
        <v>0</v>
      </c>
      <c r="N795" t="n">
        <v>0</v>
      </c>
      <c r="O795" t="n">
        <v>0</v>
      </c>
      <c r="P795" t="n">
        <v>0</v>
      </c>
      <c r="Q795" t="n">
        <v>0</v>
      </c>
      <c r="R795" s="2" t="inlineStr"/>
    </row>
    <row r="796" ht="15" customHeight="1">
      <c r="A796" t="inlineStr">
        <is>
          <t>A 50972-2023</t>
        </is>
      </c>
      <c r="B796" s="1" t="n">
        <v>45218</v>
      </c>
      <c r="C796" s="1" t="n">
        <v>46126</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5928-2026</t>
        </is>
      </c>
      <c r="B797" s="1" t="n">
        <v>46052.46519675926</v>
      </c>
      <c r="C797" s="1" t="n">
        <v>46126</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5717-2026</t>
        </is>
      </c>
      <c r="B798" s="1" t="n">
        <v>46051.53689814815</v>
      </c>
      <c r="C798" s="1" t="n">
        <v>46126</v>
      </c>
      <c r="D798" t="inlineStr">
        <is>
          <t>ÖREBRO LÄN</t>
        </is>
      </c>
      <c r="E798" t="inlineStr">
        <is>
          <t>LINDESBERG</t>
        </is>
      </c>
      <c r="G798" t="n">
        <v>6</v>
      </c>
      <c r="H798" t="n">
        <v>0</v>
      </c>
      <c r="I798" t="n">
        <v>0</v>
      </c>
      <c r="J798" t="n">
        <v>0</v>
      </c>
      <c r="K798" t="n">
        <v>0</v>
      </c>
      <c r="L798" t="n">
        <v>0</v>
      </c>
      <c r="M798" t="n">
        <v>0</v>
      </c>
      <c r="N798" t="n">
        <v>0</v>
      </c>
      <c r="O798" t="n">
        <v>0</v>
      </c>
      <c r="P798" t="n">
        <v>0</v>
      </c>
      <c r="Q798" t="n">
        <v>0</v>
      </c>
      <c r="R798" s="2" t="inlineStr"/>
    </row>
    <row r="799" ht="15" customHeight="1">
      <c r="A799" t="inlineStr">
        <is>
          <t>A 14034-2026</t>
        </is>
      </c>
      <c r="B799" s="1" t="n">
        <v>46098.79559027778</v>
      </c>
      <c r="C799" s="1" t="n">
        <v>46126</v>
      </c>
      <c r="D799" t="inlineStr">
        <is>
          <t>ÖREBRO LÄN</t>
        </is>
      </c>
      <c r="E799" t="inlineStr">
        <is>
          <t>LINDESBERG</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6520-2026</t>
        </is>
      </c>
      <c r="B800" s="1" t="n">
        <v>46056.40149305556</v>
      </c>
      <c r="C800" s="1" t="n">
        <v>46126</v>
      </c>
      <c r="D800" t="inlineStr">
        <is>
          <t>ÖREBRO LÄN</t>
        </is>
      </c>
      <c r="E800" t="inlineStr">
        <is>
          <t>LINDESBERG</t>
        </is>
      </c>
      <c r="G800" t="n">
        <v>2.2</v>
      </c>
      <c r="H800" t="n">
        <v>0</v>
      </c>
      <c r="I800" t="n">
        <v>0</v>
      </c>
      <c r="J800" t="n">
        <v>0</v>
      </c>
      <c r="K800" t="n">
        <v>0</v>
      </c>
      <c r="L800" t="n">
        <v>0</v>
      </c>
      <c r="M800" t="n">
        <v>0</v>
      </c>
      <c r="N800" t="n">
        <v>0</v>
      </c>
      <c r="O800" t="n">
        <v>0</v>
      </c>
      <c r="P800" t="n">
        <v>0</v>
      </c>
      <c r="Q800" t="n">
        <v>0</v>
      </c>
      <c r="R800" s="2" t="inlineStr"/>
    </row>
    <row r="801" ht="15" customHeight="1">
      <c r="A801" t="inlineStr">
        <is>
          <t>A 6524-2026</t>
        </is>
      </c>
      <c r="B801" s="1" t="n">
        <v>46056.40425925926</v>
      </c>
      <c r="C801" s="1" t="n">
        <v>46126</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6616-2026</t>
        </is>
      </c>
      <c r="B802" s="1" t="n">
        <v>46056.49075231481</v>
      </c>
      <c r="C802" s="1" t="n">
        <v>46126</v>
      </c>
      <c r="D802" t="inlineStr">
        <is>
          <t>ÖREBRO LÄN</t>
        </is>
      </c>
      <c r="E802" t="inlineStr">
        <is>
          <t>LINDESBERG</t>
        </is>
      </c>
      <c r="G802" t="n">
        <v>9</v>
      </c>
      <c r="H802" t="n">
        <v>0</v>
      </c>
      <c r="I802" t="n">
        <v>0</v>
      </c>
      <c r="J802" t="n">
        <v>0</v>
      </c>
      <c r="K802" t="n">
        <v>0</v>
      </c>
      <c r="L802" t="n">
        <v>0</v>
      </c>
      <c r="M802" t="n">
        <v>0</v>
      </c>
      <c r="N802" t="n">
        <v>0</v>
      </c>
      <c r="O802" t="n">
        <v>0</v>
      </c>
      <c r="P802" t="n">
        <v>0</v>
      </c>
      <c r="Q802" t="n">
        <v>0</v>
      </c>
      <c r="R802" s="2" t="inlineStr"/>
    </row>
    <row r="803" ht="15" customHeight="1">
      <c r="A803" t="inlineStr">
        <is>
          <t>A 33507-2023</t>
        </is>
      </c>
      <c r="B803" s="1" t="n">
        <v>45131</v>
      </c>
      <c r="C803" s="1" t="n">
        <v>46126</v>
      </c>
      <c r="D803" t="inlineStr">
        <is>
          <t>ÖREBRO LÄN</t>
        </is>
      </c>
      <c r="E803" t="inlineStr">
        <is>
          <t>LINDESBERG</t>
        </is>
      </c>
      <c r="G803" t="n">
        <v>3.2</v>
      </c>
      <c r="H803" t="n">
        <v>0</v>
      </c>
      <c r="I803" t="n">
        <v>0</v>
      </c>
      <c r="J803" t="n">
        <v>0</v>
      </c>
      <c r="K803" t="n">
        <v>0</v>
      </c>
      <c r="L803" t="n">
        <v>0</v>
      </c>
      <c r="M803" t="n">
        <v>0</v>
      </c>
      <c r="N803" t="n">
        <v>0</v>
      </c>
      <c r="O803" t="n">
        <v>0</v>
      </c>
      <c r="P803" t="n">
        <v>0</v>
      </c>
      <c r="Q803" t="n">
        <v>0</v>
      </c>
      <c r="R803" s="2" t="inlineStr"/>
    </row>
    <row r="804" ht="15" customHeight="1">
      <c r="A804" t="inlineStr">
        <is>
          <t>A 2406-2024</t>
        </is>
      </c>
      <c r="B804" s="1" t="n">
        <v>45310</v>
      </c>
      <c r="C804" s="1" t="n">
        <v>46126</v>
      </c>
      <c r="D804" t="inlineStr">
        <is>
          <t>ÖREBRO LÄN</t>
        </is>
      </c>
      <c r="E804" t="inlineStr">
        <is>
          <t>LINDESBERG</t>
        </is>
      </c>
      <c r="G804" t="n">
        <v>16.1</v>
      </c>
      <c r="H804" t="n">
        <v>0</v>
      </c>
      <c r="I804" t="n">
        <v>0</v>
      </c>
      <c r="J804" t="n">
        <v>0</v>
      </c>
      <c r="K804" t="n">
        <v>0</v>
      </c>
      <c r="L804" t="n">
        <v>0</v>
      </c>
      <c r="M804" t="n">
        <v>0</v>
      </c>
      <c r="N804" t="n">
        <v>0</v>
      </c>
      <c r="O804" t="n">
        <v>0</v>
      </c>
      <c r="P804" t="n">
        <v>0</v>
      </c>
      <c r="Q804" t="n">
        <v>0</v>
      </c>
      <c r="R804" s="2" t="inlineStr"/>
    </row>
    <row r="805" ht="15" customHeight="1">
      <c r="A805" t="inlineStr">
        <is>
          <t>A 17895-2022</t>
        </is>
      </c>
      <c r="B805" s="1" t="n">
        <v>44683</v>
      </c>
      <c r="C805" s="1" t="n">
        <v>46126</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1395-2025</t>
        </is>
      </c>
      <c r="B806" s="1" t="n">
        <v>45667</v>
      </c>
      <c r="C806" s="1" t="n">
        <v>46126</v>
      </c>
      <c r="D806" t="inlineStr">
        <is>
          <t>ÖREBRO LÄN</t>
        </is>
      </c>
      <c r="E806" t="inlineStr">
        <is>
          <t>LINDESBERG</t>
        </is>
      </c>
      <c r="G806" t="n">
        <v>4.6</v>
      </c>
      <c r="H806" t="n">
        <v>0</v>
      </c>
      <c r="I806" t="n">
        <v>0</v>
      </c>
      <c r="J806" t="n">
        <v>0</v>
      </c>
      <c r="K806" t="n">
        <v>0</v>
      </c>
      <c r="L806" t="n">
        <v>0</v>
      </c>
      <c r="M806" t="n">
        <v>0</v>
      </c>
      <c r="N806" t="n">
        <v>0</v>
      </c>
      <c r="O806" t="n">
        <v>0</v>
      </c>
      <c r="P806" t="n">
        <v>0</v>
      </c>
      <c r="Q806" t="n">
        <v>0</v>
      </c>
      <c r="R806" s="2" t="inlineStr"/>
    </row>
    <row r="807" ht="15" customHeight="1">
      <c r="A807" t="inlineStr">
        <is>
          <t>A 52928-2024</t>
        </is>
      </c>
      <c r="B807" s="1" t="n">
        <v>45610</v>
      </c>
      <c r="C807" s="1" t="n">
        <v>46126</v>
      </c>
      <c r="D807" t="inlineStr">
        <is>
          <t>ÖREBRO LÄN</t>
        </is>
      </c>
      <c r="E807" t="inlineStr">
        <is>
          <t>LINDESBERG</t>
        </is>
      </c>
      <c r="G807" t="n">
        <v>8.6</v>
      </c>
      <c r="H807" t="n">
        <v>0</v>
      </c>
      <c r="I807" t="n">
        <v>0</v>
      </c>
      <c r="J807" t="n">
        <v>0</v>
      </c>
      <c r="K807" t="n">
        <v>0</v>
      </c>
      <c r="L807" t="n">
        <v>0</v>
      </c>
      <c r="M807" t="n">
        <v>0</v>
      </c>
      <c r="N807" t="n">
        <v>0</v>
      </c>
      <c r="O807" t="n">
        <v>0</v>
      </c>
      <c r="P807" t="n">
        <v>0</v>
      </c>
      <c r="Q807" t="n">
        <v>0</v>
      </c>
      <c r="R807" s="2" t="inlineStr"/>
    </row>
    <row r="808" ht="15" customHeight="1">
      <c r="A808" t="inlineStr">
        <is>
          <t>A 33716-2021</t>
        </is>
      </c>
      <c r="B808" s="1" t="n">
        <v>44378.46857638889</v>
      </c>
      <c r="C808" s="1" t="n">
        <v>46126</v>
      </c>
      <c r="D808" t="inlineStr">
        <is>
          <t>ÖREBRO LÄN</t>
        </is>
      </c>
      <c r="E808" t="inlineStr">
        <is>
          <t>LINDESBERG</t>
        </is>
      </c>
      <c r="G808" t="n">
        <v>4.6</v>
      </c>
      <c r="H808" t="n">
        <v>0</v>
      </c>
      <c r="I808" t="n">
        <v>0</v>
      </c>
      <c r="J808" t="n">
        <v>0</v>
      </c>
      <c r="K808" t="n">
        <v>0</v>
      </c>
      <c r="L808" t="n">
        <v>0</v>
      </c>
      <c r="M808" t="n">
        <v>0</v>
      </c>
      <c r="N808" t="n">
        <v>0</v>
      </c>
      <c r="O808" t="n">
        <v>0</v>
      </c>
      <c r="P808" t="n">
        <v>0</v>
      </c>
      <c r="Q808" t="n">
        <v>0</v>
      </c>
      <c r="R808" s="2" t="inlineStr"/>
    </row>
    <row r="809" ht="15" customHeight="1">
      <c r="A809" t="inlineStr">
        <is>
          <t>A 40970-2023</t>
        </is>
      </c>
      <c r="B809" s="1" t="n">
        <v>45173</v>
      </c>
      <c r="C809" s="1" t="n">
        <v>46126</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7069-2026</t>
        </is>
      </c>
      <c r="B810" s="1" t="n">
        <v>46058.30956018518</v>
      </c>
      <c r="C810" s="1" t="n">
        <v>46126</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7098-2026</t>
        </is>
      </c>
      <c r="B811" s="1" t="n">
        <v>46058.35196759259</v>
      </c>
      <c r="C811" s="1" t="n">
        <v>46126</v>
      </c>
      <c r="D811" t="inlineStr">
        <is>
          <t>ÖREBRO LÄN</t>
        </is>
      </c>
      <c r="E811" t="inlineStr">
        <is>
          <t>LINDESBERG</t>
        </is>
      </c>
      <c r="G811" t="n">
        <v>1.9</v>
      </c>
      <c r="H811" t="n">
        <v>0</v>
      </c>
      <c r="I811" t="n">
        <v>0</v>
      </c>
      <c r="J811" t="n">
        <v>0</v>
      </c>
      <c r="K811" t="n">
        <v>0</v>
      </c>
      <c r="L811" t="n">
        <v>0</v>
      </c>
      <c r="M811" t="n">
        <v>0</v>
      </c>
      <c r="N811" t="n">
        <v>0</v>
      </c>
      <c r="O811" t="n">
        <v>0</v>
      </c>
      <c r="P811" t="n">
        <v>0</v>
      </c>
      <c r="Q811" t="n">
        <v>0</v>
      </c>
      <c r="R811" s="2" t="inlineStr"/>
    </row>
    <row r="812" ht="15" customHeight="1">
      <c r="A812" t="inlineStr">
        <is>
          <t>A 3756-2026</t>
        </is>
      </c>
      <c r="B812" s="1" t="n">
        <v>46043</v>
      </c>
      <c r="C812" s="1" t="n">
        <v>46126</v>
      </c>
      <c r="D812" t="inlineStr">
        <is>
          <t>ÖREBRO LÄN</t>
        </is>
      </c>
      <c r="E812" t="inlineStr">
        <is>
          <t>LINDESBERG</t>
        </is>
      </c>
      <c r="G812" t="n">
        <v>6.3</v>
      </c>
      <c r="H812" t="n">
        <v>0</v>
      </c>
      <c r="I812" t="n">
        <v>0</v>
      </c>
      <c r="J812" t="n">
        <v>0</v>
      </c>
      <c r="K812" t="n">
        <v>0</v>
      </c>
      <c r="L812" t="n">
        <v>0</v>
      </c>
      <c r="M812" t="n">
        <v>0</v>
      </c>
      <c r="N812" t="n">
        <v>0</v>
      </c>
      <c r="O812" t="n">
        <v>0</v>
      </c>
      <c r="P812" t="n">
        <v>0</v>
      </c>
      <c r="Q812" t="n">
        <v>0</v>
      </c>
      <c r="R812" s="2" t="inlineStr"/>
    </row>
    <row r="813" ht="15" customHeight="1">
      <c r="A813" t="inlineStr">
        <is>
          <t>A 7202-2026</t>
        </is>
      </c>
      <c r="B813" s="1" t="n">
        <v>46058.52864583334</v>
      </c>
      <c r="C813" s="1" t="n">
        <v>46126</v>
      </c>
      <c r="D813" t="inlineStr">
        <is>
          <t>ÖREBRO LÄN</t>
        </is>
      </c>
      <c r="E813" t="inlineStr">
        <is>
          <t>LINDESBERG</t>
        </is>
      </c>
      <c r="G813" t="n">
        <v>2.8</v>
      </c>
      <c r="H813" t="n">
        <v>0</v>
      </c>
      <c r="I813" t="n">
        <v>0</v>
      </c>
      <c r="J813" t="n">
        <v>0</v>
      </c>
      <c r="K813" t="n">
        <v>0</v>
      </c>
      <c r="L813" t="n">
        <v>0</v>
      </c>
      <c r="M813" t="n">
        <v>0</v>
      </c>
      <c r="N813" t="n">
        <v>0</v>
      </c>
      <c r="O813" t="n">
        <v>0</v>
      </c>
      <c r="P813" t="n">
        <v>0</v>
      </c>
      <c r="Q813" t="n">
        <v>0</v>
      </c>
      <c r="R813" s="2" t="inlineStr"/>
    </row>
    <row r="814" ht="15" customHeight="1">
      <c r="A814" t="inlineStr">
        <is>
          <t>A 13729-2025</t>
        </is>
      </c>
      <c r="B814" s="1" t="n">
        <v>45737.3846412037</v>
      </c>
      <c r="C814" s="1" t="n">
        <v>46126</v>
      </c>
      <c r="D814" t="inlineStr">
        <is>
          <t>ÖREBRO LÄN</t>
        </is>
      </c>
      <c r="E814" t="inlineStr">
        <is>
          <t>LINDESBERG</t>
        </is>
      </c>
      <c r="F814" t="inlineStr">
        <is>
          <t>Sveaskog</t>
        </is>
      </c>
      <c r="G814" t="n">
        <v>5.4</v>
      </c>
      <c r="H814" t="n">
        <v>0</v>
      </c>
      <c r="I814" t="n">
        <v>0</v>
      </c>
      <c r="J814" t="n">
        <v>0</v>
      </c>
      <c r="K814" t="n">
        <v>0</v>
      </c>
      <c r="L814" t="n">
        <v>0</v>
      </c>
      <c r="M814" t="n">
        <v>0</v>
      </c>
      <c r="N814" t="n">
        <v>0</v>
      </c>
      <c r="O814" t="n">
        <v>0</v>
      </c>
      <c r="P814" t="n">
        <v>0</v>
      </c>
      <c r="Q814" t="n">
        <v>0</v>
      </c>
      <c r="R814" s="2" t="inlineStr"/>
    </row>
    <row r="815" ht="15" customHeight="1">
      <c r="A815" t="inlineStr">
        <is>
          <t>A 60492-2024</t>
        </is>
      </c>
      <c r="B815" s="1" t="n">
        <v>45642</v>
      </c>
      <c r="C815" s="1" t="n">
        <v>46126</v>
      </c>
      <c r="D815" t="inlineStr">
        <is>
          <t>ÖREBRO LÄN</t>
        </is>
      </c>
      <c r="E815" t="inlineStr">
        <is>
          <t>LINDESBERG</t>
        </is>
      </c>
      <c r="G815" t="n">
        <v>2.6</v>
      </c>
      <c r="H815" t="n">
        <v>0</v>
      </c>
      <c r="I815" t="n">
        <v>0</v>
      </c>
      <c r="J815" t="n">
        <v>0</v>
      </c>
      <c r="K815" t="n">
        <v>0</v>
      </c>
      <c r="L815" t="n">
        <v>0</v>
      </c>
      <c r="M815" t="n">
        <v>0</v>
      </c>
      <c r="N815" t="n">
        <v>0</v>
      </c>
      <c r="O815" t="n">
        <v>0</v>
      </c>
      <c r="P815" t="n">
        <v>0</v>
      </c>
      <c r="Q815" t="n">
        <v>0</v>
      </c>
      <c r="R815" s="2" t="inlineStr"/>
    </row>
    <row r="816" ht="15" customHeight="1">
      <c r="A816" t="inlineStr">
        <is>
          <t>A 40117-2023</t>
        </is>
      </c>
      <c r="B816" s="1" t="n">
        <v>45168.94197916667</v>
      </c>
      <c r="C816" s="1" t="n">
        <v>46126</v>
      </c>
      <c r="D816" t="inlineStr">
        <is>
          <t>ÖREBRO LÄN</t>
        </is>
      </c>
      <c r="E816" t="inlineStr">
        <is>
          <t>LINDESBERG</t>
        </is>
      </c>
      <c r="G816" t="n">
        <v>2.3</v>
      </c>
      <c r="H816" t="n">
        <v>0</v>
      </c>
      <c r="I816" t="n">
        <v>0</v>
      </c>
      <c r="J816" t="n">
        <v>0</v>
      </c>
      <c r="K816" t="n">
        <v>0</v>
      </c>
      <c r="L816" t="n">
        <v>0</v>
      </c>
      <c r="M816" t="n">
        <v>0</v>
      </c>
      <c r="N816" t="n">
        <v>0</v>
      </c>
      <c r="O816" t="n">
        <v>0</v>
      </c>
      <c r="P816" t="n">
        <v>0</v>
      </c>
      <c r="Q816" t="n">
        <v>0</v>
      </c>
      <c r="R816" s="2" t="inlineStr"/>
    </row>
    <row r="817" ht="15" customHeight="1">
      <c r="A817" t="inlineStr">
        <is>
          <t>A 6989-2026</t>
        </is>
      </c>
      <c r="B817" s="1" t="n">
        <v>46057.60342592592</v>
      </c>
      <c r="C817" s="1" t="n">
        <v>46126</v>
      </c>
      <c r="D817" t="inlineStr">
        <is>
          <t>ÖREBRO LÄN</t>
        </is>
      </c>
      <c r="E817" t="inlineStr">
        <is>
          <t>LINDESBERG</t>
        </is>
      </c>
      <c r="G817" t="n">
        <v>2</v>
      </c>
      <c r="H817" t="n">
        <v>0</v>
      </c>
      <c r="I817" t="n">
        <v>0</v>
      </c>
      <c r="J817" t="n">
        <v>0</v>
      </c>
      <c r="K817" t="n">
        <v>0</v>
      </c>
      <c r="L817" t="n">
        <v>0</v>
      </c>
      <c r="M817" t="n">
        <v>0</v>
      </c>
      <c r="N817" t="n">
        <v>0</v>
      </c>
      <c r="O817" t="n">
        <v>0</v>
      </c>
      <c r="P817" t="n">
        <v>0</v>
      </c>
      <c r="Q817" t="n">
        <v>0</v>
      </c>
      <c r="R817" s="2" t="inlineStr"/>
    </row>
    <row r="818" ht="15" customHeight="1">
      <c r="A818" t="inlineStr">
        <is>
          <t>A 7121-2026</t>
        </is>
      </c>
      <c r="B818" s="1" t="n">
        <v>46058.38300925926</v>
      </c>
      <c r="C818" s="1" t="n">
        <v>46126</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11366-2024</t>
        </is>
      </c>
      <c r="B819" s="1" t="n">
        <v>45372.40246527778</v>
      </c>
      <c r="C819" s="1" t="n">
        <v>46126</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60943-2024</t>
        </is>
      </c>
      <c r="B820" s="1" t="n">
        <v>45645.3737962963</v>
      </c>
      <c r="C820" s="1" t="n">
        <v>46126</v>
      </c>
      <c r="D820" t="inlineStr">
        <is>
          <t>ÖREBRO LÄN</t>
        </is>
      </c>
      <c r="E820" t="inlineStr">
        <is>
          <t>LINDESBERG</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56912-2024</t>
        </is>
      </c>
      <c r="B821" s="1" t="n">
        <v>45628.59233796296</v>
      </c>
      <c r="C821" s="1" t="n">
        <v>46126</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47620-2023</t>
        </is>
      </c>
      <c r="B822" s="1" t="n">
        <v>45203.510625</v>
      </c>
      <c r="C822" s="1" t="n">
        <v>46126</v>
      </c>
      <c r="D822" t="inlineStr">
        <is>
          <t>ÖREBRO LÄN</t>
        </is>
      </c>
      <c r="E822" t="inlineStr">
        <is>
          <t>LINDESBERG</t>
        </is>
      </c>
      <c r="G822" t="n">
        <v>2.7</v>
      </c>
      <c r="H822" t="n">
        <v>0</v>
      </c>
      <c r="I822" t="n">
        <v>0</v>
      </c>
      <c r="J822" t="n">
        <v>0</v>
      </c>
      <c r="K822" t="n">
        <v>0</v>
      </c>
      <c r="L822" t="n">
        <v>0</v>
      </c>
      <c r="M822" t="n">
        <v>0</v>
      </c>
      <c r="N822" t="n">
        <v>0</v>
      </c>
      <c r="O822" t="n">
        <v>0</v>
      </c>
      <c r="P822" t="n">
        <v>0</v>
      </c>
      <c r="Q822" t="n">
        <v>0</v>
      </c>
      <c r="R822" s="2" t="inlineStr"/>
    </row>
    <row r="823" ht="15" customHeight="1">
      <c r="A823" t="inlineStr">
        <is>
          <t>A 15050-2026</t>
        </is>
      </c>
      <c r="B823" s="1" t="n">
        <v>46104.67331018519</v>
      </c>
      <c r="C823" s="1" t="n">
        <v>46126</v>
      </c>
      <c r="D823" t="inlineStr">
        <is>
          <t>ÖREBRO LÄN</t>
        </is>
      </c>
      <c r="E823" t="inlineStr">
        <is>
          <t>LINDESBERG</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44010-2023</t>
        </is>
      </c>
      <c r="B824" s="1" t="n">
        <v>45188</v>
      </c>
      <c r="C824" s="1" t="n">
        <v>46126</v>
      </c>
      <c r="D824" t="inlineStr">
        <is>
          <t>ÖREBRO LÄN</t>
        </is>
      </c>
      <c r="E824" t="inlineStr">
        <is>
          <t>LINDESBERG</t>
        </is>
      </c>
      <c r="G824" t="n">
        <v>2.3</v>
      </c>
      <c r="H824" t="n">
        <v>0</v>
      </c>
      <c r="I824" t="n">
        <v>0</v>
      </c>
      <c r="J824" t="n">
        <v>0</v>
      </c>
      <c r="K824" t="n">
        <v>0</v>
      </c>
      <c r="L824" t="n">
        <v>0</v>
      </c>
      <c r="M824" t="n">
        <v>0</v>
      </c>
      <c r="N824" t="n">
        <v>0</v>
      </c>
      <c r="O824" t="n">
        <v>0</v>
      </c>
      <c r="P824" t="n">
        <v>0</v>
      </c>
      <c r="Q824" t="n">
        <v>0</v>
      </c>
      <c r="R824" s="2" t="inlineStr"/>
    </row>
    <row r="825" ht="15" customHeight="1">
      <c r="A825" t="inlineStr">
        <is>
          <t>A 14680-2026</t>
        </is>
      </c>
      <c r="B825" s="1" t="n">
        <v>46101.48212962963</v>
      </c>
      <c r="C825" s="1" t="n">
        <v>46126</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2107-2022</t>
        </is>
      </c>
      <c r="B826" s="1" t="n">
        <v>44577.83484953704</v>
      </c>
      <c r="C826" s="1" t="n">
        <v>46126</v>
      </c>
      <c r="D826" t="inlineStr">
        <is>
          <t>ÖREBRO LÄN</t>
        </is>
      </c>
      <c r="E826" t="inlineStr">
        <is>
          <t>LINDESBERG</t>
        </is>
      </c>
      <c r="G826" t="n">
        <v>2.9</v>
      </c>
      <c r="H826" t="n">
        <v>0</v>
      </c>
      <c r="I826" t="n">
        <v>0</v>
      </c>
      <c r="J826" t="n">
        <v>0</v>
      </c>
      <c r="K826" t="n">
        <v>0</v>
      </c>
      <c r="L826" t="n">
        <v>0</v>
      </c>
      <c r="M826" t="n">
        <v>0</v>
      </c>
      <c r="N826" t="n">
        <v>0</v>
      </c>
      <c r="O826" t="n">
        <v>0</v>
      </c>
      <c r="P826" t="n">
        <v>0</v>
      </c>
      <c r="Q826" t="n">
        <v>0</v>
      </c>
      <c r="R826" s="2" t="inlineStr"/>
    </row>
    <row r="827" ht="15" customHeight="1">
      <c r="A827" t="inlineStr">
        <is>
          <t>A 16864-2022</t>
        </is>
      </c>
      <c r="B827" s="1" t="n">
        <v>44675</v>
      </c>
      <c r="C827" s="1" t="n">
        <v>46126</v>
      </c>
      <c r="D827" t="inlineStr">
        <is>
          <t>ÖREBRO LÄN</t>
        </is>
      </c>
      <c r="E827" t="inlineStr">
        <is>
          <t>LINDESBERG</t>
        </is>
      </c>
      <c r="F827" t="inlineStr">
        <is>
          <t>Kyrkan</t>
        </is>
      </c>
      <c r="G827" t="n">
        <v>1.7</v>
      </c>
      <c r="H827" t="n">
        <v>0</v>
      </c>
      <c r="I827" t="n">
        <v>0</v>
      </c>
      <c r="J827" t="n">
        <v>0</v>
      </c>
      <c r="K827" t="n">
        <v>0</v>
      </c>
      <c r="L827" t="n">
        <v>0</v>
      </c>
      <c r="M827" t="n">
        <v>0</v>
      </c>
      <c r="N827" t="n">
        <v>0</v>
      </c>
      <c r="O827" t="n">
        <v>0</v>
      </c>
      <c r="P827" t="n">
        <v>0</v>
      </c>
      <c r="Q827" t="n">
        <v>0</v>
      </c>
      <c r="R827" s="2" t="inlineStr"/>
    </row>
    <row r="828" ht="15" customHeight="1">
      <c r="A828" t="inlineStr">
        <is>
          <t>A 32928-2023</t>
        </is>
      </c>
      <c r="B828" s="1" t="n">
        <v>45125.41458333333</v>
      </c>
      <c r="C828" s="1" t="n">
        <v>46126</v>
      </c>
      <c r="D828" t="inlineStr">
        <is>
          <t>ÖREBRO LÄN</t>
        </is>
      </c>
      <c r="E828" t="inlineStr">
        <is>
          <t>LINDESBERG</t>
        </is>
      </c>
      <c r="G828" t="n">
        <v>4.8</v>
      </c>
      <c r="H828" t="n">
        <v>0</v>
      </c>
      <c r="I828" t="n">
        <v>0</v>
      </c>
      <c r="J828" t="n">
        <v>0</v>
      </c>
      <c r="K828" t="n">
        <v>0</v>
      </c>
      <c r="L828" t="n">
        <v>0</v>
      </c>
      <c r="M828" t="n">
        <v>0</v>
      </c>
      <c r="N828" t="n">
        <v>0</v>
      </c>
      <c r="O828" t="n">
        <v>0</v>
      </c>
      <c r="P828" t="n">
        <v>0</v>
      </c>
      <c r="Q828" t="n">
        <v>0</v>
      </c>
      <c r="R828" s="2" t="inlineStr"/>
    </row>
    <row r="829" ht="15" customHeight="1">
      <c r="A829" t="inlineStr">
        <is>
          <t>A 21016-2023</t>
        </is>
      </c>
      <c r="B829" s="1" t="n">
        <v>45061.53414351852</v>
      </c>
      <c r="C829" s="1" t="n">
        <v>46126</v>
      </c>
      <c r="D829" t="inlineStr">
        <is>
          <t>ÖREBRO LÄN</t>
        </is>
      </c>
      <c r="E829" t="inlineStr">
        <is>
          <t>LINDESBERG</t>
        </is>
      </c>
      <c r="G829" t="n">
        <v>8.1</v>
      </c>
      <c r="H829" t="n">
        <v>0</v>
      </c>
      <c r="I829" t="n">
        <v>0</v>
      </c>
      <c r="J829" t="n">
        <v>0</v>
      </c>
      <c r="K829" t="n">
        <v>0</v>
      </c>
      <c r="L829" t="n">
        <v>0</v>
      </c>
      <c r="M829" t="n">
        <v>0</v>
      </c>
      <c r="N829" t="n">
        <v>0</v>
      </c>
      <c r="O829" t="n">
        <v>0</v>
      </c>
      <c r="P829" t="n">
        <v>0</v>
      </c>
      <c r="Q829" t="n">
        <v>0</v>
      </c>
      <c r="R829" s="2" t="inlineStr"/>
    </row>
    <row r="830" ht="15" customHeight="1">
      <c r="A830" t="inlineStr">
        <is>
          <t>A 40306-2022</t>
        </is>
      </c>
      <c r="B830" s="1" t="n">
        <v>44822</v>
      </c>
      <c r="C830" s="1" t="n">
        <v>46126</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27440-2023</t>
        </is>
      </c>
      <c r="B831" s="1" t="n">
        <v>45097.39893518519</v>
      </c>
      <c r="C831" s="1" t="n">
        <v>46126</v>
      </c>
      <c r="D831" t="inlineStr">
        <is>
          <t>ÖREBRO LÄN</t>
        </is>
      </c>
      <c r="E831" t="inlineStr">
        <is>
          <t>LINDESBERG</t>
        </is>
      </c>
      <c r="G831" t="n">
        <v>6.6</v>
      </c>
      <c r="H831" t="n">
        <v>0</v>
      </c>
      <c r="I831" t="n">
        <v>0</v>
      </c>
      <c r="J831" t="n">
        <v>0</v>
      </c>
      <c r="K831" t="n">
        <v>0</v>
      </c>
      <c r="L831" t="n">
        <v>0</v>
      </c>
      <c r="M831" t="n">
        <v>0</v>
      </c>
      <c r="N831" t="n">
        <v>0</v>
      </c>
      <c r="O831" t="n">
        <v>0</v>
      </c>
      <c r="P831" t="n">
        <v>0</v>
      </c>
      <c r="Q831" t="n">
        <v>0</v>
      </c>
      <c r="R831" s="2" t="inlineStr"/>
    </row>
    <row r="832" ht="15" customHeight="1">
      <c r="A832" t="inlineStr">
        <is>
          <t>A 40905-2023</t>
        </is>
      </c>
      <c r="B832" s="1" t="n">
        <v>45173.39315972223</v>
      </c>
      <c r="C832" s="1" t="n">
        <v>46126</v>
      </c>
      <c r="D832" t="inlineStr">
        <is>
          <t>ÖREBRO LÄN</t>
        </is>
      </c>
      <c r="E832" t="inlineStr">
        <is>
          <t>LINDESBERG</t>
        </is>
      </c>
      <c r="G832" t="n">
        <v>0.5</v>
      </c>
      <c r="H832" t="n">
        <v>0</v>
      </c>
      <c r="I832" t="n">
        <v>0</v>
      </c>
      <c r="J832" t="n">
        <v>0</v>
      </c>
      <c r="K832" t="n">
        <v>0</v>
      </c>
      <c r="L832" t="n">
        <v>0</v>
      </c>
      <c r="M832" t="n">
        <v>0</v>
      </c>
      <c r="N832" t="n">
        <v>0</v>
      </c>
      <c r="O832" t="n">
        <v>0</v>
      </c>
      <c r="P832" t="n">
        <v>0</v>
      </c>
      <c r="Q832" t="n">
        <v>0</v>
      </c>
      <c r="R832" s="2" t="inlineStr"/>
    </row>
    <row r="833" ht="15" customHeight="1">
      <c r="A833" t="inlineStr">
        <is>
          <t>A 41951-2023</t>
        </is>
      </c>
      <c r="B833" s="1" t="n">
        <v>45177.33991898148</v>
      </c>
      <c r="C833" s="1" t="n">
        <v>46126</v>
      </c>
      <c r="D833" t="inlineStr">
        <is>
          <t>ÖREBRO LÄN</t>
        </is>
      </c>
      <c r="E833" t="inlineStr">
        <is>
          <t>LINDESBERG</t>
        </is>
      </c>
      <c r="F833" t="inlineStr">
        <is>
          <t>Kyrkan</t>
        </is>
      </c>
      <c r="G833" t="n">
        <v>3.3</v>
      </c>
      <c r="H833" t="n">
        <v>0</v>
      </c>
      <c r="I833" t="n">
        <v>0</v>
      </c>
      <c r="J833" t="n">
        <v>0</v>
      </c>
      <c r="K833" t="n">
        <v>0</v>
      </c>
      <c r="L833" t="n">
        <v>0</v>
      </c>
      <c r="M833" t="n">
        <v>0</v>
      </c>
      <c r="N833" t="n">
        <v>0</v>
      </c>
      <c r="O833" t="n">
        <v>0</v>
      </c>
      <c r="P833" t="n">
        <v>0</v>
      </c>
      <c r="Q833" t="n">
        <v>0</v>
      </c>
      <c r="R833" s="2" t="inlineStr"/>
    </row>
    <row r="834" ht="15" customHeight="1">
      <c r="A834" t="inlineStr">
        <is>
          <t>A 16090-2026</t>
        </is>
      </c>
      <c r="B834" s="1" t="n">
        <v>46108</v>
      </c>
      <c r="C834" s="1" t="n">
        <v>46126</v>
      </c>
      <c r="D834" t="inlineStr">
        <is>
          <t>ÖREBRO LÄN</t>
        </is>
      </c>
      <c r="E834" t="inlineStr">
        <is>
          <t>LINDESBERG</t>
        </is>
      </c>
      <c r="G834" t="n">
        <v>4</v>
      </c>
      <c r="H834" t="n">
        <v>0</v>
      </c>
      <c r="I834" t="n">
        <v>0</v>
      </c>
      <c r="J834" t="n">
        <v>0</v>
      </c>
      <c r="K834" t="n">
        <v>0</v>
      </c>
      <c r="L834" t="n">
        <v>0</v>
      </c>
      <c r="M834" t="n">
        <v>0</v>
      </c>
      <c r="N834" t="n">
        <v>0</v>
      </c>
      <c r="O834" t="n">
        <v>0</v>
      </c>
      <c r="P834" t="n">
        <v>0</v>
      </c>
      <c r="Q834" t="n">
        <v>0</v>
      </c>
      <c r="R834" s="2" t="inlineStr"/>
    </row>
    <row r="835" ht="15" customHeight="1">
      <c r="A835" t="inlineStr">
        <is>
          <t>A 4310-2025</t>
        </is>
      </c>
      <c r="B835" s="1" t="n">
        <v>45685</v>
      </c>
      <c r="C835" s="1" t="n">
        <v>46126</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40758-2021</t>
        </is>
      </c>
      <c r="B836" s="1" t="n">
        <v>44420</v>
      </c>
      <c r="C836" s="1" t="n">
        <v>46126</v>
      </c>
      <c r="D836" t="inlineStr">
        <is>
          <t>ÖREBRO LÄN</t>
        </is>
      </c>
      <c r="E836" t="inlineStr">
        <is>
          <t>LINDESBERG</t>
        </is>
      </c>
      <c r="G836" t="n">
        <v>5</v>
      </c>
      <c r="H836" t="n">
        <v>0</v>
      </c>
      <c r="I836" t="n">
        <v>0</v>
      </c>
      <c r="J836" t="n">
        <v>0</v>
      </c>
      <c r="K836" t="n">
        <v>0</v>
      </c>
      <c r="L836" t="n">
        <v>0</v>
      </c>
      <c r="M836" t="n">
        <v>0</v>
      </c>
      <c r="N836" t="n">
        <v>0</v>
      </c>
      <c r="O836" t="n">
        <v>0</v>
      </c>
      <c r="P836" t="n">
        <v>0</v>
      </c>
      <c r="Q836" t="n">
        <v>0</v>
      </c>
      <c r="R836" s="2" t="inlineStr"/>
    </row>
    <row r="837" ht="15" customHeight="1">
      <c r="A837" t="inlineStr">
        <is>
          <t>A 16092-2026</t>
        </is>
      </c>
      <c r="B837" s="1" t="n">
        <v>46108</v>
      </c>
      <c r="C837" s="1" t="n">
        <v>46126</v>
      </c>
      <c r="D837" t="inlineStr">
        <is>
          <t>ÖREBRO LÄN</t>
        </is>
      </c>
      <c r="E837" t="inlineStr">
        <is>
          <t>LINDESBERG</t>
        </is>
      </c>
      <c r="G837" t="n">
        <v>2.3</v>
      </c>
      <c r="H837" t="n">
        <v>0</v>
      </c>
      <c r="I837" t="n">
        <v>0</v>
      </c>
      <c r="J837" t="n">
        <v>0</v>
      </c>
      <c r="K837" t="n">
        <v>0</v>
      </c>
      <c r="L837" t="n">
        <v>0</v>
      </c>
      <c r="M837" t="n">
        <v>0</v>
      </c>
      <c r="N837" t="n">
        <v>0</v>
      </c>
      <c r="O837" t="n">
        <v>0</v>
      </c>
      <c r="P837" t="n">
        <v>0</v>
      </c>
      <c r="Q837" t="n">
        <v>0</v>
      </c>
      <c r="R837" s="2" t="inlineStr"/>
    </row>
    <row r="838" ht="15" customHeight="1">
      <c r="A838" t="inlineStr">
        <is>
          <t>A 16094-2026</t>
        </is>
      </c>
      <c r="B838" s="1" t="n">
        <v>46108</v>
      </c>
      <c r="C838" s="1" t="n">
        <v>46126</v>
      </c>
      <c r="D838" t="inlineStr">
        <is>
          <t>ÖREBRO LÄN</t>
        </is>
      </c>
      <c r="E838" t="inlineStr">
        <is>
          <t>LINDESBERG</t>
        </is>
      </c>
      <c r="G838" t="n">
        <v>3.9</v>
      </c>
      <c r="H838" t="n">
        <v>0</v>
      </c>
      <c r="I838" t="n">
        <v>0</v>
      </c>
      <c r="J838" t="n">
        <v>0</v>
      </c>
      <c r="K838" t="n">
        <v>0</v>
      </c>
      <c r="L838" t="n">
        <v>0</v>
      </c>
      <c r="M838" t="n">
        <v>0</v>
      </c>
      <c r="N838" t="n">
        <v>0</v>
      </c>
      <c r="O838" t="n">
        <v>0</v>
      </c>
      <c r="P838" t="n">
        <v>0</v>
      </c>
      <c r="Q838" t="n">
        <v>0</v>
      </c>
      <c r="R838" s="2" t="inlineStr"/>
    </row>
    <row r="839" ht="15" customHeight="1">
      <c r="A839" t="inlineStr">
        <is>
          <t>A 34025-2024</t>
        </is>
      </c>
      <c r="B839" s="1" t="n">
        <v>45523.58565972222</v>
      </c>
      <c r="C839" s="1" t="n">
        <v>46126</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16103-2026</t>
        </is>
      </c>
      <c r="B840" s="1" t="n">
        <v>46108.59048611111</v>
      </c>
      <c r="C840" s="1" t="n">
        <v>46126</v>
      </c>
      <c r="D840" t="inlineStr">
        <is>
          <t>ÖREBRO LÄN</t>
        </is>
      </c>
      <c r="E840" t="inlineStr">
        <is>
          <t>LINDESBERG</t>
        </is>
      </c>
      <c r="G840" t="n">
        <v>5.5</v>
      </c>
      <c r="H840" t="n">
        <v>0</v>
      </c>
      <c r="I840" t="n">
        <v>0</v>
      </c>
      <c r="J840" t="n">
        <v>0</v>
      </c>
      <c r="K840" t="n">
        <v>0</v>
      </c>
      <c r="L840" t="n">
        <v>0</v>
      </c>
      <c r="M840" t="n">
        <v>0</v>
      </c>
      <c r="N840" t="n">
        <v>0</v>
      </c>
      <c r="O840" t="n">
        <v>0</v>
      </c>
      <c r="P840" t="n">
        <v>0</v>
      </c>
      <c r="Q840" t="n">
        <v>0</v>
      </c>
      <c r="R840" s="2" t="inlineStr"/>
    </row>
    <row r="841" ht="15" customHeight="1">
      <c r="A841" t="inlineStr">
        <is>
          <t>A 16692-2026</t>
        </is>
      </c>
      <c r="B841" s="1" t="n">
        <v>46112.82201388889</v>
      </c>
      <c r="C841" s="1" t="n">
        <v>46126</v>
      </c>
      <c r="D841" t="inlineStr">
        <is>
          <t>ÖREBRO LÄN</t>
        </is>
      </c>
      <c r="E841" t="inlineStr">
        <is>
          <t>LINDESBERG</t>
        </is>
      </c>
      <c r="G841" t="n">
        <v>4.9</v>
      </c>
      <c r="H841" t="n">
        <v>0</v>
      </c>
      <c r="I841" t="n">
        <v>0</v>
      </c>
      <c r="J841" t="n">
        <v>0</v>
      </c>
      <c r="K841" t="n">
        <v>0</v>
      </c>
      <c r="L841" t="n">
        <v>0</v>
      </c>
      <c r="M841" t="n">
        <v>0</v>
      </c>
      <c r="N841" t="n">
        <v>0</v>
      </c>
      <c r="O841" t="n">
        <v>0</v>
      </c>
      <c r="P841" t="n">
        <v>0</v>
      </c>
      <c r="Q841" t="n">
        <v>0</v>
      </c>
      <c r="R841" s="2" t="inlineStr"/>
    </row>
    <row r="842" ht="15" customHeight="1">
      <c r="A842" t="inlineStr">
        <is>
          <t>A 7990-2025</t>
        </is>
      </c>
      <c r="B842" s="1" t="n">
        <v>45707</v>
      </c>
      <c r="C842" s="1" t="n">
        <v>46126</v>
      </c>
      <c r="D842" t="inlineStr">
        <is>
          <t>ÖREBRO LÄN</t>
        </is>
      </c>
      <c r="E842" t="inlineStr">
        <is>
          <t>LINDESBERG</t>
        </is>
      </c>
      <c r="G842" t="n">
        <v>4.4</v>
      </c>
      <c r="H842" t="n">
        <v>0</v>
      </c>
      <c r="I842" t="n">
        <v>0</v>
      </c>
      <c r="J842" t="n">
        <v>0</v>
      </c>
      <c r="K842" t="n">
        <v>0</v>
      </c>
      <c r="L842" t="n">
        <v>0</v>
      </c>
      <c r="M842" t="n">
        <v>0</v>
      </c>
      <c r="N842" t="n">
        <v>0</v>
      </c>
      <c r="O842" t="n">
        <v>0</v>
      </c>
      <c r="P842" t="n">
        <v>0</v>
      </c>
      <c r="Q842" t="n">
        <v>0</v>
      </c>
      <c r="R842" s="2" t="inlineStr"/>
    </row>
    <row r="843" ht="15" customHeight="1">
      <c r="A843" t="inlineStr">
        <is>
          <t>A 16693-2026</t>
        </is>
      </c>
      <c r="B843" s="1" t="n">
        <v>46112.83422453704</v>
      </c>
      <c r="C843" s="1" t="n">
        <v>46126</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61691-2023</t>
        </is>
      </c>
      <c r="B844" s="1" t="n">
        <v>45265.64142361111</v>
      </c>
      <c r="C844" s="1" t="n">
        <v>46126</v>
      </c>
      <c r="D844" t="inlineStr">
        <is>
          <t>ÖREBRO LÄN</t>
        </is>
      </c>
      <c r="E844" t="inlineStr">
        <is>
          <t>LINDESBERG</t>
        </is>
      </c>
      <c r="G844" t="n">
        <v>2.6</v>
      </c>
      <c r="H844" t="n">
        <v>0</v>
      </c>
      <c r="I844" t="n">
        <v>0</v>
      </c>
      <c r="J844" t="n">
        <v>0</v>
      </c>
      <c r="K844" t="n">
        <v>0</v>
      </c>
      <c r="L844" t="n">
        <v>0</v>
      </c>
      <c r="M844" t="n">
        <v>0</v>
      </c>
      <c r="N844" t="n">
        <v>0</v>
      </c>
      <c r="O844" t="n">
        <v>0</v>
      </c>
      <c r="P844" t="n">
        <v>0</v>
      </c>
      <c r="Q844" t="n">
        <v>0</v>
      </c>
      <c r="R844" s="2" t="inlineStr"/>
    </row>
    <row r="845" ht="15" customHeight="1">
      <c r="A845" t="inlineStr">
        <is>
          <t>A 37507-2023</t>
        </is>
      </c>
      <c r="B845" s="1" t="n">
        <v>45158.41768518519</v>
      </c>
      <c r="C845" s="1" t="n">
        <v>46126</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41576-2021</t>
        </is>
      </c>
      <c r="B846" s="1" t="n">
        <v>44425</v>
      </c>
      <c r="C846" s="1" t="n">
        <v>46126</v>
      </c>
      <c r="D846" t="inlineStr">
        <is>
          <t>ÖREBRO LÄN</t>
        </is>
      </c>
      <c r="E846" t="inlineStr">
        <is>
          <t>LINDESBERG</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46675-2023</t>
        </is>
      </c>
      <c r="B847" s="1" t="n">
        <v>45194</v>
      </c>
      <c r="C847" s="1" t="n">
        <v>46126</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9577-2026</t>
        </is>
      </c>
      <c r="B848" s="1" t="n">
        <v>46071.67334490741</v>
      </c>
      <c r="C848" s="1" t="n">
        <v>46126</v>
      </c>
      <c r="D848" t="inlineStr">
        <is>
          <t>ÖREBRO LÄN</t>
        </is>
      </c>
      <c r="E848" t="inlineStr">
        <is>
          <t>LINDESBERG</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34434-2023</t>
        </is>
      </c>
      <c r="B849" s="1" t="n">
        <v>45139.63480324074</v>
      </c>
      <c r="C849" s="1" t="n">
        <v>46126</v>
      </c>
      <c r="D849" t="inlineStr">
        <is>
          <t>ÖREBRO LÄN</t>
        </is>
      </c>
      <c r="E849" t="inlineStr">
        <is>
          <t>LINDESBERG</t>
        </is>
      </c>
      <c r="F849" t="inlineStr">
        <is>
          <t>Kyrkan</t>
        </is>
      </c>
      <c r="G849" t="n">
        <v>1.7</v>
      </c>
      <c r="H849" t="n">
        <v>0</v>
      </c>
      <c r="I849" t="n">
        <v>0</v>
      </c>
      <c r="J849" t="n">
        <v>0</v>
      </c>
      <c r="K849" t="n">
        <v>0</v>
      </c>
      <c r="L849" t="n">
        <v>0</v>
      </c>
      <c r="M849" t="n">
        <v>0</v>
      </c>
      <c r="N849" t="n">
        <v>0</v>
      </c>
      <c r="O849" t="n">
        <v>0</v>
      </c>
      <c r="P849" t="n">
        <v>0</v>
      </c>
      <c r="Q849" t="n">
        <v>0</v>
      </c>
      <c r="R849" s="2" t="inlineStr"/>
    </row>
    <row r="850" ht="15" customHeight="1">
      <c r="A850" t="inlineStr">
        <is>
          <t>A 16812-2026</t>
        </is>
      </c>
      <c r="B850" s="1" t="n">
        <v>46113.49563657407</v>
      </c>
      <c r="C850" s="1" t="n">
        <v>46126</v>
      </c>
      <c r="D850" t="inlineStr">
        <is>
          <t>ÖREBRO LÄN</t>
        </is>
      </c>
      <c r="E850" t="inlineStr">
        <is>
          <t>LINDESBERG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15126-2026</t>
        </is>
      </c>
      <c r="B851" s="1" t="n">
        <v>46105.37195601852</v>
      </c>
      <c r="C851" s="1" t="n">
        <v>46126</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54432-2023</t>
        </is>
      </c>
      <c r="B852" s="1" t="n">
        <v>45233.42121527778</v>
      </c>
      <c r="C852" s="1" t="n">
        <v>46126</v>
      </c>
      <c r="D852" t="inlineStr">
        <is>
          <t>ÖREBRO LÄN</t>
        </is>
      </c>
      <c r="E852" t="inlineStr">
        <is>
          <t>LINDESBERG</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17010-2026</t>
        </is>
      </c>
      <c r="B853" s="1" t="n">
        <v>46114</v>
      </c>
      <c r="C853" s="1" t="n">
        <v>46126</v>
      </c>
      <c r="D853" t="inlineStr">
        <is>
          <t>ÖREBRO LÄN</t>
        </is>
      </c>
      <c r="E853" t="inlineStr">
        <is>
          <t>LINDESBERG</t>
        </is>
      </c>
      <c r="G853" t="n">
        <v>3.7</v>
      </c>
      <c r="H853" t="n">
        <v>0</v>
      </c>
      <c r="I853" t="n">
        <v>0</v>
      </c>
      <c r="J853" t="n">
        <v>0</v>
      </c>
      <c r="K853" t="n">
        <v>0</v>
      </c>
      <c r="L853" t="n">
        <v>0</v>
      </c>
      <c r="M853" t="n">
        <v>0</v>
      </c>
      <c r="N853" t="n">
        <v>0</v>
      </c>
      <c r="O853" t="n">
        <v>0</v>
      </c>
      <c r="P853" t="n">
        <v>0</v>
      </c>
      <c r="Q853" t="n">
        <v>0</v>
      </c>
      <c r="R853" s="2" t="inlineStr"/>
    </row>
    <row r="854" ht="15" customHeight="1">
      <c r="A854" t="inlineStr">
        <is>
          <t>A 9432-2026</t>
        </is>
      </c>
      <c r="B854" s="1" t="n">
        <v>46071.45568287037</v>
      </c>
      <c r="C854" s="1" t="n">
        <v>46126</v>
      </c>
      <c r="D854" t="inlineStr">
        <is>
          <t>ÖREBRO LÄN</t>
        </is>
      </c>
      <c r="E854" t="inlineStr">
        <is>
          <t>LINDESBERG</t>
        </is>
      </c>
      <c r="G854" t="n">
        <v>1.6</v>
      </c>
      <c r="H854" t="n">
        <v>0</v>
      </c>
      <c r="I854" t="n">
        <v>0</v>
      </c>
      <c r="J854" t="n">
        <v>0</v>
      </c>
      <c r="K854" t="n">
        <v>0</v>
      </c>
      <c r="L854" t="n">
        <v>0</v>
      </c>
      <c r="M854" t="n">
        <v>0</v>
      </c>
      <c r="N854" t="n">
        <v>0</v>
      </c>
      <c r="O854" t="n">
        <v>0</v>
      </c>
      <c r="P854" t="n">
        <v>0</v>
      </c>
      <c r="Q854" t="n">
        <v>0</v>
      </c>
      <c r="R854" s="2" t="inlineStr"/>
    </row>
    <row r="855" ht="15" customHeight="1">
      <c r="A855" t="inlineStr">
        <is>
          <t>A 15933-2025</t>
        </is>
      </c>
      <c r="B855" s="1" t="n">
        <v>45749.47251157407</v>
      </c>
      <c r="C855" s="1" t="n">
        <v>46126</v>
      </c>
      <c r="D855" t="inlineStr">
        <is>
          <t>ÖREBRO LÄN</t>
        </is>
      </c>
      <c r="E855" t="inlineStr">
        <is>
          <t>LINDESBERG</t>
        </is>
      </c>
      <c r="G855" t="n">
        <v>6.1</v>
      </c>
      <c r="H855" t="n">
        <v>0</v>
      </c>
      <c r="I855" t="n">
        <v>0</v>
      </c>
      <c r="J855" t="n">
        <v>0</v>
      </c>
      <c r="K855" t="n">
        <v>0</v>
      </c>
      <c r="L855" t="n">
        <v>0</v>
      </c>
      <c r="M855" t="n">
        <v>0</v>
      </c>
      <c r="N855" t="n">
        <v>0</v>
      </c>
      <c r="O855" t="n">
        <v>0</v>
      </c>
      <c r="P855" t="n">
        <v>0</v>
      </c>
      <c r="Q855" t="n">
        <v>0</v>
      </c>
      <c r="R855" s="2" t="inlineStr"/>
    </row>
    <row r="856" ht="15" customHeight="1">
      <c r="A856" t="inlineStr">
        <is>
          <t>A 15936-2025</t>
        </is>
      </c>
      <c r="B856" s="1" t="n">
        <v>45749.4737962963</v>
      </c>
      <c r="C856" s="1" t="n">
        <v>46126</v>
      </c>
      <c r="D856" t="inlineStr">
        <is>
          <t>ÖREBRO LÄN</t>
        </is>
      </c>
      <c r="E856" t="inlineStr">
        <is>
          <t>LINDESBERG</t>
        </is>
      </c>
      <c r="G856" t="n">
        <v>22.3</v>
      </c>
      <c r="H856" t="n">
        <v>0</v>
      </c>
      <c r="I856" t="n">
        <v>0</v>
      </c>
      <c r="J856" t="n">
        <v>0</v>
      </c>
      <c r="K856" t="n">
        <v>0</v>
      </c>
      <c r="L856" t="n">
        <v>0</v>
      </c>
      <c r="M856" t="n">
        <v>0</v>
      </c>
      <c r="N856" t="n">
        <v>0</v>
      </c>
      <c r="O856" t="n">
        <v>0</v>
      </c>
      <c r="P856" t="n">
        <v>0</v>
      </c>
      <c r="Q856" t="n">
        <v>0</v>
      </c>
      <c r="R856" s="2" t="inlineStr"/>
    </row>
    <row r="857" ht="15" customHeight="1">
      <c r="A857" t="inlineStr">
        <is>
          <t>A 1490-2024</t>
        </is>
      </c>
      <c r="B857" s="1" t="n">
        <v>45305</v>
      </c>
      <c r="C857" s="1" t="n">
        <v>46126</v>
      </c>
      <c r="D857" t="inlineStr">
        <is>
          <t>ÖREBRO LÄN</t>
        </is>
      </c>
      <c r="E857" t="inlineStr">
        <is>
          <t>LINDESBERG</t>
        </is>
      </c>
      <c r="G857" t="n">
        <v>17.6</v>
      </c>
      <c r="H857" t="n">
        <v>0</v>
      </c>
      <c r="I857" t="n">
        <v>0</v>
      </c>
      <c r="J857" t="n">
        <v>0</v>
      </c>
      <c r="K857" t="n">
        <v>0</v>
      </c>
      <c r="L857" t="n">
        <v>0</v>
      </c>
      <c r="M857" t="n">
        <v>0</v>
      </c>
      <c r="N857" t="n">
        <v>0</v>
      </c>
      <c r="O857" t="n">
        <v>0</v>
      </c>
      <c r="P857" t="n">
        <v>0</v>
      </c>
      <c r="Q857" t="n">
        <v>0</v>
      </c>
      <c r="R857" s="2" t="inlineStr"/>
    </row>
    <row r="858" ht="15" customHeight="1">
      <c r="A858" t="inlineStr">
        <is>
          <t>A 17155-2026</t>
        </is>
      </c>
      <c r="B858" s="1" t="n">
        <v>46115.50295138889</v>
      </c>
      <c r="C858" s="1" t="n">
        <v>46126</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17158-2026</t>
        </is>
      </c>
      <c r="B859" s="1" t="n">
        <v>46115.55826388889</v>
      </c>
      <c r="C859" s="1" t="n">
        <v>46126</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17154-2026</t>
        </is>
      </c>
      <c r="B860" s="1" t="n">
        <v>46115.49298611111</v>
      </c>
      <c r="C860" s="1" t="n">
        <v>46126</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17157-2026</t>
        </is>
      </c>
      <c r="B861" s="1" t="n">
        <v>46115.52068287037</v>
      </c>
      <c r="C861" s="1" t="n">
        <v>46126</v>
      </c>
      <c r="D861" t="inlineStr">
        <is>
          <t>ÖREBRO LÄN</t>
        </is>
      </c>
      <c r="E861" t="inlineStr">
        <is>
          <t>LINDESBERG</t>
        </is>
      </c>
      <c r="G861" t="n">
        <v>1.2</v>
      </c>
      <c r="H861" t="n">
        <v>0</v>
      </c>
      <c r="I861" t="n">
        <v>0</v>
      </c>
      <c r="J861" t="n">
        <v>0</v>
      </c>
      <c r="K861" t="n">
        <v>0</v>
      </c>
      <c r="L861" t="n">
        <v>0</v>
      </c>
      <c r="M861" t="n">
        <v>0</v>
      </c>
      <c r="N861" t="n">
        <v>0</v>
      </c>
      <c r="O861" t="n">
        <v>0</v>
      </c>
      <c r="P861" t="n">
        <v>0</v>
      </c>
      <c r="Q861" t="n">
        <v>0</v>
      </c>
      <c r="R861" s="2" t="inlineStr"/>
    </row>
    <row r="862" ht="15" customHeight="1">
      <c r="A862" t="inlineStr">
        <is>
          <t>A 17159-2026</t>
        </is>
      </c>
      <c r="B862" s="1" t="n">
        <v>46115.57298611111</v>
      </c>
      <c r="C862" s="1" t="n">
        <v>46126</v>
      </c>
      <c r="D862" t="inlineStr">
        <is>
          <t>ÖREBRO LÄN</t>
        </is>
      </c>
      <c r="E862" t="inlineStr">
        <is>
          <t>LINDESBERG</t>
        </is>
      </c>
      <c r="G862" t="n">
        <v>1.5</v>
      </c>
      <c r="H862" t="n">
        <v>0</v>
      </c>
      <c r="I862" t="n">
        <v>0</v>
      </c>
      <c r="J862" t="n">
        <v>0</v>
      </c>
      <c r="K862" t="n">
        <v>0</v>
      </c>
      <c r="L862" t="n">
        <v>0</v>
      </c>
      <c r="M862" t="n">
        <v>0</v>
      </c>
      <c r="N862" t="n">
        <v>0</v>
      </c>
      <c r="O862" t="n">
        <v>0</v>
      </c>
      <c r="P862" t="n">
        <v>0</v>
      </c>
      <c r="Q862" t="n">
        <v>0</v>
      </c>
      <c r="R862" s="2" t="inlineStr"/>
    </row>
    <row r="863" ht="15" customHeight="1">
      <c r="A863" t="inlineStr">
        <is>
          <t>A 53168-2023</t>
        </is>
      </c>
      <c r="B863" s="1" t="n">
        <v>45229</v>
      </c>
      <c r="C863" s="1" t="n">
        <v>46126</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17153-2026</t>
        </is>
      </c>
      <c r="B864" s="1" t="n">
        <v>46115.4727199074</v>
      </c>
      <c r="C864" s="1" t="n">
        <v>46126</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17156-2026</t>
        </is>
      </c>
      <c r="B865" s="1" t="n">
        <v>46115.51194444444</v>
      </c>
      <c r="C865" s="1" t="n">
        <v>46126</v>
      </c>
      <c r="D865" t="inlineStr">
        <is>
          <t>ÖREBRO LÄN</t>
        </is>
      </c>
      <c r="E865" t="inlineStr">
        <is>
          <t>LINDESBERG</t>
        </is>
      </c>
      <c r="G865" t="n">
        <v>2.2</v>
      </c>
      <c r="H865" t="n">
        <v>0</v>
      </c>
      <c r="I865" t="n">
        <v>0</v>
      </c>
      <c r="J865" t="n">
        <v>0</v>
      </c>
      <c r="K865" t="n">
        <v>0</v>
      </c>
      <c r="L865" t="n">
        <v>0</v>
      </c>
      <c r="M865" t="n">
        <v>0</v>
      </c>
      <c r="N865" t="n">
        <v>0</v>
      </c>
      <c r="O865" t="n">
        <v>0</v>
      </c>
      <c r="P865" t="n">
        <v>0</v>
      </c>
      <c r="Q865" t="n">
        <v>0</v>
      </c>
      <c r="R865" s="2" t="inlineStr"/>
    </row>
    <row r="866" ht="15" customHeight="1">
      <c r="A866" t="inlineStr">
        <is>
          <t>A 17161-2026</t>
        </is>
      </c>
      <c r="B866" s="1" t="n">
        <v>46115.59534722222</v>
      </c>
      <c r="C866" s="1" t="n">
        <v>46126</v>
      </c>
      <c r="D866" t="inlineStr">
        <is>
          <t>ÖREBRO LÄN</t>
        </is>
      </c>
      <c r="E866" t="inlineStr">
        <is>
          <t>LINDESBERG</t>
        </is>
      </c>
      <c r="G866" t="n">
        <v>3.3</v>
      </c>
      <c r="H866" t="n">
        <v>0</v>
      </c>
      <c r="I866" t="n">
        <v>0</v>
      </c>
      <c r="J866" t="n">
        <v>0</v>
      </c>
      <c r="K866" t="n">
        <v>0</v>
      </c>
      <c r="L866" t="n">
        <v>0</v>
      </c>
      <c r="M866" t="n">
        <v>0</v>
      </c>
      <c r="N866" t="n">
        <v>0</v>
      </c>
      <c r="O866" t="n">
        <v>0</v>
      </c>
      <c r="P866" t="n">
        <v>0</v>
      </c>
      <c r="Q866" t="n">
        <v>0</v>
      </c>
      <c r="R866" s="2" t="inlineStr"/>
    </row>
    <row r="867" ht="15" customHeight="1">
      <c r="A867" t="inlineStr">
        <is>
          <t>A 17013-2026</t>
        </is>
      </c>
      <c r="B867" s="1" t="n">
        <v>46114</v>
      </c>
      <c r="C867" s="1" t="n">
        <v>46126</v>
      </c>
      <c r="D867" t="inlineStr">
        <is>
          <t>ÖREBRO LÄN</t>
        </is>
      </c>
      <c r="E867" t="inlineStr">
        <is>
          <t>LINDESBERG</t>
        </is>
      </c>
      <c r="G867" t="n">
        <v>1.3</v>
      </c>
      <c r="H867" t="n">
        <v>0</v>
      </c>
      <c r="I867" t="n">
        <v>0</v>
      </c>
      <c r="J867" t="n">
        <v>0</v>
      </c>
      <c r="K867" t="n">
        <v>0</v>
      </c>
      <c r="L867" t="n">
        <v>0</v>
      </c>
      <c r="M867" t="n">
        <v>0</v>
      </c>
      <c r="N867" t="n">
        <v>0</v>
      </c>
      <c r="O867" t="n">
        <v>0</v>
      </c>
      <c r="P867" t="n">
        <v>0</v>
      </c>
      <c r="Q867" t="n">
        <v>0</v>
      </c>
      <c r="R867" s="2" t="inlineStr"/>
    </row>
    <row r="868" ht="15" customHeight="1">
      <c r="A868" t="inlineStr">
        <is>
          <t>A 17242-2025</t>
        </is>
      </c>
      <c r="B868" s="1" t="n">
        <v>45756.49009259259</v>
      </c>
      <c r="C868" s="1" t="n">
        <v>46126</v>
      </c>
      <c r="D868" t="inlineStr">
        <is>
          <t>ÖREBRO LÄN</t>
        </is>
      </c>
      <c r="E868" t="inlineStr">
        <is>
          <t>LINDESBERG</t>
        </is>
      </c>
      <c r="G868" t="n">
        <v>7.3</v>
      </c>
      <c r="H868" t="n">
        <v>0</v>
      </c>
      <c r="I868" t="n">
        <v>0</v>
      </c>
      <c r="J868" t="n">
        <v>0</v>
      </c>
      <c r="K868" t="n">
        <v>0</v>
      </c>
      <c r="L868" t="n">
        <v>0</v>
      </c>
      <c r="M868" t="n">
        <v>0</v>
      </c>
      <c r="N868" t="n">
        <v>0</v>
      </c>
      <c r="O868" t="n">
        <v>0</v>
      </c>
      <c r="P868" t="n">
        <v>0</v>
      </c>
      <c r="Q868" t="n">
        <v>0</v>
      </c>
      <c r="R868" s="2" t="inlineStr"/>
    </row>
    <row r="869" ht="15" customHeight="1">
      <c r="A869" t="inlineStr">
        <is>
          <t>A 17162-2026</t>
        </is>
      </c>
      <c r="B869" s="1" t="n">
        <v>46115.60453703703</v>
      </c>
      <c r="C869" s="1" t="n">
        <v>46126</v>
      </c>
      <c r="D869" t="inlineStr">
        <is>
          <t>ÖREBRO LÄN</t>
        </is>
      </c>
      <c r="E869" t="inlineStr">
        <is>
          <t>LINDESBERG</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4603-2024</t>
        </is>
      </c>
      <c r="B870" s="1" t="n">
        <v>45328</v>
      </c>
      <c r="C870" s="1" t="n">
        <v>46126</v>
      </c>
      <c r="D870" t="inlineStr">
        <is>
          <t>ÖREBRO LÄN</t>
        </is>
      </c>
      <c r="E870" t="inlineStr">
        <is>
          <t>LINDESBERG</t>
        </is>
      </c>
      <c r="F870" t="inlineStr">
        <is>
          <t>BillerudKorsnäs AB</t>
        </is>
      </c>
      <c r="G870" t="n">
        <v>4.3</v>
      </c>
      <c r="H870" t="n">
        <v>0</v>
      </c>
      <c r="I870" t="n">
        <v>0</v>
      </c>
      <c r="J870" t="n">
        <v>0</v>
      </c>
      <c r="K870" t="n">
        <v>0</v>
      </c>
      <c r="L870" t="n">
        <v>0</v>
      </c>
      <c r="M870" t="n">
        <v>0</v>
      </c>
      <c r="N870" t="n">
        <v>0</v>
      </c>
      <c r="O870" t="n">
        <v>0</v>
      </c>
      <c r="P870" t="n">
        <v>0</v>
      </c>
      <c r="Q870" t="n">
        <v>0</v>
      </c>
      <c r="R870" s="2" t="inlineStr"/>
    </row>
    <row r="871" ht="15" customHeight="1">
      <c r="A871" t="inlineStr">
        <is>
          <t>A 53062-2023</t>
        </is>
      </c>
      <c r="B871" s="1" t="n">
        <v>45227.31859953704</v>
      </c>
      <c r="C871" s="1" t="n">
        <v>46126</v>
      </c>
      <c r="D871" t="inlineStr">
        <is>
          <t>ÖREBRO LÄN</t>
        </is>
      </c>
      <c r="E871" t="inlineStr">
        <is>
          <t>LINDESBERG</t>
        </is>
      </c>
      <c r="G871" t="n">
        <v>3.1</v>
      </c>
      <c r="H871" t="n">
        <v>0</v>
      </c>
      <c r="I871" t="n">
        <v>0</v>
      </c>
      <c r="J871" t="n">
        <v>0</v>
      </c>
      <c r="K871" t="n">
        <v>0</v>
      </c>
      <c r="L871" t="n">
        <v>0</v>
      </c>
      <c r="M871" t="n">
        <v>0</v>
      </c>
      <c r="N871" t="n">
        <v>0</v>
      </c>
      <c r="O871" t="n">
        <v>0</v>
      </c>
      <c r="P871" t="n">
        <v>0</v>
      </c>
      <c r="Q871" t="n">
        <v>0</v>
      </c>
      <c r="R871" s="2" t="inlineStr"/>
    </row>
    <row r="872" ht="15" customHeight="1">
      <c r="A872" t="inlineStr">
        <is>
          <t>A 8902-2024</t>
        </is>
      </c>
      <c r="B872" s="1" t="n">
        <v>45357.34521990741</v>
      </c>
      <c r="C872" s="1" t="n">
        <v>46126</v>
      </c>
      <c r="D872" t="inlineStr">
        <is>
          <t>ÖREBRO LÄN</t>
        </is>
      </c>
      <c r="E872" t="inlineStr">
        <is>
          <t>LINDESBERG</t>
        </is>
      </c>
      <c r="F872" t="inlineStr">
        <is>
          <t>Kommuner</t>
        </is>
      </c>
      <c r="G872" t="n">
        <v>0.5</v>
      </c>
      <c r="H872" t="n">
        <v>0</v>
      </c>
      <c r="I872" t="n">
        <v>0</v>
      </c>
      <c r="J872" t="n">
        <v>0</v>
      </c>
      <c r="K872" t="n">
        <v>0</v>
      </c>
      <c r="L872" t="n">
        <v>0</v>
      </c>
      <c r="M872" t="n">
        <v>0</v>
      </c>
      <c r="N872" t="n">
        <v>0</v>
      </c>
      <c r="O872" t="n">
        <v>0</v>
      </c>
      <c r="P872" t="n">
        <v>0</v>
      </c>
      <c r="Q872" t="n">
        <v>0</v>
      </c>
      <c r="R872" s="2" t="inlineStr"/>
    </row>
    <row r="873" ht="15" customHeight="1">
      <c r="A873" t="inlineStr">
        <is>
          <t>A 3026-2026</t>
        </is>
      </c>
      <c r="B873" s="1" t="n">
        <v>46038</v>
      </c>
      <c r="C873" s="1" t="n">
        <v>46126</v>
      </c>
      <c r="D873" t="inlineStr">
        <is>
          <t>ÖREBRO LÄN</t>
        </is>
      </c>
      <c r="E873" t="inlineStr">
        <is>
          <t>LINDESBERG</t>
        </is>
      </c>
      <c r="G873" t="n">
        <v>10.3</v>
      </c>
      <c r="H873" t="n">
        <v>0</v>
      </c>
      <c r="I873" t="n">
        <v>0</v>
      </c>
      <c r="J873" t="n">
        <v>0</v>
      </c>
      <c r="K873" t="n">
        <v>0</v>
      </c>
      <c r="L873" t="n">
        <v>0</v>
      </c>
      <c r="M873" t="n">
        <v>0</v>
      </c>
      <c r="N873" t="n">
        <v>0</v>
      </c>
      <c r="O873" t="n">
        <v>0</v>
      </c>
      <c r="P873" t="n">
        <v>0</v>
      </c>
      <c r="Q873" t="n">
        <v>0</v>
      </c>
      <c r="R873" s="2" t="inlineStr"/>
    </row>
    <row r="874" ht="15" customHeight="1">
      <c r="A874" t="inlineStr">
        <is>
          <t>A 59631-2023</t>
        </is>
      </c>
      <c r="B874" s="1" t="n">
        <v>45254.68105324074</v>
      </c>
      <c r="C874" s="1" t="n">
        <v>46126</v>
      </c>
      <c r="D874" t="inlineStr">
        <is>
          <t>ÖREBRO LÄN</t>
        </is>
      </c>
      <c r="E874" t="inlineStr">
        <is>
          <t>LINDESBERG</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19110-2025</t>
        </is>
      </c>
      <c r="B875" s="1" t="n">
        <v>45768.49947916667</v>
      </c>
      <c r="C875" s="1" t="n">
        <v>46126</v>
      </c>
      <c r="D875" t="inlineStr">
        <is>
          <t>ÖREBRO LÄN</t>
        </is>
      </c>
      <c r="E875" t="inlineStr">
        <is>
          <t>LINDESBERG</t>
        </is>
      </c>
      <c r="G875" t="n">
        <v>2.6</v>
      </c>
      <c r="H875" t="n">
        <v>0</v>
      </c>
      <c r="I875" t="n">
        <v>0</v>
      </c>
      <c r="J875" t="n">
        <v>0</v>
      </c>
      <c r="K875" t="n">
        <v>0</v>
      </c>
      <c r="L875" t="n">
        <v>0</v>
      </c>
      <c r="M875" t="n">
        <v>0</v>
      </c>
      <c r="N875" t="n">
        <v>0</v>
      </c>
      <c r="O875" t="n">
        <v>0</v>
      </c>
      <c r="P875" t="n">
        <v>0</v>
      </c>
      <c r="Q875" t="n">
        <v>0</v>
      </c>
      <c r="R875" s="2" t="inlineStr"/>
    </row>
    <row r="876" ht="15" customHeight="1">
      <c r="A876" t="inlineStr">
        <is>
          <t>A 21245-2024</t>
        </is>
      </c>
      <c r="B876" s="1" t="n">
        <v>45440</v>
      </c>
      <c r="C876" s="1" t="n">
        <v>46126</v>
      </c>
      <c r="D876" t="inlineStr">
        <is>
          <t>ÖREBRO LÄN</t>
        </is>
      </c>
      <c r="E876" t="inlineStr">
        <is>
          <t>LINDESBERG</t>
        </is>
      </c>
      <c r="G876" t="n">
        <v>2</v>
      </c>
      <c r="H876" t="n">
        <v>0</v>
      </c>
      <c r="I876" t="n">
        <v>0</v>
      </c>
      <c r="J876" t="n">
        <v>0</v>
      </c>
      <c r="K876" t="n">
        <v>0</v>
      </c>
      <c r="L876" t="n">
        <v>0</v>
      </c>
      <c r="M876" t="n">
        <v>0</v>
      </c>
      <c r="N876" t="n">
        <v>0</v>
      </c>
      <c r="O876" t="n">
        <v>0</v>
      </c>
      <c r="P876" t="n">
        <v>0</v>
      </c>
      <c r="Q876" t="n">
        <v>0</v>
      </c>
      <c r="R876" s="2" t="inlineStr"/>
    </row>
    <row r="877" ht="15" customHeight="1">
      <c r="A877" t="inlineStr">
        <is>
          <t>A 29350-2022</t>
        </is>
      </c>
      <c r="B877" s="1" t="n">
        <v>44753</v>
      </c>
      <c r="C877" s="1" t="n">
        <v>46126</v>
      </c>
      <c r="D877" t="inlineStr">
        <is>
          <t>ÖREBRO LÄN</t>
        </is>
      </c>
      <c r="E877" t="inlineStr">
        <is>
          <t>LINDESBERG</t>
        </is>
      </c>
      <c r="G877" t="n">
        <v>7.7</v>
      </c>
      <c r="H877" t="n">
        <v>0</v>
      </c>
      <c r="I877" t="n">
        <v>0</v>
      </c>
      <c r="J877" t="n">
        <v>0</v>
      </c>
      <c r="K877" t="n">
        <v>0</v>
      </c>
      <c r="L877" t="n">
        <v>0</v>
      </c>
      <c r="M877" t="n">
        <v>0</v>
      </c>
      <c r="N877" t="n">
        <v>0</v>
      </c>
      <c r="O877" t="n">
        <v>0</v>
      </c>
      <c r="P877" t="n">
        <v>0</v>
      </c>
      <c r="Q877" t="n">
        <v>0</v>
      </c>
      <c r="R877" s="2" t="inlineStr"/>
    </row>
    <row r="878" ht="15" customHeight="1">
      <c r="A878" t="inlineStr">
        <is>
          <t>A 10836-2024</t>
        </is>
      </c>
      <c r="B878" s="1" t="n">
        <v>45369</v>
      </c>
      <c r="C878" s="1" t="n">
        <v>46126</v>
      </c>
      <c r="D878" t="inlineStr">
        <is>
          <t>ÖREBRO LÄN</t>
        </is>
      </c>
      <c r="E878" t="inlineStr">
        <is>
          <t>LINDESBERG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17663-2026</t>
        </is>
      </c>
      <c r="B879" s="1" t="n">
        <v>46121.57420138889</v>
      </c>
      <c r="C879" s="1" t="n">
        <v>46126</v>
      </c>
      <c r="D879" t="inlineStr">
        <is>
          <t>ÖREBRO LÄN</t>
        </is>
      </c>
      <c r="E879" t="inlineStr">
        <is>
          <t>LINDESBERG</t>
        </is>
      </c>
      <c r="G879" t="n">
        <v>3.2</v>
      </c>
      <c r="H879" t="n">
        <v>0</v>
      </c>
      <c r="I879" t="n">
        <v>0</v>
      </c>
      <c r="J879" t="n">
        <v>0</v>
      </c>
      <c r="K879" t="n">
        <v>0</v>
      </c>
      <c r="L879" t="n">
        <v>0</v>
      </c>
      <c r="M879" t="n">
        <v>0</v>
      </c>
      <c r="N879" t="n">
        <v>0</v>
      </c>
      <c r="O879" t="n">
        <v>0</v>
      </c>
      <c r="P879" t="n">
        <v>0</v>
      </c>
      <c r="Q879" t="n">
        <v>0</v>
      </c>
      <c r="R879" s="2" t="inlineStr"/>
    </row>
    <row r="880" ht="15" customHeight="1">
      <c r="A880" t="inlineStr">
        <is>
          <t>A 2414-2024</t>
        </is>
      </c>
      <c r="B880" s="1" t="n">
        <v>45310.87931712963</v>
      </c>
      <c r="C880" s="1" t="n">
        <v>46126</v>
      </c>
      <c r="D880" t="inlineStr">
        <is>
          <t>ÖREBRO LÄN</t>
        </is>
      </c>
      <c r="E880" t="inlineStr">
        <is>
          <t>LINDESBERG</t>
        </is>
      </c>
      <c r="G880" t="n">
        <v>7.2</v>
      </c>
      <c r="H880" t="n">
        <v>0</v>
      </c>
      <c r="I880" t="n">
        <v>0</v>
      </c>
      <c r="J880" t="n">
        <v>0</v>
      </c>
      <c r="K880" t="n">
        <v>0</v>
      </c>
      <c r="L880" t="n">
        <v>0</v>
      </c>
      <c r="M880" t="n">
        <v>0</v>
      </c>
      <c r="N880" t="n">
        <v>0</v>
      </c>
      <c r="O880" t="n">
        <v>0</v>
      </c>
      <c r="P880" t="n">
        <v>0</v>
      </c>
      <c r="Q880" t="n">
        <v>0</v>
      </c>
      <c r="R880" s="2" t="inlineStr"/>
    </row>
    <row r="881" ht="15" customHeight="1">
      <c r="A881" t="inlineStr">
        <is>
          <t>A 28463-2024</t>
        </is>
      </c>
      <c r="B881" s="1" t="n">
        <v>45477.70315972222</v>
      </c>
      <c r="C881" s="1" t="n">
        <v>46126</v>
      </c>
      <c r="D881" t="inlineStr">
        <is>
          <t>ÖREBRO LÄN</t>
        </is>
      </c>
      <c r="E881" t="inlineStr">
        <is>
          <t>LINDESBERG</t>
        </is>
      </c>
      <c r="G881" t="n">
        <v>6.3</v>
      </c>
      <c r="H881" t="n">
        <v>0</v>
      </c>
      <c r="I881" t="n">
        <v>0</v>
      </c>
      <c r="J881" t="n">
        <v>0</v>
      </c>
      <c r="K881" t="n">
        <v>0</v>
      </c>
      <c r="L881" t="n">
        <v>0</v>
      </c>
      <c r="M881" t="n">
        <v>0</v>
      </c>
      <c r="N881" t="n">
        <v>0</v>
      </c>
      <c r="O881" t="n">
        <v>0</v>
      </c>
      <c r="P881" t="n">
        <v>0</v>
      </c>
      <c r="Q881" t="n">
        <v>0</v>
      </c>
      <c r="R881" s="2" t="inlineStr"/>
    </row>
    <row r="882" ht="15" customHeight="1">
      <c r="A882" t="inlineStr">
        <is>
          <t>A 63668-2023</t>
        </is>
      </c>
      <c r="B882" s="1" t="n">
        <v>45274</v>
      </c>
      <c r="C882" s="1" t="n">
        <v>46126</v>
      </c>
      <c r="D882" t="inlineStr">
        <is>
          <t>ÖREBRO LÄN</t>
        </is>
      </c>
      <c r="E882" t="inlineStr">
        <is>
          <t>LINDESBERG</t>
        </is>
      </c>
      <c r="G882" t="n">
        <v>0.7</v>
      </c>
      <c r="H882" t="n">
        <v>0</v>
      </c>
      <c r="I882" t="n">
        <v>0</v>
      </c>
      <c r="J882" t="n">
        <v>0</v>
      </c>
      <c r="K882" t="n">
        <v>0</v>
      </c>
      <c r="L882" t="n">
        <v>0</v>
      </c>
      <c r="M882" t="n">
        <v>0</v>
      </c>
      <c r="N882" t="n">
        <v>0</v>
      </c>
      <c r="O882" t="n">
        <v>0</v>
      </c>
      <c r="P882" t="n">
        <v>0</v>
      </c>
      <c r="Q882" t="n">
        <v>0</v>
      </c>
      <c r="R882" s="2" t="inlineStr"/>
    </row>
    <row r="883" ht="15" customHeight="1">
      <c r="A883" t="inlineStr">
        <is>
          <t>A 8139-2023</t>
        </is>
      </c>
      <c r="B883" s="1" t="n">
        <v>44970</v>
      </c>
      <c r="C883" s="1" t="n">
        <v>46126</v>
      </c>
      <c r="D883" t="inlineStr">
        <is>
          <t>ÖREBRO LÄN</t>
        </is>
      </c>
      <c r="E883" t="inlineStr">
        <is>
          <t>LINDESBERG</t>
        </is>
      </c>
      <c r="G883" t="n">
        <v>3.6</v>
      </c>
      <c r="H883" t="n">
        <v>0</v>
      </c>
      <c r="I883" t="n">
        <v>0</v>
      </c>
      <c r="J883" t="n">
        <v>0</v>
      </c>
      <c r="K883" t="n">
        <v>0</v>
      </c>
      <c r="L883" t="n">
        <v>0</v>
      </c>
      <c r="M883" t="n">
        <v>0</v>
      </c>
      <c r="N883" t="n">
        <v>0</v>
      </c>
      <c r="O883" t="n">
        <v>0</v>
      </c>
      <c r="P883" t="n">
        <v>0</v>
      </c>
      <c r="Q883" t="n">
        <v>0</v>
      </c>
      <c r="R883" s="2" t="inlineStr"/>
    </row>
    <row r="884" ht="15" customHeight="1">
      <c r="A884" t="inlineStr">
        <is>
          <t>A 12276-2025</t>
        </is>
      </c>
      <c r="B884" s="1" t="n">
        <v>45729.65061342593</v>
      </c>
      <c r="C884" s="1" t="n">
        <v>46126</v>
      </c>
      <c r="D884" t="inlineStr">
        <is>
          <t>ÖREBRO LÄN</t>
        </is>
      </c>
      <c r="E884" t="inlineStr">
        <is>
          <t>LINDESBERG</t>
        </is>
      </c>
      <c r="G884" t="n">
        <v>7.6</v>
      </c>
      <c r="H884" t="n">
        <v>0</v>
      </c>
      <c r="I884" t="n">
        <v>0</v>
      </c>
      <c r="J884" t="n">
        <v>0</v>
      </c>
      <c r="K884" t="n">
        <v>0</v>
      </c>
      <c r="L884" t="n">
        <v>0</v>
      </c>
      <c r="M884" t="n">
        <v>0</v>
      </c>
      <c r="N884" t="n">
        <v>0</v>
      </c>
      <c r="O884" t="n">
        <v>0</v>
      </c>
      <c r="P884" t="n">
        <v>0</v>
      </c>
      <c r="Q884" t="n">
        <v>0</v>
      </c>
      <c r="R884" s="2" t="inlineStr"/>
    </row>
    <row r="885" ht="15" customHeight="1">
      <c r="A885" t="inlineStr">
        <is>
          <t>A 36291-2022</t>
        </is>
      </c>
      <c r="B885" s="1" t="n">
        <v>44803.64361111111</v>
      </c>
      <c r="C885" s="1" t="n">
        <v>46126</v>
      </c>
      <c r="D885" t="inlineStr">
        <is>
          <t>ÖREBRO LÄN</t>
        </is>
      </c>
      <c r="E885" t="inlineStr">
        <is>
          <t>LINDESBERG</t>
        </is>
      </c>
      <c r="G885" t="n">
        <v>3.8</v>
      </c>
      <c r="H885" t="n">
        <v>0</v>
      </c>
      <c r="I885" t="n">
        <v>0</v>
      </c>
      <c r="J885" t="n">
        <v>0</v>
      </c>
      <c r="K885" t="n">
        <v>0</v>
      </c>
      <c r="L885" t="n">
        <v>0</v>
      </c>
      <c r="M885" t="n">
        <v>0</v>
      </c>
      <c r="N885" t="n">
        <v>0</v>
      </c>
      <c r="O885" t="n">
        <v>0</v>
      </c>
      <c r="P885" t="n">
        <v>0</v>
      </c>
      <c r="Q885" t="n">
        <v>0</v>
      </c>
      <c r="R885" s="2" t="inlineStr"/>
    </row>
    <row r="886" ht="15" customHeight="1">
      <c r="A886" t="inlineStr">
        <is>
          <t>A 61597-2023</t>
        </is>
      </c>
      <c r="B886" s="1" t="n">
        <v>45265.49225694445</v>
      </c>
      <c r="C886" s="1" t="n">
        <v>46126</v>
      </c>
      <c r="D886" t="inlineStr">
        <is>
          <t>ÖREBRO LÄN</t>
        </is>
      </c>
      <c r="E886" t="inlineStr">
        <is>
          <t>LINDESBERG</t>
        </is>
      </c>
      <c r="G886" t="n">
        <v>10.3</v>
      </c>
      <c r="H886" t="n">
        <v>0</v>
      </c>
      <c r="I886" t="n">
        <v>0</v>
      </c>
      <c r="J886" t="n">
        <v>0</v>
      </c>
      <c r="K886" t="n">
        <v>0</v>
      </c>
      <c r="L886" t="n">
        <v>0</v>
      </c>
      <c r="M886" t="n">
        <v>0</v>
      </c>
      <c r="N886" t="n">
        <v>0</v>
      </c>
      <c r="O886" t="n">
        <v>0</v>
      </c>
      <c r="P886" t="n">
        <v>0</v>
      </c>
      <c r="Q886" t="n">
        <v>0</v>
      </c>
      <c r="R886" s="2" t="inlineStr"/>
    </row>
    <row r="887" ht="15" customHeight="1">
      <c r="A887" t="inlineStr">
        <is>
          <t>A 18061-2026</t>
        </is>
      </c>
      <c r="B887" s="1" t="n">
        <v>46125.46030092592</v>
      </c>
      <c r="C887" s="1" t="n">
        <v>46126</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62968-2023</t>
        </is>
      </c>
      <c r="B888" s="1" t="n">
        <v>45272.57385416667</v>
      </c>
      <c r="C888" s="1" t="n">
        <v>46126</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24270-2023</t>
        </is>
      </c>
      <c r="B889" s="1" t="n">
        <v>45079</v>
      </c>
      <c r="C889" s="1" t="n">
        <v>46126</v>
      </c>
      <c r="D889" t="inlineStr">
        <is>
          <t>ÖREBRO LÄN</t>
        </is>
      </c>
      <c r="E889" t="inlineStr">
        <is>
          <t>LINDESBERG</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24271-2023</t>
        </is>
      </c>
      <c r="B890" s="1" t="n">
        <v>45079</v>
      </c>
      <c r="C890" s="1" t="n">
        <v>46126</v>
      </c>
      <c r="D890" t="inlineStr">
        <is>
          <t>ÖREBRO LÄN</t>
        </is>
      </c>
      <c r="E890" t="inlineStr">
        <is>
          <t>LINDESBERG</t>
        </is>
      </c>
      <c r="F890" t="inlineStr">
        <is>
          <t>Sveaskog</t>
        </is>
      </c>
      <c r="G890" t="n">
        <v>0.4</v>
      </c>
      <c r="H890" t="n">
        <v>0</v>
      </c>
      <c r="I890" t="n">
        <v>0</v>
      </c>
      <c r="J890" t="n">
        <v>0</v>
      </c>
      <c r="K890" t="n">
        <v>0</v>
      </c>
      <c r="L890" t="n">
        <v>0</v>
      </c>
      <c r="M890" t="n">
        <v>0</v>
      </c>
      <c r="N890" t="n">
        <v>0</v>
      </c>
      <c r="O890" t="n">
        <v>0</v>
      </c>
      <c r="P890" t="n">
        <v>0</v>
      </c>
      <c r="Q890" t="n">
        <v>0</v>
      </c>
      <c r="R890" s="2" t="inlineStr"/>
    </row>
    <row r="891" ht="15" customHeight="1">
      <c r="A891" t="inlineStr">
        <is>
          <t>A 62866-2023</t>
        </is>
      </c>
      <c r="B891" s="1" t="n">
        <v>45272.36168981482</v>
      </c>
      <c r="C891" s="1" t="n">
        <v>46126</v>
      </c>
      <c r="D891" t="inlineStr">
        <is>
          <t>ÖREBRO LÄN</t>
        </is>
      </c>
      <c r="E891" t="inlineStr">
        <is>
          <t>LINDESBERG</t>
        </is>
      </c>
      <c r="G891" t="n">
        <v>14.5</v>
      </c>
      <c r="H891" t="n">
        <v>0</v>
      </c>
      <c r="I891" t="n">
        <v>0</v>
      </c>
      <c r="J891" t="n">
        <v>0</v>
      </c>
      <c r="K891" t="n">
        <v>0</v>
      </c>
      <c r="L891" t="n">
        <v>0</v>
      </c>
      <c r="M891" t="n">
        <v>0</v>
      </c>
      <c r="N891" t="n">
        <v>0</v>
      </c>
      <c r="O891" t="n">
        <v>0</v>
      </c>
      <c r="P891" t="n">
        <v>0</v>
      </c>
      <c r="Q891" t="n">
        <v>0</v>
      </c>
      <c r="R891" s="2" t="inlineStr"/>
    </row>
    <row r="892" ht="15" customHeight="1">
      <c r="A892" t="inlineStr">
        <is>
          <t>A 13416-2025</t>
        </is>
      </c>
      <c r="B892" s="1" t="n">
        <v>45736.308125</v>
      </c>
      <c r="C892" s="1" t="n">
        <v>46126</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4013-2025</t>
        </is>
      </c>
      <c r="B893" s="1" t="n">
        <v>45684.5790162037</v>
      </c>
      <c r="C893" s="1" t="n">
        <v>46126</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44803-2024</t>
        </is>
      </c>
      <c r="B894" s="1" t="n">
        <v>45574.65087962963</v>
      </c>
      <c r="C894" s="1" t="n">
        <v>46126</v>
      </c>
      <c r="D894" t="inlineStr">
        <is>
          <t>ÖREBRO LÄN</t>
        </is>
      </c>
      <c r="E894" t="inlineStr">
        <is>
          <t>LINDESBERG</t>
        </is>
      </c>
      <c r="F894" t="inlineStr">
        <is>
          <t>Sveaskog</t>
        </is>
      </c>
      <c r="G894" t="n">
        <v>6.8</v>
      </c>
      <c r="H894" t="n">
        <v>0</v>
      </c>
      <c r="I894" t="n">
        <v>0</v>
      </c>
      <c r="J894" t="n">
        <v>0</v>
      </c>
      <c r="K894" t="n">
        <v>0</v>
      </c>
      <c r="L894" t="n">
        <v>0</v>
      </c>
      <c r="M894" t="n">
        <v>0</v>
      </c>
      <c r="N894" t="n">
        <v>0</v>
      </c>
      <c r="O894" t="n">
        <v>0</v>
      </c>
      <c r="P894" t="n">
        <v>0</v>
      </c>
      <c r="Q894" t="n">
        <v>0</v>
      </c>
      <c r="R894" s="2" t="inlineStr"/>
    </row>
    <row r="895" ht="15" customHeight="1">
      <c r="A895" t="inlineStr">
        <is>
          <t>A 27130-2024</t>
        </is>
      </c>
      <c r="B895" s="1" t="n">
        <v>45471.52072916667</v>
      </c>
      <c r="C895" s="1" t="n">
        <v>46126</v>
      </c>
      <c r="D895" t="inlineStr">
        <is>
          <t>ÖREBRO LÄN</t>
        </is>
      </c>
      <c r="E895" t="inlineStr">
        <is>
          <t>LINDESBERG</t>
        </is>
      </c>
      <c r="G895" t="n">
        <v>2</v>
      </c>
      <c r="H895" t="n">
        <v>0</v>
      </c>
      <c r="I895" t="n">
        <v>0</v>
      </c>
      <c r="J895" t="n">
        <v>0</v>
      </c>
      <c r="K895" t="n">
        <v>0</v>
      </c>
      <c r="L895" t="n">
        <v>0</v>
      </c>
      <c r="M895" t="n">
        <v>0</v>
      </c>
      <c r="N895" t="n">
        <v>0</v>
      </c>
      <c r="O895" t="n">
        <v>0</v>
      </c>
      <c r="P895" t="n">
        <v>0</v>
      </c>
      <c r="Q895" t="n">
        <v>0</v>
      </c>
      <c r="R895" s="2" t="inlineStr"/>
    </row>
    <row r="896" ht="15" customHeight="1">
      <c r="A896" t="inlineStr">
        <is>
          <t>A 59804-2023</t>
        </is>
      </c>
      <c r="B896" s="1" t="n">
        <v>45257.48188657407</v>
      </c>
      <c r="C896" s="1" t="n">
        <v>46126</v>
      </c>
      <c r="D896" t="inlineStr">
        <is>
          <t>ÖREBRO LÄN</t>
        </is>
      </c>
      <c r="E896" t="inlineStr">
        <is>
          <t>LINDESBERG</t>
        </is>
      </c>
      <c r="G896" t="n">
        <v>1.2</v>
      </c>
      <c r="H896" t="n">
        <v>0</v>
      </c>
      <c r="I896" t="n">
        <v>0</v>
      </c>
      <c r="J896" t="n">
        <v>0</v>
      </c>
      <c r="K896" t="n">
        <v>0</v>
      </c>
      <c r="L896" t="n">
        <v>0</v>
      </c>
      <c r="M896" t="n">
        <v>0</v>
      </c>
      <c r="N896" t="n">
        <v>0</v>
      </c>
      <c r="O896" t="n">
        <v>0</v>
      </c>
      <c r="P896" t="n">
        <v>0</v>
      </c>
      <c r="Q896" t="n">
        <v>0</v>
      </c>
      <c r="R896" s="2" t="inlineStr"/>
    </row>
    <row r="897" ht="15" customHeight="1">
      <c r="A897" t="inlineStr">
        <is>
          <t>A 27434-2023</t>
        </is>
      </c>
      <c r="B897" s="1" t="n">
        <v>45097.38688657407</v>
      </c>
      <c r="C897" s="1" t="n">
        <v>46126</v>
      </c>
      <c r="D897" t="inlineStr">
        <is>
          <t>ÖREBRO LÄN</t>
        </is>
      </c>
      <c r="E897" t="inlineStr">
        <is>
          <t>LINDESBERG</t>
        </is>
      </c>
      <c r="G897" t="n">
        <v>10.7</v>
      </c>
      <c r="H897" t="n">
        <v>0</v>
      </c>
      <c r="I897" t="n">
        <v>0</v>
      </c>
      <c r="J897" t="n">
        <v>0</v>
      </c>
      <c r="K897" t="n">
        <v>0</v>
      </c>
      <c r="L897" t="n">
        <v>0</v>
      </c>
      <c r="M897" t="n">
        <v>0</v>
      </c>
      <c r="N897" t="n">
        <v>0</v>
      </c>
      <c r="O897" t="n">
        <v>0</v>
      </c>
      <c r="P897" t="n">
        <v>0</v>
      </c>
      <c r="Q897" t="n">
        <v>0</v>
      </c>
      <c r="R897" s="2" t="inlineStr"/>
    </row>
    <row r="898" ht="15" customHeight="1">
      <c r="A898" t="inlineStr">
        <is>
          <t>A 45060-2024</t>
        </is>
      </c>
      <c r="B898" s="1" t="n">
        <v>45575.55570601852</v>
      </c>
      <c r="C898" s="1" t="n">
        <v>46126</v>
      </c>
      <c r="D898" t="inlineStr">
        <is>
          <t>ÖREBRO LÄN</t>
        </is>
      </c>
      <c r="E898" t="inlineStr">
        <is>
          <t>LINDESBERG</t>
        </is>
      </c>
      <c r="F898" t="inlineStr">
        <is>
          <t>Sveaskog</t>
        </is>
      </c>
      <c r="G898" t="n">
        <v>4.6</v>
      </c>
      <c r="H898" t="n">
        <v>0</v>
      </c>
      <c r="I898" t="n">
        <v>0</v>
      </c>
      <c r="J898" t="n">
        <v>0</v>
      </c>
      <c r="K898" t="n">
        <v>0</v>
      </c>
      <c r="L898" t="n">
        <v>0</v>
      </c>
      <c r="M898" t="n">
        <v>0</v>
      </c>
      <c r="N898" t="n">
        <v>0</v>
      </c>
      <c r="O898" t="n">
        <v>0</v>
      </c>
      <c r="P898" t="n">
        <v>0</v>
      </c>
      <c r="Q898" t="n">
        <v>0</v>
      </c>
      <c r="R898" s="2" t="inlineStr"/>
    </row>
    <row r="899" ht="15" customHeight="1">
      <c r="A899" t="inlineStr">
        <is>
          <t>A 72706-2021</t>
        </is>
      </c>
      <c r="B899" s="1" t="n">
        <v>44546.67222222222</v>
      </c>
      <c r="C899" s="1" t="n">
        <v>46126</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53366-2023</t>
        </is>
      </c>
      <c r="B900" s="1" t="n">
        <v>45229</v>
      </c>
      <c r="C900" s="1" t="n">
        <v>46126</v>
      </c>
      <c r="D900" t="inlineStr">
        <is>
          <t>ÖREBRO LÄN</t>
        </is>
      </c>
      <c r="E900" t="inlineStr">
        <is>
          <t>LINDESBERG</t>
        </is>
      </c>
      <c r="G900" t="n">
        <v>1.9</v>
      </c>
      <c r="H900" t="n">
        <v>0</v>
      </c>
      <c r="I900" t="n">
        <v>0</v>
      </c>
      <c r="J900" t="n">
        <v>0</v>
      </c>
      <c r="K900" t="n">
        <v>0</v>
      </c>
      <c r="L900" t="n">
        <v>0</v>
      </c>
      <c r="M900" t="n">
        <v>0</v>
      </c>
      <c r="N900" t="n">
        <v>0</v>
      </c>
      <c r="O900" t="n">
        <v>0</v>
      </c>
      <c r="P900" t="n">
        <v>0</v>
      </c>
      <c r="Q900" t="n">
        <v>0</v>
      </c>
      <c r="R900" s="2" t="inlineStr"/>
    </row>
    <row r="901" ht="15" customHeight="1">
      <c r="A901" t="inlineStr">
        <is>
          <t>A 19219-2023</t>
        </is>
      </c>
      <c r="B901" s="1" t="n">
        <v>45048</v>
      </c>
      <c r="C901" s="1" t="n">
        <v>46126</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19043-2023</t>
        </is>
      </c>
      <c r="B902" s="1" t="n">
        <v>45047.7181712963</v>
      </c>
      <c r="C902" s="1" t="n">
        <v>46126</v>
      </c>
      <c r="D902" t="inlineStr">
        <is>
          <t>ÖREBRO LÄN</t>
        </is>
      </c>
      <c r="E902" t="inlineStr">
        <is>
          <t>LINDESBERG</t>
        </is>
      </c>
      <c r="G902" t="n">
        <v>2.6</v>
      </c>
      <c r="H902" t="n">
        <v>0</v>
      </c>
      <c r="I902" t="n">
        <v>0</v>
      </c>
      <c r="J902" t="n">
        <v>0</v>
      </c>
      <c r="K902" t="n">
        <v>0</v>
      </c>
      <c r="L902" t="n">
        <v>0</v>
      </c>
      <c r="M902" t="n">
        <v>0</v>
      </c>
      <c r="N902" t="n">
        <v>0</v>
      </c>
      <c r="O902" t="n">
        <v>0</v>
      </c>
      <c r="P902" t="n">
        <v>0</v>
      </c>
      <c r="Q902" t="n">
        <v>0</v>
      </c>
      <c r="R902" s="2" t="inlineStr"/>
    </row>
    <row r="903" ht="15" customHeight="1">
      <c r="A903" t="inlineStr">
        <is>
          <t>A 27031-2024</t>
        </is>
      </c>
      <c r="B903" s="1" t="n">
        <v>45471.42659722222</v>
      </c>
      <c r="C903" s="1" t="n">
        <v>46126</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38696-2024</t>
        </is>
      </c>
      <c r="B904" s="1" t="n">
        <v>45547.36590277778</v>
      </c>
      <c r="C904" s="1" t="n">
        <v>46126</v>
      </c>
      <c r="D904" t="inlineStr">
        <is>
          <t>ÖREBRO LÄN</t>
        </is>
      </c>
      <c r="E904" t="inlineStr">
        <is>
          <t>LINDESBERG</t>
        </is>
      </c>
      <c r="G904" t="n">
        <v>2</v>
      </c>
      <c r="H904" t="n">
        <v>0</v>
      </c>
      <c r="I904" t="n">
        <v>0</v>
      </c>
      <c r="J904" t="n">
        <v>0</v>
      </c>
      <c r="K904" t="n">
        <v>0</v>
      </c>
      <c r="L904" t="n">
        <v>0</v>
      </c>
      <c r="M904" t="n">
        <v>0</v>
      </c>
      <c r="N904" t="n">
        <v>0</v>
      </c>
      <c r="O904" t="n">
        <v>0</v>
      </c>
      <c r="P904" t="n">
        <v>0</v>
      </c>
      <c r="Q904" t="n">
        <v>0</v>
      </c>
      <c r="R904" s="2" t="inlineStr"/>
    </row>
    <row r="905" ht="15" customHeight="1">
      <c r="A905" t="inlineStr">
        <is>
          <t>A 54663-2021</t>
        </is>
      </c>
      <c r="B905" s="1" t="n">
        <v>44473.6343287037</v>
      </c>
      <c r="C905" s="1" t="n">
        <v>46126</v>
      </c>
      <c r="D905" t="inlineStr">
        <is>
          <t>ÖREBRO LÄN</t>
        </is>
      </c>
      <c r="E905" t="inlineStr">
        <is>
          <t>LINDESBERG</t>
        </is>
      </c>
      <c r="G905" t="n">
        <v>1.2</v>
      </c>
      <c r="H905" t="n">
        <v>0</v>
      </c>
      <c r="I905" t="n">
        <v>0</v>
      </c>
      <c r="J905" t="n">
        <v>0</v>
      </c>
      <c r="K905" t="n">
        <v>0</v>
      </c>
      <c r="L905" t="n">
        <v>0</v>
      </c>
      <c r="M905" t="n">
        <v>0</v>
      </c>
      <c r="N905" t="n">
        <v>0</v>
      </c>
      <c r="O905" t="n">
        <v>0</v>
      </c>
      <c r="P905" t="n">
        <v>0</v>
      </c>
      <c r="Q905" t="n">
        <v>0</v>
      </c>
      <c r="R905" s="2" t="inlineStr"/>
    </row>
    <row r="906" ht="15" customHeight="1">
      <c r="A906" t="inlineStr">
        <is>
          <t>A 32262-2021</t>
        </is>
      </c>
      <c r="B906" s="1" t="n">
        <v>44371.47609953704</v>
      </c>
      <c r="C906" s="1" t="n">
        <v>46126</v>
      </c>
      <c r="D906" t="inlineStr">
        <is>
          <t>ÖREBRO LÄN</t>
        </is>
      </c>
      <c r="E906" t="inlineStr">
        <is>
          <t>LINDESBERG</t>
        </is>
      </c>
      <c r="G906" t="n">
        <v>0.9</v>
      </c>
      <c r="H906" t="n">
        <v>0</v>
      </c>
      <c r="I906" t="n">
        <v>0</v>
      </c>
      <c r="J906" t="n">
        <v>0</v>
      </c>
      <c r="K906" t="n">
        <v>0</v>
      </c>
      <c r="L906" t="n">
        <v>0</v>
      </c>
      <c r="M906" t="n">
        <v>0</v>
      </c>
      <c r="N906" t="n">
        <v>0</v>
      </c>
      <c r="O906" t="n">
        <v>0</v>
      </c>
      <c r="P906" t="n">
        <v>0</v>
      </c>
      <c r="Q906" t="n">
        <v>0</v>
      </c>
      <c r="R906" s="2" t="inlineStr"/>
    </row>
    <row r="907" ht="15" customHeight="1">
      <c r="A907" t="inlineStr">
        <is>
          <t>A 48265-2021</t>
        </is>
      </c>
      <c r="B907" s="1" t="n">
        <v>44449</v>
      </c>
      <c r="C907" s="1" t="n">
        <v>46126</v>
      </c>
      <c r="D907" t="inlineStr">
        <is>
          <t>ÖREBRO LÄN</t>
        </is>
      </c>
      <c r="E907" t="inlineStr">
        <is>
          <t>LINDESBERG</t>
        </is>
      </c>
      <c r="G907" t="n">
        <v>23.7</v>
      </c>
      <c r="H907" t="n">
        <v>0</v>
      </c>
      <c r="I907" t="n">
        <v>0</v>
      </c>
      <c r="J907" t="n">
        <v>0</v>
      </c>
      <c r="K907" t="n">
        <v>0</v>
      </c>
      <c r="L907" t="n">
        <v>0</v>
      </c>
      <c r="M907" t="n">
        <v>0</v>
      </c>
      <c r="N907" t="n">
        <v>0</v>
      </c>
      <c r="O907" t="n">
        <v>0</v>
      </c>
      <c r="P907" t="n">
        <v>0</v>
      </c>
      <c r="Q907" t="n">
        <v>0</v>
      </c>
      <c r="R907" s="2" t="inlineStr"/>
    </row>
    <row r="908" ht="15" customHeight="1">
      <c r="A908" t="inlineStr">
        <is>
          <t>A 14028-2023</t>
        </is>
      </c>
      <c r="B908" s="1" t="n">
        <v>45008</v>
      </c>
      <c r="C908" s="1" t="n">
        <v>46126</v>
      </c>
      <c r="D908" t="inlineStr">
        <is>
          <t>ÖREBRO LÄN</t>
        </is>
      </c>
      <c r="E908" t="inlineStr">
        <is>
          <t>LINDESBERG</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57069-2022</t>
        </is>
      </c>
      <c r="B909" s="1" t="n">
        <v>44895</v>
      </c>
      <c r="C909" s="1" t="n">
        <v>46126</v>
      </c>
      <c r="D909" t="inlineStr">
        <is>
          <t>ÖREBRO LÄN</t>
        </is>
      </c>
      <c r="E909" t="inlineStr">
        <is>
          <t>LINDESBERG</t>
        </is>
      </c>
      <c r="G909" t="n">
        <v>2.3</v>
      </c>
      <c r="H909" t="n">
        <v>0</v>
      </c>
      <c r="I909" t="n">
        <v>0</v>
      </c>
      <c r="J909" t="n">
        <v>0</v>
      </c>
      <c r="K909" t="n">
        <v>0</v>
      </c>
      <c r="L909" t="n">
        <v>0</v>
      </c>
      <c r="M909" t="n">
        <v>0</v>
      </c>
      <c r="N909" t="n">
        <v>0</v>
      </c>
      <c r="O909" t="n">
        <v>0</v>
      </c>
      <c r="P909" t="n">
        <v>0</v>
      </c>
      <c r="Q909" t="n">
        <v>0</v>
      </c>
      <c r="R909" s="2" t="inlineStr"/>
    </row>
    <row r="910" ht="15" customHeight="1">
      <c r="A910" t="inlineStr">
        <is>
          <t>A 61405-2022</t>
        </is>
      </c>
      <c r="B910" s="1" t="n">
        <v>44916</v>
      </c>
      <c r="C910" s="1" t="n">
        <v>46126</v>
      </c>
      <c r="D910" t="inlineStr">
        <is>
          <t>ÖREBRO LÄN</t>
        </is>
      </c>
      <c r="E910" t="inlineStr">
        <is>
          <t>LINDESBERG</t>
        </is>
      </c>
      <c r="G910" t="n">
        <v>4.4</v>
      </c>
      <c r="H910" t="n">
        <v>0</v>
      </c>
      <c r="I910" t="n">
        <v>0</v>
      </c>
      <c r="J910" t="n">
        <v>0</v>
      </c>
      <c r="K910" t="n">
        <v>0</v>
      </c>
      <c r="L910" t="n">
        <v>0</v>
      </c>
      <c r="M910" t="n">
        <v>0</v>
      </c>
      <c r="N910" t="n">
        <v>0</v>
      </c>
      <c r="O910" t="n">
        <v>0</v>
      </c>
      <c r="P910" t="n">
        <v>0</v>
      </c>
      <c r="Q910" t="n">
        <v>0</v>
      </c>
      <c r="R910" s="2" t="inlineStr"/>
    </row>
    <row r="911" ht="15" customHeight="1">
      <c r="A911" t="inlineStr">
        <is>
          <t>A 9961-2023</t>
        </is>
      </c>
      <c r="B911" s="1" t="n">
        <v>44979</v>
      </c>
      <c r="C911" s="1" t="n">
        <v>46126</v>
      </c>
      <c r="D911" t="inlineStr">
        <is>
          <t>ÖREBRO LÄN</t>
        </is>
      </c>
      <c r="E911" t="inlineStr">
        <is>
          <t>LINDESBERG</t>
        </is>
      </c>
      <c r="G911" t="n">
        <v>4.8</v>
      </c>
      <c r="H911" t="n">
        <v>0</v>
      </c>
      <c r="I911" t="n">
        <v>0</v>
      </c>
      <c r="J911" t="n">
        <v>0</v>
      </c>
      <c r="K911" t="n">
        <v>0</v>
      </c>
      <c r="L911" t="n">
        <v>0</v>
      </c>
      <c r="M911" t="n">
        <v>0</v>
      </c>
      <c r="N911" t="n">
        <v>0</v>
      </c>
      <c r="O911" t="n">
        <v>0</v>
      </c>
      <c r="P911" t="n">
        <v>0</v>
      </c>
      <c r="Q911" t="n">
        <v>0</v>
      </c>
      <c r="R911" s="2" t="inlineStr"/>
    </row>
    <row r="912" ht="15" customHeight="1">
      <c r="A912" t="inlineStr">
        <is>
          <t>A 45041-2024</t>
        </is>
      </c>
      <c r="B912" s="1" t="n">
        <v>45575.53690972222</v>
      </c>
      <c r="C912" s="1" t="n">
        <v>46126</v>
      </c>
      <c r="D912" t="inlineStr">
        <is>
          <t>ÖREBRO LÄN</t>
        </is>
      </c>
      <c r="E912" t="inlineStr">
        <is>
          <t>LINDESBERG</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45068-2024</t>
        </is>
      </c>
      <c r="B913" s="1" t="n">
        <v>45575.56256944445</v>
      </c>
      <c r="C913" s="1" t="n">
        <v>46126</v>
      </c>
      <c r="D913" t="inlineStr">
        <is>
          <t>ÖREBRO LÄN</t>
        </is>
      </c>
      <c r="E913" t="inlineStr">
        <is>
          <t>LINDESBERG</t>
        </is>
      </c>
      <c r="F913" t="inlineStr">
        <is>
          <t>Sveaskog</t>
        </is>
      </c>
      <c r="G913" t="n">
        <v>16.5</v>
      </c>
      <c r="H913" t="n">
        <v>0</v>
      </c>
      <c r="I913" t="n">
        <v>0</v>
      </c>
      <c r="J913" t="n">
        <v>0</v>
      </c>
      <c r="K913" t="n">
        <v>0</v>
      </c>
      <c r="L913" t="n">
        <v>0</v>
      </c>
      <c r="M913" t="n">
        <v>0</v>
      </c>
      <c r="N913" t="n">
        <v>0</v>
      </c>
      <c r="O913" t="n">
        <v>0</v>
      </c>
      <c r="P913" t="n">
        <v>0</v>
      </c>
      <c r="Q913" t="n">
        <v>0</v>
      </c>
      <c r="R913" s="2" t="inlineStr"/>
    </row>
    <row r="914" ht="15" customHeight="1">
      <c r="A914" t="inlineStr">
        <is>
          <t>A 39419-2023</t>
        </is>
      </c>
      <c r="B914" s="1" t="n">
        <v>45166.68493055556</v>
      </c>
      <c r="C914" s="1" t="n">
        <v>46126</v>
      </c>
      <c r="D914" t="inlineStr">
        <is>
          <t>ÖREBRO LÄN</t>
        </is>
      </c>
      <c r="E914" t="inlineStr">
        <is>
          <t>LINDESBERG</t>
        </is>
      </c>
      <c r="F914" t="inlineStr">
        <is>
          <t>Sveaskog</t>
        </is>
      </c>
      <c r="G914" t="n">
        <v>0.4</v>
      </c>
      <c r="H914" t="n">
        <v>0</v>
      </c>
      <c r="I914" t="n">
        <v>0</v>
      </c>
      <c r="J914" t="n">
        <v>0</v>
      </c>
      <c r="K914" t="n">
        <v>0</v>
      </c>
      <c r="L914" t="n">
        <v>0</v>
      </c>
      <c r="M914" t="n">
        <v>0</v>
      </c>
      <c r="N914" t="n">
        <v>0</v>
      </c>
      <c r="O914" t="n">
        <v>0</v>
      </c>
      <c r="P914" t="n">
        <v>0</v>
      </c>
      <c r="Q914" t="n">
        <v>0</v>
      </c>
      <c r="R914" s="2" t="inlineStr"/>
    </row>
    <row r="915" ht="15" customHeight="1">
      <c r="A915" t="inlineStr">
        <is>
          <t>A 15745-2024</t>
        </is>
      </c>
      <c r="B915" s="1" t="n">
        <v>45404.55239583334</v>
      </c>
      <c r="C915" s="1" t="n">
        <v>46126</v>
      </c>
      <c r="D915" t="inlineStr">
        <is>
          <t>ÖREBRO LÄN</t>
        </is>
      </c>
      <c r="E915" t="inlineStr">
        <is>
          <t>LINDESBERG</t>
        </is>
      </c>
      <c r="F915" t="inlineStr">
        <is>
          <t>Sveaskog</t>
        </is>
      </c>
      <c r="G915" t="n">
        <v>6.2</v>
      </c>
      <c r="H915" t="n">
        <v>0</v>
      </c>
      <c r="I915" t="n">
        <v>0</v>
      </c>
      <c r="J915" t="n">
        <v>0</v>
      </c>
      <c r="K915" t="n">
        <v>0</v>
      </c>
      <c r="L915" t="n">
        <v>0</v>
      </c>
      <c r="M915" t="n">
        <v>0</v>
      </c>
      <c r="N915" t="n">
        <v>0</v>
      </c>
      <c r="O915" t="n">
        <v>0</v>
      </c>
      <c r="P915" t="n">
        <v>0</v>
      </c>
      <c r="Q915" t="n">
        <v>0</v>
      </c>
      <c r="R915" s="2" t="inlineStr"/>
    </row>
    <row r="916" ht="15" customHeight="1">
      <c r="A916" t="inlineStr">
        <is>
          <t>A 15750-2024</t>
        </is>
      </c>
      <c r="B916" s="1" t="n">
        <v>45404.55601851852</v>
      </c>
      <c r="C916" s="1" t="n">
        <v>46126</v>
      </c>
      <c r="D916" t="inlineStr">
        <is>
          <t>ÖREBRO LÄN</t>
        </is>
      </c>
      <c r="E916" t="inlineStr">
        <is>
          <t>LINDESBERG</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60115-2022</t>
        </is>
      </c>
      <c r="B917" s="1" t="n">
        <v>44902</v>
      </c>
      <c r="C917" s="1" t="n">
        <v>46126</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29857-2023</t>
        </is>
      </c>
      <c r="B918" s="1" t="n">
        <v>45107</v>
      </c>
      <c r="C918" s="1" t="n">
        <v>46126</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44664-2023</t>
        </is>
      </c>
      <c r="B919" s="1" t="n">
        <v>45189</v>
      </c>
      <c r="C919" s="1" t="n">
        <v>46126</v>
      </c>
      <c r="D919" t="inlineStr">
        <is>
          <t>ÖREBRO LÄN</t>
        </is>
      </c>
      <c r="E919" t="inlineStr">
        <is>
          <t>LINDESBERG</t>
        </is>
      </c>
      <c r="G919" t="n">
        <v>2.1</v>
      </c>
      <c r="H919" t="n">
        <v>0</v>
      </c>
      <c r="I919" t="n">
        <v>0</v>
      </c>
      <c r="J919" t="n">
        <v>0</v>
      </c>
      <c r="K919" t="n">
        <v>0</v>
      </c>
      <c r="L919" t="n">
        <v>0</v>
      </c>
      <c r="M919" t="n">
        <v>0</v>
      </c>
      <c r="N919" t="n">
        <v>0</v>
      </c>
      <c r="O919" t="n">
        <v>0</v>
      </c>
      <c r="P919" t="n">
        <v>0</v>
      </c>
      <c r="Q919" t="n">
        <v>0</v>
      </c>
      <c r="R919" s="2" t="inlineStr"/>
    </row>
    <row r="920" ht="15" customHeight="1">
      <c r="A920" t="inlineStr">
        <is>
          <t>A 18610-2021</t>
        </is>
      </c>
      <c r="B920" s="1" t="n">
        <v>44306.6371412037</v>
      </c>
      <c r="C920" s="1" t="n">
        <v>46126</v>
      </c>
      <c r="D920" t="inlineStr">
        <is>
          <t>ÖREBRO LÄN</t>
        </is>
      </c>
      <c r="E920" t="inlineStr">
        <is>
          <t>LINDESBERG</t>
        </is>
      </c>
      <c r="G920" t="n">
        <v>3</v>
      </c>
      <c r="H920" t="n">
        <v>0</v>
      </c>
      <c r="I920" t="n">
        <v>0</v>
      </c>
      <c r="J920" t="n">
        <v>0</v>
      </c>
      <c r="K920" t="n">
        <v>0</v>
      </c>
      <c r="L920" t="n">
        <v>0</v>
      </c>
      <c r="M920" t="n">
        <v>0</v>
      </c>
      <c r="N920" t="n">
        <v>0</v>
      </c>
      <c r="O920" t="n">
        <v>0</v>
      </c>
      <c r="P920" t="n">
        <v>0</v>
      </c>
      <c r="Q920" t="n">
        <v>0</v>
      </c>
      <c r="R920" s="2" t="inlineStr"/>
    </row>
    <row r="921" ht="15" customHeight="1">
      <c r="A921" t="inlineStr">
        <is>
          <t>A 19026-2021</t>
        </is>
      </c>
      <c r="B921" s="1" t="n">
        <v>44308</v>
      </c>
      <c r="C921" s="1" t="n">
        <v>46126</v>
      </c>
      <c r="D921" t="inlineStr">
        <is>
          <t>ÖREBRO LÄN</t>
        </is>
      </c>
      <c r="E921" t="inlineStr">
        <is>
          <t>LINDESBERG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47535-2022</t>
        </is>
      </c>
      <c r="B922" s="1" t="n">
        <v>44853.79818287037</v>
      </c>
      <c r="C922" s="1" t="n">
        <v>46126</v>
      </c>
      <c r="D922" t="inlineStr">
        <is>
          <t>ÖREBRO LÄN</t>
        </is>
      </c>
      <c r="E922" t="inlineStr">
        <is>
          <t>LINDESBERG</t>
        </is>
      </c>
      <c r="G922" t="n">
        <v>3</v>
      </c>
      <c r="H922" t="n">
        <v>0</v>
      </c>
      <c r="I922" t="n">
        <v>0</v>
      </c>
      <c r="J922" t="n">
        <v>0</v>
      </c>
      <c r="K922" t="n">
        <v>0</v>
      </c>
      <c r="L922" t="n">
        <v>0</v>
      </c>
      <c r="M922" t="n">
        <v>0</v>
      </c>
      <c r="N922" t="n">
        <v>0</v>
      </c>
      <c r="O922" t="n">
        <v>0</v>
      </c>
      <c r="P922" t="n">
        <v>0</v>
      </c>
      <c r="Q922" t="n">
        <v>0</v>
      </c>
      <c r="R922" s="2" t="inlineStr"/>
    </row>
    <row r="923" ht="15" customHeight="1">
      <c r="A923" t="inlineStr">
        <is>
          <t>A 30830-2024</t>
        </is>
      </c>
      <c r="B923" s="1" t="n">
        <v>45497</v>
      </c>
      <c r="C923" s="1" t="n">
        <v>46126</v>
      </c>
      <c r="D923" t="inlineStr">
        <is>
          <t>ÖREBRO LÄN</t>
        </is>
      </c>
      <c r="E923" t="inlineStr">
        <is>
          <t>LINDESBERG</t>
        </is>
      </c>
      <c r="G923" t="n">
        <v>2.8</v>
      </c>
      <c r="H923" t="n">
        <v>0</v>
      </c>
      <c r="I923" t="n">
        <v>0</v>
      </c>
      <c r="J923" t="n">
        <v>0</v>
      </c>
      <c r="K923" t="n">
        <v>0</v>
      </c>
      <c r="L923" t="n">
        <v>0</v>
      </c>
      <c r="M923" t="n">
        <v>0</v>
      </c>
      <c r="N923" t="n">
        <v>0</v>
      </c>
      <c r="O923" t="n">
        <v>0</v>
      </c>
      <c r="P923" t="n">
        <v>0</v>
      </c>
      <c r="Q923" t="n">
        <v>0</v>
      </c>
      <c r="R923" s="2" t="inlineStr"/>
    </row>
    <row r="924" ht="15" customHeight="1">
      <c r="A924" t="inlineStr">
        <is>
          <t>A 59395-2022</t>
        </is>
      </c>
      <c r="B924" s="1" t="n">
        <v>44906.73321759259</v>
      </c>
      <c r="C924" s="1" t="n">
        <v>46126</v>
      </c>
      <c r="D924" t="inlineStr">
        <is>
          <t>ÖREBRO LÄN</t>
        </is>
      </c>
      <c r="E924" t="inlineStr">
        <is>
          <t>LINDESBERG</t>
        </is>
      </c>
      <c r="G924" t="n">
        <v>4.3</v>
      </c>
      <c r="H924" t="n">
        <v>0</v>
      </c>
      <c r="I924" t="n">
        <v>0</v>
      </c>
      <c r="J924" t="n">
        <v>0</v>
      </c>
      <c r="K924" t="n">
        <v>0</v>
      </c>
      <c r="L924" t="n">
        <v>0</v>
      </c>
      <c r="M924" t="n">
        <v>0</v>
      </c>
      <c r="N924" t="n">
        <v>0</v>
      </c>
      <c r="O924" t="n">
        <v>0</v>
      </c>
      <c r="P924" t="n">
        <v>0</v>
      </c>
      <c r="Q924" t="n">
        <v>0</v>
      </c>
      <c r="R924" s="2" t="inlineStr"/>
    </row>
    <row r="925" ht="15" customHeight="1">
      <c r="A925" t="inlineStr">
        <is>
          <t>A 55272-2023</t>
        </is>
      </c>
      <c r="B925" s="1" t="n">
        <v>45237.67819444444</v>
      </c>
      <c r="C925" s="1" t="n">
        <v>46126</v>
      </c>
      <c r="D925" t="inlineStr">
        <is>
          <t>ÖREBRO LÄN</t>
        </is>
      </c>
      <c r="E925" t="inlineStr">
        <is>
          <t>LINDESBERG</t>
        </is>
      </c>
      <c r="G925" t="n">
        <v>2.4</v>
      </c>
      <c r="H925" t="n">
        <v>0</v>
      </c>
      <c r="I925" t="n">
        <v>0</v>
      </c>
      <c r="J925" t="n">
        <v>0</v>
      </c>
      <c r="K925" t="n">
        <v>0</v>
      </c>
      <c r="L925" t="n">
        <v>0</v>
      </c>
      <c r="M925" t="n">
        <v>0</v>
      </c>
      <c r="N925" t="n">
        <v>0</v>
      </c>
      <c r="O925" t="n">
        <v>0</v>
      </c>
      <c r="P925" t="n">
        <v>0</v>
      </c>
      <c r="Q925" t="n">
        <v>0</v>
      </c>
      <c r="R925" s="2" t="inlineStr"/>
    </row>
    <row r="926" ht="15" customHeight="1">
      <c r="A926" t="inlineStr">
        <is>
          <t>A 53597-2024</t>
        </is>
      </c>
      <c r="B926" s="1" t="n">
        <v>45614.68083333333</v>
      </c>
      <c r="C926" s="1" t="n">
        <v>46126</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27576-2024</t>
        </is>
      </c>
      <c r="B927" s="1" t="n">
        <v>45474.65005787037</v>
      </c>
      <c r="C927" s="1" t="n">
        <v>46126</v>
      </c>
      <c r="D927" t="inlineStr">
        <is>
          <t>ÖREBRO LÄN</t>
        </is>
      </c>
      <c r="E927" t="inlineStr">
        <is>
          <t>LINDESBERG</t>
        </is>
      </c>
      <c r="F927" t="inlineStr">
        <is>
          <t>Kyrkan</t>
        </is>
      </c>
      <c r="G927" t="n">
        <v>1.3</v>
      </c>
      <c r="H927" t="n">
        <v>0</v>
      </c>
      <c r="I927" t="n">
        <v>0</v>
      </c>
      <c r="J927" t="n">
        <v>0</v>
      </c>
      <c r="K927" t="n">
        <v>0</v>
      </c>
      <c r="L927" t="n">
        <v>0</v>
      </c>
      <c r="M927" t="n">
        <v>0</v>
      </c>
      <c r="N927" t="n">
        <v>0</v>
      </c>
      <c r="O927" t="n">
        <v>0</v>
      </c>
      <c r="P927" t="n">
        <v>0</v>
      </c>
      <c r="Q927" t="n">
        <v>0</v>
      </c>
      <c r="R927" s="2" t="inlineStr"/>
    </row>
    <row r="928" ht="15" customHeight="1">
      <c r="A928" t="inlineStr">
        <is>
          <t>A 21986-2023</t>
        </is>
      </c>
      <c r="B928" s="1" t="n">
        <v>45068</v>
      </c>
      <c r="C928" s="1" t="n">
        <v>46126</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52930-2024</t>
        </is>
      </c>
      <c r="B929" s="1" t="n">
        <v>45610.7466087963</v>
      </c>
      <c r="C929" s="1" t="n">
        <v>46126</v>
      </c>
      <c r="D929" t="inlineStr">
        <is>
          <t>ÖREBRO LÄN</t>
        </is>
      </c>
      <c r="E929" t="inlineStr">
        <is>
          <t>LINDESBERG</t>
        </is>
      </c>
      <c r="G929" t="n">
        <v>2.8</v>
      </c>
      <c r="H929" t="n">
        <v>0</v>
      </c>
      <c r="I929" t="n">
        <v>0</v>
      </c>
      <c r="J929" t="n">
        <v>0</v>
      </c>
      <c r="K929" t="n">
        <v>0</v>
      </c>
      <c r="L929" t="n">
        <v>0</v>
      </c>
      <c r="M929" t="n">
        <v>0</v>
      </c>
      <c r="N929" t="n">
        <v>0</v>
      </c>
      <c r="O929" t="n">
        <v>0</v>
      </c>
      <c r="P929" t="n">
        <v>0</v>
      </c>
      <c r="Q929" t="n">
        <v>0</v>
      </c>
      <c r="R929" s="2" t="inlineStr"/>
    </row>
    <row r="930" ht="15" customHeight="1">
      <c r="A930" t="inlineStr">
        <is>
          <t>A 2103-2022</t>
        </is>
      </c>
      <c r="B930" s="1" t="n">
        <v>44577.81121527778</v>
      </c>
      <c r="C930" s="1" t="n">
        <v>46126</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54860-2024</t>
        </is>
      </c>
      <c r="B931" s="1" t="n">
        <v>45618.59219907408</v>
      </c>
      <c r="C931" s="1" t="n">
        <v>46126</v>
      </c>
      <c r="D931" t="inlineStr">
        <is>
          <t>ÖREBRO LÄN</t>
        </is>
      </c>
      <c r="E931" t="inlineStr">
        <is>
          <t>LINDESBERG</t>
        </is>
      </c>
      <c r="F931" t="inlineStr">
        <is>
          <t>Sveaskog</t>
        </is>
      </c>
      <c r="G931" t="n">
        <v>0.3</v>
      </c>
      <c r="H931" t="n">
        <v>0</v>
      </c>
      <c r="I931" t="n">
        <v>0</v>
      </c>
      <c r="J931" t="n">
        <v>0</v>
      </c>
      <c r="K931" t="n">
        <v>0</v>
      </c>
      <c r="L931" t="n">
        <v>0</v>
      </c>
      <c r="M931" t="n">
        <v>0</v>
      </c>
      <c r="N931" t="n">
        <v>0</v>
      </c>
      <c r="O931" t="n">
        <v>0</v>
      </c>
      <c r="P931" t="n">
        <v>0</v>
      </c>
      <c r="Q931" t="n">
        <v>0</v>
      </c>
      <c r="R931" s="2" t="inlineStr"/>
    </row>
    <row r="932" ht="15" customHeight="1">
      <c r="A932" t="inlineStr">
        <is>
          <t>A 49358-2023</t>
        </is>
      </c>
      <c r="B932" s="1" t="n">
        <v>45211</v>
      </c>
      <c r="C932" s="1" t="n">
        <v>46126</v>
      </c>
      <c r="D932" t="inlineStr">
        <is>
          <t>ÖREBRO LÄN</t>
        </is>
      </c>
      <c r="E932" t="inlineStr">
        <is>
          <t>LINDESBERG</t>
        </is>
      </c>
      <c r="F932" t="inlineStr">
        <is>
          <t>Sveaskog</t>
        </is>
      </c>
      <c r="G932" t="n">
        <v>4.7</v>
      </c>
      <c r="H932" t="n">
        <v>0</v>
      </c>
      <c r="I932" t="n">
        <v>0</v>
      </c>
      <c r="J932" t="n">
        <v>0</v>
      </c>
      <c r="K932" t="n">
        <v>0</v>
      </c>
      <c r="L932" t="n">
        <v>0</v>
      </c>
      <c r="M932" t="n">
        <v>0</v>
      </c>
      <c r="N932" t="n">
        <v>0</v>
      </c>
      <c r="O932" t="n">
        <v>0</v>
      </c>
      <c r="P932" t="n">
        <v>0</v>
      </c>
      <c r="Q932" t="n">
        <v>0</v>
      </c>
      <c r="R932" s="2" t="inlineStr"/>
    </row>
    <row r="933" ht="15" customHeight="1">
      <c r="A933" t="inlineStr">
        <is>
          <t>A 23579-2022</t>
        </is>
      </c>
      <c r="B933" s="1" t="n">
        <v>44721.52627314815</v>
      </c>
      <c r="C933" s="1" t="n">
        <v>46126</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32009-2023</t>
        </is>
      </c>
      <c r="B934" s="1" t="n">
        <v>45119</v>
      </c>
      <c r="C934" s="1" t="n">
        <v>46126</v>
      </c>
      <c r="D934" t="inlineStr">
        <is>
          <t>ÖREBRO LÄN</t>
        </is>
      </c>
      <c r="E934" t="inlineStr">
        <is>
          <t>LINDESBERG</t>
        </is>
      </c>
      <c r="F934" t="inlineStr">
        <is>
          <t>Kyrkan</t>
        </is>
      </c>
      <c r="G934" t="n">
        <v>0.8</v>
      </c>
      <c r="H934" t="n">
        <v>0</v>
      </c>
      <c r="I934" t="n">
        <v>0</v>
      </c>
      <c r="J934" t="n">
        <v>0</v>
      </c>
      <c r="K934" t="n">
        <v>0</v>
      </c>
      <c r="L934" t="n">
        <v>0</v>
      </c>
      <c r="M934" t="n">
        <v>0</v>
      </c>
      <c r="N934" t="n">
        <v>0</v>
      </c>
      <c r="O934" t="n">
        <v>0</v>
      </c>
      <c r="P934" t="n">
        <v>0</v>
      </c>
      <c r="Q934" t="n">
        <v>0</v>
      </c>
      <c r="R934" s="2" t="inlineStr"/>
    </row>
    <row r="935" ht="15" customHeight="1">
      <c r="A935" t="inlineStr">
        <is>
          <t>A 46647-2024</t>
        </is>
      </c>
      <c r="B935" s="1" t="n">
        <v>45583</v>
      </c>
      <c r="C935" s="1" t="n">
        <v>46126</v>
      </c>
      <c r="D935" t="inlineStr">
        <is>
          <t>ÖREBRO LÄN</t>
        </is>
      </c>
      <c r="E935" t="inlineStr">
        <is>
          <t>LINDESBERG</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23260-2024</t>
        </is>
      </c>
      <c r="B936" s="1" t="n">
        <v>45453.36664351852</v>
      </c>
      <c r="C936" s="1" t="n">
        <v>46126</v>
      </c>
      <c r="D936" t="inlineStr">
        <is>
          <t>ÖREBRO LÄN</t>
        </is>
      </c>
      <c r="E936" t="inlineStr">
        <is>
          <t>LINDESBERG</t>
        </is>
      </c>
      <c r="F936" t="inlineStr">
        <is>
          <t>Sveaskog</t>
        </is>
      </c>
      <c r="G936" t="n">
        <v>0.3</v>
      </c>
      <c r="H936" t="n">
        <v>0</v>
      </c>
      <c r="I936" t="n">
        <v>0</v>
      </c>
      <c r="J936" t="n">
        <v>0</v>
      </c>
      <c r="K936" t="n">
        <v>0</v>
      </c>
      <c r="L936" t="n">
        <v>0</v>
      </c>
      <c r="M936" t="n">
        <v>0</v>
      </c>
      <c r="N936" t="n">
        <v>0</v>
      </c>
      <c r="O936" t="n">
        <v>0</v>
      </c>
      <c r="P936" t="n">
        <v>0</v>
      </c>
      <c r="Q936" t="n">
        <v>0</v>
      </c>
      <c r="R936" s="2" t="inlineStr"/>
    </row>
    <row r="937" ht="15" customHeight="1">
      <c r="A937" t="inlineStr">
        <is>
          <t>A 26067-2022</t>
        </is>
      </c>
      <c r="B937" s="1" t="n">
        <v>44734.64337962963</v>
      </c>
      <c r="C937" s="1" t="n">
        <v>46126</v>
      </c>
      <c r="D937" t="inlineStr">
        <is>
          <t>ÖREBRO LÄN</t>
        </is>
      </c>
      <c r="E937" t="inlineStr">
        <is>
          <t>LINDESBERG</t>
        </is>
      </c>
      <c r="G937" t="n">
        <v>3.1</v>
      </c>
      <c r="H937" t="n">
        <v>0</v>
      </c>
      <c r="I937" t="n">
        <v>0</v>
      </c>
      <c r="J937" t="n">
        <v>0</v>
      </c>
      <c r="K937" t="n">
        <v>0</v>
      </c>
      <c r="L937" t="n">
        <v>0</v>
      </c>
      <c r="M937" t="n">
        <v>0</v>
      </c>
      <c r="N937" t="n">
        <v>0</v>
      </c>
      <c r="O937" t="n">
        <v>0</v>
      </c>
      <c r="P937" t="n">
        <v>0</v>
      </c>
      <c r="Q937" t="n">
        <v>0</v>
      </c>
      <c r="R937" s="2" t="inlineStr"/>
    </row>
    <row r="938" ht="15" customHeight="1">
      <c r="A938" t="inlineStr">
        <is>
          <t>A 3233-2023</t>
        </is>
      </c>
      <c r="B938" s="1" t="n">
        <v>44946</v>
      </c>
      <c r="C938" s="1" t="n">
        <v>46126</v>
      </c>
      <c r="D938" t="inlineStr">
        <is>
          <t>ÖREBRO LÄN</t>
        </is>
      </c>
      <c r="E938" t="inlineStr">
        <is>
          <t>LINDESBERG</t>
        </is>
      </c>
      <c r="G938" t="n">
        <v>3</v>
      </c>
      <c r="H938" t="n">
        <v>0</v>
      </c>
      <c r="I938" t="n">
        <v>0</v>
      </c>
      <c r="J938" t="n">
        <v>0</v>
      </c>
      <c r="K938" t="n">
        <v>0</v>
      </c>
      <c r="L938" t="n">
        <v>0</v>
      </c>
      <c r="M938" t="n">
        <v>0</v>
      </c>
      <c r="N938" t="n">
        <v>0</v>
      </c>
      <c r="O938" t="n">
        <v>0</v>
      </c>
      <c r="P938" t="n">
        <v>0</v>
      </c>
      <c r="Q938" t="n">
        <v>0</v>
      </c>
      <c r="R938" s="2" t="inlineStr"/>
    </row>
    <row r="939" ht="15" customHeight="1">
      <c r="A939" t="inlineStr">
        <is>
          <t>A 5047-2023</t>
        </is>
      </c>
      <c r="B939" s="1" t="n">
        <v>44958.58982638889</v>
      </c>
      <c r="C939" s="1" t="n">
        <v>46126</v>
      </c>
      <c r="D939" t="inlineStr">
        <is>
          <t>ÖREBRO LÄN</t>
        </is>
      </c>
      <c r="E939" t="inlineStr">
        <is>
          <t>LINDESBERG</t>
        </is>
      </c>
      <c r="G939" t="n">
        <v>2</v>
      </c>
      <c r="H939" t="n">
        <v>0</v>
      </c>
      <c r="I939" t="n">
        <v>0</v>
      </c>
      <c r="J939" t="n">
        <v>0</v>
      </c>
      <c r="K939" t="n">
        <v>0</v>
      </c>
      <c r="L939" t="n">
        <v>0</v>
      </c>
      <c r="M939" t="n">
        <v>0</v>
      </c>
      <c r="N939" t="n">
        <v>0</v>
      </c>
      <c r="O939" t="n">
        <v>0</v>
      </c>
      <c r="P939" t="n">
        <v>0</v>
      </c>
      <c r="Q939" t="n">
        <v>0</v>
      </c>
      <c r="R939" s="2" t="inlineStr"/>
    </row>
    <row r="940" ht="15" customHeight="1">
      <c r="A940" t="inlineStr">
        <is>
          <t>A 8836-2023</t>
        </is>
      </c>
      <c r="B940" s="1" t="n">
        <v>44978</v>
      </c>
      <c r="C940" s="1" t="n">
        <v>46126</v>
      </c>
      <c r="D940" t="inlineStr">
        <is>
          <t>ÖREBRO LÄN</t>
        </is>
      </c>
      <c r="E940" t="inlineStr">
        <is>
          <t>LINDESBERG</t>
        </is>
      </c>
      <c r="G940" t="n">
        <v>1</v>
      </c>
      <c r="H940" t="n">
        <v>0</v>
      </c>
      <c r="I940" t="n">
        <v>0</v>
      </c>
      <c r="J940" t="n">
        <v>0</v>
      </c>
      <c r="K940" t="n">
        <v>0</v>
      </c>
      <c r="L940" t="n">
        <v>0</v>
      </c>
      <c r="M940" t="n">
        <v>0</v>
      </c>
      <c r="N940" t="n">
        <v>0</v>
      </c>
      <c r="O940" t="n">
        <v>0</v>
      </c>
      <c r="P940" t="n">
        <v>0</v>
      </c>
      <c r="Q940" t="n">
        <v>0</v>
      </c>
      <c r="R940" s="2" t="inlineStr"/>
    </row>
    <row r="941" ht="15" customHeight="1">
      <c r="A941" t="inlineStr">
        <is>
          <t>A 38460-2024</t>
        </is>
      </c>
      <c r="B941" s="1" t="n">
        <v>45546.46497685185</v>
      </c>
      <c r="C941" s="1" t="n">
        <v>46126</v>
      </c>
      <c r="D941" t="inlineStr">
        <is>
          <t>ÖREBRO LÄN</t>
        </is>
      </c>
      <c r="E941" t="inlineStr">
        <is>
          <t>LINDESBERG</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46219-2022</t>
        </is>
      </c>
      <c r="B942" s="1" t="n">
        <v>44846</v>
      </c>
      <c r="C942" s="1" t="n">
        <v>46126</v>
      </c>
      <c r="D942" t="inlineStr">
        <is>
          <t>ÖREBRO LÄN</t>
        </is>
      </c>
      <c r="E942" t="inlineStr">
        <is>
          <t>LINDESBERG</t>
        </is>
      </c>
      <c r="G942" t="n">
        <v>6</v>
      </c>
      <c r="H942" t="n">
        <v>0</v>
      </c>
      <c r="I942" t="n">
        <v>0</v>
      </c>
      <c r="J942" t="n">
        <v>0</v>
      </c>
      <c r="K942" t="n">
        <v>0</v>
      </c>
      <c r="L942" t="n">
        <v>0</v>
      </c>
      <c r="M942" t="n">
        <v>0</v>
      </c>
      <c r="N942" t="n">
        <v>0</v>
      </c>
      <c r="O942" t="n">
        <v>0</v>
      </c>
      <c r="P942" t="n">
        <v>0</v>
      </c>
      <c r="Q942" t="n">
        <v>0</v>
      </c>
      <c r="R942" s="2" t="inlineStr"/>
    </row>
    <row r="943" ht="15" customHeight="1">
      <c r="A943" t="inlineStr">
        <is>
          <t>A 11953-2024</t>
        </is>
      </c>
      <c r="B943" s="1" t="n">
        <v>45376.70292824074</v>
      </c>
      <c r="C943" s="1" t="n">
        <v>46126</v>
      </c>
      <c r="D943" t="inlineStr">
        <is>
          <t>ÖREBRO LÄN</t>
        </is>
      </c>
      <c r="E943" t="inlineStr">
        <is>
          <t>LINDESBERG</t>
        </is>
      </c>
      <c r="G943" t="n">
        <v>5.7</v>
      </c>
      <c r="H943" t="n">
        <v>0</v>
      </c>
      <c r="I943" t="n">
        <v>0</v>
      </c>
      <c r="J943" t="n">
        <v>0</v>
      </c>
      <c r="K943" t="n">
        <v>0</v>
      </c>
      <c r="L943" t="n">
        <v>0</v>
      </c>
      <c r="M943" t="n">
        <v>0</v>
      </c>
      <c r="N943" t="n">
        <v>0</v>
      </c>
      <c r="O943" t="n">
        <v>0</v>
      </c>
      <c r="P943" t="n">
        <v>0</v>
      </c>
      <c r="Q943" t="n">
        <v>0</v>
      </c>
      <c r="R943" s="2" t="inlineStr"/>
    </row>
    <row r="944" ht="15" customHeight="1">
      <c r="A944" t="inlineStr">
        <is>
          <t>A 4440-2024</t>
        </is>
      </c>
      <c r="B944" s="1" t="n">
        <v>45327</v>
      </c>
      <c r="C944" s="1" t="n">
        <v>46126</v>
      </c>
      <c r="D944" t="inlineStr">
        <is>
          <t>ÖREBRO LÄN</t>
        </is>
      </c>
      <c r="E944" t="inlineStr">
        <is>
          <t>LINDESBERG</t>
        </is>
      </c>
      <c r="F944" t="inlineStr">
        <is>
          <t>BillerudKorsnäs AB</t>
        </is>
      </c>
      <c r="G944" t="n">
        <v>2</v>
      </c>
      <c r="H944" t="n">
        <v>0</v>
      </c>
      <c r="I944" t="n">
        <v>0</v>
      </c>
      <c r="J944" t="n">
        <v>0</v>
      </c>
      <c r="K944" t="n">
        <v>0</v>
      </c>
      <c r="L944" t="n">
        <v>0</v>
      </c>
      <c r="M944" t="n">
        <v>0</v>
      </c>
      <c r="N944" t="n">
        <v>0</v>
      </c>
      <c r="O944" t="n">
        <v>0</v>
      </c>
      <c r="P944" t="n">
        <v>0</v>
      </c>
      <c r="Q944" t="n">
        <v>0</v>
      </c>
      <c r="R944" s="2" t="inlineStr"/>
    </row>
    <row r="945" ht="15" customHeight="1">
      <c r="A945" t="inlineStr">
        <is>
          <t>A 48244-2024</t>
        </is>
      </c>
      <c r="B945" s="1" t="n">
        <v>45590.39471064815</v>
      </c>
      <c r="C945" s="1" t="n">
        <v>46126</v>
      </c>
      <c r="D945" t="inlineStr">
        <is>
          <t>ÖREBRO LÄN</t>
        </is>
      </c>
      <c r="E945" t="inlineStr">
        <is>
          <t>LINDESBERG</t>
        </is>
      </c>
      <c r="G945" t="n">
        <v>1.1</v>
      </c>
      <c r="H945" t="n">
        <v>0</v>
      </c>
      <c r="I945" t="n">
        <v>0</v>
      </c>
      <c r="J945" t="n">
        <v>0</v>
      </c>
      <c r="K945" t="n">
        <v>0</v>
      </c>
      <c r="L945" t="n">
        <v>0</v>
      </c>
      <c r="M945" t="n">
        <v>0</v>
      </c>
      <c r="N945" t="n">
        <v>0</v>
      </c>
      <c r="O945" t="n">
        <v>0</v>
      </c>
      <c r="P945" t="n">
        <v>0</v>
      </c>
      <c r="Q945" t="n">
        <v>0</v>
      </c>
      <c r="R945" s="2" t="inlineStr"/>
    </row>
    <row r="946" ht="15" customHeight="1">
      <c r="A946" t="inlineStr">
        <is>
          <t>A 59633-2023</t>
        </is>
      </c>
      <c r="B946" s="1" t="n">
        <v>45254</v>
      </c>
      <c r="C946" s="1" t="n">
        <v>46126</v>
      </c>
      <c r="D946" t="inlineStr">
        <is>
          <t>ÖREBRO LÄN</t>
        </is>
      </c>
      <c r="E946" t="inlineStr">
        <is>
          <t>LINDESBERG</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18418-2025</t>
        </is>
      </c>
      <c r="B947" s="1" t="n">
        <v>45762.61817129629</v>
      </c>
      <c r="C947" s="1" t="n">
        <v>46126</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23649-2023</t>
        </is>
      </c>
      <c r="B948" s="1" t="n">
        <v>45074</v>
      </c>
      <c r="C948" s="1" t="n">
        <v>46126</v>
      </c>
      <c r="D948" t="inlineStr">
        <is>
          <t>ÖREBRO LÄN</t>
        </is>
      </c>
      <c r="E948" t="inlineStr">
        <is>
          <t>LINDESBERG</t>
        </is>
      </c>
      <c r="G948" t="n">
        <v>1.2</v>
      </c>
      <c r="H948" t="n">
        <v>0</v>
      </c>
      <c r="I948" t="n">
        <v>0</v>
      </c>
      <c r="J948" t="n">
        <v>0</v>
      </c>
      <c r="K948" t="n">
        <v>0</v>
      </c>
      <c r="L948" t="n">
        <v>0</v>
      </c>
      <c r="M948" t="n">
        <v>0</v>
      </c>
      <c r="N948" t="n">
        <v>0</v>
      </c>
      <c r="O948" t="n">
        <v>0</v>
      </c>
      <c r="P948" t="n">
        <v>0</v>
      </c>
      <c r="Q948" t="n">
        <v>0</v>
      </c>
      <c r="R948" s="2" t="inlineStr"/>
    </row>
    <row r="949" ht="15" customHeight="1">
      <c r="A949" t="inlineStr">
        <is>
          <t>A 43081-2021</t>
        </is>
      </c>
      <c r="B949" s="1" t="n">
        <v>44431</v>
      </c>
      <c r="C949" s="1" t="n">
        <v>46126</v>
      </c>
      <c r="D949" t="inlineStr">
        <is>
          <t>ÖREBRO LÄN</t>
        </is>
      </c>
      <c r="E949" t="inlineStr">
        <is>
          <t>LINDESBERG</t>
        </is>
      </c>
      <c r="G949" t="n">
        <v>0.5</v>
      </c>
      <c r="H949" t="n">
        <v>0</v>
      </c>
      <c r="I949" t="n">
        <v>0</v>
      </c>
      <c r="J949" t="n">
        <v>0</v>
      </c>
      <c r="K949" t="n">
        <v>0</v>
      </c>
      <c r="L949" t="n">
        <v>0</v>
      </c>
      <c r="M949" t="n">
        <v>0</v>
      </c>
      <c r="N949" t="n">
        <v>0</v>
      </c>
      <c r="O949" t="n">
        <v>0</v>
      </c>
      <c r="P949" t="n">
        <v>0</v>
      </c>
      <c r="Q949" t="n">
        <v>0</v>
      </c>
      <c r="R949" s="2" t="inlineStr"/>
    </row>
    <row r="950">
      <c r="A950" t="inlineStr">
        <is>
          <t>A 51071-2022</t>
        </is>
      </c>
      <c r="B950" s="1" t="n">
        <v>44868.36924768519</v>
      </c>
      <c r="C950" s="1" t="n">
        <v>46126</v>
      </c>
      <c r="D950" t="inlineStr">
        <is>
          <t>ÖREBRO LÄN</t>
        </is>
      </c>
      <c r="E950" t="inlineStr">
        <is>
          <t>LINDESBERG</t>
        </is>
      </c>
      <c r="F950" t="inlineStr">
        <is>
          <t>Sveaskog</t>
        </is>
      </c>
      <c r="G950" t="n">
        <v>1.8</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2026-04-14T10:31:54Z</dcterms:created>
  <dcterms:modified xmlns:dcterms="http://purl.org/dc/terms/" xmlns:xsi="http://www.w3.org/2001/XMLSchema-instance" xsi:type="dcterms:W3CDTF">2026-04-14T10:31:55Z</dcterms:modified>
</cp:coreProperties>
</file>