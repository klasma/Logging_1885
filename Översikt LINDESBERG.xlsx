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53665-2024</t>
        </is>
      </c>
      <c r="B2" t="inlineStr">
        <is>
          <t>avverkningsanmälan</t>
        </is>
      </c>
      <c r="C2" t="inlineStr">
        <is>
          <t>Föryngringsavverkning</t>
        </is>
      </c>
      <c r="D2" s="1" t="n">
        <v>45615</v>
      </c>
      <c r="E2" s="1" t="n">
        <v>46223</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X2">
        <f>HYPERLINK("https://klasma.github.io/Logging_1885/kartor_geotiff/A 53665-2024 georefererad karta.tif", "A 53665-2024")</f>
        <v/>
      </c>
      <c r="Z2">
        <f>HYPERLINK("https://klasma.github.io/Logging_1885/klagomål/A 53665-2024 FSC-klagomål.docx", "A 53665-2024")</f>
        <v/>
      </c>
      <c r="AA2">
        <f>HYPERLINK("https://klasma.github.io/Logging_1885/klagomålsmail/A 53665-2024 FSC-klagomål mail.docx", "A 53665-2024")</f>
        <v/>
      </c>
      <c r="AB2">
        <f>HYPERLINK("https://klasma.github.io/Logging_1885/tillsyn/A 53665-2024 tillsynsbegäran.docx", "A 53665-2024")</f>
        <v/>
      </c>
      <c r="AC2">
        <f>HYPERLINK("https://klasma.github.io/Logging_1885/tillsynsmail/A 53665-2024 tillsynsbegäran mail.docx", "A 53665-2024")</f>
        <v/>
      </c>
      <c r="AD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46223</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3">
        <f>HYPERLINK("https://klasma.github.io/Logging_1885/artfynd/S 3568-2025 artfynd.xlsx", "S 3568-2025")</f>
        <v/>
      </c>
      <c r="W3">
        <f>HYPERLINK("https://klasma.github.io/Logging_1885/kartor/S 3568-2025 karta.png", "S 3568-2025")</f>
        <v/>
      </c>
      <c r="X3">
        <f>HYPERLINK("https://klasma.github.io/Logging_1885/kartor_geotiff/S 3568-2025 georefererad karta.tif", "S 3568-2025")</f>
        <v/>
      </c>
      <c r="Z3">
        <f>HYPERLINK("https://klasma.github.io/Logging_1885/klagomål/S 3568-2025 FSC-klagomål.docx", "S 3568-2025")</f>
        <v/>
      </c>
      <c r="AA3">
        <f>HYPERLINK("https://klasma.github.io/Logging_1885/klagomålsmail/S 3568-2025 FSC-klagomål mail.docx", "S 3568-2025")</f>
        <v/>
      </c>
      <c r="AB3">
        <f>HYPERLINK("https://klasma.github.io/Logging_1885/tillsyn/S 3568-2025 tillsynsbegäran.docx", "S 3568-2025")</f>
        <v/>
      </c>
      <c r="AC3">
        <f>HYPERLINK("https://klasma.github.io/Logging_1885/tillsynsmail/S 3568-2025 tillsynsbegäran mail.docx", "S 3568-2025")</f>
        <v/>
      </c>
      <c r="AD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X4">
        <f>HYPERLINK("https://klasma.github.io/Logging_1885/kartor_geotiff/S 396-2024 georefererad karta.tif", "S 396-2024")</f>
        <v/>
      </c>
      <c r="Z4">
        <f>HYPERLINK("https://klasma.github.io/Logging_1885/klagomål/S 396-2024 FSC-klagomål.docx", "S 396-2024")</f>
        <v/>
      </c>
      <c r="AA4">
        <f>HYPERLINK("https://klasma.github.io/Logging_1885/klagomålsmail/S 396-2024 FSC-klagomål mail.docx", "S 396-2024")</f>
        <v/>
      </c>
      <c r="AB4">
        <f>HYPERLINK("https://klasma.github.io/Logging_1885/tillsyn/S 396-2024 tillsynsbegäran.docx", "S 396-2024")</f>
        <v/>
      </c>
      <c r="AC4">
        <f>HYPERLINK("https://klasma.github.io/Logging_1885/tillsynsmail/S 396-2024 tillsynsbegäran mail.docx", "S 396-2024")</f>
        <v/>
      </c>
      <c r="AD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X5">
        <f>HYPERLINK("https://klasma.github.io/Logging_1885/kartor_geotiff/A 25097-2026 georefererad karta.tif", "A 25097-2026")</f>
        <v/>
      </c>
      <c r="Z5">
        <f>HYPERLINK("https://klasma.github.io/Logging_1885/klagomål/A 25097-2026 FSC-klagomål.docx", "A 25097-2026")</f>
        <v/>
      </c>
      <c r="AA5">
        <f>HYPERLINK("https://klasma.github.io/Logging_1885/klagomålsmail/A 25097-2026 FSC-klagomål mail.docx", "A 25097-2026")</f>
        <v/>
      </c>
      <c r="AB5">
        <f>HYPERLINK("https://klasma.github.io/Logging_1885/tillsyn/A 25097-2026 tillsynsbegäran.docx", "A 25097-2026")</f>
        <v/>
      </c>
      <c r="AC5">
        <f>HYPERLINK("https://klasma.github.io/Logging_1885/tillsynsmail/A 25097-2026 tillsynsbegäran mail.docx", "A 25097-2026")</f>
        <v/>
      </c>
      <c r="AD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X6">
        <f>HYPERLINK("https://klasma.github.io/Logging_1885/kartor_geotiff/S 1101-2022 georefererad karta.tif", "S 1101-2022")</f>
        <v/>
      </c>
      <c r="Z6">
        <f>HYPERLINK("https://klasma.github.io/Logging_1885/klagomål/S 1101-2022 FSC-klagomål.docx", "S 1101-2022")</f>
        <v/>
      </c>
      <c r="AA6">
        <f>HYPERLINK("https://klasma.github.io/Logging_1885/klagomålsmail/S 1101-2022 FSC-klagomål mail.docx", "S 1101-2022")</f>
        <v/>
      </c>
      <c r="AB6">
        <f>HYPERLINK("https://klasma.github.io/Logging_1885/tillsyn/S 1101-2022 tillsynsbegäran.docx", "S 1101-2022")</f>
        <v/>
      </c>
      <c r="AC6">
        <f>HYPERLINK("https://klasma.github.io/Logging_1885/tillsynsmail/S 1101-2022 tillsynsbegäran mail.docx", "S 1101-2022")</f>
        <v/>
      </c>
      <c r="AD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HYPERLINK("https://klasma.github.io/Logging_1885/kartor_geotiff/A 42635-2025 georefererad karta.tif", "A 42635-2025")</f>
        <v/>
      </c>
      <c r="Y7">
        <f>HYPERLINK("https://klasma.github.io/Logging_1885/knärot/A 42635-2025 karta knärot.png", "A 42635-2025")</f>
        <v/>
      </c>
      <c r="Z7">
        <f>HYPERLINK("https://klasma.github.io/Logging_1885/klagomål/A 42635-2025 FSC-klagomål.docx", "A 42635-2025")</f>
        <v/>
      </c>
      <c r="AA7">
        <f>HYPERLINK("https://klasma.github.io/Logging_1885/klagomålsmail/A 42635-2025 FSC-klagomål mail.docx", "A 42635-2025")</f>
        <v/>
      </c>
      <c r="AB7">
        <f>HYPERLINK("https://klasma.github.io/Logging_1885/tillsyn/A 42635-2025 tillsynsbegäran.docx", "A 42635-2025")</f>
        <v/>
      </c>
      <c r="AC7">
        <f>HYPERLINK("https://klasma.github.io/Logging_1885/tillsynsmail/A 42635-2025 tillsynsbegäran mail.docx", "A 42635-2025")</f>
        <v/>
      </c>
      <c r="AD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46223</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X8">
        <f>HYPERLINK("https://klasma.github.io/Logging_1885/kartor_geotiff/A 8178-2026 georefererad karta.tif", "A 8178-2026")</f>
        <v/>
      </c>
      <c r="Z8">
        <f>HYPERLINK("https://klasma.github.io/Logging_1885/klagomål/A 8178-2026 FSC-klagomål.docx", "A 8178-2026")</f>
        <v/>
      </c>
      <c r="AA8">
        <f>HYPERLINK("https://klasma.github.io/Logging_1885/klagomålsmail/A 8178-2026 FSC-klagomål mail.docx", "A 8178-2026")</f>
        <v/>
      </c>
      <c r="AB8">
        <f>HYPERLINK("https://klasma.github.io/Logging_1885/tillsyn/A 8178-2026 tillsynsbegäran.docx", "A 8178-2026")</f>
        <v/>
      </c>
      <c r="AC8">
        <f>HYPERLINK("https://klasma.github.io/Logging_1885/tillsynsmail/A 8178-2026 tillsynsbegäran mail.docx", "A 8178-2026")</f>
        <v/>
      </c>
      <c r="AD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HYPERLINK("https://klasma.github.io/Logging_1885/kartor_geotiff/A 42634-2025 georefererad karta.tif", "A 42634-2025")</f>
        <v/>
      </c>
      <c r="Y9">
        <f>HYPERLINK("https://klasma.github.io/Logging_1885/knärot/A 42634-2025 karta knärot.png", "A 42634-2025")</f>
        <v/>
      </c>
      <c r="Z9">
        <f>HYPERLINK("https://klasma.github.io/Logging_1885/klagomål/A 42634-2025 FSC-klagomål.docx", "A 42634-2025")</f>
        <v/>
      </c>
      <c r="AA9">
        <f>HYPERLINK("https://klasma.github.io/Logging_1885/klagomålsmail/A 42634-2025 FSC-klagomål mail.docx", "A 42634-2025")</f>
        <v/>
      </c>
      <c r="AB9">
        <f>HYPERLINK("https://klasma.github.io/Logging_1885/tillsyn/A 42634-2025 tillsynsbegäran.docx", "A 42634-2025")</f>
        <v/>
      </c>
      <c r="AC9">
        <f>HYPERLINK("https://klasma.github.io/Logging_1885/tillsynsmail/A 42634-2025 tillsynsbegäran mail.docx", "A 42634-2025")</f>
        <v/>
      </c>
      <c r="AD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X10">
        <f>HYPERLINK("https://klasma.github.io/Logging_1885/kartor_geotiff/A 58939-2023 georefererad karta.tif", "A 58939-2023")</f>
        <v/>
      </c>
      <c r="Z10">
        <f>HYPERLINK("https://klasma.github.io/Logging_1885/klagomål/A 58939-2023 FSC-klagomål.docx", "A 58939-2023")</f>
        <v/>
      </c>
      <c r="AA10">
        <f>HYPERLINK("https://klasma.github.io/Logging_1885/klagomålsmail/A 58939-2023 FSC-klagomål mail.docx", "A 58939-2023")</f>
        <v/>
      </c>
      <c r="AB10">
        <f>HYPERLINK("https://klasma.github.io/Logging_1885/tillsyn/A 58939-2023 tillsynsbegäran.docx", "A 58939-2023")</f>
        <v/>
      </c>
      <c r="AC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X11">
        <f>HYPERLINK("https://klasma.github.io/Logging_1885/kartor_geotiff/A 8196-2026 georefererad karta.tif", "A 8196-2026")</f>
        <v/>
      </c>
      <c r="Z11">
        <f>HYPERLINK("https://klasma.github.io/Logging_1885/klagomål/A 8196-2026 FSC-klagomål.docx", "A 8196-2026")</f>
        <v/>
      </c>
      <c r="AA11">
        <f>HYPERLINK("https://klasma.github.io/Logging_1885/klagomålsmail/A 8196-2026 FSC-klagomål mail.docx", "A 8196-2026")</f>
        <v/>
      </c>
      <c r="AB11">
        <f>HYPERLINK("https://klasma.github.io/Logging_1885/tillsyn/A 8196-2026 tillsynsbegäran.docx", "A 8196-2026")</f>
        <v/>
      </c>
      <c r="AC11">
        <f>HYPERLINK("https://klasma.github.io/Logging_1885/tillsynsmail/A 8196-2026 tillsynsbegäran mail.docx", "A 8196-2026")</f>
        <v/>
      </c>
      <c r="AD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46223</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HYPERLINK("https://klasma.github.io/Logging_1885/kartor_geotiff/A 46659-2022 georefererad karta.tif", "A 46659-2022")</f>
        <v/>
      </c>
      <c r="Y12">
        <f>HYPERLINK("https://klasma.github.io/Logging_1885/knärot/A 46659-2022 karta knärot.png", "A 46659-2022")</f>
        <v/>
      </c>
      <c r="Z12">
        <f>HYPERLINK("https://klasma.github.io/Logging_1885/klagomål/A 46659-2022 FSC-klagomål.docx", "A 46659-2022")</f>
        <v/>
      </c>
      <c r="AA12">
        <f>HYPERLINK("https://klasma.github.io/Logging_1885/klagomålsmail/A 46659-2022 FSC-klagomål mail.docx", "A 46659-2022")</f>
        <v/>
      </c>
      <c r="AB12">
        <f>HYPERLINK("https://klasma.github.io/Logging_1885/tillsyn/A 46659-2022 tillsynsbegäran.docx", "A 46659-2022")</f>
        <v/>
      </c>
      <c r="AC12">
        <f>HYPERLINK("https://klasma.github.io/Logging_1885/tillsynsmail/A 46659-2022 tillsynsbegäran mail.docx", "A 46659-2022")</f>
        <v/>
      </c>
      <c r="AD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46223</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s="2" t="inlineStr">
        <is>
          <t>Brödtaggsvamp
Dvärgbägarlav
Gransotdyna
Motaggsvamp
Tallticka
Ullticka
Vedskivlav
Violmussling
Vedticka
Järpe
Revlummer</t>
        </is>
      </c>
      <c r="V13">
        <f>HYPERLINK("https://klasma.github.io/Logging_1885/artfynd/A 42636-2025 artfynd.xlsx", "A 42636-2025")</f>
        <v/>
      </c>
      <c r="W13">
        <f>HYPERLINK("https://klasma.github.io/Logging_1885/kartor/A 42636-2025 karta.png", "A 42636-2025")</f>
        <v/>
      </c>
      <c r="X13">
        <f>HYPERLINK("https://klasma.github.io/Logging_1885/kartor_geotiff/A 42636-2025 georefererad karta.tif", "A 42636-2025")</f>
        <v/>
      </c>
      <c r="Y13">
        <f>HYPERLINK("https://klasma.github.io/Logging_1885/knärot/A 42636-2025 karta knärot.png", "A 42636-2025")</f>
        <v/>
      </c>
      <c r="Z13">
        <f>HYPERLINK("https://klasma.github.io/Logging_1885/klagomål/A 42636-2025 FSC-klagomål.docx", "A 42636-2025")</f>
        <v/>
      </c>
      <c r="AA13">
        <f>HYPERLINK("https://klasma.github.io/Logging_1885/klagomålsmail/A 42636-2025 FSC-klagomål mail.docx", "A 42636-2025")</f>
        <v/>
      </c>
      <c r="AB13">
        <f>HYPERLINK("https://klasma.github.io/Logging_1885/tillsyn/A 42636-2025 tillsynsbegäran.docx", "A 42636-2025")</f>
        <v/>
      </c>
      <c r="AC13">
        <f>HYPERLINK("https://klasma.github.io/Logging_1885/tillsynsmail/A 42636-2025 tillsynsbegäran mail.docx", "A 42636-2025")</f>
        <v/>
      </c>
      <c r="AD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46223</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s="2" t="inlineStr">
        <is>
          <t>Grönsångare
Järnsparv
Svart trolldruva
Thomsons trägnagare
Tibast
Tvåblad
Ormbär
Grönsiska
Kungsfågel
Svartvit flugsnappare
Ärtsångare</t>
        </is>
      </c>
      <c r="V14">
        <f>HYPERLINK("https://klasma.github.io/Logging_1885/artfynd/A 8186-2026 artfynd.xlsx", "A 8186-2026")</f>
        <v/>
      </c>
      <c r="W14">
        <f>HYPERLINK("https://klasma.github.io/Logging_1885/kartor/A 8186-2026 karta.png", "A 8186-2026")</f>
        <v/>
      </c>
      <c r="X14">
        <f>HYPERLINK("https://klasma.github.io/Logging_1885/kartor_geotiff/A 8186-2026 georefererad karta.tif", "A 8186-2026")</f>
        <v/>
      </c>
      <c r="Z14">
        <f>HYPERLINK("https://klasma.github.io/Logging_1885/klagomål/A 8186-2026 FSC-klagomål.docx", "A 8186-2026")</f>
        <v/>
      </c>
      <c r="AA14">
        <f>HYPERLINK("https://klasma.github.io/Logging_1885/klagomålsmail/A 8186-2026 FSC-klagomål mail.docx", "A 8186-2026")</f>
        <v/>
      </c>
      <c r="AB14">
        <f>HYPERLINK("https://klasma.github.io/Logging_1885/tillsyn/A 8186-2026 tillsynsbegäran.docx", "A 8186-2026")</f>
        <v/>
      </c>
      <c r="AC14">
        <f>HYPERLINK("https://klasma.github.io/Logging_1885/tillsynsmail/A 8186-2026 tillsynsbegäran mail.docx", "A 8186-2026")</f>
        <v/>
      </c>
      <c r="AD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46223</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s="2" t="inlineStr">
        <is>
          <t>Ask
Grönsångare
Järnsparv
Rödgul trumpetsvamp
Svart trolldruva
Tvåblad
Västlig hakmossa
Vätteros
Spillkråka
Kungsfågel
Svartvit flugsnappare</t>
        </is>
      </c>
      <c r="V15">
        <f>HYPERLINK("https://klasma.github.io/Logging_1885/artfynd/A 8195-2026 artfynd.xlsx", "A 8195-2026")</f>
        <v/>
      </c>
      <c r="W15">
        <f>HYPERLINK("https://klasma.github.io/Logging_1885/kartor/A 8195-2026 karta.png", "A 8195-2026")</f>
        <v/>
      </c>
      <c r="X15">
        <f>HYPERLINK("https://klasma.github.io/Logging_1885/kartor_geotiff/A 8195-2026 georefererad karta.tif", "A 8195-2026")</f>
        <v/>
      </c>
      <c r="Z15">
        <f>HYPERLINK("https://klasma.github.io/Logging_1885/klagomål/A 8195-2026 FSC-klagomål.docx", "A 8195-2026")</f>
        <v/>
      </c>
      <c r="AA15">
        <f>HYPERLINK("https://klasma.github.io/Logging_1885/klagomålsmail/A 8195-2026 FSC-klagomål mail.docx", "A 8195-2026")</f>
        <v/>
      </c>
      <c r="AB15">
        <f>HYPERLINK("https://klasma.github.io/Logging_1885/tillsyn/A 8195-2026 tillsynsbegäran.docx", "A 8195-2026")</f>
        <v/>
      </c>
      <c r="AC15">
        <f>HYPERLINK("https://klasma.github.io/Logging_1885/tillsynsmail/A 8195-2026 tillsynsbegäran mail.docx", "A 8195-2026")</f>
        <v/>
      </c>
      <c r="AD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46223</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s="2" t="inlineStr">
        <is>
          <t>Dropptaggsvamp
Motaggsvamp
Talltita
Ullticka
Blomkålssvamp
Grovticka
Gullgröppa
Mindre märgborre
Vedticka
Spillkråka
Kungsfågel</t>
        </is>
      </c>
      <c r="V16">
        <f>HYPERLINK("https://klasma.github.io/Logging_1885/artfynd/A 55016-2025 artfynd.xlsx", "A 55016-2025")</f>
        <v/>
      </c>
      <c r="W16">
        <f>HYPERLINK("https://klasma.github.io/Logging_1885/kartor/A 55016-2025 karta.png", "A 55016-2025")</f>
        <v/>
      </c>
      <c r="X16">
        <f>HYPERLINK("https://klasma.github.io/Logging_1885/kartor_geotiff/A 55016-2025 georefererad karta.tif", "A 55016-2025")</f>
        <v/>
      </c>
      <c r="Z16">
        <f>HYPERLINK("https://klasma.github.io/Logging_1885/klagomål/A 55016-2025 FSC-klagomål.docx", "A 55016-2025")</f>
        <v/>
      </c>
      <c r="AA16">
        <f>HYPERLINK("https://klasma.github.io/Logging_1885/klagomålsmail/A 55016-2025 FSC-klagomål mail.docx", "A 55016-2025")</f>
        <v/>
      </c>
      <c r="AB16">
        <f>HYPERLINK("https://klasma.github.io/Logging_1885/tillsyn/A 55016-2025 tillsynsbegäran.docx", "A 55016-2025")</f>
        <v/>
      </c>
      <c r="AC16">
        <f>HYPERLINK("https://klasma.github.io/Logging_1885/tillsynsmail/A 55016-2025 tillsynsbegäran mail.docx", "A 55016-2025")</f>
        <v/>
      </c>
      <c r="AD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46223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s="2" t="inlineStr">
        <is>
          <t>Knärot
Dropptaggsvamp
Fjällig taggsvamp s.str.
Motaggsvamp
Sotvaxskivling
Svartvit taggsvamp
Korallrot
Sotriska
Vedticka
Fläcknycklar
Revlummer</t>
        </is>
      </c>
      <c r="V17">
        <f>HYPERLINK("https://klasma.github.io/Logging_1885/artfynd/A 34293-2023 artfynd.xlsx", "A 34293-2023")</f>
        <v/>
      </c>
      <c r="W17">
        <f>HYPERLINK("https://klasma.github.io/Logging_1885/kartor/A 34293-2023 karta.png", "A 34293-2023")</f>
        <v/>
      </c>
      <c r="X17">
        <f>HYPERLINK("https://klasma.github.io/Logging_1885/kartor_geotiff/A 34293-2023 georefererad karta.tif", "A 34293-2023")</f>
        <v/>
      </c>
      <c r="Y17">
        <f>HYPERLINK("https://klasma.github.io/Logging_1885/knärot/A 34293-2023 karta knärot.png", "A 34293-2023")</f>
        <v/>
      </c>
      <c r="Z17">
        <f>HYPERLINK("https://klasma.github.io/Logging_1885/klagomål/A 34293-2023 FSC-klagomål.docx", "A 34293-2023")</f>
        <v/>
      </c>
      <c r="AA17">
        <f>HYPERLINK("https://klasma.github.io/Logging_1885/klagomålsmail/A 34293-2023 FSC-klagomål mail.docx", "A 34293-2023")</f>
        <v/>
      </c>
      <c r="AB17">
        <f>HYPERLINK("https://klasma.github.io/Logging_1885/tillsyn/A 34293-2023 tillsynsbegäran.docx", "A 34293-2023")</f>
        <v/>
      </c>
      <c r="AC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46223</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X18">
        <f>HYPERLINK("https://klasma.github.io/Logging_1885/kartor_geotiff/A 42628-2025 georefererad karta.tif", "A 42628-2025")</f>
        <v/>
      </c>
      <c r="Z18">
        <f>HYPERLINK("https://klasma.github.io/Logging_1885/klagomål/A 42628-2025 FSC-klagomål.docx", "A 42628-2025")</f>
        <v/>
      </c>
      <c r="AA18">
        <f>HYPERLINK("https://klasma.github.io/Logging_1885/klagomålsmail/A 42628-2025 FSC-klagomål mail.docx", "A 42628-2025")</f>
        <v/>
      </c>
      <c r="AB18">
        <f>HYPERLINK("https://klasma.github.io/Logging_1885/tillsyn/A 42628-2025 tillsynsbegäran.docx", "A 42628-2025")</f>
        <v/>
      </c>
      <c r="AC18">
        <f>HYPERLINK("https://klasma.github.io/Logging_1885/tillsynsmail/A 42628-2025 tillsynsbegäran mail.docx", "A 42628-2025")</f>
        <v/>
      </c>
      <c r="AD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46223</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X19">
        <f>HYPERLINK("https://klasma.github.io/Logging_1885/kartor_geotiff/S 2511-2025 georefererad karta.tif", "S 2511-2025")</f>
        <v/>
      </c>
      <c r="Z19">
        <f>HYPERLINK("https://klasma.github.io/Logging_1885/klagomål/S 2511-2025 FSC-klagomål.docx", "S 2511-2025")</f>
        <v/>
      </c>
      <c r="AA19">
        <f>HYPERLINK("https://klasma.github.io/Logging_1885/klagomålsmail/S 2511-2025 FSC-klagomål mail.docx", "S 2511-2025")</f>
        <v/>
      </c>
      <c r="AB19">
        <f>HYPERLINK("https://klasma.github.io/Logging_1885/tillsyn/S 2511-2025 tillsynsbegäran.docx", "S 2511-2025")</f>
        <v/>
      </c>
      <c r="AC19">
        <f>HYPERLINK("https://klasma.github.io/Logging_1885/tillsynsmail/S 2511-2025 tillsynsbegäran mail.docx", "S 2511-2025")</f>
        <v/>
      </c>
      <c r="AD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46223</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s="2" t="inlineStr">
        <is>
          <t>Grönsångare
Sädesärla
Tretåig hackspett
Ullticka
Bronshjon
Spillkråka
Tofsmes
Grönsiska
Fläcknycklar</t>
        </is>
      </c>
      <c r="V20">
        <f>HYPERLINK("https://klasma.github.io/Logging_1885/artfynd/A 19260-2026 artfynd.xlsx", "A 19260-2026")</f>
        <v/>
      </c>
      <c r="W20">
        <f>HYPERLINK("https://klasma.github.io/Logging_1885/kartor/A 19260-2026 karta.png", "A 19260-2026")</f>
        <v/>
      </c>
      <c r="X20">
        <f>HYPERLINK("https://klasma.github.io/Logging_1885/kartor_geotiff/A 19260-2026 georefererad karta.tif", "A 19260-2026")</f>
        <v/>
      </c>
      <c r="Z20">
        <f>HYPERLINK("https://klasma.github.io/Logging_1885/klagomål/A 19260-2026 FSC-klagomål.docx", "A 19260-2026")</f>
        <v/>
      </c>
      <c r="AA20">
        <f>HYPERLINK("https://klasma.github.io/Logging_1885/klagomålsmail/A 19260-2026 FSC-klagomål mail.docx", "A 19260-2026")</f>
        <v/>
      </c>
      <c r="AB20">
        <f>HYPERLINK("https://klasma.github.io/Logging_1885/tillsyn/A 19260-2026 tillsynsbegäran.docx", "A 19260-2026")</f>
        <v/>
      </c>
      <c r="AC20">
        <f>HYPERLINK("https://klasma.github.io/Logging_1885/tillsynsmail/A 19260-2026 tillsynsbegäran mail.docx", "A 19260-2026")</f>
        <v/>
      </c>
      <c r="AD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46223</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s="2" t="inlineStr">
        <is>
          <t>Knärot
Svart skogssnigel
Älg
Björksplintborre
Bronshjon
Thomsons trägnagare
Spillkråka
Tjäder
Fläcknycklar</t>
        </is>
      </c>
      <c r="V21">
        <f>HYPERLINK("https://klasma.github.io/Logging_1885/artfynd/A 24977-2026 artfynd.xlsx", "A 24977-2026")</f>
        <v/>
      </c>
      <c r="W21">
        <f>HYPERLINK("https://klasma.github.io/Logging_1885/kartor/A 24977-2026 karta.png", "A 24977-2026")</f>
        <v/>
      </c>
      <c r="X21">
        <f>HYPERLINK("https://klasma.github.io/Logging_1885/kartor_geotiff/A 24977-2026 georefererad karta.tif", "A 24977-2026")</f>
        <v/>
      </c>
      <c r="Y21">
        <f>HYPERLINK("https://klasma.github.io/Logging_1885/knärot/A 24977-2026 karta knärot.png", "A 24977-2026")</f>
        <v/>
      </c>
      <c r="Z21">
        <f>HYPERLINK("https://klasma.github.io/Logging_1885/klagomål/A 24977-2026 FSC-klagomål.docx", "A 24977-2026")</f>
        <v/>
      </c>
      <c r="AA21">
        <f>HYPERLINK("https://klasma.github.io/Logging_1885/klagomålsmail/A 24977-2026 FSC-klagomål mail.docx", "A 24977-2026")</f>
        <v/>
      </c>
      <c r="AB21">
        <f>HYPERLINK("https://klasma.github.io/Logging_1885/tillsyn/A 24977-2026 tillsynsbegäran.docx", "A 24977-2026")</f>
        <v/>
      </c>
      <c r="AC21">
        <f>HYPERLINK("https://klasma.github.io/Logging_1885/tillsynsmail/A 24977-2026 tillsynsbegäran mail.docx", "A 24977-2026")</f>
        <v/>
      </c>
      <c r="AD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46223</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s="2" t="inlineStr">
        <is>
          <t>Knärot
Gulsparv
Järnsparv
Blåsippa
Grönsiska
Kungsfågel
Trädlärka
Revlummer</t>
        </is>
      </c>
      <c r="V22">
        <f>HYPERLINK("https://klasma.github.io/Logging_1885/artfynd/A 26749-2025 artfynd.xlsx", "A 26749-2025")</f>
        <v/>
      </c>
      <c r="W22">
        <f>HYPERLINK("https://klasma.github.io/Logging_1885/kartor/A 26749-2025 karta.png", "A 26749-2025")</f>
        <v/>
      </c>
      <c r="X22">
        <f>HYPERLINK("https://klasma.github.io/Logging_1885/kartor_geotiff/A 26749-2025 georefererad karta.tif", "A 26749-2025")</f>
        <v/>
      </c>
      <c r="Y22">
        <f>HYPERLINK("https://klasma.github.io/Logging_1885/knärot/A 26749-2025 karta knärot.png", "A 26749-2025")</f>
        <v/>
      </c>
      <c r="Z22">
        <f>HYPERLINK("https://klasma.github.io/Logging_1885/klagomål/A 26749-2025 FSC-klagomål.docx", "A 26749-2025")</f>
        <v/>
      </c>
      <c r="AA22">
        <f>HYPERLINK("https://klasma.github.io/Logging_1885/klagomålsmail/A 26749-2025 FSC-klagomål mail.docx", "A 26749-2025")</f>
        <v/>
      </c>
      <c r="AB22">
        <f>HYPERLINK("https://klasma.github.io/Logging_1885/tillsyn/A 26749-2025 tillsynsbegäran.docx", "A 26749-2025")</f>
        <v/>
      </c>
      <c r="AC22">
        <f>HYPERLINK("https://klasma.github.io/Logging_1885/tillsynsmail/A 26749-2025 tillsynsbegäran mail.docx", "A 26749-2025")</f>
        <v/>
      </c>
      <c r="AD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46223</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s="2" t="inlineStr">
        <is>
          <t>Bågtuss
Knärot
Fjällig taggsvamp s.str.
Persiljespindling
Olivspindling
Skogsknipprot
Svavelriska
Kopparödla</t>
        </is>
      </c>
      <c r="V23">
        <f>HYPERLINK("https://klasma.github.io/Logging_1885/artfynd/A 8172-2026 artfynd.xlsx", "A 8172-2026")</f>
        <v/>
      </c>
      <c r="W23">
        <f>HYPERLINK("https://klasma.github.io/Logging_1885/kartor/A 8172-2026 karta.png", "A 8172-2026")</f>
        <v/>
      </c>
      <c r="X23">
        <f>HYPERLINK("https://klasma.github.io/Logging_1885/kartor_geotiff/A 8172-2026 georefererad karta.tif", "A 8172-2026")</f>
        <v/>
      </c>
      <c r="Y23">
        <f>HYPERLINK("https://klasma.github.io/Logging_1885/knärot/A 8172-2026 karta knärot.png", "A 8172-2026")</f>
        <v/>
      </c>
      <c r="Z23">
        <f>HYPERLINK("https://klasma.github.io/Logging_1885/klagomål/A 8172-2026 FSC-klagomål.docx", "A 8172-2026")</f>
        <v/>
      </c>
      <c r="AA23">
        <f>HYPERLINK("https://klasma.github.io/Logging_1885/klagomålsmail/A 8172-2026 FSC-klagomål mail.docx", "A 8172-2026")</f>
        <v/>
      </c>
      <c r="AB23">
        <f>HYPERLINK("https://klasma.github.io/Logging_1885/tillsyn/A 8172-2026 tillsynsbegäran.docx", "A 8172-2026")</f>
        <v/>
      </c>
      <c r="AC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46223</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s="2" t="inlineStr">
        <is>
          <t>Knärot
Dropptaggsvamp
Fjällig taggsvamp s.str.
Motaggsvamp
Svartvit taggsvamp
Sotriska
Vedticka
Järpe</t>
        </is>
      </c>
      <c r="V24">
        <f>HYPERLINK("https://klasma.github.io/Logging_1885/artfynd/A 34292-2023 artfynd.xlsx", "A 34292-2023")</f>
        <v/>
      </c>
      <c r="W24">
        <f>HYPERLINK("https://klasma.github.io/Logging_1885/kartor/A 34292-2023 karta.png", "A 34292-2023")</f>
        <v/>
      </c>
      <c r="X24">
        <f>HYPERLINK("https://klasma.github.io/Logging_1885/kartor_geotiff/A 34292-2023 georefererad karta.tif", "A 34292-2023")</f>
        <v/>
      </c>
      <c r="Y24">
        <f>HYPERLINK("https://klasma.github.io/Logging_1885/knärot/A 34292-2023 karta knärot.png", "A 34292-2023")</f>
        <v/>
      </c>
      <c r="Z24">
        <f>HYPERLINK("https://klasma.github.io/Logging_1885/klagomål/A 34292-2023 FSC-klagomål.docx", "A 34292-2023")</f>
        <v/>
      </c>
      <c r="AA24">
        <f>HYPERLINK("https://klasma.github.io/Logging_1885/klagomålsmail/A 34292-2023 FSC-klagomål mail.docx", "A 34292-2023")</f>
        <v/>
      </c>
      <c r="AB24">
        <f>HYPERLINK("https://klasma.github.io/Logging_1885/tillsyn/A 34292-2023 tillsynsbegäran.docx", "A 34292-2023")</f>
        <v/>
      </c>
      <c r="AC24">
        <f>HYPERLINK("https://klasma.github.io/Logging_1885/tillsynsmail/A 34292-2023 tillsynsbegäran mail.docx", "A 34292-2023")</f>
        <v/>
      </c>
      <c r="AD24">
        <f>HYPERLINK("https://klasma.github.io/Logging_1885/fåglar/A 34292-2023 prioriterade fågelarter.docx", "A 34292-2023")</f>
        <v/>
      </c>
    </row>
    <row r="25" ht="15" customHeight="1">
      <c r="A25" t="inlineStr">
        <is>
          <t>A 38385-2021</t>
        </is>
      </c>
      <c r="B25" t="inlineStr">
        <is>
          <t>avverkningsanmälan</t>
        </is>
      </c>
      <c r="C25" t="inlineStr">
        <is>
          <t>Föryngringsavverkning</t>
        </is>
      </c>
      <c r="D25" s="1" t="n">
        <v>44406</v>
      </c>
      <c r="E25" s="1" t="n">
        <v>46223</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X25">
        <f>HYPERLINK("https://klasma.github.io/Logging_1885/kartor_geotiff/A 38385-2021 georefererad karta.tif", "A 38385-2021")</f>
        <v/>
      </c>
      <c r="Z25">
        <f>HYPERLINK("https://klasma.github.io/Logging_1885/klagomål/A 38385-2021 FSC-klagomål.docx", "A 38385-2021")</f>
        <v/>
      </c>
      <c r="AA25">
        <f>HYPERLINK("https://klasma.github.io/Logging_1885/klagomålsmail/A 38385-2021 FSC-klagomål mail.docx", "A 38385-2021")</f>
        <v/>
      </c>
      <c r="AB25">
        <f>HYPERLINK("https://klasma.github.io/Logging_1885/tillsyn/A 38385-2021 tillsynsbegäran.docx", "A 38385-2021")</f>
        <v/>
      </c>
      <c r="AC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46223</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s="2" t="inlineStr">
        <is>
          <t>Grönsångare
Svart trolldruva
Tibast
Tvåblad
Ormbär
Spillkråka
Kungsfågel</t>
        </is>
      </c>
      <c r="V26">
        <f>HYPERLINK("https://klasma.github.io/Logging_1885/artfynd/A 8189-2026 artfynd.xlsx", "A 8189-2026")</f>
        <v/>
      </c>
      <c r="W26">
        <f>HYPERLINK("https://klasma.github.io/Logging_1885/kartor/A 8189-2026 karta.png", "A 8189-2026")</f>
        <v/>
      </c>
      <c r="X26">
        <f>HYPERLINK("https://klasma.github.io/Logging_1885/kartor_geotiff/A 8189-2026 georefererad karta.tif", "A 8189-2026")</f>
        <v/>
      </c>
      <c r="Z26">
        <f>HYPERLINK("https://klasma.github.io/Logging_1885/klagomål/A 8189-2026 FSC-klagomål.docx", "A 8189-2026")</f>
        <v/>
      </c>
      <c r="AA26">
        <f>HYPERLINK("https://klasma.github.io/Logging_1885/klagomålsmail/A 8189-2026 FSC-klagomål mail.docx", "A 8189-2026")</f>
        <v/>
      </c>
      <c r="AB26">
        <f>HYPERLINK("https://klasma.github.io/Logging_1885/tillsyn/A 8189-2026 tillsynsbegäran.docx", "A 8189-2026")</f>
        <v/>
      </c>
      <c r="AC26">
        <f>HYPERLINK("https://klasma.github.io/Logging_1885/tillsynsmail/A 8189-2026 tillsynsbegäran mail.docx", "A 8189-2026")</f>
        <v/>
      </c>
      <c r="AD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46223</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s="2" t="inlineStr">
        <is>
          <t>Talltita
Älg
Björksplintborre
Spillkråka
Tjäder
Tofsmes
Revlummer</t>
        </is>
      </c>
      <c r="V27">
        <f>HYPERLINK("https://klasma.github.io/Logging_1885/artfynd/A 27725-2026 artfynd.xlsx", "A 27725-2026")</f>
        <v/>
      </c>
      <c r="W27">
        <f>HYPERLINK("https://klasma.github.io/Logging_1885/kartor/A 27725-2026 karta.png", "A 27725-2026")</f>
        <v/>
      </c>
      <c r="X27">
        <f>HYPERLINK("https://klasma.github.io/Logging_1885/kartor_geotiff/A 27725-2026 georefererad karta.tif", "A 27725-2026")</f>
        <v/>
      </c>
      <c r="Z27">
        <f>HYPERLINK("https://klasma.github.io/Logging_1885/klagomål/A 27725-2026 FSC-klagomål.docx", "A 27725-2026")</f>
        <v/>
      </c>
      <c r="AA27">
        <f>HYPERLINK("https://klasma.github.io/Logging_1885/klagomålsmail/A 27725-2026 FSC-klagomål mail.docx", "A 27725-2026")</f>
        <v/>
      </c>
      <c r="AB27">
        <f>HYPERLINK("https://klasma.github.io/Logging_1885/tillsyn/A 27725-2026 tillsynsbegäran.docx", "A 27725-2026")</f>
        <v/>
      </c>
      <c r="AC27">
        <f>HYPERLINK("https://klasma.github.io/Logging_1885/tillsynsmail/A 27725-2026 tillsynsbegäran mail.docx", "A 27725-2026")</f>
        <v/>
      </c>
      <c r="AD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46223</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s="2" t="inlineStr">
        <is>
          <t>Lunglav
Talltita
Tretåig hackspett
Spillkråka
Tjäder
Vanlig padda
Fläcknycklar</t>
        </is>
      </c>
      <c r="V28">
        <f>HYPERLINK("https://klasma.github.io/Logging_1885/artfynd/A 27727-2026 artfynd.xlsx", "A 27727-2026")</f>
        <v/>
      </c>
      <c r="W28">
        <f>HYPERLINK("https://klasma.github.io/Logging_1885/kartor/A 27727-2026 karta.png", "A 27727-2026")</f>
        <v/>
      </c>
      <c r="X28">
        <f>HYPERLINK("https://klasma.github.io/Logging_1885/kartor_geotiff/A 27727-2026 georefererad karta.tif", "A 27727-2026")</f>
        <v/>
      </c>
      <c r="Z28">
        <f>HYPERLINK("https://klasma.github.io/Logging_1885/klagomål/A 27727-2026 FSC-klagomål.docx", "A 27727-2026")</f>
        <v/>
      </c>
      <c r="AA28">
        <f>HYPERLINK("https://klasma.github.io/Logging_1885/klagomålsmail/A 27727-2026 FSC-klagomål mail.docx", "A 27727-2026")</f>
        <v/>
      </c>
      <c r="AB28">
        <f>HYPERLINK("https://klasma.github.io/Logging_1885/tillsyn/A 27727-2026 tillsynsbegäran.docx", "A 27727-2026")</f>
        <v/>
      </c>
      <c r="AC28">
        <f>HYPERLINK("https://klasma.github.io/Logging_1885/tillsynsmail/A 27727-2026 tillsynsbegäran mail.docx", "A 27727-2026")</f>
        <v/>
      </c>
      <c r="AD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46223</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s="2" t="inlineStr">
        <is>
          <t>Knärot
Grönsångare
Ullticka
Bronshjon
Spillkråka
Grönsiska
Fläcknycklar</t>
        </is>
      </c>
      <c r="V29">
        <f>HYPERLINK("https://klasma.github.io/Logging_1885/artfynd/A 21467-2026 artfynd.xlsx", "A 21467-2026")</f>
        <v/>
      </c>
      <c r="W29">
        <f>HYPERLINK("https://klasma.github.io/Logging_1885/kartor/A 21467-2026 karta.png", "A 21467-2026")</f>
        <v/>
      </c>
      <c r="X29">
        <f>HYPERLINK("https://klasma.github.io/Logging_1885/kartor_geotiff/A 21467-2026 georefererad karta.tif", "A 21467-2026")</f>
        <v/>
      </c>
      <c r="Y29">
        <f>HYPERLINK("https://klasma.github.io/Logging_1885/knärot/A 21467-2026 karta knärot.png", "A 21467-2026")</f>
        <v/>
      </c>
      <c r="Z29">
        <f>HYPERLINK("https://klasma.github.io/Logging_1885/klagomål/A 21467-2026 FSC-klagomål.docx", "A 21467-2026")</f>
        <v/>
      </c>
      <c r="AA29">
        <f>HYPERLINK("https://klasma.github.io/Logging_1885/klagomålsmail/A 21467-2026 FSC-klagomål mail.docx", "A 21467-2026")</f>
        <v/>
      </c>
      <c r="AB29">
        <f>HYPERLINK("https://klasma.github.io/Logging_1885/tillsyn/A 21467-2026 tillsynsbegäran.docx", "A 21467-2026")</f>
        <v/>
      </c>
      <c r="AC29">
        <f>HYPERLINK("https://klasma.github.io/Logging_1885/tillsynsmail/A 21467-2026 tillsynsbegäran mail.docx", "A 21467-2026")</f>
        <v/>
      </c>
      <c r="AD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46223</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s="2" t="inlineStr">
        <is>
          <t>Dropptaggsvamp
Talltita
Bronshjon
Thomsons trägnagare
Vågbandad barkbock
Tjäder
Fläcknycklar</t>
        </is>
      </c>
      <c r="V30">
        <f>HYPERLINK("https://klasma.github.io/Logging_1885/artfynd/A 24958-2026 artfynd.xlsx", "A 24958-2026")</f>
        <v/>
      </c>
      <c r="W30">
        <f>HYPERLINK("https://klasma.github.io/Logging_1885/kartor/A 24958-2026 karta.png", "A 24958-2026")</f>
        <v/>
      </c>
      <c r="X30">
        <f>HYPERLINK("https://klasma.github.io/Logging_1885/kartor_geotiff/A 24958-2026 georefererad karta.tif", "A 24958-2026")</f>
        <v/>
      </c>
      <c r="Z30">
        <f>HYPERLINK("https://klasma.github.io/Logging_1885/klagomål/A 24958-2026 FSC-klagomål.docx", "A 24958-2026")</f>
        <v/>
      </c>
      <c r="AA30">
        <f>HYPERLINK("https://klasma.github.io/Logging_1885/klagomålsmail/A 24958-2026 FSC-klagomål mail.docx", "A 24958-2026")</f>
        <v/>
      </c>
      <c r="AB30">
        <f>HYPERLINK("https://klasma.github.io/Logging_1885/tillsyn/A 24958-2026 tillsynsbegäran.docx", "A 24958-2026")</f>
        <v/>
      </c>
      <c r="AC30">
        <f>HYPERLINK("https://klasma.github.io/Logging_1885/tillsynsmail/A 24958-2026 tillsynsbegäran mail.docx", "A 24958-2026")</f>
        <v/>
      </c>
      <c r="AD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46223</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s="2" t="inlineStr">
        <is>
          <t>Kandelabersvamp
Motaggsvamp
Sotvaxskivling
Svartvit taggsvamp
Veckticka
Blomkålssvamp</t>
        </is>
      </c>
      <c r="V31">
        <f>HYPERLINK("https://klasma.github.io/Logging_1885/artfynd/A 42633-2025 artfynd.xlsx", "A 42633-2025")</f>
        <v/>
      </c>
      <c r="W31">
        <f>HYPERLINK("https://klasma.github.io/Logging_1885/kartor/A 42633-2025 karta.png", "A 42633-2025")</f>
        <v/>
      </c>
      <c r="X31">
        <f>HYPERLINK("https://klasma.github.io/Logging_1885/kartor_geotiff/A 42633-2025 georefererad karta.tif", "A 42633-2025")</f>
        <v/>
      </c>
      <c r="Z31">
        <f>HYPERLINK("https://klasma.github.io/Logging_1885/klagomål/A 42633-2025 FSC-klagomål.docx", "A 42633-2025")</f>
        <v/>
      </c>
      <c r="AA31">
        <f>HYPERLINK("https://klasma.github.io/Logging_1885/klagomålsmail/A 42633-2025 FSC-klagomål mail.docx", "A 42633-2025")</f>
        <v/>
      </c>
      <c r="AB31">
        <f>HYPERLINK("https://klasma.github.io/Logging_1885/tillsyn/A 42633-2025 tillsynsbegäran.docx", "A 42633-2025")</f>
        <v/>
      </c>
      <c r="AC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46223</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s="2" t="inlineStr">
        <is>
          <t>Knärot
Talltita
Ullticka
Grönpyrola
Spillkråka
Kungsfågel</t>
        </is>
      </c>
      <c r="V32">
        <f>HYPERLINK("https://klasma.github.io/Logging_1885/artfynd/A 54241-2025 artfynd.xlsx", "A 54241-2025")</f>
        <v/>
      </c>
      <c r="W32">
        <f>HYPERLINK("https://klasma.github.io/Logging_1885/kartor/A 54241-2025 karta.png", "A 54241-2025")</f>
        <v/>
      </c>
      <c r="X32">
        <f>HYPERLINK("https://klasma.github.io/Logging_1885/kartor_geotiff/A 54241-2025 georefererad karta.tif", "A 54241-2025")</f>
        <v/>
      </c>
      <c r="Y32">
        <f>HYPERLINK("https://klasma.github.io/Logging_1885/knärot/A 54241-2025 karta knärot.png", "A 54241-2025")</f>
        <v/>
      </c>
      <c r="Z32">
        <f>HYPERLINK("https://klasma.github.io/Logging_1885/klagomål/A 54241-2025 FSC-klagomål.docx", "A 54241-2025")</f>
        <v/>
      </c>
      <c r="AA32">
        <f>HYPERLINK("https://klasma.github.io/Logging_1885/klagomålsmail/A 54241-2025 FSC-klagomål mail.docx", "A 54241-2025")</f>
        <v/>
      </c>
      <c r="AB32">
        <f>HYPERLINK("https://klasma.github.io/Logging_1885/tillsyn/A 54241-2025 tillsynsbegäran.docx", "A 54241-2025")</f>
        <v/>
      </c>
      <c r="AC32">
        <f>HYPERLINK("https://klasma.github.io/Logging_1885/tillsynsmail/A 54241-2025 tillsynsbegäran mail.docx", "A 54241-2025")</f>
        <v/>
      </c>
      <c r="AD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46223</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X33">
        <f>HYPERLINK("https://klasma.github.io/Logging_1885/kartor_geotiff/A 43429-2024 georefererad karta.tif", "A 43429-2024")</f>
        <v/>
      </c>
      <c r="Z33">
        <f>HYPERLINK("https://klasma.github.io/Logging_1885/klagomål/A 43429-2024 FSC-klagomål.docx", "A 43429-2024")</f>
        <v/>
      </c>
      <c r="AA33">
        <f>HYPERLINK("https://klasma.github.io/Logging_1885/klagomålsmail/A 43429-2024 FSC-klagomål mail.docx", "A 43429-2024")</f>
        <v/>
      </c>
      <c r="AB33">
        <f>HYPERLINK("https://klasma.github.io/Logging_1885/tillsyn/A 43429-2024 tillsynsbegäran.docx", "A 43429-2024")</f>
        <v/>
      </c>
      <c r="AC33">
        <f>HYPERLINK("https://klasma.github.io/Logging_1885/tillsynsmail/A 43429-2024 tillsynsbegäran mail.docx", "A 43429-2024")</f>
        <v/>
      </c>
      <c r="AD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46223</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s="2" t="inlineStr">
        <is>
          <t>Ask
Asknätfjäril
Skogsalm
Svart trolldruva
Tibast
Blåsippa</t>
        </is>
      </c>
      <c r="V34">
        <f>HYPERLINK("https://klasma.github.io/Logging_1885/artfynd/A 28033-2023 artfynd.xlsx", "A 28033-2023")</f>
        <v/>
      </c>
      <c r="W34">
        <f>HYPERLINK("https://klasma.github.io/Logging_1885/kartor/A 28033-2023 karta.png", "A 28033-2023")</f>
        <v/>
      </c>
      <c r="X34">
        <f>HYPERLINK("https://klasma.github.io/Logging_1885/kartor_geotiff/A 28033-2023 georefererad karta.tif", "A 28033-2023")</f>
        <v/>
      </c>
      <c r="Z34">
        <f>HYPERLINK("https://klasma.github.io/Logging_1885/klagomål/A 28033-2023 FSC-klagomål.docx", "A 28033-2023")</f>
        <v/>
      </c>
      <c r="AA34">
        <f>HYPERLINK("https://klasma.github.io/Logging_1885/klagomålsmail/A 28033-2023 FSC-klagomål mail.docx", "A 28033-2023")</f>
        <v/>
      </c>
      <c r="AB34">
        <f>HYPERLINK("https://klasma.github.io/Logging_1885/tillsyn/A 28033-2023 tillsynsbegäran.docx", "A 28033-2023")</f>
        <v/>
      </c>
      <c r="AC34">
        <f>HYPERLINK("https://klasma.github.io/Logging_1885/tillsynsmail/A 28033-2023 tillsynsbegäran mail.docx", "A 28033-2023")</f>
        <v/>
      </c>
    </row>
    <row r="35" ht="15" customHeight="1">
      <c r="A35" t="inlineStr">
        <is>
          <t>A 27733-2026</t>
        </is>
      </c>
      <c r="B35" t="inlineStr">
        <is>
          <t>avverkningsanmälan</t>
        </is>
      </c>
      <c r="C35" t="inlineStr">
        <is>
          <t>Föryngringsavverkning</t>
        </is>
      </c>
      <c r="D35" s="1" t="n">
        <v>46191</v>
      </c>
      <c r="E35" s="1" t="n">
        <v>46223</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s="2" t="inlineStr">
        <is>
          <t>Liljekonvalj
Spillkråka
Tjäder
Tofsmes
Vanlig groda
Fläcknycklar</t>
        </is>
      </c>
      <c r="V35">
        <f>HYPERLINK("https://klasma.github.io/Logging_1885/artfynd/A 27733-2026 artfynd.xlsx", "A 27733-2026")</f>
        <v/>
      </c>
      <c r="W35">
        <f>HYPERLINK("https://klasma.github.io/Logging_1885/kartor/A 27733-2026 karta.png", "A 27733-2026")</f>
        <v/>
      </c>
      <c r="X35">
        <f>HYPERLINK("https://klasma.github.io/Logging_1885/kartor_geotiff/A 27733-2026 georefererad karta.tif", "A 27733-2026")</f>
        <v/>
      </c>
      <c r="Z35">
        <f>HYPERLINK("https://klasma.github.io/Logging_1885/klagomål/A 27733-2026 FSC-klagomål.docx", "A 27733-2026")</f>
        <v/>
      </c>
      <c r="AA35">
        <f>HYPERLINK("https://klasma.github.io/Logging_1885/klagomålsmail/A 27733-2026 FSC-klagomål mail.docx", "A 27733-2026")</f>
        <v/>
      </c>
      <c r="AB35">
        <f>HYPERLINK("https://klasma.github.io/Logging_1885/tillsyn/A 27733-2026 tillsynsbegäran.docx", "A 27733-2026")</f>
        <v/>
      </c>
      <c r="AC35">
        <f>HYPERLINK("https://klasma.github.io/Logging_1885/tillsynsmail/A 27733-2026 tillsynsbegäran mail.docx", "A 27733-2026")</f>
        <v/>
      </c>
      <c r="AD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46223</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s="2" t="inlineStr">
        <is>
          <t>Tretåig hackspett
Björksplintborre
Spillkråka
Tjäder
Fläcknycklar
Revlummer</t>
        </is>
      </c>
      <c r="V36">
        <f>HYPERLINK("https://klasma.github.io/Logging_1885/artfynd/A 27732-2026 artfynd.xlsx", "A 27732-2026")</f>
        <v/>
      </c>
      <c r="W36">
        <f>HYPERLINK("https://klasma.github.io/Logging_1885/kartor/A 27732-2026 karta.png", "A 27732-2026")</f>
        <v/>
      </c>
      <c r="X36">
        <f>HYPERLINK("https://klasma.github.io/Logging_1885/kartor_geotiff/A 27732-2026 georefererad karta.tif", "A 27732-2026")</f>
        <v/>
      </c>
      <c r="Z36">
        <f>HYPERLINK("https://klasma.github.io/Logging_1885/klagomål/A 27732-2026 FSC-klagomål.docx", "A 27732-2026")</f>
        <v/>
      </c>
      <c r="AA36">
        <f>HYPERLINK("https://klasma.github.io/Logging_1885/klagomålsmail/A 27732-2026 FSC-klagomål mail.docx", "A 27732-2026")</f>
        <v/>
      </c>
      <c r="AB36">
        <f>HYPERLINK("https://klasma.github.io/Logging_1885/tillsyn/A 27732-2026 tillsynsbegäran.docx", "A 27732-2026")</f>
        <v/>
      </c>
      <c r="AC36">
        <f>HYPERLINK("https://klasma.github.io/Logging_1885/tillsynsmail/A 27732-2026 tillsynsbegäran mail.docx", "A 27732-2026")</f>
        <v/>
      </c>
      <c r="AD36">
        <f>HYPERLINK("https://klasma.github.io/Logging_1885/fåglar/A 27732-2026 prioriterade fågelarter.docx", "A 27732-2026")</f>
        <v/>
      </c>
    </row>
    <row r="37" ht="15" customHeight="1">
      <c r="A37" t="inlineStr">
        <is>
          <t>A 15687-2023</t>
        </is>
      </c>
      <c r="B37" t="inlineStr">
        <is>
          <t>avverkningsanmälan</t>
        </is>
      </c>
      <c r="C37" t="inlineStr">
        <is>
          <t>Föryngringsavverkning</t>
        </is>
      </c>
      <c r="D37" s="1" t="n">
        <v>45021</v>
      </c>
      <c r="E37" s="1" t="n">
        <v>46223</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s="2" t="inlineStr">
        <is>
          <t>Rödgul trumpetsvamp
Svavelriska
Tibast
Trådticka
Tvåblad
Revlummer</t>
        </is>
      </c>
      <c r="V37">
        <f>HYPERLINK("https://klasma.github.io/Logging_1885/artfynd/A 15687-2023 artfynd.xlsx", "A 15687-2023")</f>
        <v/>
      </c>
      <c r="W37">
        <f>HYPERLINK("https://klasma.github.io/Logging_1885/kartor/A 15687-2023 karta.png", "A 15687-2023")</f>
        <v/>
      </c>
      <c r="X37">
        <f>HYPERLINK("https://klasma.github.io/Logging_1885/kartor_geotiff/A 15687-2023 georefererad karta.tif", "A 15687-2023")</f>
        <v/>
      </c>
      <c r="Z37">
        <f>HYPERLINK("https://klasma.github.io/Logging_1885/klagomål/A 15687-2023 FSC-klagomål.docx", "A 15687-2023")</f>
        <v/>
      </c>
      <c r="AA37">
        <f>HYPERLINK("https://klasma.github.io/Logging_1885/klagomålsmail/A 15687-2023 FSC-klagomål mail.docx", "A 15687-2023")</f>
        <v/>
      </c>
      <c r="AB37">
        <f>HYPERLINK("https://klasma.github.io/Logging_1885/tillsyn/A 15687-2023 tillsynsbegäran.docx", "A 15687-2023")</f>
        <v/>
      </c>
      <c r="AC37">
        <f>HYPERLINK("https://klasma.github.io/Logging_1885/tillsynsmail/A 15687-2023 tillsynsbegäran mail.docx", "A 15687-2023")</f>
        <v/>
      </c>
    </row>
    <row r="38" ht="15" customHeight="1">
      <c r="A38" t="inlineStr">
        <is>
          <t>S 6242-2022</t>
        </is>
      </c>
      <c r="B38" t="inlineStr">
        <is>
          <t>samrådsanmälan</t>
        </is>
      </c>
      <c r="C38" t="inlineStr">
        <is>
          <t>Annan skogsbruksåtgärd</t>
        </is>
      </c>
      <c r="D38" s="1" t="n">
        <v>44867</v>
      </c>
      <c r="E38" s="1" t="n">
        <v>46223</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s="2" t="inlineStr">
        <is>
          <t>Grangråticka
Fjällig taggsvamp s.str.
Tallticka
Svart trolldruva
Trådticka
Blåsippa</t>
        </is>
      </c>
      <c r="V38">
        <f>HYPERLINK("https://klasma.github.io/Logging_1885/artfynd/S 6242-2022 artfynd.xlsx", "S 6242-2022")</f>
        <v/>
      </c>
      <c r="W38">
        <f>HYPERLINK("https://klasma.github.io/Logging_1885/kartor/S 6242-2022 karta.png", "S 6242-2022")</f>
        <v/>
      </c>
      <c r="X38">
        <f>HYPERLINK("https://klasma.github.io/Logging_1885/kartor_geotiff/S 6242-2022 georefererad karta.tif", "S 6242-2022")</f>
        <v/>
      </c>
      <c r="Z38">
        <f>HYPERLINK("https://klasma.github.io/Logging_1885/klagomål/S 6242-2022 FSC-klagomål.docx", "S 6242-2022")</f>
        <v/>
      </c>
      <c r="AA38">
        <f>HYPERLINK("https://klasma.github.io/Logging_1885/klagomålsmail/S 6242-2022 FSC-klagomål mail.docx", "S 6242-2022")</f>
        <v/>
      </c>
      <c r="AB38">
        <f>HYPERLINK("https://klasma.github.io/Logging_1885/tillsyn/S 6242-2022 tillsynsbegäran.docx", "S 6242-2022")</f>
        <v/>
      </c>
      <c r="AC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46223</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s="2" t="inlineStr">
        <is>
          <t>Kandelabersvamp
Motaggsvamp
Sotvaxskivling
Svartvit taggsvamp
Veckticka
Blomkålssvamp</t>
        </is>
      </c>
      <c r="V39">
        <f>HYPERLINK("https://klasma.github.io/Logging_1885/artfynd/S 2512-2025 artfynd.xlsx", "S 2512-2025")</f>
        <v/>
      </c>
      <c r="W39">
        <f>HYPERLINK("https://klasma.github.io/Logging_1885/kartor/S 2512-2025 karta.png", "S 2512-2025")</f>
        <v/>
      </c>
      <c r="X39">
        <f>HYPERLINK("https://klasma.github.io/Logging_1885/kartor_geotiff/S 2512-2025 georefererad karta.tif", "S 2512-2025")</f>
        <v/>
      </c>
      <c r="Z39">
        <f>HYPERLINK("https://klasma.github.io/Logging_1885/klagomål/S 2512-2025 FSC-klagomål.docx", "S 2512-2025")</f>
        <v/>
      </c>
      <c r="AA39">
        <f>HYPERLINK("https://klasma.github.io/Logging_1885/klagomålsmail/S 2512-2025 FSC-klagomål mail.docx", "S 2512-2025")</f>
        <v/>
      </c>
      <c r="AB39">
        <f>HYPERLINK("https://klasma.github.io/Logging_1885/tillsyn/S 2512-2025 tillsynsbegäran.docx", "S 2512-2025")</f>
        <v/>
      </c>
      <c r="AC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46223</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s="2" t="inlineStr">
        <is>
          <t>Knärot
Dropptaggsvamp
Orange taggsvamp
Svart taggsvamp
Grovticka
Blåsippa</t>
        </is>
      </c>
      <c r="V40">
        <f>HYPERLINK("https://klasma.github.io/Logging_1885/artfynd/S 2339-2025 artfynd.xlsx", "S 2339-2025")</f>
        <v/>
      </c>
      <c r="W40">
        <f>HYPERLINK("https://klasma.github.io/Logging_1885/kartor/S 2339-2025 karta.png", "S 2339-2025")</f>
        <v/>
      </c>
      <c r="X40">
        <f>HYPERLINK("https://klasma.github.io/Logging_1885/kartor_geotiff/S 2339-2025 georefererad karta.tif", "S 2339-2025")</f>
        <v/>
      </c>
      <c r="Y40">
        <f>HYPERLINK("https://klasma.github.io/Logging_1885/knärot/S 2339-2025 karta knärot.png", "S 2339-2025")</f>
        <v/>
      </c>
      <c r="Z40">
        <f>HYPERLINK("https://klasma.github.io/Logging_1885/klagomål/S 2339-2025 FSC-klagomål.docx", "S 2339-2025")</f>
        <v/>
      </c>
      <c r="AA40">
        <f>HYPERLINK("https://klasma.github.io/Logging_1885/klagomålsmail/S 2339-2025 FSC-klagomål mail.docx", "S 2339-2025")</f>
        <v/>
      </c>
      <c r="AB40">
        <f>HYPERLINK("https://klasma.github.io/Logging_1885/tillsyn/S 2339-2025 tillsynsbegäran.docx", "S 2339-2025")</f>
        <v/>
      </c>
      <c r="AC40">
        <f>HYPERLINK("https://klasma.github.io/Logging_1885/tillsynsmail/S 2339-2025 tillsynsbegäran mail.docx", "S 2339-2025")</f>
        <v/>
      </c>
    </row>
    <row r="41" ht="15" customHeight="1">
      <c r="A41" t="inlineStr">
        <is>
          <t>A 49945-2025</t>
        </is>
      </c>
      <c r="B41" t="inlineStr">
        <is>
          <t>avverkningsanmälan</t>
        </is>
      </c>
      <c r="C41" t="inlineStr">
        <is>
          <t>Föryngringsavverkning</t>
        </is>
      </c>
      <c r="D41" s="1" t="n">
        <v>45940</v>
      </c>
      <c r="E41" s="1" t="n">
        <v>46223</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s="2" t="inlineStr">
        <is>
          <t>Motaggsvamp
Toppvaxing
Vanlig rörsvepemossa
Zontaggsvamp
Mattlummer</t>
        </is>
      </c>
      <c r="V41">
        <f>HYPERLINK("https://klasma.github.io/Logging_1885/artfynd/A 49945-2025 artfynd.xlsx", "A 49945-2025")</f>
        <v/>
      </c>
      <c r="W41">
        <f>HYPERLINK("https://klasma.github.io/Logging_1885/kartor/A 49945-2025 karta.png", "A 49945-2025")</f>
        <v/>
      </c>
      <c r="X41">
        <f>HYPERLINK("https://klasma.github.io/Logging_1885/kartor_geotiff/A 49945-2025 georefererad karta.tif", "A 49945-2025")</f>
        <v/>
      </c>
      <c r="Z41">
        <f>HYPERLINK("https://klasma.github.io/Logging_1885/klagomål/A 49945-2025 FSC-klagomål.docx", "A 49945-2025")</f>
        <v/>
      </c>
      <c r="AA41">
        <f>HYPERLINK("https://klasma.github.io/Logging_1885/klagomålsmail/A 49945-2025 FSC-klagomål mail.docx", "A 49945-2025")</f>
        <v/>
      </c>
      <c r="AB41">
        <f>HYPERLINK("https://klasma.github.io/Logging_1885/tillsyn/A 49945-2025 tillsynsbegäran.docx", "A 49945-2025")</f>
        <v/>
      </c>
      <c r="AC41">
        <f>HYPERLINK("https://klasma.github.io/Logging_1885/tillsynsmail/A 49945-2025 tillsynsbegäran mail.docx", "A 49945-2025")</f>
        <v/>
      </c>
    </row>
    <row r="42" ht="15" customHeight="1">
      <c r="A42" t="inlineStr">
        <is>
          <t>A 28035-2023</t>
        </is>
      </c>
      <c r="B42" t="inlineStr">
        <is>
          <t>avverkningsanmälan</t>
        </is>
      </c>
      <c r="C42" t="inlineStr">
        <is>
          <t>Föryngringsavverkning</t>
        </is>
      </c>
      <c r="D42" s="1" t="n">
        <v>45099</v>
      </c>
      <c r="E42" s="1" t="n">
        <v>46223</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s="2" t="inlineStr">
        <is>
          <t>Ask
Asknätfjäril
Tibast
Blåsippa
Gullviva</t>
        </is>
      </c>
      <c r="V42">
        <f>HYPERLINK("https://klasma.github.io/Logging_1885/artfynd/A 28035-2023 artfynd.xlsx", "A 28035-2023")</f>
        <v/>
      </c>
      <c r="W42">
        <f>HYPERLINK("https://klasma.github.io/Logging_1885/kartor/A 28035-2023 karta.png", "A 28035-2023")</f>
        <v/>
      </c>
      <c r="X42">
        <f>HYPERLINK("https://klasma.github.io/Logging_1885/kartor_geotiff/A 28035-2023 georefererad karta.tif", "A 28035-2023")</f>
        <v/>
      </c>
      <c r="Z42">
        <f>HYPERLINK("https://klasma.github.io/Logging_1885/klagomål/A 28035-2023 FSC-klagomål.docx", "A 28035-2023")</f>
        <v/>
      </c>
      <c r="AA42">
        <f>HYPERLINK("https://klasma.github.io/Logging_1885/klagomålsmail/A 28035-2023 FSC-klagomål mail.docx", "A 28035-2023")</f>
        <v/>
      </c>
      <c r="AB42">
        <f>HYPERLINK("https://klasma.github.io/Logging_1885/tillsyn/A 28035-2023 tillsynsbegäran.docx", "A 28035-2023")</f>
        <v/>
      </c>
      <c r="AC42">
        <f>HYPERLINK("https://klasma.github.io/Logging_1885/tillsynsmail/A 28035-2023 tillsynsbegäran mail.docx", "A 28035-2023")</f>
        <v/>
      </c>
    </row>
    <row r="43" ht="15" customHeight="1">
      <c r="A43" t="inlineStr">
        <is>
          <t>A 54332-2021</t>
        </is>
      </c>
      <c r="B43" t="inlineStr">
        <is>
          <t>avverkningsanmälan</t>
        </is>
      </c>
      <c r="C43" t="inlineStr">
        <is>
          <t>Föryngringsavverkning</t>
        </is>
      </c>
      <c r="D43" s="1" t="n">
        <v>44472</v>
      </c>
      <c r="E43" s="1" t="n">
        <v>46223</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s="2" t="inlineStr">
        <is>
          <t>Asknätfjäril
Blek fingersvamp
Spillkråka
Svartvit flugsnappare</t>
        </is>
      </c>
      <c r="V43">
        <f>HYPERLINK("https://klasma.github.io/Logging_1885/artfynd/A 54332-2021 artfynd.xlsx", "A 54332-2021")</f>
        <v/>
      </c>
      <c r="W43">
        <f>HYPERLINK("https://klasma.github.io/Logging_1885/kartor/A 54332-2021 karta.png", "A 54332-2021")</f>
        <v/>
      </c>
      <c r="X43">
        <f>HYPERLINK("https://klasma.github.io/Logging_1885/kartor_geotiff/A 54332-2021 georefererad karta.tif", "A 54332-2021")</f>
        <v/>
      </c>
      <c r="Z43">
        <f>HYPERLINK("https://klasma.github.io/Logging_1885/klagomål/A 54332-2021 FSC-klagomål.docx", "A 54332-2021")</f>
        <v/>
      </c>
      <c r="AA43">
        <f>HYPERLINK("https://klasma.github.io/Logging_1885/klagomålsmail/A 54332-2021 FSC-klagomål mail.docx", "A 54332-2021")</f>
        <v/>
      </c>
      <c r="AB43">
        <f>HYPERLINK("https://klasma.github.io/Logging_1885/tillsyn/A 54332-2021 tillsynsbegäran.docx", "A 54332-2021")</f>
        <v/>
      </c>
      <c r="AC43">
        <f>HYPERLINK("https://klasma.github.io/Logging_1885/tillsynsmail/A 54332-2021 tillsynsbegäran mail.docx", "A 54332-2021")</f>
        <v/>
      </c>
      <c r="AD43">
        <f>HYPERLINK("https://klasma.github.io/Logging_1885/fåglar/A 54332-2021 prioriterade fågelarter.docx", "A 54332-2021")</f>
        <v/>
      </c>
    </row>
    <row r="44" ht="15" customHeight="1">
      <c r="A44" t="inlineStr">
        <is>
          <t>A 33574-2022</t>
        </is>
      </c>
      <c r="B44" t="inlineStr">
        <is>
          <t>avverkningsanmälan</t>
        </is>
      </c>
      <c r="C44" t="inlineStr">
        <is>
          <t>Föryngringsavverkning</t>
        </is>
      </c>
      <c r="D44" s="1" t="n">
        <v>44789</v>
      </c>
      <c r="E44" s="1" t="n">
        <v>46223</v>
      </c>
      <c r="F44" t="inlineStr">
        <is>
          <t>ÖREBRO LÄN</t>
        </is>
      </c>
      <c r="G44" t="inlineStr">
        <is>
          <t>LINDESBERG</t>
        </is>
      </c>
      <c r="I44" t="n">
        <v>11.5</v>
      </c>
      <c r="J44" t="n">
        <v>1</v>
      </c>
      <c r="K44" t="n">
        <v>2</v>
      </c>
      <c r="L44" t="n">
        <v>1</v>
      </c>
      <c r="M44" t="n">
        <v>1</v>
      </c>
      <c r="N44" t="n">
        <v>0</v>
      </c>
      <c r="O44" t="n">
        <v>0</v>
      </c>
      <c r="P44" t="n">
        <v>0</v>
      </c>
      <c r="Q44" t="n">
        <v>2</v>
      </c>
      <c r="R44" t="n">
        <v>1</v>
      </c>
      <c r="S44" t="n">
        <v>4</v>
      </c>
      <c r="T44" t="n">
        <v>4</v>
      </c>
      <c r="U44" s="2" t="inlineStr">
        <is>
          <t>Knärot
Ullticka
Stuplav
Vedticka</t>
        </is>
      </c>
      <c r="V44">
        <f>HYPERLINK("https://klasma.github.io/Logging_1885/artfynd/A 33574-2022 artfynd.xlsx", "A 33574-2022")</f>
        <v/>
      </c>
      <c r="W44">
        <f>HYPERLINK("https://klasma.github.io/Logging_1885/kartor/A 33574-2022 karta.png", "A 33574-2022")</f>
        <v/>
      </c>
      <c r="X44">
        <f>HYPERLINK("https://klasma.github.io/Logging_1885/kartor_geotiff/A 33574-2022 georefererad karta.tif", "A 33574-2022")</f>
        <v/>
      </c>
      <c r="Y44">
        <f>HYPERLINK("https://klasma.github.io/Logging_1885/knärot/A 33574-2022 karta knärot.png", "A 33574-2022")</f>
        <v/>
      </c>
      <c r="Z44">
        <f>HYPERLINK("https://klasma.github.io/Logging_1885/klagomål/A 33574-2022 FSC-klagomål.docx", "A 33574-2022")</f>
        <v/>
      </c>
      <c r="AA44">
        <f>HYPERLINK("https://klasma.github.io/Logging_1885/klagomålsmail/A 33574-2022 FSC-klagomål mail.docx", "A 33574-2022")</f>
        <v/>
      </c>
      <c r="AB44">
        <f>HYPERLINK("https://klasma.github.io/Logging_1885/tillsyn/A 33574-2022 tillsynsbegäran.docx", "A 33574-2022")</f>
        <v/>
      </c>
      <c r="AC44">
        <f>HYPERLINK("https://klasma.github.io/Logging_1885/tillsynsmail/A 33574-2022 tillsynsbegäran mail.docx", "A 33574-2022")</f>
        <v/>
      </c>
    </row>
    <row r="45" ht="15" customHeight="1">
      <c r="A45" t="inlineStr">
        <is>
          <t>A 48618-2025</t>
        </is>
      </c>
      <c r="B45" t="inlineStr">
        <is>
          <t>avverkningsanmälan</t>
        </is>
      </c>
      <c r="C45" t="inlineStr">
        <is>
          <t>Föryngringsavverkning</t>
        </is>
      </c>
      <c r="D45" s="1" t="n">
        <v>45936</v>
      </c>
      <c r="E45" s="1" t="n">
        <v>46223</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s="2" t="inlineStr">
        <is>
          <t>Dropptaggsvamp
Motaggsvamp
Vedskivlav
Spillkråka</t>
        </is>
      </c>
      <c r="V45">
        <f>HYPERLINK("https://klasma.github.io/Logging_1885/artfynd/A 48618-2025 artfynd.xlsx", "A 48618-2025")</f>
        <v/>
      </c>
      <c r="W45">
        <f>HYPERLINK("https://klasma.github.io/Logging_1885/kartor/A 48618-2025 karta.png", "A 48618-2025")</f>
        <v/>
      </c>
      <c r="X45">
        <f>HYPERLINK("https://klasma.github.io/Logging_1885/kartor_geotiff/A 48618-2025 georefererad karta.tif", "A 48618-2025")</f>
        <v/>
      </c>
      <c r="Z45">
        <f>HYPERLINK("https://klasma.github.io/Logging_1885/klagomål/A 48618-2025 FSC-klagomål.docx", "A 48618-2025")</f>
        <v/>
      </c>
      <c r="AA45">
        <f>HYPERLINK("https://klasma.github.io/Logging_1885/klagomålsmail/A 48618-2025 FSC-klagomål mail.docx", "A 48618-2025")</f>
        <v/>
      </c>
      <c r="AB45">
        <f>HYPERLINK("https://klasma.github.io/Logging_1885/tillsyn/A 48618-2025 tillsynsbegäran.docx", "A 48618-2025")</f>
        <v/>
      </c>
      <c r="AC45">
        <f>HYPERLINK("https://klasma.github.io/Logging_1885/tillsynsmail/A 48618-2025 tillsynsbegäran mail.docx", "A 48618-2025")</f>
        <v/>
      </c>
      <c r="AD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46223</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s="2" t="inlineStr">
        <is>
          <t>Gränsticka
Rosenticka
Tallticka
Ullticka</t>
        </is>
      </c>
      <c r="V46">
        <f>HYPERLINK("https://klasma.github.io/Logging_1885/artfynd/A 3026-2026 artfynd.xlsx", "A 3026-2026")</f>
        <v/>
      </c>
      <c r="W46">
        <f>HYPERLINK("https://klasma.github.io/Logging_1885/kartor/A 3026-2026 karta.png", "A 3026-2026")</f>
        <v/>
      </c>
      <c r="X46">
        <f>HYPERLINK("https://klasma.github.io/Logging_1885/kartor_geotiff/A 3026-2026 georefererad karta.tif", "A 3026-2026")</f>
        <v/>
      </c>
      <c r="Z46">
        <f>HYPERLINK("https://klasma.github.io/Logging_1885/klagomål/A 3026-2026 FSC-klagomål.docx", "A 3026-2026")</f>
        <v/>
      </c>
      <c r="AA46">
        <f>HYPERLINK("https://klasma.github.io/Logging_1885/klagomålsmail/A 3026-2026 FSC-klagomål mail.docx", "A 3026-2026")</f>
        <v/>
      </c>
      <c r="AB46">
        <f>HYPERLINK("https://klasma.github.io/Logging_1885/tillsyn/A 3026-2026 tillsynsbegäran.docx", "A 3026-2026")</f>
        <v/>
      </c>
      <c r="AC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46223</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s="2" t="inlineStr">
        <is>
          <t>Garnlav
Motaggsvamp
Spillkråka
Kungsfågel</t>
        </is>
      </c>
      <c r="V47">
        <f>HYPERLINK("https://klasma.github.io/Logging_1885/artfynd/A 51851-2025 artfynd.xlsx", "A 51851-2025")</f>
        <v/>
      </c>
      <c r="W47">
        <f>HYPERLINK("https://klasma.github.io/Logging_1885/kartor/A 51851-2025 karta.png", "A 51851-2025")</f>
        <v/>
      </c>
      <c r="X47">
        <f>HYPERLINK("https://klasma.github.io/Logging_1885/kartor_geotiff/A 51851-2025 georefererad karta.tif", "A 51851-2025")</f>
        <v/>
      </c>
      <c r="Z47">
        <f>HYPERLINK("https://klasma.github.io/Logging_1885/klagomål/A 51851-2025 FSC-klagomål.docx", "A 51851-2025")</f>
        <v/>
      </c>
      <c r="AA47">
        <f>HYPERLINK("https://klasma.github.io/Logging_1885/klagomålsmail/A 51851-2025 FSC-klagomål mail.docx", "A 51851-2025")</f>
        <v/>
      </c>
      <c r="AB47">
        <f>HYPERLINK("https://klasma.github.io/Logging_1885/tillsyn/A 51851-2025 tillsynsbegäran.docx", "A 51851-2025")</f>
        <v/>
      </c>
      <c r="AC47">
        <f>HYPERLINK("https://klasma.github.io/Logging_1885/tillsynsmail/A 51851-2025 tillsynsbegäran mail.docx", "A 51851-2025")</f>
        <v/>
      </c>
      <c r="AD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46223</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s="2" t="inlineStr">
        <is>
          <t>Asknätfjäril
Vitfläckig guldvinge
Spillkråka
Grönsiska</t>
        </is>
      </c>
      <c r="V48">
        <f>HYPERLINK("https://klasma.github.io/Logging_1885/artfynd/A 20744-2026 artfynd.xlsx", "A 20744-2026")</f>
        <v/>
      </c>
      <c r="W48">
        <f>HYPERLINK("https://klasma.github.io/Logging_1885/kartor/A 20744-2026 karta.png", "A 20744-2026")</f>
        <v/>
      </c>
      <c r="X48">
        <f>HYPERLINK("https://klasma.github.io/Logging_1885/kartor_geotiff/A 20744-2026 georefererad karta.tif", "A 20744-2026")</f>
        <v/>
      </c>
      <c r="Z48">
        <f>HYPERLINK("https://klasma.github.io/Logging_1885/klagomål/A 20744-2026 FSC-klagomål.docx", "A 20744-2026")</f>
        <v/>
      </c>
      <c r="AA48">
        <f>HYPERLINK("https://klasma.github.io/Logging_1885/klagomålsmail/A 20744-2026 FSC-klagomål mail.docx", "A 20744-2026")</f>
        <v/>
      </c>
      <c r="AB48">
        <f>HYPERLINK("https://klasma.github.io/Logging_1885/tillsyn/A 20744-2026 tillsynsbegäran.docx", "A 20744-2026")</f>
        <v/>
      </c>
      <c r="AC48">
        <f>HYPERLINK("https://klasma.github.io/Logging_1885/tillsynsmail/A 20744-2026 tillsynsbegäran mail.docx", "A 20744-2026")</f>
        <v/>
      </c>
      <c r="AD48">
        <f>HYPERLINK("https://klasma.github.io/Logging_1885/fåglar/A 20744-2026 prioriterade fågelarter.docx", "A 20744-2026")</f>
        <v/>
      </c>
    </row>
    <row r="49" ht="15" customHeight="1">
      <c r="A49" t="inlineStr">
        <is>
          <t>A 20971-2026</t>
        </is>
      </c>
      <c r="B49" t="inlineStr">
        <is>
          <t>avverkningsanmälan</t>
        </is>
      </c>
      <c r="C49" t="inlineStr">
        <is>
          <t>Föryngringsavverkning</t>
        </is>
      </c>
      <c r="D49" s="1" t="n">
        <v>46142</v>
      </c>
      <c r="E49" s="1" t="n">
        <v>46223</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24</v>
      </c>
      <c r="U49" s="2" t="inlineStr">
        <is>
          <t>Tretåig hackspett
Linnea
Tjäder
Fläcknycklar</t>
        </is>
      </c>
      <c r="V49">
        <f>HYPERLINK("https://klasma.github.io/Logging_1885/artfynd/A 20971-2026 artfynd.xlsx", "A 20971-2026")</f>
        <v/>
      </c>
      <c r="W49">
        <f>HYPERLINK("https://klasma.github.io/Logging_1885/kartor/A 20971-2026 karta.png", "A 20971-2026")</f>
        <v/>
      </c>
      <c r="X49">
        <f>HYPERLINK("https://klasma.github.io/Logging_1885/kartor_geotiff/A 20971-2026 georefererad karta.tif", "A 20971-2026")</f>
        <v/>
      </c>
      <c r="Z49">
        <f>HYPERLINK("https://klasma.github.io/Logging_1885/klagomål/A 20971-2026 FSC-klagomål.docx", "A 20971-2026")</f>
        <v/>
      </c>
      <c r="AA49">
        <f>HYPERLINK("https://klasma.github.io/Logging_1885/klagomålsmail/A 20971-2026 FSC-klagomål mail.docx", "A 20971-2026")</f>
        <v/>
      </c>
      <c r="AB49">
        <f>HYPERLINK("https://klasma.github.io/Logging_1885/tillsyn/A 20971-2026 tillsynsbegäran.docx", "A 20971-2026")</f>
        <v/>
      </c>
      <c r="AC49">
        <f>HYPERLINK("https://klasma.github.io/Logging_1885/tillsynsmail/A 20971-2026 tillsynsbegäran mail.docx", "A 20971-2026")</f>
        <v/>
      </c>
      <c r="AD49">
        <f>HYPERLINK("https://klasma.github.io/Logging_1885/fåglar/A 20971-2026 prioriterade fågelarter.docx", "A 20971-2026")</f>
        <v/>
      </c>
    </row>
    <row r="50" ht="15" customHeight="1">
      <c r="A50" t="inlineStr">
        <is>
          <t>A 27730-2026</t>
        </is>
      </c>
      <c r="B50" t="inlineStr">
        <is>
          <t>avverkningsanmälan</t>
        </is>
      </c>
      <c r="C50" t="inlineStr">
        <is>
          <t>Föryngringsavverkning</t>
        </is>
      </c>
      <c r="D50" s="1" t="n">
        <v>46191</v>
      </c>
      <c r="E50" s="1" t="n">
        <v>46223</v>
      </c>
      <c r="F50" t="inlineStr">
        <is>
          <t>ÖREBRO LÄN</t>
        </is>
      </c>
      <c r="G50" t="inlineStr">
        <is>
          <t>LINDESBERG</t>
        </is>
      </c>
      <c r="H50" t="inlineStr">
        <is>
          <t>Sveaskog</t>
        </is>
      </c>
      <c r="I50" t="n">
        <v>3.9</v>
      </c>
      <c r="J50" t="n">
        <v>3</v>
      </c>
      <c r="K50" t="n">
        <v>0</v>
      </c>
      <c r="L50" t="n">
        <v>0</v>
      </c>
      <c r="M50" t="n">
        <v>1</v>
      </c>
      <c r="N50" t="n">
        <v>0</v>
      </c>
      <c r="O50" t="n">
        <v>0</v>
      </c>
      <c r="P50" t="n">
        <v>0</v>
      </c>
      <c r="Q50" t="n">
        <v>1</v>
      </c>
      <c r="R50" t="n">
        <v>1</v>
      </c>
      <c r="S50" t="n">
        <v>4</v>
      </c>
      <c r="T50" t="n">
        <v>4</v>
      </c>
      <c r="U50" s="2" t="inlineStr">
        <is>
          <t>Sexfläckig bastardsvärmare
Spillkråka
Tjäder
Fläcknycklar</t>
        </is>
      </c>
      <c r="V50">
        <f>HYPERLINK("https://klasma.github.io/Logging_1885/artfynd/A 27730-2026 artfynd.xlsx", "A 27730-2026")</f>
        <v/>
      </c>
      <c r="W50">
        <f>HYPERLINK("https://klasma.github.io/Logging_1885/kartor/A 27730-2026 karta.png", "A 27730-2026")</f>
        <v/>
      </c>
      <c r="X50">
        <f>HYPERLINK("https://klasma.github.io/Logging_1885/kartor_geotiff/A 27730-2026 georefererad karta.tif", "A 27730-2026")</f>
        <v/>
      </c>
      <c r="Z50">
        <f>HYPERLINK("https://klasma.github.io/Logging_1885/klagomål/A 27730-2026 FSC-klagomål.docx", "A 27730-2026")</f>
        <v/>
      </c>
      <c r="AA50">
        <f>HYPERLINK("https://klasma.github.io/Logging_1885/klagomålsmail/A 27730-2026 FSC-klagomål mail.docx", "A 27730-2026")</f>
        <v/>
      </c>
      <c r="AB50">
        <f>HYPERLINK("https://klasma.github.io/Logging_1885/tillsyn/A 27730-2026 tillsynsbegäran.docx", "A 27730-2026")</f>
        <v/>
      </c>
      <c r="AC50">
        <f>HYPERLINK("https://klasma.github.io/Logging_1885/tillsynsmail/A 27730-2026 tillsynsbegäran mail.docx", "A 27730-2026")</f>
        <v/>
      </c>
      <c r="AD50">
        <f>HYPERLINK("https://klasma.github.io/Logging_1885/fåglar/A 27730-2026 prioriterade fågelarter.docx", "A 27730-2026")</f>
        <v/>
      </c>
    </row>
    <row r="51" ht="15" customHeight="1">
      <c r="A51" t="inlineStr">
        <is>
          <t>A 25012-2023</t>
        </is>
      </c>
      <c r="B51" t="inlineStr">
        <is>
          <t>avverkningsanmälan</t>
        </is>
      </c>
      <c r="C51" t="inlineStr">
        <is>
          <t>Föryngringsavverkning</t>
        </is>
      </c>
      <c r="D51" s="1" t="n">
        <v>45085</v>
      </c>
      <c r="E51" s="1" t="n">
        <v>46223</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s="2" t="inlineStr">
        <is>
          <t>Dofttaggsvamp
Jungfrulin
Kamjordstjärna
Tvåblad</t>
        </is>
      </c>
      <c r="V51">
        <f>HYPERLINK("https://klasma.github.io/Logging_1885/artfynd/A 25012-2023 artfynd.xlsx", "A 25012-2023")</f>
        <v/>
      </c>
      <c r="W51">
        <f>HYPERLINK("https://klasma.github.io/Logging_1885/kartor/A 25012-2023 karta.png", "A 25012-2023")</f>
        <v/>
      </c>
      <c r="X51">
        <f>HYPERLINK("https://klasma.github.io/Logging_1885/kartor_geotiff/A 25012-2023 georefererad karta.tif", "A 25012-2023")</f>
        <v/>
      </c>
      <c r="Z51">
        <f>HYPERLINK("https://klasma.github.io/Logging_1885/klagomål/A 25012-2023 FSC-klagomål.docx", "A 25012-2023")</f>
        <v/>
      </c>
      <c r="AA51">
        <f>HYPERLINK("https://klasma.github.io/Logging_1885/klagomålsmail/A 25012-2023 FSC-klagomål mail.docx", "A 25012-2023")</f>
        <v/>
      </c>
      <c r="AB51">
        <f>HYPERLINK("https://klasma.github.io/Logging_1885/tillsyn/A 25012-2023 tillsynsbegäran.docx", "A 25012-2023")</f>
        <v/>
      </c>
      <c r="AC51">
        <f>HYPERLINK("https://klasma.github.io/Logging_1885/tillsynsmail/A 25012-2023 tillsynsbegäran mail.docx", "A 25012-2023")</f>
        <v/>
      </c>
    </row>
    <row r="52" ht="15" customHeight="1">
      <c r="A52" t="inlineStr">
        <is>
          <t>A 24970-2026</t>
        </is>
      </c>
      <c r="B52" t="inlineStr">
        <is>
          <t>avverkningsanmälan</t>
        </is>
      </c>
      <c r="C52" t="inlineStr">
        <is>
          <t>Föryngringsavverkning</t>
        </is>
      </c>
      <c r="D52" s="1" t="n">
        <v>46174</v>
      </c>
      <c r="E52" s="1" t="n">
        <v>46223</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s="2" t="inlineStr">
        <is>
          <t>Thomsons trägnagare
Vågbandad barkbock
Spillkråka
Tjäder</t>
        </is>
      </c>
      <c r="V52">
        <f>HYPERLINK("https://klasma.github.io/Logging_1885/artfynd/A 24970-2026 artfynd.xlsx", "A 24970-2026")</f>
        <v/>
      </c>
      <c r="W52">
        <f>HYPERLINK("https://klasma.github.io/Logging_1885/kartor/A 24970-2026 karta.png", "A 24970-2026")</f>
        <v/>
      </c>
      <c r="X52">
        <f>HYPERLINK("https://klasma.github.io/Logging_1885/kartor_geotiff/A 24970-2026 georefererad karta.tif", "A 24970-2026")</f>
        <v/>
      </c>
      <c r="Z52">
        <f>HYPERLINK("https://klasma.github.io/Logging_1885/klagomål/A 24970-2026 FSC-klagomål.docx", "A 24970-2026")</f>
        <v/>
      </c>
      <c r="AA52">
        <f>HYPERLINK("https://klasma.github.io/Logging_1885/klagomålsmail/A 24970-2026 FSC-klagomål mail.docx", "A 24970-2026")</f>
        <v/>
      </c>
      <c r="AB52">
        <f>HYPERLINK("https://klasma.github.io/Logging_1885/tillsyn/A 24970-2026 tillsynsbegäran.docx", "A 24970-2026")</f>
        <v/>
      </c>
      <c r="AC52">
        <f>HYPERLINK("https://klasma.github.io/Logging_1885/tillsynsmail/A 24970-2026 tillsynsbegäran mail.docx", "A 24970-2026")</f>
        <v/>
      </c>
      <c r="AD52">
        <f>HYPERLINK("https://klasma.github.io/Logging_1885/fåglar/A 24970-2026 prioriterade fågelarter.docx", "A 24970-2026")</f>
        <v/>
      </c>
    </row>
    <row r="53" ht="15" customHeight="1">
      <c r="A53" t="inlineStr">
        <is>
          <t>A 57803-2021</t>
        </is>
      </c>
      <c r="B53" t="inlineStr">
        <is>
          <t>avverkningsanmälan</t>
        </is>
      </c>
      <c r="C53" t="inlineStr">
        <is>
          <t>Föryngringsavverkning</t>
        </is>
      </c>
      <c r="D53" s="1" t="n">
        <v>44484</v>
      </c>
      <c r="E53" s="1" t="n">
        <v>46223</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s="2" t="inlineStr">
        <is>
          <t>Motaggsvamp
Talltita
Tjäder</t>
        </is>
      </c>
      <c r="V53">
        <f>HYPERLINK("https://klasma.github.io/Logging_1885/artfynd/A 57803-2021 artfynd.xlsx", "A 57803-2021")</f>
        <v/>
      </c>
      <c r="W53">
        <f>HYPERLINK("https://klasma.github.io/Logging_1885/kartor/A 57803-2021 karta.png", "A 57803-2021")</f>
        <v/>
      </c>
      <c r="X53">
        <f>HYPERLINK("https://klasma.github.io/Logging_1885/kartor_geotiff/A 57803-2021 georefererad karta.tif", "A 57803-2021")</f>
        <v/>
      </c>
      <c r="Z53">
        <f>HYPERLINK("https://klasma.github.io/Logging_1885/klagomål/A 57803-2021 FSC-klagomål.docx", "A 57803-2021")</f>
        <v/>
      </c>
      <c r="AA53">
        <f>HYPERLINK("https://klasma.github.io/Logging_1885/klagomålsmail/A 57803-2021 FSC-klagomål mail.docx", "A 57803-2021")</f>
        <v/>
      </c>
      <c r="AB53">
        <f>HYPERLINK("https://klasma.github.io/Logging_1885/tillsyn/A 57803-2021 tillsynsbegäran.docx", "A 57803-2021")</f>
        <v/>
      </c>
      <c r="AC53">
        <f>HYPERLINK("https://klasma.github.io/Logging_1885/tillsynsmail/A 57803-2021 tillsynsbegäran mail.docx", "A 57803-2021")</f>
        <v/>
      </c>
      <c r="AD53">
        <f>HYPERLINK("https://klasma.github.io/Logging_1885/fåglar/A 57803-2021 prioriterade fågelarter.docx", "A 57803-2021")</f>
        <v/>
      </c>
    </row>
    <row r="54" ht="15" customHeight="1">
      <c r="A54" t="inlineStr">
        <is>
          <t>A 50989-2023</t>
        </is>
      </c>
      <c r="B54" t="inlineStr">
        <is>
          <t>avverkningsanmälan</t>
        </is>
      </c>
      <c r="C54" t="inlineStr">
        <is>
          <t>Föryngringsavverkning</t>
        </is>
      </c>
      <c r="D54" s="1" t="n">
        <v>45218</v>
      </c>
      <c r="E54" s="1" t="n">
        <v>46223</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s="2" t="inlineStr">
        <is>
          <t>Dropptaggsvamp
Grantaggsvamp
Svartvit taggsvamp</t>
        </is>
      </c>
      <c r="V54">
        <f>HYPERLINK("https://klasma.github.io/Logging_1885/artfynd/A 50989-2023 artfynd.xlsx", "A 50989-2023")</f>
        <v/>
      </c>
      <c r="W54">
        <f>HYPERLINK("https://klasma.github.io/Logging_1885/kartor/A 50989-2023 karta.png", "A 50989-2023")</f>
        <v/>
      </c>
      <c r="X54">
        <f>HYPERLINK("https://klasma.github.io/Logging_1885/kartor_geotiff/A 50989-2023 georefererad karta.tif", "A 50989-2023")</f>
        <v/>
      </c>
      <c r="Z54">
        <f>HYPERLINK("https://klasma.github.io/Logging_1885/klagomål/A 50989-2023 FSC-klagomål.docx", "A 50989-2023")</f>
        <v/>
      </c>
      <c r="AA54">
        <f>HYPERLINK("https://klasma.github.io/Logging_1885/klagomålsmail/A 50989-2023 FSC-klagomål mail.docx", "A 50989-2023")</f>
        <v/>
      </c>
      <c r="AB54">
        <f>HYPERLINK("https://klasma.github.io/Logging_1885/tillsyn/A 50989-2023 tillsynsbegäran.docx", "A 50989-2023")</f>
        <v/>
      </c>
      <c r="AC54">
        <f>HYPERLINK("https://klasma.github.io/Logging_1885/tillsynsmail/A 50989-2023 tillsynsbegäran mail.docx", "A 50989-2023")</f>
        <v/>
      </c>
    </row>
    <row r="55" ht="15" customHeight="1">
      <c r="A55" t="inlineStr">
        <is>
          <t>A 57319-2025</t>
        </is>
      </c>
      <c r="B55" t="inlineStr">
        <is>
          <t>avverkningsanmälan</t>
        </is>
      </c>
      <c r="C55" t="inlineStr">
        <is>
          <t>Föryngringsavverkning</t>
        </is>
      </c>
      <c r="D55" s="1" t="n">
        <v>45980</v>
      </c>
      <c r="E55" s="1" t="n">
        <v>46223</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s="2" t="inlineStr">
        <is>
          <t>Dropptaggsvamp
Gropticka
Plattlummer</t>
        </is>
      </c>
      <c r="V55">
        <f>HYPERLINK("https://klasma.github.io/Logging_1885/artfynd/A 57319-2025 artfynd.xlsx", "A 57319-2025")</f>
        <v/>
      </c>
      <c r="W55">
        <f>HYPERLINK("https://klasma.github.io/Logging_1885/kartor/A 57319-2025 karta.png", "A 57319-2025")</f>
        <v/>
      </c>
      <c r="X55">
        <f>HYPERLINK("https://klasma.github.io/Logging_1885/kartor_geotiff/A 57319-2025 georefererad karta.tif", "A 57319-2025")</f>
        <v/>
      </c>
      <c r="Z55">
        <f>HYPERLINK("https://klasma.github.io/Logging_1885/klagomål/A 57319-2025 FSC-klagomål.docx", "A 57319-2025")</f>
        <v/>
      </c>
      <c r="AA55">
        <f>HYPERLINK("https://klasma.github.io/Logging_1885/klagomålsmail/A 57319-2025 FSC-klagomål mail.docx", "A 57319-2025")</f>
        <v/>
      </c>
      <c r="AB55">
        <f>HYPERLINK("https://klasma.github.io/Logging_1885/tillsyn/A 57319-2025 tillsynsbegäran.docx", "A 57319-2025")</f>
        <v/>
      </c>
      <c r="AC55">
        <f>HYPERLINK("https://klasma.github.io/Logging_1885/tillsynsmail/A 57319-2025 tillsynsbegäran mail.docx", "A 57319-2025")</f>
        <v/>
      </c>
    </row>
    <row r="56" ht="15" customHeight="1">
      <c r="A56" t="inlineStr">
        <is>
          <t>A 18180-2026</t>
        </is>
      </c>
      <c r="B56" t="inlineStr">
        <is>
          <t>avverkningsanmälan</t>
        </is>
      </c>
      <c r="C56" t="inlineStr">
        <is>
          <t>Föryngringsavverkning</t>
        </is>
      </c>
      <c r="D56" s="1" t="n">
        <v>46125</v>
      </c>
      <c r="E56" s="1" t="n">
        <v>46223</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s="2" t="inlineStr">
        <is>
          <t>Dropptaggsvamp
Svartvit taggsvamp
Talltaggsvamp</t>
        </is>
      </c>
      <c r="V56">
        <f>HYPERLINK("https://klasma.github.io/Logging_1885/artfynd/A 18180-2026 artfynd.xlsx", "A 18180-2026")</f>
        <v/>
      </c>
      <c r="W56">
        <f>HYPERLINK("https://klasma.github.io/Logging_1885/kartor/A 18180-2026 karta.png", "A 18180-2026")</f>
        <v/>
      </c>
      <c r="X56">
        <f>HYPERLINK("https://klasma.github.io/Logging_1885/kartor_geotiff/A 18180-2026 georefererad karta.tif", "A 18180-2026")</f>
        <v/>
      </c>
      <c r="Z56">
        <f>HYPERLINK("https://klasma.github.io/Logging_1885/klagomål/A 18180-2026 FSC-klagomål.docx", "A 18180-2026")</f>
        <v/>
      </c>
      <c r="AA56">
        <f>HYPERLINK("https://klasma.github.io/Logging_1885/klagomålsmail/A 18180-2026 FSC-klagomål mail.docx", "A 18180-2026")</f>
        <v/>
      </c>
      <c r="AB56">
        <f>HYPERLINK("https://klasma.github.io/Logging_1885/tillsyn/A 18180-2026 tillsynsbegäran.docx", "A 18180-2026")</f>
        <v/>
      </c>
      <c r="AC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46223</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s="2" t="inlineStr">
        <is>
          <t>Tretåig hackspett
Bronshjon
Spillkråka</t>
        </is>
      </c>
      <c r="V57">
        <f>HYPERLINK("https://klasma.github.io/Logging_1885/artfynd/A 20364-2026 artfynd.xlsx", "A 20364-2026")</f>
        <v/>
      </c>
      <c r="W57">
        <f>HYPERLINK("https://klasma.github.io/Logging_1885/kartor/A 20364-2026 karta.png", "A 20364-2026")</f>
        <v/>
      </c>
      <c r="X57">
        <f>HYPERLINK("https://klasma.github.io/Logging_1885/kartor_geotiff/A 20364-2026 georefererad karta.tif", "A 20364-2026")</f>
        <v/>
      </c>
      <c r="Z57">
        <f>HYPERLINK("https://klasma.github.io/Logging_1885/klagomål/A 20364-2026 FSC-klagomål.docx", "A 20364-2026")</f>
        <v/>
      </c>
      <c r="AA57">
        <f>HYPERLINK("https://klasma.github.io/Logging_1885/klagomålsmail/A 20364-2026 FSC-klagomål mail.docx", "A 20364-2026")</f>
        <v/>
      </c>
      <c r="AB57">
        <f>HYPERLINK("https://klasma.github.io/Logging_1885/tillsyn/A 20364-2026 tillsynsbegäran.docx", "A 20364-2026")</f>
        <v/>
      </c>
      <c r="AC57">
        <f>HYPERLINK("https://klasma.github.io/Logging_1885/tillsynsmail/A 20364-2026 tillsynsbegäran mail.docx", "A 20364-2026")</f>
        <v/>
      </c>
      <c r="AD57">
        <f>HYPERLINK("https://klasma.github.io/Logging_1885/fåglar/A 20364-2026 prioriterade fågelarter.docx", "A 20364-2026")</f>
        <v/>
      </c>
    </row>
    <row r="58" ht="15" customHeight="1">
      <c r="A58" t="inlineStr">
        <is>
          <t>A 21796-2026</t>
        </is>
      </c>
      <c r="B58" t="inlineStr">
        <is>
          <t>avverkningsanmälan</t>
        </is>
      </c>
      <c r="C58" t="inlineStr">
        <is>
          <t>Föryngringsavverkning</t>
        </is>
      </c>
      <c r="D58" s="1" t="n">
        <v>46150</v>
      </c>
      <c r="E58" s="1" t="n">
        <v>46223</v>
      </c>
      <c r="F58" t="inlineStr">
        <is>
          <t>ÖREBRO LÄN</t>
        </is>
      </c>
      <c r="G58" t="inlineStr">
        <is>
          <t>LINDESBERG</t>
        </is>
      </c>
      <c r="H58" t="inlineStr">
        <is>
          <t>Naturvårdsverket</t>
        </is>
      </c>
      <c r="I58" t="n">
        <v>5.1</v>
      </c>
      <c r="J58" t="n">
        <v>3</v>
      </c>
      <c r="K58" t="n">
        <v>0</v>
      </c>
      <c r="L58" t="n">
        <v>1</v>
      </c>
      <c r="M58" t="n">
        <v>0</v>
      </c>
      <c r="N58" t="n">
        <v>0</v>
      </c>
      <c r="O58" t="n">
        <v>0</v>
      </c>
      <c r="P58" t="n">
        <v>0</v>
      </c>
      <c r="Q58" t="n">
        <v>1</v>
      </c>
      <c r="R58" t="n">
        <v>0</v>
      </c>
      <c r="S58" t="n">
        <v>3</v>
      </c>
      <c r="T58" t="n">
        <v>5</v>
      </c>
      <c r="U58" s="2" t="inlineStr">
        <is>
          <t>Tretåig hackspett
Tjäder
Fläcknycklar</t>
        </is>
      </c>
      <c r="V58">
        <f>HYPERLINK("https://klasma.github.io/Logging_1885/artfynd/A 21796-2026 artfynd.xlsx", "A 21796-2026")</f>
        <v/>
      </c>
      <c r="W58">
        <f>HYPERLINK("https://klasma.github.io/Logging_1885/kartor/A 21796-2026 karta.png", "A 21796-2026")</f>
        <v/>
      </c>
      <c r="X58">
        <f>HYPERLINK("https://klasma.github.io/Logging_1885/kartor_geotiff/A 21796-2026 georefererad karta.tif", "A 21796-2026")</f>
        <v/>
      </c>
      <c r="Z58">
        <f>HYPERLINK("https://klasma.github.io/Logging_1885/klagomål/A 21796-2026 FSC-klagomål.docx", "A 21796-2026")</f>
        <v/>
      </c>
      <c r="AA58">
        <f>HYPERLINK("https://klasma.github.io/Logging_1885/klagomålsmail/A 21796-2026 FSC-klagomål mail.docx", "A 21796-2026")</f>
        <v/>
      </c>
      <c r="AB58">
        <f>HYPERLINK("https://klasma.github.io/Logging_1885/tillsyn/A 21796-2026 tillsynsbegäran.docx", "A 21796-2026")</f>
        <v/>
      </c>
      <c r="AC58">
        <f>HYPERLINK("https://klasma.github.io/Logging_1885/tillsynsmail/A 21796-2026 tillsynsbegäran mail.docx", "A 21796-2026")</f>
        <v/>
      </c>
      <c r="AD58">
        <f>HYPERLINK("https://klasma.github.io/Logging_1885/fåglar/A 21796-2026 prioriterade fågelarter.docx", "A 21796-2026")</f>
        <v/>
      </c>
    </row>
    <row r="59" ht="15" customHeight="1">
      <c r="A59" t="inlineStr">
        <is>
          <t>A 27726-2026</t>
        </is>
      </c>
      <c r="B59" t="inlineStr">
        <is>
          <t>avverkningsanmälan</t>
        </is>
      </c>
      <c r="C59" t="inlineStr">
        <is>
          <t>Föryngringsavverkning</t>
        </is>
      </c>
      <c r="D59" s="1" t="n">
        <v>46191</v>
      </c>
      <c r="E59" s="1" t="n">
        <v>46223</v>
      </c>
      <c r="F59" t="inlineStr">
        <is>
          <t>ÖREBRO LÄN</t>
        </is>
      </c>
      <c r="G59" t="inlineStr">
        <is>
          <t>LINDESBERG</t>
        </is>
      </c>
      <c r="H59" t="inlineStr">
        <is>
          <t>Sveaskog</t>
        </is>
      </c>
      <c r="I59" t="n">
        <v>2.4</v>
      </c>
      <c r="J59" t="n">
        <v>2</v>
      </c>
      <c r="K59" t="n">
        <v>1</v>
      </c>
      <c r="L59" t="n">
        <v>0</v>
      </c>
      <c r="M59" t="n">
        <v>0</v>
      </c>
      <c r="N59" t="n">
        <v>0</v>
      </c>
      <c r="O59" t="n">
        <v>0</v>
      </c>
      <c r="P59" t="n">
        <v>0</v>
      </c>
      <c r="Q59" t="n">
        <v>0</v>
      </c>
      <c r="R59" t="n">
        <v>0</v>
      </c>
      <c r="S59" t="n">
        <v>3</v>
      </c>
      <c r="T59" t="n">
        <v>7</v>
      </c>
      <c r="U59" s="2" t="inlineStr">
        <is>
          <t>Vågbandad barkbock
Spillkråka
Tjäder</t>
        </is>
      </c>
      <c r="V59">
        <f>HYPERLINK("https://klasma.github.io/Logging_1885/artfynd/A 27726-2026 artfynd.xlsx", "A 27726-2026")</f>
        <v/>
      </c>
      <c r="W59">
        <f>HYPERLINK("https://klasma.github.io/Logging_1885/kartor/A 27726-2026 karta.png", "A 27726-2026")</f>
        <v/>
      </c>
      <c r="X59">
        <f>HYPERLINK("https://klasma.github.io/Logging_1885/kartor_geotiff/A 27726-2026 georefererad karta.tif", "A 27726-2026")</f>
        <v/>
      </c>
      <c r="Z59">
        <f>HYPERLINK("https://klasma.github.io/Logging_1885/klagomål/A 27726-2026 FSC-klagomål.docx", "A 27726-2026")</f>
        <v/>
      </c>
      <c r="AA59">
        <f>HYPERLINK("https://klasma.github.io/Logging_1885/klagomålsmail/A 27726-2026 FSC-klagomål mail.docx", "A 27726-2026")</f>
        <v/>
      </c>
      <c r="AB59">
        <f>HYPERLINK("https://klasma.github.io/Logging_1885/tillsyn/A 27726-2026 tillsynsbegäran.docx", "A 27726-2026")</f>
        <v/>
      </c>
      <c r="AC59">
        <f>HYPERLINK("https://klasma.github.io/Logging_1885/tillsynsmail/A 27726-2026 tillsynsbegäran mail.docx", "A 27726-2026")</f>
        <v/>
      </c>
      <c r="AD59">
        <f>HYPERLINK("https://klasma.github.io/Logging_1885/fåglar/A 27726-2026 prioriterade fågelarter.docx", "A 27726-2026")</f>
        <v/>
      </c>
    </row>
    <row r="60" ht="15" customHeight="1">
      <c r="A60" t="inlineStr">
        <is>
          <t>A 21986-2023</t>
        </is>
      </c>
      <c r="B60" t="inlineStr">
        <is>
          <t>avverkningsanmälan</t>
        </is>
      </c>
      <c r="C60" t="inlineStr">
        <is>
          <t>Föryngringsavverkning</t>
        </is>
      </c>
      <c r="D60" s="1" t="n">
        <v>45068</v>
      </c>
      <c r="E60" s="1" t="n">
        <v>46223</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s="2" t="inlineStr">
        <is>
          <t>Ask
Asknätfjäril
Väddnätfjäril</t>
        </is>
      </c>
      <c r="V60">
        <f>HYPERLINK("https://klasma.github.io/Logging_1885/artfynd/A 21986-2023 artfynd.xlsx", "A 21986-2023")</f>
        <v/>
      </c>
      <c r="W60">
        <f>HYPERLINK("https://klasma.github.io/Logging_1885/kartor/A 21986-2023 karta.png", "A 21986-2023")</f>
        <v/>
      </c>
      <c r="X60">
        <f>HYPERLINK("https://klasma.github.io/Logging_1885/kartor_geotiff/A 21986-2023 georefererad karta.tif", "A 21986-2023")</f>
        <v/>
      </c>
      <c r="Z60">
        <f>HYPERLINK("https://klasma.github.io/Logging_1885/klagomål/A 21986-2023 FSC-klagomål.docx", "A 21986-2023")</f>
        <v/>
      </c>
      <c r="AA60">
        <f>HYPERLINK("https://klasma.github.io/Logging_1885/klagomålsmail/A 21986-2023 FSC-klagomål mail.docx", "A 21986-2023")</f>
        <v/>
      </c>
      <c r="AB60">
        <f>HYPERLINK("https://klasma.github.io/Logging_1885/tillsyn/A 21986-2023 tillsynsbegäran.docx", "A 21986-2023")</f>
        <v/>
      </c>
      <c r="AC60">
        <f>HYPERLINK("https://klasma.github.io/Logging_1885/tillsynsmail/A 21986-2023 tillsynsbegäran mail.docx", "A 21986-2023")</f>
        <v/>
      </c>
    </row>
    <row r="61" ht="15" customHeight="1">
      <c r="A61" t="inlineStr">
        <is>
          <t>A 25096-2026</t>
        </is>
      </c>
      <c r="B61" t="inlineStr">
        <is>
          <t>avverkningsanmälan</t>
        </is>
      </c>
      <c r="C61" t="inlineStr">
        <is>
          <t>Föryngringsavverkning</t>
        </is>
      </c>
      <c r="D61" s="1" t="n">
        <v>46175</v>
      </c>
      <c r="E61" s="1" t="n">
        <v>46223</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s="2" t="inlineStr">
        <is>
          <t>Lunglav
Tretåig hackspett
Revlummer</t>
        </is>
      </c>
      <c r="V61">
        <f>HYPERLINK("https://klasma.github.io/Logging_1885/artfynd/A 25096-2026 artfynd.xlsx", "A 25096-2026")</f>
        <v/>
      </c>
      <c r="W61">
        <f>HYPERLINK("https://klasma.github.io/Logging_1885/kartor/A 25096-2026 karta.png", "A 25096-2026")</f>
        <v/>
      </c>
      <c r="X61">
        <f>HYPERLINK("https://klasma.github.io/Logging_1885/kartor_geotiff/A 25096-2026 georefererad karta.tif", "A 25096-2026")</f>
        <v/>
      </c>
      <c r="Z61">
        <f>HYPERLINK("https://klasma.github.io/Logging_1885/klagomål/A 25096-2026 FSC-klagomål.docx", "A 25096-2026")</f>
        <v/>
      </c>
      <c r="AA61">
        <f>HYPERLINK("https://klasma.github.io/Logging_1885/klagomålsmail/A 25096-2026 FSC-klagomål mail.docx", "A 25096-2026")</f>
        <v/>
      </c>
      <c r="AB61">
        <f>HYPERLINK("https://klasma.github.io/Logging_1885/tillsyn/A 25096-2026 tillsynsbegäran.docx", "A 25096-2026")</f>
        <v/>
      </c>
      <c r="AC61">
        <f>HYPERLINK("https://klasma.github.io/Logging_1885/tillsynsmail/A 25096-2026 tillsynsbegäran mail.docx", "A 25096-2026")</f>
        <v/>
      </c>
      <c r="AD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46223</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s="2" t="inlineStr">
        <is>
          <t>Jungfrulin
Svinrot
Blåsippa</t>
        </is>
      </c>
      <c r="V62">
        <f>HYPERLINK("https://klasma.github.io/Logging_1885/artfynd/S 191-2026 artfynd.xlsx", "S 191-2026")</f>
        <v/>
      </c>
      <c r="W62">
        <f>HYPERLINK("https://klasma.github.io/Logging_1885/kartor/S 191-2026 karta.png", "S 191-2026")</f>
        <v/>
      </c>
      <c r="X62">
        <f>HYPERLINK("https://klasma.github.io/Logging_1885/kartor_geotiff/S 191-2026 georefererad karta.tif", "S 191-2026")</f>
        <v/>
      </c>
      <c r="Z62">
        <f>HYPERLINK("https://klasma.github.io/Logging_1885/klagomål/S 191-2026 FSC-klagomål.docx", "S 191-2026")</f>
        <v/>
      </c>
      <c r="AA62">
        <f>HYPERLINK("https://klasma.github.io/Logging_1885/klagomålsmail/S 191-2026 FSC-klagomål mail.docx", "S 191-2026")</f>
        <v/>
      </c>
      <c r="AB62">
        <f>HYPERLINK("https://klasma.github.io/Logging_1885/tillsyn/S 191-2026 tillsynsbegäran.docx", "S 191-2026")</f>
        <v/>
      </c>
      <c r="AC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46223</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s="2" t="inlineStr">
        <is>
          <t>Knärot
Bågpraktmossa</t>
        </is>
      </c>
      <c r="V63">
        <f>HYPERLINK("https://klasma.github.io/Logging_1885/artfynd/A 43452-2021 artfynd.xlsx", "A 43452-2021")</f>
        <v/>
      </c>
      <c r="W63">
        <f>HYPERLINK("https://klasma.github.io/Logging_1885/kartor/A 43452-2021 karta.png", "A 43452-2021")</f>
        <v/>
      </c>
      <c r="X63">
        <f>HYPERLINK("https://klasma.github.io/Logging_1885/kartor_geotiff/A 43452-2021 georefererad karta.tif", "A 43452-2021")</f>
        <v/>
      </c>
      <c r="Y63">
        <f>HYPERLINK("https://klasma.github.io/Logging_1885/knärot/A 43452-2021 karta knärot.png", "A 43452-2021")</f>
        <v/>
      </c>
      <c r="Z63">
        <f>HYPERLINK("https://klasma.github.io/Logging_1885/klagomål/A 43452-2021 FSC-klagomål.docx", "A 43452-2021")</f>
        <v/>
      </c>
      <c r="AA63">
        <f>HYPERLINK("https://klasma.github.io/Logging_1885/klagomålsmail/A 43452-2021 FSC-klagomål mail.docx", "A 43452-2021")</f>
        <v/>
      </c>
      <c r="AB63">
        <f>HYPERLINK("https://klasma.github.io/Logging_1885/tillsyn/A 43452-2021 tillsynsbegäran.docx", "A 43452-2021")</f>
        <v/>
      </c>
      <c r="AC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46223</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s="2" t="inlineStr">
        <is>
          <t>Tjäder
Orre</t>
        </is>
      </c>
      <c r="V64">
        <f>HYPERLINK("https://klasma.github.io/Logging_1885/artfynd/A 42629-2025 artfynd.xlsx", "A 42629-2025")</f>
        <v/>
      </c>
      <c r="W64">
        <f>HYPERLINK("https://klasma.github.io/Logging_1885/kartor/A 42629-2025 karta.png", "A 42629-2025")</f>
        <v/>
      </c>
      <c r="X64">
        <f>HYPERLINK("https://klasma.github.io/Logging_1885/kartor_geotiff/A 42629-2025 georefererad karta.tif", "A 42629-2025")</f>
        <v/>
      </c>
      <c r="Z64">
        <f>HYPERLINK("https://klasma.github.io/Logging_1885/klagomål/A 42629-2025 FSC-klagomål.docx", "A 42629-2025")</f>
        <v/>
      </c>
      <c r="AA64">
        <f>HYPERLINK("https://klasma.github.io/Logging_1885/klagomålsmail/A 42629-2025 FSC-klagomål mail.docx", "A 42629-2025")</f>
        <v/>
      </c>
      <c r="AB64">
        <f>HYPERLINK("https://klasma.github.io/Logging_1885/tillsyn/A 42629-2025 tillsynsbegäran.docx", "A 42629-2025")</f>
        <v/>
      </c>
      <c r="AC64">
        <f>HYPERLINK("https://klasma.github.io/Logging_1885/tillsynsmail/A 42629-2025 tillsynsbegäran mail.docx", "A 42629-2025")</f>
        <v/>
      </c>
      <c r="AD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46223</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s="2" t="inlineStr">
        <is>
          <t>Nordfladdermus
Vattenfladdermus</t>
        </is>
      </c>
      <c r="V65">
        <f>HYPERLINK("https://klasma.github.io/Logging_1885/artfynd/A 14190-2024 artfynd.xlsx", "A 14190-2024")</f>
        <v/>
      </c>
      <c r="W65">
        <f>HYPERLINK("https://klasma.github.io/Logging_1885/kartor/A 14190-2024 karta.png", "A 14190-2024")</f>
        <v/>
      </c>
      <c r="X65">
        <f>HYPERLINK("https://klasma.github.io/Logging_1885/kartor_geotiff/A 14190-2024 georefererad karta.tif", "A 14190-2024")</f>
        <v/>
      </c>
      <c r="Z65">
        <f>HYPERLINK("https://klasma.github.io/Logging_1885/klagomål/A 14190-2024 FSC-klagomål.docx", "A 14190-2024")</f>
        <v/>
      </c>
      <c r="AA65">
        <f>HYPERLINK("https://klasma.github.io/Logging_1885/klagomålsmail/A 14190-2024 FSC-klagomål mail.docx", "A 14190-2024")</f>
        <v/>
      </c>
      <c r="AB65">
        <f>HYPERLINK("https://klasma.github.io/Logging_1885/tillsyn/A 14190-2024 tillsynsbegäran.docx", "A 14190-2024")</f>
        <v/>
      </c>
      <c r="AC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46223</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HYPERLINK("https://klasma.github.io/Logging_1885/artfynd/A 8175-2026 artfynd.xlsx", "A 8175-2026")</f>
        <v/>
      </c>
      <c r="W66">
        <f>HYPERLINK("https://klasma.github.io/Logging_1885/kartor/A 8175-2026 karta.png", "A 8175-2026")</f>
        <v/>
      </c>
      <c r="X66">
        <f>HYPERLINK("https://klasma.github.io/Logging_1885/kartor_geotiff/A 8175-2026 georefererad karta.tif", "A 8175-2026")</f>
        <v/>
      </c>
      <c r="Z66">
        <f>HYPERLINK("https://klasma.github.io/Logging_1885/klagomål/A 8175-2026 FSC-klagomål.docx", "A 8175-2026")</f>
        <v/>
      </c>
      <c r="AA66">
        <f>HYPERLINK("https://klasma.github.io/Logging_1885/klagomålsmail/A 8175-2026 FSC-klagomål mail.docx", "A 8175-2026")</f>
        <v/>
      </c>
      <c r="AB66">
        <f>HYPERLINK("https://klasma.github.io/Logging_1885/tillsyn/A 8175-2026 tillsynsbegäran.docx", "A 8175-2026")</f>
        <v/>
      </c>
      <c r="AC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46223</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s="2" t="inlineStr">
        <is>
          <t>Garnlav
Spillkråka</t>
        </is>
      </c>
      <c r="V67">
        <f>HYPERLINK("https://klasma.github.io/Logging_1885/artfynd/A 16103-2026 artfynd.xlsx", "A 16103-2026")</f>
        <v/>
      </c>
      <c r="W67">
        <f>HYPERLINK("https://klasma.github.io/Logging_1885/kartor/A 16103-2026 karta.png", "A 16103-2026")</f>
        <v/>
      </c>
      <c r="X67">
        <f>HYPERLINK("https://klasma.github.io/Logging_1885/kartor_geotiff/A 16103-2026 georefererad karta.tif", "A 16103-2026")</f>
        <v/>
      </c>
      <c r="Z67">
        <f>HYPERLINK("https://klasma.github.io/Logging_1885/klagomål/A 16103-2026 FSC-klagomål.docx", "A 16103-2026")</f>
        <v/>
      </c>
      <c r="AA67">
        <f>HYPERLINK("https://klasma.github.io/Logging_1885/klagomålsmail/A 16103-2026 FSC-klagomål mail.docx", "A 16103-2026")</f>
        <v/>
      </c>
      <c r="AB67">
        <f>HYPERLINK("https://klasma.github.io/Logging_1885/tillsyn/A 16103-2026 tillsynsbegäran.docx", "A 16103-2026")</f>
        <v/>
      </c>
      <c r="AC67">
        <f>HYPERLINK("https://klasma.github.io/Logging_1885/tillsynsmail/A 16103-2026 tillsynsbegäran mail.docx", "A 16103-2026")</f>
        <v/>
      </c>
      <c r="AD67">
        <f>HYPERLINK("https://klasma.github.io/Logging_1885/fåglar/A 16103-2026 prioriterade fågelarter.docx", "A 16103-2026")</f>
        <v/>
      </c>
    </row>
    <row r="68" ht="15" customHeight="1">
      <c r="A68" t="inlineStr">
        <is>
          <t>A 27724-2026</t>
        </is>
      </c>
      <c r="B68" t="inlineStr">
        <is>
          <t>avverkningsanmälan</t>
        </is>
      </c>
      <c r="C68" t="inlineStr">
        <is>
          <t>Föryngringsavverkning</t>
        </is>
      </c>
      <c r="D68" s="1" t="n">
        <v>46191</v>
      </c>
      <c r="E68" s="1" t="n">
        <v>46223</v>
      </c>
      <c r="F68" t="inlineStr">
        <is>
          <t>ÖREBRO LÄN</t>
        </is>
      </c>
      <c r="G68" t="inlineStr">
        <is>
          <t>LINDESBERG</t>
        </is>
      </c>
      <c r="H68" t="inlineStr">
        <is>
          <t>Sveaskog</t>
        </is>
      </c>
      <c r="I68" t="n">
        <v>3.7</v>
      </c>
      <c r="J68" t="n">
        <v>1</v>
      </c>
      <c r="K68" t="n">
        <v>1</v>
      </c>
      <c r="L68" t="n">
        <v>0</v>
      </c>
      <c r="M68" t="n">
        <v>0</v>
      </c>
      <c r="N68" t="n">
        <v>0</v>
      </c>
      <c r="O68" t="n">
        <v>0</v>
      </c>
      <c r="P68" t="n">
        <v>0</v>
      </c>
      <c r="Q68" t="n">
        <v>0</v>
      </c>
      <c r="R68" t="n">
        <v>0</v>
      </c>
      <c r="S68" t="n">
        <v>2</v>
      </c>
      <c r="T68" t="n">
        <v>6</v>
      </c>
      <c r="U68" s="2" t="inlineStr">
        <is>
          <t>Björksplintborre
Tjäder</t>
        </is>
      </c>
      <c r="V68">
        <f>HYPERLINK("https://klasma.github.io/Logging_1885/artfynd/A 27724-2026 artfynd.xlsx", "A 27724-2026")</f>
        <v/>
      </c>
      <c r="W68">
        <f>HYPERLINK("https://klasma.github.io/Logging_1885/kartor/A 27724-2026 karta.png", "A 27724-2026")</f>
        <v/>
      </c>
      <c r="X68">
        <f>HYPERLINK("https://klasma.github.io/Logging_1885/kartor_geotiff/A 27724-2026 georefererad karta.tif", "A 27724-2026")</f>
        <v/>
      </c>
      <c r="Z68">
        <f>HYPERLINK("https://klasma.github.io/Logging_1885/klagomål/A 27724-2026 FSC-klagomål.docx", "A 27724-2026")</f>
        <v/>
      </c>
      <c r="AA68">
        <f>HYPERLINK("https://klasma.github.io/Logging_1885/klagomålsmail/A 27724-2026 FSC-klagomål mail.docx", "A 27724-2026")</f>
        <v/>
      </c>
      <c r="AB68">
        <f>HYPERLINK("https://klasma.github.io/Logging_1885/tillsyn/A 27724-2026 tillsynsbegäran.docx", "A 27724-2026")</f>
        <v/>
      </c>
      <c r="AC68">
        <f>HYPERLINK("https://klasma.github.io/Logging_1885/tillsynsmail/A 27724-2026 tillsynsbegäran mail.docx", "A 27724-2026")</f>
        <v/>
      </c>
      <c r="AD68">
        <f>HYPERLINK("https://klasma.github.io/Logging_1885/fåglar/A 27724-2026 prioriterade fågelarter.docx", "A 27724-2026")</f>
        <v/>
      </c>
    </row>
    <row r="69" ht="15" customHeight="1">
      <c r="A69" t="inlineStr">
        <is>
          <t>A 27728-2026</t>
        </is>
      </c>
      <c r="B69" t="inlineStr">
        <is>
          <t>avverkningsanmälan</t>
        </is>
      </c>
      <c r="C69" t="inlineStr">
        <is>
          <t>Föryngringsavverkning</t>
        </is>
      </c>
      <c r="D69" s="1" t="n">
        <v>46191</v>
      </c>
      <c r="E69" s="1" t="n">
        <v>46223</v>
      </c>
      <c r="F69" t="inlineStr">
        <is>
          <t>ÖREBRO LÄN</t>
        </is>
      </c>
      <c r="G69" t="inlineStr">
        <is>
          <t>LINDESBERG</t>
        </is>
      </c>
      <c r="H69" t="inlineStr">
        <is>
          <t>Sveaskog</t>
        </is>
      </c>
      <c r="I69" t="n">
        <v>1.6</v>
      </c>
      <c r="J69" t="n">
        <v>2</v>
      </c>
      <c r="K69" t="n">
        <v>0</v>
      </c>
      <c r="L69" t="n">
        <v>0</v>
      </c>
      <c r="M69" t="n">
        <v>0</v>
      </c>
      <c r="N69" t="n">
        <v>0</v>
      </c>
      <c r="O69" t="n">
        <v>0</v>
      </c>
      <c r="P69" t="n">
        <v>0</v>
      </c>
      <c r="Q69" t="n">
        <v>0</v>
      </c>
      <c r="R69" t="n">
        <v>0</v>
      </c>
      <c r="S69" t="n">
        <v>2</v>
      </c>
      <c r="T69" t="n">
        <v>2</v>
      </c>
      <c r="U69" s="2" t="inlineStr">
        <is>
          <t>Tjäder
Fläcknycklar</t>
        </is>
      </c>
      <c r="V69">
        <f>HYPERLINK("https://klasma.github.io/Logging_1885/artfynd/A 27728-2026 artfynd.xlsx", "A 27728-2026")</f>
        <v/>
      </c>
      <c r="W69">
        <f>HYPERLINK("https://klasma.github.io/Logging_1885/kartor/A 27728-2026 karta.png", "A 27728-2026")</f>
        <v/>
      </c>
      <c r="X69">
        <f>HYPERLINK("https://klasma.github.io/Logging_1885/kartor_geotiff/A 27728-2026 georefererad karta.tif", "A 27728-2026")</f>
        <v/>
      </c>
      <c r="Z69">
        <f>HYPERLINK("https://klasma.github.io/Logging_1885/klagomål/A 27728-2026 FSC-klagomål.docx", "A 27728-2026")</f>
        <v/>
      </c>
      <c r="AA69">
        <f>HYPERLINK("https://klasma.github.io/Logging_1885/klagomålsmail/A 27728-2026 FSC-klagomål mail.docx", "A 27728-2026")</f>
        <v/>
      </c>
      <c r="AB69">
        <f>HYPERLINK("https://klasma.github.io/Logging_1885/tillsyn/A 27728-2026 tillsynsbegäran.docx", "A 27728-2026")</f>
        <v/>
      </c>
      <c r="AC69">
        <f>HYPERLINK("https://klasma.github.io/Logging_1885/tillsynsmail/A 27728-2026 tillsynsbegäran mail.docx", "A 27728-2026")</f>
        <v/>
      </c>
      <c r="AD69">
        <f>HYPERLINK("https://klasma.github.io/Logging_1885/fåglar/A 27728-2026 prioriterade fågelarter.docx", "A 27728-2026")</f>
        <v/>
      </c>
    </row>
    <row r="70" ht="15" customHeight="1">
      <c r="A70" t="inlineStr">
        <is>
          <t>A 27731-2026</t>
        </is>
      </c>
      <c r="B70" t="inlineStr">
        <is>
          <t>avverkningsanmälan</t>
        </is>
      </c>
      <c r="C70" t="inlineStr">
        <is>
          <t>Föryngringsavverkning</t>
        </is>
      </c>
      <c r="D70" s="1" t="n">
        <v>46191</v>
      </c>
      <c r="E70" s="1" t="n">
        <v>46223</v>
      </c>
      <c r="F70" t="inlineStr">
        <is>
          <t>ÖREBRO LÄN</t>
        </is>
      </c>
      <c r="G70" t="inlineStr">
        <is>
          <t>LINDESBERG</t>
        </is>
      </c>
      <c r="H70" t="inlineStr">
        <is>
          <t>Sveaskog</t>
        </is>
      </c>
      <c r="I70" t="n">
        <v>2.8</v>
      </c>
      <c r="J70" t="n">
        <v>1</v>
      </c>
      <c r="K70" t="n">
        <v>0</v>
      </c>
      <c r="L70" t="n">
        <v>1</v>
      </c>
      <c r="M70" t="n">
        <v>0</v>
      </c>
      <c r="N70" t="n">
        <v>0</v>
      </c>
      <c r="O70" t="n">
        <v>0</v>
      </c>
      <c r="P70" t="n">
        <v>0</v>
      </c>
      <c r="Q70" t="n">
        <v>1</v>
      </c>
      <c r="R70" t="n">
        <v>0</v>
      </c>
      <c r="S70" t="n">
        <v>2</v>
      </c>
      <c r="T70" t="n">
        <v>2</v>
      </c>
      <c r="U70" s="2" t="inlineStr">
        <is>
          <t>Älg
Tjäder</t>
        </is>
      </c>
      <c r="V70">
        <f>HYPERLINK("https://klasma.github.io/Logging_1885/artfynd/A 27731-2026 artfynd.xlsx", "A 27731-2026")</f>
        <v/>
      </c>
      <c r="W70">
        <f>HYPERLINK("https://klasma.github.io/Logging_1885/kartor/A 27731-2026 karta.png", "A 27731-2026")</f>
        <v/>
      </c>
      <c r="X70">
        <f>HYPERLINK("https://klasma.github.io/Logging_1885/kartor_geotiff/A 27731-2026 georefererad karta.tif", "A 27731-2026")</f>
        <v/>
      </c>
      <c r="Z70">
        <f>HYPERLINK("https://klasma.github.io/Logging_1885/klagomål/A 27731-2026 FSC-klagomål.docx", "A 27731-2026")</f>
        <v/>
      </c>
      <c r="AA70">
        <f>HYPERLINK("https://klasma.github.io/Logging_1885/klagomålsmail/A 27731-2026 FSC-klagomål mail.docx", "A 27731-2026")</f>
        <v/>
      </c>
      <c r="AB70">
        <f>HYPERLINK("https://klasma.github.io/Logging_1885/tillsyn/A 27731-2026 tillsynsbegäran.docx", "A 27731-2026")</f>
        <v/>
      </c>
      <c r="AC70">
        <f>HYPERLINK("https://klasma.github.io/Logging_1885/tillsynsmail/A 27731-2026 tillsynsbegäran mail.docx", "A 27731-2026")</f>
        <v/>
      </c>
      <c r="AD70">
        <f>HYPERLINK("https://klasma.github.io/Logging_1885/fåglar/A 27731-2026 prioriterade fågelarter.docx", "A 27731-2026")</f>
        <v/>
      </c>
    </row>
    <row r="71" ht="15" customHeight="1">
      <c r="A71" t="inlineStr">
        <is>
          <t>A 24975-2026</t>
        </is>
      </c>
      <c r="B71" t="inlineStr">
        <is>
          <t>avverkningsanmälan</t>
        </is>
      </c>
      <c r="C71" t="inlineStr">
        <is>
          <t>Föryngringsavverkning</t>
        </is>
      </c>
      <c r="D71" s="1" t="n">
        <v>46174</v>
      </c>
      <c r="E71" s="1" t="n">
        <v>46223</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s="2" t="inlineStr">
        <is>
          <t>Mattlummer
Fläcknycklar</t>
        </is>
      </c>
      <c r="V71">
        <f>HYPERLINK("https://klasma.github.io/Logging_1885/artfynd/A 24975-2026 artfynd.xlsx", "A 24975-2026")</f>
        <v/>
      </c>
      <c r="W71">
        <f>HYPERLINK("https://klasma.github.io/Logging_1885/kartor/A 24975-2026 karta.png", "A 24975-2026")</f>
        <v/>
      </c>
      <c r="X71">
        <f>HYPERLINK("https://klasma.github.io/Logging_1885/kartor_geotiff/A 24975-2026 georefererad karta.tif", "A 24975-2026")</f>
        <v/>
      </c>
      <c r="Z71">
        <f>HYPERLINK("https://klasma.github.io/Logging_1885/klagomål/A 24975-2026 FSC-klagomål.docx", "A 24975-2026")</f>
        <v/>
      </c>
      <c r="AA71">
        <f>HYPERLINK("https://klasma.github.io/Logging_1885/klagomålsmail/A 24975-2026 FSC-klagomål mail.docx", "A 24975-2026")</f>
        <v/>
      </c>
      <c r="AB71">
        <f>HYPERLINK("https://klasma.github.io/Logging_1885/tillsyn/A 24975-2026 tillsynsbegäran.docx", "A 24975-2026")</f>
        <v/>
      </c>
      <c r="AC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46223</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s="2" t="inlineStr">
        <is>
          <t>Dropptaggsvamp
Motaggsvamp</t>
        </is>
      </c>
      <c r="V72">
        <f>HYPERLINK("https://klasma.github.io/Logging_1885/artfynd/A 57795-2021 artfynd.xlsx", "A 57795-2021")</f>
        <v/>
      </c>
      <c r="W72">
        <f>HYPERLINK("https://klasma.github.io/Logging_1885/kartor/A 57795-2021 karta.png", "A 57795-2021")</f>
        <v/>
      </c>
      <c r="X72">
        <f>HYPERLINK("https://klasma.github.io/Logging_1885/kartor_geotiff/A 57795-2021 georefererad karta.tif", "A 57795-2021")</f>
        <v/>
      </c>
      <c r="Z72">
        <f>HYPERLINK("https://klasma.github.io/Logging_1885/klagomål/A 57795-2021 FSC-klagomål.docx", "A 57795-2021")</f>
        <v/>
      </c>
      <c r="AA72">
        <f>HYPERLINK("https://klasma.github.io/Logging_1885/klagomålsmail/A 57795-2021 FSC-klagomål mail.docx", "A 57795-2021")</f>
        <v/>
      </c>
      <c r="AB72">
        <f>HYPERLINK("https://klasma.github.io/Logging_1885/tillsyn/A 57795-2021 tillsynsbegäran.docx", "A 57795-2021")</f>
        <v/>
      </c>
      <c r="AC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46223</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s="2" t="inlineStr">
        <is>
          <t>Ask
Kandelabersvamp</t>
        </is>
      </c>
      <c r="V73">
        <f>HYPERLINK("https://klasma.github.io/Logging_1885/artfynd/S 3695-2023 artfynd.xlsx", "S 3695-2023")</f>
        <v/>
      </c>
      <c r="W73">
        <f>HYPERLINK("https://klasma.github.io/Logging_1885/kartor/S 3695-2023 karta.png", "S 3695-2023")</f>
        <v/>
      </c>
      <c r="X73">
        <f>HYPERLINK("https://klasma.github.io/Logging_1885/kartor_geotiff/S 3695-2023 georefererad karta.tif", "S 3695-2023")</f>
        <v/>
      </c>
      <c r="Z73">
        <f>HYPERLINK("https://klasma.github.io/Logging_1885/klagomål/S 3695-2023 FSC-klagomål.docx", "S 3695-2023")</f>
        <v/>
      </c>
      <c r="AA73">
        <f>HYPERLINK("https://klasma.github.io/Logging_1885/klagomålsmail/S 3695-2023 FSC-klagomål mail.docx", "S 3695-2023")</f>
        <v/>
      </c>
      <c r="AB73">
        <f>HYPERLINK("https://klasma.github.io/Logging_1885/tillsyn/S 3695-2023 tillsynsbegäran.docx", "S 3695-2023")</f>
        <v/>
      </c>
      <c r="AC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46223</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s="2" t="inlineStr">
        <is>
          <t>Bombmurkla</t>
        </is>
      </c>
      <c r="V74">
        <f>HYPERLINK("https://klasma.github.io/Logging_1885/artfynd/A 64874-2021 artfynd.xlsx", "A 64874-2021")</f>
        <v/>
      </c>
      <c r="W74">
        <f>HYPERLINK("https://klasma.github.io/Logging_1885/kartor/A 64874-2021 karta.png", "A 64874-2021")</f>
        <v/>
      </c>
      <c r="X74">
        <f>HYPERLINK("https://klasma.github.io/Logging_1885/kartor_geotiff/A 64874-2021 georefererad karta.tif", "A 64874-2021")</f>
        <v/>
      </c>
      <c r="Z74">
        <f>HYPERLINK("https://klasma.github.io/Logging_1885/klagomål/A 64874-2021 FSC-klagomål.docx", "A 64874-2021")</f>
        <v/>
      </c>
      <c r="AA74">
        <f>HYPERLINK("https://klasma.github.io/Logging_1885/klagomålsmail/A 64874-2021 FSC-klagomål mail.docx", "A 64874-2021")</f>
        <v/>
      </c>
      <c r="AB74">
        <f>HYPERLINK("https://klasma.github.io/Logging_1885/tillsyn/A 64874-2021 tillsynsbegäran.docx", "A 64874-2021")</f>
        <v/>
      </c>
      <c r="AC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46223</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s="2" t="inlineStr">
        <is>
          <t>Utter</t>
        </is>
      </c>
      <c r="V75">
        <f>HYPERLINK("https://klasma.github.io/Logging_1885/artfynd/A 19562-2022 artfynd.xlsx", "A 19562-2022")</f>
        <v/>
      </c>
      <c r="W75">
        <f>HYPERLINK("https://klasma.github.io/Logging_1885/kartor/A 19562-2022 karta.png", "A 19562-2022")</f>
        <v/>
      </c>
      <c r="X75">
        <f>HYPERLINK("https://klasma.github.io/Logging_1885/kartor_geotiff/A 19562-2022 georefererad karta.tif", "A 19562-2022")</f>
        <v/>
      </c>
      <c r="Z75">
        <f>HYPERLINK("https://klasma.github.io/Logging_1885/klagomål/A 19562-2022 FSC-klagomål.docx", "A 19562-2022")</f>
        <v/>
      </c>
      <c r="AA75">
        <f>HYPERLINK("https://klasma.github.io/Logging_1885/klagomålsmail/A 19562-2022 FSC-klagomål mail.docx", "A 19562-2022")</f>
        <v/>
      </c>
      <c r="AB75">
        <f>HYPERLINK("https://klasma.github.io/Logging_1885/tillsyn/A 19562-2022 tillsynsbegäran.docx", "A 19562-2022")</f>
        <v/>
      </c>
      <c r="AC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46223</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s="2" t="inlineStr">
        <is>
          <t>Ullticka</t>
        </is>
      </c>
      <c r="V76">
        <f>HYPERLINK("https://klasma.github.io/Logging_1885/artfynd/A 19057-2022 artfynd.xlsx", "A 19057-2022")</f>
        <v/>
      </c>
      <c r="W76">
        <f>HYPERLINK("https://klasma.github.io/Logging_1885/kartor/A 19057-2022 karta.png", "A 19057-2022")</f>
        <v/>
      </c>
      <c r="X76">
        <f>HYPERLINK("https://klasma.github.io/Logging_1885/kartor_geotiff/A 19057-2022 georefererad karta.tif", "A 19057-2022")</f>
        <v/>
      </c>
      <c r="Z76">
        <f>HYPERLINK("https://klasma.github.io/Logging_1885/klagomål/A 19057-2022 FSC-klagomål.docx", "A 19057-2022")</f>
        <v/>
      </c>
      <c r="AA76">
        <f>HYPERLINK("https://klasma.github.io/Logging_1885/klagomålsmail/A 19057-2022 FSC-klagomål mail.docx", "A 19057-2022")</f>
        <v/>
      </c>
      <c r="AB76">
        <f>HYPERLINK("https://klasma.github.io/Logging_1885/tillsyn/A 19057-2022 tillsynsbegäran.docx", "A 19057-2022")</f>
        <v/>
      </c>
      <c r="AC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46223</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s="2" t="inlineStr">
        <is>
          <t>Fjällvråk</t>
        </is>
      </c>
      <c r="V77">
        <f>HYPERLINK("https://klasma.github.io/Logging_1885/artfynd/A 17563-2022 artfynd.xlsx", "A 17563-2022")</f>
        <v/>
      </c>
      <c r="W77">
        <f>HYPERLINK("https://klasma.github.io/Logging_1885/kartor/A 17563-2022 karta.png", "A 17563-2022")</f>
        <v/>
      </c>
      <c r="X77">
        <f>HYPERLINK("https://klasma.github.io/Logging_1885/kartor_geotiff/A 17563-2022 georefererad karta.tif", "A 17563-2022")</f>
        <v/>
      </c>
      <c r="Z77">
        <f>HYPERLINK("https://klasma.github.io/Logging_1885/klagomål/A 17563-2022 FSC-klagomål.docx", "A 17563-2022")</f>
        <v/>
      </c>
      <c r="AA77">
        <f>HYPERLINK("https://klasma.github.io/Logging_1885/klagomålsmail/A 17563-2022 FSC-klagomål mail.docx", "A 17563-2022")</f>
        <v/>
      </c>
      <c r="AB77">
        <f>HYPERLINK("https://klasma.github.io/Logging_1885/tillsyn/A 17563-2022 tillsynsbegäran.docx", "A 17563-2022")</f>
        <v/>
      </c>
      <c r="AC77">
        <f>HYPERLINK("https://klasma.github.io/Logging_1885/tillsynsmail/A 17563-2022 tillsynsbegäran mail.docx", "A 17563-2022")</f>
        <v/>
      </c>
      <c r="AD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46223</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s="2" t="inlineStr">
        <is>
          <t>Nordfladdermus</t>
        </is>
      </c>
      <c r="V78">
        <f>HYPERLINK("https://klasma.github.io/Logging_1885/artfynd/A 6161-2025 artfynd.xlsx", "A 6161-2025")</f>
        <v/>
      </c>
      <c r="W78">
        <f>HYPERLINK("https://klasma.github.io/Logging_1885/kartor/A 6161-2025 karta.png", "A 6161-2025")</f>
        <v/>
      </c>
      <c r="X78">
        <f>HYPERLINK("https://klasma.github.io/Logging_1885/kartor_geotiff/A 6161-2025 georefererad karta.tif", "A 6161-2025")</f>
        <v/>
      </c>
      <c r="Z78">
        <f>HYPERLINK("https://klasma.github.io/Logging_1885/klagomål/A 6161-2025 FSC-klagomål.docx", "A 6161-2025")</f>
        <v/>
      </c>
      <c r="AA78">
        <f>HYPERLINK("https://klasma.github.io/Logging_1885/klagomålsmail/A 6161-2025 FSC-klagomål mail.docx", "A 6161-2025")</f>
        <v/>
      </c>
      <c r="AB78">
        <f>HYPERLINK("https://klasma.github.io/Logging_1885/tillsyn/A 6161-2025 tillsynsbegäran.docx", "A 6161-2025")</f>
        <v/>
      </c>
      <c r="AC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46223</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s="2" t="inlineStr">
        <is>
          <t>Bågpraktmossa</t>
        </is>
      </c>
      <c r="V79">
        <f>HYPERLINK("https://klasma.github.io/Logging_1885/artfynd/A 6165-2025 artfynd.xlsx", "A 6165-2025")</f>
        <v/>
      </c>
      <c r="W79">
        <f>HYPERLINK("https://klasma.github.io/Logging_1885/kartor/A 6165-2025 karta.png", "A 6165-2025")</f>
        <v/>
      </c>
      <c r="X79">
        <f>HYPERLINK("https://klasma.github.io/Logging_1885/kartor_geotiff/A 6165-2025 georefererad karta.tif", "A 6165-2025")</f>
        <v/>
      </c>
      <c r="Z79">
        <f>HYPERLINK("https://klasma.github.io/Logging_1885/klagomål/A 6165-2025 FSC-klagomål.docx", "A 6165-2025")</f>
        <v/>
      </c>
      <c r="AA79">
        <f>HYPERLINK("https://klasma.github.io/Logging_1885/klagomålsmail/A 6165-2025 FSC-klagomål mail.docx", "A 6165-2025")</f>
        <v/>
      </c>
      <c r="AB79">
        <f>HYPERLINK("https://klasma.github.io/Logging_1885/tillsyn/A 6165-2025 tillsynsbegäran.docx", "A 6165-2025")</f>
        <v/>
      </c>
      <c r="AC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46223</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s="2" t="inlineStr">
        <is>
          <t>Blåsippa</t>
        </is>
      </c>
      <c r="V80">
        <f>HYPERLINK("https://klasma.github.io/Logging_1885/artfynd/A 6192-2025 artfynd.xlsx", "A 6192-2025")</f>
        <v/>
      </c>
      <c r="W80">
        <f>HYPERLINK("https://klasma.github.io/Logging_1885/kartor/A 6192-2025 karta.png", "A 6192-2025")</f>
        <v/>
      </c>
      <c r="X80">
        <f>HYPERLINK("https://klasma.github.io/Logging_1885/kartor_geotiff/A 6192-2025 georefererad karta.tif", "A 6192-2025")</f>
        <v/>
      </c>
      <c r="Z80">
        <f>HYPERLINK("https://klasma.github.io/Logging_1885/klagomål/A 6192-2025 FSC-klagomål.docx", "A 6192-2025")</f>
        <v/>
      </c>
      <c r="AA80">
        <f>HYPERLINK("https://klasma.github.io/Logging_1885/klagomålsmail/A 6192-2025 FSC-klagomål mail.docx", "A 6192-2025")</f>
        <v/>
      </c>
      <c r="AB80">
        <f>HYPERLINK("https://klasma.github.io/Logging_1885/tillsyn/A 6192-2025 tillsynsbegäran.docx", "A 6192-2025")</f>
        <v/>
      </c>
      <c r="AC80">
        <f>HYPERLINK("https://klasma.github.io/Logging_1885/tillsynsmail/A 6192-2025 tillsynsbegäran mail.docx", "A 6192-2025")</f>
        <v/>
      </c>
    </row>
    <row r="81" ht="15" customHeight="1">
      <c r="A81" t="inlineStr">
        <is>
          <t>A 58206-2023</t>
        </is>
      </c>
      <c r="B81" t="inlineStr">
        <is>
          <t>avverkningsanmälan</t>
        </is>
      </c>
      <c r="C81" t="inlineStr">
        <is>
          <t>Föryngringsavverkning</t>
        </is>
      </c>
      <c r="D81" s="1" t="n">
        <v>45250</v>
      </c>
      <c r="E81" s="1" t="n">
        <v>46223</v>
      </c>
      <c r="F81" t="inlineStr">
        <is>
          <t>ÖREBRO LÄN</t>
        </is>
      </c>
      <c r="G81" t="inlineStr">
        <is>
          <t>LINDESBERG</t>
        </is>
      </c>
      <c r="H81" t="inlineStr">
        <is>
          <t>Sveaskog</t>
        </is>
      </c>
      <c r="I81" t="n">
        <v>1.4</v>
      </c>
      <c r="J81" t="n">
        <v>1</v>
      </c>
      <c r="K81" t="n">
        <v>0</v>
      </c>
      <c r="L81" t="n">
        <v>0</v>
      </c>
      <c r="M81" t="n">
        <v>0</v>
      </c>
      <c r="N81" t="n">
        <v>0</v>
      </c>
      <c r="O81" t="n">
        <v>0</v>
      </c>
      <c r="P81" t="n">
        <v>0</v>
      </c>
      <c r="Q81" t="n">
        <v>0</v>
      </c>
      <c r="R81" t="n">
        <v>0</v>
      </c>
      <c r="S81" t="n">
        <v>1</v>
      </c>
      <c r="T81" t="n">
        <v>1</v>
      </c>
      <c r="U81" s="2" t="inlineStr">
        <is>
          <t>Fläcknycklar</t>
        </is>
      </c>
      <c r="V81">
        <f>HYPERLINK("https://klasma.github.io/Logging_1885/artfynd/A 58206-2023 artfynd.xlsx", "A 58206-2023")</f>
        <v/>
      </c>
      <c r="W81">
        <f>HYPERLINK("https://klasma.github.io/Logging_1885/kartor/A 58206-2023 karta.png", "A 58206-2023")</f>
        <v/>
      </c>
      <c r="X81">
        <f>HYPERLINK("https://klasma.github.io/Logging_1885/kartor_geotiff/A 58206-2023 georefererad karta.tif", "A 58206-2023")</f>
        <v/>
      </c>
      <c r="Z81">
        <f>HYPERLINK("https://klasma.github.io/Logging_1885/klagomål/A 58206-2023 FSC-klagomål.docx", "A 58206-2023")</f>
        <v/>
      </c>
      <c r="AA81">
        <f>HYPERLINK("https://klasma.github.io/Logging_1885/klagomålsmail/A 58206-2023 FSC-klagomål mail.docx", "A 58206-2023")</f>
        <v/>
      </c>
      <c r="AB81">
        <f>HYPERLINK("https://klasma.github.io/Logging_1885/tillsyn/A 58206-2023 tillsynsbegäran.docx", "A 58206-2023")</f>
        <v/>
      </c>
      <c r="AC81">
        <f>HYPERLINK("https://klasma.github.io/Logging_1885/tillsynsmail/A 58206-2023 tillsynsbegäran mail.docx", "A 58206-2023")</f>
        <v/>
      </c>
    </row>
    <row r="82" ht="15" customHeight="1">
      <c r="A82" t="inlineStr">
        <is>
          <t>A 50964-2023</t>
        </is>
      </c>
      <c r="B82" t="inlineStr">
        <is>
          <t>avverkningsanmälan</t>
        </is>
      </c>
      <c r="C82" t="inlineStr">
        <is>
          <t>Föryngringsavverkning</t>
        </is>
      </c>
      <c r="D82" s="1" t="n">
        <v>45218</v>
      </c>
      <c r="E82" s="1" t="n">
        <v>46223</v>
      </c>
      <c r="F82" t="inlineStr">
        <is>
          <t>ÖREBRO LÄN</t>
        </is>
      </c>
      <c r="G82" t="inlineStr">
        <is>
          <t>LINDESBERG</t>
        </is>
      </c>
      <c r="H82" t="inlineStr">
        <is>
          <t>Sveaskog</t>
        </is>
      </c>
      <c r="I82" t="n">
        <v>0.7</v>
      </c>
      <c r="J82" t="n">
        <v>0</v>
      </c>
      <c r="K82" t="n">
        <v>1</v>
      </c>
      <c r="L82" t="n">
        <v>0</v>
      </c>
      <c r="M82" t="n">
        <v>0</v>
      </c>
      <c r="N82" t="n">
        <v>0</v>
      </c>
      <c r="O82" t="n">
        <v>0</v>
      </c>
      <c r="P82" t="n">
        <v>0</v>
      </c>
      <c r="Q82" t="n">
        <v>0</v>
      </c>
      <c r="R82" t="n">
        <v>0</v>
      </c>
      <c r="S82" t="n">
        <v>1</v>
      </c>
      <c r="T82" t="n">
        <v>1</v>
      </c>
      <c r="U82" s="2" t="inlineStr">
        <is>
          <t>Gulnål</t>
        </is>
      </c>
      <c r="V82">
        <f>HYPERLINK("https://klasma.github.io/Logging_1885/artfynd/A 50964-2023 artfynd.xlsx", "A 50964-2023")</f>
        <v/>
      </c>
      <c r="W82">
        <f>HYPERLINK("https://klasma.github.io/Logging_1885/kartor/A 50964-2023 karta.png", "A 50964-2023")</f>
        <v/>
      </c>
      <c r="X82">
        <f>HYPERLINK("https://klasma.github.io/Logging_1885/kartor_geotiff/A 50964-2023 georefererad karta.tif", "A 50964-2023")</f>
        <v/>
      </c>
      <c r="Z82">
        <f>HYPERLINK("https://klasma.github.io/Logging_1885/klagomål/A 50964-2023 FSC-klagomål.docx", "A 50964-2023")</f>
        <v/>
      </c>
      <c r="AA82">
        <f>HYPERLINK("https://klasma.github.io/Logging_1885/klagomålsmail/A 50964-2023 FSC-klagomål mail.docx", "A 50964-2023")</f>
        <v/>
      </c>
      <c r="AB82">
        <f>HYPERLINK("https://klasma.github.io/Logging_1885/tillsyn/A 50964-2023 tillsynsbegäran.docx", "A 50964-2023")</f>
        <v/>
      </c>
      <c r="AC82">
        <f>HYPERLINK("https://klasma.github.io/Logging_1885/tillsynsmail/A 50964-2023 tillsynsbegäran mail.docx", "A 50964-2023")</f>
        <v/>
      </c>
    </row>
    <row r="83" ht="15" customHeight="1">
      <c r="A83" t="inlineStr">
        <is>
          <t>A 13884-2023</t>
        </is>
      </c>
      <c r="B83" t="inlineStr">
        <is>
          <t>avverkningsanmälan</t>
        </is>
      </c>
      <c r="C83" t="inlineStr">
        <is>
          <t>Föryngringsavverkning</t>
        </is>
      </c>
      <c r="D83" s="1" t="n">
        <v>45007</v>
      </c>
      <c r="E83" s="1" t="n">
        <v>46223</v>
      </c>
      <c r="F83" t="inlineStr">
        <is>
          <t>ÖREBRO LÄN</t>
        </is>
      </c>
      <c r="G83" t="inlineStr">
        <is>
          <t>LINDESBERG</t>
        </is>
      </c>
      <c r="H83" t="inlineStr">
        <is>
          <t>Kommuner</t>
        </is>
      </c>
      <c r="I83" t="n">
        <v>7.7</v>
      </c>
      <c r="J83" t="n">
        <v>0</v>
      </c>
      <c r="K83" t="n">
        <v>0</v>
      </c>
      <c r="L83" t="n">
        <v>1</v>
      </c>
      <c r="M83" t="n">
        <v>0</v>
      </c>
      <c r="N83" t="n">
        <v>0</v>
      </c>
      <c r="O83" t="n">
        <v>0</v>
      </c>
      <c r="P83" t="n">
        <v>0</v>
      </c>
      <c r="Q83" t="n">
        <v>1</v>
      </c>
      <c r="R83" t="n">
        <v>0</v>
      </c>
      <c r="S83" t="n">
        <v>1</v>
      </c>
      <c r="T83" t="n">
        <v>1</v>
      </c>
      <c r="U83" s="2" t="inlineStr">
        <is>
          <t>Lunglav</t>
        </is>
      </c>
      <c r="V83">
        <f>HYPERLINK("https://klasma.github.io/Logging_1885/artfynd/A 13884-2023 artfynd.xlsx", "A 13884-2023")</f>
        <v/>
      </c>
      <c r="W83">
        <f>HYPERLINK("https://klasma.github.io/Logging_1885/kartor/A 13884-2023 karta.png", "A 13884-2023")</f>
        <v/>
      </c>
      <c r="X83">
        <f>HYPERLINK("https://klasma.github.io/Logging_1885/kartor_geotiff/A 13884-2023 georefererad karta.tif", "A 13884-2023")</f>
        <v/>
      </c>
      <c r="Z83">
        <f>HYPERLINK("https://klasma.github.io/Logging_1885/klagomål/A 13884-2023 FSC-klagomål.docx", "A 13884-2023")</f>
        <v/>
      </c>
      <c r="AA83">
        <f>HYPERLINK("https://klasma.github.io/Logging_1885/klagomålsmail/A 13884-2023 FSC-klagomål mail.docx", "A 13884-2023")</f>
        <v/>
      </c>
      <c r="AB83">
        <f>HYPERLINK("https://klasma.github.io/Logging_1885/tillsyn/A 13884-2023 tillsynsbegäran.docx", "A 13884-2023")</f>
        <v/>
      </c>
      <c r="AC83">
        <f>HYPERLINK("https://klasma.github.io/Logging_1885/tillsynsmail/A 13884-2023 tillsynsbegäran mail.docx", "A 13884-2023")</f>
        <v/>
      </c>
    </row>
    <row r="84" ht="15" customHeight="1">
      <c r="A84" t="inlineStr">
        <is>
          <t>A 3729-2023</t>
        </is>
      </c>
      <c r="B84" t="inlineStr">
        <is>
          <t>avverkningsanmälan</t>
        </is>
      </c>
      <c r="C84" t="inlineStr">
        <is>
          <t>Föryngringsavverkning</t>
        </is>
      </c>
      <c r="D84" s="1" t="n">
        <v>44949</v>
      </c>
      <c r="E84" s="1" t="n">
        <v>46223</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s="2" t="inlineStr">
        <is>
          <t>Motaggsvamp</t>
        </is>
      </c>
      <c r="V84">
        <f>HYPERLINK("https://klasma.github.io/Logging_1885/artfynd/A 3729-2023 artfynd.xlsx", "A 3729-2023")</f>
        <v/>
      </c>
      <c r="W84">
        <f>HYPERLINK("https://klasma.github.io/Logging_1885/kartor/A 3729-2023 karta.png", "A 3729-2023")</f>
        <v/>
      </c>
      <c r="X84">
        <f>HYPERLINK("https://klasma.github.io/Logging_1885/kartor_geotiff/A 3729-2023 georefererad karta.tif", "A 3729-2023")</f>
        <v/>
      </c>
      <c r="Z84">
        <f>HYPERLINK("https://klasma.github.io/Logging_1885/klagomål/A 3729-2023 FSC-klagomål.docx", "A 3729-2023")</f>
        <v/>
      </c>
      <c r="AA84">
        <f>HYPERLINK("https://klasma.github.io/Logging_1885/klagomålsmail/A 3729-2023 FSC-klagomål mail.docx", "A 3729-2023")</f>
        <v/>
      </c>
      <c r="AB84">
        <f>HYPERLINK("https://klasma.github.io/Logging_1885/tillsyn/A 3729-2023 tillsynsbegäran.docx", "A 3729-2023")</f>
        <v/>
      </c>
      <c r="AC84">
        <f>HYPERLINK("https://klasma.github.io/Logging_1885/tillsynsmail/A 3729-2023 tillsynsbegäran mail.docx", "A 3729-2023")</f>
        <v/>
      </c>
    </row>
    <row r="85" ht="15" customHeight="1">
      <c r="A85" t="inlineStr">
        <is>
          <t>A 31052-2025</t>
        </is>
      </c>
      <c r="B85" t="inlineStr">
        <is>
          <t>avverkningsanmälan</t>
        </is>
      </c>
      <c r="C85" t="inlineStr">
        <is>
          <t>Föryngringsavverkning</t>
        </is>
      </c>
      <c r="D85" s="1" t="n">
        <v>45832</v>
      </c>
      <c r="E85" s="1" t="n">
        <v>46223</v>
      </c>
      <c r="F85" t="inlineStr">
        <is>
          <t>ÖREBRO LÄN</t>
        </is>
      </c>
      <c r="G85" t="inlineStr">
        <is>
          <t>LINDESBERG</t>
        </is>
      </c>
      <c r="H85" t="inlineStr">
        <is>
          <t>Sveaskog</t>
        </is>
      </c>
      <c r="I85" t="n">
        <v>1.1</v>
      </c>
      <c r="J85" t="n">
        <v>1</v>
      </c>
      <c r="K85" t="n">
        <v>0</v>
      </c>
      <c r="L85" t="n">
        <v>0</v>
      </c>
      <c r="M85" t="n">
        <v>0</v>
      </c>
      <c r="N85" t="n">
        <v>0</v>
      </c>
      <c r="O85" t="n">
        <v>0</v>
      </c>
      <c r="P85" t="n">
        <v>0</v>
      </c>
      <c r="Q85" t="n">
        <v>0</v>
      </c>
      <c r="R85" t="n">
        <v>0</v>
      </c>
      <c r="S85" t="n">
        <v>1</v>
      </c>
      <c r="T85" t="n">
        <v>1</v>
      </c>
      <c r="U85" s="2" t="inlineStr">
        <is>
          <t>Fläcknycklar</t>
        </is>
      </c>
      <c r="V85">
        <f>HYPERLINK("https://klasma.github.io/Logging_1885/artfynd/A 31052-2025 artfynd.xlsx", "A 31052-2025")</f>
        <v/>
      </c>
      <c r="W85">
        <f>HYPERLINK("https://klasma.github.io/Logging_1885/kartor/A 31052-2025 karta.png", "A 31052-2025")</f>
        <v/>
      </c>
      <c r="X85">
        <f>HYPERLINK("https://klasma.github.io/Logging_1885/kartor_geotiff/A 31052-2025 georefererad karta.tif", "A 31052-2025")</f>
        <v/>
      </c>
      <c r="Z85">
        <f>HYPERLINK("https://klasma.github.io/Logging_1885/klagomål/A 31052-2025 FSC-klagomål.docx", "A 31052-2025")</f>
        <v/>
      </c>
      <c r="AA85">
        <f>HYPERLINK("https://klasma.github.io/Logging_1885/klagomålsmail/A 31052-2025 FSC-klagomål mail.docx", "A 31052-2025")</f>
        <v/>
      </c>
      <c r="AB85">
        <f>HYPERLINK("https://klasma.github.io/Logging_1885/tillsyn/A 31052-2025 tillsynsbegäran.docx", "A 31052-2025")</f>
        <v/>
      </c>
      <c r="AC85">
        <f>HYPERLINK("https://klasma.github.io/Logging_1885/tillsynsmail/A 31052-2025 tillsynsbegäran mail.docx", "A 31052-2025")</f>
        <v/>
      </c>
    </row>
    <row r="86" ht="15" customHeight="1">
      <c r="A86" t="inlineStr">
        <is>
          <t>A 45467-2025</t>
        </is>
      </c>
      <c r="B86" t="inlineStr">
        <is>
          <t>avverkningsanmälan</t>
        </is>
      </c>
      <c r="C86" t="inlineStr">
        <is>
          <t>Föryngringsavverkning</t>
        </is>
      </c>
      <c r="D86" s="1" t="n">
        <v>45922</v>
      </c>
      <c r="E86" s="1" t="n">
        <v>46223</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s="2" t="inlineStr">
        <is>
          <t>Svartvit taggsvamp</t>
        </is>
      </c>
      <c r="V86">
        <f>HYPERLINK("https://klasma.github.io/Logging_1885/artfynd/A 45467-2025 artfynd.xlsx", "A 45467-2025")</f>
        <v/>
      </c>
      <c r="W86">
        <f>HYPERLINK("https://klasma.github.io/Logging_1885/kartor/A 45467-2025 karta.png", "A 45467-2025")</f>
        <v/>
      </c>
      <c r="X86">
        <f>HYPERLINK("https://klasma.github.io/Logging_1885/kartor_geotiff/A 45467-2025 georefererad karta.tif", "A 45467-2025")</f>
        <v/>
      </c>
      <c r="Z86">
        <f>HYPERLINK("https://klasma.github.io/Logging_1885/klagomål/A 45467-2025 FSC-klagomål.docx", "A 45467-2025")</f>
        <v/>
      </c>
      <c r="AA86">
        <f>HYPERLINK("https://klasma.github.io/Logging_1885/klagomålsmail/A 45467-2025 FSC-klagomål mail.docx", "A 45467-2025")</f>
        <v/>
      </c>
      <c r="AB86">
        <f>HYPERLINK("https://klasma.github.io/Logging_1885/tillsyn/A 45467-2025 tillsynsbegäran.docx", "A 45467-2025")</f>
        <v/>
      </c>
      <c r="AC86">
        <f>HYPERLINK("https://klasma.github.io/Logging_1885/tillsynsmail/A 45467-2025 tillsynsbegäran mail.docx", "A 45467-2025")</f>
        <v/>
      </c>
    </row>
    <row r="87" ht="15" customHeight="1">
      <c r="A87" t="inlineStr">
        <is>
          <t>A 36669-2024</t>
        </is>
      </c>
      <c r="B87" t="inlineStr">
        <is>
          <t>avverkningsanmälan</t>
        </is>
      </c>
      <c r="C87" t="inlineStr">
        <is>
          <t>Föryngringsavverkning</t>
        </is>
      </c>
      <c r="D87" s="1" t="n">
        <v>45537</v>
      </c>
      <c r="E87" s="1" t="n">
        <v>46223</v>
      </c>
      <c r="F87" t="inlineStr">
        <is>
          <t>ÖREBRO LÄN</t>
        </is>
      </c>
      <c r="G87" t="inlineStr">
        <is>
          <t>LINDESBERG</t>
        </is>
      </c>
      <c r="H87" t="inlineStr">
        <is>
          <t>Sveaskog</t>
        </is>
      </c>
      <c r="I87" t="n">
        <v>2</v>
      </c>
      <c r="J87" t="n">
        <v>0</v>
      </c>
      <c r="K87" t="n">
        <v>0</v>
      </c>
      <c r="L87" t="n">
        <v>0</v>
      </c>
      <c r="M87" t="n">
        <v>1</v>
      </c>
      <c r="N87" t="n">
        <v>0</v>
      </c>
      <c r="O87" t="n">
        <v>0</v>
      </c>
      <c r="P87" t="n">
        <v>0</v>
      </c>
      <c r="Q87" t="n">
        <v>1</v>
      </c>
      <c r="R87" t="n">
        <v>1</v>
      </c>
      <c r="S87" t="n">
        <v>1</v>
      </c>
      <c r="T87" t="n">
        <v>1</v>
      </c>
      <c r="U87" s="2" t="inlineStr">
        <is>
          <t>Garnlav</t>
        </is>
      </c>
      <c r="V87">
        <f>HYPERLINK("https://klasma.github.io/Logging_1885/artfynd/A 36669-2024 artfynd.xlsx", "A 36669-2024")</f>
        <v/>
      </c>
      <c r="W87">
        <f>HYPERLINK("https://klasma.github.io/Logging_1885/kartor/A 36669-2024 karta.png", "A 36669-2024")</f>
        <v/>
      </c>
      <c r="X87">
        <f>HYPERLINK("https://klasma.github.io/Logging_1885/kartor_geotiff/A 36669-2024 georefererad karta.tif", "A 36669-2024")</f>
        <v/>
      </c>
      <c r="Z87">
        <f>HYPERLINK("https://klasma.github.io/Logging_1885/klagomål/A 36669-2024 FSC-klagomål.docx", "A 36669-2024")</f>
        <v/>
      </c>
      <c r="AA87">
        <f>HYPERLINK("https://klasma.github.io/Logging_1885/klagomålsmail/A 36669-2024 FSC-klagomål mail.docx", "A 36669-2024")</f>
        <v/>
      </c>
      <c r="AB87">
        <f>HYPERLINK("https://klasma.github.io/Logging_1885/tillsyn/A 36669-2024 tillsynsbegäran.docx", "A 36669-2024")</f>
        <v/>
      </c>
      <c r="AC87">
        <f>HYPERLINK("https://klasma.github.io/Logging_1885/tillsynsmail/A 36669-2024 tillsynsbegäran mail.docx", "A 36669-2024")</f>
        <v/>
      </c>
    </row>
    <row r="88" ht="15" customHeight="1">
      <c r="A88" t="inlineStr">
        <is>
          <t>A 48956-2025</t>
        </is>
      </c>
      <c r="B88" t="inlineStr">
        <is>
          <t>avverkningsanmälan</t>
        </is>
      </c>
      <c r="C88" t="inlineStr">
        <is>
          <t>Föryngringsavverkning</t>
        </is>
      </c>
      <c r="D88" s="1" t="n">
        <v>45937</v>
      </c>
      <c r="E88" s="1" t="n">
        <v>46223</v>
      </c>
      <c r="F88" t="inlineStr">
        <is>
          <t>ÖREBRO LÄN</t>
        </is>
      </c>
      <c r="G88" t="inlineStr">
        <is>
          <t>LINDESBERG</t>
        </is>
      </c>
      <c r="H88" t="inlineStr">
        <is>
          <t>Sveaskog</t>
        </is>
      </c>
      <c r="I88" t="n">
        <v>2.7</v>
      </c>
      <c r="J88" t="n">
        <v>1</v>
      </c>
      <c r="K88" t="n">
        <v>0</v>
      </c>
      <c r="L88" t="n">
        <v>0</v>
      </c>
      <c r="M88" t="n">
        <v>0</v>
      </c>
      <c r="N88" t="n">
        <v>0</v>
      </c>
      <c r="O88" t="n">
        <v>0</v>
      </c>
      <c r="P88" t="n">
        <v>0</v>
      </c>
      <c r="Q88" t="n">
        <v>0</v>
      </c>
      <c r="R88" t="n">
        <v>0</v>
      </c>
      <c r="S88" t="n">
        <v>1</v>
      </c>
      <c r="T88" t="n">
        <v>1</v>
      </c>
      <c r="U88" s="2" t="inlineStr">
        <is>
          <t>Mattlummer</t>
        </is>
      </c>
      <c r="V88">
        <f>HYPERLINK("https://klasma.github.io/Logging_1885/artfynd/A 48956-2025 artfynd.xlsx", "A 48956-2025")</f>
        <v/>
      </c>
      <c r="W88">
        <f>HYPERLINK("https://klasma.github.io/Logging_1885/kartor/A 48956-2025 karta.png", "A 48956-2025")</f>
        <v/>
      </c>
      <c r="X88">
        <f>HYPERLINK("https://klasma.github.io/Logging_1885/kartor_geotiff/A 48956-2025 georefererad karta.tif", "A 48956-2025")</f>
        <v/>
      </c>
      <c r="Z88">
        <f>HYPERLINK("https://klasma.github.io/Logging_1885/klagomål/A 48956-2025 FSC-klagomål.docx", "A 48956-2025")</f>
        <v/>
      </c>
      <c r="AA88">
        <f>HYPERLINK("https://klasma.github.io/Logging_1885/klagomålsmail/A 48956-2025 FSC-klagomål mail.docx", "A 48956-2025")</f>
        <v/>
      </c>
      <c r="AB88">
        <f>HYPERLINK("https://klasma.github.io/Logging_1885/tillsyn/A 48956-2025 tillsynsbegäran.docx", "A 48956-2025")</f>
        <v/>
      </c>
      <c r="AC88">
        <f>HYPERLINK("https://klasma.github.io/Logging_1885/tillsynsmail/A 48956-2025 tillsynsbegäran mail.docx", "A 48956-2025")</f>
        <v/>
      </c>
    </row>
    <row r="89" ht="15" customHeight="1">
      <c r="A89" t="inlineStr">
        <is>
          <t>A 50086-2025</t>
        </is>
      </c>
      <c r="B89" t="inlineStr">
        <is>
          <t>avverkningsanmälan</t>
        </is>
      </c>
      <c r="C89" t="inlineStr">
        <is>
          <t>Föryngringsavverkning</t>
        </is>
      </c>
      <c r="D89" s="1" t="n">
        <v>45943</v>
      </c>
      <c r="E89" s="1" t="n">
        <v>46223</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s="2" t="inlineStr">
        <is>
          <t>Dubbelnycklar</t>
        </is>
      </c>
      <c r="V89">
        <f>HYPERLINK("https://klasma.github.io/Logging_1885/artfynd/A 50086-2025 artfynd.xlsx", "A 50086-2025")</f>
        <v/>
      </c>
      <c r="W89">
        <f>HYPERLINK("https://klasma.github.io/Logging_1885/kartor/A 50086-2025 karta.png", "A 50086-2025")</f>
        <v/>
      </c>
      <c r="X89">
        <f>HYPERLINK("https://klasma.github.io/Logging_1885/kartor_geotiff/A 50086-2025 georefererad karta.tif", "A 50086-2025")</f>
        <v/>
      </c>
      <c r="Z89">
        <f>HYPERLINK("https://klasma.github.io/Logging_1885/klagomål/A 50086-2025 FSC-klagomål.docx", "A 50086-2025")</f>
        <v/>
      </c>
      <c r="AA89">
        <f>HYPERLINK("https://klasma.github.io/Logging_1885/klagomålsmail/A 50086-2025 FSC-klagomål mail.docx", "A 50086-2025")</f>
        <v/>
      </c>
      <c r="AB89">
        <f>HYPERLINK("https://klasma.github.io/Logging_1885/tillsyn/A 50086-2025 tillsynsbegäran.docx", "A 50086-2025")</f>
        <v/>
      </c>
      <c r="AC89">
        <f>HYPERLINK("https://klasma.github.io/Logging_1885/tillsynsmail/A 50086-2025 tillsynsbegäran mail.docx", "A 50086-2025")</f>
        <v/>
      </c>
    </row>
    <row r="90" ht="15" customHeight="1">
      <c r="A90" t="inlineStr">
        <is>
          <t>A 50766-2025</t>
        </is>
      </c>
      <c r="B90" t="inlineStr">
        <is>
          <t>avverkningsanmälan</t>
        </is>
      </c>
      <c r="C90" t="inlineStr">
        <is>
          <t>Föryngringsavverkning</t>
        </is>
      </c>
      <c r="D90" s="1" t="n">
        <v>45946</v>
      </c>
      <c r="E90" s="1" t="n">
        <v>46223</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s="2" t="inlineStr">
        <is>
          <t>Rotfingersvamp</t>
        </is>
      </c>
      <c r="V90">
        <f>HYPERLINK("https://klasma.github.io/Logging_1885/artfynd/A 50766-2025 artfynd.xlsx", "A 50766-2025")</f>
        <v/>
      </c>
      <c r="W90">
        <f>HYPERLINK("https://klasma.github.io/Logging_1885/kartor/A 50766-2025 karta.png", "A 50766-2025")</f>
        <v/>
      </c>
      <c r="X90">
        <f>HYPERLINK("https://klasma.github.io/Logging_1885/kartor_geotiff/A 50766-2025 georefererad karta.tif", "A 50766-2025")</f>
        <v/>
      </c>
      <c r="Z90">
        <f>HYPERLINK("https://klasma.github.io/Logging_1885/klagomål/A 50766-2025 FSC-klagomål.docx", "A 50766-2025")</f>
        <v/>
      </c>
      <c r="AA90">
        <f>HYPERLINK("https://klasma.github.io/Logging_1885/klagomålsmail/A 50766-2025 FSC-klagomål mail.docx", "A 50766-2025")</f>
        <v/>
      </c>
      <c r="AB90">
        <f>HYPERLINK("https://klasma.github.io/Logging_1885/tillsyn/A 50766-2025 tillsynsbegäran.docx", "A 50766-2025")</f>
        <v/>
      </c>
      <c r="AC90">
        <f>HYPERLINK("https://klasma.github.io/Logging_1885/tillsynsmail/A 50766-2025 tillsynsbegäran mail.docx", "A 50766-2025")</f>
        <v/>
      </c>
    </row>
    <row r="91" ht="15" customHeight="1">
      <c r="A91" t="inlineStr">
        <is>
          <t>A 50777-2025</t>
        </is>
      </c>
      <c r="B91" t="inlineStr">
        <is>
          <t>avverkningsanmälan</t>
        </is>
      </c>
      <c r="C91" t="inlineStr">
        <is>
          <t>Föryngringsavverkning</t>
        </is>
      </c>
      <c r="D91" s="1" t="n">
        <v>45946</v>
      </c>
      <c r="E91" s="1" t="n">
        <v>46223</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s="2" t="inlineStr">
        <is>
          <t>Zontaggsvamp</t>
        </is>
      </c>
      <c r="V91">
        <f>HYPERLINK("https://klasma.github.io/Logging_1885/artfynd/A 50777-2025 artfynd.xlsx", "A 50777-2025")</f>
        <v/>
      </c>
      <c r="W91">
        <f>HYPERLINK("https://klasma.github.io/Logging_1885/kartor/A 50777-2025 karta.png", "A 50777-2025")</f>
        <v/>
      </c>
      <c r="X91">
        <f>HYPERLINK("https://klasma.github.io/Logging_1885/kartor_geotiff/A 50777-2025 georefererad karta.tif", "A 50777-2025")</f>
        <v/>
      </c>
      <c r="Z91">
        <f>HYPERLINK("https://klasma.github.io/Logging_1885/klagomål/A 50777-2025 FSC-klagomål.docx", "A 50777-2025")</f>
        <v/>
      </c>
      <c r="AA91">
        <f>HYPERLINK("https://klasma.github.io/Logging_1885/klagomålsmail/A 50777-2025 FSC-klagomål mail.docx", "A 50777-2025")</f>
        <v/>
      </c>
      <c r="AB91">
        <f>HYPERLINK("https://klasma.github.io/Logging_1885/tillsyn/A 50777-2025 tillsynsbegäran.docx", "A 50777-2025")</f>
        <v/>
      </c>
      <c r="AC91">
        <f>HYPERLINK("https://klasma.github.io/Logging_1885/tillsynsmail/A 50777-2025 tillsynsbegäran mail.docx", "A 50777-2025")</f>
        <v/>
      </c>
    </row>
    <row r="92" ht="15" customHeight="1">
      <c r="A92" t="inlineStr">
        <is>
          <t>A 50765-2025</t>
        </is>
      </c>
      <c r="B92" t="inlineStr">
        <is>
          <t>avverkningsanmälan</t>
        </is>
      </c>
      <c r="C92" t="inlineStr">
        <is>
          <t>Föryngringsavverkning</t>
        </is>
      </c>
      <c r="D92" s="1" t="n">
        <v>45946</v>
      </c>
      <c r="E92" s="1" t="n">
        <v>46223</v>
      </c>
      <c r="F92" t="inlineStr">
        <is>
          <t>ÖREBRO LÄN</t>
        </is>
      </c>
      <c r="G92" t="inlineStr">
        <is>
          <t>LINDESBERG</t>
        </is>
      </c>
      <c r="H92" t="inlineStr">
        <is>
          <t>Sveaskog</t>
        </is>
      </c>
      <c r="I92" t="n">
        <v>9.300000000000001</v>
      </c>
      <c r="J92" t="n">
        <v>0</v>
      </c>
      <c r="K92" t="n">
        <v>0</v>
      </c>
      <c r="L92" t="n">
        <v>0</v>
      </c>
      <c r="M92" t="n">
        <v>1</v>
      </c>
      <c r="N92" t="n">
        <v>0</v>
      </c>
      <c r="O92" t="n">
        <v>0</v>
      </c>
      <c r="P92" t="n">
        <v>0</v>
      </c>
      <c r="Q92" t="n">
        <v>1</v>
      </c>
      <c r="R92" t="n">
        <v>1</v>
      </c>
      <c r="S92" t="n">
        <v>1</v>
      </c>
      <c r="T92" t="n">
        <v>1</v>
      </c>
      <c r="U92" s="2" t="inlineStr">
        <is>
          <t>Rotfingersvamp</t>
        </is>
      </c>
      <c r="V92">
        <f>HYPERLINK("https://klasma.github.io/Logging_1885/artfynd/A 50765-2025 artfynd.xlsx", "A 50765-2025")</f>
        <v/>
      </c>
      <c r="W92">
        <f>HYPERLINK("https://klasma.github.io/Logging_1885/kartor/A 50765-2025 karta.png", "A 50765-2025")</f>
        <v/>
      </c>
      <c r="X92">
        <f>HYPERLINK("https://klasma.github.io/Logging_1885/kartor_geotiff/A 50765-2025 georefererad karta.tif", "A 50765-2025")</f>
        <v/>
      </c>
      <c r="Z92">
        <f>HYPERLINK("https://klasma.github.io/Logging_1885/klagomål/A 50765-2025 FSC-klagomål.docx", "A 50765-2025")</f>
        <v/>
      </c>
      <c r="AA92">
        <f>HYPERLINK("https://klasma.github.io/Logging_1885/klagomålsmail/A 50765-2025 FSC-klagomål mail.docx", "A 50765-2025")</f>
        <v/>
      </c>
      <c r="AB92">
        <f>HYPERLINK("https://klasma.github.io/Logging_1885/tillsyn/A 50765-2025 tillsynsbegäran.docx", "A 50765-2025")</f>
        <v/>
      </c>
      <c r="AC92">
        <f>HYPERLINK("https://klasma.github.io/Logging_1885/tillsynsmail/A 50765-2025 tillsynsbegäran mail.docx", "A 50765-2025")</f>
        <v/>
      </c>
    </row>
    <row r="93" ht="15" customHeight="1">
      <c r="A93" t="inlineStr">
        <is>
          <t>A 50768-2025</t>
        </is>
      </c>
      <c r="B93" t="inlineStr">
        <is>
          <t>avverkningsanmälan</t>
        </is>
      </c>
      <c r="C93" t="inlineStr">
        <is>
          <t>Föryngringsavverkning</t>
        </is>
      </c>
      <c r="D93" s="1" t="n">
        <v>45946</v>
      </c>
      <c r="E93" s="1" t="n">
        <v>46223</v>
      </c>
      <c r="F93" t="inlineStr">
        <is>
          <t>ÖREBRO LÄN</t>
        </is>
      </c>
      <c r="G93" t="inlineStr">
        <is>
          <t>LINDESBERG</t>
        </is>
      </c>
      <c r="H93" t="inlineStr">
        <is>
          <t>Sveaskog</t>
        </is>
      </c>
      <c r="I93" t="n">
        <v>3.1</v>
      </c>
      <c r="J93" t="n">
        <v>1</v>
      </c>
      <c r="K93" t="n">
        <v>1</v>
      </c>
      <c r="L93" t="n">
        <v>0</v>
      </c>
      <c r="M93" t="n">
        <v>0</v>
      </c>
      <c r="N93" t="n">
        <v>0</v>
      </c>
      <c r="O93" t="n">
        <v>0</v>
      </c>
      <c r="P93" t="n">
        <v>0</v>
      </c>
      <c r="Q93" t="n">
        <v>0</v>
      </c>
      <c r="R93" t="n">
        <v>0</v>
      </c>
      <c r="S93" t="n">
        <v>1</v>
      </c>
      <c r="T93" t="n">
        <v>1</v>
      </c>
      <c r="U93" s="2" t="inlineStr">
        <is>
          <t>Plattlummer</t>
        </is>
      </c>
      <c r="V93">
        <f>HYPERLINK("https://klasma.github.io/Logging_1885/artfynd/A 50768-2025 artfynd.xlsx", "A 50768-2025")</f>
        <v/>
      </c>
      <c r="W93">
        <f>HYPERLINK("https://klasma.github.io/Logging_1885/kartor/A 50768-2025 karta.png", "A 50768-2025")</f>
        <v/>
      </c>
      <c r="X93">
        <f>HYPERLINK("https://klasma.github.io/Logging_1885/kartor_geotiff/A 50768-2025 georefererad karta.tif", "A 50768-2025")</f>
        <v/>
      </c>
      <c r="Z93">
        <f>HYPERLINK("https://klasma.github.io/Logging_1885/klagomål/A 50768-2025 FSC-klagomål.docx", "A 50768-2025")</f>
        <v/>
      </c>
      <c r="AA93">
        <f>HYPERLINK("https://klasma.github.io/Logging_1885/klagomålsmail/A 50768-2025 FSC-klagomål mail.docx", "A 50768-2025")</f>
        <v/>
      </c>
      <c r="AB93">
        <f>HYPERLINK("https://klasma.github.io/Logging_1885/tillsyn/A 50768-2025 tillsynsbegäran.docx", "A 50768-2025")</f>
        <v/>
      </c>
      <c r="AC93">
        <f>HYPERLINK("https://klasma.github.io/Logging_1885/tillsynsmail/A 50768-2025 tillsynsbegäran mail.docx", "A 50768-2025")</f>
        <v/>
      </c>
    </row>
    <row r="94" ht="15" customHeight="1">
      <c r="A94" t="inlineStr">
        <is>
          <t>A 52337-2025</t>
        </is>
      </c>
      <c r="B94" t="inlineStr">
        <is>
          <t>avverkningsanmälan</t>
        </is>
      </c>
      <c r="C94" t="inlineStr">
        <is>
          <t>Föryngringsavverkning</t>
        </is>
      </c>
      <c r="D94" s="1" t="n">
        <v>45953</v>
      </c>
      <c r="E94" s="1" t="n">
        <v>46223</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s="2" t="inlineStr">
        <is>
          <t>Fläcknycklar</t>
        </is>
      </c>
      <c r="V94">
        <f>HYPERLINK("https://klasma.github.io/Logging_1885/artfynd/A 52337-2025 artfynd.xlsx", "A 52337-2025")</f>
        <v/>
      </c>
      <c r="W94">
        <f>HYPERLINK("https://klasma.github.io/Logging_1885/kartor/A 52337-2025 karta.png", "A 52337-2025")</f>
        <v/>
      </c>
      <c r="X94">
        <f>HYPERLINK("https://klasma.github.io/Logging_1885/kartor_geotiff/A 52337-2025 georefererad karta.tif", "A 52337-2025")</f>
        <v/>
      </c>
      <c r="Z94">
        <f>HYPERLINK("https://klasma.github.io/Logging_1885/klagomål/A 52337-2025 FSC-klagomål.docx", "A 52337-2025")</f>
        <v/>
      </c>
      <c r="AA94">
        <f>HYPERLINK("https://klasma.github.io/Logging_1885/klagomålsmail/A 52337-2025 FSC-klagomål mail.docx", "A 52337-2025")</f>
        <v/>
      </c>
      <c r="AB94">
        <f>HYPERLINK("https://klasma.github.io/Logging_1885/tillsyn/A 52337-2025 tillsynsbegäran.docx", "A 52337-2025")</f>
        <v/>
      </c>
      <c r="AC94">
        <f>HYPERLINK("https://klasma.github.io/Logging_1885/tillsynsmail/A 52337-2025 tillsynsbegäran mail.docx", "A 52337-2025")</f>
        <v/>
      </c>
    </row>
    <row r="95" ht="15" customHeight="1">
      <c r="A95" t="inlineStr">
        <is>
          <t>A 34237-2023</t>
        </is>
      </c>
      <c r="B95" t="inlineStr">
        <is>
          <t>avverkningsanmälan</t>
        </is>
      </c>
      <c r="C95" t="inlineStr">
        <is>
          <t>Avverkning för att bevara och utveckla /försöksver</t>
        </is>
      </c>
      <c r="D95" s="1" t="n">
        <v>45138</v>
      </c>
      <c r="E95" s="1" t="n">
        <v>46223</v>
      </c>
      <c r="F95" t="inlineStr">
        <is>
          <t>ÖREBRO LÄN</t>
        </is>
      </c>
      <c r="G95" t="inlineStr">
        <is>
          <t>LINDESBERG</t>
        </is>
      </c>
      <c r="H95" t="inlineStr">
        <is>
          <t>Sveaskog</t>
        </is>
      </c>
      <c r="I95" t="n">
        <v>1.4</v>
      </c>
      <c r="J95" t="n">
        <v>1</v>
      </c>
      <c r="K95" t="n">
        <v>0</v>
      </c>
      <c r="L95" t="n">
        <v>0</v>
      </c>
      <c r="M95" t="n">
        <v>0</v>
      </c>
      <c r="N95" t="n">
        <v>0</v>
      </c>
      <c r="O95" t="n">
        <v>0</v>
      </c>
      <c r="P95" t="n">
        <v>0</v>
      </c>
      <c r="Q95" t="n">
        <v>0</v>
      </c>
      <c r="R95" t="n">
        <v>0</v>
      </c>
      <c r="S95" t="n">
        <v>1</v>
      </c>
      <c r="T95" t="n">
        <v>1</v>
      </c>
      <c r="U95" s="2" t="inlineStr">
        <is>
          <t>Spillkråka</t>
        </is>
      </c>
      <c r="V95">
        <f>HYPERLINK("https://klasma.github.io/Logging_1885/artfynd/A 34237-2023 artfynd.xlsx", "A 34237-2023")</f>
        <v/>
      </c>
      <c r="W95">
        <f>HYPERLINK("https://klasma.github.io/Logging_1885/kartor/A 34237-2023 karta.png", "A 34237-2023")</f>
        <v/>
      </c>
      <c r="X95">
        <f>HYPERLINK("https://klasma.github.io/Logging_1885/kartor_geotiff/A 34237-2023 georefererad karta.tif", "A 34237-2023")</f>
        <v/>
      </c>
      <c r="Z95">
        <f>HYPERLINK("https://klasma.github.io/Logging_1885/klagomål/A 34237-2023 FSC-klagomål.docx", "A 34237-2023")</f>
        <v/>
      </c>
      <c r="AA95">
        <f>HYPERLINK("https://klasma.github.io/Logging_1885/klagomålsmail/A 34237-2023 FSC-klagomål mail.docx", "A 34237-2023")</f>
        <v/>
      </c>
      <c r="AB95">
        <f>HYPERLINK("https://klasma.github.io/Logging_1885/tillsyn/A 34237-2023 tillsynsbegäran.docx", "A 34237-2023")</f>
        <v/>
      </c>
      <c r="AC95">
        <f>HYPERLINK("https://klasma.github.io/Logging_1885/tillsynsmail/A 34237-2023 tillsynsbegäran mail.docx", "A 34237-2023")</f>
        <v/>
      </c>
      <c r="AD95">
        <f>HYPERLINK("https://klasma.github.io/Logging_1885/fåglar/A 34237-2023 prioriterade fågelarter.docx", "A 34237-2023")</f>
        <v/>
      </c>
    </row>
    <row r="96" ht="15" customHeight="1">
      <c r="A96" t="inlineStr">
        <is>
          <t>A 57362-2025</t>
        </is>
      </c>
      <c r="B96" t="inlineStr">
        <is>
          <t>avverkningsanmälan</t>
        </is>
      </c>
      <c r="C96" t="inlineStr">
        <is>
          <t>Avverkning för att bevara och utveckla /försöksver</t>
        </is>
      </c>
      <c r="D96" s="1" t="n">
        <v>45980</v>
      </c>
      <c r="E96" s="1" t="n">
        <v>46223</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s="2" t="inlineStr">
        <is>
          <t>Svart trolldruva</t>
        </is>
      </c>
      <c r="V96">
        <f>HYPERLINK("https://klasma.github.io/Logging_1885/artfynd/A 57362-2025 artfynd.xlsx", "A 57362-2025")</f>
        <v/>
      </c>
      <c r="W96">
        <f>HYPERLINK("https://klasma.github.io/Logging_1885/kartor/A 57362-2025 karta.png", "A 57362-2025")</f>
        <v/>
      </c>
      <c r="X96">
        <f>HYPERLINK("https://klasma.github.io/Logging_1885/kartor_geotiff/A 57362-2025 georefererad karta.tif", "A 57362-2025")</f>
        <v/>
      </c>
      <c r="Z96">
        <f>HYPERLINK("https://klasma.github.io/Logging_1885/klagomål/A 57362-2025 FSC-klagomål.docx", "A 57362-2025")</f>
        <v/>
      </c>
      <c r="AA96">
        <f>HYPERLINK("https://klasma.github.io/Logging_1885/klagomålsmail/A 57362-2025 FSC-klagomål mail.docx", "A 57362-2025")</f>
        <v/>
      </c>
      <c r="AB96">
        <f>HYPERLINK("https://klasma.github.io/Logging_1885/tillsyn/A 57362-2025 tillsynsbegäran.docx", "A 57362-2025")</f>
        <v/>
      </c>
      <c r="AC96">
        <f>HYPERLINK("https://klasma.github.io/Logging_1885/tillsynsmail/A 57362-2025 tillsynsbegäran mail.docx", "A 57362-2025")</f>
        <v/>
      </c>
    </row>
    <row r="97" ht="15" customHeight="1">
      <c r="A97" t="inlineStr">
        <is>
          <t>A 57320-2025</t>
        </is>
      </c>
      <c r="B97" t="inlineStr">
        <is>
          <t>avverkningsanmälan</t>
        </is>
      </c>
      <c r="C97" t="inlineStr">
        <is>
          <t>Föryngringsavverkning</t>
        </is>
      </c>
      <c r="D97" s="1" t="n">
        <v>45980</v>
      </c>
      <c r="E97" s="1" t="n">
        <v>46223</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s="2" t="inlineStr">
        <is>
          <t>Dropptaggsvamp</t>
        </is>
      </c>
      <c r="V97">
        <f>HYPERLINK("https://klasma.github.io/Logging_1885/artfynd/A 57320-2025 artfynd.xlsx", "A 57320-2025")</f>
        <v/>
      </c>
      <c r="W97">
        <f>HYPERLINK("https://klasma.github.io/Logging_1885/kartor/A 57320-2025 karta.png", "A 57320-2025")</f>
        <v/>
      </c>
      <c r="X97">
        <f>HYPERLINK("https://klasma.github.io/Logging_1885/kartor_geotiff/A 57320-2025 georefererad karta.tif", "A 57320-2025")</f>
        <v/>
      </c>
      <c r="Z97">
        <f>HYPERLINK("https://klasma.github.io/Logging_1885/klagomål/A 57320-2025 FSC-klagomål.docx", "A 57320-2025")</f>
        <v/>
      </c>
      <c r="AA97">
        <f>HYPERLINK("https://klasma.github.io/Logging_1885/klagomålsmail/A 57320-2025 FSC-klagomål mail.docx", "A 57320-2025")</f>
        <v/>
      </c>
      <c r="AB97">
        <f>HYPERLINK("https://klasma.github.io/Logging_1885/tillsyn/A 57320-2025 tillsynsbegäran.docx", "A 57320-2025")</f>
        <v/>
      </c>
      <c r="AC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46223</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s="2" t="inlineStr">
        <is>
          <t>Barrviolspindling</t>
        </is>
      </c>
      <c r="V98">
        <f>HYPERLINK("https://klasma.github.io/Logging_1885/artfynd/A 57363-2025 artfynd.xlsx", "A 57363-2025")</f>
        <v/>
      </c>
      <c r="W98">
        <f>HYPERLINK("https://klasma.github.io/Logging_1885/kartor/A 57363-2025 karta.png", "A 57363-2025")</f>
        <v/>
      </c>
      <c r="X98">
        <f>HYPERLINK("https://klasma.github.io/Logging_1885/kartor_geotiff/A 57363-2025 georefererad karta.tif", "A 57363-2025")</f>
        <v/>
      </c>
      <c r="Z98">
        <f>HYPERLINK("https://klasma.github.io/Logging_1885/klagomål/A 57363-2025 FSC-klagomål.docx", "A 57363-2025")</f>
        <v/>
      </c>
      <c r="AA98">
        <f>HYPERLINK("https://klasma.github.io/Logging_1885/klagomålsmail/A 57363-2025 FSC-klagomål mail.docx", "A 57363-2025")</f>
        <v/>
      </c>
      <c r="AB98">
        <f>HYPERLINK("https://klasma.github.io/Logging_1885/tillsyn/A 57363-2025 tillsynsbegäran.docx", "A 57363-2025")</f>
        <v/>
      </c>
      <c r="AC98">
        <f>HYPERLINK("https://klasma.github.io/Logging_1885/tillsynsmail/A 57363-2025 tillsynsbegäran mail.docx", "A 57363-2025")</f>
        <v/>
      </c>
    </row>
    <row r="99" ht="15" customHeight="1">
      <c r="A99" t="inlineStr">
        <is>
          <t>A 195-2022</t>
        </is>
      </c>
      <c r="B99" t="inlineStr">
        <is>
          <t>avverkningsanmälan</t>
        </is>
      </c>
      <c r="C99" t="inlineStr">
        <is>
          <t>Föryngringsavverkning</t>
        </is>
      </c>
      <c r="D99" s="1" t="n">
        <v>44564</v>
      </c>
      <c r="E99" s="1" t="n">
        <v>46223</v>
      </c>
      <c r="F99" t="inlineStr">
        <is>
          <t>ÖREBRO LÄN</t>
        </is>
      </c>
      <c r="G99" t="inlineStr">
        <is>
          <t>LINDESBERG</t>
        </is>
      </c>
      <c r="I99" t="n">
        <v>4.7</v>
      </c>
      <c r="J99" t="n">
        <v>0</v>
      </c>
      <c r="K99" t="n">
        <v>0</v>
      </c>
      <c r="L99" t="n">
        <v>1</v>
      </c>
      <c r="M99" t="n">
        <v>0</v>
      </c>
      <c r="N99" t="n">
        <v>0</v>
      </c>
      <c r="O99" t="n">
        <v>0</v>
      </c>
      <c r="P99" t="n">
        <v>0</v>
      </c>
      <c r="Q99" t="n">
        <v>1</v>
      </c>
      <c r="R99" t="n">
        <v>0</v>
      </c>
      <c r="S99" t="n">
        <v>1</v>
      </c>
      <c r="T99" t="n">
        <v>1</v>
      </c>
      <c r="U99" s="2" t="inlineStr">
        <is>
          <t>Dropptaggsvamp</t>
        </is>
      </c>
      <c r="V99">
        <f>HYPERLINK("https://klasma.github.io/Logging_1885/artfynd/A 195-2022 artfynd.xlsx", "A 195-2022")</f>
        <v/>
      </c>
      <c r="W99">
        <f>HYPERLINK("https://klasma.github.io/Logging_1885/kartor/A 195-2022 karta.png", "A 195-2022")</f>
        <v/>
      </c>
      <c r="X99">
        <f>HYPERLINK("https://klasma.github.io/Logging_1885/kartor_geotiff/A 195-2022 georefererad karta.tif", "A 195-2022")</f>
        <v/>
      </c>
      <c r="Z99">
        <f>HYPERLINK("https://klasma.github.io/Logging_1885/klagomål/A 195-2022 FSC-klagomål.docx", "A 195-2022")</f>
        <v/>
      </c>
      <c r="AA99">
        <f>HYPERLINK("https://klasma.github.io/Logging_1885/klagomålsmail/A 195-2022 FSC-klagomål mail.docx", "A 195-2022")</f>
        <v/>
      </c>
      <c r="AB99">
        <f>HYPERLINK("https://klasma.github.io/Logging_1885/tillsyn/A 195-2022 tillsynsbegäran.docx", "A 195-2022")</f>
        <v/>
      </c>
      <c r="AC99">
        <f>HYPERLINK("https://klasma.github.io/Logging_1885/tillsynsmail/A 195-2022 tillsynsbegäran mail.docx", "A 195-2022")</f>
        <v/>
      </c>
    </row>
    <row r="100" ht="15" customHeight="1">
      <c r="A100" t="inlineStr">
        <is>
          <t>A 28787-2023</t>
        </is>
      </c>
      <c r="B100" t="inlineStr">
        <is>
          <t>avverkningsanmälan</t>
        </is>
      </c>
      <c r="C100" t="inlineStr">
        <is>
          <t>Föryngringsavverkning</t>
        </is>
      </c>
      <c r="D100" s="1" t="n">
        <v>45104</v>
      </c>
      <c r="E100" s="1" t="n">
        <v>46223</v>
      </c>
      <c r="F100" t="inlineStr">
        <is>
          <t>ÖREBRO LÄN</t>
        </is>
      </c>
      <c r="G100" t="inlineStr">
        <is>
          <t>LINDESBERG</t>
        </is>
      </c>
      <c r="H100" t="inlineStr">
        <is>
          <t>Sveaskog</t>
        </is>
      </c>
      <c r="I100" t="n">
        <v>0.5</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HYPERLINK("https://klasma.github.io/Logging_1885/artfynd/A 28787-2023 artfynd.xlsx", "A 28787-2023")</f>
        <v/>
      </c>
      <c r="W100">
        <f>HYPERLINK("https://klasma.github.io/Logging_1885/kartor/A 28787-2023 karta.png", "A 28787-2023")</f>
        <v/>
      </c>
      <c r="X100">
        <f>HYPERLINK("https://klasma.github.io/Logging_1885/kartor_geotiff/A 28787-2023 georefererad karta.tif", "A 28787-2023")</f>
        <v/>
      </c>
      <c r="Z100">
        <f>HYPERLINK("https://klasma.github.io/Logging_1885/klagomål/A 28787-2023 FSC-klagomål.docx", "A 28787-2023")</f>
        <v/>
      </c>
      <c r="AA100">
        <f>HYPERLINK("https://klasma.github.io/Logging_1885/klagomålsmail/A 28787-2023 FSC-klagomål mail.docx", "A 28787-2023")</f>
        <v/>
      </c>
      <c r="AB100">
        <f>HYPERLINK("https://klasma.github.io/Logging_1885/tillsyn/A 28787-2023 tillsynsbegäran.docx", "A 28787-2023")</f>
        <v/>
      </c>
      <c r="AC100">
        <f>HYPERLINK("https://klasma.github.io/Logging_1885/tillsynsmail/A 28787-2023 tillsynsbegäran mail.docx", "A 28787-2023")</f>
        <v/>
      </c>
    </row>
    <row r="101" ht="15" customHeight="1">
      <c r="A101" t="inlineStr">
        <is>
          <t>A 16692-2026</t>
        </is>
      </c>
      <c r="B101" t="inlineStr">
        <is>
          <t>avverkningsanmälan</t>
        </is>
      </c>
      <c r="C101" t="inlineStr">
        <is>
          <t>Föryngringsavverkning</t>
        </is>
      </c>
      <c r="D101" s="1" t="n">
        <v>46112</v>
      </c>
      <c r="E101" s="1" t="n">
        <v>46223</v>
      </c>
      <c r="F101" t="inlineStr">
        <is>
          <t>ÖREBRO LÄN</t>
        </is>
      </c>
      <c r="G101" t="inlineStr">
        <is>
          <t>LINDESBERG</t>
        </is>
      </c>
      <c r="I101" t="n">
        <v>4.9</v>
      </c>
      <c r="J101" t="n">
        <v>1</v>
      </c>
      <c r="K101" t="n">
        <v>0</v>
      </c>
      <c r="L101" t="n">
        <v>0</v>
      </c>
      <c r="M101" t="n">
        <v>0</v>
      </c>
      <c r="N101" t="n">
        <v>0</v>
      </c>
      <c r="O101" t="n">
        <v>0</v>
      </c>
      <c r="P101" t="n">
        <v>0</v>
      </c>
      <c r="Q101" t="n">
        <v>0</v>
      </c>
      <c r="R101" t="n">
        <v>0</v>
      </c>
      <c r="S101" t="n">
        <v>1</v>
      </c>
      <c r="T101" t="n">
        <v>2</v>
      </c>
      <c r="U101" s="2" t="inlineStr">
        <is>
          <t>Spillkråka</t>
        </is>
      </c>
      <c r="V101">
        <f>HYPERLINK("https://klasma.github.io/Logging_1885/artfynd/A 16692-2026 artfynd.xlsx", "A 16692-2026")</f>
        <v/>
      </c>
      <c r="W101">
        <f>HYPERLINK("https://klasma.github.io/Logging_1885/kartor/A 16692-2026 karta.png", "A 16692-2026")</f>
        <v/>
      </c>
      <c r="X101">
        <f>HYPERLINK("https://klasma.github.io/Logging_1885/kartor_geotiff/A 16692-2026 georefererad karta.tif", "A 16692-2026")</f>
        <v/>
      </c>
      <c r="Z101">
        <f>HYPERLINK("https://klasma.github.io/Logging_1885/klagomål/A 16692-2026 FSC-klagomål.docx", "A 16692-2026")</f>
        <v/>
      </c>
      <c r="AA101">
        <f>HYPERLINK("https://klasma.github.io/Logging_1885/klagomålsmail/A 16692-2026 FSC-klagomål mail.docx", "A 16692-2026")</f>
        <v/>
      </c>
      <c r="AB101">
        <f>HYPERLINK("https://klasma.github.io/Logging_1885/tillsyn/A 16692-2026 tillsynsbegäran.docx", "A 16692-2026")</f>
        <v/>
      </c>
      <c r="AC101">
        <f>HYPERLINK("https://klasma.github.io/Logging_1885/tillsynsmail/A 16692-2026 tillsynsbegäran mail.docx", "A 16692-2026")</f>
        <v/>
      </c>
      <c r="AD101">
        <f>HYPERLINK("https://klasma.github.io/Logging_1885/fåglar/A 16692-2026 prioriterade fågelarter.docx", "A 16692-2026")</f>
        <v/>
      </c>
    </row>
    <row r="102" ht="15" customHeight="1">
      <c r="A102" t="inlineStr">
        <is>
          <t>A 16693-2026</t>
        </is>
      </c>
      <c r="B102" t="inlineStr">
        <is>
          <t>avverkningsanmälan</t>
        </is>
      </c>
      <c r="C102" t="inlineStr">
        <is>
          <t>Föryngringsavverkning</t>
        </is>
      </c>
      <c r="D102" s="1" t="n">
        <v>46112</v>
      </c>
      <c r="E102" s="1" t="n">
        <v>46223</v>
      </c>
      <c r="F102" t="inlineStr">
        <is>
          <t>ÖREBRO LÄN</t>
        </is>
      </c>
      <c r="G102" t="inlineStr">
        <is>
          <t>LINDESBERG</t>
        </is>
      </c>
      <c r="I102" t="n">
        <v>2.1</v>
      </c>
      <c r="J102" t="n">
        <v>1</v>
      </c>
      <c r="K102" t="n">
        <v>0</v>
      </c>
      <c r="L102" t="n">
        <v>0</v>
      </c>
      <c r="M102" t="n">
        <v>0</v>
      </c>
      <c r="N102" t="n">
        <v>0</v>
      </c>
      <c r="O102" t="n">
        <v>0</v>
      </c>
      <c r="P102" t="n">
        <v>0</v>
      </c>
      <c r="Q102" t="n">
        <v>0</v>
      </c>
      <c r="R102" t="n">
        <v>0</v>
      </c>
      <c r="S102" t="n">
        <v>1</v>
      </c>
      <c r="T102" t="n">
        <v>1</v>
      </c>
      <c r="U102" s="2" t="inlineStr">
        <is>
          <t>Tjäder</t>
        </is>
      </c>
      <c r="V102">
        <f>HYPERLINK("https://klasma.github.io/Logging_1885/artfynd/A 16693-2026 artfynd.xlsx", "A 16693-2026")</f>
        <v/>
      </c>
      <c r="W102">
        <f>HYPERLINK("https://klasma.github.io/Logging_1885/kartor/A 16693-2026 karta.png", "A 16693-2026")</f>
        <v/>
      </c>
      <c r="X102">
        <f>HYPERLINK("https://klasma.github.io/Logging_1885/kartor_geotiff/A 16693-2026 georefererad karta.tif", "A 16693-2026")</f>
        <v/>
      </c>
      <c r="Z102">
        <f>HYPERLINK("https://klasma.github.io/Logging_1885/klagomål/A 16693-2026 FSC-klagomål.docx", "A 16693-2026")</f>
        <v/>
      </c>
      <c r="AA102">
        <f>HYPERLINK("https://klasma.github.io/Logging_1885/klagomålsmail/A 16693-2026 FSC-klagomål mail.docx", "A 16693-2026")</f>
        <v/>
      </c>
      <c r="AB102">
        <f>HYPERLINK("https://klasma.github.io/Logging_1885/tillsyn/A 16693-2026 tillsynsbegäran.docx", "A 16693-2026")</f>
        <v/>
      </c>
      <c r="AC102">
        <f>HYPERLINK("https://klasma.github.io/Logging_1885/tillsynsmail/A 16693-2026 tillsynsbegäran mail.docx", "A 16693-2026")</f>
        <v/>
      </c>
      <c r="AD102">
        <f>HYPERLINK("https://klasma.github.io/Logging_1885/fåglar/A 16693-2026 prioriterade fågelarter.docx", "A 16693-2026")</f>
        <v/>
      </c>
    </row>
    <row r="103" ht="15" customHeight="1">
      <c r="A103" t="inlineStr">
        <is>
          <t>A 18178-2026</t>
        </is>
      </c>
      <c r="B103" t="inlineStr">
        <is>
          <t>avverkningsanmälan</t>
        </is>
      </c>
      <c r="C103" t="inlineStr">
        <is>
          <t>Föryngringsavverkning</t>
        </is>
      </c>
      <c r="D103" s="1" t="n">
        <v>46125</v>
      </c>
      <c r="E103" s="1" t="n">
        <v>46223</v>
      </c>
      <c r="F103" t="inlineStr">
        <is>
          <t>ÖREBRO LÄN</t>
        </is>
      </c>
      <c r="G103" t="inlineStr">
        <is>
          <t>LINDESBERG</t>
        </is>
      </c>
      <c r="H103" t="inlineStr">
        <is>
          <t>Sveaskog</t>
        </is>
      </c>
      <c r="I103" t="n">
        <v>4.4</v>
      </c>
      <c r="J103" t="n">
        <v>0</v>
      </c>
      <c r="K103" t="n">
        <v>0</v>
      </c>
      <c r="L103" t="n">
        <v>1</v>
      </c>
      <c r="M103" t="n">
        <v>0</v>
      </c>
      <c r="N103" t="n">
        <v>0</v>
      </c>
      <c r="O103" t="n">
        <v>0</v>
      </c>
      <c r="P103" t="n">
        <v>0</v>
      </c>
      <c r="Q103" t="n">
        <v>1</v>
      </c>
      <c r="R103" t="n">
        <v>0</v>
      </c>
      <c r="S103" t="n">
        <v>1</v>
      </c>
      <c r="T103" t="n">
        <v>1</v>
      </c>
      <c r="U103" s="2" t="inlineStr">
        <is>
          <t>Svartvit taggsvamp</t>
        </is>
      </c>
      <c r="V103">
        <f>HYPERLINK("https://klasma.github.io/Logging_1885/artfynd/A 18178-2026 artfynd.xlsx", "A 18178-2026")</f>
        <v/>
      </c>
      <c r="W103">
        <f>HYPERLINK("https://klasma.github.io/Logging_1885/kartor/A 18178-2026 karta.png", "A 18178-2026")</f>
        <v/>
      </c>
      <c r="X103">
        <f>HYPERLINK("https://klasma.github.io/Logging_1885/kartor_geotiff/A 18178-2026 georefererad karta.tif", "A 18178-2026")</f>
        <v/>
      </c>
      <c r="Z103">
        <f>HYPERLINK("https://klasma.github.io/Logging_1885/klagomål/A 18178-2026 FSC-klagomål.docx", "A 18178-2026")</f>
        <v/>
      </c>
      <c r="AA103">
        <f>HYPERLINK("https://klasma.github.io/Logging_1885/klagomålsmail/A 18178-2026 FSC-klagomål mail.docx", "A 18178-2026")</f>
        <v/>
      </c>
      <c r="AB103">
        <f>HYPERLINK("https://klasma.github.io/Logging_1885/tillsyn/A 18178-2026 tillsynsbegäran.docx", "A 18178-2026")</f>
        <v/>
      </c>
      <c r="AC103">
        <f>HYPERLINK("https://klasma.github.io/Logging_1885/tillsynsmail/A 18178-2026 tillsynsbegäran mail.docx", "A 18178-2026")</f>
        <v/>
      </c>
    </row>
    <row r="104" ht="15" customHeight="1">
      <c r="A104" t="inlineStr">
        <is>
          <t>A 18639-2026</t>
        </is>
      </c>
      <c r="B104" t="inlineStr">
        <is>
          <t>avverkningsanmälan</t>
        </is>
      </c>
      <c r="C104" t="inlineStr">
        <is>
          <t>Föryngringsavverkning</t>
        </is>
      </c>
      <c r="D104" s="1" t="n">
        <v>46128</v>
      </c>
      <c r="E104" s="1" t="n">
        <v>46223</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s="2" t="inlineStr">
        <is>
          <t>Plattlummer</t>
        </is>
      </c>
      <c r="V104">
        <f>HYPERLINK("https://klasma.github.io/Logging_1885/artfynd/A 18639-2026 artfynd.xlsx", "A 18639-2026")</f>
        <v/>
      </c>
      <c r="W104">
        <f>HYPERLINK("https://klasma.github.io/Logging_1885/kartor/A 18639-2026 karta.png", "A 18639-2026")</f>
        <v/>
      </c>
      <c r="X104">
        <f>HYPERLINK("https://klasma.github.io/Logging_1885/kartor_geotiff/A 18639-2026 georefererad karta.tif", "A 18639-2026")</f>
        <v/>
      </c>
      <c r="Z104">
        <f>HYPERLINK("https://klasma.github.io/Logging_1885/klagomål/A 18639-2026 FSC-klagomål.docx", "A 18639-2026")</f>
        <v/>
      </c>
      <c r="AA104">
        <f>HYPERLINK("https://klasma.github.io/Logging_1885/klagomålsmail/A 18639-2026 FSC-klagomål mail.docx", "A 18639-2026")</f>
        <v/>
      </c>
      <c r="AB104">
        <f>HYPERLINK("https://klasma.github.io/Logging_1885/tillsyn/A 18639-2026 tillsynsbegäran.docx", "A 18639-2026")</f>
        <v/>
      </c>
      <c r="AC104">
        <f>HYPERLINK("https://klasma.github.io/Logging_1885/tillsynsmail/A 18639-2026 tillsynsbegäran mail.docx", "A 18639-2026")</f>
        <v/>
      </c>
    </row>
    <row r="105" ht="15" customHeight="1">
      <c r="A105" t="inlineStr">
        <is>
          <t>A 18640-2026</t>
        </is>
      </c>
      <c r="B105" t="inlineStr">
        <is>
          <t>avverkningsanmälan</t>
        </is>
      </c>
      <c r="C105" t="inlineStr">
        <is>
          <t>Föryngringsavverkning</t>
        </is>
      </c>
      <c r="D105" s="1" t="n">
        <v>46128</v>
      </c>
      <c r="E105" s="1" t="n">
        <v>46223</v>
      </c>
      <c r="F105" t="inlineStr">
        <is>
          <t>ÖREBRO LÄN</t>
        </is>
      </c>
      <c r="G105" t="inlineStr">
        <is>
          <t>LINDESBERG</t>
        </is>
      </c>
      <c r="H105" t="inlineStr">
        <is>
          <t>Sveaskog</t>
        </is>
      </c>
      <c r="I105" t="n">
        <v>0.3</v>
      </c>
      <c r="J105" t="n">
        <v>0</v>
      </c>
      <c r="K105" t="n">
        <v>0</v>
      </c>
      <c r="L105" t="n">
        <v>0</v>
      </c>
      <c r="M105" t="n">
        <v>1</v>
      </c>
      <c r="N105" t="n">
        <v>0</v>
      </c>
      <c r="O105" t="n">
        <v>0</v>
      </c>
      <c r="P105" t="n">
        <v>0</v>
      </c>
      <c r="Q105" t="n">
        <v>1</v>
      </c>
      <c r="R105" t="n">
        <v>1</v>
      </c>
      <c r="S105" t="n">
        <v>1</v>
      </c>
      <c r="T105" t="n">
        <v>1</v>
      </c>
      <c r="U105" s="2" t="inlineStr">
        <is>
          <t>Garnlav</t>
        </is>
      </c>
      <c r="V105">
        <f>HYPERLINK("https://klasma.github.io/Logging_1885/artfynd/A 18640-2026 artfynd.xlsx", "A 18640-2026")</f>
        <v/>
      </c>
      <c r="W105">
        <f>HYPERLINK("https://klasma.github.io/Logging_1885/kartor/A 18640-2026 karta.png", "A 18640-2026")</f>
        <v/>
      </c>
      <c r="X105">
        <f>HYPERLINK("https://klasma.github.io/Logging_1885/kartor_geotiff/A 18640-2026 georefererad karta.tif", "A 18640-2026")</f>
        <v/>
      </c>
      <c r="Z105">
        <f>HYPERLINK("https://klasma.github.io/Logging_1885/klagomål/A 18640-2026 FSC-klagomål.docx", "A 18640-2026")</f>
        <v/>
      </c>
      <c r="AA105">
        <f>HYPERLINK("https://klasma.github.io/Logging_1885/klagomålsmail/A 18640-2026 FSC-klagomål mail.docx", "A 18640-2026")</f>
        <v/>
      </c>
      <c r="AB105">
        <f>HYPERLINK("https://klasma.github.io/Logging_1885/tillsyn/A 18640-2026 tillsynsbegäran.docx", "A 18640-2026")</f>
        <v/>
      </c>
      <c r="AC105">
        <f>HYPERLINK("https://klasma.github.io/Logging_1885/tillsynsmail/A 18640-2026 tillsynsbegäran mail.docx", "A 18640-2026")</f>
        <v/>
      </c>
    </row>
    <row r="106" ht="15" customHeight="1">
      <c r="A106" t="inlineStr">
        <is>
          <t>A 70466-2021</t>
        </is>
      </c>
      <c r="B106" t="inlineStr">
        <is>
          <t>avverkningsanmälan</t>
        </is>
      </c>
      <c r="C106" t="inlineStr">
        <is>
          <t>Föryngringsavverkning</t>
        </is>
      </c>
      <c r="D106" s="1" t="n">
        <v>44536</v>
      </c>
      <c r="E106" s="1" t="n">
        <v>46223</v>
      </c>
      <c r="F106" t="inlineStr">
        <is>
          <t>ÖREBRO LÄN</t>
        </is>
      </c>
      <c r="G106" t="inlineStr">
        <is>
          <t>LINDESBERG</t>
        </is>
      </c>
      <c r="I106" t="n">
        <v>4.4</v>
      </c>
      <c r="J106" t="n">
        <v>1</v>
      </c>
      <c r="K106" t="n">
        <v>0</v>
      </c>
      <c r="L106" t="n">
        <v>0</v>
      </c>
      <c r="M106" t="n">
        <v>1</v>
      </c>
      <c r="N106" t="n">
        <v>0</v>
      </c>
      <c r="O106" t="n">
        <v>0</v>
      </c>
      <c r="P106" t="n">
        <v>0</v>
      </c>
      <c r="Q106" t="n">
        <v>1</v>
      </c>
      <c r="R106" t="n">
        <v>1</v>
      </c>
      <c r="S106" t="n">
        <v>1</v>
      </c>
      <c r="T106" t="n">
        <v>5</v>
      </c>
      <c r="U106" s="2" t="inlineStr">
        <is>
          <t>Knärot</t>
        </is>
      </c>
      <c r="V106">
        <f>HYPERLINK("https://klasma.github.io/Logging_1885/artfynd/A 70466-2021 artfynd.xlsx", "A 70466-2021")</f>
        <v/>
      </c>
      <c r="W106">
        <f>HYPERLINK("https://klasma.github.io/Logging_1885/kartor/A 70466-2021 karta.png", "A 70466-2021")</f>
        <v/>
      </c>
      <c r="X106">
        <f>HYPERLINK("https://klasma.github.io/Logging_1885/kartor_geotiff/A 70466-2021 georefererad karta.tif", "A 70466-2021")</f>
        <v/>
      </c>
      <c r="Y106">
        <f>HYPERLINK("https://klasma.github.io/Logging_1885/knärot/A 70466-2021 karta knärot.png", "A 70466-2021")</f>
        <v/>
      </c>
      <c r="Z106">
        <f>HYPERLINK("https://klasma.github.io/Logging_1885/klagomål/A 70466-2021 FSC-klagomål.docx", "A 70466-2021")</f>
        <v/>
      </c>
      <c r="AA106">
        <f>HYPERLINK("https://klasma.github.io/Logging_1885/klagomålsmail/A 70466-2021 FSC-klagomål mail.docx", "A 70466-2021")</f>
        <v/>
      </c>
      <c r="AB106">
        <f>HYPERLINK("https://klasma.github.io/Logging_1885/tillsyn/A 70466-2021 tillsynsbegäran.docx", "A 70466-2021")</f>
        <v/>
      </c>
      <c r="AC106">
        <f>HYPERLINK("https://klasma.github.io/Logging_1885/tillsynsmail/A 70466-2021 tillsynsbegäran mail.docx", "A 70466-2021")</f>
        <v/>
      </c>
    </row>
    <row r="107" ht="15" customHeight="1">
      <c r="A107" t="inlineStr">
        <is>
          <t>A 40755-2022</t>
        </is>
      </c>
      <c r="B107" t="inlineStr">
        <is>
          <t>avverkningsanmälan</t>
        </is>
      </c>
      <c r="C107" t="inlineStr">
        <is>
          <t>Föryngringsavverkning</t>
        </is>
      </c>
      <c r="D107" s="1" t="n">
        <v>44820</v>
      </c>
      <c r="E107" s="1" t="n">
        <v>46223</v>
      </c>
      <c r="F107" t="inlineStr">
        <is>
          <t>ÖREBRO LÄN</t>
        </is>
      </c>
      <c r="G107" t="inlineStr">
        <is>
          <t>LINDESBERG</t>
        </is>
      </c>
      <c r="I107" t="n">
        <v>3.8</v>
      </c>
      <c r="J107" t="n">
        <v>1</v>
      </c>
      <c r="K107" t="n">
        <v>0</v>
      </c>
      <c r="L107" t="n">
        <v>0</v>
      </c>
      <c r="M107" t="n">
        <v>0</v>
      </c>
      <c r="N107" t="n">
        <v>0</v>
      </c>
      <c r="O107" t="n">
        <v>0</v>
      </c>
      <c r="P107" t="n">
        <v>0</v>
      </c>
      <c r="Q107" t="n">
        <v>0</v>
      </c>
      <c r="R107" t="n">
        <v>0</v>
      </c>
      <c r="S107" t="n">
        <v>1</v>
      </c>
      <c r="T107" t="n">
        <v>1</v>
      </c>
      <c r="U107" s="2" t="inlineStr">
        <is>
          <t>Fläcknycklar</t>
        </is>
      </c>
      <c r="V107">
        <f>HYPERLINK("https://klasma.github.io/Logging_1885/artfynd/A 40755-2022 artfynd.xlsx", "A 40755-2022")</f>
        <v/>
      </c>
      <c r="W107">
        <f>HYPERLINK("https://klasma.github.io/Logging_1885/kartor/A 40755-2022 karta.png", "A 40755-2022")</f>
        <v/>
      </c>
      <c r="X107">
        <f>HYPERLINK("https://klasma.github.io/Logging_1885/kartor_geotiff/A 40755-2022 georefererad karta.tif", "A 40755-2022")</f>
        <v/>
      </c>
      <c r="Z107">
        <f>HYPERLINK("https://klasma.github.io/Logging_1885/klagomål/A 40755-2022 FSC-klagomål.docx", "A 40755-2022")</f>
        <v/>
      </c>
      <c r="AA107">
        <f>HYPERLINK("https://klasma.github.io/Logging_1885/klagomålsmail/A 40755-2022 FSC-klagomål mail.docx", "A 40755-2022")</f>
        <v/>
      </c>
      <c r="AB107">
        <f>HYPERLINK("https://klasma.github.io/Logging_1885/tillsyn/A 40755-2022 tillsynsbegäran.docx", "A 40755-2022")</f>
        <v/>
      </c>
      <c r="AC107">
        <f>HYPERLINK("https://klasma.github.io/Logging_1885/tillsynsmail/A 40755-2022 tillsynsbegäran mail.docx", "A 40755-2022")</f>
        <v/>
      </c>
    </row>
    <row r="108" ht="15" customHeight="1">
      <c r="A108" t="inlineStr">
        <is>
          <t>A 21084-2026</t>
        </is>
      </c>
      <c r="B108" t="inlineStr">
        <is>
          <t>avverkningsanmälan</t>
        </is>
      </c>
      <c r="C108" t="inlineStr">
        <is>
          <t>Föryngringsavverkning</t>
        </is>
      </c>
      <c r="D108" s="1" t="n">
        <v>46146</v>
      </c>
      <c r="E108" s="1" t="n">
        <v>46223</v>
      </c>
      <c r="F108" t="inlineStr">
        <is>
          <t>ÖREBRO LÄN</t>
        </is>
      </c>
      <c r="G108" t="inlineStr">
        <is>
          <t>LINDESBERG</t>
        </is>
      </c>
      <c r="H108" t="inlineStr">
        <is>
          <t>Sveaskog</t>
        </is>
      </c>
      <c r="I108" t="n">
        <v>1.5</v>
      </c>
      <c r="J108" t="n">
        <v>0</v>
      </c>
      <c r="K108" t="n">
        <v>0</v>
      </c>
      <c r="L108" t="n">
        <v>0</v>
      </c>
      <c r="M108" t="n">
        <v>1</v>
      </c>
      <c r="N108" t="n">
        <v>0</v>
      </c>
      <c r="O108" t="n">
        <v>0</v>
      </c>
      <c r="P108" t="n">
        <v>0</v>
      </c>
      <c r="Q108" t="n">
        <v>1</v>
      </c>
      <c r="R108" t="n">
        <v>1</v>
      </c>
      <c r="S108" t="n">
        <v>1</v>
      </c>
      <c r="T108" t="n">
        <v>1</v>
      </c>
      <c r="U108" s="2" t="inlineStr">
        <is>
          <t>Garnlav</t>
        </is>
      </c>
      <c r="V108">
        <f>HYPERLINK("https://klasma.github.io/Logging_1885/artfynd/A 21084-2026 artfynd.xlsx", "A 21084-2026")</f>
        <v/>
      </c>
      <c r="W108">
        <f>HYPERLINK("https://klasma.github.io/Logging_1885/kartor/A 21084-2026 karta.png", "A 21084-2026")</f>
        <v/>
      </c>
      <c r="X108">
        <f>HYPERLINK("https://klasma.github.io/Logging_1885/kartor_geotiff/A 21084-2026 georefererad karta.tif", "A 21084-2026")</f>
        <v/>
      </c>
      <c r="Z108">
        <f>HYPERLINK("https://klasma.github.io/Logging_1885/klagomål/A 21084-2026 FSC-klagomål.docx", "A 21084-2026")</f>
        <v/>
      </c>
      <c r="AA108">
        <f>HYPERLINK("https://klasma.github.io/Logging_1885/klagomålsmail/A 21084-2026 FSC-klagomål mail.docx", "A 21084-2026")</f>
        <v/>
      </c>
      <c r="AB108">
        <f>HYPERLINK("https://klasma.github.io/Logging_1885/tillsyn/A 21084-2026 tillsynsbegäran.docx", "A 21084-2026")</f>
        <v/>
      </c>
      <c r="AC108">
        <f>HYPERLINK("https://klasma.github.io/Logging_1885/tillsynsmail/A 21084-2026 tillsynsbegäran mail.docx", "A 21084-2026")</f>
        <v/>
      </c>
    </row>
    <row r="109" ht="15" customHeight="1">
      <c r="A109" t="inlineStr">
        <is>
          <t>A 8139-2023</t>
        </is>
      </c>
      <c r="B109" t="inlineStr">
        <is>
          <t>avverkningsanmälan</t>
        </is>
      </c>
      <c r="C109" t="inlineStr">
        <is>
          <t>Föryngringsavverkning</t>
        </is>
      </c>
      <c r="D109" s="1" t="n">
        <v>44970</v>
      </c>
      <c r="E109" s="1" t="n">
        <v>46223</v>
      </c>
      <c r="F109" t="inlineStr">
        <is>
          <t>ÖREBRO LÄN</t>
        </is>
      </c>
      <c r="G109" t="inlineStr">
        <is>
          <t>LINDESBERG</t>
        </is>
      </c>
      <c r="I109" t="n">
        <v>3.6</v>
      </c>
      <c r="J109" t="n">
        <v>1</v>
      </c>
      <c r="K109" t="n">
        <v>0</v>
      </c>
      <c r="L109" t="n">
        <v>0</v>
      </c>
      <c r="M109" t="n">
        <v>0</v>
      </c>
      <c r="N109" t="n">
        <v>0</v>
      </c>
      <c r="O109" t="n">
        <v>0</v>
      </c>
      <c r="P109" t="n">
        <v>0</v>
      </c>
      <c r="Q109" t="n">
        <v>0</v>
      </c>
      <c r="R109" t="n">
        <v>0</v>
      </c>
      <c r="S109" t="n">
        <v>1</v>
      </c>
      <c r="T109" t="n">
        <v>1</v>
      </c>
      <c r="U109" s="2" t="inlineStr">
        <is>
          <t>Fläcknycklar</t>
        </is>
      </c>
      <c r="V109">
        <f>HYPERLINK("https://klasma.github.io/Logging_1885/artfynd/A 8139-2023 artfynd.xlsx", "A 8139-2023")</f>
        <v/>
      </c>
      <c r="W109">
        <f>HYPERLINK("https://klasma.github.io/Logging_1885/kartor/A 8139-2023 karta.png", "A 8139-2023")</f>
        <v/>
      </c>
      <c r="X109">
        <f>HYPERLINK("https://klasma.github.io/Logging_1885/kartor_geotiff/A 8139-2023 georefererad karta.tif", "A 8139-2023")</f>
        <v/>
      </c>
      <c r="Z109">
        <f>HYPERLINK("https://klasma.github.io/Logging_1885/klagomål/A 8139-2023 FSC-klagomål.docx", "A 8139-2023")</f>
        <v/>
      </c>
      <c r="AA109">
        <f>HYPERLINK("https://klasma.github.io/Logging_1885/klagomålsmail/A 8139-2023 FSC-klagomål mail.docx", "A 8139-2023")</f>
        <v/>
      </c>
      <c r="AB109">
        <f>HYPERLINK("https://klasma.github.io/Logging_1885/tillsyn/A 8139-2023 tillsynsbegäran.docx", "A 8139-2023")</f>
        <v/>
      </c>
      <c r="AC109">
        <f>HYPERLINK("https://klasma.github.io/Logging_1885/tillsynsmail/A 8139-2023 tillsynsbegäran mail.docx", "A 8139-2023")</f>
        <v/>
      </c>
    </row>
    <row r="110" ht="15" customHeight="1">
      <c r="A110" t="inlineStr">
        <is>
          <t>A 21871-2026</t>
        </is>
      </c>
      <c r="B110" t="inlineStr">
        <is>
          <t>avverkningsanmälan</t>
        </is>
      </c>
      <c r="C110" t="inlineStr">
        <is>
          <t>Föryngringsavverkning</t>
        </is>
      </c>
      <c r="D110" s="1" t="n">
        <v>46150</v>
      </c>
      <c r="E110" s="1" t="n">
        <v>46223</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s="2" t="inlineStr">
        <is>
          <t>Barrviolspindling</t>
        </is>
      </c>
      <c r="V110">
        <f>HYPERLINK("https://klasma.github.io/Logging_1885/artfynd/A 21871-2026 artfynd.xlsx", "A 21871-2026")</f>
        <v/>
      </c>
      <c r="W110">
        <f>HYPERLINK("https://klasma.github.io/Logging_1885/kartor/A 21871-2026 karta.png", "A 21871-2026")</f>
        <v/>
      </c>
      <c r="X110">
        <f>HYPERLINK("https://klasma.github.io/Logging_1885/kartor_geotiff/A 21871-2026 georefererad karta.tif", "A 21871-2026")</f>
        <v/>
      </c>
      <c r="Z110">
        <f>HYPERLINK("https://klasma.github.io/Logging_1885/klagomål/A 21871-2026 FSC-klagomål.docx", "A 21871-2026")</f>
        <v/>
      </c>
      <c r="AA110">
        <f>HYPERLINK("https://klasma.github.io/Logging_1885/klagomålsmail/A 21871-2026 FSC-klagomål mail.docx", "A 21871-2026")</f>
        <v/>
      </c>
      <c r="AB110">
        <f>HYPERLINK("https://klasma.github.io/Logging_1885/tillsyn/A 21871-2026 tillsynsbegäran.docx", "A 21871-2026")</f>
        <v/>
      </c>
      <c r="AC110">
        <f>HYPERLINK("https://klasma.github.io/Logging_1885/tillsynsmail/A 21871-2026 tillsynsbegäran mail.docx", "A 21871-2026")</f>
        <v/>
      </c>
    </row>
    <row r="111" ht="15" customHeight="1">
      <c r="A111" t="inlineStr">
        <is>
          <t>A 62866-2023</t>
        </is>
      </c>
      <c r="B111" t="inlineStr">
        <is>
          <t>avverkningsanmälan</t>
        </is>
      </c>
      <c r="C111" t="inlineStr">
        <is>
          <t>Föryngringsavverkning</t>
        </is>
      </c>
      <c r="D111" s="1" t="n">
        <v>45272</v>
      </c>
      <c r="E111" s="1" t="n">
        <v>46223</v>
      </c>
      <c r="F111" t="inlineStr">
        <is>
          <t>ÖREBRO LÄN</t>
        </is>
      </c>
      <c r="G111" t="inlineStr">
        <is>
          <t>LINDESBERG</t>
        </is>
      </c>
      <c r="I111" t="n">
        <v>14.5</v>
      </c>
      <c r="J111" t="n">
        <v>1</v>
      </c>
      <c r="K111" t="n">
        <v>0</v>
      </c>
      <c r="L111" t="n">
        <v>0</v>
      </c>
      <c r="M111" t="n">
        <v>0</v>
      </c>
      <c r="N111" t="n">
        <v>0</v>
      </c>
      <c r="O111" t="n">
        <v>0</v>
      </c>
      <c r="P111" t="n">
        <v>0</v>
      </c>
      <c r="Q111" t="n">
        <v>0</v>
      </c>
      <c r="R111" t="n">
        <v>0</v>
      </c>
      <c r="S111" t="n">
        <v>1</v>
      </c>
      <c r="T111" t="n">
        <v>2</v>
      </c>
      <c r="U111" s="2" t="inlineStr">
        <is>
          <t>Utter</t>
        </is>
      </c>
      <c r="V111">
        <f>HYPERLINK("https://klasma.github.io/Logging_1885/artfynd/A 62866-2023 artfynd.xlsx", "A 62866-2023")</f>
        <v/>
      </c>
      <c r="W111">
        <f>HYPERLINK("https://klasma.github.io/Logging_1885/kartor/A 62866-2023 karta.png", "A 62866-2023")</f>
        <v/>
      </c>
      <c r="X111">
        <f>HYPERLINK("https://klasma.github.io/Logging_1885/kartor_geotiff/A 62866-2023 georefererad karta.tif", "A 62866-2023")</f>
        <v/>
      </c>
      <c r="Z111">
        <f>HYPERLINK("https://klasma.github.io/Logging_1885/klagomål/A 62866-2023 FSC-klagomål.docx", "A 62866-2023")</f>
        <v/>
      </c>
      <c r="AA111">
        <f>HYPERLINK("https://klasma.github.io/Logging_1885/klagomålsmail/A 62866-2023 FSC-klagomål mail.docx", "A 62866-2023")</f>
        <v/>
      </c>
      <c r="AB111">
        <f>HYPERLINK("https://klasma.github.io/Logging_1885/tillsyn/A 62866-2023 tillsynsbegäran.docx", "A 62866-2023")</f>
        <v/>
      </c>
      <c r="AC111">
        <f>HYPERLINK("https://klasma.github.io/Logging_1885/tillsynsmail/A 62866-2023 tillsynsbegäran mail.docx", "A 62866-2023")</f>
        <v/>
      </c>
    </row>
    <row r="112" ht="15" customHeight="1">
      <c r="A112" t="inlineStr">
        <is>
          <t>A 27130-2024</t>
        </is>
      </c>
      <c r="B112" t="inlineStr">
        <is>
          <t>avverkningsanmälan</t>
        </is>
      </c>
      <c r="C112" t="inlineStr">
        <is>
          <t>Föryngringsavverkning</t>
        </is>
      </c>
      <c r="D112" s="1" t="n">
        <v>45471</v>
      </c>
      <c r="E112" s="1" t="n">
        <v>46223</v>
      </c>
      <c r="F112" t="inlineStr">
        <is>
          <t>ÖREBRO LÄN</t>
        </is>
      </c>
      <c r="G112" t="inlineStr">
        <is>
          <t>LINDESBERG</t>
        </is>
      </c>
      <c r="I112" t="n">
        <v>2</v>
      </c>
      <c r="J112" t="n">
        <v>1</v>
      </c>
      <c r="K112" t="n">
        <v>0</v>
      </c>
      <c r="L112" t="n">
        <v>0</v>
      </c>
      <c r="M112" t="n">
        <v>0</v>
      </c>
      <c r="N112" t="n">
        <v>0</v>
      </c>
      <c r="O112" t="n">
        <v>0</v>
      </c>
      <c r="P112" t="n">
        <v>0</v>
      </c>
      <c r="Q112" t="n">
        <v>0</v>
      </c>
      <c r="R112" t="n">
        <v>0</v>
      </c>
      <c r="S112" t="n">
        <v>1</v>
      </c>
      <c r="T112" t="n">
        <v>1</v>
      </c>
      <c r="U112" s="2" t="inlineStr">
        <is>
          <t>Utter</t>
        </is>
      </c>
      <c r="V112">
        <f>HYPERLINK("https://klasma.github.io/Logging_1885/artfynd/A 27130-2024 artfynd.xlsx", "A 27130-2024")</f>
        <v/>
      </c>
      <c r="W112">
        <f>HYPERLINK("https://klasma.github.io/Logging_1885/kartor/A 27130-2024 karta.png", "A 27130-2024")</f>
        <v/>
      </c>
      <c r="X112">
        <f>HYPERLINK("https://klasma.github.io/Logging_1885/kartor_geotiff/A 27130-2024 georefererad karta.tif", "A 27130-2024")</f>
        <v/>
      </c>
      <c r="Z112">
        <f>HYPERLINK("https://klasma.github.io/Logging_1885/klagomål/A 27130-2024 FSC-klagomål.docx", "A 27130-2024")</f>
        <v/>
      </c>
      <c r="AA112">
        <f>HYPERLINK("https://klasma.github.io/Logging_1885/klagomålsmail/A 27130-2024 FSC-klagomål mail.docx", "A 27130-2024")</f>
        <v/>
      </c>
      <c r="AB112">
        <f>HYPERLINK("https://klasma.github.io/Logging_1885/tillsyn/A 27130-2024 tillsynsbegäran.docx", "A 27130-2024")</f>
        <v/>
      </c>
      <c r="AC112">
        <f>HYPERLINK("https://klasma.github.io/Logging_1885/tillsynsmail/A 27130-2024 tillsynsbegäran mail.docx", "A 27130-2024")</f>
        <v/>
      </c>
    </row>
    <row r="113" ht="15" customHeight="1">
      <c r="A113" t="inlineStr">
        <is>
          <t>A 48265-2021</t>
        </is>
      </c>
      <c r="B113" t="inlineStr">
        <is>
          <t>avverkningsanmälan</t>
        </is>
      </c>
      <c r="C113" t="inlineStr">
        <is>
          <t>Föryngringsavverkning</t>
        </is>
      </c>
      <c r="D113" s="1" t="n">
        <v>44449</v>
      </c>
      <c r="E113" s="1" t="n">
        <v>46223</v>
      </c>
      <c r="F113" t="inlineStr">
        <is>
          <t>ÖREBRO LÄN</t>
        </is>
      </c>
      <c r="G113" t="inlineStr">
        <is>
          <t>LINDESBERG</t>
        </is>
      </c>
      <c r="I113" t="n">
        <v>23.7</v>
      </c>
      <c r="J113" t="n">
        <v>1</v>
      </c>
      <c r="K113" t="n">
        <v>1</v>
      </c>
      <c r="L113" t="n">
        <v>0</v>
      </c>
      <c r="M113" t="n">
        <v>0</v>
      </c>
      <c r="N113" t="n">
        <v>0</v>
      </c>
      <c r="O113" t="n">
        <v>0</v>
      </c>
      <c r="P113" t="n">
        <v>0</v>
      </c>
      <c r="Q113" t="n">
        <v>0</v>
      </c>
      <c r="R113" t="n">
        <v>0</v>
      </c>
      <c r="S113" t="n">
        <v>1</v>
      </c>
      <c r="T113" t="n">
        <v>1</v>
      </c>
      <c r="U113" s="2" t="inlineStr">
        <is>
          <t>Grön sköldmossa</t>
        </is>
      </c>
      <c r="V113">
        <f>HYPERLINK("https://klasma.github.io/Logging_1885/artfynd/A 48265-2021 artfynd.xlsx", "A 48265-2021")</f>
        <v/>
      </c>
      <c r="W113">
        <f>HYPERLINK("https://klasma.github.io/Logging_1885/kartor/A 48265-2021 karta.png", "A 48265-2021")</f>
        <v/>
      </c>
      <c r="X113">
        <f>HYPERLINK("https://klasma.github.io/Logging_1885/kartor_geotiff/A 48265-2021 georefererad karta.tif", "A 48265-2021")</f>
        <v/>
      </c>
      <c r="Z113">
        <f>HYPERLINK("https://klasma.github.io/Logging_1885/klagomål/A 48265-2021 FSC-klagomål.docx", "A 48265-2021")</f>
        <v/>
      </c>
      <c r="AA113">
        <f>HYPERLINK("https://klasma.github.io/Logging_1885/klagomålsmail/A 48265-2021 FSC-klagomål mail.docx", "A 48265-2021")</f>
        <v/>
      </c>
      <c r="AB113">
        <f>HYPERLINK("https://klasma.github.io/Logging_1885/tillsyn/A 48265-2021 tillsynsbegäran.docx", "A 48265-2021")</f>
        <v/>
      </c>
      <c r="AC113">
        <f>HYPERLINK("https://klasma.github.io/Logging_1885/tillsynsmail/A 48265-2021 tillsynsbegäran mail.docx", "A 48265-2021")</f>
        <v/>
      </c>
    </row>
    <row r="114" ht="15" customHeight="1">
      <c r="A114" t="inlineStr">
        <is>
          <t>A 22747-2026</t>
        </is>
      </c>
      <c r="B114" t="inlineStr">
        <is>
          <t>avverkningsanmälan</t>
        </is>
      </c>
      <c r="C114" t="inlineStr">
        <is>
          <t>Föryngringsavverkning</t>
        </is>
      </c>
      <c r="D114" s="1" t="n">
        <v>46157</v>
      </c>
      <c r="E114" s="1" t="n">
        <v>46223</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s="2" t="inlineStr">
        <is>
          <t>Fiskgjuse</t>
        </is>
      </c>
      <c r="V114">
        <f>HYPERLINK("https://klasma.github.io/Logging_1885/artfynd/A 22747-2026 artfynd.xlsx", "A 22747-2026")</f>
        <v/>
      </c>
      <c r="W114">
        <f>HYPERLINK("https://klasma.github.io/Logging_1885/kartor/A 22747-2026 karta.png", "A 22747-2026")</f>
        <v/>
      </c>
      <c r="X114">
        <f>HYPERLINK("https://klasma.github.io/Logging_1885/kartor_geotiff/A 22747-2026 georefererad karta.tif", "A 22747-2026")</f>
        <v/>
      </c>
      <c r="Z114">
        <f>HYPERLINK("https://klasma.github.io/Logging_1885/klagomål/A 22747-2026 FSC-klagomål.docx", "A 22747-2026")</f>
        <v/>
      </c>
      <c r="AA114">
        <f>HYPERLINK("https://klasma.github.io/Logging_1885/klagomålsmail/A 22747-2026 FSC-klagomål mail.docx", "A 22747-2026")</f>
        <v/>
      </c>
      <c r="AB114">
        <f>HYPERLINK("https://klasma.github.io/Logging_1885/tillsyn/A 22747-2026 tillsynsbegäran.docx", "A 22747-2026")</f>
        <v/>
      </c>
      <c r="AC114">
        <f>HYPERLINK("https://klasma.github.io/Logging_1885/tillsynsmail/A 22747-2026 tillsynsbegäran mail.docx", "A 22747-2026")</f>
        <v/>
      </c>
      <c r="AD114">
        <f>HYPERLINK("https://klasma.github.io/Logging_1885/fåglar/A 22747-2026 prioriterade fågelarter.docx", "A 22747-2026")</f>
        <v/>
      </c>
    </row>
    <row r="115" ht="15" customHeight="1">
      <c r="A115" t="inlineStr">
        <is>
          <t>A 64513-2023</t>
        </is>
      </c>
      <c r="B115" t="inlineStr">
        <is>
          <t>avverkningsanmälan</t>
        </is>
      </c>
      <c r="C115" t="inlineStr">
        <is>
          <t>Föryngringsavverkning</t>
        </is>
      </c>
      <c r="D115" s="1" t="n">
        <v>45281</v>
      </c>
      <c r="E115" s="1" t="n">
        <v>46223</v>
      </c>
      <c r="F115" t="inlineStr">
        <is>
          <t>ÖREBRO LÄN</t>
        </is>
      </c>
      <c r="G115" t="inlineStr">
        <is>
          <t>LINDESBERG</t>
        </is>
      </c>
      <c r="I115" t="n">
        <v>4.7</v>
      </c>
      <c r="J115" t="n">
        <v>0</v>
      </c>
      <c r="K115" t="n">
        <v>1</v>
      </c>
      <c r="L115" t="n">
        <v>0</v>
      </c>
      <c r="M115" t="n">
        <v>0</v>
      </c>
      <c r="N115" t="n">
        <v>0</v>
      </c>
      <c r="O115" t="n">
        <v>0</v>
      </c>
      <c r="P115" t="n">
        <v>0</v>
      </c>
      <c r="Q115" t="n">
        <v>0</v>
      </c>
      <c r="R115" t="n">
        <v>0</v>
      </c>
      <c r="S115" t="n">
        <v>1</v>
      </c>
      <c r="T115" t="n">
        <v>1</v>
      </c>
      <c r="U115" s="2" t="inlineStr">
        <is>
          <t>Västlig hakmossa</t>
        </is>
      </c>
      <c r="V115">
        <f>HYPERLINK("https://klasma.github.io/Logging_1885/artfynd/A 64513-2023 artfynd.xlsx", "A 64513-2023")</f>
        <v/>
      </c>
      <c r="W115">
        <f>HYPERLINK("https://klasma.github.io/Logging_1885/kartor/A 64513-2023 karta.png", "A 64513-2023")</f>
        <v/>
      </c>
      <c r="X115">
        <f>HYPERLINK("https://klasma.github.io/Logging_1885/kartor_geotiff/A 64513-2023 georefererad karta.tif", "A 64513-2023")</f>
        <v/>
      </c>
      <c r="Z115">
        <f>HYPERLINK("https://klasma.github.io/Logging_1885/klagomål/A 64513-2023 FSC-klagomål.docx", "A 64513-2023")</f>
        <v/>
      </c>
      <c r="AA115">
        <f>HYPERLINK("https://klasma.github.io/Logging_1885/klagomålsmail/A 64513-2023 FSC-klagomål mail.docx", "A 64513-2023")</f>
        <v/>
      </c>
      <c r="AB115">
        <f>HYPERLINK("https://klasma.github.io/Logging_1885/tillsyn/A 64513-2023 tillsynsbegäran.docx", "A 64513-2023")</f>
        <v/>
      </c>
      <c r="AC115">
        <f>HYPERLINK("https://klasma.github.io/Logging_1885/tillsynsmail/A 64513-2023 tillsynsbegäran mail.docx", "A 64513-2023")</f>
        <v/>
      </c>
    </row>
    <row r="116" ht="15" customHeight="1">
      <c r="A116" t="inlineStr">
        <is>
          <t>A 29404-2026</t>
        </is>
      </c>
      <c r="B116" t="inlineStr">
        <is>
          <t>avverkningsanmälan</t>
        </is>
      </c>
      <c r="C116" t="inlineStr">
        <is>
          <t>Föryngringsavverkning</t>
        </is>
      </c>
      <c r="D116" s="1" t="n">
        <v>46203</v>
      </c>
      <c r="E116" s="1" t="n">
        <v>46223</v>
      </c>
      <c r="F116" t="inlineStr">
        <is>
          <t>ÖREBRO LÄN</t>
        </is>
      </c>
      <c r="G116" t="inlineStr">
        <is>
          <t>LINDESBERG</t>
        </is>
      </c>
      <c r="H116" t="inlineStr">
        <is>
          <t>Sveaskog</t>
        </is>
      </c>
      <c r="I116" t="n">
        <v>10.1</v>
      </c>
      <c r="J116" t="n">
        <v>1</v>
      </c>
      <c r="K116" t="n">
        <v>0</v>
      </c>
      <c r="L116" t="n">
        <v>0</v>
      </c>
      <c r="M116" t="n">
        <v>0</v>
      </c>
      <c r="N116" t="n">
        <v>0</v>
      </c>
      <c r="O116" t="n">
        <v>0</v>
      </c>
      <c r="P116" t="n">
        <v>0</v>
      </c>
      <c r="Q116" t="n">
        <v>0</v>
      </c>
      <c r="R116" t="n">
        <v>0</v>
      </c>
      <c r="S116" t="n">
        <v>1</v>
      </c>
      <c r="T116" t="n">
        <v>1</v>
      </c>
      <c r="U116" s="2" t="inlineStr">
        <is>
          <t>Tjäder</t>
        </is>
      </c>
      <c r="V116">
        <f>HYPERLINK("https://klasma.github.io/Logging_1885/artfynd/A 29404-2026 artfynd.xlsx", "A 29404-2026")</f>
        <v/>
      </c>
      <c r="W116">
        <f>HYPERLINK("https://klasma.github.io/Logging_1885/kartor/A 29404-2026 karta.png", "A 29404-2026")</f>
        <v/>
      </c>
      <c r="X116">
        <f>HYPERLINK("https://klasma.github.io/Logging_1885/kartor_geotiff/A 29404-2026 georefererad karta.tif", "A 29404-2026")</f>
        <v/>
      </c>
      <c r="Z116">
        <f>HYPERLINK("https://klasma.github.io/Logging_1885/klagomål/A 29404-2026 FSC-klagomål.docx", "A 29404-2026")</f>
        <v/>
      </c>
      <c r="AA116">
        <f>HYPERLINK("https://klasma.github.io/Logging_1885/klagomålsmail/A 29404-2026 FSC-klagomål mail.docx", "A 29404-2026")</f>
        <v/>
      </c>
      <c r="AB116">
        <f>HYPERLINK("https://klasma.github.io/Logging_1885/tillsyn/A 29404-2026 tillsynsbegäran.docx", "A 29404-2026")</f>
        <v/>
      </c>
      <c r="AC116">
        <f>HYPERLINK("https://klasma.github.io/Logging_1885/tillsynsmail/A 29404-2026 tillsynsbegäran mail.docx", "A 29404-2026")</f>
        <v/>
      </c>
      <c r="AD116">
        <f>HYPERLINK("https://klasma.github.io/Logging_1885/fåglar/A 29404-2026 prioriterade fågelarter.docx", "A 29404-2026")</f>
        <v/>
      </c>
    </row>
    <row r="117" ht="15" customHeight="1">
      <c r="A117" t="inlineStr">
        <is>
          <t>A 29409-2026</t>
        </is>
      </c>
      <c r="B117" t="inlineStr">
        <is>
          <t>avverkningsanmälan</t>
        </is>
      </c>
      <c r="C117" t="inlineStr">
        <is>
          <t>Föryngringsavverkning</t>
        </is>
      </c>
      <c r="D117" s="1" t="n">
        <v>46203</v>
      </c>
      <c r="E117" s="1" t="n">
        <v>46223</v>
      </c>
      <c r="F117" t="inlineStr">
        <is>
          <t>ÖREBRO LÄN</t>
        </is>
      </c>
      <c r="G117" t="inlineStr">
        <is>
          <t>LINDESBERG</t>
        </is>
      </c>
      <c r="H117" t="inlineStr">
        <is>
          <t>Sveaskog</t>
        </is>
      </c>
      <c r="I117" t="n">
        <v>7.9</v>
      </c>
      <c r="J117" t="n">
        <v>1</v>
      </c>
      <c r="K117" t="n">
        <v>0</v>
      </c>
      <c r="L117" t="n">
        <v>0</v>
      </c>
      <c r="M117" t="n">
        <v>0</v>
      </c>
      <c r="N117" t="n">
        <v>0</v>
      </c>
      <c r="O117" t="n">
        <v>0</v>
      </c>
      <c r="P117" t="n">
        <v>0</v>
      </c>
      <c r="Q117" t="n">
        <v>0</v>
      </c>
      <c r="R117" t="n">
        <v>0</v>
      </c>
      <c r="S117" t="n">
        <v>1</v>
      </c>
      <c r="T117" t="n">
        <v>2</v>
      </c>
      <c r="U117" s="2" t="inlineStr">
        <is>
          <t>Tjäder</t>
        </is>
      </c>
      <c r="V117">
        <f>HYPERLINK("https://klasma.github.io/Logging_1885/artfynd/A 29409-2026 artfynd.xlsx", "A 29409-2026")</f>
        <v/>
      </c>
      <c r="W117">
        <f>HYPERLINK("https://klasma.github.io/Logging_1885/kartor/A 29409-2026 karta.png", "A 29409-2026")</f>
        <v/>
      </c>
      <c r="X117">
        <f>HYPERLINK("https://klasma.github.io/Logging_1885/kartor_geotiff/A 29409-2026 georefererad karta.tif", "A 29409-2026")</f>
        <v/>
      </c>
      <c r="Z117">
        <f>HYPERLINK("https://klasma.github.io/Logging_1885/klagomål/A 29409-2026 FSC-klagomål.docx", "A 29409-2026")</f>
        <v/>
      </c>
      <c r="AA117">
        <f>HYPERLINK("https://klasma.github.io/Logging_1885/klagomålsmail/A 29409-2026 FSC-klagomål mail.docx", "A 29409-2026")</f>
        <v/>
      </c>
      <c r="AB117">
        <f>HYPERLINK("https://klasma.github.io/Logging_1885/tillsyn/A 29409-2026 tillsynsbegäran.docx", "A 29409-2026")</f>
        <v/>
      </c>
      <c r="AC117">
        <f>HYPERLINK("https://klasma.github.io/Logging_1885/tillsynsmail/A 29409-2026 tillsynsbegäran mail.docx", "A 29409-2026")</f>
        <v/>
      </c>
      <c r="AD117">
        <f>HYPERLINK("https://klasma.github.io/Logging_1885/fåglar/A 29409-2026 prioriterade fågelarter.docx", "A 29409-2026")</f>
        <v/>
      </c>
    </row>
    <row r="118" ht="15" customHeight="1">
      <c r="A118" t="inlineStr">
        <is>
          <t>A 23337-2026</t>
        </is>
      </c>
      <c r="B118" t="inlineStr">
        <is>
          <t>avverkningsanmälan</t>
        </is>
      </c>
      <c r="C118" t="inlineStr">
        <is>
          <t>Föryngringsavverkning</t>
        </is>
      </c>
      <c r="D118" s="1" t="n">
        <v>46162</v>
      </c>
      <c r="E118" s="1" t="n">
        <v>46223</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s="2" t="inlineStr">
        <is>
          <t>Spillkråka</t>
        </is>
      </c>
      <c r="V118">
        <f>HYPERLINK("https://klasma.github.io/Logging_1885/artfynd/A 23337-2026 artfynd.xlsx", "A 23337-2026")</f>
        <v/>
      </c>
      <c r="W118">
        <f>HYPERLINK("https://klasma.github.io/Logging_1885/kartor/A 23337-2026 karta.png", "A 23337-2026")</f>
        <v/>
      </c>
      <c r="X118">
        <f>HYPERLINK("https://klasma.github.io/Logging_1885/kartor_geotiff/A 23337-2026 georefererad karta.tif", "A 23337-2026")</f>
        <v/>
      </c>
      <c r="Z118">
        <f>HYPERLINK("https://klasma.github.io/Logging_1885/klagomål/A 23337-2026 FSC-klagomål.docx", "A 23337-2026")</f>
        <v/>
      </c>
      <c r="AA118">
        <f>HYPERLINK("https://klasma.github.io/Logging_1885/klagomålsmail/A 23337-2026 FSC-klagomål mail.docx", "A 23337-2026")</f>
        <v/>
      </c>
      <c r="AB118">
        <f>HYPERLINK("https://klasma.github.io/Logging_1885/tillsyn/A 23337-2026 tillsynsbegäran.docx", "A 23337-2026")</f>
        <v/>
      </c>
      <c r="AC118">
        <f>HYPERLINK("https://klasma.github.io/Logging_1885/tillsynsmail/A 23337-2026 tillsynsbegäran mail.docx", "A 23337-2026")</f>
        <v/>
      </c>
      <c r="AD118">
        <f>HYPERLINK("https://klasma.github.io/Logging_1885/fåglar/A 23337-2026 prioriterade fågelarter.docx", "A 23337-2026")</f>
        <v/>
      </c>
    </row>
    <row r="119" ht="15" customHeight="1">
      <c r="A119" t="inlineStr">
        <is>
          <t>A 11953-2024</t>
        </is>
      </c>
      <c r="B119" t="inlineStr">
        <is>
          <t>avverkningsanmälan</t>
        </is>
      </c>
      <c r="C119" t="inlineStr">
        <is>
          <t>Föryngringsavverkning</t>
        </is>
      </c>
      <c r="D119" s="1" t="n">
        <v>45376</v>
      </c>
      <c r="E119" s="1" t="n">
        <v>46223</v>
      </c>
      <c r="F119" t="inlineStr">
        <is>
          <t>ÖREBRO LÄN</t>
        </is>
      </c>
      <c r="G119" t="inlineStr">
        <is>
          <t>LINDESBERG</t>
        </is>
      </c>
      <c r="I119" t="n">
        <v>5.7</v>
      </c>
      <c r="J119" t="n">
        <v>1</v>
      </c>
      <c r="K119" t="n">
        <v>0</v>
      </c>
      <c r="L119" t="n">
        <v>0</v>
      </c>
      <c r="M119" t="n">
        <v>0</v>
      </c>
      <c r="N119" t="n">
        <v>0</v>
      </c>
      <c r="O119" t="n">
        <v>0</v>
      </c>
      <c r="P119" t="n">
        <v>0</v>
      </c>
      <c r="Q119" t="n">
        <v>0</v>
      </c>
      <c r="R119" t="n">
        <v>0</v>
      </c>
      <c r="S119" t="n">
        <v>1</v>
      </c>
      <c r="T119" t="n">
        <v>1</v>
      </c>
      <c r="U119" s="2" t="inlineStr">
        <is>
          <t>Utter</t>
        </is>
      </c>
      <c r="V119">
        <f>HYPERLINK("https://klasma.github.io/Logging_1885/artfynd/A 11953-2024 artfynd.xlsx", "A 11953-2024")</f>
        <v/>
      </c>
      <c r="W119">
        <f>HYPERLINK("https://klasma.github.io/Logging_1885/kartor/A 11953-2024 karta.png", "A 11953-2024")</f>
        <v/>
      </c>
      <c r="X119">
        <f>HYPERLINK("https://klasma.github.io/Logging_1885/kartor_geotiff/A 11953-2024 georefererad karta.tif", "A 11953-2024")</f>
        <v/>
      </c>
      <c r="Z119">
        <f>HYPERLINK("https://klasma.github.io/Logging_1885/klagomål/A 11953-2024 FSC-klagomål.docx", "A 11953-2024")</f>
        <v/>
      </c>
      <c r="AA119">
        <f>HYPERLINK("https://klasma.github.io/Logging_1885/klagomålsmail/A 11953-2024 FSC-klagomål mail.docx", "A 11953-2024")</f>
        <v/>
      </c>
      <c r="AB119">
        <f>HYPERLINK("https://klasma.github.io/Logging_1885/tillsyn/A 11953-2024 tillsynsbegäran.docx", "A 11953-2024")</f>
        <v/>
      </c>
      <c r="AC119">
        <f>HYPERLINK("https://klasma.github.io/Logging_1885/tillsynsmail/A 11953-2024 tillsynsbegäran mail.docx", "A 11953-2024")</f>
        <v/>
      </c>
    </row>
    <row r="120" ht="15" customHeight="1">
      <c r="A120" t="inlineStr">
        <is>
          <t>A 67013-2021</t>
        </is>
      </c>
      <c r="B120" t="inlineStr">
        <is>
          <t>avverkningsanmälan</t>
        </is>
      </c>
      <c r="C120" t="inlineStr">
        <is>
          <t>Föryngringsavverkning</t>
        </is>
      </c>
      <c r="D120" s="1" t="n">
        <v>44522</v>
      </c>
      <c r="E120" s="1" t="n">
        <v>46223</v>
      </c>
      <c r="F120" t="inlineStr">
        <is>
          <t>ÖREBRO LÄN</t>
        </is>
      </c>
      <c r="G120" t="inlineStr">
        <is>
          <t>LINDESBERG</t>
        </is>
      </c>
      <c r="I120" t="n">
        <v>0.5</v>
      </c>
      <c r="J120" t="n">
        <v>0</v>
      </c>
      <c r="K120" t="n">
        <v>0</v>
      </c>
      <c r="L120" t="n">
        <v>1</v>
      </c>
      <c r="M120" t="n">
        <v>0</v>
      </c>
      <c r="N120" t="n">
        <v>0</v>
      </c>
      <c r="O120" t="n">
        <v>0</v>
      </c>
      <c r="P120" t="n">
        <v>0</v>
      </c>
      <c r="Q120" t="n">
        <v>1</v>
      </c>
      <c r="R120" t="n">
        <v>0</v>
      </c>
      <c r="S120" t="n">
        <v>1</v>
      </c>
      <c r="T120" t="n">
        <v>4</v>
      </c>
      <c r="U120" s="2" t="inlineStr">
        <is>
          <t>Skogsklocka</t>
        </is>
      </c>
      <c r="V120">
        <f>HYPERLINK("https://klasma.github.io/Logging_1885/artfynd/A 67013-2021 artfynd.xlsx", "A 67013-2021")</f>
        <v/>
      </c>
      <c r="W120">
        <f>HYPERLINK("https://klasma.github.io/Logging_1885/kartor/A 67013-2021 karta.png", "A 67013-2021")</f>
        <v/>
      </c>
      <c r="X120">
        <f>HYPERLINK("https://klasma.github.io/Logging_1885/kartor_geotiff/A 67013-2021 georefererad karta.tif", "A 67013-2021")</f>
        <v/>
      </c>
      <c r="Z120">
        <f>HYPERLINK("https://klasma.github.io/Logging_1885/klagomål/A 67013-2021 FSC-klagomål.docx", "A 67013-2021")</f>
        <v/>
      </c>
      <c r="AA120">
        <f>HYPERLINK("https://klasma.github.io/Logging_1885/klagomålsmail/A 67013-2021 FSC-klagomål mail.docx", "A 67013-2021")</f>
        <v/>
      </c>
      <c r="AB120">
        <f>HYPERLINK("https://klasma.github.io/Logging_1885/tillsyn/A 67013-2021 tillsynsbegäran.docx", "A 67013-2021")</f>
        <v/>
      </c>
      <c r="AC120">
        <f>HYPERLINK("https://klasma.github.io/Logging_1885/tillsynsmail/A 67013-2021 tillsynsbegäran mail.docx", "A 67013-2021")</f>
        <v/>
      </c>
    </row>
    <row r="121" ht="15" customHeight="1">
      <c r="A121" t="inlineStr">
        <is>
          <t>A 16791-2024</t>
        </is>
      </c>
      <c r="B121" t="inlineStr">
        <is>
          <t>avverkningsanmälan</t>
        </is>
      </c>
      <c r="C121" t="inlineStr">
        <is>
          <t>Föryngringsavverkning</t>
        </is>
      </c>
      <c r="D121" s="1" t="n">
        <v>45411</v>
      </c>
      <c r="E121" s="1" t="n">
        <v>46223</v>
      </c>
      <c r="F121" t="inlineStr">
        <is>
          <t>ÖREBRO LÄN</t>
        </is>
      </c>
      <c r="G121" t="inlineStr">
        <is>
          <t>LINDESBERG</t>
        </is>
      </c>
      <c r="I121" t="n">
        <v>16.1</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HYPERLINK("https://klasma.github.io/Logging_1885/artfynd/A 16791-2024 artfynd.xlsx", "A 16791-2024")</f>
        <v/>
      </c>
      <c r="W121">
        <f>HYPERLINK("https://klasma.github.io/Logging_1885/kartor/A 16791-2024 karta.png", "A 16791-2024")</f>
        <v/>
      </c>
      <c r="X121">
        <f>HYPERLINK("https://klasma.github.io/Logging_1885/kartor_geotiff/A 16791-2024 georefererad karta.tif", "A 16791-2024")</f>
        <v/>
      </c>
      <c r="Z121">
        <f>HYPERLINK("https://klasma.github.io/Logging_1885/klagomål/A 16791-2024 FSC-klagomål.docx", "A 16791-2024")</f>
        <v/>
      </c>
      <c r="AA121">
        <f>HYPERLINK("https://klasma.github.io/Logging_1885/klagomålsmail/A 16791-2024 FSC-klagomål mail.docx", "A 16791-2024")</f>
        <v/>
      </c>
      <c r="AB121">
        <f>HYPERLINK("https://klasma.github.io/Logging_1885/tillsyn/A 16791-2024 tillsynsbegäran.docx", "A 16791-2024")</f>
        <v/>
      </c>
      <c r="AC121">
        <f>HYPERLINK("https://klasma.github.io/Logging_1885/tillsynsmail/A 16791-2024 tillsynsbegäran mail.docx", "A 16791-2024")</f>
        <v/>
      </c>
      <c r="AD121">
        <f>HYPERLINK("https://klasma.github.io/Logging_1885/fåglar/A 16791-2024 prioriterade fågelarter.docx", "A 16791-2024")</f>
        <v/>
      </c>
    </row>
    <row r="122" ht="15" customHeight="1">
      <c r="A122" t="inlineStr">
        <is>
          <t>A 61132-2024</t>
        </is>
      </c>
      <c r="B122" t="inlineStr">
        <is>
          <t>avverkningsanmälan</t>
        </is>
      </c>
      <c r="C122" t="inlineStr">
        <is>
          <t>Avverkning för att bevara och utveckla /försöksver</t>
        </is>
      </c>
      <c r="D122" s="1" t="n">
        <v>45645</v>
      </c>
      <c r="E122" s="1" t="n">
        <v>46223</v>
      </c>
      <c r="F122" t="inlineStr">
        <is>
          <t>ÖREBRO LÄN</t>
        </is>
      </c>
      <c r="G122" t="inlineStr">
        <is>
          <t>LINDESBERG</t>
        </is>
      </c>
      <c r="H122" t="inlineStr">
        <is>
          <t>Sveaskog</t>
        </is>
      </c>
      <c r="I122" t="n">
        <v>2.5</v>
      </c>
      <c r="J122" t="n">
        <v>0</v>
      </c>
      <c r="K122" t="n">
        <v>1</v>
      </c>
      <c r="L122" t="n">
        <v>0</v>
      </c>
      <c r="M122" t="n">
        <v>0</v>
      </c>
      <c r="N122" t="n">
        <v>0</v>
      </c>
      <c r="O122" t="n">
        <v>0</v>
      </c>
      <c r="P122" t="n">
        <v>0</v>
      </c>
      <c r="Q122" t="n">
        <v>0</v>
      </c>
      <c r="R122" t="n">
        <v>0</v>
      </c>
      <c r="S122" t="n">
        <v>1</v>
      </c>
      <c r="T122" t="n">
        <v>1</v>
      </c>
      <c r="U122" s="2" t="inlineStr">
        <is>
          <t>Bollvitmossa</t>
        </is>
      </c>
      <c r="V122">
        <f>HYPERLINK("https://klasma.github.io/Logging_1885/artfynd/A 61132-2024 artfynd.xlsx", "A 61132-2024")</f>
        <v/>
      </c>
      <c r="W122">
        <f>HYPERLINK("https://klasma.github.io/Logging_1885/kartor/A 61132-2024 karta.png", "A 61132-2024")</f>
        <v/>
      </c>
      <c r="X122">
        <f>HYPERLINK("https://klasma.github.io/Logging_1885/kartor_geotiff/A 61132-2024 georefererad karta.tif", "A 61132-2024")</f>
        <v/>
      </c>
      <c r="Z122">
        <f>HYPERLINK("https://klasma.github.io/Logging_1885/klagomål/A 61132-2024 FSC-klagomål.docx", "A 61132-2024")</f>
        <v/>
      </c>
      <c r="AA122">
        <f>HYPERLINK("https://klasma.github.io/Logging_1885/klagomålsmail/A 61132-2024 FSC-klagomål mail.docx", "A 61132-2024")</f>
        <v/>
      </c>
      <c r="AB122">
        <f>HYPERLINK("https://klasma.github.io/Logging_1885/tillsyn/A 61132-2024 tillsynsbegäran.docx", "A 61132-2024")</f>
        <v/>
      </c>
      <c r="AC122">
        <f>HYPERLINK("https://klasma.github.io/Logging_1885/tillsynsmail/A 61132-2024 tillsynsbegäran mail.docx", "A 61132-2024")</f>
        <v/>
      </c>
    </row>
    <row r="123" ht="15" customHeight="1">
      <c r="A123" t="inlineStr">
        <is>
          <t>A 21440-2025</t>
        </is>
      </c>
      <c r="B123" t="inlineStr">
        <is>
          <t>avverkningsanmälan</t>
        </is>
      </c>
      <c r="C123" t="inlineStr">
        <is>
          <t>Föryngringsavverkning</t>
        </is>
      </c>
      <c r="D123" s="1" t="n">
        <v>45782</v>
      </c>
      <c r="E123" s="1" t="n">
        <v>46223</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s="2" t="inlineStr">
        <is>
          <t>Motaggsvamp</t>
        </is>
      </c>
      <c r="V123">
        <f>HYPERLINK("https://klasma.github.io/Logging_1885/artfynd/A 21440-2025 artfynd.xlsx", "A 21440-2025")</f>
        <v/>
      </c>
      <c r="W123">
        <f>HYPERLINK("https://klasma.github.io/Logging_1885/kartor/A 21440-2025 karta.png", "A 21440-2025")</f>
        <v/>
      </c>
      <c r="X123">
        <f>HYPERLINK("https://klasma.github.io/Logging_1885/kartor_geotiff/A 21440-2025 georefererad karta.tif", "A 21440-2025")</f>
        <v/>
      </c>
      <c r="Z123">
        <f>HYPERLINK("https://klasma.github.io/Logging_1885/klagomål/A 21440-2025 FSC-klagomål.docx", "A 21440-2025")</f>
        <v/>
      </c>
      <c r="AA123">
        <f>HYPERLINK("https://klasma.github.io/Logging_1885/klagomålsmail/A 21440-2025 FSC-klagomål mail.docx", "A 21440-2025")</f>
        <v/>
      </c>
      <c r="AB123">
        <f>HYPERLINK("https://klasma.github.io/Logging_1885/tillsyn/A 21440-2025 tillsynsbegäran.docx", "A 21440-2025")</f>
        <v/>
      </c>
      <c r="AC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46223</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s="2" t="inlineStr">
        <is>
          <t>Bågpraktmossa</t>
        </is>
      </c>
      <c r="V124">
        <f>HYPERLINK("https://klasma.github.io/Logging_1885/artfynd/S 391-2025 artfynd.xlsx", "S 391-2025")</f>
        <v/>
      </c>
      <c r="W124">
        <f>HYPERLINK("https://klasma.github.io/Logging_1885/kartor/S 391-2025 karta.png", "S 391-2025")</f>
        <v/>
      </c>
      <c r="X124">
        <f>HYPERLINK("https://klasma.github.io/Logging_1885/kartor_geotiff/S 391-2025 georefererad karta.tif", "S 391-2025")</f>
        <v/>
      </c>
      <c r="Z124">
        <f>HYPERLINK("https://klasma.github.io/Logging_1885/klagomål/S 391-2025 FSC-klagomål.docx", "S 391-2025")</f>
        <v/>
      </c>
      <c r="AA124">
        <f>HYPERLINK("https://klasma.github.io/Logging_1885/klagomålsmail/S 391-2025 FSC-klagomål mail.docx", "S 391-2025")</f>
        <v/>
      </c>
      <c r="AB124">
        <f>HYPERLINK("https://klasma.github.io/Logging_1885/tillsyn/S 391-2025 tillsynsbegäran.docx", "S 391-2025")</f>
        <v/>
      </c>
      <c r="AC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46223</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s="2" t="inlineStr">
        <is>
          <t>Blåmossa</t>
        </is>
      </c>
      <c r="V125">
        <f>HYPERLINK("https://klasma.github.io/Logging_1885/artfynd/S 1095-2024 artfynd.xlsx", "S 1095-2024")</f>
        <v/>
      </c>
      <c r="W125">
        <f>HYPERLINK("https://klasma.github.io/Logging_1885/kartor/S 1095-2024 karta.png", "S 1095-2024")</f>
        <v/>
      </c>
      <c r="X125">
        <f>HYPERLINK("https://klasma.github.io/Logging_1885/kartor_geotiff/S 1095-2024 georefererad karta.tif", "S 1095-2024")</f>
        <v/>
      </c>
      <c r="Z125">
        <f>HYPERLINK("https://klasma.github.io/Logging_1885/klagomål/S 1095-2024 FSC-klagomål.docx", "S 1095-2024")</f>
        <v/>
      </c>
      <c r="AA125">
        <f>HYPERLINK("https://klasma.github.io/Logging_1885/klagomålsmail/S 1095-2024 FSC-klagomål mail.docx", "S 1095-2024")</f>
        <v/>
      </c>
      <c r="AB125">
        <f>HYPERLINK("https://klasma.github.io/Logging_1885/tillsyn/S 1095-2024 tillsynsbegäran.docx", "S 1095-2024")</f>
        <v/>
      </c>
      <c r="AC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46223</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s="2" t="inlineStr">
        <is>
          <t>Nordfladdermus</t>
        </is>
      </c>
      <c r="V126">
        <f>HYPERLINK("https://klasma.github.io/Logging_1885/artfynd/S 390-2025 artfynd.xlsx", "S 390-2025")</f>
        <v/>
      </c>
      <c r="W126">
        <f>HYPERLINK("https://klasma.github.io/Logging_1885/kartor/S 390-2025 karta.png", "S 390-2025")</f>
        <v/>
      </c>
      <c r="X126">
        <f>HYPERLINK("https://klasma.github.io/Logging_1885/kartor_geotiff/S 390-2025 georefererad karta.tif", "S 390-2025")</f>
        <v/>
      </c>
      <c r="Z126">
        <f>HYPERLINK("https://klasma.github.io/Logging_1885/klagomål/S 390-2025 FSC-klagomål.docx", "S 390-2025")</f>
        <v/>
      </c>
      <c r="AA126">
        <f>HYPERLINK("https://klasma.github.io/Logging_1885/klagomålsmail/S 390-2025 FSC-klagomål mail.docx", "S 390-2025")</f>
        <v/>
      </c>
      <c r="AB126">
        <f>HYPERLINK("https://klasma.github.io/Logging_1885/tillsyn/S 390-2025 tillsynsbegäran.docx", "S 390-2025")</f>
        <v/>
      </c>
      <c r="AC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46223</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43154-2021</t>
        </is>
      </c>
      <c r="B128" t="inlineStr">
        <is>
          <t>avverkningsanmälan</t>
        </is>
      </c>
      <c r="C128" t="inlineStr">
        <is>
          <t>Föryngringsavverkning</t>
        </is>
      </c>
      <c r="D128" s="1" t="n">
        <v>44431</v>
      </c>
      <c r="E128" s="1" t="n">
        <v>46223</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47457-2022</t>
        </is>
      </c>
      <c r="B129" t="inlineStr">
        <is>
          <t>avverkningsanmälan</t>
        </is>
      </c>
      <c r="C129" t="inlineStr">
        <is>
          <t>Föryngringsavverkning</t>
        </is>
      </c>
      <c r="D129" s="1" t="n">
        <v>44853</v>
      </c>
      <c r="E129" s="1" t="n">
        <v>46223</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60302-2021</t>
        </is>
      </c>
      <c r="B130" t="inlineStr">
        <is>
          <t>avverkningsanmälan</t>
        </is>
      </c>
      <c r="C130" t="inlineStr">
        <is>
          <t>Föryngringsavverkning</t>
        </is>
      </c>
      <c r="D130" s="1" t="n">
        <v>44495</v>
      </c>
      <c r="E130" s="1" t="n">
        <v>46223</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s="2" t="inlineStr"/>
    </row>
    <row r="131" ht="15" customHeight="1">
      <c r="A131" t="inlineStr">
        <is>
          <t>A 47336-2021</t>
        </is>
      </c>
      <c r="B131" t="inlineStr">
        <is>
          <t>avverkningsanmälan</t>
        </is>
      </c>
      <c r="C131" t="inlineStr">
        <is>
          <t>Föryngringsavverkning</t>
        </is>
      </c>
      <c r="D131" s="1" t="n">
        <v>44447</v>
      </c>
      <c r="E131" s="1" t="n">
        <v>46223</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48986-2021</t>
        </is>
      </c>
      <c r="B132" t="inlineStr">
        <is>
          <t>avverkningsanmälan</t>
        </is>
      </c>
      <c r="C132" t="inlineStr">
        <is>
          <t>Föryngringsavverkning</t>
        </is>
      </c>
      <c r="D132" s="1" t="n">
        <v>44453</v>
      </c>
      <c r="E132" s="1" t="n">
        <v>46223</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57817-2021</t>
        </is>
      </c>
      <c r="B133" t="inlineStr">
        <is>
          <t>avverkningsanmälan</t>
        </is>
      </c>
      <c r="C133" t="inlineStr">
        <is>
          <t>Föryngringsavverkning</t>
        </is>
      </c>
      <c r="D133" s="1" t="n">
        <v>44484</v>
      </c>
      <c r="E133" s="1" t="n">
        <v>46223</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63285-2021</t>
        </is>
      </c>
      <c r="B134" t="inlineStr">
        <is>
          <t>avverkningsanmälan</t>
        </is>
      </c>
      <c r="C134" t="inlineStr">
        <is>
          <t>Föryngringsavverkning</t>
        </is>
      </c>
      <c r="D134" s="1" t="n">
        <v>44508</v>
      </c>
      <c r="E134" s="1" t="n">
        <v>46223</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s="2" t="inlineStr"/>
    </row>
    <row r="135" ht="15" customHeight="1">
      <c r="A135" t="inlineStr">
        <is>
          <t>A 62586-2021</t>
        </is>
      </c>
      <c r="B135" t="inlineStr">
        <is>
          <t>avverkningsanmälan</t>
        </is>
      </c>
      <c r="C135" t="inlineStr">
        <is>
          <t>Föryngringsavverkning</t>
        </is>
      </c>
      <c r="D135" s="1" t="n">
        <v>44503</v>
      </c>
      <c r="E135" s="1" t="n">
        <v>46223</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s="2" t="inlineStr"/>
    </row>
    <row r="136" ht="15" customHeight="1">
      <c r="A136" t="inlineStr">
        <is>
          <t>A 51468-2021</t>
        </is>
      </c>
      <c r="B136" t="inlineStr">
        <is>
          <t>avverkningsanmälan</t>
        </is>
      </c>
      <c r="C136" t="inlineStr">
        <is>
          <t>Föryngringsavverkning</t>
        </is>
      </c>
      <c r="D136" s="1" t="n">
        <v>44462</v>
      </c>
      <c r="E136" s="1" t="n">
        <v>46223</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8555-2022</t>
        </is>
      </c>
      <c r="B137" t="inlineStr">
        <is>
          <t>avverkningsanmälan</t>
        </is>
      </c>
      <c r="C137" t="inlineStr">
        <is>
          <t>Föryngringsavverkning</t>
        </is>
      </c>
      <c r="D137" s="1" t="n">
        <v>44613</v>
      </c>
      <c r="E137" s="1" t="n">
        <v>46223</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s="2" t="inlineStr"/>
    </row>
    <row r="138" ht="15" customHeight="1">
      <c r="A138" t="inlineStr">
        <is>
          <t>A 42511-2021</t>
        </is>
      </c>
      <c r="B138" t="inlineStr">
        <is>
          <t>avverkningsanmälan</t>
        </is>
      </c>
      <c r="C138" t="inlineStr">
        <is>
          <t>Föryngringsavverkning</t>
        </is>
      </c>
      <c r="D138" s="1" t="n">
        <v>44427</v>
      </c>
      <c r="E138" s="1" t="n">
        <v>46223</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45961-2021</t>
        </is>
      </c>
      <c r="B139" t="inlineStr">
        <is>
          <t>avverkningsanmälan</t>
        </is>
      </c>
      <c r="C139" t="inlineStr">
        <is>
          <t>Föryngringsavverkning</t>
        </is>
      </c>
      <c r="D139" s="1" t="n">
        <v>44441</v>
      </c>
      <c r="E139" s="1" t="n">
        <v>46223</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43153-2021</t>
        </is>
      </c>
      <c r="B140" t="inlineStr">
        <is>
          <t>avverkningsanmälan</t>
        </is>
      </c>
      <c r="C140" t="inlineStr">
        <is>
          <t>Föryngringsavverkning</t>
        </is>
      </c>
      <c r="D140" s="1" t="n">
        <v>44431</v>
      </c>
      <c r="E140" s="1" t="n">
        <v>46223</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23583-2022</t>
        </is>
      </c>
      <c r="B141" t="inlineStr">
        <is>
          <t>avverkningsanmälan</t>
        </is>
      </c>
      <c r="C141" t="inlineStr">
        <is>
          <t>Föryngringsavverkning</t>
        </is>
      </c>
      <c r="D141" s="1" t="n">
        <v>44721</v>
      </c>
      <c r="E141" s="1" t="n">
        <v>46223</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23971-2022</t>
        </is>
      </c>
      <c r="B142" t="inlineStr">
        <is>
          <t>avverkningsanmälan</t>
        </is>
      </c>
      <c r="C142" t="inlineStr">
        <is>
          <t>Föryngringsavverkning</t>
        </is>
      </c>
      <c r="D142" s="1" t="n">
        <v>44722</v>
      </c>
      <c r="E142" s="1" t="n">
        <v>46223</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s="2" t="inlineStr"/>
    </row>
    <row r="143" ht="15" customHeight="1">
      <c r="A143" t="inlineStr">
        <is>
          <t>A 2106-2022</t>
        </is>
      </c>
      <c r="B143" t="inlineStr">
        <is>
          <t>avverkningsanmälan</t>
        </is>
      </c>
      <c r="C143" t="inlineStr">
        <is>
          <t>Föryngringsavverkning</t>
        </is>
      </c>
      <c r="D143" s="1" t="n">
        <v>44577</v>
      </c>
      <c r="E143" s="1" t="n">
        <v>46223</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49743-2022</t>
        </is>
      </c>
      <c r="B144" t="inlineStr">
        <is>
          <t>avverkningsanmälan</t>
        </is>
      </c>
      <c r="C144" t="inlineStr">
        <is>
          <t>Föryngringsavverkning</t>
        </is>
      </c>
      <c r="D144" s="1" t="n">
        <v>44862</v>
      </c>
      <c r="E144" s="1" t="n">
        <v>46223</v>
      </c>
      <c r="F144" t="inlineStr">
        <is>
          <t>ÖREBRO LÄN</t>
        </is>
      </c>
      <c r="G144" t="inlineStr">
        <is>
          <t>LINDESBERG</t>
        </is>
      </c>
      <c r="H144" t="inlineStr">
        <is>
          <t>Sveaskog</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51122-2021</t>
        </is>
      </c>
      <c r="B145" t="inlineStr">
        <is>
          <t>avverkningsanmälan</t>
        </is>
      </c>
      <c r="C145" t="inlineStr">
        <is>
          <t>Föryngringsavverkning</t>
        </is>
      </c>
      <c r="D145" s="1" t="n">
        <v>44460</v>
      </c>
      <c r="E145" s="1" t="n">
        <v>46223</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56695-2021</t>
        </is>
      </c>
      <c r="B146" t="inlineStr">
        <is>
          <t>avverkningsanmälan</t>
        </is>
      </c>
      <c r="C146" t="inlineStr">
        <is>
          <t>Föryngringsavverkning</t>
        </is>
      </c>
      <c r="D146" s="1" t="n">
        <v>44481</v>
      </c>
      <c r="E146" s="1" t="n">
        <v>46223</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12522-2022</t>
        </is>
      </c>
      <c r="B147" t="inlineStr">
        <is>
          <t>avverkningsanmälan</t>
        </is>
      </c>
      <c r="C147" t="inlineStr">
        <is>
          <t>Föryngringsavverkning</t>
        </is>
      </c>
      <c r="D147" s="1" t="n">
        <v>44638</v>
      </c>
      <c r="E147" s="1" t="n">
        <v>46223</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s="2" t="inlineStr"/>
    </row>
    <row r="148" ht="15" customHeight="1">
      <c r="A148" t="inlineStr">
        <is>
          <t>A 29623-2022</t>
        </is>
      </c>
      <c r="B148" t="inlineStr">
        <is>
          <t>avverkningsanmälan</t>
        </is>
      </c>
      <c r="C148" t="inlineStr">
        <is>
          <t>Föryngringsavverkning</t>
        </is>
      </c>
      <c r="D148" s="1" t="n">
        <v>44754</v>
      </c>
      <c r="E148" s="1" t="n">
        <v>46223</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s="2" t="inlineStr"/>
    </row>
    <row r="149" ht="15" customHeight="1">
      <c r="A149" t="inlineStr">
        <is>
          <t>A 22738-2022</t>
        </is>
      </c>
      <c r="B149" t="inlineStr">
        <is>
          <t>avverkningsanmälan</t>
        </is>
      </c>
      <c r="C149" t="inlineStr">
        <is>
          <t>Föryngringsavverkning</t>
        </is>
      </c>
      <c r="D149" s="1" t="n">
        <v>44714</v>
      </c>
      <c r="E149" s="1" t="n">
        <v>46223</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s="2" t="inlineStr"/>
    </row>
    <row r="150" ht="15" customHeight="1">
      <c r="A150" t="inlineStr">
        <is>
          <t>A 10821-2022</t>
        </is>
      </c>
      <c r="B150" t="inlineStr">
        <is>
          <t>avverkningsanmälan</t>
        </is>
      </c>
      <c r="C150" t="inlineStr">
        <is>
          <t>Föryngringsavverkning</t>
        </is>
      </c>
      <c r="D150" s="1" t="n">
        <v>44627</v>
      </c>
      <c r="E150" s="1" t="n">
        <v>46223</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33760-2022</t>
        </is>
      </c>
      <c r="B151" t="inlineStr">
        <is>
          <t>avverkningsanmälan</t>
        </is>
      </c>
      <c r="C151" t="inlineStr">
        <is>
          <t>Avverkning för annat ändamål</t>
        </is>
      </c>
      <c r="D151" s="1" t="n">
        <v>44790</v>
      </c>
      <c r="E151" s="1" t="n">
        <v>46223</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16939-2022</t>
        </is>
      </c>
      <c r="B152" t="inlineStr">
        <is>
          <t>avverkningsanmälan</t>
        </is>
      </c>
      <c r="C152" t="inlineStr">
        <is>
          <t>Avverkning för annat ändamål</t>
        </is>
      </c>
      <c r="D152" s="1" t="n">
        <v>44676</v>
      </c>
      <c r="E152" s="1" t="n">
        <v>46223</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6958-2022</t>
        </is>
      </c>
      <c r="B153" t="inlineStr">
        <is>
          <t>avverkningsanmälan</t>
        </is>
      </c>
      <c r="C153" t="inlineStr">
        <is>
          <t>Föryngringsavverkning</t>
        </is>
      </c>
      <c r="D153" s="1" t="n">
        <v>44603</v>
      </c>
      <c r="E153" s="1" t="n">
        <v>46223</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11361-2022</t>
        </is>
      </c>
      <c r="B154" t="inlineStr">
        <is>
          <t>avverkningsanmälan</t>
        </is>
      </c>
      <c r="C154" t="inlineStr">
        <is>
          <t>Föryngringsavverkning</t>
        </is>
      </c>
      <c r="D154" s="1" t="n">
        <v>44630</v>
      </c>
      <c r="E154" s="1" t="n">
        <v>46223</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49745-2022</t>
        </is>
      </c>
      <c r="B155" t="inlineStr">
        <is>
          <t>avverkningsanmälan</t>
        </is>
      </c>
      <c r="C155" t="inlineStr">
        <is>
          <t>Föryngringsavverkning</t>
        </is>
      </c>
      <c r="D155" s="1" t="n">
        <v>44862</v>
      </c>
      <c r="E155" s="1" t="n">
        <v>46223</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11164-2022</t>
        </is>
      </c>
      <c r="B156" t="inlineStr">
        <is>
          <t>avverkningsanmälan</t>
        </is>
      </c>
      <c r="C156" t="inlineStr">
        <is>
          <t>Föryngringsavverkning</t>
        </is>
      </c>
      <c r="D156" s="1" t="n">
        <v>44629</v>
      </c>
      <c r="E156" s="1" t="n">
        <v>46223</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s="2" t="inlineStr"/>
    </row>
    <row r="157" ht="15" customHeight="1">
      <c r="A157" t="inlineStr">
        <is>
          <t>A 22481-2022</t>
        </is>
      </c>
      <c r="B157" t="inlineStr">
        <is>
          <t>avverkningsanmälan</t>
        </is>
      </c>
      <c r="C157" t="inlineStr">
        <is>
          <t>Avverkning för att bevara och utveckla /försöksver</t>
        </is>
      </c>
      <c r="D157" s="1" t="n">
        <v>44713</v>
      </c>
      <c r="E157" s="1" t="n">
        <v>46223</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16435-2022</t>
        </is>
      </c>
      <c r="B158" t="inlineStr">
        <is>
          <t>avverkningsanmälan</t>
        </is>
      </c>
      <c r="C158" t="inlineStr">
        <is>
          <t>Föryngringsavverkning</t>
        </is>
      </c>
      <c r="D158" s="1" t="n">
        <v>44671</v>
      </c>
      <c r="E158" s="1" t="n">
        <v>46223</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21606-2022</t>
        </is>
      </c>
      <c r="B159" t="inlineStr">
        <is>
          <t>avverkningsanmälan</t>
        </is>
      </c>
      <c r="C159" t="inlineStr">
        <is>
          <t>Föryngringsavverkning</t>
        </is>
      </c>
      <c r="D159" s="1" t="n">
        <v>44706</v>
      </c>
      <c r="E159" s="1" t="n">
        <v>46223</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53153-2021</t>
        </is>
      </c>
      <c r="B160" t="inlineStr">
        <is>
          <t>avverkningsanmälan</t>
        </is>
      </c>
      <c r="C160" t="inlineStr">
        <is>
          <t>Avverkning för att bevara och utveckla /försöksver</t>
        </is>
      </c>
      <c r="D160" s="1" t="n">
        <v>44468</v>
      </c>
      <c r="E160" s="1" t="n">
        <v>46223</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s="2" t="inlineStr"/>
    </row>
    <row r="161" ht="15" customHeight="1">
      <c r="A161" t="inlineStr">
        <is>
          <t>A 40099-2021</t>
        </is>
      </c>
      <c r="B161" t="inlineStr">
        <is>
          <t>avverkningsanmälan</t>
        </is>
      </c>
      <c r="C161" t="inlineStr">
        <is>
          <t>Föryngringsavverkning</t>
        </is>
      </c>
      <c r="D161" s="1" t="n">
        <v>44418</v>
      </c>
      <c r="E161" s="1" t="n">
        <v>46223</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2110-2022</t>
        </is>
      </c>
      <c r="B162" t="inlineStr">
        <is>
          <t>avverkningsanmälan</t>
        </is>
      </c>
      <c r="C162" t="inlineStr">
        <is>
          <t>Föryngringsavverkning</t>
        </is>
      </c>
      <c r="D162" s="1" t="n">
        <v>44577</v>
      </c>
      <c r="E162" s="1" t="n">
        <v>46223</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62981-2021</t>
        </is>
      </c>
      <c r="B163" t="inlineStr">
        <is>
          <t>avverkningsanmälan</t>
        </is>
      </c>
      <c r="C163" t="inlineStr">
        <is>
          <t>Föryngringsavverkning</t>
        </is>
      </c>
      <c r="D163" s="1" t="n">
        <v>44505</v>
      </c>
      <c r="E163" s="1" t="n">
        <v>46223</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16424-2022</t>
        </is>
      </c>
      <c r="B164" t="inlineStr">
        <is>
          <t>avverkningsanmälan</t>
        </is>
      </c>
      <c r="C164" t="inlineStr">
        <is>
          <t>Föryngringsavverkning</t>
        </is>
      </c>
      <c r="D164" s="1" t="n">
        <v>44671</v>
      </c>
      <c r="E164" s="1" t="n">
        <v>46223</v>
      </c>
      <c r="F164" t="inlineStr">
        <is>
          <t>ÖREBRO LÄN</t>
        </is>
      </c>
      <c r="G164" t="inlineStr">
        <is>
          <t>LINDESBERG</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72713-2021</t>
        </is>
      </c>
      <c r="B165" t="inlineStr">
        <is>
          <t>avverkningsanmälan</t>
        </is>
      </c>
      <c r="C165" t="inlineStr">
        <is>
          <t>Föryngringsavverkning</t>
        </is>
      </c>
      <c r="D165" s="1" t="n">
        <v>44546</v>
      </c>
      <c r="E165" s="1" t="n">
        <v>46223</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40351-2022</t>
        </is>
      </c>
      <c r="B166" t="inlineStr">
        <is>
          <t>avverkningsanmälan</t>
        </is>
      </c>
      <c r="C166" t="inlineStr">
        <is>
          <t>Föryngringsavverkning</t>
        </is>
      </c>
      <c r="D166" s="1" t="n">
        <v>44823</v>
      </c>
      <c r="E166" s="1" t="n">
        <v>46223</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67060-2021</t>
        </is>
      </c>
      <c r="B167" t="inlineStr">
        <is>
          <t>avverkningsanmälan</t>
        </is>
      </c>
      <c r="C167" t="inlineStr">
        <is>
          <t>Föryngringsavverkning</t>
        </is>
      </c>
      <c r="D167" s="1" t="n">
        <v>44522</v>
      </c>
      <c r="E167" s="1" t="n">
        <v>46223</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s="2" t="inlineStr"/>
    </row>
    <row r="168" ht="15" customHeight="1">
      <c r="A168" t="inlineStr">
        <is>
          <t>A 11926-2022</t>
        </is>
      </c>
      <c r="B168" t="inlineStr">
        <is>
          <t>avverkningsanmälan</t>
        </is>
      </c>
      <c r="C168" t="inlineStr">
        <is>
          <t>Föryngringsavverkning</t>
        </is>
      </c>
      <c r="D168" s="1" t="n">
        <v>44635</v>
      </c>
      <c r="E168" s="1" t="n">
        <v>46223</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44197-2021</t>
        </is>
      </c>
      <c r="B169" t="inlineStr">
        <is>
          <t>avverkningsanmälan</t>
        </is>
      </c>
      <c r="C169" t="inlineStr">
        <is>
          <t>Föryngringsavverkning</t>
        </is>
      </c>
      <c r="D169" s="1" t="n">
        <v>44434</v>
      </c>
      <c r="E169" s="1" t="n">
        <v>46223</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57765-2021</t>
        </is>
      </c>
      <c r="B170" t="inlineStr">
        <is>
          <t>avverkningsanmälan</t>
        </is>
      </c>
      <c r="C170" t="inlineStr">
        <is>
          <t>Föryngringsavverkning</t>
        </is>
      </c>
      <c r="D170" s="1" t="n">
        <v>44484</v>
      </c>
      <c r="E170" s="1" t="n">
        <v>46223</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s="2" t="inlineStr"/>
    </row>
    <row r="171" ht="15" customHeight="1">
      <c r="A171" t="inlineStr">
        <is>
          <t>A 19612-2022</t>
        </is>
      </c>
      <c r="B171" t="inlineStr">
        <is>
          <t>avverkningsanmälan</t>
        </is>
      </c>
      <c r="C171" t="inlineStr">
        <is>
          <t>Föryngringsavverkning</t>
        </is>
      </c>
      <c r="D171" s="1" t="n">
        <v>44694</v>
      </c>
      <c r="E171" s="1" t="n">
        <v>46223</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63071-2021</t>
        </is>
      </c>
      <c r="B172" t="inlineStr">
        <is>
          <t>avverkningsanmälan</t>
        </is>
      </c>
      <c r="C172" t="inlineStr">
        <is>
          <t>Föryngringsavverkning</t>
        </is>
      </c>
      <c r="D172" s="1" t="n">
        <v>44505</v>
      </c>
      <c r="E172" s="1" t="n">
        <v>46223</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59182-2021</t>
        </is>
      </c>
      <c r="B173" t="inlineStr">
        <is>
          <t>avverkningsanmälan</t>
        </is>
      </c>
      <c r="C173" t="inlineStr">
        <is>
          <t>Föryngringsavverkning</t>
        </is>
      </c>
      <c r="D173" s="1" t="n">
        <v>44490</v>
      </c>
      <c r="E173" s="1" t="n">
        <v>46223</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11271-2022</t>
        </is>
      </c>
      <c r="B174" t="inlineStr">
        <is>
          <t>avverkningsanmälan</t>
        </is>
      </c>
      <c r="C174" t="inlineStr">
        <is>
          <t>Föryngringsavverkning</t>
        </is>
      </c>
      <c r="D174" s="1" t="n">
        <v>44629</v>
      </c>
      <c r="E174" s="1" t="n">
        <v>46223</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s="2" t="inlineStr"/>
    </row>
    <row r="175" ht="15" customHeight="1">
      <c r="A175" t="inlineStr">
        <is>
          <t>A 41580-2021</t>
        </is>
      </c>
      <c r="B175" t="inlineStr">
        <is>
          <t>avverkningsanmälan</t>
        </is>
      </c>
      <c r="C175" t="inlineStr">
        <is>
          <t>Föryngringsavverkning</t>
        </is>
      </c>
      <c r="D175" s="1" t="n">
        <v>44425</v>
      </c>
      <c r="E175" s="1" t="n">
        <v>46223</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50498-2021</t>
        </is>
      </c>
      <c r="B176" t="inlineStr">
        <is>
          <t>avverkningsanmälan</t>
        </is>
      </c>
      <c r="C176" t="inlineStr">
        <is>
          <t>Föryngringsavverkning</t>
        </is>
      </c>
      <c r="D176" s="1" t="n">
        <v>44459</v>
      </c>
      <c r="E176" s="1" t="n">
        <v>46223</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16123-2022</t>
        </is>
      </c>
      <c r="B177" t="inlineStr">
        <is>
          <t>avverkningsanmälan</t>
        </is>
      </c>
      <c r="C177" t="inlineStr">
        <is>
          <t>Föryngringsavverkning</t>
        </is>
      </c>
      <c r="D177" s="1" t="n">
        <v>44665</v>
      </c>
      <c r="E177" s="1" t="n">
        <v>46223</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s="2" t="inlineStr"/>
    </row>
    <row r="178" ht="15" customHeight="1">
      <c r="A178" t="inlineStr">
        <is>
          <t>A 47425-2021</t>
        </is>
      </c>
      <c r="B178" t="inlineStr">
        <is>
          <t>avverkningsanmälan</t>
        </is>
      </c>
      <c r="C178" t="inlineStr">
        <is>
          <t>Föryngringsavverkning</t>
        </is>
      </c>
      <c r="D178" s="1" t="n">
        <v>44447</v>
      </c>
      <c r="E178" s="1" t="n">
        <v>46223</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43453-2021</t>
        </is>
      </c>
      <c r="B179" t="inlineStr">
        <is>
          <t>avverkningsanmälan</t>
        </is>
      </c>
      <c r="C179" t="inlineStr">
        <is>
          <t>Föryngringsavverkning</t>
        </is>
      </c>
      <c r="D179" s="1" t="n">
        <v>44432</v>
      </c>
      <c r="E179" s="1" t="n">
        <v>46223</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5338-2022</t>
        </is>
      </c>
      <c r="B180" t="inlineStr">
        <is>
          <t>avverkningsanmälan</t>
        </is>
      </c>
      <c r="C180" t="inlineStr">
        <is>
          <t>Avverkning för annat ändamål</t>
        </is>
      </c>
      <c r="D180" s="1" t="n">
        <v>44594</v>
      </c>
      <c r="E180" s="1" t="n">
        <v>46223</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58103-2021</t>
        </is>
      </c>
      <c r="B181" t="inlineStr">
        <is>
          <t>avverkningsanmälan</t>
        </is>
      </c>
      <c r="C181" t="inlineStr">
        <is>
          <t>Föryngringsavverkning</t>
        </is>
      </c>
      <c r="D181" s="1" t="n">
        <v>44487</v>
      </c>
      <c r="E181" s="1" t="n">
        <v>46223</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60900-2021</t>
        </is>
      </c>
      <c r="B182" t="inlineStr">
        <is>
          <t>avverkningsanmälan</t>
        </is>
      </c>
      <c r="C182" t="inlineStr">
        <is>
          <t>Föryngringsavverkning</t>
        </is>
      </c>
      <c r="D182" s="1" t="n">
        <v>44497</v>
      </c>
      <c r="E182" s="1" t="n">
        <v>46223</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s="2" t="inlineStr"/>
    </row>
    <row r="183" ht="15" customHeight="1">
      <c r="A183" t="inlineStr">
        <is>
          <t>A 50069-2021</t>
        </is>
      </c>
      <c r="B183" t="inlineStr">
        <is>
          <t>avverkningsanmälan</t>
        </is>
      </c>
      <c r="C183" t="inlineStr">
        <is>
          <t>Föryngringsavverkning</t>
        </is>
      </c>
      <c r="D183" s="1" t="n">
        <v>44456</v>
      </c>
      <c r="E183" s="1" t="n">
        <v>46223</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s="2" t="inlineStr"/>
    </row>
    <row r="184" ht="15" customHeight="1">
      <c r="A184" t="inlineStr">
        <is>
          <t>A 52187-2021</t>
        </is>
      </c>
      <c r="B184" t="inlineStr">
        <is>
          <t>avverkningsanmälan</t>
        </is>
      </c>
      <c r="C184" t="inlineStr">
        <is>
          <t>Föryngringsavverkning</t>
        </is>
      </c>
      <c r="D184" s="1" t="n">
        <v>44463</v>
      </c>
      <c r="E184" s="1" t="n">
        <v>46223</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39773-2022</t>
        </is>
      </c>
      <c r="B185" t="inlineStr">
        <is>
          <t>avverkningsanmälan</t>
        </is>
      </c>
      <c r="C185" t="inlineStr">
        <is>
          <t>Föryngringsavverkning</t>
        </is>
      </c>
      <c r="D185" s="1" t="n">
        <v>44819</v>
      </c>
      <c r="E185" s="1" t="n">
        <v>46223</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25885-2022</t>
        </is>
      </c>
      <c r="B186" t="inlineStr">
        <is>
          <t>avverkningsanmälan</t>
        </is>
      </c>
      <c r="C186" t="inlineStr">
        <is>
          <t>Föryngringsavverkning</t>
        </is>
      </c>
      <c r="D186" s="1" t="n">
        <v>44733</v>
      </c>
      <c r="E186" s="1" t="n">
        <v>46223</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16600-2022</t>
        </is>
      </c>
      <c r="B187" t="inlineStr">
        <is>
          <t>avverkningsanmälan</t>
        </is>
      </c>
      <c r="C187" t="inlineStr">
        <is>
          <t>Föryngringsavverkning</t>
        </is>
      </c>
      <c r="D187" s="1" t="n">
        <v>44672</v>
      </c>
      <c r="E187" s="1" t="n">
        <v>46223</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s="2" t="inlineStr"/>
    </row>
    <row r="188" ht="15" customHeight="1">
      <c r="A188" t="inlineStr">
        <is>
          <t>A 41207-2022</t>
        </is>
      </c>
      <c r="B188" t="inlineStr">
        <is>
          <t>avverkningsanmälan</t>
        </is>
      </c>
      <c r="C188" t="inlineStr">
        <is>
          <t>Föryngringsavverkning</t>
        </is>
      </c>
      <c r="D188" s="1" t="n">
        <v>44825</v>
      </c>
      <c r="E188" s="1" t="n">
        <v>46223</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44677-2021</t>
        </is>
      </c>
      <c r="B189" t="inlineStr">
        <is>
          <t>avverkningsanmälan</t>
        </is>
      </c>
      <c r="C189" t="inlineStr">
        <is>
          <t>Föryngringsavverkning</t>
        </is>
      </c>
      <c r="D189" s="1" t="n">
        <v>44438</v>
      </c>
      <c r="E189" s="1" t="n">
        <v>46223</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10277-2022</t>
        </is>
      </c>
      <c r="B190" t="inlineStr">
        <is>
          <t>avverkningsanmälan</t>
        </is>
      </c>
      <c r="C190" t="inlineStr">
        <is>
          <t>Föryngringsavverkning</t>
        </is>
      </c>
      <c r="D190" s="1" t="n">
        <v>44622</v>
      </c>
      <c r="E190" s="1" t="n">
        <v>46223</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s="2" t="inlineStr"/>
    </row>
    <row r="191" ht="15" customHeight="1">
      <c r="A191" t="inlineStr">
        <is>
          <t>A 48154-2021</t>
        </is>
      </c>
      <c r="B191" t="inlineStr">
        <is>
          <t>avverkningsanmälan</t>
        </is>
      </c>
      <c r="C191" t="inlineStr">
        <is>
          <t>Avverkning för annat ändamål</t>
        </is>
      </c>
      <c r="D191" s="1" t="n">
        <v>44449</v>
      </c>
      <c r="E191" s="1" t="n">
        <v>46223</v>
      </c>
      <c r="F191" t="inlineStr">
        <is>
          <t>ÖREBRO LÄN</t>
        </is>
      </c>
      <c r="G191" t="inlineStr">
        <is>
          <t>LINDESBERG</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52851-2022</t>
        </is>
      </c>
      <c r="B192" t="inlineStr">
        <is>
          <t>avverkningsanmälan</t>
        </is>
      </c>
      <c r="C192" t="inlineStr">
        <is>
          <t>Föryngringsavverkning</t>
        </is>
      </c>
      <c r="D192" s="1" t="n">
        <v>44875</v>
      </c>
      <c r="E192" s="1" t="n">
        <v>46223</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59655-2021</t>
        </is>
      </c>
      <c r="B193" t="inlineStr">
        <is>
          <t>avverkningsanmälan</t>
        </is>
      </c>
      <c r="C193" t="inlineStr">
        <is>
          <t>Föryngringsavverkning</t>
        </is>
      </c>
      <c r="D193" s="1" t="n">
        <v>44491</v>
      </c>
      <c r="E193" s="1" t="n">
        <v>46223</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s="2" t="inlineStr"/>
    </row>
    <row r="194" ht="15" customHeight="1">
      <c r="A194" t="inlineStr">
        <is>
          <t>A 68491-2021</t>
        </is>
      </c>
      <c r="B194" t="inlineStr">
        <is>
          <t>avverkningsanmälan</t>
        </is>
      </c>
      <c r="C194" t="inlineStr">
        <is>
          <t>Föryngringsavverkning</t>
        </is>
      </c>
      <c r="D194" s="1" t="n">
        <v>44526</v>
      </c>
      <c r="E194" s="1" t="n">
        <v>46223</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47044-2021</t>
        </is>
      </c>
      <c r="B195" t="inlineStr">
        <is>
          <t>avverkningsanmälan</t>
        </is>
      </c>
      <c r="C195" t="inlineStr">
        <is>
          <t>Föryngringsavverkning</t>
        </is>
      </c>
      <c r="D195" s="1" t="n">
        <v>44446</v>
      </c>
      <c r="E195" s="1" t="n">
        <v>46223</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s="2" t="inlineStr"/>
    </row>
    <row r="196" ht="15" customHeight="1">
      <c r="A196" t="inlineStr">
        <is>
          <t>A 56123-2022</t>
        </is>
      </c>
      <c r="B196" t="inlineStr">
        <is>
          <t>avverkningsanmälan</t>
        </is>
      </c>
      <c r="C196" t="inlineStr">
        <is>
          <t>Föryngringsavverkning</t>
        </is>
      </c>
      <c r="D196" s="1" t="n">
        <v>44889</v>
      </c>
      <c r="E196" s="1" t="n">
        <v>46223</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6726-2022</t>
        </is>
      </c>
      <c r="B197" t="inlineStr">
        <is>
          <t>avverkningsanmälan</t>
        </is>
      </c>
      <c r="C197" t="inlineStr">
        <is>
          <t>Föryngringsavverkning</t>
        </is>
      </c>
      <c r="D197" s="1" t="n">
        <v>44602</v>
      </c>
      <c r="E197" s="1" t="n">
        <v>46223</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31950-2022</t>
        </is>
      </c>
      <c r="B198" t="inlineStr">
        <is>
          <t>avverkningsanmälan</t>
        </is>
      </c>
      <c r="C198" t="inlineStr">
        <is>
          <t>Föryngringsavverkning</t>
        </is>
      </c>
      <c r="D198" s="1" t="n">
        <v>44777</v>
      </c>
      <c r="E198" s="1" t="n">
        <v>46223</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16130-2022</t>
        </is>
      </c>
      <c r="B199" t="inlineStr">
        <is>
          <t>avverkningsanmälan</t>
        </is>
      </c>
      <c r="C199" t="inlineStr">
        <is>
          <t>Föryngringsavverkning</t>
        </is>
      </c>
      <c r="D199" s="1" t="n">
        <v>44665</v>
      </c>
      <c r="E199" s="1" t="n">
        <v>46223</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48365-2021</t>
        </is>
      </c>
      <c r="B200" t="inlineStr">
        <is>
          <t>avverkningsanmälan</t>
        </is>
      </c>
      <c r="C200" t="inlineStr">
        <is>
          <t>Föryngringsavverkning</t>
        </is>
      </c>
      <c r="D200" s="1" t="n">
        <v>44451</v>
      </c>
      <c r="E200" s="1" t="n">
        <v>46223</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62010-2021</t>
        </is>
      </c>
      <c r="B201" t="inlineStr">
        <is>
          <t>avverkningsanmälan</t>
        </is>
      </c>
      <c r="C201" t="inlineStr">
        <is>
          <t>Föryngringsavverkning</t>
        </is>
      </c>
      <c r="D201" s="1" t="n">
        <v>44502</v>
      </c>
      <c r="E201" s="1" t="n">
        <v>46223</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s="2" t="inlineStr"/>
    </row>
    <row r="202" ht="15" customHeight="1">
      <c r="A202" t="inlineStr">
        <is>
          <t>A 62014-2021</t>
        </is>
      </c>
      <c r="B202" t="inlineStr">
        <is>
          <t>avverkningsanmälan</t>
        </is>
      </c>
      <c r="C202" t="inlineStr">
        <is>
          <t>Föryngringsavverkning</t>
        </is>
      </c>
      <c r="D202" s="1" t="n">
        <v>44502</v>
      </c>
      <c r="E202" s="1" t="n">
        <v>46223</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56681-2021</t>
        </is>
      </c>
      <c r="B203" t="inlineStr">
        <is>
          <t>avverkningsanmälan</t>
        </is>
      </c>
      <c r="C203" t="inlineStr">
        <is>
          <t>Föryngringsavverkning</t>
        </is>
      </c>
      <c r="D203" s="1" t="n">
        <v>44481</v>
      </c>
      <c r="E203" s="1" t="n">
        <v>46223</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59671-2021</t>
        </is>
      </c>
      <c r="B204" t="inlineStr">
        <is>
          <t>avverkningsanmälan</t>
        </is>
      </c>
      <c r="C204" t="inlineStr">
        <is>
          <t>Föryngringsavverkning</t>
        </is>
      </c>
      <c r="D204" s="1" t="n">
        <v>44491</v>
      </c>
      <c r="E204" s="1" t="n">
        <v>46223</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32907-2022</t>
        </is>
      </c>
      <c r="B205" t="inlineStr">
        <is>
          <t>avverkningsanmälan</t>
        </is>
      </c>
      <c r="C205" t="inlineStr">
        <is>
          <t>Föryngringsavverkning</t>
        </is>
      </c>
      <c r="D205" s="1" t="n">
        <v>44784</v>
      </c>
      <c r="E205" s="1" t="n">
        <v>46223</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48939-2021</t>
        </is>
      </c>
      <c r="B206" t="inlineStr">
        <is>
          <t>avverkningsanmälan</t>
        </is>
      </c>
      <c r="C206" t="inlineStr">
        <is>
          <t>Föryngringsavverkning</t>
        </is>
      </c>
      <c r="D206" s="1" t="n">
        <v>44453</v>
      </c>
      <c r="E206" s="1" t="n">
        <v>46223</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40692-2021</t>
        </is>
      </c>
      <c r="B207" t="inlineStr">
        <is>
          <t>avverkningsanmälan</t>
        </is>
      </c>
      <c r="C207" t="inlineStr">
        <is>
          <t>Föryngringsavverkning</t>
        </is>
      </c>
      <c r="D207" s="1" t="n">
        <v>44420</v>
      </c>
      <c r="E207" s="1" t="n">
        <v>46223</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49055-2022</t>
        </is>
      </c>
      <c r="B208" t="inlineStr">
        <is>
          <t>avverkningsanmälan</t>
        </is>
      </c>
      <c r="C208" t="inlineStr">
        <is>
          <t>Föryngringsavverkning</t>
        </is>
      </c>
      <c r="D208" s="1" t="n">
        <v>44860</v>
      </c>
      <c r="E208" s="1" t="n">
        <v>46223</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70500-2021</t>
        </is>
      </c>
      <c r="B209" t="inlineStr">
        <is>
          <t>avverkningsanmälan</t>
        </is>
      </c>
      <c r="C209" t="inlineStr">
        <is>
          <t>Föryngringsavverkning</t>
        </is>
      </c>
      <c r="D209" s="1" t="n">
        <v>44536</v>
      </c>
      <c r="E209" s="1" t="n">
        <v>46223</v>
      </c>
      <c r="F209" t="inlineStr">
        <is>
          <t>ÖREBRO LÄN</t>
        </is>
      </c>
      <c r="G209" t="inlineStr">
        <is>
          <t>LINDESBERG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48363-2021</t>
        </is>
      </c>
      <c r="B210" t="inlineStr">
        <is>
          <t>avverkningsanmälan</t>
        </is>
      </c>
      <c r="C210" t="inlineStr">
        <is>
          <t>Föryngringsavverkning</t>
        </is>
      </c>
      <c r="D210" s="1" t="n">
        <v>44451</v>
      </c>
      <c r="E210" s="1" t="n">
        <v>46223</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52153-2022</t>
        </is>
      </c>
      <c r="B211" t="inlineStr">
        <is>
          <t>avverkningsanmälan</t>
        </is>
      </c>
      <c r="C211" t="inlineStr">
        <is>
          <t>Föryngringsavverkning</t>
        </is>
      </c>
      <c r="D211" s="1" t="n">
        <v>44873</v>
      </c>
      <c r="E211" s="1" t="n">
        <v>46223</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70475-2021</t>
        </is>
      </c>
      <c r="B212" t="inlineStr">
        <is>
          <t>avverkningsanmälan</t>
        </is>
      </c>
      <c r="C212" t="inlineStr">
        <is>
          <t>Föryngringsavverkning</t>
        </is>
      </c>
      <c r="D212" s="1" t="n">
        <v>44536</v>
      </c>
      <c r="E212" s="1" t="n">
        <v>46223</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7859-2022</t>
        </is>
      </c>
      <c r="B213" t="inlineStr">
        <is>
          <t>avverkningsanmälan</t>
        </is>
      </c>
      <c r="C213" t="inlineStr">
        <is>
          <t>Föryngringsavverkning</t>
        </is>
      </c>
      <c r="D213" s="1" t="n">
        <v>44608</v>
      </c>
      <c r="E213" s="1" t="n">
        <v>46223</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71090-2021</t>
        </is>
      </c>
      <c r="B214" t="inlineStr">
        <is>
          <t>avverkningsanmälan</t>
        </is>
      </c>
      <c r="C214" t="inlineStr">
        <is>
          <t>Föryngringsavverkning</t>
        </is>
      </c>
      <c r="D214" s="1" t="n">
        <v>44539</v>
      </c>
      <c r="E214" s="1" t="n">
        <v>46223</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71092-2021</t>
        </is>
      </c>
      <c r="B215" t="inlineStr">
        <is>
          <t>avverkningsanmälan</t>
        </is>
      </c>
      <c r="C215" t="inlineStr">
        <is>
          <t>Föryngringsavverkning</t>
        </is>
      </c>
      <c r="D215" s="1" t="n">
        <v>44539</v>
      </c>
      <c r="E215" s="1" t="n">
        <v>46223</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13943-2022</t>
        </is>
      </c>
      <c r="B216" t="inlineStr">
        <is>
          <t>avverkningsanmälan</t>
        </is>
      </c>
      <c r="C216" t="inlineStr">
        <is>
          <t>Föryngringsavverkning</t>
        </is>
      </c>
      <c r="D216" s="1" t="n">
        <v>44650</v>
      </c>
      <c r="E216" s="1" t="n">
        <v>46223</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9751-2022</t>
        </is>
      </c>
      <c r="B217" t="inlineStr">
        <is>
          <t>avverkningsanmälan</t>
        </is>
      </c>
      <c r="C217" t="inlineStr">
        <is>
          <t>Föryngringsavverkning</t>
        </is>
      </c>
      <c r="D217" s="1" t="n">
        <v>44618</v>
      </c>
      <c r="E217" s="1" t="n">
        <v>46223</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s="2" t="inlineStr"/>
    </row>
    <row r="218" ht="15" customHeight="1">
      <c r="A218" t="inlineStr">
        <is>
          <t>A 56260-2021</t>
        </is>
      </c>
      <c r="B218" t="inlineStr">
        <is>
          <t>avverkningsanmälan</t>
        </is>
      </c>
      <c r="C218" t="inlineStr">
        <is>
          <t>Föryngringsavverkning</t>
        </is>
      </c>
      <c r="D218" s="1" t="n">
        <v>44479</v>
      </c>
      <c r="E218" s="1" t="n">
        <v>46223</v>
      </c>
      <c r="F218" t="inlineStr">
        <is>
          <t>ÖREBRO LÄN</t>
        </is>
      </c>
      <c r="G218" t="inlineStr">
        <is>
          <t>LINDESBERG</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12073-2022</t>
        </is>
      </c>
      <c r="B219" t="inlineStr">
        <is>
          <t>avverkningsanmälan</t>
        </is>
      </c>
      <c r="C219" t="inlineStr">
        <is>
          <t>Föryngringsavverkning</t>
        </is>
      </c>
      <c r="D219" s="1" t="n">
        <v>44636</v>
      </c>
      <c r="E219" s="1" t="n">
        <v>46223</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64372-2021</t>
        </is>
      </c>
      <c r="B220" t="inlineStr">
        <is>
          <t>avverkningsanmälan</t>
        </is>
      </c>
      <c r="C220" t="inlineStr">
        <is>
          <t>Föryngringsavverkning</t>
        </is>
      </c>
      <c r="D220" s="1" t="n">
        <v>44511</v>
      </c>
      <c r="E220" s="1" t="n">
        <v>46223</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s="2" t="inlineStr"/>
    </row>
    <row r="221" ht="15" customHeight="1">
      <c r="A221" t="inlineStr">
        <is>
          <t>A 59006-2021</t>
        </is>
      </c>
      <c r="B221" t="inlineStr">
        <is>
          <t>avverkningsanmälan</t>
        </is>
      </c>
      <c r="C221" t="inlineStr">
        <is>
          <t>Föryngringsavverkning</t>
        </is>
      </c>
      <c r="D221" s="1" t="n">
        <v>44490</v>
      </c>
      <c r="E221" s="1" t="n">
        <v>46223</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20238-2022</t>
        </is>
      </c>
      <c r="B222" t="inlineStr">
        <is>
          <t>avverkningsanmälan</t>
        </is>
      </c>
      <c r="C222" t="inlineStr">
        <is>
          <t>Föryngringsavverkning</t>
        </is>
      </c>
      <c r="D222" s="1" t="n">
        <v>44698</v>
      </c>
      <c r="E222" s="1" t="n">
        <v>46223</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32818-2022</t>
        </is>
      </c>
      <c r="B223" t="inlineStr">
        <is>
          <t>avverkningsanmälan</t>
        </is>
      </c>
      <c r="C223" t="inlineStr">
        <is>
          <t>Föryngringsavverkning</t>
        </is>
      </c>
      <c r="D223" s="1" t="n">
        <v>44784</v>
      </c>
      <c r="E223" s="1" t="n">
        <v>46223</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s="2" t="inlineStr"/>
    </row>
    <row r="224" ht="15" customHeight="1">
      <c r="A224" t="inlineStr">
        <is>
          <t>A 45481-2023</t>
        </is>
      </c>
      <c r="B224" t="inlineStr">
        <is>
          <t>avverkningsanmälan</t>
        </is>
      </c>
      <c r="C224" t="inlineStr">
        <is>
          <t>Föryngringsavverkning</t>
        </is>
      </c>
      <c r="D224" s="1" t="n">
        <v>45194</v>
      </c>
      <c r="E224" s="1" t="n">
        <v>46223</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6470-2024</t>
        </is>
      </c>
      <c r="B225" t="inlineStr">
        <is>
          <t>avverkningsanmälan</t>
        </is>
      </c>
      <c r="C225" t="inlineStr">
        <is>
          <t>Föryngringsavverkning</t>
        </is>
      </c>
      <c r="D225" s="1" t="n">
        <v>45338</v>
      </c>
      <c r="E225" s="1" t="n">
        <v>46223</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8612-2024</t>
        </is>
      </c>
      <c r="B226" t="inlineStr">
        <is>
          <t>avverkningsanmälan</t>
        </is>
      </c>
      <c r="C226" t="inlineStr">
        <is>
          <t>Föryngringsavverkning</t>
        </is>
      </c>
      <c r="D226" s="1" t="n">
        <v>45355</v>
      </c>
      <c r="E226" s="1" t="n">
        <v>46223</v>
      </c>
      <c r="F226" t="inlineStr">
        <is>
          <t>ÖREBRO LÄN</t>
        </is>
      </c>
      <c r="G226" t="inlineStr">
        <is>
          <t>LINDESBERG</t>
        </is>
      </c>
      <c r="I226" t="n">
        <v>4.5</v>
      </c>
      <c r="J226" t="n">
        <v>0</v>
      </c>
      <c r="K226" t="n">
        <v>0</v>
      </c>
      <c r="L226" t="n">
        <v>0</v>
      </c>
      <c r="M226" t="n">
        <v>0</v>
      </c>
      <c r="N226" t="n">
        <v>0</v>
      </c>
      <c r="O226" t="n">
        <v>0</v>
      </c>
      <c r="P226" t="n">
        <v>0</v>
      </c>
      <c r="Q226" t="n">
        <v>0</v>
      </c>
      <c r="R226" t="n">
        <v>0</v>
      </c>
      <c r="S226" t="n">
        <v>0</v>
      </c>
      <c r="T226" t="n">
        <v>0</v>
      </c>
      <c r="U226" s="2" t="inlineStr"/>
    </row>
    <row r="227" ht="15" customHeight="1">
      <c r="A227" t="inlineStr">
        <is>
          <t>A 63686-2023</t>
        </is>
      </c>
      <c r="B227" t="inlineStr">
        <is>
          <t>avverkningsanmälan</t>
        </is>
      </c>
      <c r="C227" t="inlineStr">
        <is>
          <t>Föryngringsavverkning</t>
        </is>
      </c>
      <c r="D227" s="1" t="n">
        <v>45274</v>
      </c>
      <c r="E227" s="1" t="n">
        <v>46223</v>
      </c>
      <c r="F227" t="inlineStr">
        <is>
          <t>ÖREBRO LÄN</t>
        </is>
      </c>
      <c r="G227" t="inlineStr">
        <is>
          <t>LINDESBERG</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17104-2024</t>
        </is>
      </c>
      <c r="B228" t="inlineStr">
        <is>
          <t>avverkningsanmälan</t>
        </is>
      </c>
      <c r="C228" t="inlineStr">
        <is>
          <t>Föryngringsavverkning</t>
        </is>
      </c>
      <c r="D228" s="1" t="n">
        <v>45412</v>
      </c>
      <c r="E228" s="1" t="n">
        <v>46223</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26093-2023</t>
        </is>
      </c>
      <c r="B229" t="inlineStr">
        <is>
          <t>avverkningsanmälan</t>
        </is>
      </c>
      <c r="C229" t="inlineStr">
        <is>
          <t>Föryngringsavverkning</t>
        </is>
      </c>
      <c r="D229" s="1" t="n">
        <v>45091</v>
      </c>
      <c r="E229" s="1" t="n">
        <v>46223</v>
      </c>
      <c r="F229" t="inlineStr">
        <is>
          <t>ÖREBRO LÄN</t>
        </is>
      </c>
      <c r="G229" t="inlineStr">
        <is>
          <t>LINDESBERG</t>
        </is>
      </c>
      <c r="I229" t="n">
        <v>0.4</v>
      </c>
      <c r="J229" t="n">
        <v>0</v>
      </c>
      <c r="K229" t="n">
        <v>0</v>
      </c>
      <c r="L229" t="n">
        <v>0</v>
      </c>
      <c r="M229" t="n">
        <v>0</v>
      </c>
      <c r="N229" t="n">
        <v>0</v>
      </c>
      <c r="O229" t="n">
        <v>0</v>
      </c>
      <c r="P229" t="n">
        <v>0</v>
      </c>
      <c r="Q229" t="n">
        <v>0</v>
      </c>
      <c r="R229" t="n">
        <v>0</v>
      </c>
      <c r="S229" t="n">
        <v>0</v>
      </c>
      <c r="T229" t="n">
        <v>0</v>
      </c>
      <c r="U229" s="2" t="inlineStr"/>
    </row>
    <row r="230" ht="15" customHeight="1">
      <c r="A230" t="inlineStr">
        <is>
          <t>A 19914-2024</t>
        </is>
      </c>
      <c r="B230" t="inlineStr">
        <is>
          <t>avverkningsanmälan</t>
        </is>
      </c>
      <c r="C230" t="inlineStr">
        <is>
          <t>Föryngringsavverkning</t>
        </is>
      </c>
      <c r="D230" s="1" t="n">
        <v>45433</v>
      </c>
      <c r="E230" s="1" t="n">
        <v>46223</v>
      </c>
      <c r="F230" t="inlineStr">
        <is>
          <t>ÖREBRO LÄN</t>
        </is>
      </c>
      <c r="G230" t="inlineStr">
        <is>
          <t>LINDESBERG</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27134-2024</t>
        </is>
      </c>
      <c r="B231" t="inlineStr">
        <is>
          <t>avverkningsanmälan</t>
        </is>
      </c>
      <c r="C231" t="inlineStr">
        <is>
          <t>Avverkning för annat ändamål</t>
        </is>
      </c>
      <c r="D231" s="1" t="n">
        <v>45471</v>
      </c>
      <c r="E231" s="1" t="n">
        <v>46223</v>
      </c>
      <c r="F231" t="inlineStr">
        <is>
          <t>ÖREBRO LÄN</t>
        </is>
      </c>
      <c r="G231" t="inlineStr">
        <is>
          <t>LINDESBERG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51656-2023</t>
        </is>
      </c>
      <c r="B232" t="inlineStr">
        <is>
          <t>avverkningsanmälan</t>
        </is>
      </c>
      <c r="C232" t="inlineStr">
        <is>
          <t>Föryngringsavverkning</t>
        </is>
      </c>
      <c r="D232" s="1" t="n">
        <v>45222</v>
      </c>
      <c r="E232" s="1" t="n">
        <v>46223</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12739-2024</t>
        </is>
      </c>
      <c r="B233" t="inlineStr">
        <is>
          <t>avverkningsanmälan</t>
        </is>
      </c>
      <c r="C233" t="inlineStr">
        <is>
          <t>Föryngringsavverkning</t>
        </is>
      </c>
      <c r="D233" s="1" t="n">
        <v>45384</v>
      </c>
      <c r="E233" s="1" t="n">
        <v>46223</v>
      </c>
      <c r="F233" t="inlineStr">
        <is>
          <t>ÖREBRO LÄN</t>
        </is>
      </c>
      <c r="G233" t="inlineStr">
        <is>
          <t>LINDESBERG</t>
        </is>
      </c>
      <c r="I233" t="n">
        <v>8.300000000000001</v>
      </c>
      <c r="J233" t="n">
        <v>0</v>
      </c>
      <c r="K233" t="n">
        <v>0</v>
      </c>
      <c r="L233" t="n">
        <v>0</v>
      </c>
      <c r="M233" t="n">
        <v>0</v>
      </c>
      <c r="N233" t="n">
        <v>0</v>
      </c>
      <c r="O233" t="n">
        <v>0</v>
      </c>
      <c r="P233" t="n">
        <v>0</v>
      </c>
      <c r="Q233" t="n">
        <v>0</v>
      </c>
      <c r="R233" t="n">
        <v>0</v>
      </c>
      <c r="S233" t="n">
        <v>0</v>
      </c>
      <c r="T233" t="n">
        <v>0</v>
      </c>
      <c r="U233" s="2" t="inlineStr"/>
    </row>
    <row r="234" ht="15" customHeight="1">
      <c r="A234" t="inlineStr">
        <is>
          <t>A 56561-2023</t>
        </is>
      </c>
      <c r="B234" t="inlineStr">
        <is>
          <t>avverkningsanmälan</t>
        </is>
      </c>
      <c r="C234" t="inlineStr">
        <is>
          <t>Föryngringsavverkning</t>
        </is>
      </c>
      <c r="D234" s="1" t="n">
        <v>45243</v>
      </c>
      <c r="E234" s="1" t="n">
        <v>46223</v>
      </c>
      <c r="F234" t="inlineStr">
        <is>
          <t>ÖREBRO LÄN</t>
        </is>
      </c>
      <c r="G234" t="inlineStr">
        <is>
          <t>LINDESBERG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56579-2023</t>
        </is>
      </c>
      <c r="B235" t="inlineStr">
        <is>
          <t>avverkningsanmälan</t>
        </is>
      </c>
      <c r="C235" t="inlineStr">
        <is>
          <t>Föryngringsavverkning</t>
        </is>
      </c>
      <c r="D235" s="1" t="n">
        <v>45243</v>
      </c>
      <c r="E235" s="1" t="n">
        <v>46223</v>
      </c>
      <c r="F235" t="inlineStr">
        <is>
          <t>ÖREBRO LÄN</t>
        </is>
      </c>
      <c r="G235" t="inlineStr">
        <is>
          <t>LINDESBERG</t>
        </is>
      </c>
      <c r="H235" t="inlineStr">
        <is>
          <t>Naturvårdsverket</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56582-2023</t>
        </is>
      </c>
      <c r="B236" t="inlineStr">
        <is>
          <t>avverkningsanmälan</t>
        </is>
      </c>
      <c r="C236" t="inlineStr">
        <is>
          <t>Föryngringsavverkning</t>
        </is>
      </c>
      <c r="D236" s="1" t="n">
        <v>45243</v>
      </c>
      <c r="E236" s="1" t="n">
        <v>46223</v>
      </c>
      <c r="F236" t="inlineStr">
        <is>
          <t>ÖREBRO LÄN</t>
        </is>
      </c>
      <c r="G236" t="inlineStr">
        <is>
          <t>LINDESBERG</t>
        </is>
      </c>
      <c r="H236" t="inlineStr">
        <is>
          <t>Naturvårdsverket</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21012-2023</t>
        </is>
      </c>
      <c r="B237" t="inlineStr">
        <is>
          <t>avverkningsanmälan</t>
        </is>
      </c>
      <c r="C237" t="inlineStr">
        <is>
          <t>Föryngringsavverkning</t>
        </is>
      </c>
      <c r="D237" s="1" t="n">
        <v>45061</v>
      </c>
      <c r="E237" s="1" t="n">
        <v>46223</v>
      </c>
      <c r="F237" t="inlineStr">
        <is>
          <t>ÖREBRO LÄN</t>
        </is>
      </c>
      <c r="G237" t="inlineStr">
        <is>
          <t>LINDESBERG</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56217-2022</t>
        </is>
      </c>
      <c r="B238" t="inlineStr">
        <is>
          <t>avverkningsanmälan</t>
        </is>
      </c>
      <c r="C238" t="inlineStr">
        <is>
          <t>Föryngringsavverkning</t>
        </is>
      </c>
      <c r="D238" s="1" t="n">
        <v>44890</v>
      </c>
      <c r="E238" s="1" t="n">
        <v>46223</v>
      </c>
      <c r="F238" t="inlineStr">
        <is>
          <t>ÖREBRO LÄN</t>
        </is>
      </c>
      <c r="G238" t="inlineStr">
        <is>
          <t>LINDESBERG</t>
        </is>
      </c>
      <c r="I238" t="n">
        <v>6.9</v>
      </c>
      <c r="J238" t="n">
        <v>0</v>
      </c>
      <c r="K238" t="n">
        <v>0</v>
      </c>
      <c r="L238" t="n">
        <v>0</v>
      </c>
      <c r="M238" t="n">
        <v>0</v>
      </c>
      <c r="N238" t="n">
        <v>0</v>
      </c>
      <c r="O238" t="n">
        <v>0</v>
      </c>
      <c r="P238" t="n">
        <v>0</v>
      </c>
      <c r="Q238" t="n">
        <v>0</v>
      </c>
      <c r="R238" t="n">
        <v>0</v>
      </c>
      <c r="S238" t="n">
        <v>0</v>
      </c>
      <c r="T238" t="n">
        <v>0</v>
      </c>
      <c r="U238" s="2" t="inlineStr"/>
    </row>
    <row r="239" ht="15" customHeight="1">
      <c r="A239" t="inlineStr">
        <is>
          <t>A 33280-2024</t>
        </is>
      </c>
      <c r="B239" t="inlineStr">
        <is>
          <t>avverkningsanmälan</t>
        </is>
      </c>
      <c r="C239" t="inlineStr">
        <is>
          <t>Föryngringsavverkning</t>
        </is>
      </c>
      <c r="D239" s="1" t="n">
        <v>45518</v>
      </c>
      <c r="E239" s="1" t="n">
        <v>46223</v>
      </c>
      <c r="F239" t="inlineStr">
        <is>
          <t>ÖREBRO LÄN</t>
        </is>
      </c>
      <c r="G239" t="inlineStr">
        <is>
          <t>LINDESBERG</t>
        </is>
      </c>
      <c r="H239" t="inlineStr">
        <is>
          <t>Sveaskog</t>
        </is>
      </c>
      <c r="I239" t="n">
        <v>3.2</v>
      </c>
      <c r="J239" t="n">
        <v>0</v>
      </c>
      <c r="K239" t="n">
        <v>0</v>
      </c>
      <c r="L239" t="n">
        <v>0</v>
      </c>
      <c r="M239" t="n">
        <v>0</v>
      </c>
      <c r="N239" t="n">
        <v>0</v>
      </c>
      <c r="O239" t="n">
        <v>0</v>
      </c>
      <c r="P239" t="n">
        <v>0</v>
      </c>
      <c r="Q239" t="n">
        <v>0</v>
      </c>
      <c r="R239" t="n">
        <v>0</v>
      </c>
      <c r="S239" t="n">
        <v>0</v>
      </c>
      <c r="T239" t="n">
        <v>0</v>
      </c>
      <c r="U239" s="2" t="inlineStr"/>
    </row>
    <row r="240" ht="15" customHeight="1">
      <c r="A240" t="inlineStr">
        <is>
          <t>A 37432-2022</t>
        </is>
      </c>
      <c r="B240" t="inlineStr">
        <is>
          <t>avverkningsanmälan</t>
        </is>
      </c>
      <c r="C240" t="inlineStr">
        <is>
          <t>Föryngringsavverkning</t>
        </is>
      </c>
      <c r="D240" s="1" t="n">
        <v>44809</v>
      </c>
      <c r="E240" s="1" t="n">
        <v>46223</v>
      </c>
      <c r="F240" t="inlineStr">
        <is>
          <t>ÖREBRO LÄN</t>
        </is>
      </c>
      <c r="G240" t="inlineStr">
        <is>
          <t>LINDESBERG</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53054-2022</t>
        </is>
      </c>
      <c r="B241" t="inlineStr">
        <is>
          <t>avverkningsanmälan</t>
        </is>
      </c>
      <c r="C241" t="inlineStr">
        <is>
          <t>Föryngringsavverkning</t>
        </is>
      </c>
      <c r="D241" s="1" t="n">
        <v>44876</v>
      </c>
      <c r="E241" s="1" t="n">
        <v>46223</v>
      </c>
      <c r="F241" t="inlineStr">
        <is>
          <t>ÖREBRO LÄN</t>
        </is>
      </c>
      <c r="G241" t="inlineStr">
        <is>
          <t>LINDESBERG</t>
        </is>
      </c>
      <c r="H241" t="inlineStr">
        <is>
          <t>Sveaskog</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50619-2022</t>
        </is>
      </c>
      <c r="B242" t="inlineStr">
        <is>
          <t>avverkningsanmälan</t>
        </is>
      </c>
      <c r="C242" t="inlineStr">
        <is>
          <t>Föryngringsavverkning</t>
        </is>
      </c>
      <c r="D242" s="1" t="n">
        <v>44866</v>
      </c>
      <c r="E242" s="1" t="n">
        <v>46223</v>
      </c>
      <c r="F242" t="inlineStr">
        <is>
          <t>ÖREBRO LÄN</t>
        </is>
      </c>
      <c r="G242" t="inlineStr">
        <is>
          <t>LINDESBERG</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46603-2021</t>
        </is>
      </c>
      <c r="B243" t="inlineStr">
        <is>
          <t>avverkningsanmälan</t>
        </is>
      </c>
      <c r="C243" t="inlineStr">
        <is>
          <t>Föryngringsavverkning</t>
        </is>
      </c>
      <c r="D243" s="1" t="n">
        <v>44445</v>
      </c>
      <c r="E243" s="1" t="n">
        <v>46223</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58662-2022</t>
        </is>
      </c>
      <c r="B244" t="inlineStr">
        <is>
          <t>avverkningsanmälan</t>
        </is>
      </c>
      <c r="C244" t="inlineStr">
        <is>
          <t>Föryngringsavverkning</t>
        </is>
      </c>
      <c r="D244" s="1" t="n">
        <v>44902</v>
      </c>
      <c r="E244" s="1" t="n">
        <v>46223</v>
      </c>
      <c r="F244" t="inlineStr">
        <is>
          <t>ÖREBRO LÄN</t>
        </is>
      </c>
      <c r="G244" t="inlineStr">
        <is>
          <t>LINDESBERG</t>
        </is>
      </c>
      <c r="H244" t="inlineStr">
        <is>
          <t>Sveaskog</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41343-2021</t>
        </is>
      </c>
      <c r="B245" t="inlineStr">
        <is>
          <t>avverkningsanmälan</t>
        </is>
      </c>
      <c r="C245" t="inlineStr">
        <is>
          <t>Föryngringsavverkning</t>
        </is>
      </c>
      <c r="D245" s="1" t="n">
        <v>44424</v>
      </c>
      <c r="E245" s="1" t="n">
        <v>46223</v>
      </c>
      <c r="F245" t="inlineStr">
        <is>
          <t>ÖREBRO LÄN</t>
        </is>
      </c>
      <c r="G245" t="inlineStr">
        <is>
          <t>LINDESBERG</t>
        </is>
      </c>
      <c r="I245" t="n">
        <v>8.9</v>
      </c>
      <c r="J245" t="n">
        <v>0</v>
      </c>
      <c r="K245" t="n">
        <v>0</v>
      </c>
      <c r="L245" t="n">
        <v>0</v>
      </c>
      <c r="M245" t="n">
        <v>0</v>
      </c>
      <c r="N245" t="n">
        <v>0</v>
      </c>
      <c r="O245" t="n">
        <v>0</v>
      </c>
      <c r="P245" t="n">
        <v>0</v>
      </c>
      <c r="Q245" t="n">
        <v>0</v>
      </c>
      <c r="R245" t="n">
        <v>0</v>
      </c>
      <c r="S245" t="n">
        <v>0</v>
      </c>
      <c r="T245" t="n">
        <v>0</v>
      </c>
      <c r="U245" s="2" t="inlineStr"/>
    </row>
    <row r="246" ht="15" customHeight="1">
      <c r="A246" t="inlineStr">
        <is>
          <t>A 28032-2023</t>
        </is>
      </c>
      <c r="B246" t="inlineStr">
        <is>
          <t>avverkningsanmälan</t>
        </is>
      </c>
      <c r="C246" t="inlineStr">
        <is>
          <t>Föryngringsavverkning</t>
        </is>
      </c>
      <c r="D246" s="1" t="n">
        <v>45099</v>
      </c>
      <c r="E246" s="1" t="n">
        <v>46223</v>
      </c>
      <c r="F246" t="inlineStr">
        <is>
          <t>ÖREBRO LÄN</t>
        </is>
      </c>
      <c r="G246" t="inlineStr">
        <is>
          <t>LINDESBERG</t>
        </is>
      </c>
      <c r="H246" t="inlineStr">
        <is>
          <t>Kyrkan</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4067-2024</t>
        </is>
      </c>
      <c r="B247" t="inlineStr">
        <is>
          <t>avverkningsanmälan</t>
        </is>
      </c>
      <c r="C247" t="inlineStr">
        <is>
          <t>Föryngringsavverkning</t>
        </is>
      </c>
      <c r="D247" s="1" t="n">
        <v>45323</v>
      </c>
      <c r="E247" s="1" t="n">
        <v>46223</v>
      </c>
      <c r="F247" t="inlineStr">
        <is>
          <t>ÖREBRO LÄN</t>
        </is>
      </c>
      <c r="G247" t="inlineStr">
        <is>
          <t>LINDESBERG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38762-2021</t>
        </is>
      </c>
      <c r="B248" t="inlineStr">
        <is>
          <t>avverkningsanmälan</t>
        </is>
      </c>
      <c r="C248" t="inlineStr">
        <is>
          <t>Föryngringsavverkning</t>
        </is>
      </c>
      <c r="D248" s="1" t="n">
        <v>44410</v>
      </c>
      <c r="E248" s="1" t="n">
        <v>46223</v>
      </c>
      <c r="F248" t="inlineStr">
        <is>
          <t>ÖREBRO LÄN</t>
        </is>
      </c>
      <c r="G248" t="inlineStr">
        <is>
          <t>LINDESBERG</t>
        </is>
      </c>
      <c r="H248" t="inlineStr">
        <is>
          <t>Sveaskog</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30767-2023</t>
        </is>
      </c>
      <c r="B249" t="inlineStr">
        <is>
          <t>avverkningsanmälan</t>
        </is>
      </c>
      <c r="C249" t="inlineStr">
        <is>
          <t>Föryngringsavverkning</t>
        </is>
      </c>
      <c r="D249" s="1" t="n">
        <v>45112</v>
      </c>
      <c r="E249" s="1" t="n">
        <v>46223</v>
      </c>
      <c r="F249" t="inlineStr">
        <is>
          <t>ÖREBRO LÄN</t>
        </is>
      </c>
      <c r="G249" t="inlineStr">
        <is>
          <t>LINDESBERG</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63508-2023</t>
        </is>
      </c>
      <c r="B250" t="inlineStr">
        <is>
          <t>avverkningsanmälan</t>
        </is>
      </c>
      <c r="C250" t="inlineStr">
        <is>
          <t>Föryngringsavverkning</t>
        </is>
      </c>
      <c r="D250" s="1" t="n">
        <v>45274</v>
      </c>
      <c r="E250" s="1" t="n">
        <v>46223</v>
      </c>
      <c r="F250" t="inlineStr">
        <is>
          <t>ÖREBRO LÄN</t>
        </is>
      </c>
      <c r="G250" t="inlineStr">
        <is>
          <t>LINDESBERG</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36280-2023</t>
        </is>
      </c>
      <c r="B251" t="inlineStr">
        <is>
          <t>avverkningsanmälan</t>
        </is>
      </c>
      <c r="C251" t="inlineStr">
        <is>
          <t>Föryngringsavverkning</t>
        </is>
      </c>
      <c r="D251" s="1" t="n">
        <v>45152</v>
      </c>
      <c r="E251" s="1" t="n">
        <v>46223</v>
      </c>
      <c r="F251" t="inlineStr">
        <is>
          <t>ÖREBRO LÄN</t>
        </is>
      </c>
      <c r="G251" t="inlineStr">
        <is>
          <t>LINDESBERG</t>
        </is>
      </c>
      <c r="H251" t="inlineStr">
        <is>
          <t>Sveaskog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33284-2024</t>
        </is>
      </c>
      <c r="B252" t="inlineStr">
        <is>
          <t>avverkningsanmälan</t>
        </is>
      </c>
      <c r="C252" t="inlineStr">
        <is>
          <t>Föryngringsavverkning</t>
        </is>
      </c>
      <c r="D252" s="1" t="n">
        <v>45518</v>
      </c>
      <c r="E252" s="1" t="n">
        <v>46223</v>
      </c>
      <c r="F252" t="inlineStr">
        <is>
          <t>ÖREBRO LÄN</t>
        </is>
      </c>
      <c r="G252" t="inlineStr">
        <is>
          <t>LINDESBERG</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33978-2023</t>
        </is>
      </c>
      <c r="B253" t="inlineStr">
        <is>
          <t>avverkningsanmälan</t>
        </is>
      </c>
      <c r="C253" t="inlineStr">
        <is>
          <t>Föryngringsavverkning</t>
        </is>
      </c>
      <c r="D253" s="1" t="n">
        <v>45134</v>
      </c>
      <c r="E253" s="1" t="n">
        <v>46223</v>
      </c>
      <c r="F253" t="inlineStr">
        <is>
          <t>ÖREBRO LÄN</t>
        </is>
      </c>
      <c r="G253" t="inlineStr">
        <is>
          <t>LINDESBERG</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54705-2022</t>
        </is>
      </c>
      <c r="B254" t="inlineStr">
        <is>
          <t>avverkningsanmälan</t>
        </is>
      </c>
      <c r="C254" t="inlineStr">
        <is>
          <t>Föryngringsavverkning</t>
        </is>
      </c>
      <c r="D254" s="1" t="n">
        <v>44883</v>
      </c>
      <c r="E254" s="1" t="n">
        <v>46223</v>
      </c>
      <c r="F254" t="inlineStr">
        <is>
          <t>ÖREBRO LÄN</t>
        </is>
      </c>
      <c r="G254" t="inlineStr">
        <is>
          <t>LINDESBERG</t>
        </is>
      </c>
      <c r="I254" t="n">
        <v>8.800000000000001</v>
      </c>
      <c r="J254" t="n">
        <v>0</v>
      </c>
      <c r="K254" t="n">
        <v>0</v>
      </c>
      <c r="L254" t="n">
        <v>0</v>
      </c>
      <c r="M254" t="n">
        <v>0</v>
      </c>
      <c r="N254" t="n">
        <v>0</v>
      </c>
      <c r="O254" t="n">
        <v>0</v>
      </c>
      <c r="P254" t="n">
        <v>0</v>
      </c>
      <c r="Q254" t="n">
        <v>0</v>
      </c>
      <c r="R254" t="n">
        <v>0</v>
      </c>
      <c r="S254" t="n">
        <v>0</v>
      </c>
      <c r="T254" t="n">
        <v>0</v>
      </c>
      <c r="U254" s="2" t="inlineStr"/>
    </row>
    <row r="255" ht="15" customHeight="1">
      <c r="A255" t="inlineStr">
        <is>
          <t>A 36748-2024</t>
        </is>
      </c>
      <c r="B255" t="inlineStr">
        <is>
          <t>avverkningsanmälan</t>
        </is>
      </c>
      <c r="C255" t="inlineStr">
        <is>
          <t>Föryngringsavverkning</t>
        </is>
      </c>
      <c r="D255" s="1" t="n">
        <v>45538</v>
      </c>
      <c r="E255" s="1" t="n">
        <v>46223</v>
      </c>
      <c r="F255" t="inlineStr">
        <is>
          <t>ÖREBRO LÄN</t>
        </is>
      </c>
      <c r="G255" t="inlineStr">
        <is>
          <t>LINDESBERG</t>
        </is>
      </c>
      <c r="H255" t="inlineStr">
        <is>
          <t>Sveaskog</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21390-2024</t>
        </is>
      </c>
      <c r="B256" t="inlineStr">
        <is>
          <t>avverkningsanmälan</t>
        </is>
      </c>
      <c r="C256" t="inlineStr">
        <is>
          <t>Avverkning för annat ändamål</t>
        </is>
      </c>
      <c r="D256" s="1" t="n">
        <v>45441</v>
      </c>
      <c r="E256" s="1" t="n">
        <v>46223</v>
      </c>
      <c r="F256" t="inlineStr">
        <is>
          <t>ÖREBRO LÄN</t>
        </is>
      </c>
      <c r="G256" t="inlineStr">
        <is>
          <t>LINDESBERG</t>
        </is>
      </c>
      <c r="H256" t="inlineStr">
        <is>
          <t>Sveaskog</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21392-2024</t>
        </is>
      </c>
      <c r="B257" t="inlineStr">
        <is>
          <t>avverkningsanmälan</t>
        </is>
      </c>
      <c r="C257" t="inlineStr">
        <is>
          <t>Avverkning för annat ändamål</t>
        </is>
      </c>
      <c r="D257" s="1" t="n">
        <v>45441</v>
      </c>
      <c r="E257" s="1" t="n">
        <v>46223</v>
      </c>
      <c r="F257" t="inlineStr">
        <is>
          <t>ÖREBRO LÄN</t>
        </is>
      </c>
      <c r="G257" t="inlineStr">
        <is>
          <t>LINDESBERG</t>
        </is>
      </c>
      <c r="H257" t="inlineStr">
        <is>
          <t>Sveaskog</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29942-2024</t>
        </is>
      </c>
      <c r="B258" t="inlineStr">
        <is>
          <t>avverkningsanmälan</t>
        </is>
      </c>
      <c r="C258" t="inlineStr">
        <is>
          <t>Föryngringsavverkning</t>
        </is>
      </c>
      <c r="D258" s="1" t="n">
        <v>45488</v>
      </c>
      <c r="E258" s="1" t="n">
        <v>46223</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13305-2023</t>
        </is>
      </c>
      <c r="B259" t="inlineStr">
        <is>
          <t>avverkningsanmälan</t>
        </is>
      </c>
      <c r="C259" t="inlineStr">
        <is>
          <t>Föryngringsavverkning</t>
        </is>
      </c>
      <c r="D259" s="1" t="n">
        <v>45005</v>
      </c>
      <c r="E259" s="1" t="n">
        <v>46223</v>
      </c>
      <c r="F259" t="inlineStr">
        <is>
          <t>ÖREBRO LÄN</t>
        </is>
      </c>
      <c r="G259" t="inlineStr">
        <is>
          <t>LINDESBERG</t>
        </is>
      </c>
      <c r="I259" t="n">
        <v>5.5</v>
      </c>
      <c r="J259" t="n">
        <v>0</v>
      </c>
      <c r="K259" t="n">
        <v>0</v>
      </c>
      <c r="L259" t="n">
        <v>0</v>
      </c>
      <c r="M259" t="n">
        <v>0</v>
      </c>
      <c r="N259" t="n">
        <v>0</v>
      </c>
      <c r="O259" t="n">
        <v>0</v>
      </c>
      <c r="P259" t="n">
        <v>0</v>
      </c>
      <c r="Q259" t="n">
        <v>0</v>
      </c>
      <c r="R259" t="n">
        <v>0</v>
      </c>
      <c r="S259" t="n">
        <v>0</v>
      </c>
      <c r="T259" t="n">
        <v>0</v>
      </c>
      <c r="U259" s="2" t="inlineStr"/>
    </row>
    <row r="260" ht="15" customHeight="1">
      <c r="A260" t="inlineStr">
        <is>
          <t>A 8834-2023</t>
        </is>
      </c>
      <c r="B260" t="inlineStr">
        <is>
          <t>avverkningsanmälan</t>
        </is>
      </c>
      <c r="C260" t="inlineStr">
        <is>
          <t>Föryngringsavverkning</t>
        </is>
      </c>
      <c r="D260" s="1" t="n">
        <v>44978</v>
      </c>
      <c r="E260" s="1" t="n">
        <v>46223</v>
      </c>
      <c r="F260" t="inlineStr">
        <is>
          <t>ÖREBRO LÄN</t>
        </is>
      </c>
      <c r="G260" t="inlineStr">
        <is>
          <t>LINDESBERG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13368-2023</t>
        </is>
      </c>
      <c r="B261" t="inlineStr">
        <is>
          <t>avverkningsanmälan</t>
        </is>
      </c>
      <c r="C261" t="inlineStr">
        <is>
          <t>Föryngringsavverkning</t>
        </is>
      </c>
      <c r="D261" s="1" t="n">
        <v>45005</v>
      </c>
      <c r="E261" s="1" t="n">
        <v>46223</v>
      </c>
      <c r="F261" t="inlineStr">
        <is>
          <t>ÖREBRO LÄN</t>
        </is>
      </c>
      <c r="G261" t="inlineStr">
        <is>
          <t>LINDESBERG</t>
        </is>
      </c>
      <c r="H261" t="inlineStr">
        <is>
          <t>Kommuner</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47110-2024</t>
        </is>
      </c>
      <c r="B262" t="inlineStr">
        <is>
          <t>avverkningsanmälan</t>
        </is>
      </c>
      <c r="C262" t="inlineStr">
        <is>
          <t>Föryngringsavverkning</t>
        </is>
      </c>
      <c r="D262" s="1" t="n">
        <v>45586</v>
      </c>
      <c r="E262" s="1" t="n">
        <v>46223</v>
      </c>
      <c r="F262" t="inlineStr">
        <is>
          <t>ÖREBRO LÄN</t>
        </is>
      </c>
      <c r="G262" t="inlineStr">
        <is>
          <t>LINDESBERG</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21468-2024</t>
        </is>
      </c>
      <c r="B263" t="inlineStr">
        <is>
          <t>avverkningsanmälan</t>
        </is>
      </c>
      <c r="C263" t="inlineStr">
        <is>
          <t>Föryngringsavverkning</t>
        </is>
      </c>
      <c r="D263" s="1" t="n">
        <v>45441</v>
      </c>
      <c r="E263" s="1" t="n">
        <v>46223</v>
      </c>
      <c r="F263" t="inlineStr">
        <is>
          <t>ÖREBRO LÄN</t>
        </is>
      </c>
      <c r="G263" t="inlineStr">
        <is>
          <t>LINDESBERG</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6727-2022</t>
        </is>
      </c>
      <c r="B264" t="inlineStr">
        <is>
          <t>avverkningsanmälan</t>
        </is>
      </c>
      <c r="C264" t="inlineStr">
        <is>
          <t>Föryngringsavverkning</t>
        </is>
      </c>
      <c r="D264" s="1" t="n">
        <v>44602</v>
      </c>
      <c r="E264" s="1" t="n">
        <v>46223</v>
      </c>
      <c r="F264" t="inlineStr">
        <is>
          <t>ÖREBRO LÄN</t>
        </is>
      </c>
      <c r="G264" t="inlineStr">
        <is>
          <t>LINDESBERG</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36893-2024</t>
        </is>
      </c>
      <c r="B265" t="inlineStr">
        <is>
          <t>avverkningsanmälan</t>
        </is>
      </c>
      <c r="C265" t="inlineStr">
        <is>
          <t>Föryngringsavverkning</t>
        </is>
      </c>
      <c r="D265" s="1" t="n">
        <v>45538</v>
      </c>
      <c r="E265" s="1" t="n">
        <v>46223</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6723-2022</t>
        </is>
      </c>
      <c r="B266" t="inlineStr">
        <is>
          <t>avverkningsanmälan</t>
        </is>
      </c>
      <c r="C266" t="inlineStr">
        <is>
          <t>Föryngringsavverkning</t>
        </is>
      </c>
      <c r="D266" s="1" t="n">
        <v>44602</v>
      </c>
      <c r="E266" s="1" t="n">
        <v>46223</v>
      </c>
      <c r="F266" t="inlineStr">
        <is>
          <t>ÖREBRO LÄN</t>
        </is>
      </c>
      <c r="G266" t="inlineStr">
        <is>
          <t>LINDESBERG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10564-2023</t>
        </is>
      </c>
      <c r="B267" t="inlineStr">
        <is>
          <t>avverkningsanmälan</t>
        </is>
      </c>
      <c r="C267" t="inlineStr">
        <is>
          <t>Föryngringsavverkning</t>
        </is>
      </c>
      <c r="D267" s="1" t="n">
        <v>44988</v>
      </c>
      <c r="E267" s="1" t="n">
        <v>46223</v>
      </c>
      <c r="F267" t="inlineStr">
        <is>
          <t>ÖREBRO LÄN</t>
        </is>
      </c>
      <c r="G267" t="inlineStr">
        <is>
          <t>LINDESBERG</t>
        </is>
      </c>
      <c r="H267" t="inlineStr">
        <is>
          <t>Kyrkan</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14185-2024</t>
        </is>
      </c>
      <c r="B268" t="inlineStr">
        <is>
          <t>avverkningsanmälan</t>
        </is>
      </c>
      <c r="C268" t="inlineStr">
        <is>
          <t>Föryngringsavverkning</t>
        </is>
      </c>
      <c r="D268" s="1" t="n">
        <v>45393</v>
      </c>
      <c r="E268" s="1" t="n">
        <v>46223</v>
      </c>
      <c r="F268" t="inlineStr">
        <is>
          <t>ÖREBRO LÄN</t>
        </is>
      </c>
      <c r="G268" t="inlineStr">
        <is>
          <t>LINDESBERG</t>
        </is>
      </c>
      <c r="H268" t="inlineStr">
        <is>
          <t>Sveaskog</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2969-2026</t>
        </is>
      </c>
      <c r="B269" t="inlineStr">
        <is>
          <t>avverkningsanmälan</t>
        </is>
      </c>
      <c r="C269" t="inlineStr">
        <is>
          <t>Föryngringsavverkning</t>
        </is>
      </c>
      <c r="D269" s="1" t="n">
        <v>46038</v>
      </c>
      <c r="E269" s="1" t="n">
        <v>46223</v>
      </c>
      <c r="F269" t="inlineStr">
        <is>
          <t>ÖREBRO LÄN</t>
        </is>
      </c>
      <c r="G269" t="inlineStr">
        <is>
          <t>LINDESBERG</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11218-2025</t>
        </is>
      </c>
      <c r="B270" t="inlineStr">
        <is>
          <t>avverkningsanmälan</t>
        </is>
      </c>
      <c r="C270" t="inlineStr">
        <is>
          <t>Föryngringsavverkning</t>
        </is>
      </c>
      <c r="D270" s="1" t="n">
        <v>45726</v>
      </c>
      <c r="E270" s="1" t="n">
        <v>46223</v>
      </c>
      <c r="F270" t="inlineStr">
        <is>
          <t>ÖREBRO LÄN</t>
        </is>
      </c>
      <c r="G270" t="inlineStr">
        <is>
          <t>LINDESBERG</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11220-2025</t>
        </is>
      </c>
      <c r="B271" t="inlineStr">
        <is>
          <t>avverkningsanmälan</t>
        </is>
      </c>
      <c r="C271" t="inlineStr">
        <is>
          <t>Föryngringsavverkning</t>
        </is>
      </c>
      <c r="D271" s="1" t="n">
        <v>45726</v>
      </c>
      <c r="E271" s="1" t="n">
        <v>46223</v>
      </c>
      <c r="F271" t="inlineStr">
        <is>
          <t>ÖREBRO LÄN</t>
        </is>
      </c>
      <c r="G271" t="inlineStr">
        <is>
          <t>LINDESBERG</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43801-2024</t>
        </is>
      </c>
      <c r="B272" t="inlineStr">
        <is>
          <t>avverkningsanmälan</t>
        </is>
      </c>
      <c r="C272" t="inlineStr">
        <is>
          <t>Föryngringsavverkning</t>
        </is>
      </c>
      <c r="D272" s="1" t="n">
        <v>45571</v>
      </c>
      <c r="E272" s="1" t="n">
        <v>46223</v>
      </c>
      <c r="F272" t="inlineStr">
        <is>
          <t>ÖREBRO LÄN</t>
        </is>
      </c>
      <c r="G272" t="inlineStr">
        <is>
          <t>LINDESBERG</t>
        </is>
      </c>
      <c r="H272" t="inlineStr">
        <is>
          <t>Sveaskog</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72331-2021</t>
        </is>
      </c>
      <c r="B273" t="inlineStr">
        <is>
          <t>avverkningsanmälan</t>
        </is>
      </c>
      <c r="C273" t="inlineStr">
        <is>
          <t>Föryngringsavverkning</t>
        </is>
      </c>
      <c r="D273" s="1" t="n">
        <v>44544</v>
      </c>
      <c r="E273" s="1" t="n">
        <v>46223</v>
      </c>
      <c r="F273" t="inlineStr">
        <is>
          <t>ÖREBRO LÄN</t>
        </is>
      </c>
      <c r="G273" t="inlineStr">
        <is>
          <t>LINDESBERG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45062-2022</t>
        </is>
      </c>
      <c r="B274" t="inlineStr">
        <is>
          <t>avverkningsanmälan</t>
        </is>
      </c>
      <c r="C274" t="inlineStr">
        <is>
          <t>Föryngringsavverkning</t>
        </is>
      </c>
      <c r="D274" s="1" t="n">
        <v>44841</v>
      </c>
      <c r="E274" s="1" t="n">
        <v>46223</v>
      </c>
      <c r="F274" t="inlineStr">
        <is>
          <t>ÖREBRO LÄN</t>
        </is>
      </c>
      <c r="G274" t="inlineStr">
        <is>
          <t>LINDESBERG</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60941-2024</t>
        </is>
      </c>
      <c r="B275" t="inlineStr">
        <is>
          <t>avverkningsanmälan</t>
        </is>
      </c>
      <c r="C275" t="inlineStr">
        <is>
          <t>Föryngringsavverkning</t>
        </is>
      </c>
      <c r="D275" s="1" t="n">
        <v>45645</v>
      </c>
      <c r="E275" s="1" t="n">
        <v>46223</v>
      </c>
      <c r="F275" t="inlineStr">
        <is>
          <t>ÖREBRO LÄN</t>
        </is>
      </c>
      <c r="G275" t="inlineStr">
        <is>
          <t>LINDESBERG</t>
        </is>
      </c>
      <c r="H275" t="inlineStr">
        <is>
          <t>Sveaskog</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64365-2023</t>
        </is>
      </c>
      <c r="B276" t="inlineStr">
        <is>
          <t>avverkningsanmälan</t>
        </is>
      </c>
      <c r="C276" t="inlineStr">
        <is>
          <t>Föryngringsavverkning</t>
        </is>
      </c>
      <c r="D276" s="1" t="n">
        <v>45280</v>
      </c>
      <c r="E276" s="1" t="n">
        <v>46223</v>
      </c>
      <c r="F276" t="inlineStr">
        <is>
          <t>ÖREBRO LÄN</t>
        </is>
      </c>
      <c r="G276" t="inlineStr">
        <is>
          <t>LINDESBERG</t>
        </is>
      </c>
      <c r="H276" t="inlineStr">
        <is>
          <t>Kyrkan</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37738-2024</t>
        </is>
      </c>
      <c r="B277" t="inlineStr">
        <is>
          <t>avverkningsanmälan</t>
        </is>
      </c>
      <c r="C277" t="inlineStr">
        <is>
          <t>Föryngringsavverkning</t>
        </is>
      </c>
      <c r="D277" s="1" t="n">
        <v>45541</v>
      </c>
      <c r="E277" s="1" t="n">
        <v>46223</v>
      </c>
      <c r="F277" t="inlineStr">
        <is>
          <t>ÖREBRO LÄN</t>
        </is>
      </c>
      <c r="G277" t="inlineStr">
        <is>
          <t>LINDESBERG</t>
        </is>
      </c>
      <c r="H277" t="inlineStr">
        <is>
          <t>Sveaskog</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33428-2024</t>
        </is>
      </c>
      <c r="B278" t="inlineStr">
        <is>
          <t>avverkningsanmälan</t>
        </is>
      </c>
      <c r="C278" t="inlineStr">
        <is>
          <t>Avverkning för annat ändamål</t>
        </is>
      </c>
      <c r="D278" s="1" t="n">
        <v>45519</v>
      </c>
      <c r="E278" s="1" t="n">
        <v>46223</v>
      </c>
      <c r="F278" t="inlineStr">
        <is>
          <t>ÖREBRO LÄN</t>
        </is>
      </c>
      <c r="G278" t="inlineStr">
        <is>
          <t>LINDESBERG</t>
        </is>
      </c>
      <c r="H278" t="inlineStr">
        <is>
          <t>Sveaskog</t>
        </is>
      </c>
      <c r="I278" t="n">
        <v>0.2</v>
      </c>
      <c r="J278" t="n">
        <v>0</v>
      </c>
      <c r="K278" t="n">
        <v>0</v>
      </c>
      <c r="L278" t="n">
        <v>0</v>
      </c>
      <c r="M278" t="n">
        <v>0</v>
      </c>
      <c r="N278" t="n">
        <v>0</v>
      </c>
      <c r="O278" t="n">
        <v>0</v>
      </c>
      <c r="P278" t="n">
        <v>0</v>
      </c>
      <c r="Q278" t="n">
        <v>0</v>
      </c>
      <c r="R278" t="n">
        <v>0</v>
      </c>
      <c r="S278" t="n">
        <v>0</v>
      </c>
      <c r="T278" t="n">
        <v>0</v>
      </c>
      <c r="U278" s="2" t="inlineStr"/>
    </row>
    <row r="279" ht="15" customHeight="1">
      <c r="A279" t="inlineStr">
        <is>
          <t>A 59766-2022</t>
        </is>
      </c>
      <c r="B279" t="inlineStr">
        <is>
          <t>avverkningsanmälan</t>
        </is>
      </c>
      <c r="C279" t="inlineStr">
        <is>
          <t>Föryngringsavverkning</t>
        </is>
      </c>
      <c r="D279" s="1" t="n">
        <v>44908</v>
      </c>
      <c r="E279" s="1" t="n">
        <v>46223</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33282-2024</t>
        </is>
      </c>
      <c r="B280" t="inlineStr">
        <is>
          <t>avverkningsanmälan</t>
        </is>
      </c>
      <c r="C280" t="inlineStr">
        <is>
          <t>Föryngringsavverkning</t>
        </is>
      </c>
      <c r="D280" s="1" t="n">
        <v>45518</v>
      </c>
      <c r="E280" s="1" t="n">
        <v>46223</v>
      </c>
      <c r="F280" t="inlineStr">
        <is>
          <t>ÖREBRO LÄN</t>
        </is>
      </c>
      <c r="G280" t="inlineStr">
        <is>
          <t>LINDESBERG</t>
        </is>
      </c>
      <c r="I280" t="n">
        <v>7.5</v>
      </c>
      <c r="J280" t="n">
        <v>0</v>
      </c>
      <c r="K280" t="n">
        <v>0</v>
      </c>
      <c r="L280" t="n">
        <v>0</v>
      </c>
      <c r="M280" t="n">
        <v>0</v>
      </c>
      <c r="N280" t="n">
        <v>0</v>
      </c>
      <c r="O280" t="n">
        <v>0</v>
      </c>
      <c r="P280" t="n">
        <v>0</v>
      </c>
      <c r="Q280" t="n">
        <v>0</v>
      </c>
      <c r="R280" t="n">
        <v>0</v>
      </c>
      <c r="S280" t="n">
        <v>0</v>
      </c>
      <c r="T280" t="n">
        <v>0</v>
      </c>
      <c r="U280" s="2" t="inlineStr"/>
    </row>
    <row r="281" ht="15" customHeight="1">
      <c r="A281" t="inlineStr">
        <is>
          <t>A 15895-2025</t>
        </is>
      </c>
      <c r="B281" t="inlineStr">
        <is>
          <t>avverkningsanmälan</t>
        </is>
      </c>
      <c r="C281" t="inlineStr">
        <is>
          <t>Föryngringsavverkning</t>
        </is>
      </c>
      <c r="D281" s="1" t="n">
        <v>45749</v>
      </c>
      <c r="E281" s="1" t="n">
        <v>46223</v>
      </c>
      <c r="F281" t="inlineStr">
        <is>
          <t>ÖREBRO LÄN</t>
        </is>
      </c>
      <c r="G281" t="inlineStr">
        <is>
          <t>LINDESBERG</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27296-2025</t>
        </is>
      </c>
      <c r="B282" t="inlineStr">
        <is>
          <t>avverkningsanmälan</t>
        </is>
      </c>
      <c r="C282" t="inlineStr">
        <is>
          <t>Föryngringsavverkning</t>
        </is>
      </c>
      <c r="D282" s="1" t="n">
        <v>45812</v>
      </c>
      <c r="E282" s="1" t="n">
        <v>46223</v>
      </c>
      <c r="F282" t="inlineStr">
        <is>
          <t>ÖREBRO LÄN</t>
        </is>
      </c>
      <c r="G282" t="inlineStr">
        <is>
          <t>LINDESBERG</t>
        </is>
      </c>
      <c r="H282" t="inlineStr">
        <is>
          <t>Sveaskog</t>
        </is>
      </c>
      <c r="I282" t="n">
        <v>4.5</v>
      </c>
      <c r="J282" t="n">
        <v>0</v>
      </c>
      <c r="K282" t="n">
        <v>0</v>
      </c>
      <c r="L282" t="n">
        <v>0</v>
      </c>
      <c r="M282" t="n">
        <v>0</v>
      </c>
      <c r="N282" t="n">
        <v>0</v>
      </c>
      <c r="O282" t="n">
        <v>0</v>
      </c>
      <c r="P282" t="n">
        <v>0</v>
      </c>
      <c r="Q282" t="n">
        <v>0</v>
      </c>
      <c r="R282" t="n">
        <v>0</v>
      </c>
      <c r="S282" t="n">
        <v>0</v>
      </c>
      <c r="T282" t="n">
        <v>0</v>
      </c>
      <c r="U282" s="2" t="inlineStr"/>
    </row>
    <row r="283" ht="15" customHeight="1">
      <c r="A283" t="inlineStr">
        <is>
          <t>A 1742-2022</t>
        </is>
      </c>
      <c r="B283" t="inlineStr">
        <is>
          <t>avverkningsanmälan</t>
        </is>
      </c>
      <c r="C283" t="inlineStr">
        <is>
          <t>Föryngringsavverkning</t>
        </is>
      </c>
      <c r="D283" s="1" t="n">
        <v>44574</v>
      </c>
      <c r="E283" s="1" t="n">
        <v>46223</v>
      </c>
      <c r="F283" t="inlineStr">
        <is>
          <t>ÖREBRO LÄN</t>
        </is>
      </c>
      <c r="G283" t="inlineStr">
        <is>
          <t>LINDESBERG</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38534-2025</t>
        </is>
      </c>
      <c r="B284" t="inlineStr">
        <is>
          <t>avverkningsanmälan</t>
        </is>
      </c>
      <c r="C284" t="inlineStr">
        <is>
          <t>Föryngringsavverkning</t>
        </is>
      </c>
      <c r="D284" s="1" t="n">
        <v>45884</v>
      </c>
      <c r="E284" s="1" t="n">
        <v>46223</v>
      </c>
      <c r="F284" t="inlineStr">
        <is>
          <t>ÖREBRO LÄN</t>
        </is>
      </c>
      <c r="G284" t="inlineStr">
        <is>
          <t>LINDESBERG</t>
        </is>
      </c>
      <c r="I284" t="n">
        <v>4.9</v>
      </c>
      <c r="J284" t="n">
        <v>0</v>
      </c>
      <c r="K284" t="n">
        <v>0</v>
      </c>
      <c r="L284" t="n">
        <v>0</v>
      </c>
      <c r="M284" t="n">
        <v>0</v>
      </c>
      <c r="N284" t="n">
        <v>0</v>
      </c>
      <c r="O284" t="n">
        <v>0</v>
      </c>
      <c r="P284" t="n">
        <v>0</v>
      </c>
      <c r="Q284" t="n">
        <v>0</v>
      </c>
      <c r="R284" t="n">
        <v>0</v>
      </c>
      <c r="S284" t="n">
        <v>0</v>
      </c>
      <c r="T284" t="n">
        <v>0</v>
      </c>
      <c r="U284" s="2" t="inlineStr"/>
    </row>
    <row r="285" ht="15" customHeight="1">
      <c r="A285" t="inlineStr">
        <is>
          <t>A 3951-2026</t>
        </is>
      </c>
      <c r="B285" t="inlineStr">
        <is>
          <t>avverkningsanmälan</t>
        </is>
      </c>
      <c r="C285" t="inlineStr">
        <is>
          <t>Föryngringsavverkning</t>
        </is>
      </c>
      <c r="D285" s="1" t="n">
        <v>46044</v>
      </c>
      <c r="E285" s="1" t="n">
        <v>46223</v>
      </c>
      <c r="F285" t="inlineStr">
        <is>
          <t>ÖREBRO LÄN</t>
        </is>
      </c>
      <c r="G285" t="inlineStr">
        <is>
          <t>LINDESBERG</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73860-2021</t>
        </is>
      </c>
      <c r="B286" t="inlineStr">
        <is>
          <t>avverkningsanmälan</t>
        </is>
      </c>
      <c r="C286" t="inlineStr">
        <is>
          <t>Föryngringsavverkning</t>
        </is>
      </c>
      <c r="D286" s="1" t="n">
        <v>44553</v>
      </c>
      <c r="E286" s="1" t="n">
        <v>46223</v>
      </c>
      <c r="F286" t="inlineStr">
        <is>
          <t>ÖREBRO LÄN</t>
        </is>
      </c>
      <c r="G286" t="inlineStr">
        <is>
          <t>LINDESBERG</t>
        </is>
      </c>
      <c r="I286" t="n">
        <v>12.7</v>
      </c>
      <c r="J286" t="n">
        <v>0</v>
      </c>
      <c r="K286" t="n">
        <v>0</v>
      </c>
      <c r="L286" t="n">
        <v>0</v>
      </c>
      <c r="M286" t="n">
        <v>0</v>
      </c>
      <c r="N286" t="n">
        <v>0</v>
      </c>
      <c r="O286" t="n">
        <v>0</v>
      </c>
      <c r="P286" t="n">
        <v>0</v>
      </c>
      <c r="Q286" t="n">
        <v>0</v>
      </c>
      <c r="R286" t="n">
        <v>0</v>
      </c>
      <c r="S286" t="n">
        <v>0</v>
      </c>
      <c r="T286" t="n">
        <v>0</v>
      </c>
      <c r="U286" s="2" t="inlineStr"/>
    </row>
    <row r="287" ht="15" customHeight="1">
      <c r="A287" t="inlineStr">
        <is>
          <t>A 5358-2022</t>
        </is>
      </c>
      <c r="B287" t="inlineStr">
        <is>
          <t>avverkningsanmälan</t>
        </is>
      </c>
      <c r="C287" t="inlineStr">
        <is>
          <t>Föryngringsavverkning</t>
        </is>
      </c>
      <c r="D287" s="1" t="n">
        <v>44594</v>
      </c>
      <c r="E287" s="1" t="n">
        <v>46223</v>
      </c>
      <c r="F287" t="inlineStr">
        <is>
          <t>ÖREBRO LÄN</t>
        </is>
      </c>
      <c r="G287" t="inlineStr">
        <is>
          <t>LINDESBERG</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15324-2024</t>
        </is>
      </c>
      <c r="B288" t="inlineStr">
        <is>
          <t>avverkningsanmälan</t>
        </is>
      </c>
      <c r="C288" t="inlineStr">
        <is>
          <t>Avverkning för annat ändamål</t>
        </is>
      </c>
      <c r="D288" s="1" t="n">
        <v>45400</v>
      </c>
      <c r="E288" s="1" t="n">
        <v>46223</v>
      </c>
      <c r="F288" t="inlineStr">
        <is>
          <t>ÖREBRO LÄN</t>
        </is>
      </c>
      <c r="G288" t="inlineStr">
        <is>
          <t>LINDESBERG</t>
        </is>
      </c>
      <c r="H288" t="inlineStr">
        <is>
          <t>Sveaskog</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38861-2025</t>
        </is>
      </c>
      <c r="B289" t="inlineStr">
        <is>
          <t>avverkningsanmälan</t>
        </is>
      </c>
      <c r="C289" t="inlineStr">
        <is>
          <t>Avverkning för att bevara och utveckla /försöksver</t>
        </is>
      </c>
      <c r="D289" s="1" t="n">
        <v>45887</v>
      </c>
      <c r="E289" s="1" t="n">
        <v>46223</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47066-2023</t>
        </is>
      </c>
      <c r="B290" t="inlineStr">
        <is>
          <t>avverkningsanmälan</t>
        </is>
      </c>
      <c r="C290" t="inlineStr">
        <is>
          <t>Föryngringsavverkning</t>
        </is>
      </c>
      <c r="D290" s="1" t="n">
        <v>45201</v>
      </c>
      <c r="E290" s="1" t="n">
        <v>46223</v>
      </c>
      <c r="F290" t="inlineStr">
        <is>
          <t>ÖREBRO LÄN</t>
        </is>
      </c>
      <c r="G290" t="inlineStr">
        <is>
          <t>LINDESBERG</t>
        </is>
      </c>
      <c r="H290" t="inlineStr">
        <is>
          <t>Sveaskog</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42410-2024</t>
        </is>
      </c>
      <c r="B291" t="inlineStr">
        <is>
          <t>avverkningsanmälan</t>
        </is>
      </c>
      <c r="C291" t="inlineStr">
        <is>
          <t>Föryngringsavverkning</t>
        </is>
      </c>
      <c r="D291" s="1" t="n">
        <v>45565</v>
      </c>
      <c r="E291" s="1" t="n">
        <v>46223</v>
      </c>
      <c r="F291" t="inlineStr">
        <is>
          <t>ÖREBRO LÄN</t>
        </is>
      </c>
      <c r="G291" t="inlineStr">
        <is>
          <t>LINDESBERG</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39424-2025</t>
        </is>
      </c>
      <c r="B292" t="inlineStr">
        <is>
          <t>avverkningsanmälan</t>
        </is>
      </c>
      <c r="C292" t="inlineStr">
        <is>
          <t>Föryngringsavverkning</t>
        </is>
      </c>
      <c r="D292" s="1" t="n">
        <v>45889</v>
      </c>
      <c r="E292" s="1" t="n">
        <v>46223</v>
      </c>
      <c r="F292" t="inlineStr">
        <is>
          <t>ÖREBRO LÄN</t>
        </is>
      </c>
      <c r="G292" t="inlineStr">
        <is>
          <t>LINDESBERG</t>
        </is>
      </c>
      <c r="H292" t="inlineStr">
        <is>
          <t>Sveaskog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39429-2025</t>
        </is>
      </c>
      <c r="B293" t="inlineStr">
        <is>
          <t>avverkningsanmälan</t>
        </is>
      </c>
      <c r="C293" t="inlineStr">
        <is>
          <t>Föryngringsavverkning</t>
        </is>
      </c>
      <c r="D293" s="1" t="n">
        <v>45889</v>
      </c>
      <c r="E293" s="1" t="n">
        <v>46223</v>
      </c>
      <c r="F293" t="inlineStr">
        <is>
          <t>ÖREBRO LÄN</t>
        </is>
      </c>
      <c r="G293" t="inlineStr">
        <is>
          <t>LINDESBERG</t>
        </is>
      </c>
      <c r="H293" t="inlineStr">
        <is>
          <t>Sveaskog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55631-2022</t>
        </is>
      </c>
      <c r="B294" t="inlineStr">
        <is>
          <t>avverkningsanmälan</t>
        </is>
      </c>
      <c r="C294" t="inlineStr">
        <is>
          <t>Föryngringsavverkning</t>
        </is>
      </c>
      <c r="D294" s="1" t="n">
        <v>44888</v>
      </c>
      <c r="E294" s="1" t="n">
        <v>46223</v>
      </c>
      <c r="F294" t="inlineStr">
        <is>
          <t>ÖREBRO LÄN</t>
        </is>
      </c>
      <c r="G294" t="inlineStr">
        <is>
          <t>LINDESBERG</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42282-2024</t>
        </is>
      </c>
      <c r="B295" t="inlineStr">
        <is>
          <t>avverkningsanmälan</t>
        </is>
      </c>
      <c r="C295" t="inlineStr">
        <is>
          <t>Föryngringsavverkning</t>
        </is>
      </c>
      <c r="D295" s="1" t="n">
        <v>45562</v>
      </c>
      <c r="E295" s="1" t="n">
        <v>46223</v>
      </c>
      <c r="F295" t="inlineStr">
        <is>
          <t>ÖREBRO LÄN</t>
        </is>
      </c>
      <c r="G295" t="inlineStr">
        <is>
          <t>LINDESBERG</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39421-2025</t>
        </is>
      </c>
      <c r="B296" t="inlineStr">
        <is>
          <t>avverkningsanmälan</t>
        </is>
      </c>
      <c r="C296" t="inlineStr">
        <is>
          <t>Föryngringsavverkning</t>
        </is>
      </c>
      <c r="D296" s="1" t="n">
        <v>45889</v>
      </c>
      <c r="E296" s="1" t="n">
        <v>46223</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42430-2024</t>
        </is>
      </c>
      <c r="B297" t="inlineStr">
        <is>
          <t>avverkningsanmälan</t>
        </is>
      </c>
      <c r="C297" t="inlineStr">
        <is>
          <t>Föryngringsavverkning</t>
        </is>
      </c>
      <c r="D297" s="1" t="n">
        <v>45565</v>
      </c>
      <c r="E297" s="1" t="n">
        <v>46223</v>
      </c>
      <c r="F297" t="inlineStr">
        <is>
          <t>ÖREBRO LÄN</t>
        </is>
      </c>
      <c r="G297" t="inlineStr">
        <is>
          <t>LINDESBERG</t>
        </is>
      </c>
      <c r="I297" t="n">
        <v>4</v>
      </c>
      <c r="J297" t="n">
        <v>0</v>
      </c>
      <c r="K297" t="n">
        <v>0</v>
      </c>
      <c r="L297" t="n">
        <v>0</v>
      </c>
      <c r="M297" t="n">
        <v>0</v>
      </c>
      <c r="N297" t="n">
        <v>0</v>
      </c>
      <c r="O297" t="n">
        <v>0</v>
      </c>
      <c r="P297" t="n">
        <v>0</v>
      </c>
      <c r="Q297" t="n">
        <v>0</v>
      </c>
      <c r="R297" t="n">
        <v>0</v>
      </c>
      <c r="S297" t="n">
        <v>0</v>
      </c>
      <c r="T297" t="n">
        <v>0</v>
      </c>
      <c r="U297" s="2" t="inlineStr"/>
    </row>
    <row r="298" ht="15" customHeight="1">
      <c r="A298" t="inlineStr">
        <is>
          <t>A 28991-2025</t>
        </is>
      </c>
      <c r="B298" t="inlineStr">
        <is>
          <t>avverkningsanmälan</t>
        </is>
      </c>
      <c r="C298" t="inlineStr">
        <is>
          <t>Föryngringsavverkning</t>
        </is>
      </c>
      <c r="D298" s="1" t="n">
        <v>45821</v>
      </c>
      <c r="E298" s="1" t="n">
        <v>46223</v>
      </c>
      <c r="F298" t="inlineStr">
        <is>
          <t>ÖREBRO LÄN</t>
        </is>
      </c>
      <c r="G298" t="inlineStr">
        <is>
          <t>LINDESBERG</t>
        </is>
      </c>
      <c r="H298" t="inlineStr">
        <is>
          <t>Sveaskog</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15822-2024</t>
        </is>
      </c>
      <c r="B299" t="inlineStr">
        <is>
          <t>avverkningsanmälan</t>
        </is>
      </c>
      <c r="C299" t="inlineStr">
        <is>
          <t>Föryngringsavverkning</t>
        </is>
      </c>
      <c r="D299" s="1" t="n">
        <v>45404</v>
      </c>
      <c r="E299" s="1" t="n">
        <v>46223</v>
      </c>
      <c r="F299" t="inlineStr">
        <is>
          <t>ÖREBRO LÄN</t>
        </is>
      </c>
      <c r="G299" t="inlineStr">
        <is>
          <t>LINDESBERG</t>
        </is>
      </c>
      <c r="H299" t="inlineStr">
        <is>
          <t>Sveaskog</t>
        </is>
      </c>
      <c r="I299" t="n">
        <v>6.7</v>
      </c>
      <c r="J299" t="n">
        <v>0</v>
      </c>
      <c r="K299" t="n">
        <v>0</v>
      </c>
      <c r="L299" t="n">
        <v>0</v>
      </c>
      <c r="M299" t="n">
        <v>0</v>
      </c>
      <c r="N299" t="n">
        <v>0</v>
      </c>
      <c r="O299" t="n">
        <v>0</v>
      </c>
      <c r="P299" t="n">
        <v>0</v>
      </c>
      <c r="Q299" t="n">
        <v>0</v>
      </c>
      <c r="R299" t="n">
        <v>0</v>
      </c>
      <c r="S299" t="n">
        <v>0</v>
      </c>
      <c r="T299" t="n">
        <v>0</v>
      </c>
      <c r="U299" s="2" t="inlineStr"/>
    </row>
    <row r="300" ht="15" customHeight="1">
      <c r="A300" t="inlineStr">
        <is>
          <t>A 40038-2024</t>
        </is>
      </c>
      <c r="B300" t="inlineStr">
        <is>
          <t>avverkningsanmälan</t>
        </is>
      </c>
      <c r="C300" t="inlineStr">
        <is>
          <t>Föryngringsavverkning</t>
        </is>
      </c>
      <c r="D300" s="1" t="n">
        <v>45553</v>
      </c>
      <c r="E300" s="1" t="n">
        <v>46223</v>
      </c>
      <c r="F300" t="inlineStr">
        <is>
          <t>ÖREBRO LÄN</t>
        </is>
      </c>
      <c r="G300" t="inlineStr">
        <is>
          <t>LINDESBERG</t>
        </is>
      </c>
      <c r="H300" t="inlineStr">
        <is>
          <t>Sveaskog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8213-2023</t>
        </is>
      </c>
      <c r="B301" t="inlineStr">
        <is>
          <t>avverkningsanmälan</t>
        </is>
      </c>
      <c r="C301" t="inlineStr">
        <is>
          <t>Föryngringsavverkning</t>
        </is>
      </c>
      <c r="D301" s="1" t="n">
        <v>44974</v>
      </c>
      <c r="E301" s="1" t="n">
        <v>46223</v>
      </c>
      <c r="F301" t="inlineStr">
        <is>
          <t>ÖREBRO LÄN</t>
        </is>
      </c>
      <c r="G301" t="inlineStr">
        <is>
          <t>LINDESBERG</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3732-2023</t>
        </is>
      </c>
      <c r="B302" t="inlineStr">
        <is>
          <t>avverkningsanmälan</t>
        </is>
      </c>
      <c r="C302" t="inlineStr">
        <is>
          <t>Föryngringsavverkning</t>
        </is>
      </c>
      <c r="D302" s="1" t="n">
        <v>44949</v>
      </c>
      <c r="E302" s="1" t="n">
        <v>46223</v>
      </c>
      <c r="F302" t="inlineStr">
        <is>
          <t>ÖREBRO LÄN</t>
        </is>
      </c>
      <c r="G302" t="inlineStr">
        <is>
          <t>LINDESBERG</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2569-2023</t>
        </is>
      </c>
      <c r="B303" t="inlineStr">
        <is>
          <t>avverkningsanmälan</t>
        </is>
      </c>
      <c r="C303" t="inlineStr">
        <is>
          <t>Föryngringsavverkning</t>
        </is>
      </c>
      <c r="D303" s="1" t="n">
        <v>44943</v>
      </c>
      <c r="E303" s="1" t="n">
        <v>46223</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9966-2023</t>
        </is>
      </c>
      <c r="B304" t="inlineStr">
        <is>
          <t>avverkningsanmälan</t>
        </is>
      </c>
      <c r="C304" t="inlineStr">
        <is>
          <t>Föryngringsavverkning</t>
        </is>
      </c>
      <c r="D304" s="1" t="n">
        <v>44979</v>
      </c>
      <c r="E304" s="1" t="n">
        <v>46223</v>
      </c>
      <c r="F304" t="inlineStr">
        <is>
          <t>ÖREBRO LÄN</t>
        </is>
      </c>
      <c r="G304" t="inlineStr">
        <is>
          <t>LINDESBERG</t>
        </is>
      </c>
      <c r="I304" t="n">
        <v>4.1</v>
      </c>
      <c r="J304" t="n">
        <v>0</v>
      </c>
      <c r="K304" t="n">
        <v>0</v>
      </c>
      <c r="L304" t="n">
        <v>0</v>
      </c>
      <c r="M304" t="n">
        <v>0</v>
      </c>
      <c r="N304" t="n">
        <v>0</v>
      </c>
      <c r="O304" t="n">
        <v>0</v>
      </c>
      <c r="P304" t="n">
        <v>0</v>
      </c>
      <c r="Q304" t="n">
        <v>0</v>
      </c>
      <c r="R304" t="n">
        <v>0</v>
      </c>
      <c r="S304" t="n">
        <v>0</v>
      </c>
      <c r="T304" t="n">
        <v>0</v>
      </c>
      <c r="U304" s="2" t="inlineStr"/>
    </row>
    <row r="305" ht="15" customHeight="1">
      <c r="A305" t="inlineStr">
        <is>
          <t>A 30339-2025</t>
        </is>
      </c>
      <c r="B305" t="inlineStr">
        <is>
          <t>avverkningsanmälan</t>
        </is>
      </c>
      <c r="C305" t="inlineStr">
        <is>
          <t>Föryngringsavverkning</t>
        </is>
      </c>
      <c r="D305" s="1" t="n">
        <v>45827</v>
      </c>
      <c r="E305" s="1" t="n">
        <v>46223</v>
      </c>
      <c r="F305" t="inlineStr">
        <is>
          <t>ÖREBRO LÄN</t>
        </is>
      </c>
      <c r="G305" t="inlineStr">
        <is>
          <t>LINDESBERG</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47069-2023</t>
        </is>
      </c>
      <c r="B306" t="inlineStr">
        <is>
          <t>avverkningsanmälan</t>
        </is>
      </c>
      <c r="C306" t="inlineStr">
        <is>
          <t>Föryngringsavverkning</t>
        </is>
      </c>
      <c r="D306" s="1" t="n">
        <v>45201</v>
      </c>
      <c r="E306" s="1" t="n">
        <v>46223</v>
      </c>
      <c r="F306" t="inlineStr">
        <is>
          <t>ÖREBRO LÄN</t>
        </is>
      </c>
      <c r="G306" t="inlineStr">
        <is>
          <t>LINDESBERG</t>
        </is>
      </c>
      <c r="H306" t="inlineStr">
        <is>
          <t>Sveaskog</t>
        </is>
      </c>
      <c r="I306" t="n">
        <v>9.4</v>
      </c>
      <c r="J306" t="n">
        <v>0</v>
      </c>
      <c r="K306" t="n">
        <v>0</v>
      </c>
      <c r="L306" t="n">
        <v>0</v>
      </c>
      <c r="M306" t="n">
        <v>0</v>
      </c>
      <c r="N306" t="n">
        <v>0</v>
      </c>
      <c r="O306" t="n">
        <v>0</v>
      </c>
      <c r="P306" t="n">
        <v>0</v>
      </c>
      <c r="Q306" t="n">
        <v>0</v>
      </c>
      <c r="R306" t="n">
        <v>0</v>
      </c>
      <c r="S306" t="n">
        <v>0</v>
      </c>
      <c r="T306" t="n">
        <v>0</v>
      </c>
      <c r="U306" s="2" t="inlineStr"/>
    </row>
    <row r="307" ht="15" customHeight="1">
      <c r="A307" t="inlineStr">
        <is>
          <t>A 47074-2023</t>
        </is>
      </c>
      <c r="B307" t="inlineStr">
        <is>
          <t>avverkningsanmälan</t>
        </is>
      </c>
      <c r="C307" t="inlineStr">
        <is>
          <t>Föryngringsavverkning</t>
        </is>
      </c>
      <c r="D307" s="1" t="n">
        <v>45201</v>
      </c>
      <c r="E307" s="1" t="n">
        <v>46223</v>
      </c>
      <c r="F307" t="inlineStr">
        <is>
          <t>ÖREBRO LÄN</t>
        </is>
      </c>
      <c r="G307" t="inlineStr">
        <is>
          <t>LINDESBERG</t>
        </is>
      </c>
      <c r="H307" t="inlineStr">
        <is>
          <t>Sveaskog</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34029-2024</t>
        </is>
      </c>
      <c r="B308" t="inlineStr">
        <is>
          <t>avverkningsanmälan</t>
        </is>
      </c>
      <c r="C308" t="inlineStr">
        <is>
          <t>Föryngringsavverkning</t>
        </is>
      </c>
      <c r="D308" s="1" t="n">
        <v>45523</v>
      </c>
      <c r="E308" s="1" t="n">
        <v>46223</v>
      </c>
      <c r="F308" t="inlineStr">
        <is>
          <t>ÖREBRO LÄN</t>
        </is>
      </c>
      <c r="G308" t="inlineStr">
        <is>
          <t>LINDESBERG</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31014-2025</t>
        </is>
      </c>
      <c r="B309" t="inlineStr">
        <is>
          <t>avverkningsanmälan</t>
        </is>
      </c>
      <c r="C309" t="inlineStr">
        <is>
          <t>Avverkning för att bevara och utveckla /försöksver</t>
        </is>
      </c>
      <c r="D309" s="1" t="n">
        <v>45832</v>
      </c>
      <c r="E309" s="1" t="n">
        <v>46223</v>
      </c>
      <c r="F309" t="inlineStr">
        <is>
          <t>ÖREBRO LÄN</t>
        </is>
      </c>
      <c r="G309" t="inlineStr">
        <is>
          <t>LINDESBERG</t>
        </is>
      </c>
      <c r="H309" t="inlineStr">
        <is>
          <t>Sveaskog</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31018-2025</t>
        </is>
      </c>
      <c r="B310" t="inlineStr">
        <is>
          <t>avverkningsanmälan</t>
        </is>
      </c>
      <c r="C310" t="inlineStr">
        <is>
          <t>Föryngringsavverkning</t>
        </is>
      </c>
      <c r="D310" s="1" t="n">
        <v>45832</v>
      </c>
      <c r="E310" s="1" t="n">
        <v>46223</v>
      </c>
      <c r="F310" t="inlineStr">
        <is>
          <t>ÖREBRO LÄN</t>
        </is>
      </c>
      <c r="G310" t="inlineStr">
        <is>
          <t>LINDESBERG</t>
        </is>
      </c>
      <c r="H310" t="inlineStr">
        <is>
          <t>Sveaskog</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31003-2025</t>
        </is>
      </c>
      <c r="B311" t="inlineStr">
        <is>
          <t>avverkningsanmälan</t>
        </is>
      </c>
      <c r="C311" t="inlineStr">
        <is>
          <t>Föryngringsavverkning</t>
        </is>
      </c>
      <c r="D311" s="1" t="n">
        <v>45832</v>
      </c>
      <c r="E311" s="1" t="n">
        <v>46223</v>
      </c>
      <c r="F311" t="inlineStr">
        <is>
          <t>ÖREBRO LÄN</t>
        </is>
      </c>
      <c r="G311" t="inlineStr">
        <is>
          <t>LINDESBERG</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31085-2025</t>
        </is>
      </c>
      <c r="B312" t="inlineStr">
        <is>
          <t>avverkningsanmälan</t>
        </is>
      </c>
      <c r="C312" t="inlineStr">
        <is>
          <t>Avverkning för annat ändamål</t>
        </is>
      </c>
      <c r="D312" s="1" t="n">
        <v>45832</v>
      </c>
      <c r="E312" s="1" t="n">
        <v>46223</v>
      </c>
      <c r="F312" t="inlineStr">
        <is>
          <t>ÖREBRO LÄN</t>
        </is>
      </c>
      <c r="G312" t="inlineStr">
        <is>
          <t>LINDESBERG</t>
        </is>
      </c>
      <c r="H312" t="inlineStr">
        <is>
          <t>Sveaskog</t>
        </is>
      </c>
      <c r="I312" t="n">
        <v>0.3</v>
      </c>
      <c r="J312" t="n">
        <v>0</v>
      </c>
      <c r="K312" t="n">
        <v>0</v>
      </c>
      <c r="L312" t="n">
        <v>0</v>
      </c>
      <c r="M312" t="n">
        <v>0</v>
      </c>
      <c r="N312" t="n">
        <v>0</v>
      </c>
      <c r="O312" t="n">
        <v>0</v>
      </c>
      <c r="P312" t="n">
        <v>0</v>
      </c>
      <c r="Q312" t="n">
        <v>0</v>
      </c>
      <c r="R312" t="n">
        <v>0</v>
      </c>
      <c r="S312" t="n">
        <v>0</v>
      </c>
      <c r="T312" t="n">
        <v>0</v>
      </c>
      <c r="U312" s="2" t="inlineStr"/>
    </row>
    <row r="313" ht="15" customHeight="1">
      <c r="A313" t="inlineStr">
        <is>
          <t>A 5235-2026</t>
        </is>
      </c>
      <c r="B313" t="inlineStr">
        <is>
          <t>avverkningsanmälan</t>
        </is>
      </c>
      <c r="C313" t="inlineStr">
        <is>
          <t>Föryngringsavverkning</t>
        </is>
      </c>
      <c r="D313" s="1" t="n">
        <v>46049</v>
      </c>
      <c r="E313" s="1" t="n">
        <v>46223</v>
      </c>
      <c r="F313" t="inlineStr">
        <is>
          <t>ÖREBRO LÄN</t>
        </is>
      </c>
      <c r="G313" t="inlineStr">
        <is>
          <t>LINDESBERG</t>
        </is>
      </c>
      <c r="I313" t="n">
        <v>4.8</v>
      </c>
      <c r="J313" t="n">
        <v>0</v>
      </c>
      <c r="K313" t="n">
        <v>0</v>
      </c>
      <c r="L313" t="n">
        <v>0</v>
      </c>
      <c r="M313" t="n">
        <v>0</v>
      </c>
      <c r="N313" t="n">
        <v>0</v>
      </c>
      <c r="O313" t="n">
        <v>0</v>
      </c>
      <c r="P313" t="n">
        <v>0</v>
      </c>
      <c r="Q313" t="n">
        <v>0</v>
      </c>
      <c r="R313" t="n">
        <v>0</v>
      </c>
      <c r="S313" t="n">
        <v>0</v>
      </c>
      <c r="T313" t="n">
        <v>0</v>
      </c>
      <c r="U313" s="2" t="inlineStr"/>
    </row>
    <row r="314" ht="15" customHeight="1">
      <c r="A314" t="inlineStr">
        <is>
          <t>A 53352-2023</t>
        </is>
      </c>
      <c r="B314" t="inlineStr">
        <is>
          <t>avverkningsanmälan</t>
        </is>
      </c>
      <c r="C314" t="inlineStr">
        <is>
          <t>Föryngringsavverkning</t>
        </is>
      </c>
      <c r="D314" s="1" t="n">
        <v>45229</v>
      </c>
      <c r="E314" s="1" t="n">
        <v>46223</v>
      </c>
      <c r="F314" t="inlineStr">
        <is>
          <t>ÖREBRO LÄN</t>
        </is>
      </c>
      <c r="G314" t="inlineStr">
        <is>
          <t>LINDESBERG</t>
        </is>
      </c>
      <c r="H314" t="inlineStr">
        <is>
          <t>Sveaskog</t>
        </is>
      </c>
      <c r="I314" t="n">
        <v>0.3</v>
      </c>
      <c r="J314" t="n">
        <v>0</v>
      </c>
      <c r="K314" t="n">
        <v>0</v>
      </c>
      <c r="L314" t="n">
        <v>0</v>
      </c>
      <c r="M314" t="n">
        <v>0</v>
      </c>
      <c r="N314" t="n">
        <v>0</v>
      </c>
      <c r="O314" t="n">
        <v>0</v>
      </c>
      <c r="P314" t="n">
        <v>0</v>
      </c>
      <c r="Q314" t="n">
        <v>0</v>
      </c>
      <c r="R314" t="n">
        <v>0</v>
      </c>
      <c r="S314" t="n">
        <v>0</v>
      </c>
      <c r="T314" t="n">
        <v>0</v>
      </c>
      <c r="U314" s="2" t="inlineStr"/>
    </row>
    <row r="315" ht="15" customHeight="1">
      <c r="A315" t="inlineStr">
        <is>
          <t>A 46678-2023</t>
        </is>
      </c>
      <c r="B315" t="inlineStr">
        <is>
          <t>avverkningsanmälan</t>
        </is>
      </c>
      <c r="C315" t="inlineStr">
        <is>
          <t>Föryngringsavverkning</t>
        </is>
      </c>
      <c r="D315" s="1" t="n">
        <v>45194</v>
      </c>
      <c r="E315" s="1" t="n">
        <v>46223</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26967-2022</t>
        </is>
      </c>
      <c r="B316" t="inlineStr">
        <is>
          <t>avverkningsanmälan</t>
        </is>
      </c>
      <c r="C316" t="inlineStr">
        <is>
          <t>Föryngringsavverkning</t>
        </is>
      </c>
      <c r="D316" s="1" t="n">
        <v>44740</v>
      </c>
      <c r="E316" s="1" t="n">
        <v>46223</v>
      </c>
      <c r="F316" t="inlineStr">
        <is>
          <t>ÖREBRO LÄN</t>
        </is>
      </c>
      <c r="G316" t="inlineStr">
        <is>
          <t>LINDESBERG</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41889-2025</t>
        </is>
      </c>
      <c r="B317" t="inlineStr">
        <is>
          <t>avverkningsanmälan</t>
        </is>
      </c>
      <c r="C317" t="inlineStr">
        <is>
          <t>Föryngringsavverkning</t>
        </is>
      </c>
      <c r="D317" s="1" t="n">
        <v>45903</v>
      </c>
      <c r="E317" s="1" t="n">
        <v>46223</v>
      </c>
      <c r="F317" t="inlineStr">
        <is>
          <t>ÖREBRO LÄN</t>
        </is>
      </c>
      <c r="G317" t="inlineStr">
        <is>
          <t>LINDESBERG</t>
        </is>
      </c>
      <c r="H317" t="inlineStr">
        <is>
          <t>Sveaskog</t>
        </is>
      </c>
      <c r="I317" t="n">
        <v>7.7</v>
      </c>
      <c r="J317" t="n">
        <v>0</v>
      </c>
      <c r="K317" t="n">
        <v>0</v>
      </c>
      <c r="L317" t="n">
        <v>0</v>
      </c>
      <c r="M317" t="n">
        <v>0</v>
      </c>
      <c r="N317" t="n">
        <v>0</v>
      </c>
      <c r="O317" t="n">
        <v>0</v>
      </c>
      <c r="P317" t="n">
        <v>0</v>
      </c>
      <c r="Q317" t="n">
        <v>0</v>
      </c>
      <c r="R317" t="n">
        <v>0</v>
      </c>
      <c r="S317" t="n">
        <v>0</v>
      </c>
      <c r="T317" t="n">
        <v>0</v>
      </c>
      <c r="U317" s="2" t="inlineStr"/>
    </row>
    <row r="318" ht="15" customHeight="1">
      <c r="A318" t="inlineStr">
        <is>
          <t>A 45978-2021</t>
        </is>
      </c>
      <c r="B318" t="inlineStr">
        <is>
          <t>avverkningsanmälan</t>
        </is>
      </c>
      <c r="C318" t="inlineStr">
        <is>
          <t>Föryngringsavverkning</t>
        </is>
      </c>
      <c r="D318" s="1" t="n">
        <v>44441</v>
      </c>
      <c r="E318" s="1" t="n">
        <v>46223</v>
      </c>
      <c r="F318" t="inlineStr">
        <is>
          <t>ÖREBRO LÄN</t>
        </is>
      </c>
      <c r="G318" t="inlineStr">
        <is>
          <t>LINDESBERG</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14454-2024</t>
        </is>
      </c>
      <c r="B319" t="inlineStr">
        <is>
          <t>avverkningsanmälan</t>
        </is>
      </c>
      <c r="C319" t="inlineStr">
        <is>
          <t>Föryngringsavverkning</t>
        </is>
      </c>
      <c r="D319" s="1" t="n">
        <v>45394</v>
      </c>
      <c r="E319" s="1" t="n">
        <v>46223</v>
      </c>
      <c r="F319" t="inlineStr">
        <is>
          <t>ÖREBRO LÄN</t>
        </is>
      </c>
      <c r="G319" t="inlineStr">
        <is>
          <t>LINDESBERG</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46484-2024</t>
        </is>
      </c>
      <c r="B320" t="inlineStr">
        <is>
          <t>avverkningsanmälan</t>
        </is>
      </c>
      <c r="C320" t="inlineStr">
        <is>
          <t>Föryngringsavverkning</t>
        </is>
      </c>
      <c r="D320" s="1" t="n">
        <v>45582</v>
      </c>
      <c r="E320" s="1" t="n">
        <v>46223</v>
      </c>
      <c r="F320" t="inlineStr">
        <is>
          <t>ÖREBRO LÄN</t>
        </is>
      </c>
      <c r="G320" t="inlineStr">
        <is>
          <t>LINDESBERG</t>
        </is>
      </c>
      <c r="H320" t="inlineStr">
        <is>
          <t>Sveaskog</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19436-2025</t>
        </is>
      </c>
      <c r="B321" t="inlineStr">
        <is>
          <t>avverkningsanmälan</t>
        </is>
      </c>
      <c r="C321" t="inlineStr">
        <is>
          <t>Föryngringsavverkning</t>
        </is>
      </c>
      <c r="D321" s="1" t="n">
        <v>45769</v>
      </c>
      <c r="E321" s="1" t="n">
        <v>46223</v>
      </c>
      <c r="F321" t="inlineStr">
        <is>
          <t>ÖREBRO LÄN</t>
        </is>
      </c>
      <c r="G321" t="inlineStr">
        <is>
          <t>LINDESBERG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13350-2024</t>
        </is>
      </c>
      <c r="B322" t="inlineStr">
        <is>
          <t>avverkningsanmälan</t>
        </is>
      </c>
      <c r="C322" t="inlineStr">
        <is>
          <t>Föryngringsavverkning</t>
        </is>
      </c>
      <c r="D322" s="1" t="n">
        <v>45387</v>
      </c>
      <c r="E322" s="1" t="n">
        <v>46223</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13351-2024</t>
        </is>
      </c>
      <c r="B323" t="inlineStr">
        <is>
          <t>avverkningsanmälan</t>
        </is>
      </c>
      <c r="C323" t="inlineStr">
        <is>
          <t>Föryngringsavverkning</t>
        </is>
      </c>
      <c r="D323" s="1" t="n">
        <v>45387</v>
      </c>
      <c r="E323" s="1" t="n">
        <v>46223</v>
      </c>
      <c r="F323" t="inlineStr">
        <is>
          <t>ÖREBRO LÄN</t>
        </is>
      </c>
      <c r="G323" t="inlineStr">
        <is>
          <t>LINDESBERG</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32284-2025</t>
        </is>
      </c>
      <c r="B324" t="inlineStr">
        <is>
          <t>avverkningsanmälan</t>
        </is>
      </c>
      <c r="C324" t="inlineStr">
        <is>
          <t>Föryngringsavverkning</t>
        </is>
      </c>
      <c r="D324" s="1" t="n">
        <v>45835</v>
      </c>
      <c r="E324" s="1" t="n">
        <v>46223</v>
      </c>
      <c r="F324" t="inlineStr">
        <is>
          <t>ÖREBRO LÄN</t>
        </is>
      </c>
      <c r="G324" t="inlineStr">
        <is>
          <t>LINDESBERG</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12053-2024</t>
        </is>
      </c>
      <c r="B325" t="inlineStr">
        <is>
          <t>avverkningsanmälan</t>
        </is>
      </c>
      <c r="C325" t="inlineStr">
        <is>
          <t>Föryngringsavverkning</t>
        </is>
      </c>
      <c r="D325" s="1" t="n">
        <v>45377</v>
      </c>
      <c r="E325" s="1" t="n">
        <v>46223</v>
      </c>
      <c r="F325" t="inlineStr">
        <is>
          <t>ÖREBRO LÄN</t>
        </is>
      </c>
      <c r="G325" t="inlineStr">
        <is>
          <t>LINDESBERG</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39137-2024</t>
        </is>
      </c>
      <c r="B326" t="inlineStr">
        <is>
          <t>avverkningsanmälan</t>
        </is>
      </c>
      <c r="C326" t="inlineStr">
        <is>
          <t>Föryngringsavverkning</t>
        </is>
      </c>
      <c r="D326" s="1" t="n">
        <v>45548</v>
      </c>
      <c r="E326" s="1" t="n">
        <v>46223</v>
      </c>
      <c r="F326" t="inlineStr">
        <is>
          <t>ÖREBRO LÄN</t>
        </is>
      </c>
      <c r="G326" t="inlineStr">
        <is>
          <t>LINDESBERG</t>
        </is>
      </c>
      <c r="H326" t="inlineStr">
        <is>
          <t>Sveaskog</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43847-2025</t>
        </is>
      </c>
      <c r="B327" t="inlineStr">
        <is>
          <t>avverkningsanmälan</t>
        </is>
      </c>
      <c r="C327" t="inlineStr">
        <is>
          <t>Föryngringsavverkning</t>
        </is>
      </c>
      <c r="D327" s="1" t="n">
        <v>45912</v>
      </c>
      <c r="E327" s="1" t="n">
        <v>46223</v>
      </c>
      <c r="F327" t="inlineStr">
        <is>
          <t>ÖREBRO LÄN</t>
        </is>
      </c>
      <c r="G327" t="inlineStr">
        <is>
          <t>LINDESBERG</t>
        </is>
      </c>
      <c r="H327" t="inlineStr">
        <is>
          <t>Sveaskog</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32727-2024</t>
        </is>
      </c>
      <c r="B328" t="inlineStr">
        <is>
          <t>avverkningsanmälan</t>
        </is>
      </c>
      <c r="C328" t="inlineStr">
        <is>
          <t>Föryngringsavverkning</t>
        </is>
      </c>
      <c r="D328" s="1" t="n">
        <v>45516</v>
      </c>
      <c r="E328" s="1" t="n">
        <v>46223</v>
      </c>
      <c r="F328" t="inlineStr">
        <is>
          <t>ÖREBRO LÄN</t>
        </is>
      </c>
      <c r="G328" t="inlineStr">
        <is>
          <t>LINDESBERG</t>
        </is>
      </c>
      <c r="H328" t="inlineStr">
        <is>
          <t>Sveaskog</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43529-2024</t>
        </is>
      </c>
      <c r="B329" t="inlineStr">
        <is>
          <t>avverkningsanmälan</t>
        </is>
      </c>
      <c r="C329" t="inlineStr">
        <is>
          <t>Föryngringsavverkning</t>
        </is>
      </c>
      <c r="D329" s="1" t="n">
        <v>45569</v>
      </c>
      <c r="E329" s="1" t="n">
        <v>46223</v>
      </c>
      <c r="F329" t="inlineStr">
        <is>
          <t>ÖREBRO LÄN</t>
        </is>
      </c>
      <c r="G329" t="inlineStr">
        <is>
          <t>LINDESBERG</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46607-2021</t>
        </is>
      </c>
      <c r="B330" t="inlineStr">
        <is>
          <t>avverkningsanmälan</t>
        </is>
      </c>
      <c r="C330" t="inlineStr">
        <is>
          <t>Föryngringsavverkning</t>
        </is>
      </c>
      <c r="D330" s="1" t="n">
        <v>44445</v>
      </c>
      <c r="E330" s="1" t="n">
        <v>46223</v>
      </c>
      <c r="F330" t="inlineStr">
        <is>
          <t>ÖREBRO LÄN</t>
        </is>
      </c>
      <c r="G330" t="inlineStr">
        <is>
          <t>LINDESBERG</t>
        </is>
      </c>
      <c r="H330" t="inlineStr">
        <is>
          <t>Sveaskog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27051-2023</t>
        </is>
      </c>
      <c r="B331" t="inlineStr">
        <is>
          <t>avverkningsanmälan</t>
        </is>
      </c>
      <c r="C331" t="inlineStr">
        <is>
          <t>Föryngringsavverkning</t>
        </is>
      </c>
      <c r="D331" s="1" t="n">
        <v>45095</v>
      </c>
      <c r="E331" s="1" t="n">
        <v>46223</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27052-2023</t>
        </is>
      </c>
      <c r="B332" t="inlineStr">
        <is>
          <t>avverkningsanmälan</t>
        </is>
      </c>
      <c r="C332" t="inlineStr">
        <is>
          <t>Föryngringsavverkning</t>
        </is>
      </c>
      <c r="D332" s="1" t="n">
        <v>45095</v>
      </c>
      <c r="E332" s="1" t="n">
        <v>46223</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58710-2023</t>
        </is>
      </c>
      <c r="B333" t="inlineStr">
        <is>
          <t>avverkningsanmälan</t>
        </is>
      </c>
      <c r="C333" t="inlineStr">
        <is>
          <t>Föryngringsavverkning</t>
        </is>
      </c>
      <c r="D333" s="1" t="n">
        <v>45251</v>
      </c>
      <c r="E333" s="1" t="n">
        <v>46223</v>
      </c>
      <c r="F333" t="inlineStr">
        <is>
          <t>ÖREBRO LÄN</t>
        </is>
      </c>
      <c r="G333" t="inlineStr">
        <is>
          <t>LINDESBERG</t>
        </is>
      </c>
      <c r="I333" t="n">
        <v>6.3</v>
      </c>
      <c r="J333" t="n">
        <v>0</v>
      </c>
      <c r="K333" t="n">
        <v>0</v>
      </c>
      <c r="L333" t="n">
        <v>0</v>
      </c>
      <c r="M333" t="n">
        <v>0</v>
      </c>
      <c r="N333" t="n">
        <v>0</v>
      </c>
      <c r="O333" t="n">
        <v>0</v>
      </c>
      <c r="P333" t="n">
        <v>0</v>
      </c>
      <c r="Q333" t="n">
        <v>0</v>
      </c>
      <c r="R333" t="n">
        <v>0</v>
      </c>
      <c r="S333" t="n">
        <v>0</v>
      </c>
      <c r="T333" t="n">
        <v>0</v>
      </c>
      <c r="U333" s="2" t="inlineStr"/>
    </row>
    <row r="334" ht="15" customHeight="1">
      <c r="A334" t="inlineStr">
        <is>
          <t>A 5772-2023</t>
        </is>
      </c>
      <c r="B334" t="inlineStr">
        <is>
          <t>avverkningsanmälan</t>
        </is>
      </c>
      <c r="C334" t="inlineStr">
        <is>
          <t>Föryngringsavverkning</t>
        </is>
      </c>
      <c r="D334" s="1" t="n">
        <v>44963</v>
      </c>
      <c r="E334" s="1" t="n">
        <v>46223</v>
      </c>
      <c r="F334" t="inlineStr">
        <is>
          <t>ÖREBRO LÄN</t>
        </is>
      </c>
      <c r="G334" t="inlineStr">
        <is>
          <t>LINDESBERG</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33574-2024</t>
        </is>
      </c>
      <c r="B335" t="inlineStr">
        <is>
          <t>avverkningsanmälan</t>
        </is>
      </c>
      <c r="C335" t="inlineStr">
        <is>
          <t>Föryngringsavverkning</t>
        </is>
      </c>
      <c r="D335" s="1" t="n">
        <v>45520</v>
      </c>
      <c r="E335" s="1" t="n">
        <v>46223</v>
      </c>
      <c r="F335" t="inlineStr">
        <is>
          <t>ÖREBRO LÄN</t>
        </is>
      </c>
      <c r="G335" t="inlineStr">
        <is>
          <t>LINDESBERG</t>
        </is>
      </c>
      <c r="H335" t="inlineStr">
        <is>
          <t>Sveaskog</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34097-2025</t>
        </is>
      </c>
      <c r="B336" t="inlineStr">
        <is>
          <t>avverkningsanmälan</t>
        </is>
      </c>
      <c r="C336" t="inlineStr">
        <is>
          <t>Föryngringsavverkning</t>
        </is>
      </c>
      <c r="D336" s="1" t="n">
        <v>45845</v>
      </c>
      <c r="E336" s="1" t="n">
        <v>46223</v>
      </c>
      <c r="F336" t="inlineStr">
        <is>
          <t>ÖREBRO LÄN</t>
        </is>
      </c>
      <c r="G336" t="inlineStr">
        <is>
          <t>LINDESBERG</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34104-2025</t>
        </is>
      </c>
      <c r="B337" t="inlineStr">
        <is>
          <t>avverkningsanmälan</t>
        </is>
      </c>
      <c r="C337" t="inlineStr">
        <is>
          <t>Föryngringsavverkning</t>
        </is>
      </c>
      <c r="D337" s="1" t="n">
        <v>45845</v>
      </c>
      <c r="E337" s="1" t="n">
        <v>46223</v>
      </c>
      <c r="F337" t="inlineStr">
        <is>
          <t>ÖREBRO LÄN</t>
        </is>
      </c>
      <c r="G337" t="inlineStr">
        <is>
          <t>LINDESBERG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26340-2022</t>
        </is>
      </c>
      <c r="B338" t="inlineStr">
        <is>
          <t>avverkningsanmälan</t>
        </is>
      </c>
      <c r="C338" t="inlineStr">
        <is>
          <t>Föryngringsavverkning</t>
        </is>
      </c>
      <c r="D338" s="1" t="n">
        <v>44735</v>
      </c>
      <c r="E338" s="1" t="n">
        <v>46223</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23536-2023</t>
        </is>
      </c>
      <c r="B339" t="inlineStr">
        <is>
          <t>avverkningsanmälan</t>
        </is>
      </c>
      <c r="C339" t="inlineStr">
        <is>
          <t>Föryngringsavverkning</t>
        </is>
      </c>
      <c r="D339" s="1" t="n">
        <v>45077</v>
      </c>
      <c r="E339" s="1" t="n">
        <v>46223</v>
      </c>
      <c r="F339" t="inlineStr">
        <is>
          <t>ÖREBRO LÄN</t>
        </is>
      </c>
      <c r="G339" t="inlineStr">
        <is>
          <t>LINDESBERG</t>
        </is>
      </c>
      <c r="H339" t="inlineStr">
        <is>
          <t>Kyrkan</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61969-2023</t>
        </is>
      </c>
      <c r="B340" t="inlineStr">
        <is>
          <t>avverkningsanmälan</t>
        </is>
      </c>
      <c r="C340" t="inlineStr">
        <is>
          <t>Föryngringsavverkning</t>
        </is>
      </c>
      <c r="D340" s="1" t="n">
        <v>45266</v>
      </c>
      <c r="E340" s="1" t="n">
        <v>46223</v>
      </c>
      <c r="F340" t="inlineStr">
        <is>
          <t>ÖREBRO LÄN</t>
        </is>
      </c>
      <c r="G340" t="inlineStr">
        <is>
          <t>LINDESBERG</t>
        </is>
      </c>
      <c r="I340" t="n">
        <v>10.5</v>
      </c>
      <c r="J340" t="n">
        <v>0</v>
      </c>
      <c r="K340" t="n">
        <v>0</v>
      </c>
      <c r="L340" t="n">
        <v>0</v>
      </c>
      <c r="M340" t="n">
        <v>0</v>
      </c>
      <c r="N340" t="n">
        <v>0</v>
      </c>
      <c r="O340" t="n">
        <v>0</v>
      </c>
      <c r="P340" t="n">
        <v>0</v>
      </c>
      <c r="Q340" t="n">
        <v>0</v>
      </c>
      <c r="R340" t="n">
        <v>0</v>
      </c>
      <c r="S340" t="n">
        <v>0</v>
      </c>
      <c r="T340" t="n">
        <v>0</v>
      </c>
      <c r="U340" s="2" t="inlineStr"/>
    </row>
    <row r="341" ht="15" customHeight="1">
      <c r="A341" t="inlineStr">
        <is>
          <t>A 6962-2023</t>
        </is>
      </c>
      <c r="B341" t="inlineStr">
        <is>
          <t>avverkningsanmälan</t>
        </is>
      </c>
      <c r="C341" t="inlineStr">
        <is>
          <t>Föryngringsavverkning</t>
        </is>
      </c>
      <c r="D341" s="1" t="n">
        <v>44967</v>
      </c>
      <c r="E341" s="1" t="n">
        <v>46223</v>
      </c>
      <c r="F341" t="inlineStr">
        <is>
          <t>ÖREBRO LÄN</t>
        </is>
      </c>
      <c r="G341" t="inlineStr">
        <is>
          <t>LINDESBERG</t>
        </is>
      </c>
      <c r="I341" t="n">
        <v>11.4</v>
      </c>
      <c r="J341" t="n">
        <v>0</v>
      </c>
      <c r="K341" t="n">
        <v>0</v>
      </c>
      <c r="L341" t="n">
        <v>0</v>
      </c>
      <c r="M341" t="n">
        <v>0</v>
      </c>
      <c r="N341" t="n">
        <v>0</v>
      </c>
      <c r="O341" t="n">
        <v>0</v>
      </c>
      <c r="P341" t="n">
        <v>0</v>
      </c>
      <c r="Q341" t="n">
        <v>0</v>
      </c>
      <c r="R341" t="n">
        <v>0</v>
      </c>
      <c r="S341" t="n">
        <v>0</v>
      </c>
      <c r="T341" t="n">
        <v>0</v>
      </c>
      <c r="U341" s="2" t="inlineStr"/>
    </row>
    <row r="342" ht="15" customHeight="1">
      <c r="A342" t="inlineStr">
        <is>
          <t>A 5677-2025</t>
        </is>
      </c>
      <c r="B342" t="inlineStr">
        <is>
          <t>avverkningsanmälan</t>
        </is>
      </c>
      <c r="C342" t="inlineStr">
        <is>
          <t>Föryngringsavverkning</t>
        </is>
      </c>
      <c r="D342" s="1" t="n">
        <v>45694</v>
      </c>
      <c r="E342" s="1" t="n">
        <v>46223</v>
      </c>
      <c r="F342" t="inlineStr">
        <is>
          <t>ÖREBRO LÄN</t>
        </is>
      </c>
      <c r="G342" t="inlineStr">
        <is>
          <t>LINDESBERG</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24916-2022</t>
        </is>
      </c>
      <c r="B343" t="inlineStr">
        <is>
          <t>avverkningsanmälan</t>
        </is>
      </c>
      <c r="C343" t="inlineStr">
        <is>
          <t>Föryngringsavverkning</t>
        </is>
      </c>
      <c r="D343" s="1" t="n">
        <v>44728</v>
      </c>
      <c r="E343" s="1" t="n">
        <v>46223</v>
      </c>
      <c r="F343" t="inlineStr">
        <is>
          <t>ÖREBRO LÄN</t>
        </is>
      </c>
      <c r="G343" t="inlineStr">
        <is>
          <t>LINDESBERG</t>
        </is>
      </c>
      <c r="I343" t="n">
        <v>8.1</v>
      </c>
      <c r="J343" t="n">
        <v>0</v>
      </c>
      <c r="K343" t="n">
        <v>0</v>
      </c>
      <c r="L343" t="n">
        <v>0</v>
      </c>
      <c r="M343" t="n">
        <v>0</v>
      </c>
      <c r="N343" t="n">
        <v>0</v>
      </c>
      <c r="O343" t="n">
        <v>0</v>
      </c>
      <c r="P343" t="n">
        <v>0</v>
      </c>
      <c r="Q343" t="n">
        <v>0</v>
      </c>
      <c r="R343" t="n">
        <v>0</v>
      </c>
      <c r="S343" t="n">
        <v>0</v>
      </c>
      <c r="T343" t="n">
        <v>0</v>
      </c>
      <c r="U343" s="2" t="inlineStr"/>
    </row>
    <row r="344" ht="15" customHeight="1">
      <c r="A344" t="inlineStr">
        <is>
          <t>A 1681-2025</t>
        </is>
      </c>
      <c r="B344" t="inlineStr">
        <is>
          <t>avverkningsanmälan</t>
        </is>
      </c>
      <c r="C344" t="inlineStr">
        <is>
          <t>Föryngringsavverkning</t>
        </is>
      </c>
      <c r="D344" s="1" t="n">
        <v>45670</v>
      </c>
      <c r="E344" s="1" t="n">
        <v>46223</v>
      </c>
      <c r="F344" t="inlineStr">
        <is>
          <t>ÖREBRO LÄN</t>
        </is>
      </c>
      <c r="G344" t="inlineStr">
        <is>
          <t>LINDESBERG</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46404-2025</t>
        </is>
      </c>
      <c r="B345" t="inlineStr">
        <is>
          <t>avverkningsanmälan</t>
        </is>
      </c>
      <c r="C345" t="inlineStr">
        <is>
          <t>Föryngringsavverkning</t>
        </is>
      </c>
      <c r="D345" s="1" t="n">
        <v>45925</v>
      </c>
      <c r="E345" s="1" t="n">
        <v>46223</v>
      </c>
      <c r="F345" t="inlineStr">
        <is>
          <t>ÖREBRO LÄN</t>
        </is>
      </c>
      <c r="G345" t="inlineStr">
        <is>
          <t>LINDESBERG</t>
        </is>
      </c>
      <c r="H345" t="inlineStr">
        <is>
          <t>Sveaskog</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6524-2026</t>
        </is>
      </c>
      <c r="B346" t="inlineStr">
        <is>
          <t>avverkningsanmälan</t>
        </is>
      </c>
      <c r="C346" t="inlineStr">
        <is>
          <t>Föryngringsavverkning</t>
        </is>
      </c>
      <c r="D346" s="1" t="n">
        <v>46056</v>
      </c>
      <c r="E346" s="1" t="n">
        <v>46223</v>
      </c>
      <c r="F346" t="inlineStr">
        <is>
          <t>ÖREBRO LÄN</t>
        </is>
      </c>
      <c r="G346" t="inlineStr">
        <is>
          <t>LINDESBERG</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7180-2023</t>
        </is>
      </c>
      <c r="B347" t="inlineStr">
        <is>
          <t>avverkningsanmälan</t>
        </is>
      </c>
      <c r="C347" t="inlineStr">
        <is>
          <t>Föryngringsavverkning</t>
        </is>
      </c>
      <c r="D347" s="1" t="n">
        <v>44970</v>
      </c>
      <c r="E347" s="1" t="n">
        <v>46223</v>
      </c>
      <c r="F347" t="inlineStr">
        <is>
          <t>ÖREBRO LÄN</t>
        </is>
      </c>
      <c r="G347" t="inlineStr">
        <is>
          <t>LINDESBERG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7661-2024</t>
        </is>
      </c>
      <c r="B348" t="inlineStr">
        <is>
          <t>avverkningsanmälan</t>
        </is>
      </c>
      <c r="C348" t="inlineStr">
        <is>
          <t>Föryngringsavverkning</t>
        </is>
      </c>
      <c r="D348" s="1" t="n">
        <v>45348</v>
      </c>
      <c r="E348" s="1" t="n">
        <v>46223</v>
      </c>
      <c r="F348" t="inlineStr">
        <is>
          <t>ÖREBRO LÄN</t>
        </is>
      </c>
      <c r="G348" t="inlineStr">
        <is>
          <t>LINDESBERG</t>
        </is>
      </c>
      <c r="I348" t="n">
        <v>4.1</v>
      </c>
      <c r="J348" t="n">
        <v>0</v>
      </c>
      <c r="K348" t="n">
        <v>0</v>
      </c>
      <c r="L348" t="n">
        <v>0</v>
      </c>
      <c r="M348" t="n">
        <v>0</v>
      </c>
      <c r="N348" t="n">
        <v>0</v>
      </c>
      <c r="O348" t="n">
        <v>0</v>
      </c>
      <c r="P348" t="n">
        <v>0</v>
      </c>
      <c r="Q348" t="n">
        <v>0</v>
      </c>
      <c r="R348" t="n">
        <v>0</v>
      </c>
      <c r="S348" t="n">
        <v>0</v>
      </c>
      <c r="T348" t="n">
        <v>0</v>
      </c>
      <c r="U348" s="2" t="inlineStr"/>
    </row>
    <row r="349" ht="15" customHeight="1">
      <c r="A349" t="inlineStr">
        <is>
          <t>A 28031-2023</t>
        </is>
      </c>
      <c r="B349" t="inlineStr">
        <is>
          <t>avverkningsanmälan</t>
        </is>
      </c>
      <c r="C349" t="inlineStr">
        <is>
          <t>Föryngringsavverkning</t>
        </is>
      </c>
      <c r="D349" s="1" t="n">
        <v>45099</v>
      </c>
      <c r="E349" s="1" t="n">
        <v>46223</v>
      </c>
      <c r="F349" t="inlineStr">
        <is>
          <t>ÖREBRO LÄN</t>
        </is>
      </c>
      <c r="G349" t="inlineStr">
        <is>
          <t>LINDESBERG</t>
        </is>
      </c>
      <c r="H349" t="inlineStr">
        <is>
          <t>Kyrkan</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6616-2026</t>
        </is>
      </c>
      <c r="B350" t="inlineStr">
        <is>
          <t>avverkningsanmälan</t>
        </is>
      </c>
      <c r="C350" t="inlineStr">
        <is>
          <t>Föryngringsavverkning</t>
        </is>
      </c>
      <c r="D350" s="1" t="n">
        <v>46056</v>
      </c>
      <c r="E350" s="1" t="n">
        <v>46223</v>
      </c>
      <c r="F350" t="inlineStr">
        <is>
          <t>ÖREBRO LÄN</t>
        </is>
      </c>
      <c r="G350" t="inlineStr">
        <is>
          <t>LINDESBERG</t>
        </is>
      </c>
      <c r="I350" t="n">
        <v>9</v>
      </c>
      <c r="J350" t="n">
        <v>0</v>
      </c>
      <c r="K350" t="n">
        <v>0</v>
      </c>
      <c r="L350" t="n">
        <v>0</v>
      </c>
      <c r="M350" t="n">
        <v>0</v>
      </c>
      <c r="N350" t="n">
        <v>0</v>
      </c>
      <c r="O350" t="n">
        <v>0</v>
      </c>
      <c r="P350" t="n">
        <v>0</v>
      </c>
      <c r="Q350" t="n">
        <v>0</v>
      </c>
      <c r="R350" t="n">
        <v>0</v>
      </c>
      <c r="S350" t="n">
        <v>0</v>
      </c>
      <c r="T350" t="n">
        <v>0</v>
      </c>
      <c r="U350" s="2" t="inlineStr"/>
    </row>
    <row r="351" ht="15" customHeight="1">
      <c r="A351" t="inlineStr">
        <is>
          <t>A 58741-2024</t>
        </is>
      </c>
      <c r="B351" t="inlineStr">
        <is>
          <t>avverkningsanmälan</t>
        </is>
      </c>
      <c r="C351" t="inlineStr">
        <is>
          <t>Föryngringsavverkning</t>
        </is>
      </c>
      <c r="D351" s="1" t="n">
        <v>45635</v>
      </c>
      <c r="E351" s="1" t="n">
        <v>46223</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47678-2025</t>
        </is>
      </c>
      <c r="B352" t="inlineStr">
        <is>
          <t>avverkningsanmälan</t>
        </is>
      </c>
      <c r="C352" t="inlineStr">
        <is>
          <t>Föryngringsavverkning</t>
        </is>
      </c>
      <c r="D352" s="1" t="n">
        <v>45931</v>
      </c>
      <c r="E352" s="1" t="n">
        <v>46223</v>
      </c>
      <c r="F352" t="inlineStr">
        <is>
          <t>ÖREBRO LÄN</t>
        </is>
      </c>
      <c r="G352" t="inlineStr">
        <is>
          <t>LINDESBERG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47676-2025</t>
        </is>
      </c>
      <c r="B353" t="inlineStr">
        <is>
          <t>avverkningsanmälan</t>
        </is>
      </c>
      <c r="C353" t="inlineStr">
        <is>
          <t>Föryngringsavverkning</t>
        </is>
      </c>
      <c r="D353" s="1" t="n">
        <v>45931</v>
      </c>
      <c r="E353" s="1" t="n">
        <v>46223</v>
      </c>
      <c r="F353" t="inlineStr">
        <is>
          <t>ÖREBRO LÄN</t>
        </is>
      </c>
      <c r="G353" t="inlineStr">
        <is>
          <t>LINDESBERG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56907-2024</t>
        </is>
      </c>
      <c r="B354" t="inlineStr">
        <is>
          <t>avverkningsanmälan</t>
        </is>
      </c>
      <c r="C354" t="inlineStr">
        <is>
          <t>Föryngringsavverkning</t>
        </is>
      </c>
      <c r="D354" s="1" t="n">
        <v>45628</v>
      </c>
      <c r="E354" s="1" t="n">
        <v>46223</v>
      </c>
      <c r="F354" t="inlineStr">
        <is>
          <t>ÖREBRO LÄN</t>
        </is>
      </c>
      <c r="G354" t="inlineStr">
        <is>
          <t>LINDESBERG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7201-2024</t>
        </is>
      </c>
      <c r="B355" t="inlineStr">
        <is>
          <t>avverkningsanmälan</t>
        </is>
      </c>
      <c r="C355" t="inlineStr">
        <is>
          <t>Föryngringsavverkning</t>
        </is>
      </c>
      <c r="D355" s="1" t="n">
        <v>45344</v>
      </c>
      <c r="E355" s="1" t="n">
        <v>46223</v>
      </c>
      <c r="F355" t="inlineStr">
        <is>
          <t>ÖREBRO LÄN</t>
        </is>
      </c>
      <c r="G355" t="inlineStr">
        <is>
          <t>LINDESBERG</t>
        </is>
      </c>
      <c r="I355" t="n">
        <v>4.7</v>
      </c>
      <c r="J355" t="n">
        <v>0</v>
      </c>
      <c r="K355" t="n">
        <v>0</v>
      </c>
      <c r="L355" t="n">
        <v>0</v>
      </c>
      <c r="M355" t="n">
        <v>0</v>
      </c>
      <c r="N355" t="n">
        <v>0</v>
      </c>
      <c r="O355" t="n">
        <v>0</v>
      </c>
      <c r="P355" t="n">
        <v>0</v>
      </c>
      <c r="Q355" t="n">
        <v>0</v>
      </c>
      <c r="R355" t="n">
        <v>0</v>
      </c>
      <c r="S355" t="n">
        <v>0</v>
      </c>
      <c r="T355" t="n">
        <v>0</v>
      </c>
      <c r="U355" s="2" t="inlineStr"/>
    </row>
    <row r="356" ht="15" customHeight="1">
      <c r="A356" t="inlineStr">
        <is>
          <t>A 7069-2026</t>
        </is>
      </c>
      <c r="B356" t="inlineStr">
        <is>
          <t>avverkningsanmälan</t>
        </is>
      </c>
      <c r="C356" t="inlineStr">
        <is>
          <t>Föryngringsavverkning</t>
        </is>
      </c>
      <c r="D356" s="1" t="n">
        <v>46058</v>
      </c>
      <c r="E356" s="1" t="n">
        <v>46223</v>
      </c>
      <c r="F356" t="inlineStr">
        <is>
          <t>ÖREBRO LÄN</t>
        </is>
      </c>
      <c r="G356" t="inlineStr">
        <is>
          <t>LINDESBERG</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45173-2024</t>
        </is>
      </c>
      <c r="B357" t="inlineStr">
        <is>
          <t>avverkningsanmälan</t>
        </is>
      </c>
      <c r="C357" t="inlineStr">
        <is>
          <t>Föryngringsavverkning</t>
        </is>
      </c>
      <c r="D357" s="1" t="n">
        <v>45575</v>
      </c>
      <c r="E357" s="1" t="n">
        <v>46223</v>
      </c>
      <c r="F357" t="inlineStr">
        <is>
          <t>ÖREBRO LÄN</t>
        </is>
      </c>
      <c r="G357" t="inlineStr">
        <is>
          <t>LINDESBERG</t>
        </is>
      </c>
      <c r="H357" t="inlineStr">
        <is>
          <t>Sveaskog</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17087-2023</t>
        </is>
      </c>
      <c r="B358" t="inlineStr">
        <is>
          <t>avverkningsanmälan</t>
        </is>
      </c>
      <c r="C358" t="inlineStr">
        <is>
          <t>Föryngringsavverkning</t>
        </is>
      </c>
      <c r="D358" s="1" t="n">
        <v>45034</v>
      </c>
      <c r="E358" s="1" t="n">
        <v>46223</v>
      </c>
      <c r="F358" t="inlineStr">
        <is>
          <t>ÖREBRO LÄN</t>
        </is>
      </c>
      <c r="G358" t="inlineStr">
        <is>
          <t>LINDESBERG</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30514-2025</t>
        </is>
      </c>
      <c r="B359" t="inlineStr">
        <is>
          <t>avverkningsanmälan</t>
        </is>
      </c>
      <c r="C359" t="inlineStr">
        <is>
          <t>Avverkning för annat ändamål</t>
        </is>
      </c>
      <c r="D359" s="1" t="n">
        <v>45831</v>
      </c>
      <c r="E359" s="1" t="n">
        <v>46223</v>
      </c>
      <c r="F359" t="inlineStr">
        <is>
          <t>ÖREBRO LÄN</t>
        </is>
      </c>
      <c r="G359" t="inlineStr">
        <is>
          <t>LINDESBERG</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36253-2024</t>
        </is>
      </c>
      <c r="B360" t="inlineStr">
        <is>
          <t>avverkningsanmälan</t>
        </is>
      </c>
      <c r="C360" t="inlineStr">
        <is>
          <t>Föryngringsavverkning</t>
        </is>
      </c>
      <c r="D360" s="1" t="n">
        <v>45534</v>
      </c>
      <c r="E360" s="1" t="n">
        <v>46223</v>
      </c>
      <c r="F360" t="inlineStr">
        <is>
          <t>ÖREBRO LÄN</t>
        </is>
      </c>
      <c r="G360" t="inlineStr">
        <is>
          <t>LINDESBERG</t>
        </is>
      </c>
      <c r="H360" t="inlineStr">
        <is>
          <t>Sveaskog</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53189-2023</t>
        </is>
      </c>
      <c r="B361" t="inlineStr">
        <is>
          <t>avverkningsanmälan</t>
        </is>
      </c>
      <c r="C361" t="inlineStr">
        <is>
          <t>Avverkning för annat ändamål</t>
        </is>
      </c>
      <c r="D361" s="1" t="n">
        <v>45194</v>
      </c>
      <c r="E361" s="1" t="n">
        <v>46223</v>
      </c>
      <c r="F361" t="inlineStr">
        <is>
          <t>ÖREBRO LÄN</t>
        </is>
      </c>
      <c r="G361" t="inlineStr">
        <is>
          <t>LINDESBERG</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48993-2025</t>
        </is>
      </c>
      <c r="B362" t="inlineStr">
        <is>
          <t>avverkningsanmälan</t>
        </is>
      </c>
      <c r="C362" t="inlineStr">
        <is>
          <t>Föryngringsavverkning</t>
        </is>
      </c>
      <c r="D362" s="1" t="n">
        <v>45937</v>
      </c>
      <c r="E362" s="1" t="n">
        <v>46223</v>
      </c>
      <c r="F362" t="inlineStr">
        <is>
          <t>ÖREBRO LÄN</t>
        </is>
      </c>
      <c r="G362" t="inlineStr">
        <is>
          <t>LINDESBERG</t>
        </is>
      </c>
      <c r="H362" t="inlineStr">
        <is>
          <t>Kyrkan</t>
        </is>
      </c>
      <c r="I362" t="n">
        <v>4</v>
      </c>
      <c r="J362" t="n">
        <v>0</v>
      </c>
      <c r="K362" t="n">
        <v>0</v>
      </c>
      <c r="L362" t="n">
        <v>0</v>
      </c>
      <c r="M362" t="n">
        <v>0</v>
      </c>
      <c r="N362" t="n">
        <v>0</v>
      </c>
      <c r="O362" t="n">
        <v>0</v>
      </c>
      <c r="P362" t="n">
        <v>0</v>
      </c>
      <c r="Q362" t="n">
        <v>0</v>
      </c>
      <c r="R362" t="n">
        <v>0</v>
      </c>
      <c r="S362" t="n">
        <v>0</v>
      </c>
      <c r="T362" t="n">
        <v>0</v>
      </c>
      <c r="U362" s="2" t="inlineStr"/>
    </row>
    <row r="363" ht="15" customHeight="1">
      <c r="A363" t="inlineStr">
        <is>
          <t>A 14231-2023</t>
        </is>
      </c>
      <c r="B363" t="inlineStr">
        <is>
          <t>avverkningsanmälan</t>
        </is>
      </c>
      <c r="C363" t="inlineStr">
        <is>
          <t>Föryngringsavverkning</t>
        </is>
      </c>
      <c r="D363" s="1" t="n">
        <v>45009</v>
      </c>
      <c r="E363" s="1" t="n">
        <v>46223</v>
      </c>
      <c r="F363" t="inlineStr">
        <is>
          <t>ÖREBRO LÄN</t>
        </is>
      </c>
      <c r="G363" t="inlineStr">
        <is>
          <t>LINDESBERG</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27702-2025</t>
        </is>
      </c>
      <c r="B364" t="inlineStr">
        <is>
          <t>avverkningsanmälan</t>
        </is>
      </c>
      <c r="C364" t="inlineStr">
        <is>
          <t>Föryngringsavverkning</t>
        </is>
      </c>
      <c r="D364" s="1" t="n">
        <v>45813</v>
      </c>
      <c r="E364" s="1" t="n">
        <v>46223</v>
      </c>
      <c r="F364" t="inlineStr">
        <is>
          <t>ÖREBRO LÄN</t>
        </is>
      </c>
      <c r="G364" t="inlineStr">
        <is>
          <t>LINDESBERG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48867-2025</t>
        </is>
      </c>
      <c r="B365" t="inlineStr">
        <is>
          <t>avverkningsanmälan</t>
        </is>
      </c>
      <c r="C365" t="inlineStr">
        <is>
          <t>Föryngringsavverkning</t>
        </is>
      </c>
      <c r="D365" s="1" t="n">
        <v>45937</v>
      </c>
      <c r="E365" s="1" t="n">
        <v>46223</v>
      </c>
      <c r="F365" t="inlineStr">
        <is>
          <t>ÖREBRO LÄN</t>
        </is>
      </c>
      <c r="G365" t="inlineStr">
        <is>
          <t>LINDESBERG</t>
        </is>
      </c>
      <c r="H365" t="inlineStr">
        <is>
          <t>Sveaskog</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62608-2021</t>
        </is>
      </c>
      <c r="B366" t="inlineStr">
        <is>
          <t>avverkningsanmälan</t>
        </is>
      </c>
      <c r="C366" t="inlineStr">
        <is>
          <t>Föryngringsavverkning</t>
        </is>
      </c>
      <c r="D366" s="1" t="n">
        <v>44503</v>
      </c>
      <c r="E366" s="1" t="n">
        <v>46223</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36859-2025</t>
        </is>
      </c>
      <c r="B367" t="inlineStr">
        <is>
          <t>avverkningsanmälan</t>
        </is>
      </c>
      <c r="C367" t="inlineStr">
        <is>
          <t>Föryngringsavverkning</t>
        </is>
      </c>
      <c r="D367" s="1" t="n">
        <v>45874</v>
      </c>
      <c r="E367" s="1" t="n">
        <v>46223</v>
      </c>
      <c r="F367" t="inlineStr">
        <is>
          <t>ÖREBRO LÄN</t>
        </is>
      </c>
      <c r="G367" t="inlineStr">
        <is>
          <t>LINDESBERG</t>
        </is>
      </c>
      <c r="H367" t="inlineStr">
        <is>
          <t>Övriga Aktiebolag</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49133-2025</t>
        </is>
      </c>
      <c r="B368" t="inlineStr">
        <is>
          <t>avverkningsanmälan</t>
        </is>
      </c>
      <c r="C368" t="inlineStr">
        <is>
          <t>Föryngringsavverkning</t>
        </is>
      </c>
      <c r="D368" s="1" t="n">
        <v>45937</v>
      </c>
      <c r="E368" s="1" t="n">
        <v>46223</v>
      </c>
      <c r="F368" t="inlineStr">
        <is>
          <t>ÖREBRO LÄN</t>
        </is>
      </c>
      <c r="G368" t="inlineStr">
        <is>
          <t>LINDESBERG</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35140-2023</t>
        </is>
      </c>
      <c r="B369" t="inlineStr">
        <is>
          <t>avverkningsanmälan</t>
        </is>
      </c>
      <c r="C369" t="inlineStr">
        <is>
          <t>Föryngringsavverkning</t>
        </is>
      </c>
      <c r="D369" s="1" t="n">
        <v>45145</v>
      </c>
      <c r="E369" s="1" t="n">
        <v>46223</v>
      </c>
      <c r="F369" t="inlineStr">
        <is>
          <t>ÖREBRO LÄN</t>
        </is>
      </c>
      <c r="G369" t="inlineStr">
        <is>
          <t>LINDESBERG</t>
        </is>
      </c>
      <c r="H369" t="inlineStr">
        <is>
          <t>Sveaskog</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37616-2023</t>
        </is>
      </c>
      <c r="B370" t="inlineStr">
        <is>
          <t>avverkningsanmälan</t>
        </is>
      </c>
      <c r="C370" t="inlineStr">
        <is>
          <t>Föryngringsavverkning</t>
        </is>
      </c>
      <c r="D370" s="1" t="n">
        <v>45159</v>
      </c>
      <c r="E370" s="1" t="n">
        <v>46223</v>
      </c>
      <c r="F370" t="inlineStr">
        <is>
          <t>ÖREBRO LÄN</t>
        </is>
      </c>
      <c r="G370" t="inlineStr">
        <is>
          <t>LINDESBERG</t>
        </is>
      </c>
      <c r="I370" t="n">
        <v>5.3</v>
      </c>
      <c r="J370" t="n">
        <v>0</v>
      </c>
      <c r="K370" t="n">
        <v>0</v>
      </c>
      <c r="L370" t="n">
        <v>0</v>
      </c>
      <c r="M370" t="n">
        <v>0</v>
      </c>
      <c r="N370" t="n">
        <v>0</v>
      </c>
      <c r="O370" t="n">
        <v>0</v>
      </c>
      <c r="P370" t="n">
        <v>0</v>
      </c>
      <c r="Q370" t="n">
        <v>0</v>
      </c>
      <c r="R370" t="n">
        <v>0</v>
      </c>
      <c r="S370" t="n">
        <v>0</v>
      </c>
      <c r="T370" t="n">
        <v>0</v>
      </c>
      <c r="U370" s="2" t="inlineStr"/>
    </row>
    <row r="371" ht="15" customHeight="1">
      <c r="A371" t="inlineStr">
        <is>
          <t>A 49944-2025</t>
        </is>
      </c>
      <c r="B371" t="inlineStr">
        <is>
          <t>avverkningsanmälan</t>
        </is>
      </c>
      <c r="C371" t="inlineStr">
        <is>
          <t>Föryngringsavverkning</t>
        </is>
      </c>
      <c r="D371" s="1" t="n">
        <v>45940</v>
      </c>
      <c r="E371" s="1" t="n">
        <v>46223</v>
      </c>
      <c r="F371" t="inlineStr">
        <is>
          <t>ÖREBRO LÄN</t>
        </is>
      </c>
      <c r="G371" t="inlineStr">
        <is>
          <t>LINDESBERG</t>
        </is>
      </c>
      <c r="H371" t="inlineStr">
        <is>
          <t>Sveaskog</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49947-2025</t>
        </is>
      </c>
      <c r="B372" t="inlineStr">
        <is>
          <t>avverkningsanmälan</t>
        </is>
      </c>
      <c r="C372" t="inlineStr">
        <is>
          <t>Föryngringsavverkning</t>
        </is>
      </c>
      <c r="D372" s="1" t="n">
        <v>45940</v>
      </c>
      <c r="E372" s="1" t="n">
        <v>46223</v>
      </c>
      <c r="F372" t="inlineStr">
        <is>
          <t>ÖREBRO LÄN</t>
        </is>
      </c>
      <c r="G372" t="inlineStr">
        <is>
          <t>LINDESBERG</t>
        </is>
      </c>
      <c r="H372" t="inlineStr">
        <is>
          <t>Sveaskog</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49943-2025</t>
        </is>
      </c>
      <c r="B373" t="inlineStr">
        <is>
          <t>avverkningsanmälan</t>
        </is>
      </c>
      <c r="C373" t="inlineStr">
        <is>
          <t>Föryngringsavverkning</t>
        </is>
      </c>
      <c r="D373" s="1" t="n">
        <v>45940</v>
      </c>
      <c r="E373" s="1" t="n">
        <v>46223</v>
      </c>
      <c r="F373" t="inlineStr">
        <is>
          <t>ÖREBRO LÄN</t>
        </is>
      </c>
      <c r="G373" t="inlineStr">
        <is>
          <t>LINDESBERG</t>
        </is>
      </c>
      <c r="H373" t="inlineStr">
        <is>
          <t>Sveaskog</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29938-2024</t>
        </is>
      </c>
      <c r="B374" t="inlineStr">
        <is>
          <t>avverkningsanmälan</t>
        </is>
      </c>
      <c r="C374" t="inlineStr">
        <is>
          <t>Föryngringsavverkning</t>
        </is>
      </c>
      <c r="D374" s="1" t="n">
        <v>45488</v>
      </c>
      <c r="E374" s="1" t="n">
        <v>46223</v>
      </c>
      <c r="F374" t="inlineStr">
        <is>
          <t>ÖREBRO LÄN</t>
        </is>
      </c>
      <c r="G374" t="inlineStr">
        <is>
          <t>LINDESBERG</t>
        </is>
      </c>
      <c r="I374" t="n">
        <v>4</v>
      </c>
      <c r="J374" t="n">
        <v>0</v>
      </c>
      <c r="K374" t="n">
        <v>0</v>
      </c>
      <c r="L374" t="n">
        <v>0</v>
      </c>
      <c r="M374" t="n">
        <v>0</v>
      </c>
      <c r="N374" t="n">
        <v>0</v>
      </c>
      <c r="O374" t="n">
        <v>0</v>
      </c>
      <c r="P374" t="n">
        <v>0</v>
      </c>
      <c r="Q374" t="n">
        <v>0</v>
      </c>
      <c r="R374" t="n">
        <v>0</v>
      </c>
      <c r="S374" t="n">
        <v>0</v>
      </c>
      <c r="T374" t="n">
        <v>0</v>
      </c>
      <c r="U374" s="2" t="inlineStr"/>
    </row>
    <row r="375" ht="15" customHeight="1">
      <c r="A375" t="inlineStr">
        <is>
          <t>A 24030-2023</t>
        </is>
      </c>
      <c r="B375" t="inlineStr">
        <is>
          <t>avverkningsanmälan</t>
        </is>
      </c>
      <c r="C375" t="inlineStr">
        <is>
          <t>Föryngringsavverkning</t>
        </is>
      </c>
      <c r="D375" s="1" t="n">
        <v>45078</v>
      </c>
      <c r="E375" s="1" t="n">
        <v>46223</v>
      </c>
      <c r="F375" t="inlineStr">
        <is>
          <t>ÖREBRO LÄN</t>
        </is>
      </c>
      <c r="G375" t="inlineStr">
        <is>
          <t>LINDESBERG</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37301-2025</t>
        </is>
      </c>
      <c r="B376" t="inlineStr">
        <is>
          <t>avverkningsanmälan</t>
        </is>
      </c>
      <c r="C376" t="inlineStr">
        <is>
          <t>Föryngringsavverkning</t>
        </is>
      </c>
      <c r="D376" s="1" t="n">
        <v>45876</v>
      </c>
      <c r="E376" s="1" t="n">
        <v>46223</v>
      </c>
      <c r="F376" t="inlineStr">
        <is>
          <t>ÖREBRO LÄN</t>
        </is>
      </c>
      <c r="G376" t="inlineStr">
        <is>
          <t>LINDESBERG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6989-2026</t>
        </is>
      </c>
      <c r="B377" t="inlineStr">
        <is>
          <t>avverkningsanmälan</t>
        </is>
      </c>
      <c r="C377" t="inlineStr">
        <is>
          <t>Föryngringsavverkning</t>
        </is>
      </c>
      <c r="D377" s="1" t="n">
        <v>46057</v>
      </c>
      <c r="E377" s="1" t="n">
        <v>46223</v>
      </c>
      <c r="F377" t="inlineStr">
        <is>
          <t>ÖREBRO LÄN</t>
        </is>
      </c>
      <c r="G377" t="inlineStr">
        <is>
          <t>LINDESBERG</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36747-2024</t>
        </is>
      </c>
      <c r="B378" t="inlineStr">
        <is>
          <t>avverkningsanmälan</t>
        </is>
      </c>
      <c r="C378" t="inlineStr">
        <is>
          <t>Föryngringsavverkning</t>
        </is>
      </c>
      <c r="D378" s="1" t="n">
        <v>45538</v>
      </c>
      <c r="E378" s="1" t="n">
        <v>46223</v>
      </c>
      <c r="F378" t="inlineStr">
        <is>
          <t>ÖREBRO LÄN</t>
        </is>
      </c>
      <c r="G378" t="inlineStr">
        <is>
          <t>LINDESBERG</t>
        </is>
      </c>
      <c r="H378" t="inlineStr">
        <is>
          <t>Sveaskog</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37602-2025</t>
        </is>
      </c>
      <c r="B379" t="inlineStr">
        <is>
          <t>avverkningsanmälan</t>
        </is>
      </c>
      <c r="C379" t="inlineStr">
        <is>
          <t>Avverkning för annat ändamål</t>
        </is>
      </c>
      <c r="D379" s="1" t="n">
        <v>45880</v>
      </c>
      <c r="E379" s="1" t="n">
        <v>46223</v>
      </c>
      <c r="F379" t="inlineStr">
        <is>
          <t>ÖREBRO LÄN</t>
        </is>
      </c>
      <c r="G379" t="inlineStr">
        <is>
          <t>LINDESBERG</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50936-2025</t>
        </is>
      </c>
      <c r="B380" t="inlineStr">
        <is>
          <t>avverkningsanmälan</t>
        </is>
      </c>
      <c r="C380" t="inlineStr">
        <is>
          <t>Föryngringsavverkning</t>
        </is>
      </c>
      <c r="D380" s="1" t="n">
        <v>45946</v>
      </c>
      <c r="E380" s="1" t="n">
        <v>46223</v>
      </c>
      <c r="F380" t="inlineStr">
        <is>
          <t>ÖREBRO LÄN</t>
        </is>
      </c>
      <c r="G380" t="inlineStr">
        <is>
          <t>LINDESBERG</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32097-2024</t>
        </is>
      </c>
      <c r="B381" t="inlineStr">
        <is>
          <t>avverkningsanmälan</t>
        </is>
      </c>
      <c r="C381" t="inlineStr">
        <is>
          <t>Föryngringsavverkning</t>
        </is>
      </c>
      <c r="D381" s="1" t="n">
        <v>45511</v>
      </c>
      <c r="E381" s="1" t="n">
        <v>46223</v>
      </c>
      <c r="F381" t="inlineStr">
        <is>
          <t>ÖREBRO LÄN</t>
        </is>
      </c>
      <c r="G381" t="inlineStr">
        <is>
          <t>LINDESBERG</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32099-2024</t>
        </is>
      </c>
      <c r="B382" t="inlineStr">
        <is>
          <t>avverkningsanmälan</t>
        </is>
      </c>
      <c r="C382" t="inlineStr">
        <is>
          <t>Föryngringsavverkning</t>
        </is>
      </c>
      <c r="D382" s="1" t="n">
        <v>45511</v>
      </c>
      <c r="E382" s="1" t="n">
        <v>46223</v>
      </c>
      <c r="F382" t="inlineStr">
        <is>
          <t>ÖREBRO LÄN</t>
        </is>
      </c>
      <c r="G382" t="inlineStr">
        <is>
          <t>LINDESBERG</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3803-2023</t>
        </is>
      </c>
      <c r="B383" t="inlineStr">
        <is>
          <t>avverkningsanmälan</t>
        </is>
      </c>
      <c r="C383" t="inlineStr">
        <is>
          <t>Föryngringsavverkning</t>
        </is>
      </c>
      <c r="D383" s="1" t="n">
        <v>44951</v>
      </c>
      <c r="E383" s="1" t="n">
        <v>46223</v>
      </c>
      <c r="F383" t="inlineStr">
        <is>
          <t>ÖREBRO LÄN</t>
        </is>
      </c>
      <c r="G383" t="inlineStr">
        <is>
          <t>LINDESBERG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50933-2025</t>
        </is>
      </c>
      <c r="B384" t="inlineStr">
        <is>
          <t>avverkningsanmälan</t>
        </is>
      </c>
      <c r="C384" t="inlineStr">
        <is>
          <t>Föryngringsavverkning</t>
        </is>
      </c>
      <c r="D384" s="1" t="n">
        <v>45946</v>
      </c>
      <c r="E384" s="1" t="n">
        <v>46223</v>
      </c>
      <c r="F384" t="inlineStr">
        <is>
          <t>ÖREBRO LÄN</t>
        </is>
      </c>
      <c r="G384" t="inlineStr">
        <is>
          <t>LINDESBERG</t>
        </is>
      </c>
      <c r="H384" t="inlineStr">
        <is>
          <t>Sveaskog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38509-2025</t>
        </is>
      </c>
      <c r="B385" t="inlineStr">
        <is>
          <t>avverkningsanmälan</t>
        </is>
      </c>
      <c r="C385" t="inlineStr">
        <is>
          <t>Föryngringsavverkning</t>
        </is>
      </c>
      <c r="D385" s="1" t="n">
        <v>45884</v>
      </c>
      <c r="E385" s="1" t="n">
        <v>46223</v>
      </c>
      <c r="F385" t="inlineStr">
        <is>
          <t>ÖREBRO LÄN</t>
        </is>
      </c>
      <c r="G385" t="inlineStr">
        <is>
          <t>LINDESBERG</t>
        </is>
      </c>
      <c r="I385" t="n">
        <v>14.9</v>
      </c>
      <c r="J385" t="n">
        <v>0</v>
      </c>
      <c r="K385" t="n">
        <v>0</v>
      </c>
      <c r="L385" t="n">
        <v>0</v>
      </c>
      <c r="M385" t="n">
        <v>0</v>
      </c>
      <c r="N385" t="n">
        <v>0</v>
      </c>
      <c r="O385" t="n">
        <v>0</v>
      </c>
      <c r="P385" t="n">
        <v>0</v>
      </c>
      <c r="Q385" t="n">
        <v>0</v>
      </c>
      <c r="R385" t="n">
        <v>0</v>
      </c>
      <c r="S385" t="n">
        <v>0</v>
      </c>
      <c r="T385" t="n">
        <v>0</v>
      </c>
      <c r="U385" s="2" t="inlineStr"/>
    </row>
    <row r="386" ht="15" customHeight="1">
      <c r="A386" t="inlineStr">
        <is>
          <t>A 51172-2025</t>
        </is>
      </c>
      <c r="B386" t="inlineStr">
        <is>
          <t>avverkningsanmälan</t>
        </is>
      </c>
      <c r="C386" t="inlineStr">
        <is>
          <t>Föryngringsavverkning</t>
        </is>
      </c>
      <c r="D386" s="1" t="n">
        <v>45947</v>
      </c>
      <c r="E386" s="1" t="n">
        <v>46223</v>
      </c>
      <c r="F386" t="inlineStr">
        <is>
          <t>ÖREBRO LÄN</t>
        </is>
      </c>
      <c r="G386" t="inlineStr">
        <is>
          <t>LINDESBERG</t>
        </is>
      </c>
      <c r="H386" t="inlineStr">
        <is>
          <t>Kyrkan</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52117-2025</t>
        </is>
      </c>
      <c r="B387" t="inlineStr">
        <is>
          <t>avverkningsanmälan</t>
        </is>
      </c>
      <c r="C387" t="inlineStr">
        <is>
          <t>Föryngringsavverkning</t>
        </is>
      </c>
      <c r="D387" s="1" t="n">
        <v>45952</v>
      </c>
      <c r="E387" s="1" t="n">
        <v>46223</v>
      </c>
      <c r="F387" t="inlineStr">
        <is>
          <t>ÖREBRO LÄN</t>
        </is>
      </c>
      <c r="G387" t="inlineStr">
        <is>
          <t>LINDESBERG</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52103-2025</t>
        </is>
      </c>
      <c r="B388" t="inlineStr">
        <is>
          <t>avverkningsanmälan</t>
        </is>
      </c>
      <c r="C388" t="inlineStr">
        <is>
          <t>Föryngringsavverkning</t>
        </is>
      </c>
      <c r="D388" s="1" t="n">
        <v>45952</v>
      </c>
      <c r="E388" s="1" t="n">
        <v>46223</v>
      </c>
      <c r="F388" t="inlineStr">
        <is>
          <t>ÖREBRO LÄN</t>
        </is>
      </c>
      <c r="G388" t="inlineStr">
        <is>
          <t>LINDESBERG</t>
        </is>
      </c>
      <c r="H388" t="inlineStr">
        <is>
          <t>Sveaskog</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52104-2025</t>
        </is>
      </c>
      <c r="B389" t="inlineStr">
        <is>
          <t>avverkningsanmälan</t>
        </is>
      </c>
      <c r="C389" t="inlineStr">
        <is>
          <t>Föryngringsavverkning</t>
        </is>
      </c>
      <c r="D389" s="1" t="n">
        <v>45952</v>
      </c>
      <c r="E389" s="1" t="n">
        <v>46223</v>
      </c>
      <c r="F389" t="inlineStr">
        <is>
          <t>ÖREBRO LÄN</t>
        </is>
      </c>
      <c r="G389" t="inlineStr">
        <is>
          <t>LINDESBERG</t>
        </is>
      </c>
      <c r="H389" t="inlineStr">
        <is>
          <t>Sveaskog</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52401-2025</t>
        </is>
      </c>
      <c r="B390" t="inlineStr">
        <is>
          <t>avverkningsanmälan</t>
        </is>
      </c>
      <c r="C390" t="inlineStr">
        <is>
          <t>Föryngringsavverkning</t>
        </is>
      </c>
      <c r="D390" s="1" t="n">
        <v>45954</v>
      </c>
      <c r="E390" s="1" t="n">
        <v>46223</v>
      </c>
      <c r="F390" t="inlineStr">
        <is>
          <t>ÖREBRO LÄN</t>
        </is>
      </c>
      <c r="G390" t="inlineStr">
        <is>
          <t>LINDESBERG</t>
        </is>
      </c>
      <c r="H390" t="inlineStr">
        <is>
          <t>Sveaskog</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16054-2022</t>
        </is>
      </c>
      <c r="B391" t="inlineStr">
        <is>
          <t>avverkningsanmälan</t>
        </is>
      </c>
      <c r="C391" t="inlineStr">
        <is>
          <t>Föryngringsavverkning</t>
        </is>
      </c>
      <c r="D391" s="1" t="n">
        <v>44665</v>
      </c>
      <c r="E391" s="1" t="n">
        <v>46223</v>
      </c>
      <c r="F391" t="inlineStr">
        <is>
          <t>ÖREBRO LÄN</t>
        </is>
      </c>
      <c r="G391" t="inlineStr">
        <is>
          <t>LINDESBERG</t>
        </is>
      </c>
      <c r="I391" t="n">
        <v>6.9</v>
      </c>
      <c r="J391" t="n">
        <v>0</v>
      </c>
      <c r="K391" t="n">
        <v>0</v>
      </c>
      <c r="L391" t="n">
        <v>0</v>
      </c>
      <c r="M391" t="n">
        <v>0</v>
      </c>
      <c r="N391" t="n">
        <v>0</v>
      </c>
      <c r="O391" t="n">
        <v>0</v>
      </c>
      <c r="P391" t="n">
        <v>0</v>
      </c>
      <c r="Q391" t="n">
        <v>0</v>
      </c>
      <c r="R391" t="n">
        <v>0</v>
      </c>
      <c r="S391" t="n">
        <v>0</v>
      </c>
      <c r="T391" t="n">
        <v>0</v>
      </c>
      <c r="U391" s="2" t="inlineStr"/>
    </row>
    <row r="392" ht="15" customHeight="1">
      <c r="A392" t="inlineStr">
        <is>
          <t>A 36136-2023</t>
        </is>
      </c>
      <c r="B392" t="inlineStr">
        <is>
          <t>avverkningsanmälan</t>
        </is>
      </c>
      <c r="C392" t="inlineStr">
        <is>
          <t>Avverkning för annat ändamål</t>
        </is>
      </c>
      <c r="D392" s="1" t="n">
        <v>45149</v>
      </c>
      <c r="E392" s="1" t="n">
        <v>46223</v>
      </c>
      <c r="F392" t="inlineStr">
        <is>
          <t>ÖREBRO LÄN</t>
        </is>
      </c>
      <c r="G392" t="inlineStr">
        <is>
          <t>LINDESBERG</t>
        </is>
      </c>
      <c r="H392" t="inlineStr">
        <is>
          <t>Sveaskog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61601-2024</t>
        </is>
      </c>
      <c r="B393" t="inlineStr">
        <is>
          <t>avverkningsanmälan</t>
        </is>
      </c>
      <c r="C393" t="inlineStr">
        <is>
          <t>Föryngringsavverkning</t>
        </is>
      </c>
      <c r="D393" s="1" t="n">
        <v>45646</v>
      </c>
      <c r="E393" s="1" t="n">
        <v>46223</v>
      </c>
      <c r="F393" t="inlineStr">
        <is>
          <t>ÖREBRO LÄN</t>
        </is>
      </c>
      <c r="G393" t="inlineStr">
        <is>
          <t>LINDESBERG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40450-2023</t>
        </is>
      </c>
      <c r="B394" t="inlineStr">
        <is>
          <t>avverkningsanmälan</t>
        </is>
      </c>
      <c r="C394" t="inlineStr">
        <is>
          <t>Föryngringsavverkning</t>
        </is>
      </c>
      <c r="D394" s="1" t="n">
        <v>45170</v>
      </c>
      <c r="E394" s="1" t="n">
        <v>46223</v>
      </c>
      <c r="F394" t="inlineStr">
        <is>
          <t>ÖREBRO LÄN</t>
        </is>
      </c>
      <c r="G394" t="inlineStr">
        <is>
          <t>LINDESBERG</t>
        </is>
      </c>
      <c r="H394" t="inlineStr">
        <is>
          <t>Kyrkan</t>
        </is>
      </c>
      <c r="I394" t="n">
        <v>4.3</v>
      </c>
      <c r="J394" t="n">
        <v>0</v>
      </c>
      <c r="K394" t="n">
        <v>0</v>
      </c>
      <c r="L394" t="n">
        <v>0</v>
      </c>
      <c r="M394" t="n">
        <v>0</v>
      </c>
      <c r="N394" t="n">
        <v>0</v>
      </c>
      <c r="O394" t="n">
        <v>0</v>
      </c>
      <c r="P394" t="n">
        <v>0</v>
      </c>
      <c r="Q394" t="n">
        <v>0</v>
      </c>
      <c r="R394" t="n">
        <v>0</v>
      </c>
      <c r="S394" t="n">
        <v>0</v>
      </c>
      <c r="T394" t="n">
        <v>0</v>
      </c>
      <c r="U394" s="2" t="inlineStr"/>
    </row>
    <row r="395" ht="15" customHeight="1">
      <c r="A395" t="inlineStr">
        <is>
          <t>A 22824-2023</t>
        </is>
      </c>
      <c r="B395" t="inlineStr">
        <is>
          <t>avverkningsanmälan</t>
        </is>
      </c>
      <c r="C395" t="inlineStr">
        <is>
          <t>Föryngringsavverkning</t>
        </is>
      </c>
      <c r="D395" s="1" t="n">
        <v>45072</v>
      </c>
      <c r="E395" s="1" t="n">
        <v>46223</v>
      </c>
      <c r="F395" t="inlineStr">
        <is>
          <t>ÖREBRO LÄN</t>
        </is>
      </c>
      <c r="G395" t="inlineStr">
        <is>
          <t>LINDESBERG</t>
        </is>
      </c>
      <c r="H395" t="inlineStr">
        <is>
          <t>Sveaskog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52402-2025</t>
        </is>
      </c>
      <c r="B396" t="inlineStr">
        <is>
          <t>avverkningsanmälan</t>
        </is>
      </c>
      <c r="C396" t="inlineStr">
        <is>
          <t>Föryngringsavverkning</t>
        </is>
      </c>
      <c r="D396" s="1" t="n">
        <v>45954</v>
      </c>
      <c r="E396" s="1" t="n">
        <v>46223</v>
      </c>
      <c r="F396" t="inlineStr">
        <is>
          <t>ÖREBRO LÄN</t>
        </is>
      </c>
      <c r="G396" t="inlineStr">
        <is>
          <t>LINDESBERG</t>
        </is>
      </c>
      <c r="H396" t="inlineStr">
        <is>
          <t>Sveaskog</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72698-2021</t>
        </is>
      </c>
      <c r="B397" t="inlineStr">
        <is>
          <t>avverkningsanmälan</t>
        </is>
      </c>
      <c r="C397" t="inlineStr">
        <is>
          <t>Föryngringsavverkning</t>
        </is>
      </c>
      <c r="D397" s="1" t="n">
        <v>44546</v>
      </c>
      <c r="E397" s="1" t="n">
        <v>46223</v>
      </c>
      <c r="F397" t="inlineStr">
        <is>
          <t>ÖREBRO LÄN</t>
        </is>
      </c>
      <c r="G397" t="inlineStr">
        <is>
          <t>LINDESBERG</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32994-2023</t>
        </is>
      </c>
      <c r="B398" t="inlineStr">
        <is>
          <t>avverkningsanmälan</t>
        </is>
      </c>
      <c r="C398" t="inlineStr">
        <is>
          <t>Föryngringsavverkning</t>
        </is>
      </c>
      <c r="D398" s="1" t="n">
        <v>45113</v>
      </c>
      <c r="E398" s="1" t="n">
        <v>46223</v>
      </c>
      <c r="F398" t="inlineStr">
        <is>
          <t>ÖREBRO LÄN</t>
        </is>
      </c>
      <c r="G398" t="inlineStr">
        <is>
          <t>LINDESBERG</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10822-2023</t>
        </is>
      </c>
      <c r="B399" t="inlineStr">
        <is>
          <t>avverkningsanmälan</t>
        </is>
      </c>
      <c r="C399" t="inlineStr">
        <is>
          <t>Föryngringsavverkning</t>
        </is>
      </c>
      <c r="D399" s="1" t="n">
        <v>44990</v>
      </c>
      <c r="E399" s="1" t="n">
        <v>46223</v>
      </c>
      <c r="F399" t="inlineStr">
        <is>
          <t>ÖREBRO LÄN</t>
        </is>
      </c>
      <c r="G399" t="inlineStr">
        <is>
          <t>LINDESBERG</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54070-2025</t>
        </is>
      </c>
      <c r="B400" t="inlineStr">
        <is>
          <t>avverkningsanmälan</t>
        </is>
      </c>
      <c r="C400" t="inlineStr">
        <is>
          <t>Föryngringsavverkning</t>
        </is>
      </c>
      <c r="D400" s="1" t="n">
        <v>45964</v>
      </c>
      <c r="E400" s="1" t="n">
        <v>46223</v>
      </c>
      <c r="F400" t="inlineStr">
        <is>
          <t>ÖREBRO LÄN</t>
        </is>
      </c>
      <c r="G400" t="inlineStr">
        <is>
          <t>LINDESBERG</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54250-2025</t>
        </is>
      </c>
      <c r="B401" t="inlineStr">
        <is>
          <t>avverkningsanmälan</t>
        </is>
      </c>
      <c r="C401" t="inlineStr">
        <is>
          <t>Föryngringsavverkning</t>
        </is>
      </c>
      <c r="D401" s="1" t="n">
        <v>45964</v>
      </c>
      <c r="E401" s="1" t="n">
        <v>46223</v>
      </c>
      <c r="F401" t="inlineStr">
        <is>
          <t>ÖREBRO LÄN</t>
        </is>
      </c>
      <c r="G401" t="inlineStr">
        <is>
          <t>LINDESBERG</t>
        </is>
      </c>
      <c r="H401" t="inlineStr">
        <is>
          <t>Sveaskog</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35230-2024</t>
        </is>
      </c>
      <c r="B402" t="inlineStr">
        <is>
          <t>avverkningsanmälan</t>
        </is>
      </c>
      <c r="C402" t="inlineStr">
        <is>
          <t>Föryngringsavverkning</t>
        </is>
      </c>
      <c r="D402" s="1" t="n">
        <v>45530</v>
      </c>
      <c r="E402" s="1" t="n">
        <v>46223</v>
      </c>
      <c r="F402" t="inlineStr">
        <is>
          <t>ÖREBRO LÄN</t>
        </is>
      </c>
      <c r="G402" t="inlineStr">
        <is>
          <t>LINDESBERG</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54251-2025</t>
        </is>
      </c>
      <c r="B403" t="inlineStr">
        <is>
          <t>avverkningsanmälan</t>
        </is>
      </c>
      <c r="C403" t="inlineStr">
        <is>
          <t>Föryngringsavverkning</t>
        </is>
      </c>
      <c r="D403" s="1" t="n">
        <v>45964</v>
      </c>
      <c r="E403" s="1" t="n">
        <v>46223</v>
      </c>
      <c r="F403" t="inlineStr">
        <is>
          <t>ÖREBRO LÄN</t>
        </is>
      </c>
      <c r="G403" t="inlineStr">
        <is>
          <t>LINDESBERG</t>
        </is>
      </c>
      <c r="H403" t="inlineStr">
        <is>
          <t>Sveaskog</t>
        </is>
      </c>
      <c r="I403" t="n">
        <v>3.2</v>
      </c>
      <c r="J403" t="n">
        <v>0</v>
      </c>
      <c r="K403" t="n">
        <v>0</v>
      </c>
      <c r="L403" t="n">
        <v>0</v>
      </c>
      <c r="M403" t="n">
        <v>0</v>
      </c>
      <c r="N403" t="n">
        <v>0</v>
      </c>
      <c r="O403" t="n">
        <v>0</v>
      </c>
      <c r="P403" t="n">
        <v>0</v>
      </c>
      <c r="Q403" t="n">
        <v>0</v>
      </c>
      <c r="R403" t="n">
        <v>0</v>
      </c>
      <c r="S403" t="n">
        <v>0</v>
      </c>
      <c r="T403" t="n">
        <v>0</v>
      </c>
      <c r="U403" s="2" t="inlineStr"/>
    </row>
    <row r="404" ht="15" customHeight="1">
      <c r="A404" t="inlineStr">
        <is>
          <t>A 16618-2023</t>
        </is>
      </c>
      <c r="B404" t="inlineStr">
        <is>
          <t>avverkningsanmälan</t>
        </is>
      </c>
      <c r="C404" t="inlineStr">
        <is>
          <t>Föryngringsavverkning</t>
        </is>
      </c>
      <c r="D404" s="1" t="n">
        <v>45030</v>
      </c>
      <c r="E404" s="1" t="n">
        <v>46223</v>
      </c>
      <c r="F404" t="inlineStr">
        <is>
          <t>ÖREBRO LÄN</t>
        </is>
      </c>
      <c r="G404" t="inlineStr">
        <is>
          <t>LINDESBERG</t>
        </is>
      </c>
      <c r="H404" t="inlineStr">
        <is>
          <t>Kommuner</t>
        </is>
      </c>
      <c r="I404" t="n">
        <v>4.6</v>
      </c>
      <c r="J404" t="n">
        <v>0</v>
      </c>
      <c r="K404" t="n">
        <v>0</v>
      </c>
      <c r="L404" t="n">
        <v>0</v>
      </c>
      <c r="M404" t="n">
        <v>0</v>
      </c>
      <c r="N404" t="n">
        <v>0</v>
      </c>
      <c r="O404" t="n">
        <v>0</v>
      </c>
      <c r="P404" t="n">
        <v>0</v>
      </c>
      <c r="Q404" t="n">
        <v>0</v>
      </c>
      <c r="R404" t="n">
        <v>0</v>
      </c>
      <c r="S404" t="n">
        <v>0</v>
      </c>
      <c r="T404" t="n">
        <v>0</v>
      </c>
      <c r="U404" s="2" t="inlineStr"/>
    </row>
    <row r="405" ht="15" customHeight="1">
      <c r="A405" t="inlineStr">
        <is>
          <t>A 9432-2026</t>
        </is>
      </c>
      <c r="B405" t="inlineStr">
        <is>
          <t>avverkningsanmälan</t>
        </is>
      </c>
      <c r="C405" t="inlineStr">
        <is>
          <t>Föryngringsavverkning</t>
        </is>
      </c>
      <c r="D405" s="1" t="n">
        <v>46071</v>
      </c>
      <c r="E405" s="1" t="n">
        <v>46223</v>
      </c>
      <c r="F405" t="inlineStr">
        <is>
          <t>ÖREBRO LÄN</t>
        </is>
      </c>
      <c r="G405" t="inlineStr">
        <is>
          <t>LINDESBERG</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54249-2025</t>
        </is>
      </c>
      <c r="B406" t="inlineStr">
        <is>
          <t>avverkningsanmälan</t>
        </is>
      </c>
      <c r="C406" t="inlineStr">
        <is>
          <t>Föryngringsavverkning</t>
        </is>
      </c>
      <c r="D406" s="1" t="n">
        <v>45964</v>
      </c>
      <c r="E406" s="1" t="n">
        <v>46223</v>
      </c>
      <c r="F406" t="inlineStr">
        <is>
          <t>ÖREBRO LÄN</t>
        </is>
      </c>
      <c r="G406" t="inlineStr">
        <is>
          <t>LINDESBERG</t>
        </is>
      </c>
      <c r="H406" t="inlineStr">
        <is>
          <t>Sveaskog</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45428-2023</t>
        </is>
      </c>
      <c r="B407" t="inlineStr">
        <is>
          <t>avverkningsanmälan</t>
        </is>
      </c>
      <c r="C407" t="inlineStr">
        <is>
          <t>Föryngringsavverkning</t>
        </is>
      </c>
      <c r="D407" s="1" t="n">
        <v>45194</v>
      </c>
      <c r="E407" s="1" t="n">
        <v>46223</v>
      </c>
      <c r="F407" t="inlineStr">
        <is>
          <t>ÖREBRO LÄN</t>
        </is>
      </c>
      <c r="G407" t="inlineStr">
        <is>
          <t>LINDESBERG</t>
        </is>
      </c>
      <c r="I407" t="n">
        <v>7.7</v>
      </c>
      <c r="J407" t="n">
        <v>0</v>
      </c>
      <c r="K407" t="n">
        <v>0</v>
      </c>
      <c r="L407" t="n">
        <v>0</v>
      </c>
      <c r="M407" t="n">
        <v>0</v>
      </c>
      <c r="N407" t="n">
        <v>0</v>
      </c>
      <c r="O407" t="n">
        <v>0</v>
      </c>
      <c r="P407" t="n">
        <v>0</v>
      </c>
      <c r="Q407" t="n">
        <v>0</v>
      </c>
      <c r="R407" t="n">
        <v>0</v>
      </c>
      <c r="S407" t="n">
        <v>0</v>
      </c>
      <c r="T407" t="n">
        <v>0</v>
      </c>
      <c r="U407" s="2" t="inlineStr"/>
    </row>
    <row r="408" ht="15" customHeight="1">
      <c r="A408" t="inlineStr">
        <is>
          <t>A 55255-2025</t>
        </is>
      </c>
      <c r="B408" t="inlineStr">
        <is>
          <t>avverkningsanmälan</t>
        </is>
      </c>
      <c r="C408" t="inlineStr">
        <is>
          <t>Föryngringsavverkning</t>
        </is>
      </c>
      <c r="D408" s="1" t="n">
        <v>45968</v>
      </c>
      <c r="E408" s="1" t="n">
        <v>46223</v>
      </c>
      <c r="F408" t="inlineStr">
        <is>
          <t>ÖREBRO LÄN</t>
        </is>
      </c>
      <c r="G408" t="inlineStr">
        <is>
          <t>LINDESBERG</t>
        </is>
      </c>
      <c r="H408" t="inlineStr">
        <is>
          <t>Kyrkan</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57911-2022</t>
        </is>
      </c>
      <c r="B409" t="inlineStr">
        <is>
          <t>avverkningsanmälan</t>
        </is>
      </c>
      <c r="C409" t="inlineStr">
        <is>
          <t>Föryngringsavverkning</t>
        </is>
      </c>
      <c r="D409" s="1" t="n">
        <v>44900</v>
      </c>
      <c r="E409" s="1" t="n">
        <v>46223</v>
      </c>
      <c r="F409" t="inlineStr">
        <is>
          <t>ÖREBRO LÄN</t>
        </is>
      </c>
      <c r="G409" t="inlineStr">
        <is>
          <t>LINDESBERG</t>
        </is>
      </c>
      <c r="I409" t="n">
        <v>4.9</v>
      </c>
      <c r="J409" t="n">
        <v>0</v>
      </c>
      <c r="K409" t="n">
        <v>0</v>
      </c>
      <c r="L409" t="n">
        <v>0</v>
      </c>
      <c r="M409" t="n">
        <v>0</v>
      </c>
      <c r="N409" t="n">
        <v>0</v>
      </c>
      <c r="O409" t="n">
        <v>0</v>
      </c>
      <c r="P409" t="n">
        <v>0</v>
      </c>
      <c r="Q409" t="n">
        <v>0</v>
      </c>
      <c r="R409" t="n">
        <v>0</v>
      </c>
      <c r="S409" t="n">
        <v>0</v>
      </c>
      <c r="T409" t="n">
        <v>0</v>
      </c>
      <c r="U409" s="2" t="inlineStr"/>
    </row>
    <row r="410" ht="15" customHeight="1">
      <c r="A410" t="inlineStr">
        <is>
          <t>A 64427-2021</t>
        </is>
      </c>
      <c r="B410" t="inlineStr">
        <is>
          <t>avverkningsanmälan</t>
        </is>
      </c>
      <c r="C410" t="inlineStr">
        <is>
          <t>Föryngringsavverkning</t>
        </is>
      </c>
      <c r="D410" s="1" t="n">
        <v>44511</v>
      </c>
      <c r="E410" s="1" t="n">
        <v>46223</v>
      </c>
      <c r="F410" t="inlineStr">
        <is>
          <t>ÖREBRO LÄN</t>
        </is>
      </c>
      <c r="G410" t="inlineStr">
        <is>
          <t>LINDESBERG</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56232-2025</t>
        </is>
      </c>
      <c r="B411" t="inlineStr">
        <is>
          <t>avverkningsanmälan</t>
        </is>
      </c>
      <c r="C411" t="inlineStr">
        <is>
          <t>Föryngringsavverkning</t>
        </is>
      </c>
      <c r="D411" s="1" t="n">
        <v>45974</v>
      </c>
      <c r="E411" s="1" t="n">
        <v>46223</v>
      </c>
      <c r="F411" t="inlineStr">
        <is>
          <t>ÖREBRO LÄN</t>
        </is>
      </c>
      <c r="G411" t="inlineStr">
        <is>
          <t>LINDESBERG</t>
        </is>
      </c>
      <c r="I411" t="n">
        <v>3.2</v>
      </c>
      <c r="J411" t="n">
        <v>0</v>
      </c>
      <c r="K411" t="n">
        <v>0</v>
      </c>
      <c r="L411" t="n">
        <v>0</v>
      </c>
      <c r="M411" t="n">
        <v>0</v>
      </c>
      <c r="N411" t="n">
        <v>0</v>
      </c>
      <c r="O411" t="n">
        <v>0</v>
      </c>
      <c r="P411" t="n">
        <v>0</v>
      </c>
      <c r="Q411" t="n">
        <v>0</v>
      </c>
      <c r="R411" t="n">
        <v>0</v>
      </c>
      <c r="S411" t="n">
        <v>0</v>
      </c>
      <c r="T411" t="n">
        <v>0</v>
      </c>
      <c r="U411" s="2" t="inlineStr"/>
    </row>
    <row r="412" ht="15" customHeight="1">
      <c r="A412" t="inlineStr">
        <is>
          <t>A 19077-2025</t>
        </is>
      </c>
      <c r="B412" t="inlineStr">
        <is>
          <t>avverkningsanmälan</t>
        </is>
      </c>
      <c r="C412" t="inlineStr">
        <is>
          <t>Avverkning för annat ändamål</t>
        </is>
      </c>
      <c r="D412" s="1" t="n">
        <v>45766</v>
      </c>
      <c r="E412" s="1" t="n">
        <v>46223</v>
      </c>
      <c r="F412" t="inlineStr">
        <is>
          <t>ÖREBRO LÄN</t>
        </is>
      </c>
      <c r="G412" t="inlineStr">
        <is>
          <t>LINDESBERG</t>
        </is>
      </c>
      <c r="I412" t="n">
        <v>0</v>
      </c>
      <c r="J412" t="n">
        <v>0</v>
      </c>
      <c r="K412" t="n">
        <v>0</v>
      </c>
      <c r="L412" t="n">
        <v>0</v>
      </c>
      <c r="M412" t="n">
        <v>0</v>
      </c>
      <c r="N412" t="n">
        <v>0</v>
      </c>
      <c r="O412" t="n">
        <v>0</v>
      </c>
      <c r="P412" t="n">
        <v>0</v>
      </c>
      <c r="Q412" t="n">
        <v>0</v>
      </c>
      <c r="R412" t="n">
        <v>0</v>
      </c>
      <c r="S412" t="n">
        <v>0</v>
      </c>
      <c r="T412" t="n">
        <v>0</v>
      </c>
      <c r="U412" s="2" t="inlineStr"/>
    </row>
    <row r="413" ht="15" customHeight="1">
      <c r="A413" t="inlineStr">
        <is>
          <t>A 56308-2025</t>
        </is>
      </c>
      <c r="B413" t="inlineStr">
        <is>
          <t>avverkningsanmälan</t>
        </is>
      </c>
      <c r="C413" t="inlineStr">
        <is>
          <t>Föryngringsavverkning</t>
        </is>
      </c>
      <c r="D413" s="1" t="n">
        <v>45974</v>
      </c>
      <c r="E413" s="1" t="n">
        <v>46223</v>
      </c>
      <c r="F413" t="inlineStr">
        <is>
          <t>ÖREBRO LÄN</t>
        </is>
      </c>
      <c r="G413" t="inlineStr">
        <is>
          <t>LINDESBERG</t>
        </is>
      </c>
      <c r="H413" t="inlineStr">
        <is>
          <t>Sveaskog</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56226-2025</t>
        </is>
      </c>
      <c r="B414" t="inlineStr">
        <is>
          <t>avverkningsanmälan</t>
        </is>
      </c>
      <c r="C414" t="inlineStr">
        <is>
          <t>Föryngringsavverkning</t>
        </is>
      </c>
      <c r="D414" s="1" t="n">
        <v>45974</v>
      </c>
      <c r="E414" s="1" t="n">
        <v>46223</v>
      </c>
      <c r="F414" t="inlineStr">
        <is>
          <t>ÖREBRO LÄN</t>
        </is>
      </c>
      <c r="G414" t="inlineStr">
        <is>
          <t>LINDESBERG</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56306-2025</t>
        </is>
      </c>
      <c r="B415" t="inlineStr">
        <is>
          <t>avverkningsanmälan</t>
        </is>
      </c>
      <c r="C415" t="inlineStr">
        <is>
          <t>Föryngringsavverkning</t>
        </is>
      </c>
      <c r="D415" s="1" t="n">
        <v>45974</v>
      </c>
      <c r="E415" s="1" t="n">
        <v>46223</v>
      </c>
      <c r="F415" t="inlineStr">
        <is>
          <t>ÖREBRO LÄN</t>
        </is>
      </c>
      <c r="G415" t="inlineStr">
        <is>
          <t>LINDESBERG</t>
        </is>
      </c>
      <c r="H415" t="inlineStr">
        <is>
          <t>Sveaskog</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49544-2023</t>
        </is>
      </c>
      <c r="B416" t="inlineStr">
        <is>
          <t>avverkningsanmälan</t>
        </is>
      </c>
      <c r="C416" t="inlineStr">
        <is>
          <t>Föryngringsavverkning</t>
        </is>
      </c>
      <c r="D416" s="1" t="n">
        <v>45211</v>
      </c>
      <c r="E416" s="1" t="n">
        <v>46223</v>
      </c>
      <c r="F416" t="inlineStr">
        <is>
          <t>ÖREBRO LÄN</t>
        </is>
      </c>
      <c r="G416" t="inlineStr">
        <is>
          <t>LINDESBERG</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24352-2023</t>
        </is>
      </c>
      <c r="B417" t="inlineStr">
        <is>
          <t>avverkningsanmälan</t>
        </is>
      </c>
      <c r="C417" t="inlineStr">
        <is>
          <t>Föryngringsavverkning</t>
        </is>
      </c>
      <c r="D417" s="1" t="n">
        <v>45082</v>
      </c>
      <c r="E417" s="1" t="n">
        <v>46223</v>
      </c>
      <c r="F417" t="inlineStr">
        <is>
          <t>ÖREBRO LÄN</t>
        </is>
      </c>
      <c r="G417" t="inlineStr">
        <is>
          <t>LINDESBERG</t>
        </is>
      </c>
      <c r="H417" t="inlineStr">
        <is>
          <t>Sveaskog</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484-2022</t>
        </is>
      </c>
      <c r="B418" t="inlineStr">
        <is>
          <t>avverkningsanmälan</t>
        </is>
      </c>
      <c r="C418" t="inlineStr">
        <is>
          <t>Föryngringsavverkning</t>
        </is>
      </c>
      <c r="D418" s="1" t="n">
        <v>44566</v>
      </c>
      <c r="E418" s="1" t="n">
        <v>46223</v>
      </c>
      <c r="F418" t="inlineStr">
        <is>
          <t>ÖREBRO LÄN</t>
        </is>
      </c>
      <c r="G418" t="inlineStr">
        <is>
          <t>LINDESBERG</t>
        </is>
      </c>
      <c r="I418" t="n">
        <v>9.699999999999999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57361-2025</t>
        </is>
      </c>
      <c r="B419" t="inlineStr">
        <is>
          <t>avverkningsanmälan</t>
        </is>
      </c>
      <c r="C419" t="inlineStr">
        <is>
          <t>Föryngringsavverkning</t>
        </is>
      </c>
      <c r="D419" s="1" t="n">
        <v>45980</v>
      </c>
      <c r="E419" s="1" t="n">
        <v>46223</v>
      </c>
      <c r="F419" t="inlineStr">
        <is>
          <t>ÖREBRO LÄN</t>
        </is>
      </c>
      <c r="G419" t="inlineStr">
        <is>
          <t>LINDESBERG</t>
        </is>
      </c>
      <c r="H419" t="inlineStr">
        <is>
          <t>Sveaskog</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57359-2025</t>
        </is>
      </c>
      <c r="B420" t="inlineStr">
        <is>
          <t>avverkningsanmälan</t>
        </is>
      </c>
      <c r="C420" t="inlineStr">
        <is>
          <t>Avverkning för att bevara och utveckla /försöksver</t>
        </is>
      </c>
      <c r="D420" s="1" t="n">
        <v>45980</v>
      </c>
      <c r="E420" s="1" t="n">
        <v>46223</v>
      </c>
      <c r="F420" t="inlineStr">
        <is>
          <t>ÖREBRO LÄN</t>
        </is>
      </c>
      <c r="G420" t="inlineStr">
        <is>
          <t>LINDESBERG</t>
        </is>
      </c>
      <c r="H420" t="inlineStr">
        <is>
          <t>Sveaskog</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57313-2025</t>
        </is>
      </c>
      <c r="B421" t="inlineStr">
        <is>
          <t>avverkningsanmälan</t>
        </is>
      </c>
      <c r="C421" t="inlineStr">
        <is>
          <t>Föryngringsavverkning</t>
        </is>
      </c>
      <c r="D421" s="1" t="n">
        <v>45979</v>
      </c>
      <c r="E421" s="1" t="n">
        <v>46223</v>
      </c>
      <c r="F421" t="inlineStr">
        <is>
          <t>ÖREBRO LÄN</t>
        </is>
      </c>
      <c r="G421" t="inlineStr">
        <is>
          <t>LINDESBERG</t>
        </is>
      </c>
      <c r="H421" t="inlineStr">
        <is>
          <t>Sveaskog</t>
        </is>
      </c>
      <c r="I421" t="n">
        <v>9.1</v>
      </c>
      <c r="J421" t="n">
        <v>0</v>
      </c>
      <c r="K421" t="n">
        <v>0</v>
      </c>
      <c r="L421" t="n">
        <v>0</v>
      </c>
      <c r="M421" t="n">
        <v>0</v>
      </c>
      <c r="N421" t="n">
        <v>0</v>
      </c>
      <c r="O421" t="n">
        <v>0</v>
      </c>
      <c r="P421" t="n">
        <v>0</v>
      </c>
      <c r="Q421" t="n">
        <v>0</v>
      </c>
      <c r="R421" t="n">
        <v>0</v>
      </c>
      <c r="S421" t="n">
        <v>0</v>
      </c>
      <c r="T421" t="n">
        <v>0</v>
      </c>
      <c r="U421" s="2" t="inlineStr"/>
    </row>
    <row r="422" ht="15" customHeight="1">
      <c r="A422" t="inlineStr">
        <is>
          <t>A 57316-2025</t>
        </is>
      </c>
      <c r="B422" t="inlineStr">
        <is>
          <t>avverkningsanmälan</t>
        </is>
      </c>
      <c r="C422" t="inlineStr">
        <is>
          <t>Föryngringsavverkning</t>
        </is>
      </c>
      <c r="D422" s="1" t="n">
        <v>45980</v>
      </c>
      <c r="E422" s="1" t="n">
        <v>46223</v>
      </c>
      <c r="F422" t="inlineStr">
        <is>
          <t>ÖREBRO LÄN</t>
        </is>
      </c>
      <c r="G422" t="inlineStr">
        <is>
          <t>LINDESBERG</t>
        </is>
      </c>
      <c r="H422" t="inlineStr">
        <is>
          <t>Sveaskog</t>
        </is>
      </c>
      <c r="I422" t="n">
        <v>6.5</v>
      </c>
      <c r="J422" t="n">
        <v>0</v>
      </c>
      <c r="K422" t="n">
        <v>0</v>
      </c>
      <c r="L422" t="n">
        <v>0</v>
      </c>
      <c r="M422" t="n">
        <v>0</v>
      </c>
      <c r="N422" t="n">
        <v>0</v>
      </c>
      <c r="O422" t="n">
        <v>0</v>
      </c>
      <c r="P422" t="n">
        <v>0</v>
      </c>
      <c r="Q422" t="n">
        <v>0</v>
      </c>
      <c r="R422" t="n">
        <v>0</v>
      </c>
      <c r="S422" t="n">
        <v>0</v>
      </c>
      <c r="T422" t="n">
        <v>0</v>
      </c>
      <c r="U422" s="2" t="inlineStr"/>
    </row>
    <row r="423" ht="15" customHeight="1">
      <c r="A423" t="inlineStr">
        <is>
          <t>A 57317-2025</t>
        </is>
      </c>
      <c r="B423" t="inlineStr">
        <is>
          <t>avverkningsanmälan</t>
        </is>
      </c>
      <c r="C423" t="inlineStr">
        <is>
          <t>Föryngringsavverkning</t>
        </is>
      </c>
      <c r="D423" s="1" t="n">
        <v>45980</v>
      </c>
      <c r="E423" s="1" t="n">
        <v>46223</v>
      </c>
      <c r="F423" t="inlineStr">
        <is>
          <t>ÖREBRO LÄN</t>
        </is>
      </c>
      <c r="G423" t="inlineStr">
        <is>
          <t>LINDESBERG</t>
        </is>
      </c>
      <c r="H423" t="inlineStr">
        <is>
          <t>Sveaskog</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10823-2023</t>
        </is>
      </c>
      <c r="B424" t="inlineStr">
        <is>
          <t>avverkningsanmälan</t>
        </is>
      </c>
      <c r="C424" t="inlineStr">
        <is>
          <t>Föryngringsavverkning</t>
        </is>
      </c>
      <c r="D424" s="1" t="n">
        <v>44990</v>
      </c>
      <c r="E424" s="1" t="n">
        <v>46223</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58603-2023</t>
        </is>
      </c>
      <c r="B425" t="inlineStr">
        <is>
          <t>avverkningsanmälan</t>
        </is>
      </c>
      <c r="C425" t="inlineStr">
        <is>
          <t>Föryngringsavverkning</t>
        </is>
      </c>
      <c r="D425" s="1" t="n">
        <v>45251</v>
      </c>
      <c r="E425" s="1" t="n">
        <v>46223</v>
      </c>
      <c r="F425" t="inlineStr">
        <is>
          <t>ÖREBRO LÄN</t>
        </is>
      </c>
      <c r="G425" t="inlineStr">
        <is>
          <t>LINDESBERG</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13417-2025</t>
        </is>
      </c>
      <c r="B426" t="inlineStr">
        <is>
          <t>avverkningsanmälan</t>
        </is>
      </c>
      <c r="C426" t="inlineStr">
        <is>
          <t>Föryngringsavverkning</t>
        </is>
      </c>
      <c r="D426" s="1" t="n">
        <v>45736</v>
      </c>
      <c r="E426" s="1" t="n">
        <v>46223</v>
      </c>
      <c r="F426" t="inlineStr">
        <is>
          <t>ÖREBRO LÄN</t>
        </is>
      </c>
      <c r="G426" t="inlineStr">
        <is>
          <t>LINDESBERG</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43066-2021</t>
        </is>
      </c>
      <c r="B427" t="inlineStr">
        <is>
          <t>avverkningsanmälan</t>
        </is>
      </c>
      <c r="C427" t="inlineStr">
        <is>
          <t>Föryngringsavverkning</t>
        </is>
      </c>
      <c r="D427" s="1" t="n">
        <v>44431</v>
      </c>
      <c r="E427" s="1" t="n">
        <v>46223</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23607-2023</t>
        </is>
      </c>
      <c r="B428" t="inlineStr">
        <is>
          <t>avverkningsanmälan</t>
        </is>
      </c>
      <c r="C428" t="inlineStr">
        <is>
          <t>Föryngringsavverkning</t>
        </is>
      </c>
      <c r="D428" s="1" t="n">
        <v>45077</v>
      </c>
      <c r="E428" s="1" t="n">
        <v>46223</v>
      </c>
      <c r="F428" t="inlineStr">
        <is>
          <t>ÖREBRO LÄN</t>
        </is>
      </c>
      <c r="G428" t="inlineStr">
        <is>
          <t>LINDESBERG</t>
        </is>
      </c>
      <c r="H428" t="inlineStr">
        <is>
          <t>Sveaskog</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23102-2023</t>
        </is>
      </c>
      <c r="B429" t="inlineStr">
        <is>
          <t>avverkningsanmälan</t>
        </is>
      </c>
      <c r="C429" t="inlineStr">
        <is>
          <t>Föryngringsavverkning</t>
        </is>
      </c>
      <c r="D429" s="1" t="n">
        <v>45075</v>
      </c>
      <c r="E429" s="1" t="n">
        <v>46223</v>
      </c>
      <c r="F429" t="inlineStr">
        <is>
          <t>ÖREBRO LÄN</t>
        </is>
      </c>
      <c r="G429" t="inlineStr">
        <is>
          <t>LINDESBERG</t>
        </is>
      </c>
      <c r="H429" t="inlineStr">
        <is>
          <t>Sveaskog</t>
        </is>
      </c>
      <c r="I429" t="n">
        <v>2.7</v>
      </c>
      <c r="J429" t="n">
        <v>0</v>
      </c>
      <c r="K429" t="n">
        <v>0</v>
      </c>
      <c r="L429" t="n">
        <v>0</v>
      </c>
      <c r="M429" t="n">
        <v>0</v>
      </c>
      <c r="N429" t="n">
        <v>0</v>
      </c>
      <c r="O429" t="n">
        <v>0</v>
      </c>
      <c r="P429" t="n">
        <v>0</v>
      </c>
      <c r="Q429" t="n">
        <v>0</v>
      </c>
      <c r="R429" t="n">
        <v>0</v>
      </c>
      <c r="S429" t="n">
        <v>0</v>
      </c>
      <c r="T429" t="n">
        <v>0</v>
      </c>
      <c r="U429" s="2" t="inlineStr"/>
    </row>
    <row r="430" ht="15" customHeight="1">
      <c r="A430" t="inlineStr">
        <is>
          <t>A 3148-2023</t>
        </is>
      </c>
      <c r="B430" t="inlineStr">
        <is>
          <t>avverkningsanmälan</t>
        </is>
      </c>
      <c r="C430" t="inlineStr">
        <is>
          <t>Föryngringsavverkning</t>
        </is>
      </c>
      <c r="D430" s="1" t="n">
        <v>44946</v>
      </c>
      <c r="E430" s="1" t="n">
        <v>46223</v>
      </c>
      <c r="F430" t="inlineStr">
        <is>
          <t>ÖREBRO LÄN</t>
        </is>
      </c>
      <c r="G430" t="inlineStr">
        <is>
          <t>LINDESBERG</t>
        </is>
      </c>
      <c r="I430" t="n">
        <v>5.5</v>
      </c>
      <c r="J430" t="n">
        <v>0</v>
      </c>
      <c r="K430" t="n">
        <v>0</v>
      </c>
      <c r="L430" t="n">
        <v>0</v>
      </c>
      <c r="M430" t="n">
        <v>0</v>
      </c>
      <c r="N430" t="n">
        <v>0</v>
      </c>
      <c r="O430" t="n">
        <v>0</v>
      </c>
      <c r="P430" t="n">
        <v>0</v>
      </c>
      <c r="Q430" t="n">
        <v>0</v>
      </c>
      <c r="R430" t="n">
        <v>0</v>
      </c>
      <c r="S430" t="n">
        <v>0</v>
      </c>
      <c r="T430" t="n">
        <v>0</v>
      </c>
      <c r="U430" s="2" t="inlineStr"/>
    </row>
    <row r="431" ht="15" customHeight="1">
      <c r="A431" t="inlineStr">
        <is>
          <t>A 50225-2021</t>
        </is>
      </c>
      <c r="B431" t="inlineStr">
        <is>
          <t>avverkningsanmälan</t>
        </is>
      </c>
      <c r="C431" t="inlineStr">
        <is>
          <t>Föryngringsavverkning</t>
        </is>
      </c>
      <c r="D431" s="1" t="n">
        <v>44457</v>
      </c>
      <c r="E431" s="1" t="n">
        <v>46223</v>
      </c>
      <c r="F431" t="inlineStr">
        <is>
          <t>ÖREBRO LÄN</t>
        </is>
      </c>
      <c r="G431" t="inlineStr">
        <is>
          <t>LINDESBERG</t>
        </is>
      </c>
      <c r="I431" t="n">
        <v>2.5</v>
      </c>
      <c r="J431" t="n">
        <v>0</v>
      </c>
      <c r="K431" t="n">
        <v>0</v>
      </c>
      <c r="L431" t="n">
        <v>0</v>
      </c>
      <c r="M431" t="n">
        <v>0</v>
      </c>
      <c r="N431" t="n">
        <v>0</v>
      </c>
      <c r="O431" t="n">
        <v>0</v>
      </c>
      <c r="P431" t="n">
        <v>0</v>
      </c>
      <c r="Q431" t="n">
        <v>0</v>
      </c>
      <c r="R431" t="n">
        <v>0</v>
      </c>
      <c r="S431" t="n">
        <v>0</v>
      </c>
      <c r="T431" t="n">
        <v>0</v>
      </c>
      <c r="U431" s="2" t="inlineStr"/>
    </row>
    <row r="432" ht="15" customHeight="1">
      <c r="A432" t="inlineStr">
        <is>
          <t>A 61202-2023</t>
        </is>
      </c>
      <c r="B432" t="inlineStr">
        <is>
          <t>avverkningsanmälan</t>
        </is>
      </c>
      <c r="C432" t="inlineStr">
        <is>
          <t>Föryngringsavverkning</t>
        </is>
      </c>
      <c r="D432" s="1" t="n">
        <v>45264</v>
      </c>
      <c r="E432" s="1" t="n">
        <v>46223</v>
      </c>
      <c r="F432" t="inlineStr">
        <is>
          <t>ÖREBRO LÄN</t>
        </is>
      </c>
      <c r="G432" t="inlineStr">
        <is>
          <t>LINDESBERG</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14187-2024</t>
        </is>
      </c>
      <c r="B433" t="inlineStr">
        <is>
          <t>avverkningsanmälan</t>
        </is>
      </c>
      <c r="C433" t="inlineStr">
        <is>
          <t>Föryngringsavverkning</t>
        </is>
      </c>
      <c r="D433" s="1" t="n">
        <v>45393</v>
      </c>
      <c r="E433" s="1" t="n">
        <v>46223</v>
      </c>
      <c r="F433" t="inlineStr">
        <is>
          <t>ÖREBRO LÄN</t>
        </is>
      </c>
      <c r="G433" t="inlineStr">
        <is>
          <t>LINDESBERG</t>
        </is>
      </c>
      <c r="H433" t="inlineStr">
        <is>
          <t>Sveaskog</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60400-2025</t>
        </is>
      </c>
      <c r="B434" t="inlineStr">
        <is>
          <t>avverkningsanmälan</t>
        </is>
      </c>
      <c r="C434" t="inlineStr">
        <is>
          <t>Föryngringsavverkning</t>
        </is>
      </c>
      <c r="D434" s="1" t="n">
        <v>45995</v>
      </c>
      <c r="E434" s="1" t="n">
        <v>46223</v>
      </c>
      <c r="F434" t="inlineStr">
        <is>
          <t>ÖREBRO LÄN</t>
        </is>
      </c>
      <c r="G434" t="inlineStr">
        <is>
          <t>LINDESBERG</t>
        </is>
      </c>
      <c r="I434" t="n">
        <v>11.2</v>
      </c>
      <c r="J434" t="n">
        <v>0</v>
      </c>
      <c r="K434" t="n">
        <v>0</v>
      </c>
      <c r="L434" t="n">
        <v>0</v>
      </c>
      <c r="M434" t="n">
        <v>0</v>
      </c>
      <c r="N434" t="n">
        <v>0</v>
      </c>
      <c r="O434" t="n">
        <v>0</v>
      </c>
      <c r="P434" t="n">
        <v>0</v>
      </c>
      <c r="Q434" t="n">
        <v>0</v>
      </c>
      <c r="R434" t="n">
        <v>0</v>
      </c>
      <c r="S434" t="n">
        <v>0</v>
      </c>
      <c r="T434" t="n">
        <v>0</v>
      </c>
      <c r="U434" s="2" t="inlineStr"/>
    </row>
    <row r="435" ht="15" customHeight="1">
      <c r="A435" t="inlineStr">
        <is>
          <t>A 60450-2025</t>
        </is>
      </c>
      <c r="B435" t="inlineStr">
        <is>
          <t>avverkningsanmälan</t>
        </is>
      </c>
      <c r="C435" t="inlineStr">
        <is>
          <t>Föryngringsavverkning</t>
        </is>
      </c>
      <c r="D435" s="1" t="n">
        <v>45995</v>
      </c>
      <c r="E435" s="1" t="n">
        <v>46223</v>
      </c>
      <c r="F435" t="inlineStr">
        <is>
          <t>ÖREBRO LÄN</t>
        </is>
      </c>
      <c r="G435" t="inlineStr">
        <is>
          <t>LINDESBERG</t>
        </is>
      </c>
      <c r="I435" t="n">
        <v>4.1</v>
      </c>
      <c r="J435" t="n">
        <v>0</v>
      </c>
      <c r="K435" t="n">
        <v>0</v>
      </c>
      <c r="L435" t="n">
        <v>0</v>
      </c>
      <c r="M435" t="n">
        <v>0</v>
      </c>
      <c r="N435" t="n">
        <v>0</v>
      </c>
      <c r="O435" t="n">
        <v>0</v>
      </c>
      <c r="P435" t="n">
        <v>0</v>
      </c>
      <c r="Q435" t="n">
        <v>0</v>
      </c>
      <c r="R435" t="n">
        <v>0</v>
      </c>
      <c r="S435" t="n">
        <v>0</v>
      </c>
      <c r="T435" t="n">
        <v>0</v>
      </c>
      <c r="U435" s="2" t="inlineStr"/>
    </row>
    <row r="436" ht="15" customHeight="1">
      <c r="A436" t="inlineStr">
        <is>
          <t>A 39140-2024</t>
        </is>
      </c>
      <c r="B436" t="inlineStr">
        <is>
          <t>avverkningsanmälan</t>
        </is>
      </c>
      <c r="C436" t="inlineStr">
        <is>
          <t>Föryngringsavverkning</t>
        </is>
      </c>
      <c r="D436" s="1" t="n">
        <v>45548</v>
      </c>
      <c r="E436" s="1" t="n">
        <v>46223</v>
      </c>
      <c r="F436" t="inlineStr">
        <is>
          <t>ÖREBRO LÄN</t>
        </is>
      </c>
      <c r="G436" t="inlineStr">
        <is>
          <t>LINDESBERG</t>
        </is>
      </c>
      <c r="H436" t="inlineStr">
        <is>
          <t>Sveaskog</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265-2023</t>
        </is>
      </c>
      <c r="B437" t="inlineStr">
        <is>
          <t>avverkningsanmälan</t>
        </is>
      </c>
      <c r="C437" t="inlineStr">
        <is>
          <t>Föryngringsavverkning</t>
        </is>
      </c>
      <c r="D437" s="1" t="n">
        <v>44928</v>
      </c>
      <c r="E437" s="1" t="n">
        <v>46223</v>
      </c>
      <c r="F437" t="inlineStr">
        <is>
          <t>ÖREBRO LÄN</t>
        </is>
      </c>
      <c r="G437" t="inlineStr">
        <is>
          <t>LINDESBERG</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41582-2021</t>
        </is>
      </c>
      <c r="B438" t="inlineStr">
        <is>
          <t>avverkningsanmälan</t>
        </is>
      </c>
      <c r="C438" t="inlineStr">
        <is>
          <t>Föryngringsavverkning</t>
        </is>
      </c>
      <c r="D438" s="1" t="n">
        <v>44425</v>
      </c>
      <c r="E438" s="1" t="n">
        <v>46223</v>
      </c>
      <c r="F438" t="inlineStr">
        <is>
          <t>ÖREBRO LÄN</t>
        </is>
      </c>
      <c r="G438" t="inlineStr">
        <is>
          <t>LINDESBERG</t>
        </is>
      </c>
      <c r="H438" t="inlineStr">
        <is>
          <t>Sveaskog</t>
        </is>
      </c>
      <c r="I438" t="n">
        <v>5.2</v>
      </c>
      <c r="J438" t="n">
        <v>0</v>
      </c>
      <c r="K438" t="n">
        <v>0</v>
      </c>
      <c r="L438" t="n">
        <v>0</v>
      </c>
      <c r="M438" t="n">
        <v>0</v>
      </c>
      <c r="N438" t="n">
        <v>0</v>
      </c>
      <c r="O438" t="n">
        <v>0</v>
      </c>
      <c r="P438" t="n">
        <v>0</v>
      </c>
      <c r="Q438" t="n">
        <v>0</v>
      </c>
      <c r="R438" t="n">
        <v>0</v>
      </c>
      <c r="S438" t="n">
        <v>0</v>
      </c>
      <c r="T438" t="n">
        <v>0</v>
      </c>
      <c r="U438" s="2" t="inlineStr"/>
    </row>
    <row r="439" ht="15" customHeight="1">
      <c r="A439" t="inlineStr">
        <is>
          <t>A 6-2023</t>
        </is>
      </c>
      <c r="B439" t="inlineStr">
        <is>
          <t>avverkningsanmälan</t>
        </is>
      </c>
      <c r="C439" t="inlineStr">
        <is>
          <t>Föryngringsavverkning</t>
        </is>
      </c>
      <c r="D439" s="1" t="n">
        <v>44927</v>
      </c>
      <c r="E439" s="1" t="n">
        <v>46223</v>
      </c>
      <c r="F439" t="inlineStr">
        <is>
          <t>ÖREBRO LÄN</t>
        </is>
      </c>
      <c r="G439" t="inlineStr">
        <is>
          <t>LINDESBERG</t>
        </is>
      </c>
      <c r="I439" t="n">
        <v>2.8</v>
      </c>
      <c r="J439" t="n">
        <v>0</v>
      </c>
      <c r="K439" t="n">
        <v>0</v>
      </c>
      <c r="L439" t="n">
        <v>0</v>
      </c>
      <c r="M439" t="n">
        <v>0</v>
      </c>
      <c r="N439" t="n">
        <v>0</v>
      </c>
      <c r="O439" t="n">
        <v>0</v>
      </c>
      <c r="P439" t="n">
        <v>0</v>
      </c>
      <c r="Q439" t="n">
        <v>0</v>
      </c>
      <c r="R439" t="n">
        <v>0</v>
      </c>
      <c r="S439" t="n">
        <v>0</v>
      </c>
      <c r="T439" t="n">
        <v>0</v>
      </c>
      <c r="U439" s="2" t="inlineStr"/>
    </row>
    <row r="440" ht="15" customHeight="1">
      <c r="A440" t="inlineStr">
        <is>
          <t>A 54864-2024</t>
        </is>
      </c>
      <c r="B440" t="inlineStr">
        <is>
          <t>avverkningsanmälan</t>
        </is>
      </c>
      <c r="C440" t="inlineStr">
        <is>
          <t>Avverkning för att bevara och utveckla /försöksver</t>
        </is>
      </c>
      <c r="D440" s="1" t="n">
        <v>45618</v>
      </c>
      <c r="E440" s="1" t="n">
        <v>46223</v>
      </c>
      <c r="F440" t="inlineStr">
        <is>
          <t>ÖREBRO LÄN</t>
        </is>
      </c>
      <c r="G440" t="inlineStr">
        <is>
          <t>LINDESBERG</t>
        </is>
      </c>
      <c r="H440" t="inlineStr">
        <is>
          <t>Sveaskog</t>
        </is>
      </c>
      <c r="I440" t="n">
        <v>4.4</v>
      </c>
      <c r="J440" t="n">
        <v>0</v>
      </c>
      <c r="K440" t="n">
        <v>0</v>
      </c>
      <c r="L440" t="n">
        <v>0</v>
      </c>
      <c r="M440" t="n">
        <v>0</v>
      </c>
      <c r="N440" t="n">
        <v>0</v>
      </c>
      <c r="O440" t="n">
        <v>0</v>
      </c>
      <c r="P440" t="n">
        <v>0</v>
      </c>
      <c r="Q440" t="n">
        <v>0</v>
      </c>
      <c r="R440" t="n">
        <v>0</v>
      </c>
      <c r="S440" t="n">
        <v>0</v>
      </c>
      <c r="T440" t="n">
        <v>0</v>
      </c>
      <c r="U440" s="2" t="inlineStr"/>
    </row>
    <row r="441" ht="15" customHeight="1">
      <c r="A441" t="inlineStr">
        <is>
          <t>A 14034-2026</t>
        </is>
      </c>
      <c r="B441" t="inlineStr">
        <is>
          <t>avverkningsanmälan</t>
        </is>
      </c>
      <c r="C441" t="inlineStr">
        <is>
          <t>Föryngringsavverkning</t>
        </is>
      </c>
      <c r="D441" s="1" t="n">
        <v>46098</v>
      </c>
      <c r="E441" s="1" t="n">
        <v>46223</v>
      </c>
      <c r="F441" t="inlineStr">
        <is>
          <t>ÖREBRO LÄN</t>
        </is>
      </c>
      <c r="G441" t="inlineStr">
        <is>
          <t>LINDESBERG</t>
        </is>
      </c>
      <c r="H441" t="inlineStr">
        <is>
          <t>Sveaskog</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61761-2025</t>
        </is>
      </c>
      <c r="B442" t="inlineStr">
        <is>
          <t>avverkningsanmälan</t>
        </is>
      </c>
      <c r="C442" t="inlineStr">
        <is>
          <t>Föryngringsavverkning</t>
        </is>
      </c>
      <c r="D442" s="1" t="n">
        <v>46002</v>
      </c>
      <c r="E442" s="1" t="n">
        <v>46223</v>
      </c>
      <c r="F442" t="inlineStr">
        <is>
          <t>ÖREBRO LÄN</t>
        </is>
      </c>
      <c r="G442" t="inlineStr">
        <is>
          <t>LINDESBERG</t>
        </is>
      </c>
      <c r="I442" t="n">
        <v>3.8</v>
      </c>
      <c r="J442" t="n">
        <v>0</v>
      </c>
      <c r="K442" t="n">
        <v>0</v>
      </c>
      <c r="L442" t="n">
        <v>0</v>
      </c>
      <c r="M442" t="n">
        <v>0</v>
      </c>
      <c r="N442" t="n">
        <v>0</v>
      </c>
      <c r="O442" t="n">
        <v>0</v>
      </c>
      <c r="P442" t="n">
        <v>0</v>
      </c>
      <c r="Q442" t="n">
        <v>0</v>
      </c>
      <c r="R442" t="n">
        <v>0</v>
      </c>
      <c r="S442" t="n">
        <v>0</v>
      </c>
      <c r="T442" t="n">
        <v>0</v>
      </c>
      <c r="U442" s="2" t="inlineStr"/>
    </row>
    <row r="443" ht="15" customHeight="1">
      <c r="A443" t="inlineStr">
        <is>
          <t>A 61745-2025</t>
        </is>
      </c>
      <c r="B443" t="inlineStr">
        <is>
          <t>avverkningsanmälan</t>
        </is>
      </c>
      <c r="C443" t="inlineStr">
        <is>
          <t>Avverkning för annat ändamål</t>
        </is>
      </c>
      <c r="D443" s="1" t="n">
        <v>46002</v>
      </c>
      <c r="E443" s="1" t="n">
        <v>46223</v>
      </c>
      <c r="F443" t="inlineStr">
        <is>
          <t>ÖREBRO LÄN</t>
        </is>
      </c>
      <c r="G443" t="inlineStr">
        <is>
          <t>LINDESBERG</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61758-2025</t>
        </is>
      </c>
      <c r="B444" t="inlineStr">
        <is>
          <t>avverkningsanmälan</t>
        </is>
      </c>
      <c r="C444" t="inlineStr">
        <is>
          <t>Föryngringsavverkning</t>
        </is>
      </c>
      <c r="D444" s="1" t="n">
        <v>46002</v>
      </c>
      <c r="E444" s="1" t="n">
        <v>46223</v>
      </c>
      <c r="F444" t="inlineStr">
        <is>
          <t>ÖREBRO LÄN</t>
        </is>
      </c>
      <c r="G444" t="inlineStr">
        <is>
          <t>LINDESBERG</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50275-2024</t>
        </is>
      </c>
      <c r="B445" t="inlineStr">
        <is>
          <t>avverkningsanmälan</t>
        </is>
      </c>
      <c r="C445" t="inlineStr">
        <is>
          <t>Föryngringsavverkning</t>
        </is>
      </c>
      <c r="D445" s="1" t="n">
        <v>45600</v>
      </c>
      <c r="E445" s="1" t="n">
        <v>46223</v>
      </c>
      <c r="F445" t="inlineStr">
        <is>
          <t>ÖREBRO LÄN</t>
        </is>
      </c>
      <c r="G445" t="inlineStr">
        <is>
          <t>LINDESBERG</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58050-2025</t>
        </is>
      </c>
      <c r="B446" t="inlineStr">
        <is>
          <t>avverkningsanmälan</t>
        </is>
      </c>
      <c r="C446" t="inlineStr">
        <is>
          <t>Avverkning för annat ändamål</t>
        </is>
      </c>
      <c r="D446" s="1" t="n">
        <v>45982</v>
      </c>
      <c r="E446" s="1" t="n">
        <v>46223</v>
      </c>
      <c r="F446" t="inlineStr">
        <is>
          <t>ÖREBRO LÄN</t>
        </is>
      </c>
      <c r="G446" t="inlineStr">
        <is>
          <t>LINDESBERG</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58056-2025</t>
        </is>
      </c>
      <c r="B447" t="inlineStr">
        <is>
          <t>avverkningsanmälan</t>
        </is>
      </c>
      <c r="C447" t="inlineStr">
        <is>
          <t>Avverkning för annat ändamål</t>
        </is>
      </c>
      <c r="D447" s="1" t="n">
        <v>45982</v>
      </c>
      <c r="E447" s="1" t="n">
        <v>46223</v>
      </c>
      <c r="F447" t="inlineStr">
        <is>
          <t>ÖREBRO LÄN</t>
        </is>
      </c>
      <c r="G447" t="inlineStr">
        <is>
          <t>LINDESBERG</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3294-2024</t>
        </is>
      </c>
      <c r="B448" t="inlineStr">
        <is>
          <t>avverkningsanmälan</t>
        </is>
      </c>
      <c r="C448" t="inlineStr">
        <is>
          <t>Föryngringsavverkning</t>
        </is>
      </c>
      <c r="D448" s="1" t="n">
        <v>45316</v>
      </c>
      <c r="E448" s="1" t="n">
        <v>46223</v>
      </c>
      <c r="F448" t="inlineStr">
        <is>
          <t>ÖREBRO LÄN</t>
        </is>
      </c>
      <c r="G448" t="inlineStr">
        <is>
          <t>LINDESBERG</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63083-2025</t>
        </is>
      </c>
      <c r="B449" t="inlineStr">
        <is>
          <t>avverkningsanmälan</t>
        </is>
      </c>
      <c r="C449" t="inlineStr">
        <is>
          <t>Föryngringsavverkning</t>
        </is>
      </c>
      <c r="D449" s="1" t="n">
        <v>46009</v>
      </c>
      <c r="E449" s="1" t="n">
        <v>46223</v>
      </c>
      <c r="F449" t="inlineStr">
        <is>
          <t>ÖREBRO LÄN</t>
        </is>
      </c>
      <c r="G449" t="inlineStr">
        <is>
          <t>LINDESBERG</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41947-2023</t>
        </is>
      </c>
      <c r="B450" t="inlineStr">
        <is>
          <t>avverkningsanmälan</t>
        </is>
      </c>
      <c r="C450" t="inlineStr">
        <is>
          <t>Föryngringsavverkning</t>
        </is>
      </c>
      <c r="D450" s="1" t="n">
        <v>45177</v>
      </c>
      <c r="E450" s="1" t="n">
        <v>46223</v>
      </c>
      <c r="F450" t="inlineStr">
        <is>
          <t>ÖREBRO LÄN</t>
        </is>
      </c>
      <c r="G450" t="inlineStr">
        <is>
          <t>LINDESBERG</t>
        </is>
      </c>
      <c r="H450" t="inlineStr">
        <is>
          <t>Kyrkan</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14680-2026</t>
        </is>
      </c>
      <c r="B451" t="inlineStr">
        <is>
          <t>avverkningsanmälan</t>
        </is>
      </c>
      <c r="C451" t="inlineStr">
        <is>
          <t>Föryngringsavverkning</t>
        </is>
      </c>
      <c r="D451" s="1" t="n">
        <v>46101</v>
      </c>
      <c r="E451" s="1" t="n">
        <v>46223</v>
      </c>
      <c r="F451" t="inlineStr">
        <is>
          <t>ÖREBRO LÄN</t>
        </is>
      </c>
      <c r="G451" t="inlineStr">
        <is>
          <t>LINDESBERG</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16447-2025</t>
        </is>
      </c>
      <c r="B452" t="inlineStr">
        <is>
          <t>avverkningsanmälan</t>
        </is>
      </c>
      <c r="C452" t="inlineStr">
        <is>
          <t>Föryngringsavverkning</t>
        </is>
      </c>
      <c r="D452" s="1" t="n">
        <v>45751</v>
      </c>
      <c r="E452" s="1" t="n">
        <v>46223</v>
      </c>
      <c r="F452" t="inlineStr">
        <is>
          <t>ÖREBRO LÄN</t>
        </is>
      </c>
      <c r="G452" t="inlineStr">
        <is>
          <t>LINDESBERG</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29975-2023</t>
        </is>
      </c>
      <c r="B453" t="inlineStr">
        <is>
          <t>avverkningsanmälan</t>
        </is>
      </c>
      <c r="C453" t="inlineStr">
        <is>
          <t>Föryngringsavverkning</t>
        </is>
      </c>
      <c r="D453" s="1" t="n">
        <v>45108</v>
      </c>
      <c r="E453" s="1" t="n">
        <v>46223</v>
      </c>
      <c r="F453" t="inlineStr">
        <is>
          <t>ÖREBRO LÄN</t>
        </is>
      </c>
      <c r="G453" t="inlineStr">
        <is>
          <t>LINDESBERG</t>
        </is>
      </c>
      <c r="I453" t="n">
        <v>6.4</v>
      </c>
      <c r="J453" t="n">
        <v>0</v>
      </c>
      <c r="K453" t="n">
        <v>0</v>
      </c>
      <c r="L453" t="n">
        <v>0</v>
      </c>
      <c r="M453" t="n">
        <v>0</v>
      </c>
      <c r="N453" t="n">
        <v>0</v>
      </c>
      <c r="O453" t="n">
        <v>0</v>
      </c>
      <c r="P453" t="n">
        <v>0</v>
      </c>
      <c r="Q453" t="n">
        <v>0</v>
      </c>
      <c r="R453" t="n">
        <v>0</v>
      </c>
      <c r="S453" t="n">
        <v>0</v>
      </c>
      <c r="T453" t="n">
        <v>0</v>
      </c>
      <c r="U453" s="2" t="inlineStr"/>
    </row>
    <row r="454" ht="15" customHeight="1">
      <c r="A454" t="inlineStr">
        <is>
          <t>A 16448-2025</t>
        </is>
      </c>
      <c r="B454" t="inlineStr">
        <is>
          <t>avverkningsanmälan</t>
        </is>
      </c>
      <c r="C454" t="inlineStr">
        <is>
          <t>Föryngringsavverkning</t>
        </is>
      </c>
      <c r="D454" s="1" t="n">
        <v>45751</v>
      </c>
      <c r="E454" s="1" t="n">
        <v>46223</v>
      </c>
      <c r="F454" t="inlineStr">
        <is>
          <t>ÖREBRO LÄN</t>
        </is>
      </c>
      <c r="G454" t="inlineStr">
        <is>
          <t>LINDESBERG</t>
        </is>
      </c>
      <c r="I454" t="n">
        <v>20.1</v>
      </c>
      <c r="J454" t="n">
        <v>0</v>
      </c>
      <c r="K454" t="n">
        <v>0</v>
      </c>
      <c r="L454" t="n">
        <v>0</v>
      </c>
      <c r="M454" t="n">
        <v>0</v>
      </c>
      <c r="N454" t="n">
        <v>0</v>
      </c>
      <c r="O454" t="n">
        <v>0</v>
      </c>
      <c r="P454" t="n">
        <v>0</v>
      </c>
      <c r="Q454" t="n">
        <v>0</v>
      </c>
      <c r="R454" t="n">
        <v>0</v>
      </c>
      <c r="S454" t="n">
        <v>0</v>
      </c>
      <c r="T454" t="n">
        <v>0</v>
      </c>
      <c r="U454" s="2" t="inlineStr"/>
    </row>
    <row r="455" ht="15" customHeight="1">
      <c r="A455" t="inlineStr">
        <is>
          <t>A 7126-2025</t>
        </is>
      </c>
      <c r="B455" t="inlineStr">
        <is>
          <t>avverkningsanmälan</t>
        </is>
      </c>
      <c r="C455" t="inlineStr">
        <is>
          <t>Föryngringsavverkning</t>
        </is>
      </c>
      <c r="D455" s="1" t="n">
        <v>45702</v>
      </c>
      <c r="E455" s="1" t="n">
        <v>46223</v>
      </c>
      <c r="F455" t="inlineStr">
        <is>
          <t>ÖREBRO LÄN</t>
        </is>
      </c>
      <c r="G455" t="inlineStr">
        <is>
          <t>LINDESBERG</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63526-2025</t>
        </is>
      </c>
      <c r="B456" t="inlineStr">
        <is>
          <t>avverkningsanmälan</t>
        </is>
      </c>
      <c r="C456" t="inlineStr">
        <is>
          <t>Föryngringsavverkning</t>
        </is>
      </c>
      <c r="D456" s="1" t="n">
        <v>46013</v>
      </c>
      <c r="E456" s="1" t="n">
        <v>46223</v>
      </c>
      <c r="F456" t="inlineStr">
        <is>
          <t>ÖREBRO LÄN</t>
        </is>
      </c>
      <c r="G456" t="inlineStr">
        <is>
          <t>LINDESBERG</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40085-2023</t>
        </is>
      </c>
      <c r="B457" t="inlineStr">
        <is>
          <t>avverkningsanmälan</t>
        </is>
      </c>
      <c r="C457" t="inlineStr">
        <is>
          <t>Föryngringsavverkning</t>
        </is>
      </c>
      <c r="D457" s="1" t="n">
        <v>45168</v>
      </c>
      <c r="E457" s="1" t="n">
        <v>46223</v>
      </c>
      <c r="F457" t="inlineStr">
        <is>
          <t>ÖREBRO LÄN</t>
        </is>
      </c>
      <c r="G457" t="inlineStr">
        <is>
          <t>LINDESBERG</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28470-2023</t>
        </is>
      </c>
      <c r="B458" t="inlineStr">
        <is>
          <t>avverkningsanmälan</t>
        </is>
      </c>
      <c r="C458" t="inlineStr">
        <is>
          <t>Föryngringsavverkning</t>
        </is>
      </c>
      <c r="D458" s="1" t="n">
        <v>45103</v>
      </c>
      <c r="E458" s="1" t="n">
        <v>46223</v>
      </c>
      <c r="F458" t="inlineStr">
        <is>
          <t>ÖREBRO LÄN</t>
        </is>
      </c>
      <c r="G458" t="inlineStr">
        <is>
          <t>LINDESBERG</t>
        </is>
      </c>
      <c r="I458" t="n">
        <v>6.7</v>
      </c>
      <c r="J458" t="n">
        <v>0</v>
      </c>
      <c r="K458" t="n">
        <v>0</v>
      </c>
      <c r="L458" t="n">
        <v>0</v>
      </c>
      <c r="M458" t="n">
        <v>0</v>
      </c>
      <c r="N458" t="n">
        <v>0</v>
      </c>
      <c r="O458" t="n">
        <v>0</v>
      </c>
      <c r="P458" t="n">
        <v>0</v>
      </c>
      <c r="Q458" t="n">
        <v>0</v>
      </c>
      <c r="R458" t="n">
        <v>0</v>
      </c>
      <c r="S458" t="n">
        <v>0</v>
      </c>
      <c r="T458" t="n">
        <v>0</v>
      </c>
      <c r="U458" s="2" t="inlineStr"/>
    </row>
    <row r="459" ht="15" customHeight="1">
      <c r="A459" t="inlineStr">
        <is>
          <t>A 32002-2023</t>
        </is>
      </c>
      <c r="B459" t="inlineStr">
        <is>
          <t>avverkningsanmälan</t>
        </is>
      </c>
      <c r="C459" t="inlineStr">
        <is>
          <t>Föryngringsavverkning</t>
        </is>
      </c>
      <c r="D459" s="1" t="n">
        <v>45119</v>
      </c>
      <c r="E459" s="1" t="n">
        <v>46223</v>
      </c>
      <c r="F459" t="inlineStr">
        <is>
          <t>ÖREBRO LÄN</t>
        </is>
      </c>
      <c r="G459" t="inlineStr">
        <is>
          <t>LINDESBERG</t>
        </is>
      </c>
      <c r="H459" t="inlineStr">
        <is>
          <t>Kyrkan</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A 29849-2023</t>
        </is>
      </c>
      <c r="B460" t="inlineStr">
        <is>
          <t>avverkningsanmälan</t>
        </is>
      </c>
      <c r="C460" t="inlineStr">
        <is>
          <t>Föryngringsavverkning</t>
        </is>
      </c>
      <c r="D460" s="1" t="n">
        <v>45107</v>
      </c>
      <c r="E460" s="1" t="n">
        <v>46223</v>
      </c>
      <c r="F460" t="inlineStr">
        <is>
          <t>ÖREBRO LÄN</t>
        </is>
      </c>
      <c r="G460" t="inlineStr">
        <is>
          <t>LINDESBERG</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5784-2025</t>
        </is>
      </c>
      <c r="B461" t="inlineStr">
        <is>
          <t>avverkningsanmälan</t>
        </is>
      </c>
      <c r="C461" t="inlineStr">
        <is>
          <t>Föryngringsavverkning</t>
        </is>
      </c>
      <c r="D461" s="1" t="n">
        <v>45694</v>
      </c>
      <c r="E461" s="1" t="n">
        <v>46223</v>
      </c>
      <c r="F461" t="inlineStr">
        <is>
          <t>ÖREBRO LÄN</t>
        </is>
      </c>
      <c r="G461" t="inlineStr">
        <is>
          <t>LINDESBERG</t>
        </is>
      </c>
      <c r="H461" t="inlineStr">
        <is>
          <t>Allmännings- och besparingsskogar</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911-2026</t>
        </is>
      </c>
      <c r="B462" t="inlineStr">
        <is>
          <t>avverkningsanmälan</t>
        </is>
      </c>
      <c r="C462" t="inlineStr">
        <is>
          <t>Föryngringsavverkning</t>
        </is>
      </c>
      <c r="D462" s="1" t="n">
        <v>46030</v>
      </c>
      <c r="E462" s="1" t="n">
        <v>46223</v>
      </c>
      <c r="F462" t="inlineStr">
        <is>
          <t>ÖREBRO LÄN</t>
        </is>
      </c>
      <c r="G462" t="inlineStr">
        <is>
          <t>LINDESBERG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69208-2021</t>
        </is>
      </c>
      <c r="B463" t="inlineStr">
        <is>
          <t>avverkningsanmälan</t>
        </is>
      </c>
      <c r="C463" t="inlineStr">
        <is>
          <t>Föryngringsavverkning</t>
        </is>
      </c>
      <c r="D463" s="1" t="n">
        <v>44531</v>
      </c>
      <c r="E463" s="1" t="n">
        <v>46223</v>
      </c>
      <c r="F463" t="inlineStr">
        <is>
          <t>ÖREBRO LÄN</t>
        </is>
      </c>
      <c r="G463" t="inlineStr">
        <is>
          <t>LINDESBERG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2556-2026</t>
        </is>
      </c>
      <c r="B464" t="inlineStr">
        <is>
          <t>avverkningsanmälan</t>
        </is>
      </c>
      <c r="C464" t="inlineStr">
        <is>
          <t>Föryngringsavverkning</t>
        </is>
      </c>
      <c r="D464" s="1" t="n">
        <v>46035</v>
      </c>
      <c r="E464" s="1" t="n">
        <v>46223</v>
      </c>
      <c r="F464" t="inlineStr">
        <is>
          <t>ÖREBRO LÄN</t>
        </is>
      </c>
      <c r="G464" t="inlineStr">
        <is>
          <t>LINDESBERG</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45038-2024</t>
        </is>
      </c>
      <c r="B465" t="inlineStr">
        <is>
          <t>avverkningsanmälan</t>
        </is>
      </c>
      <c r="C465" t="inlineStr">
        <is>
          <t>Föryngringsavverkning</t>
        </is>
      </c>
      <c r="D465" s="1" t="n">
        <v>45575</v>
      </c>
      <c r="E465" s="1" t="n">
        <v>46223</v>
      </c>
      <c r="F465" t="inlineStr">
        <is>
          <t>ÖREBRO LÄN</t>
        </is>
      </c>
      <c r="G465" t="inlineStr">
        <is>
          <t>LINDESBERG</t>
        </is>
      </c>
      <c r="H465" t="inlineStr">
        <is>
          <t>Sveaskog</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2958-2026</t>
        </is>
      </c>
      <c r="B466" t="inlineStr">
        <is>
          <t>avverkningsanmälan</t>
        </is>
      </c>
      <c r="C466" t="inlineStr">
        <is>
          <t>Föryngringsavverkning</t>
        </is>
      </c>
      <c r="D466" s="1" t="n">
        <v>46038</v>
      </c>
      <c r="E466" s="1" t="n">
        <v>46223</v>
      </c>
      <c r="F466" t="inlineStr">
        <is>
          <t>ÖREBRO LÄN</t>
        </is>
      </c>
      <c r="G466" t="inlineStr">
        <is>
          <t>LINDESBERG</t>
        </is>
      </c>
      <c r="I466" t="n">
        <v>5.8</v>
      </c>
      <c r="J466" t="n">
        <v>0</v>
      </c>
      <c r="K466" t="n">
        <v>0</v>
      </c>
      <c r="L466" t="n">
        <v>0</v>
      </c>
      <c r="M466" t="n">
        <v>0</v>
      </c>
      <c r="N466" t="n">
        <v>0</v>
      </c>
      <c r="O466" t="n">
        <v>0</v>
      </c>
      <c r="P466" t="n">
        <v>0</v>
      </c>
      <c r="Q466" t="n">
        <v>0</v>
      </c>
      <c r="R466" t="n">
        <v>0</v>
      </c>
      <c r="S466" t="n">
        <v>0</v>
      </c>
      <c r="T466" t="n">
        <v>0</v>
      </c>
      <c r="U466" s="2" t="inlineStr"/>
    </row>
    <row r="467" ht="15" customHeight="1">
      <c r="A467" t="inlineStr">
        <is>
          <t>A 2704-2026</t>
        </is>
      </c>
      <c r="B467" t="inlineStr">
        <is>
          <t>avverkningsanmälan</t>
        </is>
      </c>
      <c r="C467" t="inlineStr">
        <is>
          <t>Föryngringsavverkning</t>
        </is>
      </c>
      <c r="D467" s="1" t="n">
        <v>46037</v>
      </c>
      <c r="E467" s="1" t="n">
        <v>46223</v>
      </c>
      <c r="F467" t="inlineStr">
        <is>
          <t>ÖREBRO LÄN</t>
        </is>
      </c>
      <c r="G467" t="inlineStr">
        <is>
          <t>LINDESBERG</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38552-2023</t>
        </is>
      </c>
      <c r="B468" t="inlineStr">
        <is>
          <t>avverkningsanmälan</t>
        </is>
      </c>
      <c r="C468" t="inlineStr">
        <is>
          <t>Föryngringsavverkning</t>
        </is>
      </c>
      <c r="D468" s="1" t="n">
        <v>45162</v>
      </c>
      <c r="E468" s="1" t="n">
        <v>46223</v>
      </c>
      <c r="F468" t="inlineStr">
        <is>
          <t>ÖREBRO LÄN</t>
        </is>
      </c>
      <c r="G468" t="inlineStr">
        <is>
          <t>LINDESBERG</t>
        </is>
      </c>
      <c r="I468" t="n">
        <v>10.4</v>
      </c>
      <c r="J468" t="n">
        <v>0</v>
      </c>
      <c r="K468" t="n">
        <v>0</v>
      </c>
      <c r="L468" t="n">
        <v>0</v>
      </c>
      <c r="M468" t="n">
        <v>0</v>
      </c>
      <c r="N468" t="n">
        <v>0</v>
      </c>
      <c r="O468" t="n">
        <v>0</v>
      </c>
      <c r="P468" t="n">
        <v>0</v>
      </c>
      <c r="Q468" t="n">
        <v>0</v>
      </c>
      <c r="R468" t="n">
        <v>0</v>
      </c>
      <c r="S468" t="n">
        <v>0</v>
      </c>
      <c r="T468" t="n">
        <v>0</v>
      </c>
      <c r="U468" s="2" t="inlineStr"/>
    </row>
    <row r="469" ht="15" customHeight="1">
      <c r="A469" t="inlineStr">
        <is>
          <t>A 64084-2023</t>
        </is>
      </c>
      <c r="B469" t="inlineStr">
        <is>
          <t>avverkningsanmälan</t>
        </is>
      </c>
      <c r="C469" t="inlineStr">
        <is>
          <t>Föryngringsavverkning</t>
        </is>
      </c>
      <c r="D469" s="1" t="n">
        <v>45279</v>
      </c>
      <c r="E469" s="1" t="n">
        <v>46223</v>
      </c>
      <c r="F469" t="inlineStr">
        <is>
          <t>ÖREBRO LÄN</t>
        </is>
      </c>
      <c r="G469" t="inlineStr">
        <is>
          <t>LINDESBERG</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2929-2026</t>
        </is>
      </c>
      <c r="B470" t="inlineStr">
        <is>
          <t>avverkningsanmälan</t>
        </is>
      </c>
      <c r="C470" t="inlineStr">
        <is>
          <t>Föryngringsavverkning</t>
        </is>
      </c>
      <c r="D470" s="1" t="n">
        <v>46038</v>
      </c>
      <c r="E470" s="1" t="n">
        <v>46223</v>
      </c>
      <c r="F470" t="inlineStr">
        <is>
          <t>ÖREBRO LÄN</t>
        </is>
      </c>
      <c r="G470" t="inlineStr">
        <is>
          <t>LINDESBERG</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33424-2024</t>
        </is>
      </c>
      <c r="B471" t="inlineStr">
        <is>
          <t>avverkningsanmälan</t>
        </is>
      </c>
      <c r="C471" t="inlineStr">
        <is>
          <t>Avverkning för annat ändamål</t>
        </is>
      </c>
      <c r="D471" s="1" t="n">
        <v>45519</v>
      </c>
      <c r="E471" s="1" t="n">
        <v>46223</v>
      </c>
      <c r="F471" t="inlineStr">
        <is>
          <t>ÖREBRO LÄN</t>
        </is>
      </c>
      <c r="G471" t="inlineStr">
        <is>
          <t>LINDESBERG</t>
        </is>
      </c>
      <c r="H471" t="inlineStr">
        <is>
          <t>Sveaskog</t>
        </is>
      </c>
      <c r="I471" t="n">
        <v>0.1</v>
      </c>
      <c r="J471" t="n">
        <v>0</v>
      </c>
      <c r="K471" t="n">
        <v>0</v>
      </c>
      <c r="L471" t="n">
        <v>0</v>
      </c>
      <c r="M471" t="n">
        <v>0</v>
      </c>
      <c r="N471" t="n">
        <v>0</v>
      </c>
      <c r="O471" t="n">
        <v>0</v>
      </c>
      <c r="P471" t="n">
        <v>0</v>
      </c>
      <c r="Q471" t="n">
        <v>0</v>
      </c>
      <c r="R471" t="n">
        <v>0</v>
      </c>
      <c r="S471" t="n">
        <v>0</v>
      </c>
      <c r="T471" t="n">
        <v>0</v>
      </c>
      <c r="U471" s="2" t="inlineStr"/>
    </row>
    <row r="472" ht="15" customHeight="1">
      <c r="A472" t="inlineStr">
        <is>
          <t>A 2902-2026</t>
        </is>
      </c>
      <c r="B472" t="inlineStr">
        <is>
          <t>avverkningsanmälan</t>
        </is>
      </c>
      <c r="C472" t="inlineStr">
        <is>
          <t>Föryngringsavverkning</t>
        </is>
      </c>
      <c r="D472" s="1" t="n">
        <v>46038</v>
      </c>
      <c r="E472" s="1" t="n">
        <v>46223</v>
      </c>
      <c r="F472" t="inlineStr">
        <is>
          <t>ÖREBRO LÄN</t>
        </is>
      </c>
      <c r="G472" t="inlineStr">
        <is>
          <t>LINDESBERG</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33427-2024</t>
        </is>
      </c>
      <c r="B473" t="inlineStr">
        <is>
          <t>avverkningsanmälan</t>
        </is>
      </c>
      <c r="C473" t="inlineStr">
        <is>
          <t>Avverkning för annat ändamål</t>
        </is>
      </c>
      <c r="D473" s="1" t="n">
        <v>45519</v>
      </c>
      <c r="E473" s="1" t="n">
        <v>46223</v>
      </c>
      <c r="F473" t="inlineStr">
        <is>
          <t>ÖREBRO LÄN</t>
        </is>
      </c>
      <c r="G473" t="inlineStr">
        <is>
          <t>LINDESBERG</t>
        </is>
      </c>
      <c r="H473" t="inlineStr">
        <is>
          <t>Sveaskog</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2949-2026</t>
        </is>
      </c>
      <c r="B474" t="inlineStr">
        <is>
          <t>avverkningsanmälan</t>
        </is>
      </c>
      <c r="C474" t="inlineStr">
        <is>
          <t>Föryngringsavverkning</t>
        </is>
      </c>
      <c r="D474" s="1" t="n">
        <v>46038</v>
      </c>
      <c r="E474" s="1" t="n">
        <v>46223</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s="2" t="inlineStr"/>
    </row>
    <row r="475" ht="15" customHeight="1">
      <c r="A475" t="inlineStr">
        <is>
          <t>A 36509-2024</t>
        </is>
      </c>
      <c r="B475" t="inlineStr">
        <is>
          <t>avverkningsanmälan</t>
        </is>
      </c>
      <c r="C475" t="inlineStr">
        <is>
          <t>Föryngringsavverkning</t>
        </is>
      </c>
      <c r="D475" s="1" t="n">
        <v>45537</v>
      </c>
      <c r="E475" s="1" t="n">
        <v>46223</v>
      </c>
      <c r="F475" t="inlineStr">
        <is>
          <t>ÖREBRO LÄN</t>
        </is>
      </c>
      <c r="G475" t="inlineStr">
        <is>
          <t>LINDESBERG</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29894-2023</t>
        </is>
      </c>
      <c r="B476" t="inlineStr">
        <is>
          <t>avverkningsanmälan</t>
        </is>
      </c>
      <c r="C476" t="inlineStr">
        <is>
          <t>Föryngringsavverkning</t>
        </is>
      </c>
      <c r="D476" s="1" t="n">
        <v>45107</v>
      </c>
      <c r="E476" s="1" t="n">
        <v>46223</v>
      </c>
      <c r="F476" t="inlineStr">
        <is>
          <t>ÖREBRO LÄN</t>
        </is>
      </c>
      <c r="G476" t="inlineStr">
        <is>
          <t>LINDESBERG</t>
        </is>
      </c>
      <c r="H476" t="inlineStr">
        <is>
          <t>Sveaskog</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16090-2026</t>
        </is>
      </c>
      <c r="B477" t="inlineStr">
        <is>
          <t>avverkningsanmälan</t>
        </is>
      </c>
      <c r="C477" t="inlineStr">
        <is>
          <t>Föryngringsavverkning</t>
        </is>
      </c>
      <c r="D477" s="1" t="n">
        <v>46108</v>
      </c>
      <c r="E477" s="1" t="n">
        <v>46223</v>
      </c>
      <c r="F477" t="inlineStr">
        <is>
          <t>ÖREBRO LÄN</t>
        </is>
      </c>
      <c r="G477" t="inlineStr">
        <is>
          <t>LINDESBERG</t>
        </is>
      </c>
      <c r="I477" t="n">
        <v>4</v>
      </c>
      <c r="J477" t="n">
        <v>0</v>
      </c>
      <c r="K477" t="n">
        <v>0</v>
      </c>
      <c r="L477" t="n">
        <v>0</v>
      </c>
      <c r="M477" t="n">
        <v>0</v>
      </c>
      <c r="N477" t="n">
        <v>0</v>
      </c>
      <c r="O477" t="n">
        <v>0</v>
      </c>
      <c r="P477" t="n">
        <v>0</v>
      </c>
      <c r="Q477" t="n">
        <v>0</v>
      </c>
      <c r="R477" t="n">
        <v>0</v>
      </c>
      <c r="S477" t="n">
        <v>0</v>
      </c>
      <c r="T477" t="n">
        <v>0</v>
      </c>
      <c r="U477" s="2" t="inlineStr"/>
    </row>
    <row r="478" ht="15" customHeight="1">
      <c r="A478" t="inlineStr">
        <is>
          <t>A 16094-2026</t>
        </is>
      </c>
      <c r="B478" t="inlineStr">
        <is>
          <t>avverkningsanmälan</t>
        </is>
      </c>
      <c r="C478" t="inlineStr">
        <is>
          <t>Föryngringsavverkning</t>
        </is>
      </c>
      <c r="D478" s="1" t="n">
        <v>46108</v>
      </c>
      <c r="E478" s="1" t="n">
        <v>46223</v>
      </c>
      <c r="F478" t="inlineStr">
        <is>
          <t>ÖREBRO LÄN</t>
        </is>
      </c>
      <c r="G478" t="inlineStr">
        <is>
          <t>LINDESBERG</t>
        </is>
      </c>
      <c r="I478" t="n">
        <v>3.9</v>
      </c>
      <c r="J478" t="n">
        <v>0</v>
      </c>
      <c r="K478" t="n">
        <v>0</v>
      </c>
      <c r="L478" t="n">
        <v>0</v>
      </c>
      <c r="M478" t="n">
        <v>0</v>
      </c>
      <c r="N478" t="n">
        <v>0</v>
      </c>
      <c r="O478" t="n">
        <v>0</v>
      </c>
      <c r="P478" t="n">
        <v>0</v>
      </c>
      <c r="Q478" t="n">
        <v>0</v>
      </c>
      <c r="R478" t="n">
        <v>0</v>
      </c>
      <c r="S478" t="n">
        <v>0</v>
      </c>
      <c r="T478" t="n">
        <v>0</v>
      </c>
      <c r="U478" s="2" t="inlineStr"/>
    </row>
    <row r="479" ht="15" customHeight="1">
      <c r="A479" t="inlineStr">
        <is>
          <t>A 16092-2026</t>
        </is>
      </c>
      <c r="B479" t="inlineStr">
        <is>
          <t>avverkningsanmälan</t>
        </is>
      </c>
      <c r="C479" t="inlineStr">
        <is>
          <t>Föryngringsavverkning</t>
        </is>
      </c>
      <c r="D479" s="1" t="n">
        <v>46108</v>
      </c>
      <c r="E479" s="1" t="n">
        <v>46223</v>
      </c>
      <c r="F479" t="inlineStr">
        <is>
          <t>ÖREBRO LÄN</t>
        </is>
      </c>
      <c r="G479" t="inlineStr">
        <is>
          <t>LINDESBERG</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16812-2026</t>
        </is>
      </c>
      <c r="B480" t="inlineStr">
        <is>
          <t>avverkningsanmälan</t>
        </is>
      </c>
      <c r="C480" t="inlineStr">
        <is>
          <t>Föryngringsavverkning</t>
        </is>
      </c>
      <c r="D480" s="1" t="n">
        <v>46113</v>
      </c>
      <c r="E480" s="1" t="n">
        <v>46223</v>
      </c>
      <c r="F480" t="inlineStr">
        <is>
          <t>ÖREBRO LÄN</t>
        </is>
      </c>
      <c r="G480" t="inlineStr">
        <is>
          <t>LINDESBERG</t>
        </is>
      </c>
      <c r="H480" t="inlineStr">
        <is>
          <t>Sveaskog</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13472-2023</t>
        </is>
      </c>
      <c r="B481" t="inlineStr">
        <is>
          <t>avverkningsanmälan</t>
        </is>
      </c>
      <c r="C481" t="inlineStr">
        <is>
          <t>Föryngringsavverkning</t>
        </is>
      </c>
      <c r="D481" s="1" t="n">
        <v>45005</v>
      </c>
      <c r="E481" s="1" t="n">
        <v>46223</v>
      </c>
      <c r="F481" t="inlineStr">
        <is>
          <t>ÖREBRO LÄN</t>
        </is>
      </c>
      <c r="G481" t="inlineStr">
        <is>
          <t>LINDESBERG</t>
        </is>
      </c>
      <c r="I481" t="n">
        <v>2.5</v>
      </c>
      <c r="J481" t="n">
        <v>0</v>
      </c>
      <c r="K481" t="n">
        <v>0</v>
      </c>
      <c r="L481" t="n">
        <v>0</v>
      </c>
      <c r="M481" t="n">
        <v>0</v>
      </c>
      <c r="N481" t="n">
        <v>0</v>
      </c>
      <c r="O481" t="n">
        <v>0</v>
      </c>
      <c r="P481" t="n">
        <v>0</v>
      </c>
      <c r="Q481" t="n">
        <v>0</v>
      </c>
      <c r="R481" t="n">
        <v>0</v>
      </c>
      <c r="S481" t="n">
        <v>0</v>
      </c>
      <c r="T481" t="n">
        <v>0</v>
      </c>
      <c r="U481" s="2" t="inlineStr"/>
    </row>
    <row r="482" ht="15" customHeight="1">
      <c r="A482" t="inlineStr">
        <is>
          <t>A 52284-2024</t>
        </is>
      </c>
      <c r="B482" t="inlineStr">
        <is>
          <t>avverkningsanmälan</t>
        </is>
      </c>
      <c r="C482" t="inlineStr">
        <is>
          <t>Avverkning för att bevara och utveckla /försöksver</t>
        </is>
      </c>
      <c r="D482" s="1" t="n">
        <v>45608</v>
      </c>
      <c r="E482" s="1" t="n">
        <v>46223</v>
      </c>
      <c r="F482" t="inlineStr">
        <is>
          <t>ÖREBRO LÄN</t>
        </is>
      </c>
      <c r="G482" t="inlineStr">
        <is>
          <t>LINDESBERG</t>
        </is>
      </c>
      <c r="H482" t="inlineStr">
        <is>
          <t>Sveaskog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38613-2024</t>
        </is>
      </c>
      <c r="B483" t="inlineStr">
        <is>
          <t>avverkningsanmälan</t>
        </is>
      </c>
      <c r="C483" t="inlineStr">
        <is>
          <t>Föryngringsavverkning</t>
        </is>
      </c>
      <c r="D483" s="1" t="n">
        <v>45546</v>
      </c>
      <c r="E483" s="1" t="n">
        <v>46223</v>
      </c>
      <c r="F483" t="inlineStr">
        <is>
          <t>ÖREBRO LÄN</t>
        </is>
      </c>
      <c r="G483" t="inlineStr">
        <is>
          <t>LINDESBERG</t>
        </is>
      </c>
      <c r="H483" t="inlineStr">
        <is>
          <t>Kyrkan</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17155-2026</t>
        </is>
      </c>
      <c r="B484" t="inlineStr">
        <is>
          <t>avverkningsanmälan</t>
        </is>
      </c>
      <c r="C484" t="inlineStr">
        <is>
          <t>Föryngringsavverkning</t>
        </is>
      </c>
      <c r="D484" s="1" t="n">
        <v>46115</v>
      </c>
      <c r="E484" s="1" t="n">
        <v>46223</v>
      </c>
      <c r="F484" t="inlineStr">
        <is>
          <t>ÖREBRO LÄN</t>
        </is>
      </c>
      <c r="G484" t="inlineStr">
        <is>
          <t>LINDESBERG</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17156-2026</t>
        </is>
      </c>
      <c r="B485" t="inlineStr">
        <is>
          <t>avverkningsanmälan</t>
        </is>
      </c>
      <c r="C485" t="inlineStr">
        <is>
          <t>Föryngringsavverkning</t>
        </is>
      </c>
      <c r="D485" s="1" t="n">
        <v>46115</v>
      </c>
      <c r="E485" s="1" t="n">
        <v>46223</v>
      </c>
      <c r="F485" t="inlineStr">
        <is>
          <t>ÖREBRO LÄN</t>
        </is>
      </c>
      <c r="G485" t="inlineStr">
        <is>
          <t>LINDESBERG</t>
        </is>
      </c>
      <c r="I485" t="n">
        <v>2.2</v>
      </c>
      <c r="J485" t="n">
        <v>0</v>
      </c>
      <c r="K485" t="n">
        <v>0</v>
      </c>
      <c r="L485" t="n">
        <v>0</v>
      </c>
      <c r="M485" t="n">
        <v>0</v>
      </c>
      <c r="N485" t="n">
        <v>0</v>
      </c>
      <c r="O485" t="n">
        <v>0</v>
      </c>
      <c r="P485" t="n">
        <v>0</v>
      </c>
      <c r="Q485" t="n">
        <v>0</v>
      </c>
      <c r="R485" t="n">
        <v>0</v>
      </c>
      <c r="S485" t="n">
        <v>0</v>
      </c>
      <c r="T485" t="n">
        <v>0</v>
      </c>
      <c r="U485" s="2" t="inlineStr"/>
    </row>
    <row r="486" ht="15" customHeight="1">
      <c r="A486" t="inlineStr">
        <is>
          <t>A 17013-2026</t>
        </is>
      </c>
      <c r="B486" t="inlineStr">
        <is>
          <t>avverkningsanmälan</t>
        </is>
      </c>
      <c r="C486" t="inlineStr">
        <is>
          <t>Föryngringsavverkning</t>
        </is>
      </c>
      <c r="D486" s="1" t="n">
        <v>46114</v>
      </c>
      <c r="E486" s="1" t="n">
        <v>46223</v>
      </c>
      <c r="F486" t="inlineStr">
        <is>
          <t>ÖREBRO LÄN</t>
        </is>
      </c>
      <c r="G486" t="inlineStr">
        <is>
          <t>LINDESBERG</t>
        </is>
      </c>
      <c r="I486" t="n">
        <v>1.3</v>
      </c>
      <c r="J486" t="n">
        <v>0</v>
      </c>
      <c r="K486" t="n">
        <v>0</v>
      </c>
      <c r="L486" t="n">
        <v>0</v>
      </c>
      <c r="M486" t="n">
        <v>0</v>
      </c>
      <c r="N486" t="n">
        <v>0</v>
      </c>
      <c r="O486" t="n">
        <v>0</v>
      </c>
      <c r="P486" t="n">
        <v>0</v>
      </c>
      <c r="Q486" t="n">
        <v>0</v>
      </c>
      <c r="R486" t="n">
        <v>0</v>
      </c>
      <c r="S486" t="n">
        <v>0</v>
      </c>
      <c r="T486" t="n">
        <v>0</v>
      </c>
      <c r="U486" s="2" t="inlineStr"/>
    </row>
    <row r="487" ht="15" customHeight="1">
      <c r="A487" t="inlineStr">
        <is>
          <t>A 17010-2026</t>
        </is>
      </c>
      <c r="B487" t="inlineStr">
        <is>
          <t>avverkningsanmälan</t>
        </is>
      </c>
      <c r="C487" t="inlineStr">
        <is>
          <t>Föryngringsavverkning</t>
        </is>
      </c>
      <c r="D487" s="1" t="n">
        <v>46114</v>
      </c>
      <c r="E487" s="1" t="n">
        <v>46223</v>
      </c>
      <c r="F487" t="inlineStr">
        <is>
          <t>ÖREBRO LÄN</t>
        </is>
      </c>
      <c r="G487" t="inlineStr">
        <is>
          <t>LINDESBERG</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17159-2026</t>
        </is>
      </c>
      <c r="B488" t="inlineStr">
        <is>
          <t>avverkningsanmälan</t>
        </is>
      </c>
      <c r="C488" t="inlineStr">
        <is>
          <t>Föryngringsavverkning</t>
        </is>
      </c>
      <c r="D488" s="1" t="n">
        <v>46115</v>
      </c>
      <c r="E488" s="1" t="n">
        <v>46223</v>
      </c>
      <c r="F488" t="inlineStr">
        <is>
          <t>ÖREBRO LÄN</t>
        </is>
      </c>
      <c r="G488" t="inlineStr">
        <is>
          <t>LINDESBERG</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17154-2026</t>
        </is>
      </c>
      <c r="B489" t="inlineStr">
        <is>
          <t>avverkningsanmälan</t>
        </is>
      </c>
      <c r="C489" t="inlineStr">
        <is>
          <t>Föryngringsavverkning</t>
        </is>
      </c>
      <c r="D489" s="1" t="n">
        <v>46115</v>
      </c>
      <c r="E489" s="1" t="n">
        <v>46223</v>
      </c>
      <c r="F489" t="inlineStr">
        <is>
          <t>ÖREBRO LÄN</t>
        </is>
      </c>
      <c r="G489" t="inlineStr">
        <is>
          <t>LINDESBERG</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17157-2026</t>
        </is>
      </c>
      <c r="B490" t="inlineStr">
        <is>
          <t>avverkningsanmälan</t>
        </is>
      </c>
      <c r="C490" t="inlineStr">
        <is>
          <t>Föryngringsavverkning</t>
        </is>
      </c>
      <c r="D490" s="1" t="n">
        <v>46115</v>
      </c>
      <c r="E490" s="1" t="n">
        <v>46223</v>
      </c>
      <c r="F490" t="inlineStr">
        <is>
          <t>ÖREBRO LÄN</t>
        </is>
      </c>
      <c r="G490" t="inlineStr">
        <is>
          <t>LINDESBERG</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17162-2026</t>
        </is>
      </c>
      <c r="B491" t="inlineStr">
        <is>
          <t>avverkningsanmälan</t>
        </is>
      </c>
      <c r="C491" t="inlineStr">
        <is>
          <t>Föryngringsavverkning</t>
        </is>
      </c>
      <c r="D491" s="1" t="n">
        <v>46115</v>
      </c>
      <c r="E491" s="1" t="n">
        <v>46223</v>
      </c>
      <c r="F491" t="inlineStr">
        <is>
          <t>ÖREBRO LÄN</t>
        </is>
      </c>
      <c r="G491" t="inlineStr">
        <is>
          <t>LINDESBERG</t>
        </is>
      </c>
      <c r="I491" t="n">
        <v>8.199999999999999</v>
      </c>
      <c r="J491" t="n">
        <v>0</v>
      </c>
      <c r="K491" t="n">
        <v>0</v>
      </c>
      <c r="L491" t="n">
        <v>0</v>
      </c>
      <c r="M491" t="n">
        <v>0</v>
      </c>
      <c r="N491" t="n">
        <v>0</v>
      </c>
      <c r="O491" t="n">
        <v>0</v>
      </c>
      <c r="P491" t="n">
        <v>0</v>
      </c>
      <c r="Q491" t="n">
        <v>0</v>
      </c>
      <c r="R491" t="n">
        <v>0</v>
      </c>
      <c r="S491" t="n">
        <v>0</v>
      </c>
      <c r="T491" t="n">
        <v>0</v>
      </c>
      <c r="U491" s="2" t="inlineStr"/>
    </row>
    <row r="492" ht="15" customHeight="1">
      <c r="A492" t="inlineStr">
        <is>
          <t>A 17158-2026</t>
        </is>
      </c>
      <c r="B492" t="inlineStr">
        <is>
          <t>avverkningsanmälan</t>
        </is>
      </c>
      <c r="C492" t="inlineStr">
        <is>
          <t>Föryngringsavverkning</t>
        </is>
      </c>
      <c r="D492" s="1" t="n">
        <v>46115</v>
      </c>
      <c r="E492" s="1" t="n">
        <v>46223</v>
      </c>
      <c r="F492" t="inlineStr">
        <is>
          <t>ÖREBRO LÄN</t>
        </is>
      </c>
      <c r="G492" t="inlineStr">
        <is>
          <t>LINDESBERG</t>
        </is>
      </c>
      <c r="I492" t="n">
        <v>7.8</v>
      </c>
      <c r="J492" t="n">
        <v>0</v>
      </c>
      <c r="K492" t="n">
        <v>0</v>
      </c>
      <c r="L492" t="n">
        <v>0</v>
      </c>
      <c r="M492" t="n">
        <v>0</v>
      </c>
      <c r="N492" t="n">
        <v>0</v>
      </c>
      <c r="O492" t="n">
        <v>0</v>
      </c>
      <c r="P492" t="n">
        <v>0</v>
      </c>
      <c r="Q492" t="n">
        <v>0</v>
      </c>
      <c r="R492" t="n">
        <v>0</v>
      </c>
      <c r="S492" t="n">
        <v>0</v>
      </c>
      <c r="T492" t="n">
        <v>0</v>
      </c>
      <c r="U492" s="2" t="inlineStr"/>
    </row>
    <row r="493" ht="15" customHeight="1">
      <c r="A493" t="inlineStr">
        <is>
          <t>A 17161-2026</t>
        </is>
      </c>
      <c r="B493" t="inlineStr">
        <is>
          <t>avverkningsanmälan</t>
        </is>
      </c>
      <c r="C493" t="inlineStr">
        <is>
          <t>Föryngringsavverkning</t>
        </is>
      </c>
      <c r="D493" s="1" t="n">
        <v>46115</v>
      </c>
      <c r="E493" s="1" t="n">
        <v>46223</v>
      </c>
      <c r="F493" t="inlineStr">
        <is>
          <t>ÖREBRO LÄN</t>
        </is>
      </c>
      <c r="G493" t="inlineStr">
        <is>
          <t>LINDESBERG</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73500-2021</t>
        </is>
      </c>
      <c r="B494" t="inlineStr">
        <is>
          <t>avverkningsanmälan</t>
        </is>
      </c>
      <c r="C494" t="inlineStr">
        <is>
          <t>Avverkning för annat ändamål</t>
        </is>
      </c>
      <c r="D494" s="1" t="n">
        <v>44551</v>
      </c>
      <c r="E494" s="1" t="n">
        <v>46223</v>
      </c>
      <c r="F494" t="inlineStr">
        <is>
          <t>ÖREBRO LÄN</t>
        </is>
      </c>
      <c r="G494" t="inlineStr">
        <is>
          <t>LINDESBERG</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56507-2021</t>
        </is>
      </c>
      <c r="B495" t="inlineStr">
        <is>
          <t>avverkningsanmälan</t>
        </is>
      </c>
      <c r="C495" t="inlineStr">
        <is>
          <t>Föryngringsavverkning</t>
        </is>
      </c>
      <c r="D495" s="1" t="n">
        <v>44480</v>
      </c>
      <c r="E495" s="1" t="n">
        <v>46223</v>
      </c>
      <c r="F495" t="inlineStr">
        <is>
          <t>ÖREBRO LÄN</t>
        </is>
      </c>
      <c r="G495" t="inlineStr">
        <is>
          <t>LINDESBERG</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65194-2023</t>
        </is>
      </c>
      <c r="B496" t="inlineStr">
        <is>
          <t>avverkningsanmälan</t>
        </is>
      </c>
      <c r="C496" t="inlineStr">
        <is>
          <t>Föryngringsavverkning</t>
        </is>
      </c>
      <c r="D496" s="1" t="n">
        <v>45289</v>
      </c>
      <c r="E496" s="1" t="n">
        <v>46223</v>
      </c>
      <c r="F496" t="inlineStr">
        <is>
          <t>ÖREBRO LÄN</t>
        </is>
      </c>
      <c r="G496" t="inlineStr">
        <is>
          <t>LINDESBERG</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9436-2023</t>
        </is>
      </c>
      <c r="B497" t="inlineStr">
        <is>
          <t>avverkningsanmälan</t>
        </is>
      </c>
      <c r="C497" t="inlineStr">
        <is>
          <t>Föryngringsavverkning</t>
        </is>
      </c>
      <c r="D497" s="1" t="n">
        <v>44981</v>
      </c>
      <c r="E497" s="1" t="n">
        <v>46223</v>
      </c>
      <c r="F497" t="inlineStr">
        <is>
          <t>ÖREBRO LÄN</t>
        </is>
      </c>
      <c r="G497" t="inlineStr">
        <is>
          <t>LINDESBERG</t>
        </is>
      </c>
      <c r="I497" t="n">
        <v>2.8</v>
      </c>
      <c r="J497" t="n">
        <v>0</v>
      </c>
      <c r="K497" t="n">
        <v>0</v>
      </c>
      <c r="L497" t="n">
        <v>0</v>
      </c>
      <c r="M497" t="n">
        <v>0</v>
      </c>
      <c r="N497" t="n">
        <v>0</v>
      </c>
      <c r="O497" t="n">
        <v>0</v>
      </c>
      <c r="P497" t="n">
        <v>0</v>
      </c>
      <c r="Q497" t="n">
        <v>0</v>
      </c>
      <c r="R497" t="n">
        <v>0</v>
      </c>
      <c r="S497" t="n">
        <v>0</v>
      </c>
      <c r="T497" t="n">
        <v>0</v>
      </c>
      <c r="U497" s="2" t="inlineStr"/>
    </row>
    <row r="498" ht="15" customHeight="1">
      <c r="A498" t="inlineStr">
        <is>
          <t>A 36121-2023</t>
        </is>
      </c>
      <c r="B498" t="inlineStr">
        <is>
          <t>avverkningsanmälan</t>
        </is>
      </c>
      <c r="C498" t="inlineStr">
        <is>
          <t>Föryngringsavverkning</t>
        </is>
      </c>
      <c r="D498" s="1" t="n">
        <v>45148</v>
      </c>
      <c r="E498" s="1" t="n">
        <v>46223</v>
      </c>
      <c r="F498" t="inlineStr">
        <is>
          <t>ÖREBRO LÄN</t>
        </is>
      </c>
      <c r="G498" t="inlineStr">
        <is>
          <t>LINDESBERG</t>
        </is>
      </c>
      <c r="I498" t="n">
        <v>7.1</v>
      </c>
      <c r="J498" t="n">
        <v>0</v>
      </c>
      <c r="K498" t="n">
        <v>0</v>
      </c>
      <c r="L498" t="n">
        <v>0</v>
      </c>
      <c r="M498" t="n">
        <v>0</v>
      </c>
      <c r="N498" t="n">
        <v>0</v>
      </c>
      <c r="O498" t="n">
        <v>0</v>
      </c>
      <c r="P498" t="n">
        <v>0</v>
      </c>
      <c r="Q498" t="n">
        <v>0</v>
      </c>
      <c r="R498" t="n">
        <v>0</v>
      </c>
      <c r="S498" t="n">
        <v>0</v>
      </c>
      <c r="T498" t="n">
        <v>0</v>
      </c>
      <c r="U498" s="2" t="inlineStr"/>
    </row>
    <row r="499" ht="15" customHeight="1">
      <c r="A499" t="inlineStr">
        <is>
          <t>A 17663-2026</t>
        </is>
      </c>
      <c r="B499" t="inlineStr">
        <is>
          <t>avverkningsanmälan</t>
        </is>
      </c>
      <c r="C499" t="inlineStr">
        <is>
          <t>Föryngringsavverkning</t>
        </is>
      </c>
      <c r="D499" s="1" t="n">
        <v>46121</v>
      </c>
      <c r="E499" s="1" t="n">
        <v>46223</v>
      </c>
      <c r="F499" t="inlineStr">
        <is>
          <t>ÖREBRO LÄN</t>
        </is>
      </c>
      <c r="G499" t="inlineStr">
        <is>
          <t>LINDESBERG</t>
        </is>
      </c>
      <c r="I499" t="n">
        <v>3.2</v>
      </c>
      <c r="J499" t="n">
        <v>0</v>
      </c>
      <c r="K499" t="n">
        <v>0</v>
      </c>
      <c r="L499" t="n">
        <v>0</v>
      </c>
      <c r="M499" t="n">
        <v>0</v>
      </c>
      <c r="N499" t="n">
        <v>0</v>
      </c>
      <c r="O499" t="n">
        <v>0</v>
      </c>
      <c r="P499" t="n">
        <v>0</v>
      </c>
      <c r="Q499" t="n">
        <v>0</v>
      </c>
      <c r="R499" t="n">
        <v>0</v>
      </c>
      <c r="S499" t="n">
        <v>0</v>
      </c>
      <c r="T499" t="n">
        <v>0</v>
      </c>
      <c r="U499" s="2" t="inlineStr"/>
    </row>
    <row r="500" ht="15" customHeight="1">
      <c r="A500" t="inlineStr">
        <is>
          <t>A 34838-2023</t>
        </is>
      </c>
      <c r="B500" t="inlineStr">
        <is>
          <t>avverkningsanmälan</t>
        </is>
      </c>
      <c r="C500" t="inlineStr">
        <is>
          <t>Föryngringsavverkning</t>
        </is>
      </c>
      <c r="D500" s="1" t="n">
        <v>45141</v>
      </c>
      <c r="E500" s="1" t="n">
        <v>46223</v>
      </c>
      <c r="F500" t="inlineStr">
        <is>
          <t>ÖREBRO LÄN</t>
        </is>
      </c>
      <c r="G500" t="inlineStr">
        <is>
          <t>LINDESBERG</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31024-2023</t>
        </is>
      </c>
      <c r="B501" t="inlineStr">
        <is>
          <t>avverkningsanmälan</t>
        </is>
      </c>
      <c r="C501" t="inlineStr">
        <is>
          <t>Föryngringsavverkning</t>
        </is>
      </c>
      <c r="D501" s="1" t="n">
        <v>45113</v>
      </c>
      <c r="E501" s="1" t="n">
        <v>46223</v>
      </c>
      <c r="F501" t="inlineStr">
        <is>
          <t>ÖREBRO LÄN</t>
        </is>
      </c>
      <c r="G501" t="inlineStr">
        <is>
          <t>LINDESBERG</t>
        </is>
      </c>
      <c r="I501" t="n">
        <v>5.1</v>
      </c>
      <c r="J501" t="n">
        <v>0</v>
      </c>
      <c r="K501" t="n">
        <v>0</v>
      </c>
      <c r="L501" t="n">
        <v>0</v>
      </c>
      <c r="M501" t="n">
        <v>0</v>
      </c>
      <c r="N501" t="n">
        <v>0</v>
      </c>
      <c r="O501" t="n">
        <v>0</v>
      </c>
      <c r="P501" t="n">
        <v>0</v>
      </c>
      <c r="Q501" t="n">
        <v>0</v>
      </c>
      <c r="R501" t="n">
        <v>0</v>
      </c>
      <c r="S501" t="n">
        <v>0</v>
      </c>
      <c r="T501" t="n">
        <v>0</v>
      </c>
      <c r="U501" s="2" t="inlineStr"/>
    </row>
    <row r="502" ht="15" customHeight="1">
      <c r="A502" t="inlineStr">
        <is>
          <t>A 18061-2026</t>
        </is>
      </c>
      <c r="B502" t="inlineStr">
        <is>
          <t>avverkningsanmälan</t>
        </is>
      </c>
      <c r="C502" t="inlineStr">
        <is>
          <t>Föryngringsavverkning</t>
        </is>
      </c>
      <c r="D502" s="1" t="n">
        <v>46125</v>
      </c>
      <c r="E502" s="1" t="n">
        <v>46223</v>
      </c>
      <c r="F502" t="inlineStr">
        <is>
          <t>ÖREBRO LÄN</t>
        </is>
      </c>
      <c r="G502" t="inlineStr">
        <is>
          <t>LINDESBERG</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33281-2024</t>
        </is>
      </c>
      <c r="B503" t="inlineStr">
        <is>
          <t>avverkningsanmälan</t>
        </is>
      </c>
      <c r="C503" t="inlineStr">
        <is>
          <t>Föryngringsavverkning</t>
        </is>
      </c>
      <c r="D503" s="1" t="n">
        <v>45518</v>
      </c>
      <c r="E503" s="1" t="n">
        <v>46223</v>
      </c>
      <c r="F503" t="inlineStr">
        <is>
          <t>ÖREBRO LÄN</t>
        </is>
      </c>
      <c r="G503" t="inlineStr">
        <is>
          <t>LINDESBERG</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33283-2024</t>
        </is>
      </c>
      <c r="B504" t="inlineStr">
        <is>
          <t>avverkningsanmälan</t>
        </is>
      </c>
      <c r="C504" t="inlineStr">
        <is>
          <t>Föryngringsavverkning</t>
        </is>
      </c>
      <c r="D504" s="1" t="n">
        <v>45518</v>
      </c>
      <c r="E504" s="1" t="n">
        <v>46223</v>
      </c>
      <c r="F504" t="inlineStr">
        <is>
          <t>ÖREBRO LÄN</t>
        </is>
      </c>
      <c r="G504" t="inlineStr">
        <is>
          <t>LINDESBERG</t>
        </is>
      </c>
      <c r="I504" t="n">
        <v>3.9</v>
      </c>
      <c r="J504" t="n">
        <v>0</v>
      </c>
      <c r="K504" t="n">
        <v>0</v>
      </c>
      <c r="L504" t="n">
        <v>0</v>
      </c>
      <c r="M504" t="n">
        <v>0</v>
      </c>
      <c r="N504" t="n">
        <v>0</v>
      </c>
      <c r="O504" t="n">
        <v>0</v>
      </c>
      <c r="P504" t="n">
        <v>0</v>
      </c>
      <c r="Q504" t="n">
        <v>0</v>
      </c>
      <c r="R504" t="n">
        <v>0</v>
      </c>
      <c r="S504" t="n">
        <v>0</v>
      </c>
      <c r="T504" t="n">
        <v>0</v>
      </c>
      <c r="U504" s="2" t="inlineStr"/>
    </row>
    <row r="505" ht="15" customHeight="1">
      <c r="A505" t="inlineStr">
        <is>
          <t>A 60449-2024</t>
        </is>
      </c>
      <c r="B505" t="inlineStr">
        <is>
          <t>avverkningsanmälan</t>
        </is>
      </c>
      <c r="C505" t="inlineStr">
        <is>
          <t>Avverkning för annat ändamål</t>
        </is>
      </c>
      <c r="D505" s="1" t="n">
        <v>45643</v>
      </c>
      <c r="E505" s="1" t="n">
        <v>46223</v>
      </c>
      <c r="F505" t="inlineStr">
        <is>
          <t>ÖREBRO LÄN</t>
        </is>
      </c>
      <c r="G505" t="inlineStr">
        <is>
          <t>LINDESBERG</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18220-2026</t>
        </is>
      </c>
      <c r="B506" t="inlineStr">
        <is>
          <t>avverkningsanmälan</t>
        </is>
      </c>
      <c r="C506" t="inlineStr">
        <is>
          <t>Föryngringsavverkning</t>
        </is>
      </c>
      <c r="D506" s="1" t="n">
        <v>46126</v>
      </c>
      <c r="E506" s="1" t="n">
        <v>46223</v>
      </c>
      <c r="F506" t="inlineStr">
        <is>
          <t>ÖREBRO LÄN</t>
        </is>
      </c>
      <c r="G506" t="inlineStr">
        <is>
          <t>LINDESBERG</t>
        </is>
      </c>
      <c r="I506" t="n">
        <v>5.7</v>
      </c>
      <c r="J506" t="n">
        <v>0</v>
      </c>
      <c r="K506" t="n">
        <v>0</v>
      </c>
      <c r="L506" t="n">
        <v>0</v>
      </c>
      <c r="M506" t="n">
        <v>0</v>
      </c>
      <c r="N506" t="n">
        <v>0</v>
      </c>
      <c r="O506" t="n">
        <v>0</v>
      </c>
      <c r="P506" t="n">
        <v>0</v>
      </c>
      <c r="Q506" t="n">
        <v>0</v>
      </c>
      <c r="R506" t="n">
        <v>0</v>
      </c>
      <c r="S506" t="n">
        <v>0</v>
      </c>
      <c r="T506" t="n">
        <v>0</v>
      </c>
      <c r="U506" s="2" t="inlineStr"/>
    </row>
    <row r="507" ht="15" customHeight="1">
      <c r="A507" t="inlineStr">
        <is>
          <t>A 18637-2026</t>
        </is>
      </c>
      <c r="B507" t="inlineStr">
        <is>
          <t>avverkningsanmälan</t>
        </is>
      </c>
      <c r="C507" t="inlineStr">
        <is>
          <t>Föryngringsavverkning</t>
        </is>
      </c>
      <c r="D507" s="1" t="n">
        <v>46128</v>
      </c>
      <c r="E507" s="1" t="n">
        <v>46223</v>
      </c>
      <c r="F507" t="inlineStr">
        <is>
          <t>ÖREBRO LÄN</t>
        </is>
      </c>
      <c r="G507" t="inlineStr">
        <is>
          <t>LINDESBERG</t>
        </is>
      </c>
      <c r="H507" t="inlineStr">
        <is>
          <t>Sveaskog</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34676-2023</t>
        </is>
      </c>
      <c r="B508" t="inlineStr">
        <is>
          <t>avverkningsanmälan</t>
        </is>
      </c>
      <c r="C508" t="inlineStr">
        <is>
          <t>Avverkning för annat ändamål</t>
        </is>
      </c>
      <c r="D508" s="1" t="n">
        <v>45140</v>
      </c>
      <c r="E508" s="1" t="n">
        <v>46223</v>
      </c>
      <c r="F508" t="inlineStr">
        <is>
          <t>ÖREBRO LÄN</t>
        </is>
      </c>
      <c r="G508" t="inlineStr">
        <is>
          <t>LINDESBERG</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61594-2024</t>
        </is>
      </c>
      <c r="B509" t="inlineStr">
        <is>
          <t>avverkningsanmälan</t>
        </is>
      </c>
      <c r="C509" t="inlineStr">
        <is>
          <t>Föryngringsavverkning</t>
        </is>
      </c>
      <c r="D509" s="1" t="n">
        <v>45646</v>
      </c>
      <c r="E509" s="1" t="n">
        <v>46223</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18634-2026</t>
        </is>
      </c>
      <c r="B510" t="inlineStr">
        <is>
          <t>avverkningsanmälan</t>
        </is>
      </c>
      <c r="C510" t="inlineStr">
        <is>
          <t>Föryngringsavverkning</t>
        </is>
      </c>
      <c r="D510" s="1" t="n">
        <v>46128</v>
      </c>
      <c r="E510" s="1" t="n">
        <v>46223</v>
      </c>
      <c r="F510" t="inlineStr">
        <is>
          <t>ÖREBRO LÄN</t>
        </is>
      </c>
      <c r="G510" t="inlineStr">
        <is>
          <t>LINDESBERG</t>
        </is>
      </c>
      <c r="H510" t="inlineStr">
        <is>
          <t>Sveaskog</t>
        </is>
      </c>
      <c r="I510" t="n">
        <v>11.7</v>
      </c>
      <c r="J510" t="n">
        <v>0</v>
      </c>
      <c r="K510" t="n">
        <v>0</v>
      </c>
      <c r="L510" t="n">
        <v>0</v>
      </c>
      <c r="M510" t="n">
        <v>0</v>
      </c>
      <c r="N510" t="n">
        <v>0</v>
      </c>
      <c r="O510" t="n">
        <v>0</v>
      </c>
      <c r="P510" t="n">
        <v>0</v>
      </c>
      <c r="Q510" t="n">
        <v>0</v>
      </c>
      <c r="R510" t="n">
        <v>0</v>
      </c>
      <c r="S510" t="n">
        <v>0</v>
      </c>
      <c r="T510" t="n">
        <v>0</v>
      </c>
      <c r="U510" s="2" t="inlineStr"/>
    </row>
    <row r="511" ht="15" customHeight="1">
      <c r="A511" t="inlineStr">
        <is>
          <t>A 18636-2026</t>
        </is>
      </c>
      <c r="B511" t="inlineStr">
        <is>
          <t>avverkningsanmälan</t>
        </is>
      </c>
      <c r="C511" t="inlineStr">
        <is>
          <t>Föryngringsavverkning</t>
        </is>
      </c>
      <c r="D511" s="1" t="n">
        <v>46128</v>
      </c>
      <c r="E511" s="1" t="n">
        <v>46223</v>
      </c>
      <c r="F511" t="inlineStr">
        <is>
          <t>ÖREBRO LÄN</t>
        </is>
      </c>
      <c r="G511" t="inlineStr">
        <is>
          <t>LINDESBERG</t>
        </is>
      </c>
      <c r="H511" t="inlineStr">
        <is>
          <t>Sveaskog</t>
        </is>
      </c>
      <c r="I511" t="n">
        <v>2.6</v>
      </c>
      <c r="J511" t="n">
        <v>0</v>
      </c>
      <c r="K511" t="n">
        <v>0</v>
      </c>
      <c r="L511" t="n">
        <v>0</v>
      </c>
      <c r="M511" t="n">
        <v>0</v>
      </c>
      <c r="N511" t="n">
        <v>0</v>
      </c>
      <c r="O511" t="n">
        <v>0</v>
      </c>
      <c r="P511" t="n">
        <v>0</v>
      </c>
      <c r="Q511" t="n">
        <v>0</v>
      </c>
      <c r="R511" t="n">
        <v>0</v>
      </c>
      <c r="S511" t="n">
        <v>0</v>
      </c>
      <c r="T511" t="n">
        <v>0</v>
      </c>
      <c r="U511" s="2" t="inlineStr"/>
    </row>
    <row r="512" ht="15" customHeight="1">
      <c r="A512" t="inlineStr">
        <is>
          <t>A 40563-2023</t>
        </is>
      </c>
      <c r="B512" t="inlineStr">
        <is>
          <t>avverkningsanmälan</t>
        </is>
      </c>
      <c r="C512" t="inlineStr">
        <is>
          <t>Föryngringsavverkning</t>
        </is>
      </c>
      <c r="D512" s="1" t="n">
        <v>45170</v>
      </c>
      <c r="E512" s="1" t="n">
        <v>46223</v>
      </c>
      <c r="F512" t="inlineStr">
        <is>
          <t>ÖREBRO LÄN</t>
        </is>
      </c>
      <c r="G512" t="inlineStr">
        <is>
          <t>LINDESBERG</t>
        </is>
      </c>
      <c r="H512" t="inlineStr">
        <is>
          <t>Sveaskog</t>
        </is>
      </c>
      <c r="I512" t="n">
        <v>1.6</v>
      </c>
      <c r="J512" t="n">
        <v>0</v>
      </c>
      <c r="K512" t="n">
        <v>0</v>
      </c>
      <c r="L512" t="n">
        <v>0</v>
      </c>
      <c r="M512" t="n">
        <v>0</v>
      </c>
      <c r="N512" t="n">
        <v>0</v>
      </c>
      <c r="O512" t="n">
        <v>0</v>
      </c>
      <c r="P512" t="n">
        <v>0</v>
      </c>
      <c r="Q512" t="n">
        <v>0</v>
      </c>
      <c r="R512" t="n">
        <v>0</v>
      </c>
      <c r="S512" t="n">
        <v>0</v>
      </c>
      <c r="T512" t="n">
        <v>0</v>
      </c>
      <c r="U512" s="2" t="inlineStr"/>
    </row>
    <row r="513" ht="15" customHeight="1">
      <c r="A513" t="inlineStr">
        <is>
          <t>A 19292-2026</t>
        </is>
      </c>
      <c r="B513" t="inlineStr">
        <is>
          <t>avverkningsanmälan</t>
        </is>
      </c>
      <c r="C513" t="inlineStr">
        <is>
          <t>Avverkning för annat ändamål</t>
        </is>
      </c>
      <c r="D513" s="1" t="n">
        <v>46133</v>
      </c>
      <c r="E513" s="1" t="n">
        <v>46223</v>
      </c>
      <c r="F513" t="inlineStr">
        <is>
          <t>ÖREBRO LÄN</t>
        </is>
      </c>
      <c r="G513" t="inlineStr">
        <is>
          <t>LINDESBERG</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7026-2024</t>
        </is>
      </c>
      <c r="B514" t="inlineStr">
        <is>
          <t>avverkningsanmälan</t>
        </is>
      </c>
      <c r="C514" t="inlineStr">
        <is>
          <t>Föryngringsavverkning</t>
        </is>
      </c>
      <c r="D514" s="1" t="n">
        <v>45343</v>
      </c>
      <c r="E514" s="1" t="n">
        <v>46223</v>
      </c>
      <c r="F514" t="inlineStr">
        <is>
          <t>ÖREBRO LÄN</t>
        </is>
      </c>
      <c r="G514" t="inlineStr">
        <is>
          <t>LINDESBERG</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51379-2023</t>
        </is>
      </c>
      <c r="B515" t="inlineStr">
        <is>
          <t>avverkningsanmälan</t>
        </is>
      </c>
      <c r="C515" t="inlineStr">
        <is>
          <t>Föryngringsavverkning</t>
        </is>
      </c>
      <c r="D515" s="1" t="n">
        <v>45219</v>
      </c>
      <c r="E515" s="1" t="n">
        <v>46223</v>
      </c>
      <c r="F515" t="inlineStr">
        <is>
          <t>ÖREBRO LÄN</t>
        </is>
      </c>
      <c r="G515" t="inlineStr">
        <is>
          <t>LINDESBERG</t>
        </is>
      </c>
      <c r="H515" t="inlineStr">
        <is>
          <t>Sveaskog</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5080-2024</t>
        </is>
      </c>
      <c r="B516" t="inlineStr">
        <is>
          <t>avverkningsanmälan</t>
        </is>
      </c>
      <c r="C516" t="inlineStr">
        <is>
          <t>Föryngringsavverkning</t>
        </is>
      </c>
      <c r="D516" s="1" t="n">
        <v>45330</v>
      </c>
      <c r="E516" s="1" t="n">
        <v>46223</v>
      </c>
      <c r="F516" t="inlineStr">
        <is>
          <t>ÖREBRO LÄN</t>
        </is>
      </c>
      <c r="G516" t="inlineStr">
        <is>
          <t>LINDESBERG</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45072-2024</t>
        </is>
      </c>
      <c r="B517" t="inlineStr">
        <is>
          <t>avverkningsanmälan</t>
        </is>
      </c>
      <c r="C517" t="inlineStr">
        <is>
          <t>Föryngringsavverkning</t>
        </is>
      </c>
      <c r="D517" s="1" t="n">
        <v>45575</v>
      </c>
      <c r="E517" s="1" t="n">
        <v>46223</v>
      </c>
      <c r="F517" t="inlineStr">
        <is>
          <t>ÖREBRO LÄN</t>
        </is>
      </c>
      <c r="G517" t="inlineStr">
        <is>
          <t>LINDESBERG</t>
        </is>
      </c>
      <c r="H517" t="inlineStr">
        <is>
          <t>Sveaskog</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45075-2024</t>
        </is>
      </c>
      <c r="B518" t="inlineStr">
        <is>
          <t>avverkningsanmälan</t>
        </is>
      </c>
      <c r="C518" t="inlineStr">
        <is>
          <t>Föryngringsavverkning</t>
        </is>
      </c>
      <c r="D518" s="1" t="n">
        <v>45575</v>
      </c>
      <c r="E518" s="1" t="n">
        <v>46223</v>
      </c>
      <c r="F518" t="inlineStr">
        <is>
          <t>ÖREBRO LÄN</t>
        </is>
      </c>
      <c r="G518" t="inlineStr">
        <is>
          <t>LINDESBERG</t>
        </is>
      </c>
      <c r="H518" t="inlineStr">
        <is>
          <t>Sveaskog</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31221-2025</t>
        </is>
      </c>
      <c r="B519" t="inlineStr">
        <is>
          <t>avverkningsanmälan</t>
        </is>
      </c>
      <c r="C519" t="inlineStr">
        <is>
          <t>Föryngringsavverkning</t>
        </is>
      </c>
      <c r="D519" s="1" t="n">
        <v>45832</v>
      </c>
      <c r="E519" s="1" t="n">
        <v>46223</v>
      </c>
      <c r="F519" t="inlineStr">
        <is>
          <t>ÖREBRO LÄN</t>
        </is>
      </c>
      <c r="G519" t="inlineStr">
        <is>
          <t>LINDESBERG</t>
        </is>
      </c>
      <c r="H519" t="inlineStr">
        <is>
          <t>Sveaskog</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41948-2023</t>
        </is>
      </c>
      <c r="B520" t="inlineStr">
        <is>
          <t>avverkningsanmälan</t>
        </is>
      </c>
      <c r="C520" t="inlineStr">
        <is>
          <t>Föryngringsavverkning</t>
        </is>
      </c>
      <c r="D520" s="1" t="n">
        <v>45177</v>
      </c>
      <c r="E520" s="1" t="n">
        <v>46223</v>
      </c>
      <c r="F520" t="inlineStr">
        <is>
          <t>ÖREBRO LÄN</t>
        </is>
      </c>
      <c r="G520" t="inlineStr">
        <is>
          <t>LINDESBERG</t>
        </is>
      </c>
      <c r="H520" t="inlineStr">
        <is>
          <t>Kyrkan</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67016-2021</t>
        </is>
      </c>
      <c r="B521" t="inlineStr">
        <is>
          <t>avverkningsanmälan</t>
        </is>
      </c>
      <c r="C521" t="inlineStr">
        <is>
          <t>Föryngringsavverkning</t>
        </is>
      </c>
      <c r="D521" s="1" t="n">
        <v>44522</v>
      </c>
      <c r="E521" s="1" t="n">
        <v>46223</v>
      </c>
      <c r="F521" t="inlineStr">
        <is>
          <t>ÖREBRO LÄN</t>
        </is>
      </c>
      <c r="G521" t="inlineStr">
        <is>
          <t>LINDESBERG</t>
        </is>
      </c>
      <c r="I521" t="n">
        <v>8</v>
      </c>
      <c r="J521" t="n">
        <v>0</v>
      </c>
      <c r="K521" t="n">
        <v>0</v>
      </c>
      <c r="L521" t="n">
        <v>0</v>
      </c>
      <c r="M521" t="n">
        <v>0</v>
      </c>
      <c r="N521" t="n">
        <v>0</v>
      </c>
      <c r="O521" t="n">
        <v>0</v>
      </c>
      <c r="P521" t="n">
        <v>0</v>
      </c>
      <c r="Q521" t="n">
        <v>0</v>
      </c>
      <c r="R521" t="n">
        <v>0</v>
      </c>
      <c r="S521" t="n">
        <v>0</v>
      </c>
      <c r="T521" t="n">
        <v>0</v>
      </c>
      <c r="U521" s="2" t="inlineStr"/>
    </row>
    <row r="522" ht="15" customHeight="1">
      <c r="A522" t="inlineStr">
        <is>
          <t>A 10111-2022</t>
        </is>
      </c>
      <c r="B522" t="inlineStr">
        <is>
          <t>avverkningsanmälan</t>
        </is>
      </c>
      <c r="C522" t="inlineStr">
        <is>
          <t>Föryngringsavverkning</t>
        </is>
      </c>
      <c r="D522" s="1" t="n">
        <v>44621</v>
      </c>
      <c r="E522" s="1" t="n">
        <v>46223</v>
      </c>
      <c r="F522" t="inlineStr">
        <is>
          <t>ÖREBRO LÄN</t>
        </is>
      </c>
      <c r="G522" t="inlineStr">
        <is>
          <t>LINDESBERG</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19960-2023</t>
        </is>
      </c>
      <c r="B523" t="inlineStr">
        <is>
          <t>avverkningsanmälan</t>
        </is>
      </c>
      <c r="C523" t="inlineStr">
        <is>
          <t>Föryngringsavverkning</t>
        </is>
      </c>
      <c r="D523" s="1" t="n">
        <v>45054</v>
      </c>
      <c r="E523" s="1" t="n">
        <v>46223</v>
      </c>
      <c r="F523" t="inlineStr">
        <is>
          <t>ÖREBRO LÄN</t>
        </is>
      </c>
      <c r="G523" t="inlineStr">
        <is>
          <t>LINDESBERG</t>
        </is>
      </c>
      <c r="I523" t="n">
        <v>6.2</v>
      </c>
      <c r="J523" t="n">
        <v>0</v>
      </c>
      <c r="K523" t="n">
        <v>0</v>
      </c>
      <c r="L523" t="n">
        <v>0</v>
      </c>
      <c r="M523" t="n">
        <v>0</v>
      </c>
      <c r="N523" t="n">
        <v>0</v>
      </c>
      <c r="O523" t="n">
        <v>0</v>
      </c>
      <c r="P523" t="n">
        <v>0</v>
      </c>
      <c r="Q523" t="n">
        <v>0</v>
      </c>
      <c r="R523" t="n">
        <v>0</v>
      </c>
      <c r="S523" t="n">
        <v>0</v>
      </c>
      <c r="T523" t="n">
        <v>0</v>
      </c>
      <c r="U523" s="2" t="inlineStr"/>
    </row>
    <row r="524" ht="15" customHeight="1">
      <c r="A524" t="inlineStr">
        <is>
          <t>A 36754-2024</t>
        </is>
      </c>
      <c r="B524" t="inlineStr">
        <is>
          <t>avverkningsanmälan</t>
        </is>
      </c>
      <c r="C524" t="inlineStr">
        <is>
          <t>Föryngringsavverkning</t>
        </is>
      </c>
      <c r="D524" s="1" t="n">
        <v>45538</v>
      </c>
      <c r="E524" s="1" t="n">
        <v>46223</v>
      </c>
      <c r="F524" t="inlineStr">
        <is>
          <t>ÖREBRO LÄN</t>
        </is>
      </c>
      <c r="G524" t="inlineStr">
        <is>
          <t>LINDESBERG</t>
        </is>
      </c>
      <c r="H524" t="inlineStr">
        <is>
          <t>Sveaskog</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50972-2023</t>
        </is>
      </c>
      <c r="B525" t="inlineStr">
        <is>
          <t>avverkningsanmälan</t>
        </is>
      </c>
      <c r="C525" t="inlineStr">
        <is>
          <t>Föryngringsavverkning</t>
        </is>
      </c>
      <c r="D525" s="1" t="n">
        <v>45218</v>
      </c>
      <c r="E525" s="1" t="n">
        <v>46223</v>
      </c>
      <c r="F525" t="inlineStr">
        <is>
          <t>ÖREBRO LÄN</t>
        </is>
      </c>
      <c r="G525" t="inlineStr">
        <is>
          <t>LINDESBERG</t>
        </is>
      </c>
      <c r="H525" t="inlineStr">
        <is>
          <t>Sveaskog</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23245-2025</t>
        </is>
      </c>
      <c r="B526" t="inlineStr">
        <is>
          <t>avverkningsanmälan</t>
        </is>
      </c>
      <c r="C526" t="inlineStr">
        <is>
          <t>Föryngringsavverkning</t>
        </is>
      </c>
      <c r="D526" s="1" t="n">
        <v>45791</v>
      </c>
      <c r="E526" s="1" t="n">
        <v>46223</v>
      </c>
      <c r="F526" t="inlineStr">
        <is>
          <t>ÖREBRO LÄN</t>
        </is>
      </c>
      <c r="G526" t="inlineStr">
        <is>
          <t>LINDESBERG</t>
        </is>
      </c>
      <c r="I526" t="n">
        <v>6.8</v>
      </c>
      <c r="J526" t="n">
        <v>0</v>
      </c>
      <c r="K526" t="n">
        <v>0</v>
      </c>
      <c r="L526" t="n">
        <v>0</v>
      </c>
      <c r="M526" t="n">
        <v>0</v>
      </c>
      <c r="N526" t="n">
        <v>0</v>
      </c>
      <c r="O526" t="n">
        <v>0</v>
      </c>
      <c r="P526" t="n">
        <v>0</v>
      </c>
      <c r="Q526" t="n">
        <v>0</v>
      </c>
      <c r="R526" t="n">
        <v>0</v>
      </c>
      <c r="S526" t="n">
        <v>0</v>
      </c>
      <c r="T526" t="n">
        <v>0</v>
      </c>
      <c r="U526" s="2" t="inlineStr"/>
    </row>
    <row r="527" ht="15" customHeight="1">
      <c r="A527" t="inlineStr">
        <is>
          <t>A 33507-2023</t>
        </is>
      </c>
      <c r="B527" t="inlineStr">
        <is>
          <t>avverkningsanmälan</t>
        </is>
      </c>
      <c r="C527" t="inlineStr">
        <is>
          <t>Föryngringsavverkning</t>
        </is>
      </c>
      <c r="D527" s="1" t="n">
        <v>45131</v>
      </c>
      <c r="E527" s="1" t="n">
        <v>46223</v>
      </c>
      <c r="F527" t="inlineStr">
        <is>
          <t>ÖREBRO LÄN</t>
        </is>
      </c>
      <c r="G527" t="inlineStr">
        <is>
          <t>LINDESBERG</t>
        </is>
      </c>
      <c r="I527" t="n">
        <v>3.2</v>
      </c>
      <c r="J527" t="n">
        <v>0</v>
      </c>
      <c r="K527" t="n">
        <v>0</v>
      </c>
      <c r="L527" t="n">
        <v>0</v>
      </c>
      <c r="M527" t="n">
        <v>0</v>
      </c>
      <c r="N527" t="n">
        <v>0</v>
      </c>
      <c r="O527" t="n">
        <v>0</v>
      </c>
      <c r="P527" t="n">
        <v>0</v>
      </c>
      <c r="Q527" t="n">
        <v>0</v>
      </c>
      <c r="R527" t="n">
        <v>0</v>
      </c>
      <c r="S527" t="n">
        <v>0</v>
      </c>
      <c r="T527" t="n">
        <v>0</v>
      </c>
      <c r="U527" s="2" t="inlineStr"/>
    </row>
    <row r="528" ht="15" customHeight="1">
      <c r="A528" t="inlineStr">
        <is>
          <t>A 2406-2024</t>
        </is>
      </c>
      <c r="B528" t="inlineStr">
        <is>
          <t>avverkningsanmälan</t>
        </is>
      </c>
      <c r="C528" t="inlineStr">
        <is>
          <t>Föryngringsavverkning</t>
        </is>
      </c>
      <c r="D528" s="1" t="n">
        <v>45310</v>
      </c>
      <c r="E528" s="1" t="n">
        <v>46223</v>
      </c>
      <c r="F528" t="inlineStr">
        <is>
          <t>ÖREBRO LÄN</t>
        </is>
      </c>
      <c r="G528" t="inlineStr">
        <is>
          <t>LINDESBERG</t>
        </is>
      </c>
      <c r="I528" t="n">
        <v>16.1</v>
      </c>
      <c r="J528" t="n">
        <v>0</v>
      </c>
      <c r="K528" t="n">
        <v>0</v>
      </c>
      <c r="L528" t="n">
        <v>0</v>
      </c>
      <c r="M528" t="n">
        <v>0</v>
      </c>
      <c r="N528" t="n">
        <v>0</v>
      </c>
      <c r="O528" t="n">
        <v>0</v>
      </c>
      <c r="P528" t="n">
        <v>0</v>
      </c>
      <c r="Q528" t="n">
        <v>0</v>
      </c>
      <c r="R528" t="n">
        <v>0</v>
      </c>
      <c r="S528" t="n">
        <v>0</v>
      </c>
      <c r="T528" t="n">
        <v>0</v>
      </c>
      <c r="U528" s="2" t="inlineStr"/>
    </row>
    <row r="529" ht="15" customHeight="1">
      <c r="A529" t="inlineStr">
        <is>
          <t>A 17895-2022</t>
        </is>
      </c>
      <c r="B529" t="inlineStr">
        <is>
          <t>avverkningsanmälan</t>
        </is>
      </c>
      <c r="C529" t="inlineStr">
        <is>
          <t>Föryngringsavverkning</t>
        </is>
      </c>
      <c r="D529" s="1" t="n">
        <v>44683</v>
      </c>
      <c r="E529" s="1" t="n">
        <v>46223</v>
      </c>
      <c r="F529" t="inlineStr">
        <is>
          <t>ÖREBRO LÄN</t>
        </is>
      </c>
      <c r="G529" t="inlineStr">
        <is>
          <t>LINDESBERG</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44067-2025</t>
        </is>
      </c>
      <c r="B530" t="inlineStr">
        <is>
          <t>avverkningsanmälan</t>
        </is>
      </c>
      <c r="C530" t="inlineStr">
        <is>
          <t>Föryngringsavverkning</t>
        </is>
      </c>
      <c r="D530" s="1" t="n">
        <v>45915</v>
      </c>
      <c r="E530" s="1" t="n">
        <v>46223</v>
      </c>
      <c r="F530" t="inlineStr">
        <is>
          <t>ÖREBRO LÄN</t>
        </is>
      </c>
      <c r="G530" t="inlineStr">
        <is>
          <t>LINDESBERG</t>
        </is>
      </c>
      <c r="I530" t="n">
        <v>2.8</v>
      </c>
      <c r="J530" t="n">
        <v>0</v>
      </c>
      <c r="K530" t="n">
        <v>0</v>
      </c>
      <c r="L530" t="n">
        <v>0</v>
      </c>
      <c r="M530" t="n">
        <v>0</v>
      </c>
      <c r="N530" t="n">
        <v>0</v>
      </c>
      <c r="O530" t="n">
        <v>0</v>
      </c>
      <c r="P530" t="n">
        <v>0</v>
      </c>
      <c r="Q530" t="n">
        <v>0</v>
      </c>
      <c r="R530" t="n">
        <v>0</v>
      </c>
      <c r="S530" t="n">
        <v>0</v>
      </c>
      <c r="T530" t="n">
        <v>0</v>
      </c>
      <c r="U530" s="2" t="inlineStr"/>
    </row>
    <row r="531" ht="15" customHeight="1">
      <c r="A531" t="inlineStr">
        <is>
          <t>A 1395-2025</t>
        </is>
      </c>
      <c r="B531" t="inlineStr">
        <is>
          <t>avverkningsanmälan</t>
        </is>
      </c>
      <c r="C531" t="inlineStr">
        <is>
          <t>Föryngringsavverkning</t>
        </is>
      </c>
      <c r="D531" s="1" t="n">
        <v>45667</v>
      </c>
      <c r="E531" s="1" t="n">
        <v>46223</v>
      </c>
      <c r="F531" t="inlineStr">
        <is>
          <t>ÖREBRO LÄN</t>
        </is>
      </c>
      <c r="G531" t="inlineStr">
        <is>
          <t>LINDESBERG</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52928-2024</t>
        </is>
      </c>
      <c r="B532" t="inlineStr">
        <is>
          <t>avverkningsanmälan</t>
        </is>
      </c>
      <c r="C532" t="inlineStr">
        <is>
          <t>Föryngringsavverkning</t>
        </is>
      </c>
      <c r="D532" s="1" t="n">
        <v>45610</v>
      </c>
      <c r="E532" s="1" t="n">
        <v>46223</v>
      </c>
      <c r="F532" t="inlineStr">
        <is>
          <t>ÖREBRO LÄN</t>
        </is>
      </c>
      <c r="G532" t="inlineStr">
        <is>
          <t>LINDESBERG</t>
        </is>
      </c>
      <c r="I532" t="n">
        <v>8.6</v>
      </c>
      <c r="J532" t="n">
        <v>0</v>
      </c>
      <c r="K532" t="n">
        <v>0</v>
      </c>
      <c r="L532" t="n">
        <v>0</v>
      </c>
      <c r="M532" t="n">
        <v>0</v>
      </c>
      <c r="N532" t="n">
        <v>0</v>
      </c>
      <c r="O532" t="n">
        <v>0</v>
      </c>
      <c r="P532" t="n">
        <v>0</v>
      </c>
      <c r="Q532" t="n">
        <v>0</v>
      </c>
      <c r="R532" t="n">
        <v>0</v>
      </c>
      <c r="S532" t="n">
        <v>0</v>
      </c>
      <c r="T532" t="n">
        <v>0</v>
      </c>
      <c r="U532" s="2" t="inlineStr"/>
    </row>
    <row r="533" ht="15" customHeight="1">
      <c r="A533" t="inlineStr">
        <is>
          <t>A 40970-2023</t>
        </is>
      </c>
      <c r="B533" t="inlineStr">
        <is>
          <t>avverkningsanmälan</t>
        </is>
      </c>
      <c r="C533" t="inlineStr">
        <is>
          <t>Föryngringsavverkning</t>
        </is>
      </c>
      <c r="D533" s="1" t="n">
        <v>45173</v>
      </c>
      <c r="E533" s="1" t="n">
        <v>46223</v>
      </c>
      <c r="F533" t="inlineStr">
        <is>
          <t>ÖREBRO LÄN</t>
        </is>
      </c>
      <c r="G533" t="inlineStr">
        <is>
          <t>LINDESBERG</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34434-2023</t>
        </is>
      </c>
      <c r="B534" t="inlineStr">
        <is>
          <t>avverkningsanmälan</t>
        </is>
      </c>
      <c r="C534" t="inlineStr">
        <is>
          <t>Föryngringsavverkning</t>
        </is>
      </c>
      <c r="D534" s="1" t="n">
        <v>45139</v>
      </c>
      <c r="E534" s="1" t="n">
        <v>46223</v>
      </c>
      <c r="F534" t="inlineStr">
        <is>
          <t>ÖREBRO LÄN</t>
        </is>
      </c>
      <c r="G534" t="inlineStr">
        <is>
          <t>LINDESBERG</t>
        </is>
      </c>
      <c r="H534" t="inlineStr">
        <is>
          <t>Kyrkan</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48061-2025</t>
        </is>
      </c>
      <c r="B535" t="inlineStr">
        <is>
          <t>avverkningsanmälan</t>
        </is>
      </c>
      <c r="C535" t="inlineStr">
        <is>
          <t>Föryngringsavverkning</t>
        </is>
      </c>
      <c r="D535" s="1" t="n">
        <v>45932</v>
      </c>
      <c r="E535" s="1" t="n">
        <v>46223</v>
      </c>
      <c r="F535" t="inlineStr">
        <is>
          <t>ÖREBRO LÄN</t>
        </is>
      </c>
      <c r="G535" t="inlineStr">
        <is>
          <t>LINDESBERG</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59052-2023</t>
        </is>
      </c>
      <c r="B536" t="inlineStr">
        <is>
          <t>avverkningsanmälan</t>
        </is>
      </c>
      <c r="C536" t="inlineStr">
        <is>
          <t>Föryngringsavverkning</t>
        </is>
      </c>
      <c r="D536" s="1" t="n">
        <v>45252</v>
      </c>
      <c r="E536" s="1" t="n">
        <v>46223</v>
      </c>
      <c r="F536" t="inlineStr">
        <is>
          <t>ÖREBRO LÄN</t>
        </is>
      </c>
      <c r="G536" t="inlineStr">
        <is>
          <t>LINDESBERG</t>
        </is>
      </c>
      <c r="I536" t="n">
        <v>4.2</v>
      </c>
      <c r="J536" t="n">
        <v>0</v>
      </c>
      <c r="K536" t="n">
        <v>0</v>
      </c>
      <c r="L536" t="n">
        <v>0</v>
      </c>
      <c r="M536" t="n">
        <v>0</v>
      </c>
      <c r="N536" t="n">
        <v>0</v>
      </c>
      <c r="O536" t="n">
        <v>0</v>
      </c>
      <c r="P536" t="n">
        <v>0</v>
      </c>
      <c r="Q536" t="n">
        <v>0</v>
      </c>
      <c r="R536" t="n">
        <v>0</v>
      </c>
      <c r="S536" t="n">
        <v>0</v>
      </c>
      <c r="T536" t="n">
        <v>0</v>
      </c>
      <c r="U536" s="2" t="inlineStr"/>
    </row>
    <row r="537" ht="15" customHeight="1">
      <c r="A537" t="inlineStr">
        <is>
          <t>A 40117-2023</t>
        </is>
      </c>
      <c r="B537" t="inlineStr">
        <is>
          <t>avverkningsanmälan</t>
        </is>
      </c>
      <c r="C537" t="inlineStr">
        <is>
          <t>Föryngringsavverkning</t>
        </is>
      </c>
      <c r="D537" s="1" t="n">
        <v>45168</v>
      </c>
      <c r="E537" s="1" t="n">
        <v>46223</v>
      </c>
      <c r="F537" t="inlineStr">
        <is>
          <t>ÖREBRO LÄN</t>
        </is>
      </c>
      <c r="G537" t="inlineStr">
        <is>
          <t>LINDESBERG</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11366-2024</t>
        </is>
      </c>
      <c r="B538" t="inlineStr">
        <is>
          <t>avverkningsanmälan</t>
        </is>
      </c>
      <c r="C538" t="inlineStr">
        <is>
          <t>Föryngringsavverkning</t>
        </is>
      </c>
      <c r="D538" s="1" t="n">
        <v>45372</v>
      </c>
      <c r="E538" s="1" t="n">
        <v>46223</v>
      </c>
      <c r="F538" t="inlineStr">
        <is>
          <t>ÖREBRO LÄN</t>
        </is>
      </c>
      <c r="G538" t="inlineStr">
        <is>
          <t>LINDESBERG</t>
        </is>
      </c>
      <c r="I538" t="n">
        <v>4.4</v>
      </c>
      <c r="J538" t="n">
        <v>0</v>
      </c>
      <c r="K538" t="n">
        <v>0</v>
      </c>
      <c r="L538" t="n">
        <v>0</v>
      </c>
      <c r="M538" t="n">
        <v>0</v>
      </c>
      <c r="N538" t="n">
        <v>0</v>
      </c>
      <c r="O538" t="n">
        <v>0</v>
      </c>
      <c r="P538" t="n">
        <v>0</v>
      </c>
      <c r="Q538" t="n">
        <v>0</v>
      </c>
      <c r="R538" t="n">
        <v>0</v>
      </c>
      <c r="S538" t="n">
        <v>0</v>
      </c>
      <c r="T538" t="n">
        <v>0</v>
      </c>
      <c r="U538" s="2" t="inlineStr"/>
    </row>
    <row r="539" ht="15" customHeight="1">
      <c r="A539" t="inlineStr">
        <is>
          <t>A 60943-2024</t>
        </is>
      </c>
      <c r="B539" t="inlineStr">
        <is>
          <t>avverkningsanmälan</t>
        </is>
      </c>
      <c r="C539" t="inlineStr">
        <is>
          <t>Föryngringsavverkning</t>
        </is>
      </c>
      <c r="D539" s="1" t="n">
        <v>45645</v>
      </c>
      <c r="E539" s="1" t="n">
        <v>46223</v>
      </c>
      <c r="F539" t="inlineStr">
        <is>
          <t>ÖREBRO LÄN</t>
        </is>
      </c>
      <c r="G539" t="inlineStr">
        <is>
          <t>LINDESBERG</t>
        </is>
      </c>
      <c r="H539" t="inlineStr">
        <is>
          <t>Sveaskog</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56912-2024</t>
        </is>
      </c>
      <c r="B540" t="inlineStr">
        <is>
          <t>avverkningsanmälan</t>
        </is>
      </c>
      <c r="C540" t="inlineStr">
        <is>
          <t>Föryngringsavverkning</t>
        </is>
      </c>
      <c r="D540" s="1" t="n">
        <v>45628</v>
      </c>
      <c r="E540" s="1" t="n">
        <v>46223</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52098-2025</t>
        </is>
      </c>
      <c r="B541" t="inlineStr">
        <is>
          <t>avverkningsanmälan</t>
        </is>
      </c>
      <c r="C541" t="inlineStr">
        <is>
          <t>Föryngringsavverkning</t>
        </is>
      </c>
      <c r="D541" s="1" t="n">
        <v>45952</v>
      </c>
      <c r="E541" s="1" t="n">
        <v>46223</v>
      </c>
      <c r="F541" t="inlineStr">
        <is>
          <t>ÖREBRO LÄN</t>
        </is>
      </c>
      <c r="G541" t="inlineStr">
        <is>
          <t>LINDESBERG</t>
        </is>
      </c>
      <c r="H541" t="inlineStr">
        <is>
          <t>Sveaskog</t>
        </is>
      </c>
      <c r="I541" t="n">
        <v>1.9</v>
      </c>
      <c r="J541" t="n">
        <v>0</v>
      </c>
      <c r="K541" t="n">
        <v>0</v>
      </c>
      <c r="L541" t="n">
        <v>0</v>
      </c>
      <c r="M541" t="n">
        <v>0</v>
      </c>
      <c r="N541" t="n">
        <v>0</v>
      </c>
      <c r="O541" t="n">
        <v>0</v>
      </c>
      <c r="P541" t="n">
        <v>0</v>
      </c>
      <c r="Q541" t="n">
        <v>0</v>
      </c>
      <c r="R541" t="n">
        <v>0</v>
      </c>
      <c r="S541" t="n">
        <v>0</v>
      </c>
      <c r="T541" t="n">
        <v>0</v>
      </c>
      <c r="U541" s="2" t="inlineStr"/>
    </row>
    <row r="542" ht="15" customHeight="1">
      <c r="A542" t="inlineStr">
        <is>
          <t>A 60492-2024</t>
        </is>
      </c>
      <c r="B542" t="inlineStr">
        <is>
          <t>avverkningsanmälan</t>
        </is>
      </c>
      <c r="C542" t="inlineStr">
        <is>
          <t>Föryngringsavverkning</t>
        </is>
      </c>
      <c r="D542" s="1" t="n">
        <v>45642</v>
      </c>
      <c r="E542" s="1" t="n">
        <v>46223</v>
      </c>
      <c r="F542" t="inlineStr">
        <is>
          <t>ÖREBRO LÄN</t>
        </is>
      </c>
      <c r="G542" t="inlineStr">
        <is>
          <t>LINDESBERG</t>
        </is>
      </c>
      <c r="I542" t="n">
        <v>2.6</v>
      </c>
      <c r="J542" t="n">
        <v>0</v>
      </c>
      <c r="K542" t="n">
        <v>0</v>
      </c>
      <c r="L542" t="n">
        <v>0</v>
      </c>
      <c r="M542" t="n">
        <v>0</v>
      </c>
      <c r="N542" t="n">
        <v>0</v>
      </c>
      <c r="O542" t="n">
        <v>0</v>
      </c>
      <c r="P542" t="n">
        <v>0</v>
      </c>
      <c r="Q542" t="n">
        <v>0</v>
      </c>
      <c r="R542" t="n">
        <v>0</v>
      </c>
      <c r="S542" t="n">
        <v>0</v>
      </c>
      <c r="T542" t="n">
        <v>0</v>
      </c>
      <c r="U542" s="2" t="inlineStr"/>
    </row>
    <row r="543" ht="15" customHeight="1">
      <c r="A543" t="inlineStr">
        <is>
          <t>A 44010-2023</t>
        </is>
      </c>
      <c r="B543" t="inlineStr">
        <is>
          <t>avverkningsanmälan</t>
        </is>
      </c>
      <c r="C543" t="inlineStr">
        <is>
          <t>Föryngringsavverkning</t>
        </is>
      </c>
      <c r="D543" s="1" t="n">
        <v>45188</v>
      </c>
      <c r="E543" s="1" t="n">
        <v>46223</v>
      </c>
      <c r="F543" t="inlineStr">
        <is>
          <t>ÖREBRO LÄN</t>
        </is>
      </c>
      <c r="G543" t="inlineStr">
        <is>
          <t>LINDESBERG</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53510-2024</t>
        </is>
      </c>
      <c r="B544" t="inlineStr">
        <is>
          <t>avverkningsanmälan</t>
        </is>
      </c>
      <c r="C544" t="inlineStr">
        <is>
          <t>Föryngringsavverkning</t>
        </is>
      </c>
      <c r="D544" s="1" t="n">
        <v>45614</v>
      </c>
      <c r="E544" s="1" t="n">
        <v>46223</v>
      </c>
      <c r="F544" t="inlineStr">
        <is>
          <t>ÖREBRO LÄN</t>
        </is>
      </c>
      <c r="G544" t="inlineStr">
        <is>
          <t>LINDESBERG</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41353-2024</t>
        </is>
      </c>
      <c r="B545" t="inlineStr">
        <is>
          <t>avverkningsanmälan</t>
        </is>
      </c>
      <c r="C545" t="inlineStr">
        <is>
          <t>Föryngringsavverkning</t>
        </is>
      </c>
      <c r="D545" s="1" t="n">
        <v>45559</v>
      </c>
      <c r="E545" s="1" t="n">
        <v>46223</v>
      </c>
      <c r="F545" t="inlineStr">
        <is>
          <t>ÖREBRO LÄN</t>
        </is>
      </c>
      <c r="G545" t="inlineStr">
        <is>
          <t>LINDESBERG</t>
        </is>
      </c>
      <c r="H545" t="inlineStr">
        <is>
          <t>Sveaskog</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2107-2022</t>
        </is>
      </c>
      <c r="B546" t="inlineStr">
        <is>
          <t>avverkningsanmälan</t>
        </is>
      </c>
      <c r="C546" t="inlineStr">
        <is>
          <t>Föryngringsavverkning</t>
        </is>
      </c>
      <c r="D546" s="1" t="n">
        <v>44577</v>
      </c>
      <c r="E546" s="1" t="n">
        <v>46223</v>
      </c>
      <c r="F546" t="inlineStr">
        <is>
          <t>ÖREBRO LÄN</t>
        </is>
      </c>
      <c r="G546" t="inlineStr">
        <is>
          <t>LINDESBERG</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16864-2022</t>
        </is>
      </c>
      <c r="B547" t="inlineStr">
        <is>
          <t>avverkningsanmälan</t>
        </is>
      </c>
      <c r="C547" t="inlineStr">
        <is>
          <t>Föryngringsavverkning</t>
        </is>
      </c>
      <c r="D547" s="1" t="n">
        <v>44675</v>
      </c>
      <c r="E547" s="1" t="n">
        <v>46223</v>
      </c>
      <c r="F547" t="inlineStr">
        <is>
          <t>ÖREBRO LÄN</t>
        </is>
      </c>
      <c r="G547" t="inlineStr">
        <is>
          <t>LINDESBERG</t>
        </is>
      </c>
      <c r="H547" t="inlineStr">
        <is>
          <t>Kyrkan</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32928-2023</t>
        </is>
      </c>
      <c r="B548" t="inlineStr">
        <is>
          <t>avverkningsanmälan</t>
        </is>
      </c>
      <c r="C548" t="inlineStr">
        <is>
          <t>Föryngringsavverkning</t>
        </is>
      </c>
      <c r="D548" s="1" t="n">
        <v>45125</v>
      </c>
      <c r="E548" s="1" t="n">
        <v>46223</v>
      </c>
      <c r="F548" t="inlineStr">
        <is>
          <t>ÖREBRO LÄN</t>
        </is>
      </c>
      <c r="G548" t="inlineStr">
        <is>
          <t>LINDESBERG</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21016-2023</t>
        </is>
      </c>
      <c r="B549" t="inlineStr">
        <is>
          <t>avverkningsanmälan</t>
        </is>
      </c>
      <c r="C549" t="inlineStr">
        <is>
          <t>Föryngringsavverkning</t>
        </is>
      </c>
      <c r="D549" s="1" t="n">
        <v>45061</v>
      </c>
      <c r="E549" s="1" t="n">
        <v>46223</v>
      </c>
      <c r="F549" t="inlineStr">
        <is>
          <t>ÖREBRO LÄN</t>
        </is>
      </c>
      <c r="G549" t="inlineStr">
        <is>
          <t>LINDESBERG</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A 40306-2022</t>
        </is>
      </c>
      <c r="B550" t="inlineStr">
        <is>
          <t>avverkningsanmälan</t>
        </is>
      </c>
      <c r="C550" t="inlineStr">
        <is>
          <t>Föryngringsavverkning</t>
        </is>
      </c>
      <c r="D550" s="1" t="n">
        <v>44822</v>
      </c>
      <c r="E550" s="1" t="n">
        <v>46223</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31215-2025</t>
        </is>
      </c>
      <c r="B551" t="inlineStr">
        <is>
          <t>avverkningsanmälan</t>
        </is>
      </c>
      <c r="C551" t="inlineStr">
        <is>
          <t>Föryngringsavverkning</t>
        </is>
      </c>
      <c r="D551" s="1" t="n">
        <v>45832</v>
      </c>
      <c r="E551" s="1" t="n">
        <v>46223</v>
      </c>
      <c r="F551" t="inlineStr">
        <is>
          <t>ÖREBRO LÄN</t>
        </is>
      </c>
      <c r="G551" t="inlineStr">
        <is>
          <t>LINDESBERG</t>
        </is>
      </c>
      <c r="H551" t="inlineStr">
        <is>
          <t>Sveaskog</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27440-2023</t>
        </is>
      </c>
      <c r="B552" t="inlineStr">
        <is>
          <t>avverkningsanmälan</t>
        </is>
      </c>
      <c r="C552" t="inlineStr">
        <is>
          <t>Föryngringsavverkning</t>
        </is>
      </c>
      <c r="D552" s="1" t="n">
        <v>45097</v>
      </c>
      <c r="E552" s="1" t="n">
        <v>46223</v>
      </c>
      <c r="F552" t="inlineStr">
        <is>
          <t>ÖREBRO LÄN</t>
        </is>
      </c>
      <c r="G552" t="inlineStr">
        <is>
          <t>LINDESBERG</t>
        </is>
      </c>
      <c r="I552" t="n">
        <v>6.6</v>
      </c>
      <c r="J552" t="n">
        <v>0</v>
      </c>
      <c r="K552" t="n">
        <v>0</v>
      </c>
      <c r="L552" t="n">
        <v>0</v>
      </c>
      <c r="M552" t="n">
        <v>0</v>
      </c>
      <c r="N552" t="n">
        <v>0</v>
      </c>
      <c r="O552" t="n">
        <v>0</v>
      </c>
      <c r="P552" t="n">
        <v>0</v>
      </c>
      <c r="Q552" t="n">
        <v>0</v>
      </c>
      <c r="R552" t="n">
        <v>0</v>
      </c>
      <c r="S552" t="n">
        <v>0</v>
      </c>
      <c r="T552" t="n">
        <v>0</v>
      </c>
      <c r="U552" s="2" t="inlineStr"/>
    </row>
    <row r="553" ht="15" customHeight="1">
      <c r="A553" t="inlineStr">
        <is>
          <t>A 40905-2023</t>
        </is>
      </c>
      <c r="B553" t="inlineStr">
        <is>
          <t>avverkningsanmälan</t>
        </is>
      </c>
      <c r="C553" t="inlineStr">
        <is>
          <t>Föryngringsavverkning</t>
        </is>
      </c>
      <c r="D553" s="1" t="n">
        <v>45173</v>
      </c>
      <c r="E553" s="1" t="n">
        <v>46223</v>
      </c>
      <c r="F553" t="inlineStr">
        <is>
          <t>ÖREBRO LÄN</t>
        </is>
      </c>
      <c r="G553" t="inlineStr">
        <is>
          <t>LINDESBERG</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41951-2023</t>
        </is>
      </c>
      <c r="B554" t="inlineStr">
        <is>
          <t>avverkningsanmälan</t>
        </is>
      </c>
      <c r="C554" t="inlineStr">
        <is>
          <t>Föryngringsavverkning</t>
        </is>
      </c>
      <c r="D554" s="1" t="n">
        <v>45177</v>
      </c>
      <c r="E554" s="1" t="n">
        <v>46223</v>
      </c>
      <c r="F554" t="inlineStr">
        <is>
          <t>ÖREBRO LÄN</t>
        </is>
      </c>
      <c r="G554" t="inlineStr">
        <is>
          <t>LINDESBERG</t>
        </is>
      </c>
      <c r="H554" t="inlineStr">
        <is>
          <t>Kyrkan</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4310-2025</t>
        </is>
      </c>
      <c r="B555" t="inlineStr">
        <is>
          <t>avverkningsanmälan</t>
        </is>
      </c>
      <c r="C555" t="inlineStr">
        <is>
          <t>Föryngringsavverkning</t>
        </is>
      </c>
      <c r="D555" s="1" t="n">
        <v>45685</v>
      </c>
      <c r="E555" s="1" t="n">
        <v>46223</v>
      </c>
      <c r="F555" t="inlineStr">
        <is>
          <t>ÖREBRO LÄN</t>
        </is>
      </c>
      <c r="G555" t="inlineStr">
        <is>
          <t>LINDESBERG</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34025-2024</t>
        </is>
      </c>
      <c r="B556" t="inlineStr">
        <is>
          <t>avverkningsanmälan</t>
        </is>
      </c>
      <c r="C556" t="inlineStr">
        <is>
          <t>Föryngringsavverkning</t>
        </is>
      </c>
      <c r="D556" s="1" t="n">
        <v>45523</v>
      </c>
      <c r="E556" s="1" t="n">
        <v>46223</v>
      </c>
      <c r="F556" t="inlineStr">
        <is>
          <t>ÖREBRO LÄN</t>
        </is>
      </c>
      <c r="G556" t="inlineStr">
        <is>
          <t>LINDESBERG</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26707-2026</t>
        </is>
      </c>
      <c r="B557" t="inlineStr">
        <is>
          <t>avverkningsanmälan</t>
        </is>
      </c>
      <c r="C557" t="inlineStr">
        <is>
          <t>Föryngringsavverkning</t>
        </is>
      </c>
      <c r="D557" s="1" t="n">
        <v>46184</v>
      </c>
      <c r="E557" s="1" t="n">
        <v>46223</v>
      </c>
      <c r="F557" t="inlineStr">
        <is>
          <t>ÖREBRO LÄN</t>
        </is>
      </c>
      <c r="G557" t="inlineStr">
        <is>
          <t>LINDESBERG</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61691-2023</t>
        </is>
      </c>
      <c r="B558" t="inlineStr">
        <is>
          <t>avverkningsanmälan</t>
        </is>
      </c>
      <c r="C558" t="inlineStr">
        <is>
          <t>Föryngringsavverkning</t>
        </is>
      </c>
      <c r="D558" s="1" t="n">
        <v>45265</v>
      </c>
      <c r="E558" s="1" t="n">
        <v>46223</v>
      </c>
      <c r="F558" t="inlineStr">
        <is>
          <t>ÖREBRO LÄN</t>
        </is>
      </c>
      <c r="G558" t="inlineStr">
        <is>
          <t>LINDESBERG</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26778-2023</t>
        </is>
      </c>
      <c r="B559" t="inlineStr">
        <is>
          <t>avverkningsanmälan</t>
        </is>
      </c>
      <c r="C559" t="inlineStr">
        <is>
          <t>Föryngringsavverkning</t>
        </is>
      </c>
      <c r="D559" s="1" t="n">
        <v>45093</v>
      </c>
      <c r="E559" s="1" t="n">
        <v>46223</v>
      </c>
      <c r="F559" t="inlineStr">
        <is>
          <t>ÖREBRO LÄN</t>
        </is>
      </c>
      <c r="G559" t="inlineStr">
        <is>
          <t>LINDESBERG</t>
        </is>
      </c>
      <c r="I559" t="n">
        <v>7.5</v>
      </c>
      <c r="J559" t="n">
        <v>0</v>
      </c>
      <c r="K559" t="n">
        <v>0</v>
      </c>
      <c r="L559" t="n">
        <v>0</v>
      </c>
      <c r="M559" t="n">
        <v>0</v>
      </c>
      <c r="N559" t="n">
        <v>0</v>
      </c>
      <c r="O559" t="n">
        <v>0</v>
      </c>
      <c r="P559" t="n">
        <v>0</v>
      </c>
      <c r="Q559" t="n">
        <v>0</v>
      </c>
      <c r="R559" t="n">
        <v>0</v>
      </c>
      <c r="S559" t="n">
        <v>0</v>
      </c>
      <c r="T559" t="n">
        <v>0</v>
      </c>
      <c r="U559" s="2" t="inlineStr"/>
    </row>
    <row r="560" ht="15" customHeight="1">
      <c r="A560" t="inlineStr">
        <is>
          <t>A 20970-2026</t>
        </is>
      </c>
      <c r="B560" t="inlineStr">
        <is>
          <t>avverkningsanmälan</t>
        </is>
      </c>
      <c r="C560" t="inlineStr">
        <is>
          <t>Föryngringsavverkning</t>
        </is>
      </c>
      <c r="D560" s="1" t="n">
        <v>46142</v>
      </c>
      <c r="E560" s="1" t="n">
        <v>46223</v>
      </c>
      <c r="F560" t="inlineStr">
        <is>
          <t>ÖREBRO LÄN</t>
        </is>
      </c>
      <c r="G560" t="inlineStr">
        <is>
          <t>LINDESBERG</t>
        </is>
      </c>
      <c r="H560" t="inlineStr">
        <is>
          <t>Naturvårdsverket</t>
        </is>
      </c>
      <c r="I560" t="n">
        <v>5</v>
      </c>
      <c r="J560" t="n">
        <v>0</v>
      </c>
      <c r="K560" t="n">
        <v>0</v>
      </c>
      <c r="L560" t="n">
        <v>0</v>
      </c>
      <c r="M560" t="n">
        <v>0</v>
      </c>
      <c r="N560" t="n">
        <v>0</v>
      </c>
      <c r="O560" t="n">
        <v>0</v>
      </c>
      <c r="P560" t="n">
        <v>0</v>
      </c>
      <c r="Q560" t="n">
        <v>0</v>
      </c>
      <c r="R560" t="n">
        <v>0</v>
      </c>
      <c r="S560" t="n">
        <v>0</v>
      </c>
      <c r="T560" t="n">
        <v>0</v>
      </c>
      <c r="U560" s="2" t="inlineStr"/>
    </row>
    <row r="561" ht="15" customHeight="1">
      <c r="A561" t="inlineStr">
        <is>
          <t>A 37507-2023</t>
        </is>
      </c>
      <c r="B561" t="inlineStr">
        <is>
          <t>avverkningsanmälan</t>
        </is>
      </c>
      <c r="C561" t="inlineStr">
        <is>
          <t>Föryngringsavverkning</t>
        </is>
      </c>
      <c r="D561" s="1" t="n">
        <v>45158</v>
      </c>
      <c r="E561" s="1" t="n">
        <v>46223</v>
      </c>
      <c r="F561" t="inlineStr">
        <is>
          <t>ÖREBRO LÄN</t>
        </is>
      </c>
      <c r="G561" t="inlineStr">
        <is>
          <t>LINDESBERG</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41576-2021</t>
        </is>
      </c>
      <c r="B562" t="inlineStr">
        <is>
          <t>avverkningsanmälan</t>
        </is>
      </c>
      <c r="C562" t="inlineStr">
        <is>
          <t>Föryngringsavverkning</t>
        </is>
      </c>
      <c r="D562" s="1" t="n">
        <v>44425</v>
      </c>
      <c r="E562" s="1" t="n">
        <v>46223</v>
      </c>
      <c r="F562" t="inlineStr">
        <is>
          <t>ÖREBRO LÄN</t>
        </is>
      </c>
      <c r="G562" t="inlineStr">
        <is>
          <t>LINDESBERG</t>
        </is>
      </c>
      <c r="H562" t="inlineStr">
        <is>
          <t>Sveaskog</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46675-2023</t>
        </is>
      </c>
      <c r="B563" t="inlineStr">
        <is>
          <t>avverkningsanmälan</t>
        </is>
      </c>
      <c r="C563" t="inlineStr">
        <is>
          <t>Föryngringsavverkning</t>
        </is>
      </c>
      <c r="D563" s="1" t="n">
        <v>45194</v>
      </c>
      <c r="E563" s="1" t="n">
        <v>46223</v>
      </c>
      <c r="F563" t="inlineStr">
        <is>
          <t>ÖREBRO LÄN</t>
        </is>
      </c>
      <c r="G563" t="inlineStr">
        <is>
          <t>LINDESBERG</t>
        </is>
      </c>
      <c r="I563" t="n">
        <v>3.8</v>
      </c>
      <c r="J563" t="n">
        <v>0</v>
      </c>
      <c r="K563" t="n">
        <v>0</v>
      </c>
      <c r="L563" t="n">
        <v>0</v>
      </c>
      <c r="M563" t="n">
        <v>0</v>
      </c>
      <c r="N563" t="n">
        <v>0</v>
      </c>
      <c r="O563" t="n">
        <v>0</v>
      </c>
      <c r="P563" t="n">
        <v>0</v>
      </c>
      <c r="Q563" t="n">
        <v>0</v>
      </c>
      <c r="R563" t="n">
        <v>0</v>
      </c>
      <c r="S563" t="n">
        <v>0</v>
      </c>
      <c r="T563" t="n">
        <v>0</v>
      </c>
      <c r="U563" s="2" t="inlineStr"/>
    </row>
    <row r="564" ht="15" customHeight="1">
      <c r="A564" t="inlineStr">
        <is>
          <t>A 34093-2022</t>
        </is>
      </c>
      <c r="B564" t="inlineStr">
        <is>
          <t>avverkningsanmälan</t>
        </is>
      </c>
      <c r="C564" t="inlineStr">
        <is>
          <t>Föryngringsavverkning</t>
        </is>
      </c>
      <c r="D564" s="1" t="n">
        <v>44791</v>
      </c>
      <c r="E564" s="1" t="n">
        <v>46223</v>
      </c>
      <c r="F564" t="inlineStr">
        <is>
          <t>ÖREBRO LÄN</t>
        </is>
      </c>
      <c r="G564" t="inlineStr">
        <is>
          <t>LINDESBERG</t>
        </is>
      </c>
      <c r="I564" t="n">
        <v>3.3</v>
      </c>
      <c r="J564" t="n">
        <v>0</v>
      </c>
      <c r="K564" t="n">
        <v>0</v>
      </c>
      <c r="L564" t="n">
        <v>0</v>
      </c>
      <c r="M564" t="n">
        <v>0</v>
      </c>
      <c r="N564" t="n">
        <v>0</v>
      </c>
      <c r="O564" t="n">
        <v>0</v>
      </c>
      <c r="P564" t="n">
        <v>0</v>
      </c>
      <c r="Q564" t="n">
        <v>0</v>
      </c>
      <c r="R564" t="n">
        <v>0</v>
      </c>
      <c r="S564" t="n">
        <v>0</v>
      </c>
      <c r="T564" t="n">
        <v>0</v>
      </c>
      <c r="U564" s="2" t="inlineStr"/>
    </row>
    <row r="565" ht="15" customHeight="1">
      <c r="A565" t="inlineStr">
        <is>
          <t>A 29500-2023</t>
        </is>
      </c>
      <c r="B565" t="inlineStr">
        <is>
          <t>avverkningsanmälan</t>
        </is>
      </c>
      <c r="C565" t="inlineStr">
        <is>
          <t>Avverkning för annat ändamål</t>
        </is>
      </c>
      <c r="D565" s="1" t="n">
        <v>45106</v>
      </c>
      <c r="E565" s="1" t="n">
        <v>46223</v>
      </c>
      <c r="F565" t="inlineStr">
        <is>
          <t>ÖREBRO LÄN</t>
        </is>
      </c>
      <c r="G565" t="inlineStr">
        <is>
          <t>LINDESBERG</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54432-2023</t>
        </is>
      </c>
      <c r="B566" t="inlineStr">
        <is>
          <t>avverkningsanmälan</t>
        </is>
      </c>
      <c r="C566" t="inlineStr">
        <is>
          <t>Föryngringsavverkning</t>
        </is>
      </c>
      <c r="D566" s="1" t="n">
        <v>45233</v>
      </c>
      <c r="E566" s="1" t="n">
        <v>46223</v>
      </c>
      <c r="F566" t="inlineStr">
        <is>
          <t>ÖREBRO LÄN</t>
        </is>
      </c>
      <c r="G566" t="inlineStr">
        <is>
          <t>LINDESBERG</t>
        </is>
      </c>
      <c r="H566" t="inlineStr">
        <is>
          <t>Sveaskog</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15933-2025</t>
        </is>
      </c>
      <c r="B567" t="inlineStr">
        <is>
          <t>avverkningsanmälan</t>
        </is>
      </c>
      <c r="C567" t="inlineStr">
        <is>
          <t>Föryngringsavverkning</t>
        </is>
      </c>
      <c r="D567" s="1" t="n">
        <v>45749</v>
      </c>
      <c r="E567" s="1" t="n">
        <v>46223</v>
      </c>
      <c r="F567" t="inlineStr">
        <is>
          <t>ÖREBRO LÄN</t>
        </is>
      </c>
      <c r="G567" t="inlineStr">
        <is>
          <t>LINDESBERG</t>
        </is>
      </c>
      <c r="I567" t="n">
        <v>6.1</v>
      </c>
      <c r="J567" t="n">
        <v>0</v>
      </c>
      <c r="K567" t="n">
        <v>0</v>
      </c>
      <c r="L567" t="n">
        <v>0</v>
      </c>
      <c r="M567" t="n">
        <v>0</v>
      </c>
      <c r="N567" t="n">
        <v>0</v>
      </c>
      <c r="O567" t="n">
        <v>0</v>
      </c>
      <c r="P567" t="n">
        <v>0</v>
      </c>
      <c r="Q567" t="n">
        <v>0</v>
      </c>
      <c r="R567" t="n">
        <v>0</v>
      </c>
      <c r="S567" t="n">
        <v>0</v>
      </c>
      <c r="T567" t="n">
        <v>0</v>
      </c>
      <c r="U567" s="2" t="inlineStr"/>
    </row>
    <row r="568" ht="15" customHeight="1">
      <c r="A568" t="inlineStr">
        <is>
          <t>A 15936-2025</t>
        </is>
      </c>
      <c r="B568" t="inlineStr">
        <is>
          <t>avverkningsanmälan</t>
        </is>
      </c>
      <c r="C568" t="inlineStr">
        <is>
          <t>Föryngringsavverkning</t>
        </is>
      </c>
      <c r="D568" s="1" t="n">
        <v>45749</v>
      </c>
      <c r="E568" s="1" t="n">
        <v>46223</v>
      </c>
      <c r="F568" t="inlineStr">
        <is>
          <t>ÖREBRO LÄN</t>
        </is>
      </c>
      <c r="G568" t="inlineStr">
        <is>
          <t>LINDESBERG</t>
        </is>
      </c>
      <c r="I568" t="n">
        <v>22.3</v>
      </c>
      <c r="J568" t="n">
        <v>0</v>
      </c>
      <c r="K568" t="n">
        <v>0</v>
      </c>
      <c r="L568" t="n">
        <v>0</v>
      </c>
      <c r="M568" t="n">
        <v>0</v>
      </c>
      <c r="N568" t="n">
        <v>0</v>
      </c>
      <c r="O568" t="n">
        <v>0</v>
      </c>
      <c r="P568" t="n">
        <v>0</v>
      </c>
      <c r="Q568" t="n">
        <v>0</v>
      </c>
      <c r="R568" t="n">
        <v>0</v>
      </c>
      <c r="S568" t="n">
        <v>0</v>
      </c>
      <c r="T568" t="n">
        <v>0</v>
      </c>
      <c r="U568" s="2" t="inlineStr"/>
    </row>
    <row r="569" ht="15" customHeight="1">
      <c r="A569" t="inlineStr">
        <is>
          <t>A 1490-2024</t>
        </is>
      </c>
      <c r="B569" t="inlineStr">
        <is>
          <t>avverkningsanmälan</t>
        </is>
      </c>
      <c r="C569" t="inlineStr">
        <is>
          <t>Avverkning för annat ändamål</t>
        </is>
      </c>
      <c r="D569" s="1" t="n">
        <v>45305</v>
      </c>
      <c r="E569" s="1" t="n">
        <v>46223</v>
      </c>
      <c r="F569" t="inlineStr">
        <is>
          <t>ÖREBRO LÄN</t>
        </is>
      </c>
      <c r="G569" t="inlineStr">
        <is>
          <t>LINDESBERG</t>
        </is>
      </c>
      <c r="I569" t="n">
        <v>17.6</v>
      </c>
      <c r="J569" t="n">
        <v>0</v>
      </c>
      <c r="K569" t="n">
        <v>0</v>
      </c>
      <c r="L569" t="n">
        <v>0</v>
      </c>
      <c r="M569" t="n">
        <v>0</v>
      </c>
      <c r="N569" t="n">
        <v>0</v>
      </c>
      <c r="O569" t="n">
        <v>0</v>
      </c>
      <c r="P569" t="n">
        <v>0</v>
      </c>
      <c r="Q569" t="n">
        <v>0</v>
      </c>
      <c r="R569" t="n">
        <v>0</v>
      </c>
      <c r="S569" t="n">
        <v>0</v>
      </c>
      <c r="T569" t="n">
        <v>0</v>
      </c>
      <c r="U569" s="2" t="inlineStr"/>
    </row>
    <row r="570" ht="15" customHeight="1">
      <c r="A570" t="inlineStr">
        <is>
          <t>A 53168-2023</t>
        </is>
      </c>
      <c r="B570" t="inlineStr">
        <is>
          <t>avverkningsanmälan</t>
        </is>
      </c>
      <c r="C570" t="inlineStr">
        <is>
          <t>Föryngringsavverkning</t>
        </is>
      </c>
      <c r="D570" s="1" t="n">
        <v>45229</v>
      </c>
      <c r="E570" s="1" t="n">
        <v>46223</v>
      </c>
      <c r="F570" t="inlineStr">
        <is>
          <t>ÖREBRO LÄN</t>
        </is>
      </c>
      <c r="G570" t="inlineStr">
        <is>
          <t>LINDESBERG</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17242-2025</t>
        </is>
      </c>
      <c r="B571" t="inlineStr">
        <is>
          <t>avverkningsanmälan</t>
        </is>
      </c>
      <c r="C571" t="inlineStr">
        <is>
          <t>Föryngringsavverkning</t>
        </is>
      </c>
      <c r="D571" s="1" t="n">
        <v>45756</v>
      </c>
      <c r="E571" s="1" t="n">
        <v>46223</v>
      </c>
      <c r="F571" t="inlineStr">
        <is>
          <t>ÖREBRO LÄN</t>
        </is>
      </c>
      <c r="G571" t="inlineStr">
        <is>
          <t>LINDESBERG</t>
        </is>
      </c>
      <c r="I571" t="n">
        <v>7.3</v>
      </c>
      <c r="J571" t="n">
        <v>0</v>
      </c>
      <c r="K571" t="n">
        <v>0</v>
      </c>
      <c r="L571" t="n">
        <v>0</v>
      </c>
      <c r="M571" t="n">
        <v>0</v>
      </c>
      <c r="N571" t="n">
        <v>0</v>
      </c>
      <c r="O571" t="n">
        <v>0</v>
      </c>
      <c r="P571" t="n">
        <v>0</v>
      </c>
      <c r="Q571" t="n">
        <v>0</v>
      </c>
      <c r="R571" t="n">
        <v>0</v>
      </c>
      <c r="S571" t="n">
        <v>0</v>
      </c>
      <c r="T571" t="n">
        <v>0</v>
      </c>
      <c r="U571" s="2" t="inlineStr"/>
    </row>
    <row r="572" ht="15" customHeight="1">
      <c r="A572" t="inlineStr">
        <is>
          <t>A 53062-2023</t>
        </is>
      </c>
      <c r="B572" t="inlineStr">
        <is>
          <t>avverkningsanmälan</t>
        </is>
      </c>
      <c r="C572" t="inlineStr">
        <is>
          <t>Föryngringsavverkning</t>
        </is>
      </c>
      <c r="D572" s="1" t="n">
        <v>45227</v>
      </c>
      <c r="E572" s="1" t="n">
        <v>46223</v>
      </c>
      <c r="F572" t="inlineStr">
        <is>
          <t>ÖREBRO LÄN</t>
        </is>
      </c>
      <c r="G572" t="inlineStr">
        <is>
          <t>LINDESBERG</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8902-2024</t>
        </is>
      </c>
      <c r="B573" t="inlineStr">
        <is>
          <t>avverkningsanmälan</t>
        </is>
      </c>
      <c r="C573" t="inlineStr">
        <is>
          <t>Avverkning för annat ändamål</t>
        </is>
      </c>
      <c r="D573" s="1" t="n">
        <v>45357</v>
      </c>
      <c r="E573" s="1" t="n">
        <v>46223</v>
      </c>
      <c r="F573" t="inlineStr">
        <is>
          <t>ÖREBRO LÄN</t>
        </is>
      </c>
      <c r="G573" t="inlineStr">
        <is>
          <t>LINDESBERG</t>
        </is>
      </c>
      <c r="H573" t="inlineStr">
        <is>
          <t>Kommuner</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59631-2023</t>
        </is>
      </c>
      <c r="B574" t="inlineStr">
        <is>
          <t>avverkningsanmälan</t>
        </is>
      </c>
      <c r="C574" t="inlineStr">
        <is>
          <t>Föryngringsavverkning</t>
        </is>
      </c>
      <c r="D574" s="1" t="n">
        <v>45254</v>
      </c>
      <c r="E574" s="1" t="n">
        <v>46223</v>
      </c>
      <c r="F574" t="inlineStr">
        <is>
          <t>ÖREBRO LÄN</t>
        </is>
      </c>
      <c r="G574" t="inlineStr">
        <is>
          <t>LINDESBERG</t>
        </is>
      </c>
      <c r="H574" t="inlineStr">
        <is>
          <t>Sveaskog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19110-2025</t>
        </is>
      </c>
      <c r="B575" t="inlineStr">
        <is>
          <t>avverkningsanmälan</t>
        </is>
      </c>
      <c r="C575" t="inlineStr">
        <is>
          <t>Föryngringsavverkning</t>
        </is>
      </c>
      <c r="D575" s="1" t="n">
        <v>45768</v>
      </c>
      <c r="E575" s="1" t="n">
        <v>46223</v>
      </c>
      <c r="F575" t="inlineStr">
        <is>
          <t>ÖREBRO LÄN</t>
        </is>
      </c>
      <c r="G575" t="inlineStr">
        <is>
          <t>LINDESBERG</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21245-2024</t>
        </is>
      </c>
      <c r="B576" t="inlineStr">
        <is>
          <t>avverkningsanmälan</t>
        </is>
      </c>
      <c r="C576" t="inlineStr">
        <is>
          <t>Föryngringsavverkning</t>
        </is>
      </c>
      <c r="D576" s="1" t="n">
        <v>45440</v>
      </c>
      <c r="E576" s="1" t="n">
        <v>46223</v>
      </c>
      <c r="F576" t="inlineStr">
        <is>
          <t>ÖREBRO LÄN</t>
        </is>
      </c>
      <c r="G576" t="inlineStr">
        <is>
          <t>LINDESBERG</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29350-2022</t>
        </is>
      </c>
      <c r="B577" t="inlineStr">
        <is>
          <t>avverkningsanmälan</t>
        </is>
      </c>
      <c r="C577" t="inlineStr">
        <is>
          <t>Föryngringsavverkning</t>
        </is>
      </c>
      <c r="D577" s="1" t="n">
        <v>44753</v>
      </c>
      <c r="E577" s="1" t="n">
        <v>46223</v>
      </c>
      <c r="F577" t="inlineStr">
        <is>
          <t>ÖREBRO LÄN</t>
        </is>
      </c>
      <c r="G577" t="inlineStr">
        <is>
          <t>LINDESBERG</t>
        </is>
      </c>
      <c r="I577" t="n">
        <v>7.7</v>
      </c>
      <c r="J577" t="n">
        <v>0</v>
      </c>
      <c r="K577" t="n">
        <v>0</v>
      </c>
      <c r="L577" t="n">
        <v>0</v>
      </c>
      <c r="M577" t="n">
        <v>0</v>
      </c>
      <c r="N577" t="n">
        <v>0</v>
      </c>
      <c r="O577" t="n">
        <v>0</v>
      </c>
      <c r="P577" t="n">
        <v>0</v>
      </c>
      <c r="Q577" t="n">
        <v>0</v>
      </c>
      <c r="R577" t="n">
        <v>0</v>
      </c>
      <c r="S577" t="n">
        <v>0</v>
      </c>
      <c r="T577" t="n">
        <v>0</v>
      </c>
      <c r="U577" s="2" t="inlineStr"/>
    </row>
    <row r="578" ht="15" customHeight="1">
      <c r="A578" t="inlineStr">
        <is>
          <t>A 10836-2024</t>
        </is>
      </c>
      <c r="B578" t="inlineStr">
        <is>
          <t>avverkningsanmälan</t>
        </is>
      </c>
      <c r="C578" t="inlineStr">
        <is>
          <t>Föryngringsavverkning</t>
        </is>
      </c>
      <c r="D578" s="1" t="n">
        <v>45369</v>
      </c>
      <c r="E578" s="1" t="n">
        <v>46223</v>
      </c>
      <c r="F578" t="inlineStr">
        <is>
          <t>ÖREBRO LÄN</t>
        </is>
      </c>
      <c r="G578" t="inlineStr">
        <is>
          <t>LINDESBERG</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27432-2026</t>
        </is>
      </c>
      <c r="B579" t="inlineStr">
        <is>
          <t>avverkningsanmälan</t>
        </is>
      </c>
      <c r="C579" t="inlineStr">
        <is>
          <t>Föryngringsavverkning</t>
        </is>
      </c>
      <c r="D579" s="1" t="n">
        <v>46189</v>
      </c>
      <c r="E579" s="1" t="n">
        <v>46223</v>
      </c>
      <c r="F579" t="inlineStr">
        <is>
          <t>ÖREBRO LÄN</t>
        </is>
      </c>
      <c r="G579" t="inlineStr">
        <is>
          <t>LINDESBERG</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27438-2026</t>
        </is>
      </c>
      <c r="B580" t="inlineStr">
        <is>
          <t>avverkningsanmälan</t>
        </is>
      </c>
      <c r="C580" t="inlineStr">
        <is>
          <t>Föryngringsavverkning</t>
        </is>
      </c>
      <c r="D580" s="1" t="n">
        <v>46189</v>
      </c>
      <c r="E580" s="1" t="n">
        <v>46223</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27714-2026</t>
        </is>
      </c>
      <c r="B581" t="inlineStr">
        <is>
          <t>avverkningsanmälan</t>
        </is>
      </c>
      <c r="C581" t="inlineStr">
        <is>
          <t>Föryngringsavverkning</t>
        </is>
      </c>
      <c r="D581" s="1" t="n">
        <v>46190</v>
      </c>
      <c r="E581" s="1" t="n">
        <v>46223</v>
      </c>
      <c r="F581" t="inlineStr">
        <is>
          <t>ÖREBRO LÄN</t>
        </is>
      </c>
      <c r="G581" t="inlineStr">
        <is>
          <t>LINDESBERG</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27501-2026</t>
        </is>
      </c>
      <c r="B582" t="inlineStr">
        <is>
          <t>avverkningsanmälan</t>
        </is>
      </c>
      <c r="C582" t="inlineStr">
        <is>
          <t>Avverkning för annat ändamål</t>
        </is>
      </c>
      <c r="D582" s="1" t="n">
        <v>46189</v>
      </c>
      <c r="E582" s="1" t="n">
        <v>46223</v>
      </c>
      <c r="F582" t="inlineStr">
        <is>
          <t>ÖREBRO LÄN</t>
        </is>
      </c>
      <c r="G582" t="inlineStr">
        <is>
          <t>LINDESBERG</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2414-2024</t>
        </is>
      </c>
      <c r="B583" t="inlineStr">
        <is>
          <t>avverkningsanmälan</t>
        </is>
      </c>
      <c r="C583" t="inlineStr">
        <is>
          <t>Föryngringsavverkning</t>
        </is>
      </c>
      <c r="D583" s="1" t="n">
        <v>45310</v>
      </c>
      <c r="E583" s="1" t="n">
        <v>46223</v>
      </c>
      <c r="F583" t="inlineStr">
        <is>
          <t>ÖREBRO LÄN</t>
        </is>
      </c>
      <c r="G583" t="inlineStr">
        <is>
          <t>LINDESBERG</t>
        </is>
      </c>
      <c r="I583" t="n">
        <v>7.2</v>
      </c>
      <c r="J583" t="n">
        <v>0</v>
      </c>
      <c r="K583" t="n">
        <v>0</v>
      </c>
      <c r="L583" t="n">
        <v>0</v>
      </c>
      <c r="M583" t="n">
        <v>0</v>
      </c>
      <c r="N583" t="n">
        <v>0</v>
      </c>
      <c r="O583" t="n">
        <v>0</v>
      </c>
      <c r="P583" t="n">
        <v>0</v>
      </c>
      <c r="Q583" t="n">
        <v>0</v>
      </c>
      <c r="R583" t="n">
        <v>0</v>
      </c>
      <c r="S583" t="n">
        <v>0</v>
      </c>
      <c r="T583" t="n">
        <v>0</v>
      </c>
      <c r="U583" s="2" t="inlineStr"/>
    </row>
    <row r="584" ht="15" customHeight="1">
      <c r="A584" t="inlineStr">
        <is>
          <t>A 27715-2026</t>
        </is>
      </c>
      <c r="B584" t="inlineStr">
        <is>
          <t>avverkningsanmälan</t>
        </is>
      </c>
      <c r="C584" t="inlineStr">
        <is>
          <t>Föryngringsavverkning</t>
        </is>
      </c>
      <c r="D584" s="1" t="n">
        <v>46190</v>
      </c>
      <c r="E584" s="1" t="n">
        <v>46223</v>
      </c>
      <c r="F584" t="inlineStr">
        <is>
          <t>ÖREBRO LÄN</t>
        </is>
      </c>
      <c r="G584" t="inlineStr">
        <is>
          <t>LINDESBERG</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28463-2024</t>
        </is>
      </c>
      <c r="B585" t="inlineStr">
        <is>
          <t>avverkningsanmälan</t>
        </is>
      </c>
      <c r="C585" t="inlineStr">
        <is>
          <t>Föryngringsavverkning</t>
        </is>
      </c>
      <c r="D585" s="1" t="n">
        <v>45477</v>
      </c>
      <c r="E585" s="1" t="n">
        <v>46223</v>
      </c>
      <c r="F585" t="inlineStr">
        <is>
          <t>ÖREBRO LÄN</t>
        </is>
      </c>
      <c r="G585" t="inlineStr">
        <is>
          <t>LINDESBERG</t>
        </is>
      </c>
      <c r="I585" t="n">
        <v>6.3</v>
      </c>
      <c r="J585" t="n">
        <v>0</v>
      </c>
      <c r="K585" t="n">
        <v>0</v>
      </c>
      <c r="L585" t="n">
        <v>0</v>
      </c>
      <c r="M585" t="n">
        <v>0</v>
      </c>
      <c r="N585" t="n">
        <v>0</v>
      </c>
      <c r="O585" t="n">
        <v>0</v>
      </c>
      <c r="P585" t="n">
        <v>0</v>
      </c>
      <c r="Q585" t="n">
        <v>0</v>
      </c>
      <c r="R585" t="n">
        <v>0</v>
      </c>
      <c r="S585" t="n">
        <v>0</v>
      </c>
      <c r="T585" t="n">
        <v>0</v>
      </c>
      <c r="U585" s="2" t="inlineStr"/>
    </row>
    <row r="586" ht="15" customHeight="1">
      <c r="A586" t="inlineStr">
        <is>
          <t>A 63668-2023</t>
        </is>
      </c>
      <c r="B586" t="inlineStr">
        <is>
          <t>avverkningsanmälan</t>
        </is>
      </c>
      <c r="C586" t="inlineStr">
        <is>
          <t>Föryngringsavverkning</t>
        </is>
      </c>
      <c r="D586" s="1" t="n">
        <v>45274</v>
      </c>
      <c r="E586" s="1" t="n">
        <v>46223</v>
      </c>
      <c r="F586" t="inlineStr">
        <is>
          <t>ÖREBRO LÄN</t>
        </is>
      </c>
      <c r="G586" t="inlineStr">
        <is>
          <t>LINDESBERG</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12276-2025</t>
        </is>
      </c>
      <c r="B587" t="inlineStr">
        <is>
          <t>avverkningsanmälan</t>
        </is>
      </c>
      <c r="C587" t="inlineStr">
        <is>
          <t>Föryngringsavverkning</t>
        </is>
      </c>
      <c r="D587" s="1" t="n">
        <v>45729</v>
      </c>
      <c r="E587" s="1" t="n">
        <v>46223</v>
      </c>
      <c r="F587" t="inlineStr">
        <is>
          <t>ÖREBRO LÄN</t>
        </is>
      </c>
      <c r="G587" t="inlineStr">
        <is>
          <t>LINDESBERG</t>
        </is>
      </c>
      <c r="I587" t="n">
        <v>7.6</v>
      </c>
      <c r="J587" t="n">
        <v>0</v>
      </c>
      <c r="K587" t="n">
        <v>0</v>
      </c>
      <c r="L587" t="n">
        <v>0</v>
      </c>
      <c r="M587" t="n">
        <v>0</v>
      </c>
      <c r="N587" t="n">
        <v>0</v>
      </c>
      <c r="O587" t="n">
        <v>0</v>
      </c>
      <c r="P587" t="n">
        <v>0</v>
      </c>
      <c r="Q587" t="n">
        <v>0</v>
      </c>
      <c r="R587" t="n">
        <v>0</v>
      </c>
      <c r="S587" t="n">
        <v>0</v>
      </c>
      <c r="T587" t="n">
        <v>0</v>
      </c>
      <c r="U587" s="2" t="inlineStr"/>
    </row>
    <row r="588" ht="15" customHeight="1">
      <c r="A588" t="inlineStr">
        <is>
          <t>A 27909-2026</t>
        </is>
      </c>
      <c r="B588" t="inlineStr">
        <is>
          <t>avverkningsanmälan</t>
        </is>
      </c>
      <c r="C588" t="inlineStr">
        <is>
          <t>Föryngringsavverkning</t>
        </is>
      </c>
      <c r="D588" s="1" t="n">
        <v>46191</v>
      </c>
      <c r="E588" s="1" t="n">
        <v>46223</v>
      </c>
      <c r="F588" t="inlineStr">
        <is>
          <t>ÖREBRO LÄN</t>
        </is>
      </c>
      <c r="G588" t="inlineStr">
        <is>
          <t>LINDESBERG</t>
        </is>
      </c>
      <c r="H588" t="inlineStr">
        <is>
          <t>Sveaskog</t>
        </is>
      </c>
      <c r="I588" t="n">
        <v>1.8</v>
      </c>
      <c r="J588" t="n">
        <v>0</v>
      </c>
      <c r="K588" t="n">
        <v>0</v>
      </c>
      <c r="L588" t="n">
        <v>0</v>
      </c>
      <c r="M588" t="n">
        <v>0</v>
      </c>
      <c r="N588" t="n">
        <v>0</v>
      </c>
      <c r="O588" t="n">
        <v>0</v>
      </c>
      <c r="P588" t="n">
        <v>0</v>
      </c>
      <c r="Q588" t="n">
        <v>0</v>
      </c>
      <c r="R588" t="n">
        <v>0</v>
      </c>
      <c r="S588" t="n">
        <v>0</v>
      </c>
      <c r="T588" t="n">
        <v>0</v>
      </c>
      <c r="U588" s="2" t="inlineStr"/>
    </row>
    <row r="589" ht="15" customHeight="1">
      <c r="A589" t="inlineStr">
        <is>
          <t>A 36291-2022</t>
        </is>
      </c>
      <c r="B589" t="inlineStr">
        <is>
          <t>avverkningsanmälan</t>
        </is>
      </c>
      <c r="C589" t="inlineStr">
        <is>
          <t>Föryngringsavverkning</t>
        </is>
      </c>
      <c r="D589" s="1" t="n">
        <v>44803</v>
      </c>
      <c r="E589" s="1" t="n">
        <v>46223</v>
      </c>
      <c r="F589" t="inlineStr">
        <is>
          <t>ÖREBRO LÄN</t>
        </is>
      </c>
      <c r="G589" t="inlineStr">
        <is>
          <t>LINDESBERG</t>
        </is>
      </c>
      <c r="I589" t="n">
        <v>3.8</v>
      </c>
      <c r="J589" t="n">
        <v>0</v>
      </c>
      <c r="K589" t="n">
        <v>0</v>
      </c>
      <c r="L589" t="n">
        <v>0</v>
      </c>
      <c r="M589" t="n">
        <v>0</v>
      </c>
      <c r="N589" t="n">
        <v>0</v>
      </c>
      <c r="O589" t="n">
        <v>0</v>
      </c>
      <c r="P589" t="n">
        <v>0</v>
      </c>
      <c r="Q589" t="n">
        <v>0</v>
      </c>
      <c r="R589" t="n">
        <v>0</v>
      </c>
      <c r="S589" t="n">
        <v>0</v>
      </c>
      <c r="T589" t="n">
        <v>0</v>
      </c>
      <c r="U589" s="2" t="inlineStr"/>
    </row>
    <row r="590" ht="15" customHeight="1">
      <c r="A590" t="inlineStr">
        <is>
          <t>A 27914-2026</t>
        </is>
      </c>
      <c r="B590" t="inlineStr">
        <is>
          <t>avverkningsanmälan</t>
        </is>
      </c>
      <c r="C590" t="inlineStr">
        <is>
          <t>Föryngringsavverkning</t>
        </is>
      </c>
      <c r="D590" s="1" t="n">
        <v>46191</v>
      </c>
      <c r="E590" s="1" t="n">
        <v>46223</v>
      </c>
      <c r="F590" t="inlineStr">
        <is>
          <t>ÖREBRO LÄN</t>
        </is>
      </c>
      <c r="G590" t="inlineStr">
        <is>
          <t>LINDESBERG</t>
        </is>
      </c>
      <c r="H590" t="inlineStr">
        <is>
          <t>Sveaskog</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27917-2026</t>
        </is>
      </c>
      <c r="B591" t="inlineStr">
        <is>
          <t>avverkningsanmälan</t>
        </is>
      </c>
      <c r="C591" t="inlineStr">
        <is>
          <t>Föryngringsavverkning</t>
        </is>
      </c>
      <c r="D591" s="1" t="n">
        <v>46191</v>
      </c>
      <c r="E591" s="1" t="n">
        <v>46223</v>
      </c>
      <c r="F591" t="inlineStr">
        <is>
          <t>ÖREBRO LÄN</t>
        </is>
      </c>
      <c r="G591" t="inlineStr">
        <is>
          <t>LINDESBERG</t>
        </is>
      </c>
      <c r="H591" t="inlineStr">
        <is>
          <t>Sveaskog</t>
        </is>
      </c>
      <c r="I591" t="n">
        <v>6.9</v>
      </c>
      <c r="J591" t="n">
        <v>0</v>
      </c>
      <c r="K591" t="n">
        <v>0</v>
      </c>
      <c r="L591" t="n">
        <v>0</v>
      </c>
      <c r="M591" t="n">
        <v>0</v>
      </c>
      <c r="N591" t="n">
        <v>0</v>
      </c>
      <c r="O591" t="n">
        <v>0</v>
      </c>
      <c r="P591" t="n">
        <v>0</v>
      </c>
      <c r="Q591" t="n">
        <v>0</v>
      </c>
      <c r="R591" t="n">
        <v>0</v>
      </c>
      <c r="S591" t="n">
        <v>0</v>
      </c>
      <c r="T591" t="n">
        <v>0</v>
      </c>
      <c r="U591" s="2" t="inlineStr"/>
    </row>
    <row r="592" ht="15" customHeight="1">
      <c r="A592" t="inlineStr">
        <is>
          <t>A 61597-2023</t>
        </is>
      </c>
      <c r="B592" t="inlineStr">
        <is>
          <t>avverkningsanmälan</t>
        </is>
      </c>
      <c r="C592" t="inlineStr">
        <is>
          <t>Föryngringsavverkning</t>
        </is>
      </c>
      <c r="D592" s="1" t="n">
        <v>45265</v>
      </c>
      <c r="E592" s="1" t="n">
        <v>46223</v>
      </c>
      <c r="F592" t="inlineStr">
        <is>
          <t>ÖREBRO LÄN</t>
        </is>
      </c>
      <c r="G592" t="inlineStr">
        <is>
          <t>LINDESBERG</t>
        </is>
      </c>
      <c r="I592" t="n">
        <v>10.3</v>
      </c>
      <c r="J592" t="n">
        <v>0</v>
      </c>
      <c r="K592" t="n">
        <v>0</v>
      </c>
      <c r="L592" t="n">
        <v>0</v>
      </c>
      <c r="M592" t="n">
        <v>0</v>
      </c>
      <c r="N592" t="n">
        <v>0</v>
      </c>
      <c r="O592" t="n">
        <v>0</v>
      </c>
      <c r="P592" t="n">
        <v>0</v>
      </c>
      <c r="Q592" t="n">
        <v>0</v>
      </c>
      <c r="R592" t="n">
        <v>0</v>
      </c>
      <c r="S592" t="n">
        <v>0</v>
      </c>
      <c r="T592" t="n">
        <v>0</v>
      </c>
      <c r="U592" s="2" t="inlineStr"/>
    </row>
    <row r="593" ht="15" customHeight="1">
      <c r="A593" t="inlineStr">
        <is>
          <t>A 27918-2026</t>
        </is>
      </c>
      <c r="B593" t="inlineStr">
        <is>
          <t>avverkningsanmälan</t>
        </is>
      </c>
      <c r="C593" t="inlineStr">
        <is>
          <t>Föryngringsavverkning</t>
        </is>
      </c>
      <c r="D593" s="1" t="n">
        <v>46191</v>
      </c>
      <c r="E593" s="1" t="n">
        <v>46223</v>
      </c>
      <c r="F593" t="inlineStr">
        <is>
          <t>ÖREBRO LÄN</t>
        </is>
      </c>
      <c r="G593" t="inlineStr">
        <is>
          <t>LINDESBERG</t>
        </is>
      </c>
      <c r="H593" t="inlineStr">
        <is>
          <t>Sveaskog</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27756-2026</t>
        </is>
      </c>
      <c r="B594" t="inlineStr">
        <is>
          <t>avverkningsanmälan</t>
        </is>
      </c>
      <c r="C594" t="inlineStr">
        <is>
          <t>Föryngringsavverkning</t>
        </is>
      </c>
      <c r="D594" s="1" t="n">
        <v>46191</v>
      </c>
      <c r="E594" s="1" t="n">
        <v>46223</v>
      </c>
      <c r="F594" t="inlineStr">
        <is>
          <t>ÖREBRO LÄN</t>
        </is>
      </c>
      <c r="G594" t="inlineStr">
        <is>
          <t>LINDESBERG</t>
        </is>
      </c>
      <c r="H594" t="inlineStr">
        <is>
          <t>Sveaskog</t>
        </is>
      </c>
      <c r="I594" t="n">
        <v>17.8</v>
      </c>
      <c r="J594" t="n">
        <v>0</v>
      </c>
      <c r="K594" t="n">
        <v>0</v>
      </c>
      <c r="L594" t="n">
        <v>0</v>
      </c>
      <c r="M594" t="n">
        <v>0</v>
      </c>
      <c r="N594" t="n">
        <v>0</v>
      </c>
      <c r="O594" t="n">
        <v>0</v>
      </c>
      <c r="P594" t="n">
        <v>0</v>
      </c>
      <c r="Q594" t="n">
        <v>0</v>
      </c>
      <c r="R594" t="n">
        <v>0</v>
      </c>
      <c r="S594" t="n">
        <v>0</v>
      </c>
      <c r="T594" t="n">
        <v>0</v>
      </c>
      <c r="U594" s="2" t="inlineStr"/>
    </row>
    <row r="595" ht="15" customHeight="1">
      <c r="A595" t="inlineStr">
        <is>
          <t>A 27761-2026</t>
        </is>
      </c>
      <c r="B595" t="inlineStr">
        <is>
          <t>avverkningsanmälan</t>
        </is>
      </c>
      <c r="C595" t="inlineStr">
        <is>
          <t>Avverkning för annat ändamål</t>
        </is>
      </c>
      <c r="D595" s="1" t="n">
        <v>46191</v>
      </c>
      <c r="E595" s="1" t="n">
        <v>46223</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s="2" t="inlineStr"/>
    </row>
    <row r="596" ht="15" customHeight="1">
      <c r="A596" t="inlineStr">
        <is>
          <t>A 27766-2026</t>
        </is>
      </c>
      <c r="B596" t="inlineStr">
        <is>
          <t>avverkningsanmälan</t>
        </is>
      </c>
      <c r="C596" t="inlineStr">
        <is>
          <t>Föryngringsavverkning</t>
        </is>
      </c>
      <c r="D596" s="1" t="n">
        <v>46191</v>
      </c>
      <c r="E596" s="1" t="n">
        <v>46223</v>
      </c>
      <c r="F596" t="inlineStr">
        <is>
          <t>ÖREBRO LÄN</t>
        </is>
      </c>
      <c r="G596" t="inlineStr">
        <is>
          <t>LINDESBERG</t>
        </is>
      </c>
      <c r="H596" t="inlineStr">
        <is>
          <t>Sveaskog</t>
        </is>
      </c>
      <c r="I596" t="n">
        <v>5.1</v>
      </c>
      <c r="J596" t="n">
        <v>0</v>
      </c>
      <c r="K596" t="n">
        <v>0</v>
      </c>
      <c r="L596" t="n">
        <v>0</v>
      </c>
      <c r="M596" t="n">
        <v>0</v>
      </c>
      <c r="N596" t="n">
        <v>0</v>
      </c>
      <c r="O596" t="n">
        <v>0</v>
      </c>
      <c r="P596" t="n">
        <v>0</v>
      </c>
      <c r="Q596" t="n">
        <v>0</v>
      </c>
      <c r="R596" t="n">
        <v>0</v>
      </c>
      <c r="S596" t="n">
        <v>0</v>
      </c>
      <c r="T596" t="n">
        <v>0</v>
      </c>
      <c r="U596" s="2" t="inlineStr"/>
    </row>
    <row r="597" ht="15" customHeight="1">
      <c r="A597" t="inlineStr">
        <is>
          <t>A 27775-2026</t>
        </is>
      </c>
      <c r="B597" t="inlineStr">
        <is>
          <t>avverkningsanmälan</t>
        </is>
      </c>
      <c r="C597" t="inlineStr">
        <is>
          <t>Föryngringsavverkning</t>
        </is>
      </c>
      <c r="D597" s="1" t="n">
        <v>46191</v>
      </c>
      <c r="E597" s="1" t="n">
        <v>46223</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27773-2026</t>
        </is>
      </c>
      <c r="B598" t="inlineStr">
        <is>
          <t>avverkningsanmälan</t>
        </is>
      </c>
      <c r="C598" t="inlineStr">
        <is>
          <t>Föryngringsavverkning</t>
        </is>
      </c>
      <c r="D598" s="1" t="n">
        <v>46191</v>
      </c>
      <c r="E598" s="1" t="n">
        <v>46223</v>
      </c>
      <c r="F598" t="inlineStr">
        <is>
          <t>ÖREBRO LÄN</t>
        </is>
      </c>
      <c r="G598" t="inlineStr">
        <is>
          <t>LINDESBERG</t>
        </is>
      </c>
      <c r="H598" t="inlineStr">
        <is>
          <t>Sveaskog</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62968-2023</t>
        </is>
      </c>
      <c r="B599" t="inlineStr">
        <is>
          <t>avverkningsanmälan</t>
        </is>
      </c>
      <c r="C599" t="inlineStr">
        <is>
          <t>Föryngringsavverkning</t>
        </is>
      </c>
      <c r="D599" s="1" t="n">
        <v>45272</v>
      </c>
      <c r="E599" s="1" t="n">
        <v>46223</v>
      </c>
      <c r="F599" t="inlineStr">
        <is>
          <t>ÖREBRO LÄN</t>
        </is>
      </c>
      <c r="G599" t="inlineStr">
        <is>
          <t>LINDESBERG</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27769-2026</t>
        </is>
      </c>
      <c r="B600" t="inlineStr">
        <is>
          <t>avverkningsanmälan</t>
        </is>
      </c>
      <c r="C600" t="inlineStr">
        <is>
          <t>Föryngringsavverkning</t>
        </is>
      </c>
      <c r="D600" s="1" t="n">
        <v>46191</v>
      </c>
      <c r="E600" s="1" t="n">
        <v>46223</v>
      </c>
      <c r="F600" t="inlineStr">
        <is>
          <t>ÖREBRO LÄN</t>
        </is>
      </c>
      <c r="G600" t="inlineStr">
        <is>
          <t>LINDESBERG</t>
        </is>
      </c>
      <c r="H600" t="inlineStr">
        <is>
          <t>Sveaskog</t>
        </is>
      </c>
      <c r="I600" t="n">
        <v>3.3</v>
      </c>
      <c r="J600" t="n">
        <v>0</v>
      </c>
      <c r="K600" t="n">
        <v>0</v>
      </c>
      <c r="L600" t="n">
        <v>0</v>
      </c>
      <c r="M600" t="n">
        <v>0</v>
      </c>
      <c r="N600" t="n">
        <v>0</v>
      </c>
      <c r="O600" t="n">
        <v>0</v>
      </c>
      <c r="P600" t="n">
        <v>0</v>
      </c>
      <c r="Q600" t="n">
        <v>0</v>
      </c>
      <c r="R600" t="n">
        <v>0</v>
      </c>
      <c r="S600" t="n">
        <v>0</v>
      </c>
      <c r="T600" t="n">
        <v>0</v>
      </c>
      <c r="U600" s="2" t="inlineStr"/>
    </row>
    <row r="601" ht="15" customHeight="1">
      <c r="A601" t="inlineStr">
        <is>
          <t>A 24270-2023</t>
        </is>
      </c>
      <c r="B601" t="inlineStr">
        <is>
          <t>avverkningsanmälan</t>
        </is>
      </c>
      <c r="C601" t="inlineStr">
        <is>
          <t>Avverkning för annat ändamål</t>
        </is>
      </c>
      <c r="D601" s="1" t="n">
        <v>45079</v>
      </c>
      <c r="E601" s="1" t="n">
        <v>46223</v>
      </c>
      <c r="F601" t="inlineStr">
        <is>
          <t>ÖREBRO LÄN</t>
        </is>
      </c>
      <c r="G601" t="inlineStr">
        <is>
          <t>LINDESBERG</t>
        </is>
      </c>
      <c r="H601" t="inlineStr">
        <is>
          <t>Sveaskog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24271-2023</t>
        </is>
      </c>
      <c r="B602" t="inlineStr">
        <is>
          <t>avverkningsanmälan</t>
        </is>
      </c>
      <c r="C602" t="inlineStr">
        <is>
          <t>Avverkning för annat ändamål</t>
        </is>
      </c>
      <c r="D602" s="1" t="n">
        <v>45079</v>
      </c>
      <c r="E602" s="1" t="n">
        <v>46223</v>
      </c>
      <c r="F602" t="inlineStr">
        <is>
          <t>ÖREBRO LÄN</t>
        </is>
      </c>
      <c r="G602" t="inlineStr">
        <is>
          <t>LINDESBERG</t>
        </is>
      </c>
      <c r="H602" t="inlineStr">
        <is>
          <t>Sveaskog</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27763-2026</t>
        </is>
      </c>
      <c r="B603" t="inlineStr">
        <is>
          <t>avverkningsanmälan</t>
        </is>
      </c>
      <c r="C603" t="inlineStr">
        <is>
          <t>Avverkning för annat ändamål</t>
        </is>
      </c>
      <c r="D603" s="1" t="n">
        <v>46191</v>
      </c>
      <c r="E603" s="1" t="n">
        <v>46223</v>
      </c>
      <c r="F603" t="inlineStr">
        <is>
          <t>ÖREBRO LÄN</t>
        </is>
      </c>
      <c r="G603" t="inlineStr">
        <is>
          <t>LINDESBERG</t>
        </is>
      </c>
      <c r="H603" t="inlineStr">
        <is>
          <t>Sveaskog</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27772-2026</t>
        </is>
      </c>
      <c r="B604" t="inlineStr">
        <is>
          <t>avverkningsanmälan</t>
        </is>
      </c>
      <c r="C604" t="inlineStr">
        <is>
          <t>Föryngringsavverkning</t>
        </is>
      </c>
      <c r="D604" s="1" t="n">
        <v>46191</v>
      </c>
      <c r="E604" s="1" t="n">
        <v>46223</v>
      </c>
      <c r="F604" t="inlineStr">
        <is>
          <t>ÖREBRO LÄN</t>
        </is>
      </c>
      <c r="G604" t="inlineStr">
        <is>
          <t>LINDESBERG</t>
        </is>
      </c>
      <c r="H604" t="inlineStr">
        <is>
          <t>Sveaskog</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13416-2025</t>
        </is>
      </c>
      <c r="B605" t="inlineStr">
        <is>
          <t>avverkningsanmälan</t>
        </is>
      </c>
      <c r="C605" t="inlineStr">
        <is>
          <t>Föryngringsavverkning</t>
        </is>
      </c>
      <c r="D605" s="1" t="n">
        <v>45736</v>
      </c>
      <c r="E605" s="1" t="n">
        <v>46223</v>
      </c>
      <c r="F605" t="inlineStr">
        <is>
          <t>ÖREBRO LÄN</t>
        </is>
      </c>
      <c r="G605" t="inlineStr">
        <is>
          <t>LINDESBERG</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37497-2025</t>
        </is>
      </c>
      <c r="B606" t="inlineStr">
        <is>
          <t>avverkningsanmälan</t>
        </is>
      </c>
      <c r="C606" t="inlineStr">
        <is>
          <t>Föryngringsavverkning</t>
        </is>
      </c>
      <c r="D606" s="1" t="n">
        <v>45877</v>
      </c>
      <c r="E606" s="1" t="n">
        <v>46223</v>
      </c>
      <c r="F606" t="inlineStr">
        <is>
          <t>ÖREBRO LÄN</t>
        </is>
      </c>
      <c r="G606" t="inlineStr">
        <is>
          <t>LINDESBERG</t>
        </is>
      </c>
      <c r="H606" t="inlineStr">
        <is>
          <t>Sveaskog</t>
        </is>
      </c>
      <c r="I606" t="n">
        <v>0.9</v>
      </c>
      <c r="J606" t="n">
        <v>0</v>
      </c>
      <c r="K606" t="n">
        <v>0</v>
      </c>
      <c r="L606" t="n">
        <v>0</v>
      </c>
      <c r="M606" t="n">
        <v>0</v>
      </c>
      <c r="N606" t="n">
        <v>0</v>
      </c>
      <c r="O606" t="n">
        <v>0</v>
      </c>
      <c r="P606" t="n">
        <v>0</v>
      </c>
      <c r="Q606" t="n">
        <v>0</v>
      </c>
      <c r="R606" t="n">
        <v>0</v>
      </c>
      <c r="S606" t="n">
        <v>0</v>
      </c>
      <c r="T606" t="n">
        <v>0</v>
      </c>
      <c r="U606" s="2" t="inlineStr"/>
    </row>
    <row r="607" ht="15" customHeight="1">
      <c r="A607" t="inlineStr">
        <is>
          <t>A 4013-2025</t>
        </is>
      </c>
      <c r="B607" t="inlineStr">
        <is>
          <t>avverkningsanmälan</t>
        </is>
      </c>
      <c r="C607" t="inlineStr">
        <is>
          <t>Föryngringsavverkning</t>
        </is>
      </c>
      <c r="D607" s="1" t="n">
        <v>45684</v>
      </c>
      <c r="E607" s="1" t="n">
        <v>46223</v>
      </c>
      <c r="F607" t="inlineStr">
        <is>
          <t>ÖREBRO LÄN</t>
        </is>
      </c>
      <c r="G607" t="inlineStr">
        <is>
          <t>LINDESBERG</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59804-2023</t>
        </is>
      </c>
      <c r="B608" t="inlineStr">
        <is>
          <t>avverkningsanmälan</t>
        </is>
      </c>
      <c r="C608" t="inlineStr">
        <is>
          <t>Föryngringsavverkning</t>
        </is>
      </c>
      <c r="D608" s="1" t="n">
        <v>45257</v>
      </c>
      <c r="E608" s="1" t="n">
        <v>46223</v>
      </c>
      <c r="F608" t="inlineStr">
        <is>
          <t>ÖREBRO LÄN</t>
        </is>
      </c>
      <c r="G608" t="inlineStr">
        <is>
          <t>LINDESBERG</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27434-2023</t>
        </is>
      </c>
      <c r="B609" t="inlineStr">
        <is>
          <t>avverkningsanmälan</t>
        </is>
      </c>
      <c r="C609" t="inlineStr">
        <is>
          <t>Föryngringsavverkning</t>
        </is>
      </c>
      <c r="D609" s="1" t="n">
        <v>45097</v>
      </c>
      <c r="E609" s="1" t="n">
        <v>46223</v>
      </c>
      <c r="F609" t="inlineStr">
        <is>
          <t>ÖREBRO LÄN</t>
        </is>
      </c>
      <c r="G609" t="inlineStr">
        <is>
          <t>LINDESBERG</t>
        </is>
      </c>
      <c r="I609" t="n">
        <v>10.7</v>
      </c>
      <c r="J609" t="n">
        <v>0</v>
      </c>
      <c r="K609" t="n">
        <v>0</v>
      </c>
      <c r="L609" t="n">
        <v>0</v>
      </c>
      <c r="M609" t="n">
        <v>0</v>
      </c>
      <c r="N609" t="n">
        <v>0</v>
      </c>
      <c r="O609" t="n">
        <v>0</v>
      </c>
      <c r="P609" t="n">
        <v>0</v>
      </c>
      <c r="Q609" t="n">
        <v>0</v>
      </c>
      <c r="R609" t="n">
        <v>0</v>
      </c>
      <c r="S609" t="n">
        <v>0</v>
      </c>
      <c r="T609" t="n">
        <v>0</v>
      </c>
      <c r="U609" s="2" t="inlineStr"/>
    </row>
    <row r="610" ht="15" customHeight="1">
      <c r="A610" t="inlineStr">
        <is>
          <t>A 45060-2024</t>
        </is>
      </c>
      <c r="B610" t="inlineStr">
        <is>
          <t>avverkningsanmälan</t>
        </is>
      </c>
      <c r="C610" t="inlineStr">
        <is>
          <t>Föryngringsavverkning</t>
        </is>
      </c>
      <c r="D610" s="1" t="n">
        <v>45575</v>
      </c>
      <c r="E610" s="1" t="n">
        <v>46223</v>
      </c>
      <c r="F610" t="inlineStr">
        <is>
          <t>ÖREBRO LÄN</t>
        </is>
      </c>
      <c r="G610" t="inlineStr">
        <is>
          <t>LINDESBERG</t>
        </is>
      </c>
      <c r="H610" t="inlineStr">
        <is>
          <t>Sveaskog</t>
        </is>
      </c>
      <c r="I610" t="n">
        <v>4.6</v>
      </c>
      <c r="J610" t="n">
        <v>0</v>
      </c>
      <c r="K610" t="n">
        <v>0</v>
      </c>
      <c r="L610" t="n">
        <v>0</v>
      </c>
      <c r="M610" t="n">
        <v>0</v>
      </c>
      <c r="N610" t="n">
        <v>0</v>
      </c>
      <c r="O610" t="n">
        <v>0</v>
      </c>
      <c r="P610" t="n">
        <v>0</v>
      </c>
      <c r="Q610" t="n">
        <v>0</v>
      </c>
      <c r="R610" t="n">
        <v>0</v>
      </c>
      <c r="S610" t="n">
        <v>0</v>
      </c>
      <c r="T610" t="n">
        <v>0</v>
      </c>
      <c r="U610" s="2" t="inlineStr"/>
    </row>
    <row r="611" ht="15" customHeight="1">
      <c r="A611" t="inlineStr">
        <is>
          <t>A 72706-2021</t>
        </is>
      </c>
      <c r="B611" t="inlineStr">
        <is>
          <t>avverkningsanmälan</t>
        </is>
      </c>
      <c r="C611" t="inlineStr">
        <is>
          <t>Föryngringsavverkning</t>
        </is>
      </c>
      <c r="D611" s="1" t="n">
        <v>44546</v>
      </c>
      <c r="E611" s="1" t="n">
        <v>46223</v>
      </c>
      <c r="F611" t="inlineStr">
        <is>
          <t>ÖREBRO LÄN</t>
        </is>
      </c>
      <c r="G611" t="inlineStr">
        <is>
          <t>LINDESBERG</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53366-2023</t>
        </is>
      </c>
      <c r="B612" t="inlineStr">
        <is>
          <t>avverkningsanmälan</t>
        </is>
      </c>
      <c r="C612" t="inlineStr">
        <is>
          <t>Föryngringsavverkning</t>
        </is>
      </c>
      <c r="D612" s="1" t="n">
        <v>45229</v>
      </c>
      <c r="E612" s="1" t="n">
        <v>46223</v>
      </c>
      <c r="F612" t="inlineStr">
        <is>
          <t>ÖREBRO LÄN</t>
        </is>
      </c>
      <c r="G612" t="inlineStr">
        <is>
          <t>LINDESBERG</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19219-2023</t>
        </is>
      </c>
      <c r="B613" t="inlineStr">
        <is>
          <t>avverkningsanmälan</t>
        </is>
      </c>
      <c r="C613" t="inlineStr">
        <is>
          <t>Avverkning för annat ändamål</t>
        </is>
      </c>
      <c r="D613" s="1" t="n">
        <v>45048</v>
      </c>
      <c r="E613" s="1" t="n">
        <v>46223</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19043-2023</t>
        </is>
      </c>
      <c r="B614" t="inlineStr">
        <is>
          <t>avverkningsanmälan</t>
        </is>
      </c>
      <c r="C614" t="inlineStr">
        <is>
          <t>Föryngringsavverkning</t>
        </is>
      </c>
      <c r="D614" s="1" t="n">
        <v>45047</v>
      </c>
      <c r="E614" s="1" t="n">
        <v>46223</v>
      </c>
      <c r="F614" t="inlineStr">
        <is>
          <t>ÖREBRO LÄN</t>
        </is>
      </c>
      <c r="G614" t="inlineStr">
        <is>
          <t>LINDESBERG</t>
        </is>
      </c>
      <c r="I614" t="n">
        <v>2.6</v>
      </c>
      <c r="J614" t="n">
        <v>0</v>
      </c>
      <c r="K614" t="n">
        <v>0</v>
      </c>
      <c r="L614" t="n">
        <v>0</v>
      </c>
      <c r="M614" t="n">
        <v>0</v>
      </c>
      <c r="N614" t="n">
        <v>0</v>
      </c>
      <c r="O614" t="n">
        <v>0</v>
      </c>
      <c r="P614" t="n">
        <v>0</v>
      </c>
      <c r="Q614" t="n">
        <v>0</v>
      </c>
      <c r="R614" t="n">
        <v>0</v>
      </c>
      <c r="S614" t="n">
        <v>0</v>
      </c>
      <c r="T614" t="n">
        <v>0</v>
      </c>
      <c r="U614" s="2" t="inlineStr"/>
    </row>
    <row r="615" ht="15" customHeight="1">
      <c r="A615" t="inlineStr">
        <is>
          <t>A 27031-2024</t>
        </is>
      </c>
      <c r="B615" t="inlineStr">
        <is>
          <t>avverkningsanmälan</t>
        </is>
      </c>
      <c r="C615" t="inlineStr">
        <is>
          <t>Föryngringsavverkning</t>
        </is>
      </c>
      <c r="D615" s="1" t="n">
        <v>45471</v>
      </c>
      <c r="E615" s="1" t="n">
        <v>46223</v>
      </c>
      <c r="F615" t="inlineStr">
        <is>
          <t>ÖREBRO LÄN</t>
        </is>
      </c>
      <c r="G615" t="inlineStr">
        <is>
          <t>LINDESBERG</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28703-2026</t>
        </is>
      </c>
      <c r="B616" t="inlineStr">
        <is>
          <t>avverkningsanmälan</t>
        </is>
      </c>
      <c r="C616" t="inlineStr">
        <is>
          <t>Föryngringsavverkning</t>
        </is>
      </c>
      <c r="D616" s="1" t="n">
        <v>46198</v>
      </c>
      <c r="E616" s="1" t="n">
        <v>46223</v>
      </c>
      <c r="F616" t="inlineStr">
        <is>
          <t>ÖREBRO LÄN</t>
        </is>
      </c>
      <c r="G616" t="inlineStr">
        <is>
          <t>LINDESBERG</t>
        </is>
      </c>
      <c r="I616" t="n">
        <v>5.1</v>
      </c>
      <c r="J616" t="n">
        <v>0</v>
      </c>
      <c r="K616" t="n">
        <v>0</v>
      </c>
      <c r="L616" t="n">
        <v>0</v>
      </c>
      <c r="M616" t="n">
        <v>0</v>
      </c>
      <c r="N616" t="n">
        <v>0</v>
      </c>
      <c r="O616" t="n">
        <v>0</v>
      </c>
      <c r="P616" t="n">
        <v>0</v>
      </c>
      <c r="Q616" t="n">
        <v>0</v>
      </c>
      <c r="R616" t="n">
        <v>0</v>
      </c>
      <c r="S616" t="n">
        <v>0</v>
      </c>
      <c r="T616" t="n">
        <v>0</v>
      </c>
      <c r="U616" s="2" t="inlineStr"/>
    </row>
    <row r="617" ht="15" customHeight="1">
      <c r="A617" t="inlineStr">
        <is>
          <t>A 38696-2024</t>
        </is>
      </c>
      <c r="B617" t="inlineStr">
        <is>
          <t>avverkningsanmälan</t>
        </is>
      </c>
      <c r="C617" t="inlineStr">
        <is>
          <t>Föryngringsavverkning</t>
        </is>
      </c>
      <c r="D617" s="1" t="n">
        <v>45547</v>
      </c>
      <c r="E617" s="1" t="n">
        <v>46223</v>
      </c>
      <c r="F617" t="inlineStr">
        <is>
          <t>ÖREBRO LÄN</t>
        </is>
      </c>
      <c r="G617" t="inlineStr">
        <is>
          <t>LINDESBERG</t>
        </is>
      </c>
      <c r="I617" t="n">
        <v>2</v>
      </c>
      <c r="J617" t="n">
        <v>0</v>
      </c>
      <c r="K617" t="n">
        <v>0</v>
      </c>
      <c r="L617" t="n">
        <v>0</v>
      </c>
      <c r="M617" t="n">
        <v>0</v>
      </c>
      <c r="N617" t="n">
        <v>0</v>
      </c>
      <c r="O617" t="n">
        <v>0</v>
      </c>
      <c r="P617" t="n">
        <v>0</v>
      </c>
      <c r="Q617" t="n">
        <v>0</v>
      </c>
      <c r="R617" t="n">
        <v>0</v>
      </c>
      <c r="S617" t="n">
        <v>0</v>
      </c>
      <c r="T617" t="n">
        <v>0</v>
      </c>
      <c r="U617" s="2" t="inlineStr"/>
    </row>
    <row r="618" ht="15" customHeight="1">
      <c r="A618" t="inlineStr">
        <is>
          <t>A 54663-2021</t>
        </is>
      </c>
      <c r="B618" t="inlineStr">
        <is>
          <t>avverkningsanmälan</t>
        </is>
      </c>
      <c r="C618" t="inlineStr">
        <is>
          <t>Föryngringsavverkning</t>
        </is>
      </c>
      <c r="D618" s="1" t="n">
        <v>44473</v>
      </c>
      <c r="E618" s="1" t="n">
        <v>46223</v>
      </c>
      <c r="F618" t="inlineStr">
        <is>
          <t>ÖREBRO LÄN</t>
        </is>
      </c>
      <c r="G618" t="inlineStr">
        <is>
          <t>LINDESBERG</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28040-2025</t>
        </is>
      </c>
      <c r="B619" t="inlineStr">
        <is>
          <t>avverkningsanmälan</t>
        </is>
      </c>
      <c r="C619" t="inlineStr">
        <is>
          <t>Föryngringsavverkning</t>
        </is>
      </c>
      <c r="D619" s="1" t="n">
        <v>45817</v>
      </c>
      <c r="E619" s="1" t="n">
        <v>46223</v>
      </c>
      <c r="F619" t="inlineStr">
        <is>
          <t>ÖREBRO LÄN</t>
        </is>
      </c>
      <c r="G619" t="inlineStr">
        <is>
          <t>LINDESBERG</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30512-2025</t>
        </is>
      </c>
      <c r="B620" t="inlineStr">
        <is>
          <t>avverkningsanmälan</t>
        </is>
      </c>
      <c r="C620" t="inlineStr">
        <is>
          <t>Avverkning för annat ändamål</t>
        </is>
      </c>
      <c r="D620" s="1" t="n">
        <v>45831</v>
      </c>
      <c r="E620" s="1" t="n">
        <v>46223</v>
      </c>
      <c r="F620" t="inlineStr">
        <is>
          <t>ÖREBRO LÄN</t>
        </is>
      </c>
      <c r="G620" t="inlineStr">
        <is>
          <t>LINDESBERG</t>
        </is>
      </c>
      <c r="I620" t="n">
        <v>4.5</v>
      </c>
      <c r="J620" t="n">
        <v>0</v>
      </c>
      <c r="K620" t="n">
        <v>0</v>
      </c>
      <c r="L620" t="n">
        <v>0</v>
      </c>
      <c r="M620" t="n">
        <v>0</v>
      </c>
      <c r="N620" t="n">
        <v>0</v>
      </c>
      <c r="O620" t="n">
        <v>0</v>
      </c>
      <c r="P620" t="n">
        <v>0</v>
      </c>
      <c r="Q620" t="n">
        <v>0</v>
      </c>
      <c r="R620" t="n">
        <v>0</v>
      </c>
      <c r="S620" t="n">
        <v>0</v>
      </c>
      <c r="T620" t="n">
        <v>0</v>
      </c>
      <c r="U620" s="2" t="inlineStr"/>
    </row>
    <row r="621" ht="15" customHeight="1">
      <c r="A621" t="inlineStr">
        <is>
          <t>A 14028-2023</t>
        </is>
      </c>
      <c r="B621" t="inlineStr">
        <is>
          <t>avverkningsanmälan</t>
        </is>
      </c>
      <c r="C621" t="inlineStr">
        <is>
          <t>Föryngringsavverkning</t>
        </is>
      </c>
      <c r="D621" s="1" t="n">
        <v>45008</v>
      </c>
      <c r="E621" s="1" t="n">
        <v>46223</v>
      </c>
      <c r="F621" t="inlineStr">
        <is>
          <t>ÖREBRO LÄN</t>
        </is>
      </c>
      <c r="G621" t="inlineStr">
        <is>
          <t>LINDESBERG</t>
        </is>
      </c>
      <c r="H621" t="inlineStr">
        <is>
          <t>Kyrkan</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50072-2025</t>
        </is>
      </c>
      <c r="B622" t="inlineStr">
        <is>
          <t>avverkningsanmälan</t>
        </is>
      </c>
      <c r="C622" t="inlineStr">
        <is>
          <t>Föryngringsavverkning</t>
        </is>
      </c>
      <c r="D622" s="1" t="n">
        <v>45943</v>
      </c>
      <c r="E622" s="1" t="n">
        <v>46223</v>
      </c>
      <c r="F622" t="inlineStr">
        <is>
          <t>ÖREBRO LÄN</t>
        </is>
      </c>
      <c r="G622" t="inlineStr">
        <is>
          <t>LINDESBERG</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1749-2026</t>
        </is>
      </c>
      <c r="B623" t="inlineStr">
        <is>
          <t>avverkningsanmälan</t>
        </is>
      </c>
      <c r="C623" t="inlineStr">
        <is>
          <t>Föryngringsavverkning</t>
        </is>
      </c>
      <c r="D623" s="1" t="n">
        <v>46034</v>
      </c>
      <c r="E623" s="1" t="n">
        <v>46223</v>
      </c>
      <c r="F623" t="inlineStr">
        <is>
          <t>ÖREBRO LÄN</t>
        </is>
      </c>
      <c r="G623" t="inlineStr">
        <is>
          <t>LINDESBERG</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28726-2026</t>
        </is>
      </c>
      <c r="B624" t="inlineStr">
        <is>
          <t>avverkningsanmälan</t>
        </is>
      </c>
      <c r="C624" t="inlineStr">
        <is>
          <t>Föryngringsavverkning</t>
        </is>
      </c>
      <c r="D624" s="1" t="n">
        <v>46198</v>
      </c>
      <c r="E624" s="1" t="n">
        <v>46223</v>
      </c>
      <c r="F624" t="inlineStr">
        <is>
          <t>ÖREBRO LÄN</t>
        </is>
      </c>
      <c r="G624" t="inlineStr">
        <is>
          <t>LINDESBERG</t>
        </is>
      </c>
      <c r="H624" t="inlineStr">
        <is>
          <t>Sveaskog</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57069-2022</t>
        </is>
      </c>
      <c r="B625" t="inlineStr">
        <is>
          <t>avverkningsanmälan</t>
        </is>
      </c>
      <c r="C625" t="inlineStr">
        <is>
          <t>Föryngringsavverkning</t>
        </is>
      </c>
      <c r="D625" s="1" t="n">
        <v>44895</v>
      </c>
      <c r="E625" s="1" t="n">
        <v>46223</v>
      </c>
      <c r="F625" t="inlineStr">
        <is>
          <t>ÖREBRO LÄN</t>
        </is>
      </c>
      <c r="G625" t="inlineStr">
        <is>
          <t>LINDESBERG</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61405-2022</t>
        </is>
      </c>
      <c r="B626" t="inlineStr">
        <is>
          <t>avverkningsanmälan</t>
        </is>
      </c>
      <c r="C626" t="inlineStr">
        <is>
          <t>Föryngringsavverkning</t>
        </is>
      </c>
      <c r="D626" s="1" t="n">
        <v>44916</v>
      </c>
      <c r="E626" s="1" t="n">
        <v>46223</v>
      </c>
      <c r="F626" t="inlineStr">
        <is>
          <t>ÖREBRO LÄN</t>
        </is>
      </c>
      <c r="G626" t="inlineStr">
        <is>
          <t>LINDESBERG</t>
        </is>
      </c>
      <c r="I626" t="n">
        <v>4.4</v>
      </c>
      <c r="J626" t="n">
        <v>0</v>
      </c>
      <c r="K626" t="n">
        <v>0</v>
      </c>
      <c r="L626" t="n">
        <v>0</v>
      </c>
      <c r="M626" t="n">
        <v>0</v>
      </c>
      <c r="N626" t="n">
        <v>0</v>
      </c>
      <c r="O626" t="n">
        <v>0</v>
      </c>
      <c r="P626" t="n">
        <v>0</v>
      </c>
      <c r="Q626" t="n">
        <v>0</v>
      </c>
      <c r="R626" t="n">
        <v>0</v>
      </c>
      <c r="S626" t="n">
        <v>0</v>
      </c>
      <c r="T626" t="n">
        <v>0</v>
      </c>
      <c r="U626" s="2" t="inlineStr"/>
    </row>
    <row r="627" ht="15" customHeight="1">
      <c r="A627" t="inlineStr">
        <is>
          <t>A 9961-2023</t>
        </is>
      </c>
      <c r="B627" t="inlineStr">
        <is>
          <t>avverkningsanmälan</t>
        </is>
      </c>
      <c r="C627" t="inlineStr">
        <is>
          <t>Föryngringsavverkning</t>
        </is>
      </c>
      <c r="D627" s="1" t="n">
        <v>44979</v>
      </c>
      <c r="E627" s="1" t="n">
        <v>46223</v>
      </c>
      <c r="F627" t="inlineStr">
        <is>
          <t>ÖREBRO LÄN</t>
        </is>
      </c>
      <c r="G627" t="inlineStr">
        <is>
          <t>LINDESBERG</t>
        </is>
      </c>
      <c r="I627" t="n">
        <v>4.8</v>
      </c>
      <c r="J627" t="n">
        <v>0</v>
      </c>
      <c r="K627" t="n">
        <v>0</v>
      </c>
      <c r="L627" t="n">
        <v>0</v>
      </c>
      <c r="M627" t="n">
        <v>0</v>
      </c>
      <c r="N627" t="n">
        <v>0</v>
      </c>
      <c r="O627" t="n">
        <v>0</v>
      </c>
      <c r="P627" t="n">
        <v>0</v>
      </c>
      <c r="Q627" t="n">
        <v>0</v>
      </c>
      <c r="R627" t="n">
        <v>0</v>
      </c>
      <c r="S627" t="n">
        <v>0</v>
      </c>
      <c r="T627" t="n">
        <v>0</v>
      </c>
      <c r="U627" s="2" t="inlineStr"/>
    </row>
    <row r="628" ht="15" customHeight="1">
      <c r="A628" t="inlineStr">
        <is>
          <t>A 45041-2024</t>
        </is>
      </c>
      <c r="B628" t="inlineStr">
        <is>
          <t>avverkningsanmälan</t>
        </is>
      </c>
      <c r="C628" t="inlineStr">
        <is>
          <t>Avverkning för annat ändamål</t>
        </is>
      </c>
      <c r="D628" s="1" t="n">
        <v>45575</v>
      </c>
      <c r="E628" s="1" t="n">
        <v>46223</v>
      </c>
      <c r="F628" t="inlineStr">
        <is>
          <t>ÖREBRO LÄN</t>
        </is>
      </c>
      <c r="G628" t="inlineStr">
        <is>
          <t>LINDESBERG</t>
        </is>
      </c>
      <c r="H628" t="inlineStr">
        <is>
          <t>Sveaskog</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39419-2023</t>
        </is>
      </c>
      <c r="B629" t="inlineStr">
        <is>
          <t>avverkningsanmälan</t>
        </is>
      </c>
      <c r="C629" t="inlineStr">
        <is>
          <t>Föryngringsavverkning</t>
        </is>
      </c>
      <c r="D629" s="1" t="n">
        <v>45166</v>
      </c>
      <c r="E629" s="1" t="n">
        <v>46223</v>
      </c>
      <c r="F629" t="inlineStr">
        <is>
          <t>ÖREBRO LÄN</t>
        </is>
      </c>
      <c r="G629" t="inlineStr">
        <is>
          <t>LINDESBERG</t>
        </is>
      </c>
      <c r="H629" t="inlineStr">
        <is>
          <t>Sveaskog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22745-2026</t>
        </is>
      </c>
      <c r="B630" t="inlineStr">
        <is>
          <t>avverkningsanmälan</t>
        </is>
      </c>
      <c r="C630" t="inlineStr">
        <is>
          <t>Föryngringsavverkning</t>
        </is>
      </c>
      <c r="D630" s="1" t="n">
        <v>46157</v>
      </c>
      <c r="E630" s="1" t="n">
        <v>46223</v>
      </c>
      <c r="F630" t="inlineStr">
        <is>
          <t>ÖREBRO LÄN</t>
        </is>
      </c>
      <c r="G630" t="inlineStr">
        <is>
          <t>LINDESBERG</t>
        </is>
      </c>
      <c r="H630" t="inlineStr">
        <is>
          <t>Sveaskog</t>
        </is>
      </c>
      <c r="I630" t="n">
        <v>2</v>
      </c>
      <c r="J630" t="n">
        <v>0</v>
      </c>
      <c r="K630" t="n">
        <v>0</v>
      </c>
      <c r="L630" t="n">
        <v>0</v>
      </c>
      <c r="M630" t="n">
        <v>0</v>
      </c>
      <c r="N630" t="n">
        <v>0</v>
      </c>
      <c r="O630" t="n">
        <v>0</v>
      </c>
      <c r="P630" t="n">
        <v>0</v>
      </c>
      <c r="Q630" t="n">
        <v>0</v>
      </c>
      <c r="R630" t="n">
        <v>0</v>
      </c>
      <c r="S630" t="n">
        <v>0</v>
      </c>
      <c r="T630" t="n">
        <v>0</v>
      </c>
      <c r="U630" s="2" t="inlineStr"/>
    </row>
    <row r="631" ht="15" customHeight="1">
      <c r="A631" t="inlineStr">
        <is>
          <t>A 22748-2026</t>
        </is>
      </c>
      <c r="B631" t="inlineStr">
        <is>
          <t>avverkningsanmälan</t>
        </is>
      </c>
      <c r="C631" t="inlineStr">
        <is>
          <t>Föryngringsavverkning</t>
        </is>
      </c>
      <c r="D631" s="1" t="n">
        <v>46157</v>
      </c>
      <c r="E631" s="1" t="n">
        <v>46223</v>
      </c>
      <c r="F631" t="inlineStr">
        <is>
          <t>ÖREBRO LÄN</t>
        </is>
      </c>
      <c r="G631" t="inlineStr">
        <is>
          <t>LINDESBERG</t>
        </is>
      </c>
      <c r="I631" t="n">
        <v>3.1</v>
      </c>
      <c r="J631" t="n">
        <v>0</v>
      </c>
      <c r="K631" t="n">
        <v>0</v>
      </c>
      <c r="L631" t="n">
        <v>0</v>
      </c>
      <c r="M631" t="n">
        <v>0</v>
      </c>
      <c r="N631" t="n">
        <v>0</v>
      </c>
      <c r="O631" t="n">
        <v>0</v>
      </c>
      <c r="P631" t="n">
        <v>0</v>
      </c>
      <c r="Q631" t="n">
        <v>0</v>
      </c>
      <c r="R631" t="n">
        <v>0</v>
      </c>
      <c r="S631" t="n">
        <v>0</v>
      </c>
      <c r="T631" t="n">
        <v>0</v>
      </c>
      <c r="U631" s="2" t="inlineStr"/>
    </row>
    <row r="632" ht="15" customHeight="1">
      <c r="A632" t="inlineStr">
        <is>
          <t>A 22861-2026</t>
        </is>
      </c>
      <c r="B632" t="inlineStr">
        <is>
          <t>avverkningsanmälan</t>
        </is>
      </c>
      <c r="C632" t="inlineStr">
        <is>
          <t>Föryngringsavverkning</t>
        </is>
      </c>
      <c r="D632" s="1" t="n">
        <v>46160</v>
      </c>
      <c r="E632" s="1" t="n">
        <v>46223</v>
      </c>
      <c r="F632" t="inlineStr">
        <is>
          <t>ÖREBRO LÄN</t>
        </is>
      </c>
      <c r="G632" t="inlineStr">
        <is>
          <t>LINDESBERG</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22752-2026</t>
        </is>
      </c>
      <c r="B633" t="inlineStr">
        <is>
          <t>avverkningsanmälan</t>
        </is>
      </c>
      <c r="C633" t="inlineStr">
        <is>
          <t>Föryngringsavverkning</t>
        </is>
      </c>
      <c r="D633" s="1" t="n">
        <v>46157</v>
      </c>
      <c r="E633" s="1" t="n">
        <v>46223</v>
      </c>
      <c r="F633" t="inlineStr">
        <is>
          <t>ÖREBRO LÄN</t>
        </is>
      </c>
      <c r="G633" t="inlineStr">
        <is>
          <t>LINDESBERG</t>
        </is>
      </c>
      <c r="H633" t="inlineStr">
        <is>
          <t>Sveaskog</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22862-2026</t>
        </is>
      </c>
      <c r="B634" t="inlineStr">
        <is>
          <t>avverkningsanmälan</t>
        </is>
      </c>
      <c r="C634" t="inlineStr">
        <is>
          <t>Föryngringsavverkning</t>
        </is>
      </c>
      <c r="D634" s="1" t="n">
        <v>46160</v>
      </c>
      <c r="E634" s="1" t="n">
        <v>46223</v>
      </c>
      <c r="F634" t="inlineStr">
        <is>
          <t>ÖREBRO LÄN</t>
        </is>
      </c>
      <c r="G634" t="inlineStr">
        <is>
          <t>LINDESBERG</t>
        </is>
      </c>
      <c r="I634" t="n">
        <v>2.2</v>
      </c>
      <c r="J634" t="n">
        <v>0</v>
      </c>
      <c r="K634" t="n">
        <v>0</v>
      </c>
      <c r="L634" t="n">
        <v>0</v>
      </c>
      <c r="M634" t="n">
        <v>0</v>
      </c>
      <c r="N634" t="n">
        <v>0</v>
      </c>
      <c r="O634" t="n">
        <v>0</v>
      </c>
      <c r="P634" t="n">
        <v>0</v>
      </c>
      <c r="Q634" t="n">
        <v>0</v>
      </c>
      <c r="R634" t="n">
        <v>0</v>
      </c>
      <c r="S634" t="n">
        <v>0</v>
      </c>
      <c r="T634" t="n">
        <v>0</v>
      </c>
      <c r="U634" s="2" t="inlineStr"/>
    </row>
    <row r="635" ht="15" customHeight="1">
      <c r="A635" t="inlineStr">
        <is>
          <t>A 29407-2026</t>
        </is>
      </c>
      <c r="B635" t="inlineStr">
        <is>
          <t>avverkningsanmälan</t>
        </is>
      </c>
      <c r="C635" t="inlineStr">
        <is>
          <t>Föryngringsavverkning</t>
        </is>
      </c>
      <c r="D635" s="1" t="n">
        <v>46203</v>
      </c>
      <c r="E635" s="1" t="n">
        <v>46223</v>
      </c>
      <c r="F635" t="inlineStr">
        <is>
          <t>ÖREBRO LÄN</t>
        </is>
      </c>
      <c r="G635" t="inlineStr">
        <is>
          <t>LINDESBERG</t>
        </is>
      </c>
      <c r="H635" t="inlineStr">
        <is>
          <t>Sveaskog</t>
        </is>
      </c>
      <c r="I635" t="n">
        <v>4.9</v>
      </c>
      <c r="J635" t="n">
        <v>0</v>
      </c>
      <c r="K635" t="n">
        <v>0</v>
      </c>
      <c r="L635" t="n">
        <v>0</v>
      </c>
      <c r="M635" t="n">
        <v>0</v>
      </c>
      <c r="N635" t="n">
        <v>0</v>
      </c>
      <c r="O635" t="n">
        <v>0</v>
      </c>
      <c r="P635" t="n">
        <v>0</v>
      </c>
      <c r="Q635" t="n">
        <v>0</v>
      </c>
      <c r="R635" t="n">
        <v>0</v>
      </c>
      <c r="S635" t="n">
        <v>0</v>
      </c>
      <c r="T635" t="n">
        <v>0</v>
      </c>
      <c r="U635" s="2" t="inlineStr"/>
    </row>
    <row r="636" ht="15" customHeight="1">
      <c r="A636" t="inlineStr">
        <is>
          <t>A 15750-2024</t>
        </is>
      </c>
      <c r="B636" t="inlineStr">
        <is>
          <t>avverkningsanmälan</t>
        </is>
      </c>
      <c r="C636" t="inlineStr">
        <is>
          <t>Avverkning för att bevara och utveckla /försöksver</t>
        </is>
      </c>
      <c r="D636" s="1" t="n">
        <v>45404</v>
      </c>
      <c r="E636" s="1" t="n">
        <v>46223</v>
      </c>
      <c r="F636" t="inlineStr">
        <is>
          <t>ÖREBRO LÄN</t>
        </is>
      </c>
      <c r="G636" t="inlineStr">
        <is>
          <t>LINDESBERG</t>
        </is>
      </c>
      <c r="H636" t="inlineStr">
        <is>
          <t>Sveaskog</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60115-2022</t>
        </is>
      </c>
      <c r="B637" t="inlineStr">
        <is>
          <t>avverkningsanmälan</t>
        </is>
      </c>
      <c r="C637" t="inlineStr">
        <is>
          <t>Föryngringsavverkning</t>
        </is>
      </c>
      <c r="D637" s="1" t="n">
        <v>44902</v>
      </c>
      <c r="E637" s="1" t="n">
        <v>46223</v>
      </c>
      <c r="F637" t="inlineStr">
        <is>
          <t>ÖREBRO LÄN</t>
        </is>
      </c>
      <c r="G637" t="inlineStr">
        <is>
          <t>LINDESBERG</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23180-2026</t>
        </is>
      </c>
      <c r="B638" t="inlineStr">
        <is>
          <t>avverkningsanmälan</t>
        </is>
      </c>
      <c r="C638" t="inlineStr">
        <is>
          <t>Föryngringsavverkning</t>
        </is>
      </c>
      <c r="D638" s="1" t="n">
        <v>46161</v>
      </c>
      <c r="E638" s="1" t="n">
        <v>46223</v>
      </c>
      <c r="F638" t="inlineStr">
        <is>
          <t>ÖREBRO LÄN</t>
        </is>
      </c>
      <c r="G638" t="inlineStr">
        <is>
          <t>LINDESBERG</t>
        </is>
      </c>
      <c r="H638" t="inlineStr">
        <is>
          <t>Sveaskog</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29857-2023</t>
        </is>
      </c>
      <c r="B639" t="inlineStr">
        <is>
          <t>avverkningsanmälan</t>
        </is>
      </c>
      <c r="C639" t="inlineStr">
        <is>
          <t>Föryngringsavverkning</t>
        </is>
      </c>
      <c r="D639" s="1" t="n">
        <v>45107</v>
      </c>
      <c r="E639" s="1" t="n">
        <v>46223</v>
      </c>
      <c r="F639" t="inlineStr">
        <is>
          <t>ÖREBRO LÄN</t>
        </is>
      </c>
      <c r="G639" t="inlineStr">
        <is>
          <t>LINDESBERG</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23393-2026</t>
        </is>
      </c>
      <c r="B640" t="inlineStr">
        <is>
          <t>avverkningsanmälan</t>
        </is>
      </c>
      <c r="C640" t="inlineStr">
        <is>
          <t>Föryngringsavverkning</t>
        </is>
      </c>
      <c r="D640" s="1" t="n">
        <v>46162</v>
      </c>
      <c r="E640" s="1" t="n">
        <v>46223</v>
      </c>
      <c r="F640" t="inlineStr">
        <is>
          <t>ÖREBRO LÄN</t>
        </is>
      </c>
      <c r="G640" t="inlineStr">
        <is>
          <t>LINDESBERG</t>
        </is>
      </c>
      <c r="H640" t="inlineStr">
        <is>
          <t>Naturvårdsverket</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44664-2023</t>
        </is>
      </c>
      <c r="B641" t="inlineStr">
        <is>
          <t>avverkningsanmälan</t>
        </is>
      </c>
      <c r="C641" t="inlineStr">
        <is>
          <t>Föryngringsavverkning</t>
        </is>
      </c>
      <c r="D641" s="1" t="n">
        <v>45189</v>
      </c>
      <c r="E641" s="1" t="n">
        <v>46223</v>
      </c>
      <c r="F641" t="inlineStr">
        <is>
          <t>ÖREBRO LÄN</t>
        </is>
      </c>
      <c r="G641" t="inlineStr">
        <is>
          <t>LINDESBERG</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28569-2024</t>
        </is>
      </c>
      <c r="B642" t="inlineStr">
        <is>
          <t>avverkningsanmälan</t>
        </is>
      </c>
      <c r="C642" t="inlineStr">
        <is>
          <t>Avverkning för att bevara och utveckla /försöksver</t>
        </is>
      </c>
      <c r="D642" s="1" t="n">
        <v>45478</v>
      </c>
      <c r="E642" s="1" t="n">
        <v>46223</v>
      </c>
      <c r="F642" t="inlineStr">
        <is>
          <t>ÖREBRO LÄN</t>
        </is>
      </c>
      <c r="G642" t="inlineStr">
        <is>
          <t>LINDESBERG</t>
        </is>
      </c>
      <c r="H642" t="inlineStr">
        <is>
          <t>Sveaskog</t>
        </is>
      </c>
      <c r="I642" t="n">
        <v>2.6</v>
      </c>
      <c r="J642" t="n">
        <v>0</v>
      </c>
      <c r="K642" t="n">
        <v>0</v>
      </c>
      <c r="L642" t="n">
        <v>0</v>
      </c>
      <c r="M642" t="n">
        <v>0</v>
      </c>
      <c r="N642" t="n">
        <v>0</v>
      </c>
      <c r="O642" t="n">
        <v>0</v>
      </c>
      <c r="P642" t="n">
        <v>0</v>
      </c>
      <c r="Q642" t="n">
        <v>0</v>
      </c>
      <c r="R642" t="n">
        <v>0</v>
      </c>
      <c r="S642" t="n">
        <v>0</v>
      </c>
      <c r="T642" t="n">
        <v>0</v>
      </c>
      <c r="U642" s="2" t="inlineStr"/>
    </row>
    <row r="643" ht="15" customHeight="1">
      <c r="A643" t="inlineStr">
        <is>
          <t>A 23338-2026</t>
        </is>
      </c>
      <c r="B643" t="inlineStr">
        <is>
          <t>avverkningsanmälan</t>
        </is>
      </c>
      <c r="C643" t="inlineStr">
        <is>
          <t>Föryngringsavverkning</t>
        </is>
      </c>
      <c r="D643" s="1" t="n">
        <v>46162</v>
      </c>
      <c r="E643" s="1" t="n">
        <v>46223</v>
      </c>
      <c r="F643" t="inlineStr">
        <is>
          <t>ÖREBRO LÄN</t>
        </is>
      </c>
      <c r="G643" t="inlineStr">
        <is>
          <t>LINDESBERG</t>
        </is>
      </c>
      <c r="H643" t="inlineStr">
        <is>
          <t>Naturvårdsverket</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23175-2026</t>
        </is>
      </c>
      <c r="B644" t="inlineStr">
        <is>
          <t>avverkningsanmälan</t>
        </is>
      </c>
      <c r="C644" t="inlineStr">
        <is>
          <t>Föryngringsavverkning</t>
        </is>
      </c>
      <c r="D644" s="1" t="n">
        <v>46161</v>
      </c>
      <c r="E644" s="1" t="n">
        <v>46223</v>
      </c>
      <c r="F644" t="inlineStr">
        <is>
          <t>ÖREBRO LÄN</t>
        </is>
      </c>
      <c r="G644" t="inlineStr">
        <is>
          <t>LINDESBERG</t>
        </is>
      </c>
      <c r="H644" t="inlineStr">
        <is>
          <t>Sveaskog</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23174-2026</t>
        </is>
      </c>
      <c r="B645" t="inlineStr">
        <is>
          <t>avverkningsanmälan</t>
        </is>
      </c>
      <c r="C645" t="inlineStr">
        <is>
          <t>Föryngringsavverkning</t>
        </is>
      </c>
      <c r="D645" s="1" t="n">
        <v>46161</v>
      </c>
      <c r="E645" s="1" t="n">
        <v>46223</v>
      </c>
      <c r="F645" t="inlineStr">
        <is>
          <t>ÖREBRO LÄN</t>
        </is>
      </c>
      <c r="G645" t="inlineStr">
        <is>
          <t>LINDESBERG</t>
        </is>
      </c>
      <c r="H645" t="inlineStr">
        <is>
          <t>Sveaskog</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23184-2026</t>
        </is>
      </c>
      <c r="B646" t="inlineStr">
        <is>
          <t>avverkningsanmälan</t>
        </is>
      </c>
      <c r="C646" t="inlineStr">
        <is>
          <t>Föryngringsavverkning</t>
        </is>
      </c>
      <c r="D646" s="1" t="n">
        <v>46161</v>
      </c>
      <c r="E646" s="1" t="n">
        <v>46223</v>
      </c>
      <c r="F646" t="inlineStr">
        <is>
          <t>ÖREBRO LÄN</t>
        </is>
      </c>
      <c r="G646" t="inlineStr">
        <is>
          <t>LINDESBERG</t>
        </is>
      </c>
      <c r="H646" t="inlineStr">
        <is>
          <t>Sveaskog</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23187-2026</t>
        </is>
      </c>
      <c r="B647" t="inlineStr">
        <is>
          <t>avverkningsanmälan</t>
        </is>
      </c>
      <c r="C647" t="inlineStr">
        <is>
          <t>Föryngringsavverkning</t>
        </is>
      </c>
      <c r="D647" s="1" t="n">
        <v>46161</v>
      </c>
      <c r="E647" s="1" t="n">
        <v>46223</v>
      </c>
      <c r="F647" t="inlineStr">
        <is>
          <t>ÖREBRO LÄN</t>
        </is>
      </c>
      <c r="G647" t="inlineStr">
        <is>
          <t>LINDESBERG</t>
        </is>
      </c>
      <c r="H647" t="inlineStr">
        <is>
          <t>Sveaskog</t>
        </is>
      </c>
      <c r="I647" t="n">
        <v>2</v>
      </c>
      <c r="J647" t="n">
        <v>0</v>
      </c>
      <c r="K647" t="n">
        <v>0</v>
      </c>
      <c r="L647" t="n">
        <v>0</v>
      </c>
      <c r="M647" t="n">
        <v>0</v>
      </c>
      <c r="N647" t="n">
        <v>0</v>
      </c>
      <c r="O647" t="n">
        <v>0</v>
      </c>
      <c r="P647" t="n">
        <v>0</v>
      </c>
      <c r="Q647" t="n">
        <v>0</v>
      </c>
      <c r="R647" t="n">
        <v>0</v>
      </c>
      <c r="S647" t="n">
        <v>0</v>
      </c>
      <c r="T647" t="n">
        <v>0</v>
      </c>
      <c r="U647" s="2" t="inlineStr"/>
    </row>
    <row r="648" ht="15" customHeight="1">
      <c r="A648" t="inlineStr">
        <is>
          <t>A 23191-2026</t>
        </is>
      </c>
      <c r="B648" t="inlineStr">
        <is>
          <t>avverkningsanmälan</t>
        </is>
      </c>
      <c r="C648" t="inlineStr">
        <is>
          <t>Föryngringsavverkning</t>
        </is>
      </c>
      <c r="D648" s="1" t="n">
        <v>46161</v>
      </c>
      <c r="E648" s="1" t="n">
        <v>46223</v>
      </c>
      <c r="F648" t="inlineStr">
        <is>
          <t>ÖREBRO LÄN</t>
        </is>
      </c>
      <c r="G648" t="inlineStr">
        <is>
          <t>LINDESBERG</t>
        </is>
      </c>
      <c r="H648" t="inlineStr">
        <is>
          <t>Sveaskog</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23190-2026</t>
        </is>
      </c>
      <c r="B649" t="inlineStr">
        <is>
          <t>avverkningsanmälan</t>
        </is>
      </c>
      <c r="C649" t="inlineStr">
        <is>
          <t>Föryngringsavverkning</t>
        </is>
      </c>
      <c r="D649" s="1" t="n">
        <v>46161</v>
      </c>
      <c r="E649" s="1" t="n">
        <v>46223</v>
      </c>
      <c r="F649" t="inlineStr">
        <is>
          <t>ÖREBRO LÄN</t>
        </is>
      </c>
      <c r="G649" t="inlineStr">
        <is>
          <t>LINDESBERG</t>
        </is>
      </c>
      <c r="H649" t="inlineStr">
        <is>
          <t>Sveaskog</t>
        </is>
      </c>
      <c r="I649" t="n">
        <v>2.3</v>
      </c>
      <c r="J649" t="n">
        <v>0</v>
      </c>
      <c r="K649" t="n">
        <v>0</v>
      </c>
      <c r="L649" t="n">
        <v>0</v>
      </c>
      <c r="M649" t="n">
        <v>0</v>
      </c>
      <c r="N649" t="n">
        <v>0</v>
      </c>
      <c r="O649" t="n">
        <v>0</v>
      </c>
      <c r="P649" t="n">
        <v>0</v>
      </c>
      <c r="Q649" t="n">
        <v>0</v>
      </c>
      <c r="R649" t="n">
        <v>0</v>
      </c>
      <c r="S649" t="n">
        <v>0</v>
      </c>
      <c r="T649" t="n">
        <v>0</v>
      </c>
      <c r="U649" s="2" t="inlineStr"/>
    </row>
    <row r="650" ht="15" customHeight="1">
      <c r="A650" t="inlineStr">
        <is>
          <t>A 23173-2026</t>
        </is>
      </c>
      <c r="B650" t="inlineStr">
        <is>
          <t>avverkningsanmälan</t>
        </is>
      </c>
      <c r="C650" t="inlineStr">
        <is>
          <t>Föryngringsavverkning</t>
        </is>
      </c>
      <c r="D650" s="1" t="n">
        <v>46161</v>
      </c>
      <c r="E650" s="1" t="n">
        <v>46223</v>
      </c>
      <c r="F650" t="inlineStr">
        <is>
          <t>ÖREBRO LÄN</t>
        </is>
      </c>
      <c r="G650" t="inlineStr">
        <is>
          <t>LINDESBERG</t>
        </is>
      </c>
      <c r="H650" t="inlineStr">
        <is>
          <t>Sveaskog</t>
        </is>
      </c>
      <c r="I650" t="n">
        <v>3.1</v>
      </c>
      <c r="J650" t="n">
        <v>0</v>
      </c>
      <c r="K650" t="n">
        <v>0</v>
      </c>
      <c r="L650" t="n">
        <v>0</v>
      </c>
      <c r="M650" t="n">
        <v>0</v>
      </c>
      <c r="N650" t="n">
        <v>0</v>
      </c>
      <c r="O650" t="n">
        <v>0</v>
      </c>
      <c r="P650" t="n">
        <v>0</v>
      </c>
      <c r="Q650" t="n">
        <v>0</v>
      </c>
      <c r="R650" t="n">
        <v>0</v>
      </c>
      <c r="S650" t="n">
        <v>0</v>
      </c>
      <c r="T650" t="n">
        <v>0</v>
      </c>
      <c r="U650" s="2" t="inlineStr"/>
    </row>
    <row r="651" ht="15" customHeight="1">
      <c r="A651" t="inlineStr">
        <is>
          <t>A 29405-2026</t>
        </is>
      </c>
      <c r="B651" t="inlineStr">
        <is>
          <t>avverkningsanmälan</t>
        </is>
      </c>
      <c r="C651" t="inlineStr">
        <is>
          <t>Föryngringsavverkning</t>
        </is>
      </c>
      <c r="D651" s="1" t="n">
        <v>46203</v>
      </c>
      <c r="E651" s="1" t="n">
        <v>46223</v>
      </c>
      <c r="F651" t="inlineStr">
        <is>
          <t>ÖREBRO LÄN</t>
        </is>
      </c>
      <c r="G651" t="inlineStr">
        <is>
          <t>LINDESBERG</t>
        </is>
      </c>
      <c r="H651" t="inlineStr">
        <is>
          <t>Sveaskog</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29408-2026</t>
        </is>
      </c>
      <c r="B652" t="inlineStr">
        <is>
          <t>avverkningsanmälan</t>
        </is>
      </c>
      <c r="C652" t="inlineStr">
        <is>
          <t>Föryngringsavverkning</t>
        </is>
      </c>
      <c r="D652" s="1" t="n">
        <v>46203</v>
      </c>
      <c r="E652" s="1" t="n">
        <v>46223</v>
      </c>
      <c r="F652" t="inlineStr">
        <is>
          <t>ÖREBRO LÄN</t>
        </is>
      </c>
      <c r="G652" t="inlineStr">
        <is>
          <t>LINDESBERG</t>
        </is>
      </c>
      <c r="H652" t="inlineStr">
        <is>
          <t>Sveaskog</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47535-2022</t>
        </is>
      </c>
      <c r="B653" t="inlineStr">
        <is>
          <t>avverkningsanmälan</t>
        </is>
      </c>
      <c r="C653" t="inlineStr">
        <is>
          <t>Föryngringsavverkning</t>
        </is>
      </c>
      <c r="D653" s="1" t="n">
        <v>44853</v>
      </c>
      <c r="E653" s="1" t="n">
        <v>46223</v>
      </c>
      <c r="F653" t="inlineStr">
        <is>
          <t>ÖREBRO LÄN</t>
        </is>
      </c>
      <c r="G653" t="inlineStr">
        <is>
          <t>LINDESBERG</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23188-2026</t>
        </is>
      </c>
      <c r="B654" t="inlineStr">
        <is>
          <t>avverkningsanmälan</t>
        </is>
      </c>
      <c r="C654" t="inlineStr">
        <is>
          <t>Föryngringsavverkning</t>
        </is>
      </c>
      <c r="D654" s="1" t="n">
        <v>46161</v>
      </c>
      <c r="E654" s="1" t="n">
        <v>46223</v>
      </c>
      <c r="F654" t="inlineStr">
        <is>
          <t>ÖREBRO LÄN</t>
        </is>
      </c>
      <c r="G654" t="inlineStr">
        <is>
          <t>LINDESBERG</t>
        </is>
      </c>
      <c r="H654" t="inlineStr">
        <is>
          <t>Sveaskog</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30830-2024</t>
        </is>
      </c>
      <c r="B655" t="inlineStr">
        <is>
          <t>avverkningsanmälan</t>
        </is>
      </c>
      <c r="C655" t="inlineStr">
        <is>
          <t>Avverkning för annat ändamål</t>
        </is>
      </c>
      <c r="D655" s="1" t="n">
        <v>45497</v>
      </c>
      <c r="E655" s="1" t="n">
        <v>46223</v>
      </c>
      <c r="F655" t="inlineStr">
        <is>
          <t>ÖREBRO LÄN</t>
        </is>
      </c>
      <c r="G655" t="inlineStr">
        <is>
          <t>LINDESBERG</t>
        </is>
      </c>
      <c r="I655" t="n">
        <v>2.8</v>
      </c>
      <c r="J655" t="n">
        <v>0</v>
      </c>
      <c r="K655" t="n">
        <v>0</v>
      </c>
      <c r="L655" t="n">
        <v>0</v>
      </c>
      <c r="M655" t="n">
        <v>0</v>
      </c>
      <c r="N655" t="n">
        <v>0</v>
      </c>
      <c r="O655" t="n">
        <v>0</v>
      </c>
      <c r="P655" t="n">
        <v>0</v>
      </c>
      <c r="Q655" t="n">
        <v>0</v>
      </c>
      <c r="R655" t="n">
        <v>0</v>
      </c>
      <c r="S655" t="n">
        <v>0</v>
      </c>
      <c r="T655" t="n">
        <v>0</v>
      </c>
      <c r="U655" s="2" t="inlineStr"/>
    </row>
    <row r="656" ht="15" customHeight="1">
      <c r="A656" t="inlineStr">
        <is>
          <t>A 25842-2025</t>
        </is>
      </c>
      <c r="B656" t="inlineStr">
        <is>
          <t>avverkningsanmälan</t>
        </is>
      </c>
      <c r="C656" t="inlineStr">
        <is>
          <t>Föryngringsavverkning</t>
        </is>
      </c>
      <c r="D656" s="1" t="n">
        <v>45804</v>
      </c>
      <c r="E656" s="1" t="n">
        <v>46223</v>
      </c>
      <c r="F656" t="inlineStr">
        <is>
          <t>ÖREBRO LÄN</t>
        </is>
      </c>
      <c r="G656" t="inlineStr">
        <is>
          <t>LINDESBERG</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59395-2022</t>
        </is>
      </c>
      <c r="B657" t="inlineStr">
        <is>
          <t>avverkningsanmälan</t>
        </is>
      </c>
      <c r="C657" t="inlineStr">
        <is>
          <t>Föryngringsavverkning</t>
        </is>
      </c>
      <c r="D657" s="1" t="n">
        <v>44906</v>
      </c>
      <c r="E657" s="1" t="n">
        <v>46223</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s="2" t="inlineStr"/>
    </row>
    <row r="658" ht="15" customHeight="1">
      <c r="A658" t="inlineStr">
        <is>
          <t>A 23181-2026</t>
        </is>
      </c>
      <c r="B658" t="inlineStr">
        <is>
          <t>avverkningsanmälan</t>
        </is>
      </c>
      <c r="C658" t="inlineStr">
        <is>
          <t>Föryngringsavverkning</t>
        </is>
      </c>
      <c r="D658" s="1" t="n">
        <v>46161</v>
      </c>
      <c r="E658" s="1" t="n">
        <v>46223</v>
      </c>
      <c r="F658" t="inlineStr">
        <is>
          <t>ÖREBRO LÄN</t>
        </is>
      </c>
      <c r="G658" t="inlineStr">
        <is>
          <t>LINDESBERG</t>
        </is>
      </c>
      <c r="H658" t="inlineStr">
        <is>
          <t>Sveaskog</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55272-2023</t>
        </is>
      </c>
      <c r="B659" t="inlineStr">
        <is>
          <t>avverkningsanmälan</t>
        </is>
      </c>
      <c r="C659" t="inlineStr">
        <is>
          <t>Föryngringsavverkning</t>
        </is>
      </c>
      <c r="D659" s="1" t="n">
        <v>45237</v>
      </c>
      <c r="E659" s="1" t="n">
        <v>46223</v>
      </c>
      <c r="F659" t="inlineStr">
        <is>
          <t>ÖREBRO LÄN</t>
        </is>
      </c>
      <c r="G659" t="inlineStr">
        <is>
          <t>LINDESBERG</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23177-2026</t>
        </is>
      </c>
      <c r="B660" t="inlineStr">
        <is>
          <t>avverkningsanmälan</t>
        </is>
      </c>
      <c r="C660" t="inlineStr">
        <is>
          <t>Föryngringsavverkning</t>
        </is>
      </c>
      <c r="D660" s="1" t="n">
        <v>46161</v>
      </c>
      <c r="E660" s="1" t="n">
        <v>46223</v>
      </c>
      <c r="F660" t="inlineStr">
        <is>
          <t>ÖREBRO LÄN</t>
        </is>
      </c>
      <c r="G660" t="inlineStr">
        <is>
          <t>LINDESBERG</t>
        </is>
      </c>
      <c r="H660" t="inlineStr">
        <is>
          <t>Sveaskog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27576-2024</t>
        </is>
      </c>
      <c r="B661" t="inlineStr">
        <is>
          <t>avverkningsanmälan</t>
        </is>
      </c>
      <c r="C661" t="inlineStr">
        <is>
          <t>Föryngringsavverkning</t>
        </is>
      </c>
      <c r="D661" s="1" t="n">
        <v>45474</v>
      </c>
      <c r="E661" s="1" t="n">
        <v>46223</v>
      </c>
      <c r="F661" t="inlineStr">
        <is>
          <t>ÖREBRO LÄN</t>
        </is>
      </c>
      <c r="G661" t="inlineStr">
        <is>
          <t>LINDESBERG</t>
        </is>
      </c>
      <c r="H661" t="inlineStr">
        <is>
          <t>Kyrkan</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30220-2026</t>
        </is>
      </c>
      <c r="B662" t="inlineStr">
        <is>
          <t>avverkningsanmälan</t>
        </is>
      </c>
      <c r="C662" t="inlineStr">
        <is>
          <t>Föryngringsavverkning</t>
        </is>
      </c>
      <c r="D662" s="1" t="n">
        <v>46206</v>
      </c>
      <c r="E662" s="1" t="n">
        <v>46223</v>
      </c>
      <c r="F662" t="inlineStr">
        <is>
          <t>ÖREBRO LÄN</t>
        </is>
      </c>
      <c r="G662" t="inlineStr">
        <is>
          <t>LINDESBERG</t>
        </is>
      </c>
      <c r="H662" t="inlineStr">
        <is>
          <t>Sveaskog</t>
        </is>
      </c>
      <c r="I662" t="n">
        <v>2.6</v>
      </c>
      <c r="J662" t="n">
        <v>0</v>
      </c>
      <c r="K662" t="n">
        <v>0</v>
      </c>
      <c r="L662" t="n">
        <v>0</v>
      </c>
      <c r="M662" t="n">
        <v>0</v>
      </c>
      <c r="N662" t="n">
        <v>0</v>
      </c>
      <c r="O662" t="n">
        <v>0</v>
      </c>
      <c r="P662" t="n">
        <v>0</v>
      </c>
      <c r="Q662" t="n">
        <v>0</v>
      </c>
      <c r="R662" t="n">
        <v>0</v>
      </c>
      <c r="S662" t="n">
        <v>0</v>
      </c>
      <c r="T662" t="n">
        <v>0</v>
      </c>
      <c r="U662" s="2" t="inlineStr"/>
    </row>
    <row r="663" ht="15" customHeight="1">
      <c r="A663" t="inlineStr">
        <is>
          <t>A 52930-2024</t>
        </is>
      </c>
      <c r="B663" t="inlineStr">
        <is>
          <t>avverkningsanmälan</t>
        </is>
      </c>
      <c r="C663" t="inlineStr">
        <is>
          <t>Föryngringsavverkning</t>
        </is>
      </c>
      <c r="D663" s="1" t="n">
        <v>45610</v>
      </c>
      <c r="E663" s="1" t="n">
        <v>46223</v>
      </c>
      <c r="F663" t="inlineStr">
        <is>
          <t>ÖREBRO LÄN</t>
        </is>
      </c>
      <c r="G663" t="inlineStr">
        <is>
          <t>LINDESBERG</t>
        </is>
      </c>
      <c r="I663" t="n">
        <v>2.8</v>
      </c>
      <c r="J663" t="n">
        <v>0</v>
      </c>
      <c r="K663" t="n">
        <v>0</v>
      </c>
      <c r="L663" t="n">
        <v>0</v>
      </c>
      <c r="M663" t="n">
        <v>0</v>
      </c>
      <c r="N663" t="n">
        <v>0</v>
      </c>
      <c r="O663" t="n">
        <v>0</v>
      </c>
      <c r="P663" t="n">
        <v>0</v>
      </c>
      <c r="Q663" t="n">
        <v>0</v>
      </c>
      <c r="R663" t="n">
        <v>0</v>
      </c>
      <c r="S663" t="n">
        <v>0</v>
      </c>
      <c r="T663" t="n">
        <v>0</v>
      </c>
      <c r="U663" s="2" t="inlineStr"/>
    </row>
    <row r="664" ht="15" customHeight="1">
      <c r="A664" t="inlineStr">
        <is>
          <t>A 2103-2022</t>
        </is>
      </c>
      <c r="B664" t="inlineStr">
        <is>
          <t>avverkningsanmälan</t>
        </is>
      </c>
      <c r="C664" t="inlineStr">
        <is>
          <t>Föryngringsavverkning</t>
        </is>
      </c>
      <c r="D664" s="1" t="n">
        <v>44577</v>
      </c>
      <c r="E664" s="1" t="n">
        <v>46223</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54860-2024</t>
        </is>
      </c>
      <c r="B665" t="inlineStr">
        <is>
          <t>avverkningsanmälan</t>
        </is>
      </c>
      <c r="C665" t="inlineStr">
        <is>
          <t>Avverkning för annat ändamål</t>
        </is>
      </c>
      <c r="D665" s="1" t="n">
        <v>45618</v>
      </c>
      <c r="E665" s="1" t="n">
        <v>46223</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s="2" t="inlineStr"/>
    </row>
    <row r="666" ht="15" customHeight="1">
      <c r="A666" t="inlineStr">
        <is>
          <t>A 49358-2023</t>
        </is>
      </c>
      <c r="B666" t="inlineStr">
        <is>
          <t>avverkningsanmälan</t>
        </is>
      </c>
      <c r="C666" t="inlineStr">
        <is>
          <t>Föryngringsavverkning</t>
        </is>
      </c>
      <c r="D666" s="1" t="n">
        <v>45211</v>
      </c>
      <c r="E666" s="1" t="n">
        <v>46223</v>
      </c>
      <c r="F666" t="inlineStr">
        <is>
          <t>ÖREBRO LÄN</t>
        </is>
      </c>
      <c r="G666" t="inlineStr">
        <is>
          <t>LINDESBERG</t>
        </is>
      </c>
      <c r="H666" t="inlineStr">
        <is>
          <t>Sveaskog</t>
        </is>
      </c>
      <c r="I666" t="n">
        <v>4.7</v>
      </c>
      <c r="J666" t="n">
        <v>0</v>
      </c>
      <c r="K666" t="n">
        <v>0</v>
      </c>
      <c r="L666" t="n">
        <v>0</v>
      </c>
      <c r="M666" t="n">
        <v>0</v>
      </c>
      <c r="N666" t="n">
        <v>0</v>
      </c>
      <c r="O666" t="n">
        <v>0</v>
      </c>
      <c r="P666" t="n">
        <v>0</v>
      </c>
      <c r="Q666" t="n">
        <v>0</v>
      </c>
      <c r="R666" t="n">
        <v>0</v>
      </c>
      <c r="S666" t="n">
        <v>0</v>
      </c>
      <c r="T666" t="n">
        <v>0</v>
      </c>
      <c r="U666" s="2" t="inlineStr"/>
    </row>
    <row r="667" ht="15" customHeight="1">
      <c r="A667" t="inlineStr">
        <is>
          <t>A 30293-2026</t>
        </is>
      </c>
      <c r="B667" t="inlineStr">
        <is>
          <t>avverkningsanmälan</t>
        </is>
      </c>
      <c r="C667" t="inlineStr">
        <is>
          <t>Avverkning för annat ändamål</t>
        </is>
      </c>
      <c r="D667" s="1" t="n">
        <v>46206</v>
      </c>
      <c r="E667" s="1" t="n">
        <v>46223</v>
      </c>
      <c r="F667" t="inlineStr">
        <is>
          <t>ÖREBRO LÄN</t>
        </is>
      </c>
      <c r="G667" t="inlineStr">
        <is>
          <t>LINDESBERG</t>
        </is>
      </c>
      <c r="H667" t="inlineStr">
        <is>
          <t>Sveaskog</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23579-2022</t>
        </is>
      </c>
      <c r="B668" t="inlineStr">
        <is>
          <t>avverkningsanmälan</t>
        </is>
      </c>
      <c r="C668" t="inlineStr">
        <is>
          <t>Föryngringsavverkning</t>
        </is>
      </c>
      <c r="D668" s="1" t="n">
        <v>44721</v>
      </c>
      <c r="E668" s="1" t="n">
        <v>46223</v>
      </c>
      <c r="F668" t="inlineStr">
        <is>
          <t>ÖREBRO LÄN</t>
        </is>
      </c>
      <c r="G668" t="inlineStr">
        <is>
          <t>LINDESBERG</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32009-2023</t>
        </is>
      </c>
      <c r="B669" t="inlineStr">
        <is>
          <t>avverkningsanmälan</t>
        </is>
      </c>
      <c r="C669" t="inlineStr">
        <is>
          <t>Föryngringsavverkning</t>
        </is>
      </c>
      <c r="D669" s="1" t="n">
        <v>45119</v>
      </c>
      <c r="E669" s="1" t="n">
        <v>46223</v>
      </c>
      <c r="F669" t="inlineStr">
        <is>
          <t>ÖREBRO LÄN</t>
        </is>
      </c>
      <c r="G669" t="inlineStr">
        <is>
          <t>LINDESBERG</t>
        </is>
      </c>
      <c r="H669" t="inlineStr">
        <is>
          <t>Kyrkan</t>
        </is>
      </c>
      <c r="I669" t="n">
        <v>0.8</v>
      </c>
      <c r="J669" t="n">
        <v>0</v>
      </c>
      <c r="K669" t="n">
        <v>0</v>
      </c>
      <c r="L669" t="n">
        <v>0</v>
      </c>
      <c r="M669" t="n">
        <v>0</v>
      </c>
      <c r="N669" t="n">
        <v>0</v>
      </c>
      <c r="O669" t="n">
        <v>0</v>
      </c>
      <c r="P669" t="n">
        <v>0</v>
      </c>
      <c r="Q669" t="n">
        <v>0</v>
      </c>
      <c r="R669" t="n">
        <v>0</v>
      </c>
      <c r="S669" t="n">
        <v>0</v>
      </c>
      <c r="T669" t="n">
        <v>0</v>
      </c>
      <c r="U669" s="2" t="inlineStr"/>
    </row>
    <row r="670" ht="15" customHeight="1">
      <c r="A670" t="inlineStr">
        <is>
          <t>A 23260-2024</t>
        </is>
      </c>
      <c r="B670" t="inlineStr">
        <is>
          <t>avverkningsanmälan</t>
        </is>
      </c>
      <c r="C670" t="inlineStr">
        <is>
          <t>Avverkning för annat ändamål</t>
        </is>
      </c>
      <c r="D670" s="1" t="n">
        <v>45453</v>
      </c>
      <c r="E670" s="1" t="n">
        <v>46223</v>
      </c>
      <c r="F670" t="inlineStr">
        <is>
          <t>ÖREBRO LÄN</t>
        </is>
      </c>
      <c r="G670" t="inlineStr">
        <is>
          <t>LINDESBERG</t>
        </is>
      </c>
      <c r="H670" t="inlineStr">
        <is>
          <t>Sveaskog</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26067-2022</t>
        </is>
      </c>
      <c r="B671" t="inlineStr">
        <is>
          <t>avverkningsanmälan</t>
        </is>
      </c>
      <c r="C671" t="inlineStr">
        <is>
          <t>Föryngringsavverkning</t>
        </is>
      </c>
      <c r="D671" s="1" t="n">
        <v>44734</v>
      </c>
      <c r="E671" s="1" t="n">
        <v>46223</v>
      </c>
      <c r="F671" t="inlineStr">
        <is>
          <t>ÖREBRO LÄN</t>
        </is>
      </c>
      <c r="G671" t="inlineStr">
        <is>
          <t>LINDESBERG</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3233-2023</t>
        </is>
      </c>
      <c r="B672" t="inlineStr">
        <is>
          <t>avverkningsanmälan</t>
        </is>
      </c>
      <c r="C672" t="inlineStr">
        <is>
          <t>Föryngringsavverkning</t>
        </is>
      </c>
      <c r="D672" s="1" t="n">
        <v>44946</v>
      </c>
      <c r="E672" s="1" t="n">
        <v>46223</v>
      </c>
      <c r="F672" t="inlineStr">
        <is>
          <t>ÖREBRO LÄN</t>
        </is>
      </c>
      <c r="G672" t="inlineStr">
        <is>
          <t>LINDESBERG</t>
        </is>
      </c>
      <c r="I672" t="n">
        <v>3</v>
      </c>
      <c r="J672" t="n">
        <v>0</v>
      </c>
      <c r="K672" t="n">
        <v>0</v>
      </c>
      <c r="L672" t="n">
        <v>0</v>
      </c>
      <c r="M672" t="n">
        <v>0</v>
      </c>
      <c r="N672" t="n">
        <v>0</v>
      </c>
      <c r="O672" t="n">
        <v>0</v>
      </c>
      <c r="P672" t="n">
        <v>0</v>
      </c>
      <c r="Q672" t="n">
        <v>0</v>
      </c>
      <c r="R672" t="n">
        <v>0</v>
      </c>
      <c r="S672" t="n">
        <v>0</v>
      </c>
      <c r="T672" t="n">
        <v>0</v>
      </c>
      <c r="U672" s="2" t="inlineStr"/>
    </row>
    <row r="673" ht="15" customHeight="1">
      <c r="A673" t="inlineStr">
        <is>
          <t>A 5047-2023</t>
        </is>
      </c>
      <c r="B673" t="inlineStr">
        <is>
          <t>avverkningsanmälan</t>
        </is>
      </c>
      <c r="C673" t="inlineStr">
        <is>
          <t>Föryngringsavverkning</t>
        </is>
      </c>
      <c r="D673" s="1" t="n">
        <v>44958</v>
      </c>
      <c r="E673" s="1" t="n">
        <v>46223</v>
      </c>
      <c r="F673" t="inlineStr">
        <is>
          <t>ÖREBRO LÄN</t>
        </is>
      </c>
      <c r="G673" t="inlineStr">
        <is>
          <t>LINDESBERG</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8836-2023</t>
        </is>
      </c>
      <c r="B674" t="inlineStr">
        <is>
          <t>avverkningsanmälan</t>
        </is>
      </c>
      <c r="C674" t="inlineStr">
        <is>
          <t>Föryngringsavverkning</t>
        </is>
      </c>
      <c r="D674" s="1" t="n">
        <v>44978</v>
      </c>
      <c r="E674" s="1" t="n">
        <v>46223</v>
      </c>
      <c r="F674" t="inlineStr">
        <is>
          <t>ÖREBRO LÄN</t>
        </is>
      </c>
      <c r="G674" t="inlineStr">
        <is>
          <t>LINDESBERG</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30299-2026</t>
        </is>
      </c>
      <c r="B675" t="inlineStr">
        <is>
          <t>avverkningsanmälan</t>
        </is>
      </c>
      <c r="C675" t="inlineStr">
        <is>
          <t>Avverkning för annat ändamål</t>
        </is>
      </c>
      <c r="D675" s="1" t="n">
        <v>46206</v>
      </c>
      <c r="E675" s="1" t="n">
        <v>46223</v>
      </c>
      <c r="F675" t="inlineStr">
        <is>
          <t>ÖREBRO LÄN</t>
        </is>
      </c>
      <c r="G675" t="inlineStr">
        <is>
          <t>LINDESBERG</t>
        </is>
      </c>
      <c r="H675" t="inlineStr">
        <is>
          <t>Sveaskog</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20387-2026</t>
        </is>
      </c>
      <c r="B676" t="inlineStr">
        <is>
          <t>avverkningsanmälan</t>
        </is>
      </c>
      <c r="C676" t="inlineStr">
        <is>
          <t>Föryngringsavverkning</t>
        </is>
      </c>
      <c r="D676" s="1" t="n">
        <v>46139</v>
      </c>
      <c r="E676" s="1" t="n">
        <v>46223</v>
      </c>
      <c r="F676" t="inlineStr">
        <is>
          <t>ÖREBRO LÄN</t>
        </is>
      </c>
      <c r="G676" t="inlineStr">
        <is>
          <t>LINDESBERG</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23912-2026</t>
        </is>
      </c>
      <c r="B677" t="inlineStr">
        <is>
          <t>avverkningsanmälan</t>
        </is>
      </c>
      <c r="C677" t="inlineStr">
        <is>
          <t>Föryngringsavverkning</t>
        </is>
      </c>
      <c r="D677" s="1" t="n">
        <v>46167</v>
      </c>
      <c r="E677" s="1" t="n">
        <v>46223</v>
      </c>
      <c r="F677" t="inlineStr">
        <is>
          <t>ÖREBRO LÄN</t>
        </is>
      </c>
      <c r="G677" t="inlineStr">
        <is>
          <t>LINDESBERG</t>
        </is>
      </c>
      <c r="H677" t="inlineStr">
        <is>
          <t>Naturvårdsverket</t>
        </is>
      </c>
      <c r="I677" t="n">
        <v>5.5</v>
      </c>
      <c r="J677" t="n">
        <v>0</v>
      </c>
      <c r="K677" t="n">
        <v>0</v>
      </c>
      <c r="L677" t="n">
        <v>0</v>
      </c>
      <c r="M677" t="n">
        <v>0</v>
      </c>
      <c r="N677" t="n">
        <v>0</v>
      </c>
      <c r="O677" t="n">
        <v>0</v>
      </c>
      <c r="P677" t="n">
        <v>0</v>
      </c>
      <c r="Q677" t="n">
        <v>0</v>
      </c>
      <c r="R677" t="n">
        <v>0</v>
      </c>
      <c r="S677" t="n">
        <v>0</v>
      </c>
      <c r="T677" t="n">
        <v>0</v>
      </c>
      <c r="U677" s="2" t="inlineStr"/>
    </row>
    <row r="678" ht="15" customHeight="1">
      <c r="A678" t="inlineStr">
        <is>
          <t>A 46219-2022</t>
        </is>
      </c>
      <c r="B678" t="inlineStr">
        <is>
          <t>avverkningsanmälan</t>
        </is>
      </c>
      <c r="C678" t="inlineStr">
        <is>
          <t>Föryngringsavverkning</t>
        </is>
      </c>
      <c r="D678" s="1" t="n">
        <v>44846</v>
      </c>
      <c r="E678" s="1" t="n">
        <v>46223</v>
      </c>
      <c r="F678" t="inlineStr">
        <is>
          <t>ÖREBRO LÄN</t>
        </is>
      </c>
      <c r="G678" t="inlineStr">
        <is>
          <t>LINDESBERG</t>
        </is>
      </c>
      <c r="I678" t="n">
        <v>6</v>
      </c>
      <c r="J678" t="n">
        <v>0</v>
      </c>
      <c r="K678" t="n">
        <v>0</v>
      </c>
      <c r="L678" t="n">
        <v>0</v>
      </c>
      <c r="M678" t="n">
        <v>0</v>
      </c>
      <c r="N678" t="n">
        <v>0</v>
      </c>
      <c r="O678" t="n">
        <v>0</v>
      </c>
      <c r="P678" t="n">
        <v>0</v>
      </c>
      <c r="Q678" t="n">
        <v>0</v>
      </c>
      <c r="R678" t="n">
        <v>0</v>
      </c>
      <c r="S678" t="n">
        <v>0</v>
      </c>
      <c r="T678" t="n">
        <v>0</v>
      </c>
      <c r="U678" s="2" t="inlineStr"/>
    </row>
    <row r="679" ht="15" customHeight="1">
      <c r="A679" t="inlineStr">
        <is>
          <t>A 23910-2026</t>
        </is>
      </c>
      <c r="B679" t="inlineStr">
        <is>
          <t>avverkningsanmälan</t>
        </is>
      </c>
      <c r="C679" t="inlineStr">
        <is>
          <t>Föryngringsavverkning</t>
        </is>
      </c>
      <c r="D679" s="1" t="n">
        <v>46167</v>
      </c>
      <c r="E679" s="1" t="n">
        <v>46223</v>
      </c>
      <c r="F679" t="inlineStr">
        <is>
          <t>ÖREBRO LÄN</t>
        </is>
      </c>
      <c r="G679" t="inlineStr">
        <is>
          <t>LINDESBERG</t>
        </is>
      </c>
      <c r="H679" t="inlineStr">
        <is>
          <t>Naturvårdsverket</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48244-2024</t>
        </is>
      </c>
      <c r="B680" t="inlineStr">
        <is>
          <t>avverkningsanmälan</t>
        </is>
      </c>
      <c r="C680" t="inlineStr">
        <is>
          <t>Föryngringsavverkning</t>
        </is>
      </c>
      <c r="D680" s="1" t="n">
        <v>45590</v>
      </c>
      <c r="E680" s="1" t="n">
        <v>46223</v>
      </c>
      <c r="F680" t="inlineStr">
        <is>
          <t>ÖREBRO LÄN</t>
        </is>
      </c>
      <c r="G680" t="inlineStr">
        <is>
          <t>LINDESBERG</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59633-2023</t>
        </is>
      </c>
      <c r="B681" t="inlineStr">
        <is>
          <t>avverkningsanmälan</t>
        </is>
      </c>
      <c r="C681" t="inlineStr">
        <is>
          <t>Föryngringsavverkning</t>
        </is>
      </c>
      <c r="D681" s="1" t="n">
        <v>45254</v>
      </c>
      <c r="E681" s="1" t="n">
        <v>46223</v>
      </c>
      <c r="F681" t="inlineStr">
        <is>
          <t>ÖREBRO LÄN</t>
        </is>
      </c>
      <c r="G681" t="inlineStr">
        <is>
          <t>LINDESBERG</t>
        </is>
      </c>
      <c r="H681" t="inlineStr">
        <is>
          <t>Sveaskog</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18418-2025</t>
        </is>
      </c>
      <c r="B682" t="inlineStr">
        <is>
          <t>avverkningsanmälan</t>
        </is>
      </c>
      <c r="C682" t="inlineStr">
        <is>
          <t>Föryngringsavverkning</t>
        </is>
      </c>
      <c r="D682" s="1" t="n">
        <v>45762</v>
      </c>
      <c r="E682" s="1" t="n">
        <v>46223</v>
      </c>
      <c r="F682" t="inlineStr">
        <is>
          <t>ÖREBRO LÄN</t>
        </is>
      </c>
      <c r="G682" t="inlineStr">
        <is>
          <t>LINDESBERG</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23914-2026</t>
        </is>
      </c>
      <c r="B683" t="inlineStr">
        <is>
          <t>avverkningsanmälan</t>
        </is>
      </c>
      <c r="C683" t="inlineStr">
        <is>
          <t>Föryngringsavverkning</t>
        </is>
      </c>
      <c r="D683" s="1" t="n">
        <v>46167</v>
      </c>
      <c r="E683" s="1" t="n">
        <v>46223</v>
      </c>
      <c r="F683" t="inlineStr">
        <is>
          <t>ÖREBRO LÄN</t>
        </is>
      </c>
      <c r="G683" t="inlineStr">
        <is>
          <t>LINDESBERG</t>
        </is>
      </c>
      <c r="H683" t="inlineStr">
        <is>
          <t>Naturvårdsverket</t>
        </is>
      </c>
      <c r="I683" t="n">
        <v>3</v>
      </c>
      <c r="J683" t="n">
        <v>0</v>
      </c>
      <c r="K683" t="n">
        <v>0</v>
      </c>
      <c r="L683" t="n">
        <v>0</v>
      </c>
      <c r="M683" t="n">
        <v>0</v>
      </c>
      <c r="N683" t="n">
        <v>0</v>
      </c>
      <c r="O683" t="n">
        <v>0</v>
      </c>
      <c r="P683" t="n">
        <v>0</v>
      </c>
      <c r="Q683" t="n">
        <v>0</v>
      </c>
      <c r="R683" t="n">
        <v>0</v>
      </c>
      <c r="S683" t="n">
        <v>0</v>
      </c>
      <c r="T683" t="n">
        <v>0</v>
      </c>
      <c r="U683" s="2" t="inlineStr"/>
    </row>
    <row r="684" ht="15" customHeight="1">
      <c r="A684" t="inlineStr">
        <is>
          <t>A 23649-2023</t>
        </is>
      </c>
      <c r="B684" t="inlineStr">
        <is>
          <t>avverkningsanmälan</t>
        </is>
      </c>
      <c r="C684" t="inlineStr">
        <is>
          <t>Föryngringsavverkning</t>
        </is>
      </c>
      <c r="D684" s="1" t="n">
        <v>45074</v>
      </c>
      <c r="E684" s="1" t="n">
        <v>46223</v>
      </c>
      <c r="F684" t="inlineStr">
        <is>
          <t>ÖREBRO LÄN</t>
        </is>
      </c>
      <c r="G684" t="inlineStr">
        <is>
          <t>LINDESBERG</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43081-2021</t>
        </is>
      </c>
      <c r="B685" t="inlineStr">
        <is>
          <t>avverkningsanmälan</t>
        </is>
      </c>
      <c r="C685" t="inlineStr">
        <is>
          <t>Föryngringsavverkning</t>
        </is>
      </c>
      <c r="D685" s="1" t="n">
        <v>44431</v>
      </c>
      <c r="E685" s="1" t="n">
        <v>46223</v>
      </c>
      <c r="F685" t="inlineStr">
        <is>
          <t>ÖREBRO LÄN</t>
        </is>
      </c>
      <c r="G685" t="inlineStr">
        <is>
          <t>LINDESBERG</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51071-2022</t>
        </is>
      </c>
      <c r="B686" t="inlineStr">
        <is>
          <t>avverkningsanmälan</t>
        </is>
      </c>
      <c r="C686" t="inlineStr">
        <is>
          <t>Föryngringsavverkning</t>
        </is>
      </c>
      <c r="D686" s="1" t="n">
        <v>44868</v>
      </c>
      <c r="E686" s="1" t="n">
        <v>46223</v>
      </c>
      <c r="F686" t="inlineStr">
        <is>
          <t>ÖREBRO LÄN</t>
        </is>
      </c>
      <c r="G686" t="inlineStr">
        <is>
          <t>LINDESBERG</t>
        </is>
      </c>
      <c r="H686" t="inlineStr">
        <is>
          <t>Sveaskog</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44449-2023</t>
        </is>
      </c>
      <c r="B687" t="inlineStr">
        <is>
          <t>avverkningsanmälan</t>
        </is>
      </c>
      <c r="C687" t="inlineStr">
        <is>
          <t>Föryngringsavverkning</t>
        </is>
      </c>
      <c r="D687" s="1" t="n">
        <v>45189</v>
      </c>
      <c r="E687" s="1" t="n">
        <v>46223</v>
      </c>
      <c r="F687" t="inlineStr">
        <is>
          <t>ÖREBRO LÄN</t>
        </is>
      </c>
      <c r="G687" t="inlineStr">
        <is>
          <t>LINDESBERG</t>
        </is>
      </c>
      <c r="I687" t="n">
        <v>13.7</v>
      </c>
      <c r="J687" t="n">
        <v>0</v>
      </c>
      <c r="K687" t="n">
        <v>0</v>
      </c>
      <c r="L687" t="n">
        <v>0</v>
      </c>
      <c r="M687" t="n">
        <v>0</v>
      </c>
      <c r="N687" t="n">
        <v>0</v>
      </c>
      <c r="O687" t="n">
        <v>0</v>
      </c>
      <c r="P687" t="n">
        <v>0</v>
      </c>
      <c r="Q687" t="n">
        <v>0</v>
      </c>
      <c r="R687" t="n">
        <v>0</v>
      </c>
      <c r="S687" t="n">
        <v>0</v>
      </c>
      <c r="T687" t="n">
        <v>0</v>
      </c>
      <c r="U687" s="2" t="inlineStr"/>
    </row>
    <row r="688" ht="15" customHeight="1">
      <c r="A688" t="inlineStr">
        <is>
          <t>A 40305-2024</t>
        </is>
      </c>
      <c r="B688" t="inlineStr">
        <is>
          <t>avverkningsanmälan</t>
        </is>
      </c>
      <c r="C688" t="inlineStr">
        <is>
          <t>Föryngringsavverkning</t>
        </is>
      </c>
      <c r="D688" s="1" t="n">
        <v>45554</v>
      </c>
      <c r="E688" s="1" t="n">
        <v>46223</v>
      </c>
      <c r="F688" t="inlineStr">
        <is>
          <t>ÖREBRO LÄN</t>
        </is>
      </c>
      <c r="G688" t="inlineStr">
        <is>
          <t>LINDESBERG</t>
        </is>
      </c>
      <c r="H688" t="inlineStr">
        <is>
          <t>Sveaskog</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45078-2024</t>
        </is>
      </c>
      <c r="B689" t="inlineStr">
        <is>
          <t>avverkningsanmälan</t>
        </is>
      </c>
      <c r="C689" t="inlineStr">
        <is>
          <t>Avverkning för annat ändamål</t>
        </is>
      </c>
      <c r="D689" s="1" t="n">
        <v>45575</v>
      </c>
      <c r="E689" s="1" t="n">
        <v>46223</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s="2" t="inlineStr"/>
    </row>
    <row r="690" ht="15" customHeight="1">
      <c r="A690" t="inlineStr">
        <is>
          <t>A 27001-2024</t>
        </is>
      </c>
      <c r="B690" t="inlineStr">
        <is>
          <t>avverkningsanmälan</t>
        </is>
      </c>
      <c r="C690" t="inlineStr">
        <is>
          <t>Föryngringsavverkning</t>
        </is>
      </c>
      <c r="D690" s="1" t="n">
        <v>45471</v>
      </c>
      <c r="E690" s="1" t="n">
        <v>46223</v>
      </c>
      <c r="F690" t="inlineStr">
        <is>
          <t>ÖREBRO LÄN</t>
        </is>
      </c>
      <c r="G690" t="inlineStr">
        <is>
          <t>LINDESBERG</t>
        </is>
      </c>
      <c r="I690" t="n">
        <v>2.8</v>
      </c>
      <c r="J690" t="n">
        <v>0</v>
      </c>
      <c r="K690" t="n">
        <v>0</v>
      </c>
      <c r="L690" t="n">
        <v>0</v>
      </c>
      <c r="M690" t="n">
        <v>0</v>
      </c>
      <c r="N690" t="n">
        <v>0</v>
      </c>
      <c r="O690" t="n">
        <v>0</v>
      </c>
      <c r="P690" t="n">
        <v>0</v>
      </c>
      <c r="Q690" t="n">
        <v>0</v>
      </c>
      <c r="R690" t="n">
        <v>0</v>
      </c>
      <c r="S690" t="n">
        <v>0</v>
      </c>
      <c r="T690" t="n">
        <v>0</v>
      </c>
      <c r="U690" s="2" t="inlineStr"/>
    </row>
    <row r="691" ht="15" customHeight="1">
      <c r="A691" t="inlineStr">
        <is>
          <t>A 20467-2023</t>
        </is>
      </c>
      <c r="B691" t="inlineStr">
        <is>
          <t>avverkningsanmälan</t>
        </is>
      </c>
      <c r="C691" t="inlineStr">
        <is>
          <t>Föryngringsavverkning</t>
        </is>
      </c>
      <c r="D691" s="1" t="n">
        <v>45057</v>
      </c>
      <c r="E691" s="1" t="n">
        <v>46223</v>
      </c>
      <c r="F691" t="inlineStr">
        <is>
          <t>ÖREBRO LÄN</t>
        </is>
      </c>
      <c r="G691" t="inlineStr">
        <is>
          <t>LINDESBERG</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50170-2022</t>
        </is>
      </c>
      <c r="B692" t="inlineStr">
        <is>
          <t>avverkningsanmälan</t>
        </is>
      </c>
      <c r="C692" t="inlineStr">
        <is>
          <t>Föryngringsavverkning</t>
        </is>
      </c>
      <c r="D692" s="1" t="n">
        <v>44865</v>
      </c>
      <c r="E692" s="1" t="n">
        <v>46223</v>
      </c>
      <c r="F692" t="inlineStr">
        <is>
          <t>ÖREBRO LÄN</t>
        </is>
      </c>
      <c r="G692" t="inlineStr">
        <is>
          <t>LINDESBERG</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24565-2026</t>
        </is>
      </c>
      <c r="B693" t="inlineStr">
        <is>
          <t>avverkningsanmälan</t>
        </is>
      </c>
      <c r="C693" t="inlineStr">
        <is>
          <t>Föryngringsavverkning</t>
        </is>
      </c>
      <c r="D693" s="1" t="n">
        <v>46170</v>
      </c>
      <c r="E693" s="1" t="n">
        <v>46223</v>
      </c>
      <c r="F693" t="inlineStr">
        <is>
          <t>ÖREBRO LÄN</t>
        </is>
      </c>
      <c r="G693" t="inlineStr">
        <is>
          <t>LINDESBERG</t>
        </is>
      </c>
      <c r="H693" t="inlineStr">
        <is>
          <t>Kommuner</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1354-2024</t>
        </is>
      </c>
      <c r="B694" t="inlineStr">
        <is>
          <t>avverkningsanmälan</t>
        </is>
      </c>
      <c r="C694" t="inlineStr">
        <is>
          <t>Föryngringsavverkning</t>
        </is>
      </c>
      <c r="D694" s="1" t="n">
        <v>45303</v>
      </c>
      <c r="E694" s="1" t="n">
        <v>46223</v>
      </c>
      <c r="F694" t="inlineStr">
        <is>
          <t>ÖREBRO LÄN</t>
        </is>
      </c>
      <c r="G694" t="inlineStr">
        <is>
          <t>LINDESBERG</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33886-2024</t>
        </is>
      </c>
      <c r="B695" t="inlineStr">
        <is>
          <t>avverkningsanmälan</t>
        </is>
      </c>
      <c r="C695" t="inlineStr">
        <is>
          <t>Föryngringsavverkning</t>
        </is>
      </c>
      <c r="D695" s="1" t="n">
        <v>45523</v>
      </c>
      <c r="E695" s="1" t="n">
        <v>46223</v>
      </c>
      <c r="F695" t="inlineStr">
        <is>
          <t>ÖREBRO LÄN</t>
        </is>
      </c>
      <c r="G695" t="inlineStr">
        <is>
          <t>LINDESBERG</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30923-2026</t>
        </is>
      </c>
      <c r="B696" t="inlineStr">
        <is>
          <t>avverkningsanmälan</t>
        </is>
      </c>
      <c r="C696" t="inlineStr">
        <is>
          <t>Föryngringsavverkning</t>
        </is>
      </c>
      <c r="D696" s="1" t="n">
        <v>46213</v>
      </c>
      <c r="E696" s="1" t="n">
        <v>46223</v>
      </c>
      <c r="F696" t="inlineStr">
        <is>
          <t>ÖREBRO LÄN</t>
        </is>
      </c>
      <c r="G696" t="inlineStr">
        <is>
          <t>LINDESBERG</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1405-2025</t>
        </is>
      </c>
      <c r="B697" t="inlineStr">
        <is>
          <t>avverkningsanmälan</t>
        </is>
      </c>
      <c r="C697" t="inlineStr">
        <is>
          <t>Föryngringsavverkning</t>
        </is>
      </c>
      <c r="D697" s="1" t="n">
        <v>45667</v>
      </c>
      <c r="E697" s="1" t="n">
        <v>46223</v>
      </c>
      <c r="F697" t="inlineStr">
        <is>
          <t>ÖREBRO LÄN</t>
        </is>
      </c>
      <c r="G697" t="inlineStr">
        <is>
          <t>LINDESBERG</t>
        </is>
      </c>
      <c r="H697" t="inlineStr">
        <is>
          <t>Allmännings- och besparingsskogar</t>
        </is>
      </c>
      <c r="I697" t="n">
        <v>3.1</v>
      </c>
      <c r="J697" t="n">
        <v>0</v>
      </c>
      <c r="K697" t="n">
        <v>0</v>
      </c>
      <c r="L697" t="n">
        <v>0</v>
      </c>
      <c r="M697" t="n">
        <v>0</v>
      </c>
      <c r="N697" t="n">
        <v>0</v>
      </c>
      <c r="O697" t="n">
        <v>0</v>
      </c>
      <c r="P697" t="n">
        <v>0</v>
      </c>
      <c r="Q697" t="n">
        <v>0</v>
      </c>
      <c r="R697" t="n">
        <v>0</v>
      </c>
      <c r="S697" t="n">
        <v>0</v>
      </c>
      <c r="T697" t="n">
        <v>0</v>
      </c>
      <c r="U697" s="2" t="inlineStr"/>
    </row>
    <row r="698" ht="15" customHeight="1">
      <c r="A698" t="inlineStr">
        <is>
          <t>A 30917-2026</t>
        </is>
      </c>
      <c r="B698" t="inlineStr">
        <is>
          <t>avverkningsanmälan</t>
        </is>
      </c>
      <c r="C698" t="inlineStr">
        <is>
          <t>Föryngringsavverkning</t>
        </is>
      </c>
      <c r="D698" s="1" t="n">
        <v>46213</v>
      </c>
      <c r="E698" s="1" t="n">
        <v>46223</v>
      </c>
      <c r="F698" t="inlineStr">
        <is>
          <t>ÖREBRO LÄN</t>
        </is>
      </c>
      <c r="G698" t="inlineStr">
        <is>
          <t>LINDESBERG</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40456-2023</t>
        </is>
      </c>
      <c r="B699" t="inlineStr">
        <is>
          <t>avverkningsanmälan</t>
        </is>
      </c>
      <c r="C699" t="inlineStr">
        <is>
          <t>Föryngringsavverkning</t>
        </is>
      </c>
      <c r="D699" s="1" t="n">
        <v>45170</v>
      </c>
      <c r="E699" s="1" t="n">
        <v>46223</v>
      </c>
      <c r="F699" t="inlineStr">
        <is>
          <t>ÖREBRO LÄN</t>
        </is>
      </c>
      <c r="G699" t="inlineStr">
        <is>
          <t>LINDESBERG</t>
        </is>
      </c>
      <c r="H699" t="inlineStr">
        <is>
          <t>Kyrkan</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30906-2026</t>
        </is>
      </c>
      <c r="B700" t="inlineStr">
        <is>
          <t>avverkningsanmälan</t>
        </is>
      </c>
      <c r="C700" t="inlineStr">
        <is>
          <t>Föryngringsavverkning</t>
        </is>
      </c>
      <c r="D700" s="1" t="n">
        <v>46213</v>
      </c>
      <c r="E700" s="1" t="n">
        <v>46223</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30903-2026</t>
        </is>
      </c>
      <c r="B701" t="inlineStr">
        <is>
          <t>avverkningsanmälan</t>
        </is>
      </c>
      <c r="C701" t="inlineStr">
        <is>
          <t>Föryngringsavverkning</t>
        </is>
      </c>
      <c r="D701" s="1" t="n">
        <v>46213</v>
      </c>
      <c r="E701" s="1" t="n">
        <v>46223</v>
      </c>
      <c r="F701" t="inlineStr">
        <is>
          <t>ÖREBRO LÄN</t>
        </is>
      </c>
      <c r="G701" t="inlineStr">
        <is>
          <t>LINDESBERG</t>
        </is>
      </c>
      <c r="H701" t="inlineStr">
        <is>
          <t>Sveaskog</t>
        </is>
      </c>
      <c r="I701" t="n">
        <v>4.9</v>
      </c>
      <c r="J701" t="n">
        <v>0</v>
      </c>
      <c r="K701" t="n">
        <v>0</v>
      </c>
      <c r="L701" t="n">
        <v>0</v>
      </c>
      <c r="M701" t="n">
        <v>0</v>
      </c>
      <c r="N701" t="n">
        <v>0</v>
      </c>
      <c r="O701" t="n">
        <v>0</v>
      </c>
      <c r="P701" t="n">
        <v>0</v>
      </c>
      <c r="Q701" t="n">
        <v>0</v>
      </c>
      <c r="R701" t="n">
        <v>0</v>
      </c>
      <c r="S701" t="n">
        <v>0</v>
      </c>
      <c r="T701" t="n">
        <v>0</v>
      </c>
      <c r="U701" s="2" t="inlineStr"/>
    </row>
    <row r="702" ht="15" customHeight="1">
      <c r="A702" t="inlineStr">
        <is>
          <t>A 30924-2026</t>
        </is>
      </c>
      <c r="B702" t="inlineStr">
        <is>
          <t>avverkningsanmälan</t>
        </is>
      </c>
      <c r="C702" t="inlineStr">
        <is>
          <t>Föryngringsavverkning</t>
        </is>
      </c>
      <c r="D702" s="1" t="n">
        <v>46213</v>
      </c>
      <c r="E702" s="1" t="n">
        <v>46223</v>
      </c>
      <c r="F702" t="inlineStr">
        <is>
          <t>ÖREBRO LÄN</t>
        </is>
      </c>
      <c r="G702" t="inlineStr">
        <is>
          <t>LINDESBERG</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28562-2023</t>
        </is>
      </c>
      <c r="B703" t="inlineStr">
        <is>
          <t>avverkningsanmälan</t>
        </is>
      </c>
      <c r="C703" t="inlineStr">
        <is>
          <t>Föryngringsavverkning</t>
        </is>
      </c>
      <c r="D703" s="1" t="n">
        <v>45103</v>
      </c>
      <c r="E703" s="1" t="n">
        <v>46223</v>
      </c>
      <c r="F703" t="inlineStr">
        <is>
          <t>ÖREBRO LÄN</t>
        </is>
      </c>
      <c r="G703" t="inlineStr">
        <is>
          <t>LINDESBERG</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30909-2026</t>
        </is>
      </c>
      <c r="B704" t="inlineStr">
        <is>
          <t>avverkningsanmälan</t>
        </is>
      </c>
      <c r="C704" t="inlineStr">
        <is>
          <t>Föryngringsavverkning</t>
        </is>
      </c>
      <c r="D704" s="1" t="n">
        <v>46213</v>
      </c>
      <c r="E704" s="1" t="n">
        <v>46223</v>
      </c>
      <c r="F704" t="inlineStr">
        <is>
          <t>ÖREBRO LÄN</t>
        </is>
      </c>
      <c r="G704" t="inlineStr">
        <is>
          <t>LINDESBERG</t>
        </is>
      </c>
      <c r="H704" t="inlineStr">
        <is>
          <t>Sveaskog</t>
        </is>
      </c>
      <c r="I704" t="n">
        <v>3.8</v>
      </c>
      <c r="J704" t="n">
        <v>0</v>
      </c>
      <c r="K704" t="n">
        <v>0</v>
      </c>
      <c r="L704" t="n">
        <v>0</v>
      </c>
      <c r="M704" t="n">
        <v>0</v>
      </c>
      <c r="N704" t="n">
        <v>0</v>
      </c>
      <c r="O704" t="n">
        <v>0</v>
      </c>
      <c r="P704" t="n">
        <v>0</v>
      </c>
      <c r="Q704" t="n">
        <v>0</v>
      </c>
      <c r="R704" t="n">
        <v>0</v>
      </c>
      <c r="S704" t="n">
        <v>0</v>
      </c>
      <c r="T704" t="n">
        <v>0</v>
      </c>
      <c r="U704" s="2" t="inlineStr"/>
    </row>
    <row r="705" ht="15" customHeight="1">
      <c r="A705" t="inlineStr">
        <is>
          <t>A 17463-2023</t>
        </is>
      </c>
      <c r="B705" t="inlineStr">
        <is>
          <t>avverkningsanmälan</t>
        </is>
      </c>
      <c r="C705" t="inlineStr">
        <is>
          <t>Föryngringsavverkning</t>
        </is>
      </c>
      <c r="D705" s="1" t="n">
        <v>45036</v>
      </c>
      <c r="E705" s="1" t="n">
        <v>46223</v>
      </c>
      <c r="F705" t="inlineStr">
        <is>
          <t>ÖREBRO LÄN</t>
        </is>
      </c>
      <c r="G705" t="inlineStr">
        <is>
          <t>LINDESBERG</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24638-2026</t>
        </is>
      </c>
      <c r="B706" t="inlineStr">
        <is>
          <t>avverkningsanmälan</t>
        </is>
      </c>
      <c r="C706" t="inlineStr">
        <is>
          <t>Föryngringsavverkning</t>
        </is>
      </c>
      <c r="D706" s="1" t="n">
        <v>46171</v>
      </c>
      <c r="E706" s="1" t="n">
        <v>46223</v>
      </c>
      <c r="F706" t="inlineStr">
        <is>
          <t>ÖREBRO LÄN</t>
        </is>
      </c>
      <c r="G706" t="inlineStr">
        <is>
          <t>LINDESBERG</t>
        </is>
      </c>
      <c r="I706" t="n">
        <v>2.8</v>
      </c>
      <c r="J706" t="n">
        <v>0</v>
      </c>
      <c r="K706" t="n">
        <v>0</v>
      </c>
      <c r="L706" t="n">
        <v>0</v>
      </c>
      <c r="M706" t="n">
        <v>0</v>
      </c>
      <c r="N706" t="n">
        <v>0</v>
      </c>
      <c r="O706" t="n">
        <v>0</v>
      </c>
      <c r="P706" t="n">
        <v>0</v>
      </c>
      <c r="Q706" t="n">
        <v>0</v>
      </c>
      <c r="R706" t="n">
        <v>0</v>
      </c>
      <c r="S706" t="n">
        <v>0</v>
      </c>
      <c r="T706" t="n">
        <v>0</v>
      </c>
      <c r="U706" s="2" t="inlineStr"/>
    </row>
    <row r="707" ht="15" customHeight="1">
      <c r="A707" t="inlineStr">
        <is>
          <t>A 30912-2026</t>
        </is>
      </c>
      <c r="B707" t="inlineStr">
        <is>
          <t>avverkningsanmälan</t>
        </is>
      </c>
      <c r="C707" t="inlineStr">
        <is>
          <t>Föryngringsavverkning</t>
        </is>
      </c>
      <c r="D707" s="1" t="n">
        <v>46213</v>
      </c>
      <c r="E707" s="1" t="n">
        <v>46223</v>
      </c>
      <c r="F707" t="inlineStr">
        <is>
          <t>ÖREBRO LÄN</t>
        </is>
      </c>
      <c r="G707" t="inlineStr">
        <is>
          <t>LINDESBERG</t>
        </is>
      </c>
      <c r="H707" t="inlineStr">
        <is>
          <t>Sveaskog</t>
        </is>
      </c>
      <c r="I707" t="n">
        <v>4.6</v>
      </c>
      <c r="J707" t="n">
        <v>0</v>
      </c>
      <c r="K707" t="n">
        <v>0</v>
      </c>
      <c r="L707" t="n">
        <v>0</v>
      </c>
      <c r="M707" t="n">
        <v>0</v>
      </c>
      <c r="N707" t="n">
        <v>0</v>
      </c>
      <c r="O707" t="n">
        <v>0</v>
      </c>
      <c r="P707" t="n">
        <v>0</v>
      </c>
      <c r="Q707" t="n">
        <v>0</v>
      </c>
      <c r="R707" t="n">
        <v>0</v>
      </c>
      <c r="S707" t="n">
        <v>0</v>
      </c>
      <c r="T707" t="n">
        <v>0</v>
      </c>
      <c r="U707" s="2" t="inlineStr"/>
    </row>
    <row r="708" ht="15" customHeight="1">
      <c r="A708" t="inlineStr">
        <is>
          <t>A 24600-2026</t>
        </is>
      </c>
      <c r="B708" t="inlineStr">
        <is>
          <t>avverkningsanmälan</t>
        </is>
      </c>
      <c r="C708" t="inlineStr">
        <is>
          <t>Avverkning för annat ändamål</t>
        </is>
      </c>
      <c r="D708" s="1" t="n">
        <v>46170</v>
      </c>
      <c r="E708" s="1" t="n">
        <v>46223</v>
      </c>
      <c r="F708" t="inlineStr">
        <is>
          <t>ÖREBRO LÄN</t>
        </is>
      </c>
      <c r="G708" t="inlineStr">
        <is>
          <t>LINDESBERG</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24601-2026</t>
        </is>
      </c>
      <c r="B709" t="inlineStr">
        <is>
          <t>avverkningsanmälan</t>
        </is>
      </c>
      <c r="C709" t="inlineStr">
        <is>
          <t>Avverkning för annat ändamål</t>
        </is>
      </c>
      <c r="D709" s="1" t="n">
        <v>46170</v>
      </c>
      <c r="E709" s="1" t="n">
        <v>46223</v>
      </c>
      <c r="F709" t="inlineStr">
        <is>
          <t>ÖREBRO LÄN</t>
        </is>
      </c>
      <c r="G709" t="inlineStr">
        <is>
          <t>LINDESBERG</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22829-2023</t>
        </is>
      </c>
      <c r="B710" t="inlineStr">
        <is>
          <t>avverkningsanmälan</t>
        </is>
      </c>
      <c r="C710" t="inlineStr">
        <is>
          <t>Föryngringsavverkning</t>
        </is>
      </c>
      <c r="D710" s="1" t="n">
        <v>45072</v>
      </c>
      <c r="E710" s="1" t="n">
        <v>46223</v>
      </c>
      <c r="F710" t="inlineStr">
        <is>
          <t>ÖREBRO LÄN</t>
        </is>
      </c>
      <c r="G710" t="inlineStr">
        <is>
          <t>LINDESBERG</t>
        </is>
      </c>
      <c r="H710" t="inlineStr">
        <is>
          <t>Sveaskog</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25117-2026</t>
        </is>
      </c>
      <c r="B711" t="inlineStr">
        <is>
          <t>avverkningsanmälan</t>
        </is>
      </c>
      <c r="C711" t="inlineStr">
        <is>
          <t>Föryngringsavverkning</t>
        </is>
      </c>
      <c r="D711" s="1" t="n">
        <v>46175</v>
      </c>
      <c r="E711" s="1" t="n">
        <v>46223</v>
      </c>
      <c r="F711" t="inlineStr">
        <is>
          <t>ÖREBRO LÄN</t>
        </is>
      </c>
      <c r="G711" t="inlineStr">
        <is>
          <t>LINDESBERG</t>
        </is>
      </c>
      <c r="H711" t="inlineStr">
        <is>
          <t>Sveaskog</t>
        </is>
      </c>
      <c r="I711" t="n">
        <v>3.9</v>
      </c>
      <c r="J711" t="n">
        <v>0</v>
      </c>
      <c r="K711" t="n">
        <v>0</v>
      </c>
      <c r="L711" t="n">
        <v>0</v>
      </c>
      <c r="M711" t="n">
        <v>0</v>
      </c>
      <c r="N711" t="n">
        <v>0</v>
      </c>
      <c r="O711" t="n">
        <v>0</v>
      </c>
      <c r="P711" t="n">
        <v>0</v>
      </c>
      <c r="Q711" t="n">
        <v>0</v>
      </c>
      <c r="R711" t="n">
        <v>0</v>
      </c>
      <c r="S711" t="n">
        <v>0</v>
      </c>
      <c r="T711" t="n">
        <v>0</v>
      </c>
      <c r="U711" s="2" t="inlineStr"/>
    </row>
    <row r="712" ht="15" customHeight="1">
      <c r="A712" t="inlineStr">
        <is>
          <t>A 25116-2026</t>
        </is>
      </c>
      <c r="B712" t="inlineStr">
        <is>
          <t>avverkningsanmälan</t>
        </is>
      </c>
      <c r="C712" t="inlineStr">
        <is>
          <t>Föryngringsavverkning</t>
        </is>
      </c>
      <c r="D712" s="1" t="n">
        <v>46175</v>
      </c>
      <c r="E712" s="1" t="n">
        <v>46223</v>
      </c>
      <c r="F712" t="inlineStr">
        <is>
          <t>ÖREBRO LÄN</t>
        </is>
      </c>
      <c r="G712" t="inlineStr">
        <is>
          <t>LINDESBERG</t>
        </is>
      </c>
      <c r="H712" t="inlineStr">
        <is>
          <t>Sveaskog</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60105-2022</t>
        </is>
      </c>
      <c r="B713" t="inlineStr">
        <is>
          <t>avverkningsanmälan</t>
        </is>
      </c>
      <c r="C713" t="inlineStr">
        <is>
          <t>Föryngringsavverkning</t>
        </is>
      </c>
      <c r="D713" s="1" t="n">
        <v>44902</v>
      </c>
      <c r="E713" s="1" t="n">
        <v>46223</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25023-2026</t>
        </is>
      </c>
      <c r="B714" t="inlineStr">
        <is>
          <t>avverkningsanmälan</t>
        </is>
      </c>
      <c r="C714" t="inlineStr">
        <is>
          <t>Föryngringsavverkning</t>
        </is>
      </c>
      <c r="D714" s="1" t="n">
        <v>46174</v>
      </c>
      <c r="E714" s="1" t="n">
        <v>46223</v>
      </c>
      <c r="F714" t="inlineStr">
        <is>
          <t>ÖREBRO LÄN</t>
        </is>
      </c>
      <c r="G714" t="inlineStr">
        <is>
          <t>LINDESBERG</t>
        </is>
      </c>
      <c r="H714" t="inlineStr">
        <is>
          <t>Kommuner</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53046-2024</t>
        </is>
      </c>
      <c r="B715" t="inlineStr">
        <is>
          <t>avverkningsanmälan</t>
        </is>
      </c>
      <c r="C715" t="inlineStr">
        <is>
          <t>Föryngringsavverkning</t>
        </is>
      </c>
      <c r="D715" s="1" t="n">
        <v>45611</v>
      </c>
      <c r="E715" s="1" t="n">
        <v>46223</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s="2" t="inlineStr"/>
    </row>
    <row r="716" ht="15" customHeight="1">
      <c r="A716" t="inlineStr">
        <is>
          <t>A 18590-2023</t>
        </is>
      </c>
      <c r="B716" t="inlineStr">
        <is>
          <t>avverkningsanmälan</t>
        </is>
      </c>
      <c r="C716" t="inlineStr">
        <is>
          <t>Föryngringsavverkning</t>
        </is>
      </c>
      <c r="D716" s="1" t="n">
        <v>45043</v>
      </c>
      <c r="E716" s="1" t="n">
        <v>46223</v>
      </c>
      <c r="F716" t="inlineStr">
        <is>
          <t>ÖREBRO LÄN</t>
        </is>
      </c>
      <c r="G716" t="inlineStr">
        <is>
          <t>LINDESBERG</t>
        </is>
      </c>
      <c r="I716" t="n">
        <v>2.4</v>
      </c>
      <c r="J716" t="n">
        <v>0</v>
      </c>
      <c r="K716" t="n">
        <v>0</v>
      </c>
      <c r="L716" t="n">
        <v>0</v>
      </c>
      <c r="M716" t="n">
        <v>0</v>
      </c>
      <c r="N716" t="n">
        <v>0</v>
      </c>
      <c r="O716" t="n">
        <v>0</v>
      </c>
      <c r="P716" t="n">
        <v>0</v>
      </c>
      <c r="Q716" t="n">
        <v>0</v>
      </c>
      <c r="R716" t="n">
        <v>0</v>
      </c>
      <c r="S716" t="n">
        <v>0</v>
      </c>
      <c r="T716" t="n">
        <v>0</v>
      </c>
      <c r="U716" s="2" t="inlineStr"/>
    </row>
    <row r="717" ht="15" customHeight="1">
      <c r="A717" t="inlineStr">
        <is>
          <t>A 51539-2024</t>
        </is>
      </c>
      <c r="B717" t="inlineStr">
        <is>
          <t>avverkningsanmälan</t>
        </is>
      </c>
      <c r="C717" t="inlineStr">
        <is>
          <t>Föryngringsavverkning</t>
        </is>
      </c>
      <c r="D717" s="1" t="n">
        <v>45604</v>
      </c>
      <c r="E717" s="1" t="n">
        <v>46223</v>
      </c>
      <c r="F717" t="inlineStr">
        <is>
          <t>ÖREBRO LÄN</t>
        </is>
      </c>
      <c r="G717" t="inlineStr">
        <is>
          <t>LINDESBERG</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31413-2026</t>
        </is>
      </c>
      <c r="B718" t="inlineStr">
        <is>
          <t>avverkningsanmälan</t>
        </is>
      </c>
      <c r="C718" t="inlineStr">
        <is>
          <t>Föryngringsavverkning</t>
        </is>
      </c>
      <c r="D718" s="1" t="n">
        <v>46220</v>
      </c>
      <c r="E718" s="1" t="n">
        <v>46223</v>
      </c>
      <c r="F718" t="inlineStr">
        <is>
          <t>ÖREBRO LÄN</t>
        </is>
      </c>
      <c r="G718" t="inlineStr">
        <is>
          <t>LINDESBERG</t>
        </is>
      </c>
      <c r="H718" t="inlineStr">
        <is>
          <t>Sveaskog</t>
        </is>
      </c>
      <c r="I718" t="n">
        <v>4.8</v>
      </c>
      <c r="J718" t="n">
        <v>0</v>
      </c>
      <c r="K718" t="n">
        <v>0</v>
      </c>
      <c r="L718" t="n">
        <v>0</v>
      </c>
      <c r="M718" t="n">
        <v>0</v>
      </c>
      <c r="N718" t="n">
        <v>0</v>
      </c>
      <c r="O718" t="n">
        <v>0</v>
      </c>
      <c r="P718" t="n">
        <v>0</v>
      </c>
      <c r="Q718" t="n">
        <v>0</v>
      </c>
      <c r="R718" t="n">
        <v>0</v>
      </c>
      <c r="S718" t="n">
        <v>0</v>
      </c>
      <c r="T718" t="n">
        <v>0</v>
      </c>
      <c r="U718" s="2" t="inlineStr"/>
    </row>
    <row r="719" ht="15" customHeight="1">
      <c r="A719" t="inlineStr">
        <is>
          <t>A 34539-2024</t>
        </is>
      </c>
      <c r="B719" t="inlineStr">
        <is>
          <t>avverkningsanmälan</t>
        </is>
      </c>
      <c r="C719" t="inlineStr">
        <is>
          <t>Föryngringsavverkning</t>
        </is>
      </c>
      <c r="D719" s="1" t="n">
        <v>45525</v>
      </c>
      <c r="E719" s="1" t="n">
        <v>46223</v>
      </c>
      <c r="F719" t="inlineStr">
        <is>
          <t>ÖREBRO LÄN</t>
        </is>
      </c>
      <c r="G719" t="inlineStr">
        <is>
          <t>LINDESBERG</t>
        </is>
      </c>
      <c r="I719" t="n">
        <v>5.4</v>
      </c>
      <c r="J719" t="n">
        <v>0</v>
      </c>
      <c r="K719" t="n">
        <v>0</v>
      </c>
      <c r="L719" t="n">
        <v>0</v>
      </c>
      <c r="M719" t="n">
        <v>0</v>
      </c>
      <c r="N719" t="n">
        <v>0</v>
      </c>
      <c r="O719" t="n">
        <v>0</v>
      </c>
      <c r="P719" t="n">
        <v>0</v>
      </c>
      <c r="Q719" t="n">
        <v>0</v>
      </c>
      <c r="R719" t="n">
        <v>0</v>
      </c>
      <c r="S719" t="n">
        <v>0</v>
      </c>
      <c r="T719" t="n">
        <v>0</v>
      </c>
      <c r="U719" s="2" t="inlineStr"/>
    </row>
    <row r="720" ht="15" customHeight="1">
      <c r="A720" t="inlineStr">
        <is>
          <t>A 35739-2024</t>
        </is>
      </c>
      <c r="B720" t="inlineStr">
        <is>
          <t>avverkningsanmälan</t>
        </is>
      </c>
      <c r="C720" t="inlineStr">
        <is>
          <t>Föryngringsavverkning</t>
        </is>
      </c>
      <c r="D720" s="1" t="n">
        <v>45532</v>
      </c>
      <c r="E720" s="1" t="n">
        <v>46223</v>
      </c>
      <c r="F720" t="inlineStr">
        <is>
          <t>ÖREBRO LÄN</t>
        </is>
      </c>
      <c r="G720" t="inlineStr">
        <is>
          <t>LINDESBERG</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31407-2026</t>
        </is>
      </c>
      <c r="B721" t="inlineStr">
        <is>
          <t>avverkningsanmälan</t>
        </is>
      </c>
      <c r="C721" t="inlineStr">
        <is>
          <t>Föryngringsavverkning</t>
        </is>
      </c>
      <c r="D721" s="1" t="n">
        <v>46220</v>
      </c>
      <c r="E721" s="1" t="n">
        <v>46223</v>
      </c>
      <c r="F721" t="inlineStr">
        <is>
          <t>ÖREBRO LÄN</t>
        </is>
      </c>
      <c r="G721" t="inlineStr">
        <is>
          <t>LINDESBERG</t>
        </is>
      </c>
      <c r="H721" t="inlineStr">
        <is>
          <t>Sveaskog</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31417-2026</t>
        </is>
      </c>
      <c r="B722" t="inlineStr">
        <is>
          <t>avverkningsanmälan</t>
        </is>
      </c>
      <c r="C722" t="inlineStr">
        <is>
          <t>Föryngringsavverkning</t>
        </is>
      </c>
      <c r="D722" s="1" t="n">
        <v>46220</v>
      </c>
      <c r="E722" s="1" t="n">
        <v>46223</v>
      </c>
      <c r="F722" t="inlineStr">
        <is>
          <t>ÖREBRO LÄN</t>
        </is>
      </c>
      <c r="G722" t="inlineStr">
        <is>
          <t>LINDESBERG</t>
        </is>
      </c>
      <c r="H722" t="inlineStr">
        <is>
          <t>Sveaskog</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31418-2026</t>
        </is>
      </c>
      <c r="B723" t="inlineStr">
        <is>
          <t>avverkningsanmälan</t>
        </is>
      </c>
      <c r="C723" t="inlineStr">
        <is>
          <t>Föryngringsavverkning</t>
        </is>
      </c>
      <c r="D723" s="1" t="n">
        <v>46220</v>
      </c>
      <c r="E723" s="1" t="n">
        <v>46223</v>
      </c>
      <c r="F723" t="inlineStr">
        <is>
          <t>ÖREBRO LÄN</t>
        </is>
      </c>
      <c r="G723" t="inlineStr">
        <is>
          <t>LINDESBERG</t>
        </is>
      </c>
      <c r="H723" t="inlineStr">
        <is>
          <t>Sveaskog</t>
        </is>
      </c>
      <c r="I723" t="n">
        <v>6.9</v>
      </c>
      <c r="J723" t="n">
        <v>0</v>
      </c>
      <c r="K723" t="n">
        <v>0</v>
      </c>
      <c r="L723" t="n">
        <v>0</v>
      </c>
      <c r="M723" t="n">
        <v>0</v>
      </c>
      <c r="N723" t="n">
        <v>0</v>
      </c>
      <c r="O723" t="n">
        <v>0</v>
      </c>
      <c r="P723" t="n">
        <v>0</v>
      </c>
      <c r="Q723" t="n">
        <v>0</v>
      </c>
      <c r="R723" t="n">
        <v>0</v>
      </c>
      <c r="S723" t="n">
        <v>0</v>
      </c>
      <c r="T723" t="n">
        <v>0</v>
      </c>
      <c r="U723" s="2" t="inlineStr"/>
    </row>
    <row r="724" ht="15" customHeight="1">
      <c r="A724" t="inlineStr">
        <is>
          <t>A 31412-2026</t>
        </is>
      </c>
      <c r="B724" t="inlineStr">
        <is>
          <t>avverkningsanmälan</t>
        </is>
      </c>
      <c r="C724" t="inlineStr">
        <is>
          <t>Föryngringsavverkning</t>
        </is>
      </c>
      <c r="D724" s="1" t="n">
        <v>46220</v>
      </c>
      <c r="E724" s="1" t="n">
        <v>46223</v>
      </c>
      <c r="F724" t="inlineStr">
        <is>
          <t>ÖREBRO LÄN</t>
        </is>
      </c>
      <c r="G724" t="inlineStr">
        <is>
          <t>LINDESBERG</t>
        </is>
      </c>
      <c r="H724" t="inlineStr">
        <is>
          <t>Sveaskog</t>
        </is>
      </c>
      <c r="I724" t="n">
        <v>4</v>
      </c>
      <c r="J724" t="n">
        <v>0</v>
      </c>
      <c r="K724" t="n">
        <v>0</v>
      </c>
      <c r="L724" t="n">
        <v>0</v>
      </c>
      <c r="M724" t="n">
        <v>0</v>
      </c>
      <c r="N724" t="n">
        <v>0</v>
      </c>
      <c r="O724" t="n">
        <v>0</v>
      </c>
      <c r="P724" t="n">
        <v>0</v>
      </c>
      <c r="Q724" t="n">
        <v>0</v>
      </c>
      <c r="R724" t="n">
        <v>0</v>
      </c>
      <c r="S724" t="n">
        <v>0</v>
      </c>
      <c r="T724" t="n">
        <v>0</v>
      </c>
      <c r="U724" s="2" t="inlineStr"/>
    </row>
    <row r="725" ht="15" customHeight="1">
      <c r="A725" t="inlineStr">
        <is>
          <t>A 31318-2026</t>
        </is>
      </c>
      <c r="B725" t="inlineStr">
        <is>
          <t>avverkningsanmälan</t>
        </is>
      </c>
      <c r="C725" t="inlineStr">
        <is>
          <t>Föryngringsavverkning</t>
        </is>
      </c>
      <c r="D725" s="1" t="n">
        <v>46219</v>
      </c>
      <c r="E725" s="1" t="n">
        <v>46223</v>
      </c>
      <c r="F725" t="inlineStr">
        <is>
          <t>ÖREBRO LÄN</t>
        </is>
      </c>
      <c r="G725" t="inlineStr">
        <is>
          <t>LINDESBERG</t>
        </is>
      </c>
      <c r="H725" t="inlineStr">
        <is>
          <t>Sveaskog</t>
        </is>
      </c>
      <c r="I725" t="n">
        <v>2.3</v>
      </c>
      <c r="J725" t="n">
        <v>0</v>
      </c>
      <c r="K725" t="n">
        <v>0</v>
      </c>
      <c r="L725" t="n">
        <v>0</v>
      </c>
      <c r="M725" t="n">
        <v>0</v>
      </c>
      <c r="N725" t="n">
        <v>0</v>
      </c>
      <c r="O725" t="n">
        <v>0</v>
      </c>
      <c r="P725" t="n">
        <v>0</v>
      </c>
      <c r="Q725" t="n">
        <v>0</v>
      </c>
      <c r="R725" t="n">
        <v>0</v>
      </c>
      <c r="S725" t="n">
        <v>0</v>
      </c>
      <c r="T725" t="n">
        <v>0</v>
      </c>
      <c r="U725" s="2" t="inlineStr"/>
    </row>
    <row r="726" ht="15" customHeight="1">
      <c r="A726" t="inlineStr">
        <is>
          <t>A 31337-2026</t>
        </is>
      </c>
      <c r="B726" t="inlineStr">
        <is>
          <t>avverkningsanmälan</t>
        </is>
      </c>
      <c r="C726" t="inlineStr">
        <is>
          <t>Föryngringsavverkning</t>
        </is>
      </c>
      <c r="D726" s="1" t="n">
        <v>46219</v>
      </c>
      <c r="E726" s="1" t="n">
        <v>46223</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31319-2026</t>
        </is>
      </c>
      <c r="B727" t="inlineStr">
        <is>
          <t>avverkningsanmälan</t>
        </is>
      </c>
      <c r="C727" t="inlineStr">
        <is>
          <t>Föryngringsavverkning</t>
        </is>
      </c>
      <c r="D727" s="1" t="n">
        <v>46219</v>
      </c>
      <c r="E727" s="1" t="n">
        <v>46223</v>
      </c>
      <c r="F727" t="inlineStr">
        <is>
          <t>ÖREBRO LÄN</t>
        </is>
      </c>
      <c r="G727" t="inlineStr">
        <is>
          <t>LINDESBERG</t>
        </is>
      </c>
      <c r="H727" t="inlineStr">
        <is>
          <t>Sveaskog</t>
        </is>
      </c>
      <c r="I727" t="n">
        <v>6.9</v>
      </c>
      <c r="J727" t="n">
        <v>0</v>
      </c>
      <c r="K727" t="n">
        <v>0</v>
      </c>
      <c r="L727" t="n">
        <v>0</v>
      </c>
      <c r="M727" t="n">
        <v>0</v>
      </c>
      <c r="N727" t="n">
        <v>0</v>
      </c>
      <c r="O727" t="n">
        <v>0</v>
      </c>
      <c r="P727" t="n">
        <v>0</v>
      </c>
      <c r="Q727" t="n">
        <v>0</v>
      </c>
      <c r="R727" t="n">
        <v>0</v>
      </c>
      <c r="S727" t="n">
        <v>0</v>
      </c>
      <c r="T727" t="n">
        <v>0</v>
      </c>
      <c r="U727" s="2" t="inlineStr"/>
    </row>
    <row r="728" ht="15" customHeight="1">
      <c r="A728" t="inlineStr">
        <is>
          <t>A 31309-2026</t>
        </is>
      </c>
      <c r="B728" t="inlineStr">
        <is>
          <t>avverkningsanmälan</t>
        </is>
      </c>
      <c r="C728" t="inlineStr">
        <is>
          <t>Föryngringsavverkning</t>
        </is>
      </c>
      <c r="D728" s="1" t="n">
        <v>46219</v>
      </c>
      <c r="E728" s="1" t="n">
        <v>46223</v>
      </c>
      <c r="F728" t="inlineStr">
        <is>
          <t>ÖREBRO LÄN</t>
        </is>
      </c>
      <c r="G728" t="inlineStr">
        <is>
          <t>LINDESBERG</t>
        </is>
      </c>
      <c r="H728" t="inlineStr">
        <is>
          <t>Sveaskog</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43247-2023</t>
        </is>
      </c>
      <c r="B729" t="inlineStr">
        <is>
          <t>avverkningsanmälan</t>
        </is>
      </c>
      <c r="C729" t="inlineStr">
        <is>
          <t>Föryngringsavverkning</t>
        </is>
      </c>
      <c r="D729" s="1" t="n">
        <v>45183</v>
      </c>
      <c r="E729" s="1" t="n">
        <v>46223</v>
      </c>
      <c r="F729" t="inlineStr">
        <is>
          <t>ÖREBRO LÄN</t>
        </is>
      </c>
      <c r="G729" t="inlineStr">
        <is>
          <t>LINDESBERG</t>
        </is>
      </c>
      <c r="I729" t="n">
        <v>3</v>
      </c>
      <c r="J729" t="n">
        <v>0</v>
      </c>
      <c r="K729" t="n">
        <v>0</v>
      </c>
      <c r="L729" t="n">
        <v>0</v>
      </c>
      <c r="M729" t="n">
        <v>0</v>
      </c>
      <c r="N729" t="n">
        <v>0</v>
      </c>
      <c r="O729" t="n">
        <v>0</v>
      </c>
      <c r="P729" t="n">
        <v>0</v>
      </c>
      <c r="Q729" t="n">
        <v>0</v>
      </c>
      <c r="R729" t="n">
        <v>0</v>
      </c>
      <c r="S729" t="n">
        <v>0</v>
      </c>
      <c r="T729" t="n">
        <v>0</v>
      </c>
      <c r="U729" s="2" t="inlineStr"/>
    </row>
    <row r="730" ht="15" customHeight="1">
      <c r="A730" t="inlineStr">
        <is>
          <t>A 626-2025</t>
        </is>
      </c>
      <c r="B730" t="inlineStr">
        <is>
          <t>avverkningsanmälan</t>
        </is>
      </c>
      <c r="C730" t="inlineStr">
        <is>
          <t>Föryngringsavverkning</t>
        </is>
      </c>
      <c r="D730" s="1" t="n">
        <v>45664</v>
      </c>
      <c r="E730" s="1" t="n">
        <v>46223</v>
      </c>
      <c r="F730" t="inlineStr">
        <is>
          <t>ÖREBRO LÄN</t>
        </is>
      </c>
      <c r="G730" t="inlineStr">
        <is>
          <t>LINDESBERG</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43046-2022</t>
        </is>
      </c>
      <c r="B731" t="inlineStr">
        <is>
          <t>avverkningsanmälan</t>
        </is>
      </c>
      <c r="C731" t="inlineStr">
        <is>
          <t>Avverkning för annat ändamål</t>
        </is>
      </c>
      <c r="D731" s="1" t="n">
        <v>44833</v>
      </c>
      <c r="E731" s="1" t="n">
        <v>46223</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31338-2026</t>
        </is>
      </c>
      <c r="B732" t="inlineStr">
        <is>
          <t>avverkningsanmälan</t>
        </is>
      </c>
      <c r="C732" t="inlineStr">
        <is>
          <t>Föryngringsavverkning</t>
        </is>
      </c>
      <c r="D732" s="1" t="n">
        <v>46219</v>
      </c>
      <c r="E732" s="1" t="n">
        <v>46223</v>
      </c>
      <c r="F732" t="inlineStr">
        <is>
          <t>ÖREBRO LÄN</t>
        </is>
      </c>
      <c r="G732" t="inlineStr">
        <is>
          <t>LINDESBERG</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31340-2026</t>
        </is>
      </c>
      <c r="B733" t="inlineStr">
        <is>
          <t>avverkningsanmälan</t>
        </is>
      </c>
      <c r="C733" t="inlineStr">
        <is>
          <t>Föryngringsavverkning</t>
        </is>
      </c>
      <c r="D733" s="1" t="n">
        <v>46219</v>
      </c>
      <c r="E733" s="1" t="n">
        <v>46223</v>
      </c>
      <c r="F733" t="inlineStr">
        <is>
          <t>ÖREBRO LÄN</t>
        </is>
      </c>
      <c r="G733" t="inlineStr">
        <is>
          <t>LINDESBERG</t>
        </is>
      </c>
      <c r="I733" t="n">
        <v>2.4</v>
      </c>
      <c r="J733" t="n">
        <v>0</v>
      </c>
      <c r="K733" t="n">
        <v>0</v>
      </c>
      <c r="L733" t="n">
        <v>0</v>
      </c>
      <c r="M733" t="n">
        <v>0</v>
      </c>
      <c r="N733" t="n">
        <v>0</v>
      </c>
      <c r="O733" t="n">
        <v>0</v>
      </c>
      <c r="P733" t="n">
        <v>0</v>
      </c>
      <c r="Q733" t="n">
        <v>0</v>
      </c>
      <c r="R733" t="n">
        <v>0</v>
      </c>
      <c r="S733" t="n">
        <v>0</v>
      </c>
      <c r="T733" t="n">
        <v>0</v>
      </c>
      <c r="U733" s="2" t="inlineStr"/>
    </row>
    <row r="734" ht="15" customHeight="1">
      <c r="A734" t="inlineStr">
        <is>
          <t>A 43433-2024</t>
        </is>
      </c>
      <c r="B734" t="inlineStr">
        <is>
          <t>avverkningsanmälan</t>
        </is>
      </c>
      <c r="C734" t="inlineStr">
        <is>
          <t>Föryngringsavverkning</t>
        </is>
      </c>
      <c r="D734" s="1" t="n">
        <v>45568</v>
      </c>
      <c r="E734" s="1" t="n">
        <v>46223</v>
      </c>
      <c r="F734" t="inlineStr">
        <is>
          <t>ÖREBRO LÄN</t>
        </is>
      </c>
      <c r="G734" t="inlineStr">
        <is>
          <t>LINDESBERG</t>
        </is>
      </c>
      <c r="H734" t="inlineStr">
        <is>
          <t>Sveaskog</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6604-2024</t>
        </is>
      </c>
      <c r="B735" t="inlineStr">
        <is>
          <t>avverkningsanmälan</t>
        </is>
      </c>
      <c r="C735" t="inlineStr">
        <is>
          <t>Föryngringsavverkning</t>
        </is>
      </c>
      <c r="D735" s="1" t="n">
        <v>45341</v>
      </c>
      <c r="E735" s="1" t="n">
        <v>46223</v>
      </c>
      <c r="F735" t="inlineStr">
        <is>
          <t>ÖREBRO LÄN</t>
        </is>
      </c>
      <c r="G735" t="inlineStr">
        <is>
          <t>LINDESBERG</t>
        </is>
      </c>
      <c r="H735" t="inlineStr">
        <is>
          <t>Sveaskog</t>
        </is>
      </c>
      <c r="I735" t="n">
        <v>2.3</v>
      </c>
      <c r="J735" t="n">
        <v>0</v>
      </c>
      <c r="K735" t="n">
        <v>0</v>
      </c>
      <c r="L735" t="n">
        <v>0</v>
      </c>
      <c r="M735" t="n">
        <v>0</v>
      </c>
      <c r="N735" t="n">
        <v>0</v>
      </c>
      <c r="O735" t="n">
        <v>0</v>
      </c>
      <c r="P735" t="n">
        <v>0</v>
      </c>
      <c r="Q735" t="n">
        <v>0</v>
      </c>
      <c r="R735" t="n">
        <v>0</v>
      </c>
      <c r="S735" t="n">
        <v>0</v>
      </c>
      <c r="T735" t="n">
        <v>0</v>
      </c>
      <c r="U735" s="2" t="inlineStr"/>
    </row>
    <row r="736" ht="15" customHeight="1">
      <c r="A736" t="inlineStr">
        <is>
          <t>A 5550-2024</t>
        </is>
      </c>
      <c r="B736" t="inlineStr">
        <is>
          <t>avverkningsanmälan</t>
        </is>
      </c>
      <c r="C736" t="inlineStr">
        <is>
          <t>Föryngringsavverkning</t>
        </is>
      </c>
      <c r="D736" s="1" t="n">
        <v>45334</v>
      </c>
      <c r="E736" s="1" t="n">
        <v>46223</v>
      </c>
      <c r="F736" t="inlineStr">
        <is>
          <t>ÖREBRO LÄN</t>
        </is>
      </c>
      <c r="G736" t="inlineStr">
        <is>
          <t>LINDESBERG</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63125-2023</t>
        </is>
      </c>
      <c r="B737" t="inlineStr">
        <is>
          <t>avverkningsanmälan</t>
        </is>
      </c>
      <c r="C737" t="inlineStr">
        <is>
          <t>Föryngringsavverkning</t>
        </is>
      </c>
      <c r="D737" s="1" t="n">
        <v>45273</v>
      </c>
      <c r="E737" s="1" t="n">
        <v>46223</v>
      </c>
      <c r="F737" t="inlineStr">
        <is>
          <t>ÖREBRO LÄN</t>
        </is>
      </c>
      <c r="G737" t="inlineStr">
        <is>
          <t>LINDESBERG</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50986-2023</t>
        </is>
      </c>
      <c r="B738" t="inlineStr">
        <is>
          <t>avverkningsanmälan</t>
        </is>
      </c>
      <c r="C738" t="inlineStr">
        <is>
          <t>Föryngringsavverkning</t>
        </is>
      </c>
      <c r="D738" s="1" t="n">
        <v>45218</v>
      </c>
      <c r="E738" s="1" t="n">
        <v>46223</v>
      </c>
      <c r="F738" t="inlineStr">
        <is>
          <t>ÖREBRO LÄN</t>
        </is>
      </c>
      <c r="G738" t="inlineStr">
        <is>
          <t>LINDESBERG</t>
        </is>
      </c>
      <c r="H738" t="inlineStr">
        <is>
          <t>Sveaskog</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25046-2024</t>
        </is>
      </c>
      <c r="B739" t="inlineStr">
        <is>
          <t>avverkningsanmälan</t>
        </is>
      </c>
      <c r="C739" t="inlineStr">
        <is>
          <t>Föryngringsavverkning</t>
        </is>
      </c>
      <c r="D739" s="1" t="n">
        <v>45462</v>
      </c>
      <c r="E739" s="1" t="n">
        <v>46223</v>
      </c>
      <c r="F739" t="inlineStr">
        <is>
          <t>ÖREBRO LÄN</t>
        </is>
      </c>
      <c r="G739" t="inlineStr">
        <is>
          <t>LINDESBERG</t>
        </is>
      </c>
      <c r="I739" t="n">
        <v>4.1</v>
      </c>
      <c r="J739" t="n">
        <v>0</v>
      </c>
      <c r="K739" t="n">
        <v>0</v>
      </c>
      <c r="L739" t="n">
        <v>0</v>
      </c>
      <c r="M739" t="n">
        <v>0</v>
      </c>
      <c r="N739" t="n">
        <v>0</v>
      </c>
      <c r="O739" t="n">
        <v>0</v>
      </c>
      <c r="P739" t="n">
        <v>0</v>
      </c>
      <c r="Q739" t="n">
        <v>0</v>
      </c>
      <c r="R739" t="n">
        <v>0</v>
      </c>
      <c r="S739" t="n">
        <v>0</v>
      </c>
      <c r="T739" t="n">
        <v>0</v>
      </c>
      <c r="U739" s="2" t="inlineStr"/>
    </row>
    <row r="740" ht="15" customHeight="1">
      <c r="A740" t="inlineStr">
        <is>
          <t>A 44675-2021</t>
        </is>
      </c>
      <c r="B740" t="inlineStr">
        <is>
          <t>avverkningsanmälan</t>
        </is>
      </c>
      <c r="C740" t="inlineStr">
        <is>
          <t>Föryngringsavverkning</t>
        </is>
      </c>
      <c r="D740" s="1" t="n">
        <v>44438</v>
      </c>
      <c r="E740" s="1" t="n">
        <v>46223</v>
      </c>
      <c r="F740" t="inlineStr">
        <is>
          <t>ÖREBRO LÄN</t>
        </is>
      </c>
      <c r="G740" t="inlineStr">
        <is>
          <t>LINDESBERG</t>
        </is>
      </c>
      <c r="H740" t="inlineStr">
        <is>
          <t>Sveaskog</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32829-2024</t>
        </is>
      </c>
      <c r="B741" t="inlineStr">
        <is>
          <t>avverkningsanmälan</t>
        </is>
      </c>
      <c r="C741" t="inlineStr">
        <is>
          <t>Föryngringsavverkning</t>
        </is>
      </c>
      <c r="D741" s="1" t="n">
        <v>45516</v>
      </c>
      <c r="E741" s="1" t="n">
        <v>46223</v>
      </c>
      <c r="F741" t="inlineStr">
        <is>
          <t>ÖREBRO LÄN</t>
        </is>
      </c>
      <c r="G741" t="inlineStr">
        <is>
          <t>LINDESBERG</t>
        </is>
      </c>
      <c r="I741" t="n">
        <v>1.4</v>
      </c>
      <c r="J741" t="n">
        <v>0</v>
      </c>
      <c r="K741" t="n">
        <v>0</v>
      </c>
      <c r="L741" t="n">
        <v>0</v>
      </c>
      <c r="M741" t="n">
        <v>0</v>
      </c>
      <c r="N741" t="n">
        <v>0</v>
      </c>
      <c r="O741" t="n">
        <v>0</v>
      </c>
      <c r="P741" t="n">
        <v>0</v>
      </c>
      <c r="Q741" t="n">
        <v>0</v>
      </c>
      <c r="R741" t="n">
        <v>0</v>
      </c>
      <c r="S741" t="n">
        <v>0</v>
      </c>
      <c r="T741" t="n">
        <v>0</v>
      </c>
      <c r="U741" s="2" t="inlineStr"/>
    </row>
    <row r="742" ht="15" customHeight="1">
      <c r="A742" t="inlineStr">
        <is>
          <t>A 43416-2024</t>
        </is>
      </c>
      <c r="B742" t="inlineStr">
        <is>
          <t>avverkningsanmälan</t>
        </is>
      </c>
      <c r="C742" t="inlineStr">
        <is>
          <t>Föryngringsavverkning</t>
        </is>
      </c>
      <c r="D742" s="1" t="n">
        <v>45568</v>
      </c>
      <c r="E742" s="1" t="n">
        <v>46223</v>
      </c>
      <c r="F742" t="inlineStr">
        <is>
          <t>ÖREBRO LÄN</t>
        </is>
      </c>
      <c r="G742" t="inlineStr">
        <is>
          <t>LINDESBERG</t>
        </is>
      </c>
      <c r="H742" t="inlineStr">
        <is>
          <t>Sveaskog</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10654-2023</t>
        </is>
      </c>
      <c r="B743" t="inlineStr">
        <is>
          <t>avverkningsanmälan</t>
        </is>
      </c>
      <c r="C743" t="inlineStr">
        <is>
          <t>Föryngringsavverkning</t>
        </is>
      </c>
      <c r="D743" s="1" t="n">
        <v>44984</v>
      </c>
      <c r="E743" s="1" t="n">
        <v>46223</v>
      </c>
      <c r="F743" t="inlineStr">
        <is>
          <t>ÖREBRO LÄN</t>
        </is>
      </c>
      <c r="G743" t="inlineStr">
        <is>
          <t>LINDESBERG</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30534-2023</t>
        </is>
      </c>
      <c r="B744" t="inlineStr">
        <is>
          <t>avverkningsanmälan</t>
        </is>
      </c>
      <c r="C744" t="inlineStr">
        <is>
          <t>Föryngringsavverkning</t>
        </is>
      </c>
      <c r="D744" s="1" t="n">
        <v>45111</v>
      </c>
      <c r="E744" s="1" t="n">
        <v>46223</v>
      </c>
      <c r="F744" t="inlineStr">
        <is>
          <t>ÖREBRO LÄN</t>
        </is>
      </c>
      <c r="G744" t="inlineStr">
        <is>
          <t>LINDESBERG</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27013-2024</t>
        </is>
      </c>
      <c r="B745" t="inlineStr">
        <is>
          <t>avverkningsanmälan</t>
        </is>
      </c>
      <c r="C745" t="inlineStr">
        <is>
          <t>Föryngringsavverkning</t>
        </is>
      </c>
      <c r="D745" s="1" t="n">
        <v>45471</v>
      </c>
      <c r="E745" s="1" t="n">
        <v>46223</v>
      </c>
      <c r="F745" t="inlineStr">
        <is>
          <t>ÖREBRO LÄN</t>
        </is>
      </c>
      <c r="G745" t="inlineStr">
        <is>
          <t>LINDESBERG</t>
        </is>
      </c>
      <c r="I745" t="n">
        <v>5.2</v>
      </c>
      <c r="J745" t="n">
        <v>0</v>
      </c>
      <c r="K745" t="n">
        <v>0</v>
      </c>
      <c r="L745" t="n">
        <v>0</v>
      </c>
      <c r="M745" t="n">
        <v>0</v>
      </c>
      <c r="N745" t="n">
        <v>0</v>
      </c>
      <c r="O745" t="n">
        <v>0</v>
      </c>
      <c r="P745" t="n">
        <v>0</v>
      </c>
      <c r="Q745" t="n">
        <v>0</v>
      </c>
      <c r="R745" t="n">
        <v>0</v>
      </c>
      <c r="S745" t="n">
        <v>0</v>
      </c>
      <c r="T745" t="n">
        <v>0</v>
      </c>
      <c r="U745" s="2" t="inlineStr"/>
    </row>
    <row r="746" ht="15" customHeight="1">
      <c r="A746" t="inlineStr">
        <is>
          <t>A 9140-2025</t>
        </is>
      </c>
      <c r="B746" t="inlineStr">
        <is>
          <t>avverkningsanmälan</t>
        </is>
      </c>
      <c r="C746" t="inlineStr">
        <is>
          <t>Föryngringsavverkning</t>
        </is>
      </c>
      <c r="D746" s="1" t="n">
        <v>45714</v>
      </c>
      <c r="E746" s="1" t="n">
        <v>46223</v>
      </c>
      <c r="F746" t="inlineStr">
        <is>
          <t>ÖREBRO LÄN</t>
        </is>
      </c>
      <c r="G746" t="inlineStr">
        <is>
          <t>LINDESBERG</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28469-2023</t>
        </is>
      </c>
      <c r="B747" t="inlineStr">
        <is>
          <t>avverkningsanmälan</t>
        </is>
      </c>
      <c r="C747" t="inlineStr">
        <is>
          <t>Föryngringsavverkning</t>
        </is>
      </c>
      <c r="D747" s="1" t="n">
        <v>45103</v>
      </c>
      <c r="E747" s="1" t="n">
        <v>46223</v>
      </c>
      <c r="F747" t="inlineStr">
        <is>
          <t>ÖREBRO LÄN</t>
        </is>
      </c>
      <c r="G747" t="inlineStr">
        <is>
          <t>LINDESBERG</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12278-2025</t>
        </is>
      </c>
      <c r="B748" t="inlineStr">
        <is>
          <t>avverkningsanmälan</t>
        </is>
      </c>
      <c r="C748" t="inlineStr">
        <is>
          <t>Föryngringsavverkning</t>
        </is>
      </c>
      <c r="D748" s="1" t="n">
        <v>45729</v>
      </c>
      <c r="E748" s="1" t="n">
        <v>46223</v>
      </c>
      <c r="F748" t="inlineStr">
        <is>
          <t>ÖREBRO LÄN</t>
        </is>
      </c>
      <c r="G748" t="inlineStr">
        <is>
          <t>LINDESBERG</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20954-2024</t>
        </is>
      </c>
      <c r="B749" t="inlineStr">
        <is>
          <t>avverkningsanmälan</t>
        </is>
      </c>
      <c r="C749" t="inlineStr">
        <is>
          <t>Föryngringsavverkning</t>
        </is>
      </c>
      <c r="D749" s="1" t="n">
        <v>45439</v>
      </c>
      <c r="E749" s="1" t="n">
        <v>46223</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7120-2025</t>
        </is>
      </c>
      <c r="B750" t="inlineStr">
        <is>
          <t>avverkningsanmälan</t>
        </is>
      </c>
      <c r="C750" t="inlineStr">
        <is>
          <t>Föryngringsavverkning</t>
        </is>
      </c>
      <c r="D750" s="1" t="n">
        <v>45702</v>
      </c>
      <c r="E750" s="1" t="n">
        <v>46223</v>
      </c>
      <c r="F750" t="inlineStr">
        <is>
          <t>ÖREBRO LÄN</t>
        </is>
      </c>
      <c r="G750" t="inlineStr">
        <is>
          <t>LINDESBERG</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36773-2024</t>
        </is>
      </c>
      <c r="B751" t="inlineStr">
        <is>
          <t>avverkningsanmälan</t>
        </is>
      </c>
      <c r="C751" t="inlineStr">
        <is>
          <t>Avverkning för att bevara och utveckla /försöksver</t>
        </is>
      </c>
      <c r="D751" s="1" t="n">
        <v>45538</v>
      </c>
      <c r="E751" s="1" t="n">
        <v>46223</v>
      </c>
      <c r="F751" t="inlineStr">
        <is>
          <t>ÖREBRO LÄN</t>
        </is>
      </c>
      <c r="G751" t="inlineStr">
        <is>
          <t>LINDESBERG</t>
        </is>
      </c>
      <c r="H751" t="inlineStr">
        <is>
          <t>Sveaskog</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12692-2024</t>
        </is>
      </c>
      <c r="B752" t="inlineStr">
        <is>
          <t>avverkningsanmälan</t>
        </is>
      </c>
      <c r="C752" t="inlineStr">
        <is>
          <t>Föryngringsavverkning</t>
        </is>
      </c>
      <c r="D752" s="1" t="n">
        <v>45384</v>
      </c>
      <c r="E752" s="1" t="n">
        <v>46223</v>
      </c>
      <c r="F752" t="inlineStr">
        <is>
          <t>ÖREBRO LÄN</t>
        </is>
      </c>
      <c r="G752" t="inlineStr">
        <is>
          <t>LINDESBERG</t>
        </is>
      </c>
      <c r="I752" t="n">
        <v>5.2</v>
      </c>
      <c r="J752" t="n">
        <v>0</v>
      </c>
      <c r="K752" t="n">
        <v>0</v>
      </c>
      <c r="L752" t="n">
        <v>0</v>
      </c>
      <c r="M752" t="n">
        <v>0</v>
      </c>
      <c r="N752" t="n">
        <v>0</v>
      </c>
      <c r="O752" t="n">
        <v>0</v>
      </c>
      <c r="P752" t="n">
        <v>0</v>
      </c>
      <c r="Q752" t="n">
        <v>0</v>
      </c>
      <c r="R752" t="n">
        <v>0</v>
      </c>
      <c r="S752" t="n">
        <v>0</v>
      </c>
      <c r="T752" t="n">
        <v>0</v>
      </c>
      <c r="U752" s="2" t="inlineStr"/>
    </row>
    <row r="753" ht="15" customHeight="1">
      <c r="A753" t="inlineStr">
        <is>
          <t>A 15325-2024</t>
        </is>
      </c>
      <c r="B753" t="inlineStr">
        <is>
          <t>avverkningsanmälan</t>
        </is>
      </c>
      <c r="C753" t="inlineStr">
        <is>
          <t>Avverkning för annat ändamål</t>
        </is>
      </c>
      <c r="D753" s="1" t="n">
        <v>45400</v>
      </c>
      <c r="E753" s="1" t="n">
        <v>46223</v>
      </c>
      <c r="F753" t="inlineStr">
        <is>
          <t>ÖREBRO LÄN</t>
        </is>
      </c>
      <c r="G753" t="inlineStr">
        <is>
          <t>LINDESBERG</t>
        </is>
      </c>
      <c r="H753" t="inlineStr">
        <is>
          <t>Sveaskog</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7119-2025</t>
        </is>
      </c>
      <c r="B754" t="inlineStr">
        <is>
          <t>avverkningsanmälan</t>
        </is>
      </c>
      <c r="C754" t="inlineStr">
        <is>
          <t>Föryngringsavverkning</t>
        </is>
      </c>
      <c r="D754" s="1" t="n">
        <v>45702</v>
      </c>
      <c r="E754" s="1" t="n">
        <v>46223</v>
      </c>
      <c r="F754" t="inlineStr">
        <is>
          <t>ÖREBRO LÄN</t>
        </is>
      </c>
      <c r="G754" t="inlineStr">
        <is>
          <t>LINDESBERG</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20804-2025</t>
        </is>
      </c>
      <c r="B755" t="inlineStr">
        <is>
          <t>avverkningsanmälan</t>
        </is>
      </c>
      <c r="C755" t="inlineStr">
        <is>
          <t>Föryngringsavverkning</t>
        </is>
      </c>
      <c r="D755" s="1" t="n">
        <v>45776</v>
      </c>
      <c r="E755" s="1" t="n">
        <v>46223</v>
      </c>
      <c r="F755" t="inlineStr">
        <is>
          <t>ÖREBRO LÄN</t>
        </is>
      </c>
      <c r="G755" t="inlineStr">
        <is>
          <t>LINDESBERG</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20950-2025</t>
        </is>
      </c>
      <c r="B756" t="inlineStr">
        <is>
          <t>avverkningsanmälan</t>
        </is>
      </c>
      <c r="C756" t="inlineStr">
        <is>
          <t>Föryngringsavverkning</t>
        </is>
      </c>
      <c r="D756" s="1" t="n">
        <v>45777</v>
      </c>
      <c r="E756" s="1" t="n">
        <v>46223</v>
      </c>
      <c r="F756" t="inlineStr">
        <is>
          <t>ÖREBRO LÄN</t>
        </is>
      </c>
      <c r="G756" t="inlineStr">
        <is>
          <t>LINDESBERG</t>
        </is>
      </c>
      <c r="H756" t="inlineStr">
        <is>
          <t>Sveaskog</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20944-2025</t>
        </is>
      </c>
      <c r="B757" t="inlineStr">
        <is>
          <t>avverkningsanmälan</t>
        </is>
      </c>
      <c r="C757" t="inlineStr">
        <is>
          <t>Avverkning för att bevara och utveckla /försöksver</t>
        </is>
      </c>
      <c r="D757" s="1" t="n">
        <v>45777</v>
      </c>
      <c r="E757" s="1" t="n">
        <v>46223</v>
      </c>
      <c r="F757" t="inlineStr">
        <is>
          <t>ÖREBRO LÄN</t>
        </is>
      </c>
      <c r="G757" t="inlineStr">
        <is>
          <t>LINDESBERG</t>
        </is>
      </c>
      <c r="H757" t="inlineStr">
        <is>
          <t>Sveaskog</t>
        </is>
      </c>
      <c r="I757" t="n">
        <v>2.6</v>
      </c>
      <c r="J757" t="n">
        <v>0</v>
      </c>
      <c r="K757" t="n">
        <v>0</v>
      </c>
      <c r="L757" t="n">
        <v>0</v>
      </c>
      <c r="M757" t="n">
        <v>0</v>
      </c>
      <c r="N757" t="n">
        <v>0</v>
      </c>
      <c r="O757" t="n">
        <v>0</v>
      </c>
      <c r="P757" t="n">
        <v>0</v>
      </c>
      <c r="Q757" t="n">
        <v>0</v>
      </c>
      <c r="R757" t="n">
        <v>0</v>
      </c>
      <c r="S757" t="n">
        <v>0</v>
      </c>
      <c r="T757" t="n">
        <v>0</v>
      </c>
      <c r="U757" s="2" t="inlineStr"/>
    </row>
    <row r="758" ht="15" customHeight="1">
      <c r="A758" t="inlineStr">
        <is>
          <t>A 21812-2025</t>
        </is>
      </c>
      <c r="B758" t="inlineStr">
        <is>
          <t>avverkningsanmälan</t>
        </is>
      </c>
      <c r="C758" t="inlineStr">
        <is>
          <t>Föryngringsavverkning</t>
        </is>
      </c>
      <c r="D758" s="1" t="n">
        <v>45783</v>
      </c>
      <c r="E758" s="1" t="n">
        <v>46223</v>
      </c>
      <c r="F758" t="inlineStr">
        <is>
          <t>ÖREBRO LÄN</t>
        </is>
      </c>
      <c r="G758" t="inlineStr">
        <is>
          <t>LINDESBERG</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31861-2024</t>
        </is>
      </c>
      <c r="B759" t="inlineStr">
        <is>
          <t>avverkningsanmälan</t>
        </is>
      </c>
      <c r="C759" t="inlineStr">
        <is>
          <t>Föryngringsavverkning</t>
        </is>
      </c>
      <c r="D759" s="1" t="n">
        <v>45509</v>
      </c>
      <c r="E759" s="1" t="n">
        <v>46223</v>
      </c>
      <c r="F759" t="inlineStr">
        <is>
          <t>ÖREBRO LÄN</t>
        </is>
      </c>
      <c r="G759" t="inlineStr">
        <is>
          <t>LINDESBERG</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43195-2024</t>
        </is>
      </c>
      <c r="B760" t="inlineStr">
        <is>
          <t>avverkningsanmälan</t>
        </is>
      </c>
      <c r="C760" t="inlineStr">
        <is>
          <t>Föryngringsavverkning</t>
        </is>
      </c>
      <c r="D760" s="1" t="n">
        <v>45567</v>
      </c>
      <c r="E760" s="1" t="n">
        <v>46223</v>
      </c>
      <c r="F760" t="inlineStr">
        <is>
          <t>ÖREBRO LÄN</t>
        </is>
      </c>
      <c r="G760" t="inlineStr">
        <is>
          <t>LINDESBERG</t>
        </is>
      </c>
      <c r="I760" t="n">
        <v>27.8</v>
      </c>
      <c r="J760" t="n">
        <v>0</v>
      </c>
      <c r="K760" t="n">
        <v>0</v>
      </c>
      <c r="L760" t="n">
        <v>0</v>
      </c>
      <c r="M760" t="n">
        <v>0</v>
      </c>
      <c r="N760" t="n">
        <v>0</v>
      </c>
      <c r="O760" t="n">
        <v>0</v>
      </c>
      <c r="P760" t="n">
        <v>0</v>
      </c>
      <c r="Q760" t="n">
        <v>0</v>
      </c>
      <c r="R760" t="n">
        <v>0</v>
      </c>
      <c r="S760" t="n">
        <v>0</v>
      </c>
      <c r="T760" t="n">
        <v>0</v>
      </c>
      <c r="U760" s="2" t="inlineStr"/>
    </row>
    <row r="761" ht="15" customHeight="1">
      <c r="A761" t="inlineStr">
        <is>
          <t>A 24583-2024</t>
        </is>
      </c>
      <c r="B761" t="inlineStr">
        <is>
          <t>avverkningsanmälan</t>
        </is>
      </c>
      <c r="C761" t="inlineStr">
        <is>
          <t>Föryngringsavverkning</t>
        </is>
      </c>
      <c r="D761" s="1" t="n">
        <v>45460</v>
      </c>
      <c r="E761" s="1" t="n">
        <v>46223</v>
      </c>
      <c r="F761" t="inlineStr">
        <is>
          <t>ÖREBRO LÄN</t>
        </is>
      </c>
      <c r="G761" t="inlineStr">
        <is>
          <t>LINDESBERG</t>
        </is>
      </c>
      <c r="I761" t="n">
        <v>13.7</v>
      </c>
      <c r="J761" t="n">
        <v>0</v>
      </c>
      <c r="K761" t="n">
        <v>0</v>
      </c>
      <c r="L761" t="n">
        <v>0</v>
      </c>
      <c r="M761" t="n">
        <v>0</v>
      </c>
      <c r="N761" t="n">
        <v>0</v>
      </c>
      <c r="O761" t="n">
        <v>0</v>
      </c>
      <c r="P761" t="n">
        <v>0</v>
      </c>
      <c r="Q761" t="n">
        <v>0</v>
      </c>
      <c r="R761" t="n">
        <v>0</v>
      </c>
      <c r="S761" t="n">
        <v>0</v>
      </c>
      <c r="T761" t="n">
        <v>0</v>
      </c>
      <c r="U761" s="2" t="inlineStr"/>
    </row>
    <row r="762" ht="15" customHeight="1">
      <c r="A762" t="inlineStr">
        <is>
          <t>A 43532-2024</t>
        </is>
      </c>
      <c r="B762" t="inlineStr">
        <is>
          <t>avverkningsanmälan</t>
        </is>
      </c>
      <c r="C762" t="inlineStr">
        <is>
          <t>Föryngringsavverkning</t>
        </is>
      </c>
      <c r="D762" s="1" t="n">
        <v>45569</v>
      </c>
      <c r="E762" s="1" t="n">
        <v>46223</v>
      </c>
      <c r="F762" t="inlineStr">
        <is>
          <t>ÖREBRO LÄN</t>
        </is>
      </c>
      <c r="G762" t="inlineStr">
        <is>
          <t>LINDESBERG</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59282-2023</t>
        </is>
      </c>
      <c r="B763" t="inlineStr">
        <is>
          <t>avverkningsanmälan</t>
        </is>
      </c>
      <c r="C763" t="inlineStr">
        <is>
          <t>Föryngringsavverkning</t>
        </is>
      </c>
      <c r="D763" s="1" t="n">
        <v>45253</v>
      </c>
      <c r="E763" s="1" t="n">
        <v>46223</v>
      </c>
      <c r="F763" t="inlineStr">
        <is>
          <t>ÖREBRO LÄN</t>
        </is>
      </c>
      <c r="G763" t="inlineStr">
        <is>
          <t>LINDESBERG</t>
        </is>
      </c>
      <c r="H763" t="inlineStr">
        <is>
          <t>Sveaskog</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47601-2023</t>
        </is>
      </c>
      <c r="B764" t="inlineStr">
        <is>
          <t>avverkningsanmälan</t>
        </is>
      </c>
      <c r="C764" t="inlineStr">
        <is>
          <t>Föryngringsavverkning</t>
        </is>
      </c>
      <c r="D764" s="1" t="n">
        <v>45203</v>
      </c>
      <c r="E764" s="1" t="n">
        <v>46223</v>
      </c>
      <c r="F764" t="inlineStr">
        <is>
          <t>ÖREBRO LÄN</t>
        </is>
      </c>
      <c r="G764" t="inlineStr">
        <is>
          <t>LINDESBERG</t>
        </is>
      </c>
      <c r="I764" t="n">
        <v>37.6</v>
      </c>
      <c r="J764" t="n">
        <v>0</v>
      </c>
      <c r="K764" t="n">
        <v>0</v>
      </c>
      <c r="L764" t="n">
        <v>0</v>
      </c>
      <c r="M764" t="n">
        <v>0</v>
      </c>
      <c r="N764" t="n">
        <v>0</v>
      </c>
      <c r="O764" t="n">
        <v>0</v>
      </c>
      <c r="P764" t="n">
        <v>0</v>
      </c>
      <c r="Q764" t="n">
        <v>0</v>
      </c>
      <c r="R764" t="n">
        <v>0</v>
      </c>
      <c r="S764" t="n">
        <v>0</v>
      </c>
      <c r="T764" t="n">
        <v>0</v>
      </c>
      <c r="U764" s="2" t="inlineStr"/>
    </row>
    <row r="765" ht="15" customHeight="1">
      <c r="A765" t="inlineStr">
        <is>
          <t>A 62308-2023</t>
        </is>
      </c>
      <c r="B765" t="inlineStr">
        <is>
          <t>avverkningsanmälan</t>
        </is>
      </c>
      <c r="C765" t="inlineStr">
        <is>
          <t>Föryngringsavverkning</t>
        </is>
      </c>
      <c r="D765" s="1" t="n">
        <v>45267</v>
      </c>
      <c r="E765" s="1" t="n">
        <v>46223</v>
      </c>
      <c r="F765" t="inlineStr">
        <is>
          <t>ÖREBRO LÄN</t>
        </is>
      </c>
      <c r="G765" t="inlineStr">
        <is>
          <t>LINDESBERG</t>
        </is>
      </c>
      <c r="H765" t="inlineStr">
        <is>
          <t>Naturvårdsverket</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36686-2024</t>
        </is>
      </c>
      <c r="B766" t="inlineStr">
        <is>
          <t>avverkningsanmälan</t>
        </is>
      </c>
      <c r="C766" t="inlineStr">
        <is>
          <t>Föryngringsavverkning</t>
        </is>
      </c>
      <c r="D766" s="1" t="n">
        <v>45537</v>
      </c>
      <c r="E766" s="1" t="n">
        <v>46223</v>
      </c>
      <c r="F766" t="inlineStr">
        <is>
          <t>ÖREBRO LÄN</t>
        </is>
      </c>
      <c r="G766" t="inlineStr">
        <is>
          <t>LINDESBERG</t>
        </is>
      </c>
      <c r="H766" t="inlineStr">
        <is>
          <t>Sveaskog</t>
        </is>
      </c>
      <c r="I766" t="n">
        <v>3.9</v>
      </c>
      <c r="J766" t="n">
        <v>0</v>
      </c>
      <c r="K766" t="n">
        <v>0</v>
      </c>
      <c r="L766" t="n">
        <v>0</v>
      </c>
      <c r="M766" t="n">
        <v>0</v>
      </c>
      <c r="N766" t="n">
        <v>0</v>
      </c>
      <c r="O766" t="n">
        <v>0</v>
      </c>
      <c r="P766" t="n">
        <v>0</v>
      </c>
      <c r="Q766" t="n">
        <v>0</v>
      </c>
      <c r="R766" t="n">
        <v>0</v>
      </c>
      <c r="S766" t="n">
        <v>0</v>
      </c>
      <c r="T766" t="n">
        <v>0</v>
      </c>
      <c r="U766" s="2" t="inlineStr"/>
    </row>
    <row r="767" ht="15" customHeight="1">
      <c r="A767" t="inlineStr">
        <is>
          <t>A 53355-2023</t>
        </is>
      </c>
      <c r="B767" t="inlineStr">
        <is>
          <t>avverkningsanmälan</t>
        </is>
      </c>
      <c r="C767" t="inlineStr">
        <is>
          <t>Föryngringsavverkning</t>
        </is>
      </c>
      <c r="D767" s="1" t="n">
        <v>45229</v>
      </c>
      <c r="E767" s="1" t="n">
        <v>46223</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36680-2024</t>
        </is>
      </c>
      <c r="B768" t="inlineStr">
        <is>
          <t>avverkningsanmälan</t>
        </is>
      </c>
      <c r="C768" t="inlineStr">
        <is>
          <t>Föryngringsavverkning</t>
        </is>
      </c>
      <c r="D768" s="1" t="n">
        <v>45537</v>
      </c>
      <c r="E768" s="1" t="n">
        <v>46223</v>
      </c>
      <c r="F768" t="inlineStr">
        <is>
          <t>ÖREBRO LÄN</t>
        </is>
      </c>
      <c r="G768" t="inlineStr">
        <is>
          <t>LINDESBERG</t>
        </is>
      </c>
      <c r="H768" t="inlineStr">
        <is>
          <t>Sveaskog</t>
        </is>
      </c>
      <c r="I768" t="n">
        <v>2.1</v>
      </c>
      <c r="J768" t="n">
        <v>0</v>
      </c>
      <c r="K768" t="n">
        <v>0</v>
      </c>
      <c r="L768" t="n">
        <v>0</v>
      </c>
      <c r="M768" t="n">
        <v>0</v>
      </c>
      <c r="N768" t="n">
        <v>0</v>
      </c>
      <c r="O768" t="n">
        <v>0</v>
      </c>
      <c r="P768" t="n">
        <v>0</v>
      </c>
      <c r="Q768" t="n">
        <v>0</v>
      </c>
      <c r="R768" t="n">
        <v>0</v>
      </c>
      <c r="S768" t="n">
        <v>0</v>
      </c>
      <c r="T768" t="n">
        <v>0</v>
      </c>
      <c r="U768" s="2" t="inlineStr"/>
    </row>
    <row r="769" ht="15" customHeight="1">
      <c r="A769" t="inlineStr">
        <is>
          <t>A 54793-2024</t>
        </is>
      </c>
      <c r="B769" t="inlineStr">
        <is>
          <t>avverkningsanmälan</t>
        </is>
      </c>
      <c r="C769" t="inlineStr">
        <is>
          <t>Föryngringsavverkning</t>
        </is>
      </c>
      <c r="D769" s="1" t="n">
        <v>45618</v>
      </c>
      <c r="E769" s="1" t="n">
        <v>46223</v>
      </c>
      <c r="F769" t="inlineStr">
        <is>
          <t>ÖREBRO LÄN</t>
        </is>
      </c>
      <c r="G769" t="inlineStr">
        <is>
          <t>LINDESBERG</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38380-2024</t>
        </is>
      </c>
      <c r="B770" t="inlineStr">
        <is>
          <t>avverkningsanmälan</t>
        </is>
      </c>
      <c r="C770" t="inlineStr">
        <is>
          <t>Föryngringsavverkning</t>
        </is>
      </c>
      <c r="D770" s="1" t="n">
        <v>45546</v>
      </c>
      <c r="E770" s="1" t="n">
        <v>46223</v>
      </c>
      <c r="F770" t="inlineStr">
        <is>
          <t>ÖREBRO LÄN</t>
        </is>
      </c>
      <c r="G770" t="inlineStr">
        <is>
          <t>LINDESBERG</t>
        </is>
      </c>
      <c r="I770" t="n">
        <v>6.8</v>
      </c>
      <c r="J770" t="n">
        <v>0</v>
      </c>
      <c r="K770" t="n">
        <v>0</v>
      </c>
      <c r="L770" t="n">
        <v>0</v>
      </c>
      <c r="M770" t="n">
        <v>0</v>
      </c>
      <c r="N770" t="n">
        <v>0</v>
      </c>
      <c r="O770" t="n">
        <v>0</v>
      </c>
      <c r="P770" t="n">
        <v>0</v>
      </c>
      <c r="Q770" t="n">
        <v>0</v>
      </c>
      <c r="R770" t="n">
        <v>0</v>
      </c>
      <c r="S770" t="n">
        <v>0</v>
      </c>
      <c r="T770" t="n">
        <v>0</v>
      </c>
      <c r="U770" s="2" t="inlineStr"/>
    </row>
    <row r="771" ht="15" customHeight="1">
      <c r="A771" t="inlineStr">
        <is>
          <t>A 42707-2023</t>
        </is>
      </c>
      <c r="B771" t="inlineStr">
        <is>
          <t>avverkningsanmälan</t>
        </is>
      </c>
      <c r="C771" t="inlineStr">
        <is>
          <t>Föryngringsavverkning</t>
        </is>
      </c>
      <c r="D771" s="1" t="n">
        <v>45181</v>
      </c>
      <c r="E771" s="1" t="n">
        <v>46223</v>
      </c>
      <c r="F771" t="inlineStr">
        <is>
          <t>ÖREBRO LÄN</t>
        </is>
      </c>
      <c r="G771" t="inlineStr">
        <is>
          <t>LINDESBERG</t>
        </is>
      </c>
      <c r="H771" t="inlineStr">
        <is>
          <t>Sveaskog</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59641-2024</t>
        </is>
      </c>
      <c r="B772" t="inlineStr">
        <is>
          <t>avverkningsanmälan</t>
        </is>
      </c>
      <c r="C772" t="inlineStr">
        <is>
          <t>Föryngringsavverkning</t>
        </is>
      </c>
      <c r="D772" s="1" t="n">
        <v>45639</v>
      </c>
      <c r="E772" s="1" t="n">
        <v>46223</v>
      </c>
      <c r="F772" t="inlineStr">
        <is>
          <t>ÖREBRO LÄN</t>
        </is>
      </c>
      <c r="G772" t="inlineStr">
        <is>
          <t>LINDESBERG</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17779-2024</t>
        </is>
      </c>
      <c r="B773" t="inlineStr">
        <is>
          <t>avverkningsanmälan</t>
        </is>
      </c>
      <c r="C773" t="inlineStr">
        <is>
          <t>Föryngringsavverkning</t>
        </is>
      </c>
      <c r="D773" s="1" t="n">
        <v>45418</v>
      </c>
      <c r="E773" s="1" t="n">
        <v>46223</v>
      </c>
      <c r="F773" t="inlineStr">
        <is>
          <t>ÖREBRO LÄN</t>
        </is>
      </c>
      <c r="G773" t="inlineStr">
        <is>
          <t>LINDESBERG</t>
        </is>
      </c>
      <c r="I773" t="n">
        <v>3.7</v>
      </c>
      <c r="J773" t="n">
        <v>0</v>
      </c>
      <c r="K773" t="n">
        <v>0</v>
      </c>
      <c r="L773" t="n">
        <v>0</v>
      </c>
      <c r="M773" t="n">
        <v>0</v>
      </c>
      <c r="N773" t="n">
        <v>0</v>
      </c>
      <c r="O773" t="n">
        <v>0</v>
      </c>
      <c r="P773" t="n">
        <v>0</v>
      </c>
      <c r="Q773" t="n">
        <v>0</v>
      </c>
      <c r="R773" t="n">
        <v>0</v>
      </c>
      <c r="S773" t="n">
        <v>0</v>
      </c>
      <c r="T773" t="n">
        <v>0</v>
      </c>
      <c r="U773" s="2" t="inlineStr"/>
    </row>
    <row r="774" ht="15" customHeight="1">
      <c r="A774" t="inlineStr">
        <is>
          <t>A 21202-2024</t>
        </is>
      </c>
      <c r="B774" t="inlineStr">
        <is>
          <t>avverkningsanmälan</t>
        </is>
      </c>
      <c r="C774" t="inlineStr">
        <is>
          <t>Föryngringsavverkning</t>
        </is>
      </c>
      <c r="D774" s="1" t="n">
        <v>45440</v>
      </c>
      <c r="E774" s="1" t="n">
        <v>46223</v>
      </c>
      <c r="F774" t="inlineStr">
        <is>
          <t>ÖREBRO LÄN</t>
        </is>
      </c>
      <c r="G774" t="inlineStr">
        <is>
          <t>LINDESBERG</t>
        </is>
      </c>
      <c r="I774" t="n">
        <v>4</v>
      </c>
      <c r="J774" t="n">
        <v>0</v>
      </c>
      <c r="K774" t="n">
        <v>0</v>
      </c>
      <c r="L774" t="n">
        <v>0</v>
      </c>
      <c r="M774" t="n">
        <v>0</v>
      </c>
      <c r="N774" t="n">
        <v>0</v>
      </c>
      <c r="O774" t="n">
        <v>0</v>
      </c>
      <c r="P774" t="n">
        <v>0</v>
      </c>
      <c r="Q774" t="n">
        <v>0</v>
      </c>
      <c r="R774" t="n">
        <v>0</v>
      </c>
      <c r="S774" t="n">
        <v>0</v>
      </c>
      <c r="T774" t="n">
        <v>0</v>
      </c>
      <c r="U774" s="2" t="inlineStr"/>
    </row>
    <row r="775" ht="15" customHeight="1">
      <c r="A775" t="inlineStr">
        <is>
          <t>A 1400-2025</t>
        </is>
      </c>
      <c r="B775" t="inlineStr">
        <is>
          <t>avverkningsanmälan</t>
        </is>
      </c>
      <c r="C775" t="inlineStr">
        <is>
          <t>Föryngringsavverkning</t>
        </is>
      </c>
      <c r="D775" s="1" t="n">
        <v>45667</v>
      </c>
      <c r="E775" s="1" t="n">
        <v>46223</v>
      </c>
      <c r="F775" t="inlineStr">
        <is>
          <t>ÖREBRO LÄN</t>
        </is>
      </c>
      <c r="G775" t="inlineStr">
        <is>
          <t>LINDESBERG</t>
        </is>
      </c>
      <c r="H775" t="inlineStr">
        <is>
          <t>Allmännings- och besparingsskogar</t>
        </is>
      </c>
      <c r="I775" t="n">
        <v>11.3</v>
      </c>
      <c r="J775" t="n">
        <v>0</v>
      </c>
      <c r="K775" t="n">
        <v>0</v>
      </c>
      <c r="L775" t="n">
        <v>0</v>
      </c>
      <c r="M775" t="n">
        <v>0</v>
      </c>
      <c r="N775" t="n">
        <v>0</v>
      </c>
      <c r="O775" t="n">
        <v>0</v>
      </c>
      <c r="P775" t="n">
        <v>0</v>
      </c>
      <c r="Q775" t="n">
        <v>0</v>
      </c>
      <c r="R775" t="n">
        <v>0</v>
      </c>
      <c r="S775" t="n">
        <v>0</v>
      </c>
      <c r="T775" t="n">
        <v>0</v>
      </c>
      <c r="U775" s="2" t="inlineStr"/>
    </row>
    <row r="776" ht="15" customHeight="1">
      <c r="A776" t="inlineStr">
        <is>
          <t>A 24017-2025</t>
        </is>
      </c>
      <c r="B776" t="inlineStr">
        <is>
          <t>avverkningsanmälan</t>
        </is>
      </c>
      <c r="C776" t="inlineStr">
        <is>
          <t>Föryngringsavverkning</t>
        </is>
      </c>
      <c r="D776" s="1" t="n">
        <v>45796</v>
      </c>
      <c r="E776" s="1" t="n">
        <v>46223</v>
      </c>
      <c r="F776" t="inlineStr">
        <is>
          <t>ÖREBRO LÄN</t>
        </is>
      </c>
      <c r="G776" t="inlineStr">
        <is>
          <t>LINDESBERG</t>
        </is>
      </c>
      <c r="H776" t="inlineStr">
        <is>
          <t>Sveaskog</t>
        </is>
      </c>
      <c r="I776" t="n">
        <v>3.1</v>
      </c>
      <c r="J776" t="n">
        <v>0</v>
      </c>
      <c r="K776" t="n">
        <v>0</v>
      </c>
      <c r="L776" t="n">
        <v>0</v>
      </c>
      <c r="M776" t="n">
        <v>0</v>
      </c>
      <c r="N776" t="n">
        <v>0</v>
      </c>
      <c r="O776" t="n">
        <v>0</v>
      </c>
      <c r="P776" t="n">
        <v>0</v>
      </c>
      <c r="Q776" t="n">
        <v>0</v>
      </c>
      <c r="R776" t="n">
        <v>0</v>
      </c>
      <c r="S776" t="n">
        <v>0</v>
      </c>
      <c r="T776" t="n">
        <v>0</v>
      </c>
      <c r="U776" s="2" t="inlineStr"/>
    </row>
    <row r="777" ht="15" customHeight="1">
      <c r="A777" t="inlineStr">
        <is>
          <t>A 23932-2025</t>
        </is>
      </c>
      <c r="B777" t="inlineStr">
        <is>
          <t>avverkningsanmälan</t>
        </is>
      </c>
      <c r="C777" t="inlineStr">
        <is>
          <t>Föryngringsavverkning</t>
        </is>
      </c>
      <c r="D777" s="1" t="n">
        <v>45795</v>
      </c>
      <c r="E777" s="1" t="n">
        <v>46223</v>
      </c>
      <c r="F777" t="inlineStr">
        <is>
          <t>ÖREBRO LÄN</t>
        </is>
      </c>
      <c r="G777" t="inlineStr">
        <is>
          <t>LINDESBERG</t>
        </is>
      </c>
      <c r="I777" t="n">
        <v>2</v>
      </c>
      <c r="J777" t="n">
        <v>0</v>
      </c>
      <c r="K777" t="n">
        <v>0</v>
      </c>
      <c r="L777" t="n">
        <v>0</v>
      </c>
      <c r="M777" t="n">
        <v>0</v>
      </c>
      <c r="N777" t="n">
        <v>0</v>
      </c>
      <c r="O777" t="n">
        <v>0</v>
      </c>
      <c r="P777" t="n">
        <v>0</v>
      </c>
      <c r="Q777" t="n">
        <v>0</v>
      </c>
      <c r="R777" t="n">
        <v>0</v>
      </c>
      <c r="S777" t="n">
        <v>0</v>
      </c>
      <c r="T777" t="n">
        <v>0</v>
      </c>
      <c r="U777" s="2" t="inlineStr"/>
    </row>
    <row r="778" ht="15" customHeight="1">
      <c r="A778" t="inlineStr">
        <is>
          <t>A 24011-2025</t>
        </is>
      </c>
      <c r="B778" t="inlineStr">
        <is>
          <t>avverkningsanmälan</t>
        </is>
      </c>
      <c r="C778" t="inlineStr">
        <is>
          <t>Föryngringsavverkning</t>
        </is>
      </c>
      <c r="D778" s="1" t="n">
        <v>45796</v>
      </c>
      <c r="E778" s="1" t="n">
        <v>46223</v>
      </c>
      <c r="F778" t="inlineStr">
        <is>
          <t>ÖREBRO LÄN</t>
        </is>
      </c>
      <c r="G778" t="inlineStr">
        <is>
          <t>LINDESBERG</t>
        </is>
      </c>
      <c r="H778" t="inlineStr">
        <is>
          <t>Sveaskog</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24020-2025</t>
        </is>
      </c>
      <c r="B779" t="inlineStr">
        <is>
          <t>avverkningsanmälan</t>
        </is>
      </c>
      <c r="C779" t="inlineStr">
        <is>
          <t>Föryngringsavverkning</t>
        </is>
      </c>
      <c r="D779" s="1" t="n">
        <v>45796</v>
      </c>
      <c r="E779" s="1" t="n">
        <v>46223</v>
      </c>
      <c r="F779" t="inlineStr">
        <is>
          <t>ÖREBRO LÄN</t>
        </is>
      </c>
      <c r="G779" t="inlineStr">
        <is>
          <t>LINDESBERG</t>
        </is>
      </c>
      <c r="H779" t="inlineStr">
        <is>
          <t>Sveaskog</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57944-2023</t>
        </is>
      </c>
      <c r="B780" t="inlineStr">
        <is>
          <t>avverkningsanmälan</t>
        </is>
      </c>
      <c r="C780" t="inlineStr">
        <is>
          <t>Avverkning för annat ändamål</t>
        </is>
      </c>
      <c r="D780" s="1" t="n">
        <v>45244</v>
      </c>
      <c r="E780" s="1" t="n">
        <v>46223</v>
      </c>
      <c r="F780" t="inlineStr">
        <is>
          <t>ÖREBRO LÄN</t>
        </is>
      </c>
      <c r="G780" t="inlineStr">
        <is>
          <t>LINDESBERG</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24043-2024</t>
        </is>
      </c>
      <c r="B781" t="inlineStr">
        <is>
          <t>avverkningsanmälan</t>
        </is>
      </c>
      <c r="C781" t="inlineStr">
        <is>
          <t>Föryngringsavverkning</t>
        </is>
      </c>
      <c r="D781" s="1" t="n">
        <v>45456</v>
      </c>
      <c r="E781" s="1" t="n">
        <v>46223</v>
      </c>
      <c r="F781" t="inlineStr">
        <is>
          <t>ÖREBRO LÄN</t>
        </is>
      </c>
      <c r="G781" t="inlineStr">
        <is>
          <t>LINDESBERG</t>
        </is>
      </c>
      <c r="I781" t="n">
        <v>6.2</v>
      </c>
      <c r="J781" t="n">
        <v>0</v>
      </c>
      <c r="K781" t="n">
        <v>0</v>
      </c>
      <c r="L781" t="n">
        <v>0</v>
      </c>
      <c r="M781" t="n">
        <v>0</v>
      </c>
      <c r="N781" t="n">
        <v>0</v>
      </c>
      <c r="O781" t="n">
        <v>0</v>
      </c>
      <c r="P781" t="n">
        <v>0</v>
      </c>
      <c r="Q781" t="n">
        <v>0</v>
      </c>
      <c r="R781" t="n">
        <v>0</v>
      </c>
      <c r="S781" t="n">
        <v>0</v>
      </c>
      <c r="T781" t="n">
        <v>0</v>
      </c>
      <c r="U781" s="2" t="inlineStr"/>
    </row>
    <row r="782" ht="15" customHeight="1">
      <c r="A782" t="inlineStr">
        <is>
          <t>A 23844-2025</t>
        </is>
      </c>
      <c r="B782" t="inlineStr">
        <is>
          <t>avverkningsanmälan</t>
        </is>
      </c>
      <c r="C782" t="inlineStr">
        <is>
          <t>Avverkning för annat ändamål</t>
        </is>
      </c>
      <c r="D782" s="1" t="n">
        <v>45793</v>
      </c>
      <c r="E782" s="1" t="n">
        <v>46223</v>
      </c>
      <c r="F782" t="inlineStr">
        <is>
          <t>ÖREBRO LÄN</t>
        </is>
      </c>
      <c r="G782" t="inlineStr">
        <is>
          <t>LINDESBERG</t>
        </is>
      </c>
      <c r="H782" t="inlineStr">
        <is>
          <t>Sveaskog</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48231-2024</t>
        </is>
      </c>
      <c r="B783" t="inlineStr">
        <is>
          <t>avverkningsanmälan</t>
        </is>
      </c>
      <c r="C783" t="inlineStr">
        <is>
          <t>Föryngringsavverkning</t>
        </is>
      </c>
      <c r="D783" s="1" t="n">
        <v>45590</v>
      </c>
      <c r="E783" s="1" t="n">
        <v>46223</v>
      </c>
      <c r="F783" t="inlineStr">
        <is>
          <t>ÖREBRO LÄN</t>
        </is>
      </c>
      <c r="G783" t="inlineStr">
        <is>
          <t>LINDESBERG</t>
        </is>
      </c>
      <c r="I783" t="n">
        <v>9.699999999999999</v>
      </c>
      <c r="J783" t="n">
        <v>0</v>
      </c>
      <c r="K783" t="n">
        <v>0</v>
      </c>
      <c r="L783" t="n">
        <v>0</v>
      </c>
      <c r="M783" t="n">
        <v>0</v>
      </c>
      <c r="N783" t="n">
        <v>0</v>
      </c>
      <c r="O783" t="n">
        <v>0</v>
      </c>
      <c r="P783" t="n">
        <v>0</v>
      </c>
      <c r="Q783" t="n">
        <v>0</v>
      </c>
      <c r="R783" t="n">
        <v>0</v>
      </c>
      <c r="S783" t="n">
        <v>0</v>
      </c>
      <c r="T783" t="n">
        <v>0</v>
      </c>
      <c r="U783" s="2" t="inlineStr"/>
    </row>
    <row r="784" ht="15" customHeight="1">
      <c r="A784" t="inlineStr">
        <is>
          <t>A 37125-2023</t>
        </is>
      </c>
      <c r="B784" t="inlineStr">
        <is>
          <t>avverkningsanmälan</t>
        </is>
      </c>
      <c r="C784" t="inlineStr">
        <is>
          <t>Föryngringsavverkning</t>
        </is>
      </c>
      <c r="D784" s="1" t="n">
        <v>45155</v>
      </c>
      <c r="E784" s="1" t="n">
        <v>46223</v>
      </c>
      <c r="F784" t="inlineStr">
        <is>
          <t>ÖREBRO LÄN</t>
        </is>
      </c>
      <c r="G784" t="inlineStr">
        <is>
          <t>LINDESBERG</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24186-2024</t>
        </is>
      </c>
      <c r="B785" t="inlineStr">
        <is>
          <t>avverkningsanmälan</t>
        </is>
      </c>
      <c r="C785" t="inlineStr">
        <is>
          <t>Föryngringsavverkning</t>
        </is>
      </c>
      <c r="D785" s="1" t="n">
        <v>45456</v>
      </c>
      <c r="E785" s="1" t="n">
        <v>46223</v>
      </c>
      <c r="F785" t="inlineStr">
        <is>
          <t>ÖREBRO LÄN</t>
        </is>
      </c>
      <c r="G785" t="inlineStr">
        <is>
          <t>LINDESBERG</t>
        </is>
      </c>
      <c r="H785" t="inlineStr">
        <is>
          <t>Sveaskog</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S 2632-2020</t>
        </is>
      </c>
      <c r="B786" t="inlineStr">
        <is>
          <t>samrådsanmälan</t>
        </is>
      </c>
      <c r="C786" t="inlineStr">
        <is>
          <t>Åtgärd i nyckelbiotop</t>
        </is>
      </c>
      <c r="D786" s="1" t="n">
        <v>44172</v>
      </c>
      <c r="E786" s="1" t="n">
        <v>46223</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s="2" t="inlineStr"/>
    </row>
    <row r="787" ht="15" customHeight="1">
      <c r="A787" t="inlineStr">
        <is>
          <t>S 311-2021</t>
        </is>
      </c>
      <c r="B787" t="inlineStr">
        <is>
          <t>samrådsanmälan</t>
        </is>
      </c>
      <c r="C787" t="inlineStr">
        <is>
          <t>Åtgärd i nyckelbiotop</t>
        </is>
      </c>
      <c r="D787" s="1" t="n">
        <v>44246</v>
      </c>
      <c r="E787" s="1" t="n">
        <v>46223</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s="2" t="inlineStr"/>
    </row>
    <row r="788" ht="15" customHeight="1">
      <c r="A788" t="inlineStr">
        <is>
          <t>S 2631-2020</t>
        </is>
      </c>
      <c r="B788" t="inlineStr">
        <is>
          <t>samrådsanmälan</t>
        </is>
      </c>
      <c r="C788" t="inlineStr">
        <is>
          <t>Åtgärd i nyckelbiotop</t>
        </is>
      </c>
      <c r="D788" s="1" t="n">
        <v>44172</v>
      </c>
      <c r="E788" s="1" t="n">
        <v>46223</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s="2" t="inlineStr"/>
    </row>
    <row r="789" ht="15" customHeight="1">
      <c r="A789" t="inlineStr">
        <is>
          <t>S 4176-2024</t>
        </is>
      </c>
      <c r="B789" t="inlineStr">
        <is>
          <t>samrådsanmälan</t>
        </is>
      </c>
      <c r="C789" t="inlineStr">
        <is>
          <t>Annan skogsbruksåtgärd</t>
        </is>
      </c>
      <c r="D789" s="1" t="n">
        <v>45578</v>
      </c>
      <c r="E789" s="1" t="n">
        <v>46223</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S 3681-2023</t>
        </is>
      </c>
      <c r="B790" t="inlineStr">
        <is>
          <t>samrådsanmälan</t>
        </is>
      </c>
      <c r="C790" t="inlineStr">
        <is>
          <t>Annan skogsbruksåtgärd</t>
        </is>
      </c>
      <c r="D790" s="1" t="n">
        <v>45218</v>
      </c>
      <c r="E790" s="1" t="n">
        <v>46223</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s="2" t="inlineStr"/>
    </row>
    <row r="791" ht="15" customHeight="1">
      <c r="A791" t="inlineStr">
        <is>
          <t>S 1338-2023</t>
        </is>
      </c>
      <c r="B791" t="inlineStr">
        <is>
          <t>samrådsanmälan</t>
        </is>
      </c>
      <c r="C791" t="inlineStr">
        <is>
          <t>Åtgärd i nyckelbiotop</t>
        </is>
      </c>
      <c r="D791" s="1" t="n">
        <v>45040</v>
      </c>
      <c r="E791" s="1" t="n">
        <v>46223</v>
      </c>
      <c r="F791" t="inlineStr">
        <is>
          <t>ÖREBRO LÄN</t>
        </is>
      </c>
      <c r="G791" t="inlineStr">
        <is>
          <t>LINDESBERG</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S 674-2025</t>
        </is>
      </c>
      <c r="B792" t="inlineStr">
        <is>
          <t>samrådsanmälan</t>
        </is>
      </c>
      <c r="C792" t="inlineStr">
        <is>
          <t>Annan skogsbruksåtgärd</t>
        </is>
      </c>
      <c r="D792" s="1" t="n">
        <v>45716</v>
      </c>
      <c r="E792" s="1" t="n">
        <v>46223</v>
      </c>
      <c r="F792" t="inlineStr">
        <is>
          <t>ÖREBRO LÄN</t>
        </is>
      </c>
      <c r="G792" t="inlineStr">
        <is>
          <t>LINDESBERG</t>
        </is>
      </c>
      <c r="H792" t="inlineStr">
        <is>
          <t>Sveaskog</t>
        </is>
      </c>
      <c r="I792" t="n">
        <v>2.9</v>
      </c>
      <c r="J792" t="n">
        <v>0</v>
      </c>
      <c r="K792" t="n">
        <v>0</v>
      </c>
      <c r="L792" t="n">
        <v>0</v>
      </c>
      <c r="M792" t="n">
        <v>0</v>
      </c>
      <c r="N792" t="n">
        <v>0</v>
      </c>
      <c r="O792" t="n">
        <v>0</v>
      </c>
      <c r="P792" t="n">
        <v>0</v>
      </c>
      <c r="Q792" t="n">
        <v>0</v>
      </c>
      <c r="R792" t="n">
        <v>0</v>
      </c>
      <c r="S792" t="n">
        <v>0</v>
      </c>
      <c r="T792" t="n">
        <v>0</v>
      </c>
      <c r="U792" s="2" t="inlineStr"/>
    </row>
    <row r="793" ht="15" customHeight="1">
      <c r="A793" t="inlineStr">
        <is>
          <t>S 1381-2025</t>
        </is>
      </c>
      <c r="B793" t="inlineStr">
        <is>
          <t>samrådsanmälan</t>
        </is>
      </c>
      <c r="C793" t="inlineStr">
        <is>
          <t>Annan skogsbruksåtgärd</t>
        </is>
      </c>
      <c r="D793" s="1" t="n">
        <v>45777</v>
      </c>
      <c r="E793" s="1" t="n">
        <v>46223</v>
      </c>
      <c r="F793" t="inlineStr">
        <is>
          <t>ÖREBRO LÄN</t>
        </is>
      </c>
      <c r="G793" t="inlineStr">
        <is>
          <t>LINDESBERG</t>
        </is>
      </c>
      <c r="H793" t="inlineStr">
        <is>
          <t>Sveaskog</t>
        </is>
      </c>
      <c r="I793" t="n">
        <v>2.6</v>
      </c>
      <c r="J793" t="n">
        <v>0</v>
      </c>
      <c r="K793" t="n">
        <v>0</v>
      </c>
      <c r="L793" t="n">
        <v>0</v>
      </c>
      <c r="M793" t="n">
        <v>0</v>
      </c>
      <c r="N793" t="n">
        <v>0</v>
      </c>
      <c r="O793" t="n">
        <v>0</v>
      </c>
      <c r="P793" t="n">
        <v>0</v>
      </c>
      <c r="Q793" t="n">
        <v>0</v>
      </c>
      <c r="R793" t="n">
        <v>0</v>
      </c>
      <c r="S793" t="n">
        <v>0</v>
      </c>
      <c r="T793" t="n">
        <v>0</v>
      </c>
      <c r="U793" s="2" t="inlineStr"/>
    </row>
    <row r="794" ht="15" customHeight="1">
      <c r="A794" t="inlineStr">
        <is>
          <t>S 619-2025</t>
        </is>
      </c>
      <c r="B794" t="inlineStr">
        <is>
          <t>samrådsanmälan</t>
        </is>
      </c>
      <c r="C794" t="inlineStr">
        <is>
          <t>Annan skogsbruksåtgärd</t>
        </is>
      </c>
      <c r="D794" s="1" t="n">
        <v>45714</v>
      </c>
      <c r="E794" s="1" t="n">
        <v>46223</v>
      </c>
      <c r="F794" t="inlineStr">
        <is>
          <t>ÖREBRO LÄN</t>
        </is>
      </c>
      <c r="G794" t="inlineStr">
        <is>
          <t>LINDESBERG</t>
        </is>
      </c>
      <c r="I794" t="n">
        <v>3.3</v>
      </c>
      <c r="J794" t="n">
        <v>0</v>
      </c>
      <c r="K794" t="n">
        <v>0</v>
      </c>
      <c r="L794" t="n">
        <v>0</v>
      </c>
      <c r="M794" t="n">
        <v>0</v>
      </c>
      <c r="N794" t="n">
        <v>0</v>
      </c>
      <c r="O794" t="n">
        <v>0</v>
      </c>
      <c r="P794" t="n">
        <v>0</v>
      </c>
      <c r="Q794" t="n">
        <v>0</v>
      </c>
      <c r="R794" t="n">
        <v>0</v>
      </c>
      <c r="S794" t="n">
        <v>0</v>
      </c>
      <c r="T794" t="n">
        <v>0</v>
      </c>
      <c r="U794" s="2" t="inlineStr"/>
    </row>
    <row r="795" ht="15" customHeight="1">
      <c r="A795" t="inlineStr">
        <is>
          <t>S 1983-2025</t>
        </is>
      </c>
      <c r="B795" t="inlineStr">
        <is>
          <t>samrådsanmälan</t>
        </is>
      </c>
      <c r="C795" t="inlineStr">
        <is>
          <t>Annan skogsbruksåtgärd</t>
        </is>
      </c>
      <c r="D795" s="1" t="n">
        <v>45832</v>
      </c>
      <c r="E795" s="1" t="n">
        <v>46223</v>
      </c>
      <c r="F795" t="inlineStr">
        <is>
          <t>ÖREBRO LÄN</t>
        </is>
      </c>
      <c r="G795" t="inlineStr">
        <is>
          <t>LINDESBERG</t>
        </is>
      </c>
      <c r="H795" t="inlineStr">
        <is>
          <t>Sveaskog</t>
        </is>
      </c>
      <c r="I795" t="n">
        <v>1.4</v>
      </c>
      <c r="J795" t="n">
        <v>0</v>
      </c>
      <c r="K795" t="n">
        <v>0</v>
      </c>
      <c r="L795" t="n">
        <v>0</v>
      </c>
      <c r="M795" t="n">
        <v>0</v>
      </c>
      <c r="N795" t="n">
        <v>0</v>
      </c>
      <c r="O795" t="n">
        <v>0</v>
      </c>
      <c r="P795" t="n">
        <v>0</v>
      </c>
      <c r="Q795" t="n">
        <v>0</v>
      </c>
      <c r="R795" t="n">
        <v>0</v>
      </c>
      <c r="S795" t="n">
        <v>0</v>
      </c>
      <c r="T795" t="n">
        <v>0</v>
      </c>
      <c r="U795" s="2" t="inlineStr"/>
    </row>
    <row r="796" ht="15" customHeight="1">
      <c r="A796" t="inlineStr">
        <is>
          <t>S 3211-2025</t>
        </is>
      </c>
      <c r="B796" t="inlineStr">
        <is>
          <t>samrådsanmälan</t>
        </is>
      </c>
      <c r="C796" t="inlineStr">
        <is>
          <t>Annan skogsbruksåtgärd</t>
        </is>
      </c>
      <c r="D796" s="1" t="n">
        <v>45980</v>
      </c>
      <c r="E796" s="1" t="n">
        <v>46223</v>
      </c>
      <c r="F796" t="inlineStr">
        <is>
          <t>ÖREBRO LÄN</t>
        </is>
      </c>
      <c r="G796" t="inlineStr">
        <is>
          <t>LINDESBERG</t>
        </is>
      </c>
      <c r="H796" t="inlineStr">
        <is>
          <t>Sveaskog</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S 653-2026</t>
        </is>
      </c>
      <c r="B797" t="inlineStr">
        <is>
          <t>samrådsanmälan</t>
        </is>
      </c>
      <c r="C797" t="inlineStr">
        <is>
          <t>Skogsgödsling</t>
        </is>
      </c>
      <c r="D797" s="1" t="n">
        <v>46094</v>
      </c>
      <c r="E797" s="1" t="n">
        <v>46223</v>
      </c>
      <c r="F797" t="inlineStr">
        <is>
          <t>ÖREBRO LÄN</t>
        </is>
      </c>
      <c r="G797" t="inlineStr">
        <is>
          <t>LINDESBERG</t>
        </is>
      </c>
      <c r="H797" t="inlineStr">
        <is>
          <t>Naturvårdsverket</t>
        </is>
      </c>
      <c r="I797" t="n">
        <v>30.7</v>
      </c>
      <c r="J797" t="n">
        <v>0</v>
      </c>
      <c r="K797" t="n">
        <v>0</v>
      </c>
      <c r="L797" t="n">
        <v>0</v>
      </c>
      <c r="M797" t="n">
        <v>0</v>
      </c>
      <c r="N797" t="n">
        <v>0</v>
      </c>
      <c r="O797" t="n">
        <v>0</v>
      </c>
      <c r="P797" t="n">
        <v>0</v>
      </c>
      <c r="Q797" t="n">
        <v>0</v>
      </c>
      <c r="R797" t="n">
        <v>0</v>
      </c>
      <c r="S797" t="n">
        <v>0</v>
      </c>
      <c r="T797" t="n">
        <v>0</v>
      </c>
      <c r="U797" s="2" t="inlineStr"/>
    </row>
    <row r="798" ht="15" customHeight="1">
      <c r="A798" t="inlineStr">
        <is>
          <t>S 930-2026</t>
        </is>
      </c>
      <c r="B798" t="inlineStr">
        <is>
          <t>samrådsanmälan</t>
        </is>
      </c>
      <c r="C798" t="inlineStr">
        <is>
          <t>Annan skogsbruksåtgärd</t>
        </is>
      </c>
      <c r="D798" s="1" t="n">
        <v>46111</v>
      </c>
      <c r="E798" s="1" t="n">
        <v>46223</v>
      </c>
      <c r="F798" t="inlineStr">
        <is>
          <t>ÖREBRO LÄN</t>
        </is>
      </c>
      <c r="G798" t="inlineStr">
        <is>
          <t>LINDESBERG</t>
        </is>
      </c>
      <c r="I798" t="n">
        <v>17.7</v>
      </c>
      <c r="J798" t="n">
        <v>0</v>
      </c>
      <c r="K798" t="n">
        <v>0</v>
      </c>
      <c r="L798" t="n">
        <v>0</v>
      </c>
      <c r="M798" t="n">
        <v>0</v>
      </c>
      <c r="N798" t="n">
        <v>0</v>
      </c>
      <c r="O798" t="n">
        <v>0</v>
      </c>
      <c r="P798" t="n">
        <v>0</v>
      </c>
      <c r="Q798" t="n">
        <v>0</v>
      </c>
      <c r="R798" t="n">
        <v>0</v>
      </c>
      <c r="S798" t="n">
        <v>0</v>
      </c>
      <c r="T798" t="n">
        <v>0</v>
      </c>
      <c r="U798" s="2" t="inlineStr"/>
    </row>
    <row r="799">
      <c r="A799" t="inlineStr">
        <is>
          <t>S 1122-2026</t>
        </is>
      </c>
      <c r="B799" t="inlineStr">
        <is>
          <t>samrådsanmälan</t>
        </is>
      </c>
      <c r="C799" t="inlineStr">
        <is>
          <t>Annan skogsbruksåtgärd</t>
        </is>
      </c>
      <c r="D799" s="1" t="n">
        <v>46128</v>
      </c>
      <c r="E799" s="1" t="n">
        <v>46223</v>
      </c>
      <c r="F799" t="inlineStr">
        <is>
          <t>ÖREBRO LÄN</t>
        </is>
      </c>
      <c r="G799" t="inlineStr">
        <is>
          <t>LINDESBERG</t>
        </is>
      </c>
      <c r="H799" t="inlineStr">
        <is>
          <t>Sveaskog</t>
        </is>
      </c>
      <c r="I799" t="n">
        <v>6.4</v>
      </c>
      <c r="J799" t="n">
        <v>0</v>
      </c>
      <c r="K799" t="n">
        <v>0</v>
      </c>
      <c r="L799" t="n">
        <v>0</v>
      </c>
      <c r="M799" t="n">
        <v>0</v>
      </c>
      <c r="N799" t="n">
        <v>0</v>
      </c>
      <c r="O799" t="n">
        <v>0</v>
      </c>
      <c r="P799" t="n">
        <v>0</v>
      </c>
      <c r="Q799" t="n">
        <v>0</v>
      </c>
      <c r="R799" t="n">
        <v>0</v>
      </c>
      <c r="S799" t="n">
        <v>0</v>
      </c>
      <c r="T799" t="n">
        <v>0</v>
      </c>
      <c r="U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2026-07-20T01:50:47Z</dcterms:created>
  <dcterms:modified xmlns:dcterms="http://purl.org/dc/terms/" xmlns:xsi="http://www.w3.org/2001/XMLSchema-instance" xsi:type="dcterms:W3CDTF">2026-07-20T01:50:48Z</dcterms:modified>
</cp:coreProperties>
</file>