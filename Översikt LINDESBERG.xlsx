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45990</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45990</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45990</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45990</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45990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45990</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45990</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45990</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45990</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45990</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45990</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45990</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45990</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42636-2025</t>
        </is>
      </c>
      <c r="B20" s="1" t="n">
        <v>45905.90789351852</v>
      </c>
      <c r="C20" s="1" t="n">
        <v>45990</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45990</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45990</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45990</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54020-2024</t>
        </is>
      </c>
      <c r="B24" s="1" t="n">
        <v>45616.38605324074</v>
      </c>
      <c r="C24" s="1" t="n">
        <v>45990</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45990</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45990</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45990</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42629-2025</t>
        </is>
      </c>
      <c r="B28" s="1" t="n">
        <v>45905.88938657408</v>
      </c>
      <c r="C28" s="1" t="n">
        <v>45990</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54093-2025</t>
        </is>
      </c>
      <c r="B29" s="1" t="n">
        <v>45964.40112268519</v>
      </c>
      <c r="C29" s="1" t="n">
        <v>45990</v>
      </c>
      <c r="D29" t="inlineStr">
        <is>
          <t>ÖREBRO LÄN</t>
        </is>
      </c>
      <c r="E29" t="inlineStr">
        <is>
          <t>LINDESBERG</t>
        </is>
      </c>
      <c r="G29" t="n">
        <v>2.6</v>
      </c>
      <c r="H29" t="n">
        <v>0</v>
      </c>
      <c r="I29" t="n">
        <v>2</v>
      </c>
      <c r="J29" t="n">
        <v>0</v>
      </c>
      <c r="K29" t="n">
        <v>0</v>
      </c>
      <c r="L29" t="n">
        <v>0</v>
      </c>
      <c r="M29" t="n">
        <v>0</v>
      </c>
      <c r="N29" t="n">
        <v>0</v>
      </c>
      <c r="O29" t="n">
        <v>0</v>
      </c>
      <c r="P29" t="n">
        <v>0</v>
      </c>
      <c r="Q29" t="n">
        <v>2</v>
      </c>
      <c r="R29" s="2" t="inlineStr">
        <is>
          <t>Gulvaxing
Vit vaxskivling</t>
        </is>
      </c>
      <c r="S29">
        <f>HYPERLINK("https://klasma.github.io/Logging_1885/artfynd/A 54093-2025 artfynd.xlsx", "A 54093-2025")</f>
        <v/>
      </c>
      <c r="T29">
        <f>HYPERLINK("https://klasma.github.io/Logging_1885/kartor/A 54093-2025 karta.png", "A 54093-2025")</f>
        <v/>
      </c>
      <c r="V29">
        <f>HYPERLINK("https://klasma.github.io/Logging_1885/klagomål/A 54093-2025 FSC-klagomål.docx", "A 54093-2025")</f>
        <v/>
      </c>
      <c r="W29">
        <f>HYPERLINK("https://klasma.github.io/Logging_1885/klagomålsmail/A 54093-2025 FSC-klagomål mail.docx", "A 54093-2025")</f>
        <v/>
      </c>
      <c r="X29">
        <f>HYPERLINK("https://klasma.github.io/Logging_1885/tillsyn/A 54093-2025 tillsynsbegäran.docx", "A 54093-2025")</f>
        <v/>
      </c>
      <c r="Y29">
        <f>HYPERLINK("https://klasma.github.io/Logging_1885/tillsynsmail/A 54093-2025 tillsynsbegäran mail.docx", "A 54093-2025")</f>
        <v/>
      </c>
    </row>
    <row r="30" ht="15" customHeight="1">
      <c r="A30" t="inlineStr">
        <is>
          <t>A 14807-2021</t>
        </is>
      </c>
      <c r="B30" s="1" t="n">
        <v>44280</v>
      </c>
      <c r="C30" s="1" t="n">
        <v>45990</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45990</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45990</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53686-2024</t>
        </is>
      </c>
      <c r="B33" s="1" t="n">
        <v>45615</v>
      </c>
      <c r="C33" s="1" t="n">
        <v>45990</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45990</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45990</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45990</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45990</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45990</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33286-2024</t>
        </is>
      </c>
      <c r="B39" s="1" t="n">
        <v>45518</v>
      </c>
      <c r="C39" s="1" t="n">
        <v>45990</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45051-2024</t>
        </is>
      </c>
      <c r="B40" s="1" t="n">
        <v>45575.54934027778</v>
      </c>
      <c r="C40" s="1" t="n">
        <v>45990</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45990</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30347-2025</t>
        </is>
      </c>
      <c r="B42" s="1" t="n">
        <v>45827.53077546296</v>
      </c>
      <c r="C42" s="1" t="n">
        <v>45990</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3729-2023</t>
        </is>
      </c>
      <c r="B43" s="1" t="n">
        <v>44949</v>
      </c>
      <c r="C43" s="1" t="n">
        <v>45990</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31052-2025</t>
        </is>
      </c>
      <c r="B44" s="1" t="n">
        <v>45832.56153935185</v>
      </c>
      <c r="C44" s="1" t="n">
        <v>45990</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52105-2025</t>
        </is>
      </c>
      <c r="B45" s="1" t="n">
        <v>45952.68596064814</v>
      </c>
      <c r="C45" s="1" t="n">
        <v>45990</v>
      </c>
      <c r="D45" t="inlineStr">
        <is>
          <t>ÖREBRO LÄN</t>
        </is>
      </c>
      <c r="E45" t="inlineStr">
        <is>
          <t>LINDESBERG</t>
        </is>
      </c>
      <c r="F45" t="inlineStr">
        <is>
          <t>Sveaskog</t>
        </is>
      </c>
      <c r="G45" t="n">
        <v>3.8</v>
      </c>
      <c r="H45" t="n">
        <v>1</v>
      </c>
      <c r="I45" t="n">
        <v>0</v>
      </c>
      <c r="J45" t="n">
        <v>0</v>
      </c>
      <c r="K45" t="n">
        <v>0</v>
      </c>
      <c r="L45" t="n">
        <v>0</v>
      </c>
      <c r="M45" t="n">
        <v>0</v>
      </c>
      <c r="N45" t="n">
        <v>0</v>
      </c>
      <c r="O45" t="n">
        <v>0</v>
      </c>
      <c r="P45" t="n">
        <v>0</v>
      </c>
      <c r="Q45" t="n">
        <v>1</v>
      </c>
      <c r="R45" s="2" t="inlineStr">
        <is>
          <t>Revlummer</t>
        </is>
      </c>
      <c r="S45">
        <f>HYPERLINK("https://klasma.github.io/Logging_1885/artfynd/A 52105-2025 artfynd.xlsx", "A 52105-2025")</f>
        <v/>
      </c>
      <c r="T45">
        <f>HYPERLINK("https://klasma.github.io/Logging_1885/kartor/A 52105-2025 karta.png", "A 52105-2025")</f>
        <v/>
      </c>
      <c r="V45">
        <f>HYPERLINK("https://klasma.github.io/Logging_1885/klagomål/A 52105-2025 FSC-klagomål.docx", "A 52105-2025")</f>
        <v/>
      </c>
      <c r="W45">
        <f>HYPERLINK("https://klasma.github.io/Logging_1885/klagomålsmail/A 52105-2025 FSC-klagomål mail.docx", "A 52105-2025")</f>
        <v/>
      </c>
      <c r="X45">
        <f>HYPERLINK("https://klasma.github.io/Logging_1885/tillsyn/A 52105-2025 tillsynsbegäran.docx", "A 52105-2025")</f>
        <v/>
      </c>
      <c r="Y45">
        <f>HYPERLINK("https://klasma.github.io/Logging_1885/tillsynsmail/A 52105-2025 tillsynsbegäran mail.docx", "A 52105-2025")</f>
        <v/>
      </c>
    </row>
    <row r="46" ht="15" customHeight="1">
      <c r="A46" t="inlineStr">
        <is>
          <t>A 52337-2025</t>
        </is>
      </c>
      <c r="B46" s="1" t="n">
        <v>45953.69287037037</v>
      </c>
      <c r="C46" s="1" t="n">
        <v>45990</v>
      </c>
      <c r="D46" t="inlineStr">
        <is>
          <t>ÖREBRO LÄN</t>
        </is>
      </c>
      <c r="E46" t="inlineStr">
        <is>
          <t>LINDESBERG</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HYPERLINK("https://klasma.github.io/Logging_1885/artfynd/A 52337-2025 artfynd.xlsx", "A 52337-2025")</f>
        <v/>
      </c>
      <c r="T46">
        <f>HYPERLINK("https://klasma.github.io/Logging_1885/kartor/A 52337-2025 karta.png", "A 52337-2025")</f>
        <v/>
      </c>
      <c r="V46">
        <f>HYPERLINK("https://klasma.github.io/Logging_1885/klagomål/A 52337-2025 FSC-klagomål.docx", "A 52337-2025")</f>
        <v/>
      </c>
      <c r="W46">
        <f>HYPERLINK("https://klasma.github.io/Logging_1885/klagomålsmail/A 52337-2025 FSC-klagomål mail.docx", "A 52337-2025")</f>
        <v/>
      </c>
      <c r="X46">
        <f>HYPERLINK("https://klasma.github.io/Logging_1885/tillsyn/A 52337-2025 tillsynsbegäran.docx", "A 52337-2025")</f>
        <v/>
      </c>
      <c r="Y46">
        <f>HYPERLINK("https://klasma.github.io/Logging_1885/tillsynsmail/A 52337-2025 tillsynsbegäran mail.docx", "A 52337-2025")</f>
        <v/>
      </c>
    </row>
    <row r="47" ht="15" customHeight="1">
      <c r="A47" t="inlineStr">
        <is>
          <t>A 34266-2025</t>
        </is>
      </c>
      <c r="B47" s="1" t="n">
        <v>45845.75751157408</v>
      </c>
      <c r="C47" s="1" t="n">
        <v>45990</v>
      </c>
      <c r="D47" t="inlineStr">
        <is>
          <t>ÖREBRO LÄN</t>
        </is>
      </c>
      <c r="E47" t="inlineStr">
        <is>
          <t>LINDESBERG</t>
        </is>
      </c>
      <c r="G47" t="n">
        <v>4.5</v>
      </c>
      <c r="H47" t="n">
        <v>0</v>
      </c>
      <c r="I47" t="n">
        <v>1</v>
      </c>
      <c r="J47" t="n">
        <v>0</v>
      </c>
      <c r="K47" t="n">
        <v>0</v>
      </c>
      <c r="L47" t="n">
        <v>0</v>
      </c>
      <c r="M47" t="n">
        <v>0</v>
      </c>
      <c r="N47" t="n">
        <v>0</v>
      </c>
      <c r="O47" t="n">
        <v>0</v>
      </c>
      <c r="P47" t="n">
        <v>0</v>
      </c>
      <c r="Q47" t="n">
        <v>1</v>
      </c>
      <c r="R47" s="2" t="inlineStr">
        <is>
          <t>Dropptaggsvamp</t>
        </is>
      </c>
      <c r="S47">
        <f>HYPERLINK("https://klasma.github.io/Logging_1885/artfynd/A 34266-2025 artfynd.xlsx", "A 34266-2025")</f>
        <v/>
      </c>
      <c r="T47">
        <f>HYPERLINK("https://klasma.github.io/Logging_1885/kartor/A 34266-2025 karta.png", "A 34266-2025")</f>
        <v/>
      </c>
      <c r="V47">
        <f>HYPERLINK("https://klasma.github.io/Logging_1885/klagomål/A 34266-2025 FSC-klagomål.docx", "A 34266-2025")</f>
        <v/>
      </c>
      <c r="W47">
        <f>HYPERLINK("https://klasma.github.io/Logging_1885/klagomålsmail/A 34266-2025 FSC-klagomål mail.docx", "A 34266-2025")</f>
        <v/>
      </c>
      <c r="X47">
        <f>HYPERLINK("https://klasma.github.io/Logging_1885/tillsyn/A 34266-2025 tillsynsbegäran.docx", "A 34266-2025")</f>
        <v/>
      </c>
      <c r="Y47">
        <f>HYPERLINK("https://klasma.github.io/Logging_1885/tillsynsmail/A 34266-2025 tillsynsbegäran mail.docx", "A 34266-2025")</f>
        <v/>
      </c>
    </row>
    <row r="48" ht="15" customHeight="1">
      <c r="A48" t="inlineStr">
        <is>
          <t>A 64513-2023</t>
        </is>
      </c>
      <c r="B48" s="1" t="n">
        <v>45281</v>
      </c>
      <c r="C48" s="1" t="n">
        <v>45990</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45990</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36669-2024</t>
        </is>
      </c>
      <c r="B50" s="1" t="n">
        <v>45537.64484953704</v>
      </c>
      <c r="C50" s="1" t="n">
        <v>45990</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54092-2025</t>
        </is>
      </c>
      <c r="B51" s="1" t="n">
        <v>45964.3965625</v>
      </c>
      <c r="C51" s="1" t="n">
        <v>45990</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45467-2025</t>
        </is>
      </c>
      <c r="B52" s="1" t="n">
        <v>45922.49990740741</v>
      </c>
      <c r="C52" s="1" t="n">
        <v>45990</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37834-2025</t>
        </is>
      </c>
      <c r="B53" s="1" t="n">
        <v>45881.42446759259</v>
      </c>
      <c r="C53" s="1" t="n">
        <v>45990</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67013-2021</t>
        </is>
      </c>
      <c r="B54" s="1" t="n">
        <v>44522</v>
      </c>
      <c r="C54" s="1" t="n">
        <v>45990</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57362-2025</t>
        </is>
      </c>
      <c r="B55" s="1" t="n">
        <v>45980.37108796297</v>
      </c>
      <c r="C55" s="1" t="n">
        <v>45990</v>
      </c>
      <c r="D55" t="inlineStr">
        <is>
          <t>ÖREBRO LÄN</t>
        </is>
      </c>
      <c r="E55" t="inlineStr">
        <is>
          <t>LINDESBERG</t>
        </is>
      </c>
      <c r="F55" t="inlineStr">
        <is>
          <t>Sveaskog</t>
        </is>
      </c>
      <c r="G55" t="n">
        <v>1.2</v>
      </c>
      <c r="H55" t="n">
        <v>0</v>
      </c>
      <c r="I55" t="n">
        <v>1</v>
      </c>
      <c r="J55" t="n">
        <v>0</v>
      </c>
      <c r="K55" t="n">
        <v>0</v>
      </c>
      <c r="L55" t="n">
        <v>0</v>
      </c>
      <c r="M55" t="n">
        <v>0</v>
      </c>
      <c r="N55" t="n">
        <v>0</v>
      </c>
      <c r="O55" t="n">
        <v>0</v>
      </c>
      <c r="P55" t="n">
        <v>0</v>
      </c>
      <c r="Q55" t="n">
        <v>1</v>
      </c>
      <c r="R55" s="2" t="inlineStr">
        <is>
          <t>Svart trolldruva</t>
        </is>
      </c>
      <c r="S55">
        <f>HYPERLINK("https://klasma.github.io/Logging_1885/artfynd/A 57362-2025 artfynd.xlsx", "A 57362-2025")</f>
        <v/>
      </c>
      <c r="T55">
        <f>HYPERLINK("https://klasma.github.io/Logging_1885/kartor/A 57362-2025 karta.png", "A 57362-2025")</f>
        <v/>
      </c>
      <c r="V55">
        <f>HYPERLINK("https://klasma.github.io/Logging_1885/klagomål/A 57362-2025 FSC-klagomål.docx", "A 57362-2025")</f>
        <v/>
      </c>
      <c r="W55">
        <f>HYPERLINK("https://klasma.github.io/Logging_1885/klagomålsmail/A 57362-2025 FSC-klagomål mail.docx", "A 57362-2025")</f>
        <v/>
      </c>
      <c r="X55">
        <f>HYPERLINK("https://klasma.github.io/Logging_1885/tillsyn/A 57362-2025 tillsynsbegäran.docx", "A 57362-2025")</f>
        <v/>
      </c>
      <c r="Y55">
        <f>HYPERLINK("https://klasma.github.io/Logging_1885/tillsynsmail/A 57362-2025 tillsynsbegäran mail.docx", "A 57362-2025")</f>
        <v/>
      </c>
    </row>
    <row r="56" ht="15" customHeight="1">
      <c r="A56" t="inlineStr">
        <is>
          <t>A 57355-2025</t>
        </is>
      </c>
      <c r="B56" s="1" t="n">
        <v>45980.3659375</v>
      </c>
      <c r="C56" s="1" t="n">
        <v>45990</v>
      </c>
      <c r="D56" t="inlineStr">
        <is>
          <t>ÖREBRO LÄN</t>
        </is>
      </c>
      <c r="E56" t="inlineStr">
        <is>
          <t>LINDESBERG</t>
        </is>
      </c>
      <c r="F56" t="inlineStr">
        <is>
          <t>Sveaskog</t>
        </is>
      </c>
      <c r="G56" t="n">
        <v>2.7</v>
      </c>
      <c r="H56" t="n">
        <v>0</v>
      </c>
      <c r="I56" t="n">
        <v>0</v>
      </c>
      <c r="J56" t="n">
        <v>1</v>
      </c>
      <c r="K56" t="n">
        <v>0</v>
      </c>
      <c r="L56" t="n">
        <v>0</v>
      </c>
      <c r="M56" t="n">
        <v>0</v>
      </c>
      <c r="N56" t="n">
        <v>0</v>
      </c>
      <c r="O56" t="n">
        <v>1</v>
      </c>
      <c r="P56" t="n">
        <v>0</v>
      </c>
      <c r="Q56" t="n">
        <v>1</v>
      </c>
      <c r="R56" s="2" t="inlineStr">
        <is>
          <t>Orange taggsvamp</t>
        </is>
      </c>
      <c r="S56">
        <f>HYPERLINK("https://klasma.github.io/Logging_1885/artfynd/A 57355-2025 artfynd.xlsx", "A 57355-2025")</f>
        <v/>
      </c>
      <c r="T56">
        <f>HYPERLINK("https://klasma.github.io/Logging_1885/kartor/A 57355-2025 karta.png", "A 57355-2025")</f>
        <v/>
      </c>
      <c r="V56">
        <f>HYPERLINK("https://klasma.github.io/Logging_1885/klagomål/A 57355-2025 FSC-klagomål.docx", "A 57355-2025")</f>
        <v/>
      </c>
      <c r="W56">
        <f>HYPERLINK("https://klasma.github.io/Logging_1885/klagomålsmail/A 57355-2025 FSC-klagomål mail.docx", "A 57355-2025")</f>
        <v/>
      </c>
      <c r="X56">
        <f>HYPERLINK("https://klasma.github.io/Logging_1885/tillsyn/A 57355-2025 tillsynsbegäran.docx", "A 57355-2025")</f>
        <v/>
      </c>
      <c r="Y56">
        <f>HYPERLINK("https://klasma.github.io/Logging_1885/tillsynsmail/A 57355-2025 tillsynsbegäran mail.docx", "A 57355-2025")</f>
        <v/>
      </c>
    </row>
    <row r="57" ht="15" customHeight="1">
      <c r="A57" t="inlineStr">
        <is>
          <t>A 48956-2025</t>
        </is>
      </c>
      <c r="B57" s="1" t="n">
        <v>45937.54982638889</v>
      </c>
      <c r="C57" s="1" t="n">
        <v>45990</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57319-2025</t>
        </is>
      </c>
      <c r="B58" s="1" t="n">
        <v>45980.01497685185</v>
      </c>
      <c r="C58" s="1" t="n">
        <v>45990</v>
      </c>
      <c r="D58" t="inlineStr">
        <is>
          <t>ÖREBRO LÄN</t>
        </is>
      </c>
      <c r="E58" t="inlineStr">
        <is>
          <t>LINDESBERG</t>
        </is>
      </c>
      <c r="F58" t="inlineStr">
        <is>
          <t>Sveaskog</t>
        </is>
      </c>
      <c r="G58" t="n">
        <v>15.3</v>
      </c>
      <c r="H58" t="n">
        <v>0</v>
      </c>
      <c r="I58" t="n">
        <v>1</v>
      </c>
      <c r="J58" t="n">
        <v>0</v>
      </c>
      <c r="K58" t="n">
        <v>0</v>
      </c>
      <c r="L58" t="n">
        <v>0</v>
      </c>
      <c r="M58" t="n">
        <v>0</v>
      </c>
      <c r="N58" t="n">
        <v>0</v>
      </c>
      <c r="O58" t="n">
        <v>0</v>
      </c>
      <c r="P58" t="n">
        <v>0</v>
      </c>
      <c r="Q58" t="n">
        <v>1</v>
      </c>
      <c r="R58" s="2" t="inlineStr">
        <is>
          <t>Dropptaggsvamp</t>
        </is>
      </c>
      <c r="S58">
        <f>HYPERLINK("https://klasma.github.io/Logging_1885/artfynd/A 57319-2025 artfynd.xlsx", "A 57319-2025")</f>
        <v/>
      </c>
      <c r="T58">
        <f>HYPERLINK("https://klasma.github.io/Logging_1885/kartor/A 57319-2025 karta.png", "A 57319-2025")</f>
        <v/>
      </c>
      <c r="V58">
        <f>HYPERLINK("https://klasma.github.io/Logging_1885/klagomål/A 57319-2025 FSC-klagomål.docx", "A 57319-2025")</f>
        <v/>
      </c>
      <c r="W58">
        <f>HYPERLINK("https://klasma.github.io/Logging_1885/klagomålsmail/A 57319-2025 FSC-klagomål mail.docx", "A 57319-2025")</f>
        <v/>
      </c>
      <c r="X58">
        <f>HYPERLINK("https://klasma.github.io/Logging_1885/tillsyn/A 57319-2025 tillsynsbegäran.docx", "A 57319-2025")</f>
        <v/>
      </c>
      <c r="Y58">
        <f>HYPERLINK("https://klasma.github.io/Logging_1885/tillsynsmail/A 57319-2025 tillsynsbegäran mail.docx", "A 57319-2025")</f>
        <v/>
      </c>
    </row>
    <row r="59" ht="15" customHeight="1">
      <c r="A59" t="inlineStr">
        <is>
          <t>A 50777-2025</t>
        </is>
      </c>
      <c r="B59" s="1" t="n">
        <v>45946.45171296296</v>
      </c>
      <c r="C59" s="1" t="n">
        <v>45990</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45990</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45990</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54857-2024</t>
        </is>
      </c>
      <c r="B62" s="1" t="n">
        <v>45618.58876157407</v>
      </c>
      <c r="C62" s="1" t="n">
        <v>45990</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45990</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28569-2024</t>
        </is>
      </c>
      <c r="B64" s="1" t="n">
        <v>45478.39592592593</v>
      </c>
      <c r="C64" s="1" t="n">
        <v>45990</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Granticka</t>
        </is>
      </c>
      <c r="S64">
        <f>HYPERLINK("https://klasma.github.io/Logging_1885/artfynd/A 28569-2024 artfynd.xlsx", "A 28569-2024")</f>
        <v/>
      </c>
      <c r="T64">
        <f>HYPERLINK("https://klasma.github.io/Logging_1885/kartor/A 28569-2024 karta.png", "A 28569-2024")</f>
        <v/>
      </c>
      <c r="V64">
        <f>HYPERLINK("https://klasma.github.io/Logging_1885/klagomål/A 28569-2024 FSC-klagomål.docx", "A 28569-2024")</f>
        <v/>
      </c>
      <c r="W64">
        <f>HYPERLINK("https://klasma.github.io/Logging_1885/klagomålsmail/A 28569-2024 FSC-klagomål mail.docx", "A 28569-2024")</f>
        <v/>
      </c>
      <c r="X64">
        <f>HYPERLINK("https://klasma.github.io/Logging_1885/tillsyn/A 28569-2024 tillsynsbegäran.docx", "A 28569-2024")</f>
        <v/>
      </c>
      <c r="Y64">
        <f>HYPERLINK("https://klasma.github.io/Logging_1885/tillsynsmail/A 28569-2024 tillsynsbegäran mail.docx", "A 28569-2024")</f>
        <v/>
      </c>
    </row>
    <row r="65" ht="15" customHeight="1">
      <c r="A65" t="inlineStr">
        <is>
          <t>A 53600-2024</t>
        </is>
      </c>
      <c r="B65" s="1" t="n">
        <v>45614.68596064814</v>
      </c>
      <c r="C65" s="1" t="n">
        <v>45990</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70466-2021</t>
        </is>
      </c>
      <c r="B66" s="1" t="n">
        <v>44536</v>
      </c>
      <c r="C66" s="1" t="n">
        <v>45990</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58206-2023</t>
        </is>
      </c>
      <c r="B67" s="1" t="n">
        <v>45250</v>
      </c>
      <c r="C67" s="1" t="n">
        <v>45990</v>
      </c>
      <c r="D67" t="inlineStr">
        <is>
          <t>ÖREBRO LÄN</t>
        </is>
      </c>
      <c r="E67" t="inlineStr">
        <is>
          <t>LINDESBERG</t>
        </is>
      </c>
      <c r="F67" t="inlineStr">
        <is>
          <t>Sveaskog</t>
        </is>
      </c>
      <c r="G67" t="n">
        <v>1.4</v>
      </c>
      <c r="H67" t="n">
        <v>1</v>
      </c>
      <c r="I67" t="n">
        <v>0</v>
      </c>
      <c r="J67" t="n">
        <v>0</v>
      </c>
      <c r="K67" t="n">
        <v>0</v>
      </c>
      <c r="L67" t="n">
        <v>0</v>
      </c>
      <c r="M67" t="n">
        <v>0</v>
      </c>
      <c r="N67" t="n">
        <v>0</v>
      </c>
      <c r="O67" t="n">
        <v>0</v>
      </c>
      <c r="P67" t="n">
        <v>0</v>
      </c>
      <c r="Q67" t="n">
        <v>1</v>
      </c>
      <c r="R67" s="2" t="inlineStr">
        <is>
          <t>Fläcknycklar</t>
        </is>
      </c>
      <c r="S67">
        <f>HYPERLINK("https://klasma.github.io/Logging_1885/artfynd/A 58206-2023 artfynd.xlsx", "A 58206-2023")</f>
        <v/>
      </c>
      <c r="T67">
        <f>HYPERLINK("https://klasma.github.io/Logging_1885/kartor/A 58206-2023 karta.png", "A 58206-2023")</f>
        <v/>
      </c>
      <c r="V67">
        <f>HYPERLINK("https://klasma.github.io/Logging_1885/klagomål/A 58206-2023 FSC-klagomål.docx", "A 58206-2023")</f>
        <v/>
      </c>
      <c r="W67">
        <f>HYPERLINK("https://klasma.github.io/Logging_1885/klagomålsmail/A 58206-2023 FSC-klagomål mail.docx", "A 58206-2023")</f>
        <v/>
      </c>
      <c r="X67">
        <f>HYPERLINK("https://klasma.github.io/Logging_1885/tillsyn/A 58206-2023 tillsynsbegäran.docx", "A 58206-2023")</f>
        <v/>
      </c>
      <c r="Y67">
        <f>HYPERLINK("https://klasma.github.io/Logging_1885/tillsynsmail/A 58206-2023 tillsynsbegäran mail.docx", "A 58206-2023")</f>
        <v/>
      </c>
    </row>
    <row r="68" ht="15" customHeight="1">
      <c r="A68" t="inlineStr">
        <is>
          <t>A 28787-2023</t>
        </is>
      </c>
      <c r="B68" s="1" t="n">
        <v>45104.3483912037</v>
      </c>
      <c r="C68" s="1" t="n">
        <v>45990</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27900-2024</t>
        </is>
      </c>
      <c r="B69" s="1" t="n">
        <v>45475.92849537037</v>
      </c>
      <c r="C69" s="1" t="n">
        <v>45990</v>
      </c>
      <c r="D69" t="inlineStr">
        <is>
          <t>ÖREBRO LÄN</t>
        </is>
      </c>
      <c r="E69" t="inlineStr">
        <is>
          <t>LINDESBERG</t>
        </is>
      </c>
      <c r="F69" t="inlineStr">
        <is>
          <t>Sveaskog</t>
        </is>
      </c>
      <c r="G69" t="n">
        <v>4.1</v>
      </c>
      <c r="H69" t="n">
        <v>1</v>
      </c>
      <c r="I69" t="n">
        <v>0</v>
      </c>
      <c r="J69" t="n">
        <v>0</v>
      </c>
      <c r="K69" t="n">
        <v>0</v>
      </c>
      <c r="L69" t="n">
        <v>0</v>
      </c>
      <c r="M69" t="n">
        <v>0</v>
      </c>
      <c r="N69" t="n">
        <v>0</v>
      </c>
      <c r="O69" t="n">
        <v>0</v>
      </c>
      <c r="P69" t="n">
        <v>0</v>
      </c>
      <c r="Q69" t="n">
        <v>1</v>
      </c>
      <c r="R69" s="2" t="inlineStr">
        <is>
          <t>Fläcknycklar</t>
        </is>
      </c>
      <c r="S69">
        <f>HYPERLINK("https://klasma.github.io/Logging_1885/artfynd/A 27900-2024 artfynd.xlsx", "A 27900-2024")</f>
        <v/>
      </c>
      <c r="T69">
        <f>HYPERLINK("https://klasma.github.io/Logging_1885/kartor/A 27900-2024 karta.png", "A 27900-2024")</f>
        <v/>
      </c>
      <c r="V69">
        <f>HYPERLINK("https://klasma.github.io/Logging_1885/klagomål/A 27900-2024 FSC-klagomål.docx", "A 27900-2024")</f>
        <v/>
      </c>
      <c r="W69">
        <f>HYPERLINK("https://klasma.github.io/Logging_1885/klagomålsmail/A 27900-2024 FSC-klagomål mail.docx", "A 27900-2024")</f>
        <v/>
      </c>
      <c r="X69">
        <f>HYPERLINK("https://klasma.github.io/Logging_1885/tillsyn/A 27900-2024 tillsynsbegäran.docx", "A 27900-2024")</f>
        <v/>
      </c>
      <c r="Y69">
        <f>HYPERLINK("https://klasma.github.io/Logging_1885/tillsynsmail/A 27900-2024 tillsynsbegäran mail.docx", "A 27900-2024")</f>
        <v/>
      </c>
    </row>
    <row r="70" ht="15" customHeight="1">
      <c r="A70" t="inlineStr">
        <is>
          <t>A 53598-2024</t>
        </is>
      </c>
      <c r="B70" s="1" t="n">
        <v>45614.68287037037</v>
      </c>
      <c r="C70" s="1" t="n">
        <v>45990</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21440-2025</t>
        </is>
      </c>
      <c r="B71" s="1" t="n">
        <v>45782.5300462963</v>
      </c>
      <c r="C71" s="1" t="n">
        <v>45990</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45990</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45990</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45990</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45990</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45990</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45990</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45990</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45990</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45990</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45990</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45990</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45990</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45990</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45990</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45990</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45990</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45990</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45990</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45990</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45990</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45990</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45990</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45990</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1957-2021</t>
        </is>
      </c>
      <c r="B95" s="1" t="n">
        <v>44210</v>
      </c>
      <c r="C95" s="1" t="n">
        <v>45990</v>
      </c>
      <c r="D95" t="inlineStr">
        <is>
          <t>ÖREBRO LÄN</t>
        </is>
      </c>
      <c r="E95" t="inlineStr">
        <is>
          <t>LINDESBERG</t>
        </is>
      </c>
      <c r="G95" t="n">
        <v>4.6</v>
      </c>
      <c r="H95" t="n">
        <v>0</v>
      </c>
      <c r="I95" t="n">
        <v>0</v>
      </c>
      <c r="J95" t="n">
        <v>0</v>
      </c>
      <c r="K95" t="n">
        <v>0</v>
      </c>
      <c r="L95" t="n">
        <v>0</v>
      </c>
      <c r="M95" t="n">
        <v>0</v>
      </c>
      <c r="N95" t="n">
        <v>0</v>
      </c>
      <c r="O95" t="n">
        <v>0</v>
      </c>
      <c r="P95" t="n">
        <v>0</v>
      </c>
      <c r="Q95" t="n">
        <v>0</v>
      </c>
      <c r="R95" s="2" t="inlineStr"/>
    </row>
    <row r="96" ht="15" customHeight="1">
      <c r="A96" t="inlineStr">
        <is>
          <t>A 14803-2021</t>
        </is>
      </c>
      <c r="B96" s="1" t="n">
        <v>44280</v>
      </c>
      <c r="C96" s="1" t="n">
        <v>45990</v>
      </c>
      <c r="D96" t="inlineStr">
        <is>
          <t>ÖREBRO LÄN</t>
        </is>
      </c>
      <c r="E96" t="inlineStr">
        <is>
          <t>LINDESBERG</t>
        </is>
      </c>
      <c r="G96" t="n">
        <v>2.4</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45990</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45990</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45990</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45990</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45990</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45990</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45990</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45990</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45990</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45990</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45990</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45990</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45990</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33760-2022</t>
        </is>
      </c>
      <c r="B110" s="1" t="n">
        <v>44790</v>
      </c>
      <c r="C110" s="1" t="n">
        <v>45990</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45990</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45990</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45990</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45990</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45990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45990</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45990</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12522-2022</t>
        </is>
      </c>
      <c r="B119" s="1" t="n">
        <v>44638</v>
      </c>
      <c r="C119" s="1" t="n">
        <v>45990</v>
      </c>
      <c r="D119" t="inlineStr">
        <is>
          <t>ÖREBRO LÄN</t>
        </is>
      </c>
      <c r="E119" t="inlineStr">
        <is>
          <t>LINDESBERG</t>
        </is>
      </c>
      <c r="G119" t="n">
        <v>6.2</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45990</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45990</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45990</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45990</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45990</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45990</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45990</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45990</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45990</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45990</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45990</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45990</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45990</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45990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45990</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45990</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45990</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45990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45990</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45990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45990</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45990</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45990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45990</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45990</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45990</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45990</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45990</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45990</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45990</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45990</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45990</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45990</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45990</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45990</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45990</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45990</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45990</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45990</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45990</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45990</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45990</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45990</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45990</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22483-2021</t>
        </is>
      </c>
      <c r="B164" s="1" t="n">
        <v>44326.7296412037</v>
      </c>
      <c r="C164" s="1" t="n">
        <v>45990</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45990</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45990</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45990</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45990</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45990</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45990</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45990</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45990</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45990</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45990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45990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45990</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45990</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45990</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68491-2021</t>
        </is>
      </c>
      <c r="B179" s="1" t="n">
        <v>44526</v>
      </c>
      <c r="C179" s="1" t="n">
        <v>45990</v>
      </c>
      <c r="D179" t="inlineStr">
        <is>
          <t>ÖREBRO LÄN</t>
        </is>
      </c>
      <c r="E179" t="inlineStr">
        <is>
          <t>LINDESBERG</t>
        </is>
      </c>
      <c r="G179" t="n">
        <v>1</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45990</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47044-2021</t>
        </is>
      </c>
      <c r="B181" s="1" t="n">
        <v>44446</v>
      </c>
      <c r="C181" s="1" t="n">
        <v>45990</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44889.68100694445</v>
      </c>
      <c r="C182" s="1" t="n">
        <v>45990</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45990</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45990</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45990</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45990</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45990</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45990</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45990</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1230-2021</t>
        </is>
      </c>
      <c r="B190" s="1" t="n">
        <v>44208</v>
      </c>
      <c r="C190" s="1" t="n">
        <v>45990</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45990</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45990</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45990</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45990</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45990</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45990</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45990</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45990</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45990</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45990</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45990</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45990</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45990</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66676-2020</t>
        </is>
      </c>
      <c r="B204" s="1" t="n">
        <v>44179</v>
      </c>
      <c r="C204" s="1" t="n">
        <v>45990</v>
      </c>
      <c r="D204" t="inlineStr">
        <is>
          <t>ÖREBRO LÄN</t>
        </is>
      </c>
      <c r="E204" t="inlineStr">
        <is>
          <t>LINDESBERG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45990</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45990</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45990</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45990</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45990</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45990</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45990</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56260-2021</t>
        </is>
      </c>
      <c r="B212" s="1" t="n">
        <v>44479.58512731481</v>
      </c>
      <c r="C212" s="1" t="n">
        <v>45990</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45990</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45990</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13943-2022</t>
        </is>
      </c>
      <c r="B215" s="1" t="n">
        <v>44650.47945601852</v>
      </c>
      <c r="C215" s="1" t="n">
        <v>45990</v>
      </c>
      <c r="D215" t="inlineStr">
        <is>
          <t>ÖREBRO LÄN</t>
        </is>
      </c>
      <c r="E215" t="inlineStr">
        <is>
          <t>LINDESBERG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45990</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45990</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45990</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45990</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45990</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2406-2024</t>
        </is>
      </c>
      <c r="B221" s="1" t="n">
        <v>45310</v>
      </c>
      <c r="C221" s="1" t="n">
        <v>45990</v>
      </c>
      <c r="D221" t="inlineStr">
        <is>
          <t>ÖREBRO LÄN</t>
        </is>
      </c>
      <c r="E221" t="inlineStr">
        <is>
          <t>LINDESBERG</t>
        </is>
      </c>
      <c r="G221" t="n">
        <v>16.1</v>
      </c>
      <c r="H221" t="n">
        <v>0</v>
      </c>
      <c r="I221" t="n">
        <v>0</v>
      </c>
      <c r="J221" t="n">
        <v>0</v>
      </c>
      <c r="K221" t="n">
        <v>0</v>
      </c>
      <c r="L221" t="n">
        <v>0</v>
      </c>
      <c r="M221" t="n">
        <v>0</v>
      </c>
      <c r="N221" t="n">
        <v>0</v>
      </c>
      <c r="O221" t="n">
        <v>0</v>
      </c>
      <c r="P221" t="n">
        <v>0</v>
      </c>
      <c r="Q221" t="n">
        <v>0</v>
      </c>
      <c r="R221" s="2" t="inlineStr"/>
    </row>
    <row r="222" ht="15" customHeight="1">
      <c r="A222" t="inlineStr">
        <is>
          <t>A 13417-2025</t>
        </is>
      </c>
      <c r="B222" s="1" t="n">
        <v>45736.30940972222</v>
      </c>
      <c r="C222" s="1" t="n">
        <v>45990</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45990</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45990</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45990</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6962-2023</t>
        </is>
      </c>
      <c r="B226" s="1" t="n">
        <v>44967.60165509259</v>
      </c>
      <c r="C226" s="1" t="n">
        <v>45990</v>
      </c>
      <c r="D226" t="inlineStr">
        <is>
          <t>ÖREBRO LÄN</t>
        </is>
      </c>
      <c r="E226" t="inlineStr">
        <is>
          <t>LINDESBERG</t>
        </is>
      </c>
      <c r="G226" t="n">
        <v>11.4</v>
      </c>
      <c r="H226" t="n">
        <v>0</v>
      </c>
      <c r="I226" t="n">
        <v>0</v>
      </c>
      <c r="J226" t="n">
        <v>0</v>
      </c>
      <c r="K226" t="n">
        <v>0</v>
      </c>
      <c r="L226" t="n">
        <v>0</v>
      </c>
      <c r="M226" t="n">
        <v>0</v>
      </c>
      <c r="N226" t="n">
        <v>0</v>
      </c>
      <c r="O226" t="n">
        <v>0</v>
      </c>
      <c r="P226" t="n">
        <v>0</v>
      </c>
      <c r="Q226" t="n">
        <v>0</v>
      </c>
      <c r="R226" s="2" t="inlineStr"/>
    </row>
    <row r="227" ht="15" customHeight="1">
      <c r="A227" t="inlineStr">
        <is>
          <t>A 36015-2021</t>
        </is>
      </c>
      <c r="B227" s="1" t="n">
        <v>44389</v>
      </c>
      <c r="C227" s="1" t="n">
        <v>45990</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45990</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45990</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45990</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35230-2024</t>
        </is>
      </c>
      <c r="B231" s="1" t="n">
        <v>45530</v>
      </c>
      <c r="C231" s="1" t="n">
        <v>45990</v>
      </c>
      <c r="D231" t="inlineStr">
        <is>
          <t>ÖREBRO LÄN</t>
        </is>
      </c>
      <c r="E231" t="inlineStr">
        <is>
          <t>LINDESBERG</t>
        </is>
      </c>
      <c r="G231" t="n">
        <v>1.7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45990</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45990</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45990</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15752-2024</t>
        </is>
      </c>
      <c r="B235" s="1" t="n">
        <v>45404.55681712963</v>
      </c>
      <c r="C235" s="1" t="n">
        <v>45990</v>
      </c>
      <c r="D235" t="inlineStr">
        <is>
          <t>ÖREBRO LÄN</t>
        </is>
      </c>
      <c r="E235" t="inlineStr">
        <is>
          <t>LINDESBERG</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45990</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45990</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53046-2024</t>
        </is>
      </c>
      <c r="B238" s="1" t="n">
        <v>45611.44960648148</v>
      </c>
      <c r="C238" s="1" t="n">
        <v>45990</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12692-2024</t>
        </is>
      </c>
      <c r="B239" s="1" t="n">
        <v>45384.43418981481</v>
      </c>
      <c r="C239" s="1" t="n">
        <v>45990</v>
      </c>
      <c r="D239" t="inlineStr">
        <is>
          <t>ÖREBRO LÄN</t>
        </is>
      </c>
      <c r="E239" t="inlineStr">
        <is>
          <t>LINDESBERG</t>
        </is>
      </c>
      <c r="G239" t="n">
        <v>5.2</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45990</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65194-2023</t>
        </is>
      </c>
      <c r="B241" s="1" t="n">
        <v>45289</v>
      </c>
      <c r="C241" s="1" t="n">
        <v>45990</v>
      </c>
      <c r="D241" t="inlineStr">
        <is>
          <t>ÖREBRO LÄN</t>
        </is>
      </c>
      <c r="E241" t="inlineStr">
        <is>
          <t>LINDESBERG</t>
        </is>
      </c>
      <c r="G241" t="n">
        <v>1</v>
      </c>
      <c r="H241" t="n">
        <v>0</v>
      </c>
      <c r="I241" t="n">
        <v>0</v>
      </c>
      <c r="J241" t="n">
        <v>0</v>
      </c>
      <c r="K241" t="n">
        <v>0</v>
      </c>
      <c r="L241" t="n">
        <v>0</v>
      </c>
      <c r="M241" t="n">
        <v>0</v>
      </c>
      <c r="N241" t="n">
        <v>0</v>
      </c>
      <c r="O241" t="n">
        <v>0</v>
      </c>
      <c r="P241" t="n">
        <v>0</v>
      </c>
      <c r="Q241" t="n">
        <v>0</v>
      </c>
      <c r="R241" s="2" t="inlineStr"/>
    </row>
    <row r="242" ht="15" customHeight="1">
      <c r="A242" t="inlineStr">
        <is>
          <t>A 61594-2024</t>
        </is>
      </c>
      <c r="B242" s="1" t="n">
        <v>45646.63482638889</v>
      </c>
      <c r="C242" s="1" t="n">
        <v>45990</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19960-2023</t>
        </is>
      </c>
      <c r="B243" s="1" t="n">
        <v>45054</v>
      </c>
      <c r="C243" s="1" t="n">
        <v>45990</v>
      </c>
      <c r="D243" t="inlineStr">
        <is>
          <t>ÖREBRO LÄN</t>
        </is>
      </c>
      <c r="E243" t="inlineStr">
        <is>
          <t>LINDESBERG</t>
        </is>
      </c>
      <c r="G243" t="n">
        <v>6.2</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45990</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46039-2024</t>
        </is>
      </c>
      <c r="B245" s="1" t="n">
        <v>45580.73525462963</v>
      </c>
      <c r="C245" s="1" t="n">
        <v>45990</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46647-2024</t>
        </is>
      </c>
      <c r="B246" s="1" t="n">
        <v>45583</v>
      </c>
      <c r="C246" s="1" t="n">
        <v>45990</v>
      </c>
      <c r="D246" t="inlineStr">
        <is>
          <t>ÖREBRO LÄN</t>
        </is>
      </c>
      <c r="E246" t="inlineStr">
        <is>
          <t>LINDESBERG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34676-2023</t>
        </is>
      </c>
      <c r="B247" s="1" t="n">
        <v>45140</v>
      </c>
      <c r="C247" s="1" t="n">
        <v>45990</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45990</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45990</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37507-2023</t>
        </is>
      </c>
      <c r="B250" s="1" t="n">
        <v>45158.41768518519</v>
      </c>
      <c r="C250" s="1" t="n">
        <v>45990</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69208-2021</t>
        </is>
      </c>
      <c r="B251" s="1" t="n">
        <v>44531.3575</v>
      </c>
      <c r="C251" s="1" t="n">
        <v>45990</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53189-2023</t>
        </is>
      </c>
      <c r="B252" s="1" t="n">
        <v>45194</v>
      </c>
      <c r="C252" s="1" t="n">
        <v>45990</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45990</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47535-2022</t>
        </is>
      </c>
      <c r="B254" s="1" t="n">
        <v>44853.79818287037</v>
      </c>
      <c r="C254" s="1" t="n">
        <v>45990</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45041-2024</t>
        </is>
      </c>
      <c r="B255" s="1" t="n">
        <v>45575.53690972222</v>
      </c>
      <c r="C255" s="1" t="n">
        <v>45990</v>
      </c>
      <c r="D255" t="inlineStr">
        <is>
          <t>ÖREBRO LÄN</t>
        </is>
      </c>
      <c r="E255" t="inlineStr">
        <is>
          <t>LINDESBERG</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45068-2024</t>
        </is>
      </c>
      <c r="B256" s="1" t="n">
        <v>45575.56256944445</v>
      </c>
      <c r="C256" s="1" t="n">
        <v>45990</v>
      </c>
      <c r="D256" t="inlineStr">
        <is>
          <t>ÖREBRO LÄN</t>
        </is>
      </c>
      <c r="E256" t="inlineStr">
        <is>
          <t>LINDESBERG</t>
        </is>
      </c>
      <c r="F256" t="inlineStr">
        <is>
          <t>Sveaskog</t>
        </is>
      </c>
      <c r="G256" t="n">
        <v>16.5</v>
      </c>
      <c r="H256" t="n">
        <v>0</v>
      </c>
      <c r="I256" t="n">
        <v>0</v>
      </c>
      <c r="J256" t="n">
        <v>0</v>
      </c>
      <c r="K256" t="n">
        <v>0</v>
      </c>
      <c r="L256" t="n">
        <v>0</v>
      </c>
      <c r="M256" t="n">
        <v>0</v>
      </c>
      <c r="N256" t="n">
        <v>0</v>
      </c>
      <c r="O256" t="n">
        <v>0</v>
      </c>
      <c r="P256" t="n">
        <v>0</v>
      </c>
      <c r="Q256" t="n">
        <v>0</v>
      </c>
      <c r="R256" s="2" t="inlineStr"/>
    </row>
    <row r="257" ht="15" customHeight="1">
      <c r="A257" t="inlineStr">
        <is>
          <t>A 43433-2024</t>
        </is>
      </c>
      <c r="B257" s="1" t="n">
        <v>45568.64523148148</v>
      </c>
      <c r="C257" s="1" t="n">
        <v>45990</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29938-2024</t>
        </is>
      </c>
      <c r="B258" s="1" t="n">
        <v>45488.41480324074</v>
      </c>
      <c r="C258" s="1" t="n">
        <v>45990</v>
      </c>
      <c r="D258" t="inlineStr">
        <is>
          <t>ÖREBRO LÄN</t>
        </is>
      </c>
      <c r="E258" t="inlineStr">
        <is>
          <t>LINDESBERG</t>
        </is>
      </c>
      <c r="G258" t="n">
        <v>4</v>
      </c>
      <c r="H258" t="n">
        <v>0</v>
      </c>
      <c r="I258" t="n">
        <v>0</v>
      </c>
      <c r="J258" t="n">
        <v>0</v>
      </c>
      <c r="K258" t="n">
        <v>0</v>
      </c>
      <c r="L258" t="n">
        <v>0</v>
      </c>
      <c r="M258" t="n">
        <v>0</v>
      </c>
      <c r="N258" t="n">
        <v>0</v>
      </c>
      <c r="O258" t="n">
        <v>0</v>
      </c>
      <c r="P258" t="n">
        <v>0</v>
      </c>
      <c r="Q258" t="n">
        <v>0</v>
      </c>
      <c r="R258" s="2" t="inlineStr"/>
    </row>
    <row r="259" ht="15" customHeight="1">
      <c r="A259" t="inlineStr">
        <is>
          <t>A 23102-2023</t>
        </is>
      </c>
      <c r="B259" s="1" t="n">
        <v>45075.44152777778</v>
      </c>
      <c r="C259" s="1" t="n">
        <v>45990</v>
      </c>
      <c r="D259" t="inlineStr">
        <is>
          <t>ÖREBRO LÄN</t>
        </is>
      </c>
      <c r="E259" t="inlineStr">
        <is>
          <t>LINDESBERG</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2414-2024</t>
        </is>
      </c>
      <c r="B260" s="1" t="n">
        <v>45310.87931712963</v>
      </c>
      <c r="C260" s="1" t="n">
        <v>45990</v>
      </c>
      <c r="D260" t="inlineStr">
        <is>
          <t>ÖREBRO LÄN</t>
        </is>
      </c>
      <c r="E260" t="inlineStr">
        <is>
          <t>LINDESBERG</t>
        </is>
      </c>
      <c r="G260" t="n">
        <v>7.2</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45990</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7201-2024</t>
        </is>
      </c>
      <c r="B262" s="1" t="n">
        <v>45344.6027662037</v>
      </c>
      <c r="C262" s="1" t="n">
        <v>45990</v>
      </c>
      <c r="D262" t="inlineStr">
        <is>
          <t>ÖREBRO LÄN</t>
        </is>
      </c>
      <c r="E262" t="inlineStr">
        <is>
          <t>LINDESBERG</t>
        </is>
      </c>
      <c r="G262" t="n">
        <v>4.7</v>
      </c>
      <c r="H262" t="n">
        <v>0</v>
      </c>
      <c r="I262" t="n">
        <v>0</v>
      </c>
      <c r="J262" t="n">
        <v>0</v>
      </c>
      <c r="K262" t="n">
        <v>0</v>
      </c>
      <c r="L262" t="n">
        <v>0</v>
      </c>
      <c r="M262" t="n">
        <v>0</v>
      </c>
      <c r="N262" t="n">
        <v>0</v>
      </c>
      <c r="O262" t="n">
        <v>0</v>
      </c>
      <c r="P262" t="n">
        <v>0</v>
      </c>
      <c r="Q262" t="n">
        <v>0</v>
      </c>
      <c r="R262" s="2" t="inlineStr"/>
    </row>
    <row r="263" ht="15" customHeight="1">
      <c r="A263" t="inlineStr">
        <is>
          <t>A 5080-2024</t>
        </is>
      </c>
      <c r="B263" s="1" t="n">
        <v>45330</v>
      </c>
      <c r="C263" s="1" t="n">
        <v>45990</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52930-2024</t>
        </is>
      </c>
      <c r="B264" s="1" t="n">
        <v>45610.7466087963</v>
      </c>
      <c r="C264" s="1" t="n">
        <v>45990</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52284-2024</t>
        </is>
      </c>
      <c r="B265" s="1" t="n">
        <v>45608</v>
      </c>
      <c r="C265" s="1" t="n">
        <v>45990</v>
      </c>
      <c r="D265" t="inlineStr">
        <is>
          <t>ÖREBRO LÄN</t>
        </is>
      </c>
      <c r="E265" t="inlineStr">
        <is>
          <t>LINDESBERG</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15895-2025</t>
        </is>
      </c>
      <c r="B266" s="1" t="n">
        <v>45749</v>
      </c>
      <c r="C266" s="1" t="n">
        <v>45990</v>
      </c>
      <c r="D266" t="inlineStr">
        <is>
          <t>ÖREBRO LÄN</t>
        </is>
      </c>
      <c r="E266" t="inlineStr">
        <is>
          <t>LINDESBERG</t>
        </is>
      </c>
      <c r="G266" t="n">
        <v>1</v>
      </c>
      <c r="H266" t="n">
        <v>0</v>
      </c>
      <c r="I266" t="n">
        <v>0</v>
      </c>
      <c r="J266" t="n">
        <v>0</v>
      </c>
      <c r="K266" t="n">
        <v>0</v>
      </c>
      <c r="L266" t="n">
        <v>0</v>
      </c>
      <c r="M266" t="n">
        <v>0</v>
      </c>
      <c r="N266" t="n">
        <v>0</v>
      </c>
      <c r="O266" t="n">
        <v>0</v>
      </c>
      <c r="P266" t="n">
        <v>0</v>
      </c>
      <c r="Q266" t="n">
        <v>0</v>
      </c>
      <c r="R266" s="2" t="inlineStr"/>
    </row>
    <row r="267" ht="15" customHeight="1">
      <c r="A267" t="inlineStr">
        <is>
          <t>A 27434-2023</t>
        </is>
      </c>
      <c r="B267" s="1" t="n">
        <v>45097.38688657407</v>
      </c>
      <c r="C267" s="1" t="n">
        <v>45990</v>
      </c>
      <c r="D267" t="inlineStr">
        <is>
          <t>ÖREBRO LÄN</t>
        </is>
      </c>
      <c r="E267" t="inlineStr">
        <is>
          <t>LINDESBERG</t>
        </is>
      </c>
      <c r="G267" t="n">
        <v>10.7</v>
      </c>
      <c r="H267" t="n">
        <v>0</v>
      </c>
      <c r="I267" t="n">
        <v>0</v>
      </c>
      <c r="J267" t="n">
        <v>0</v>
      </c>
      <c r="K267" t="n">
        <v>0</v>
      </c>
      <c r="L267" t="n">
        <v>0</v>
      </c>
      <c r="M267" t="n">
        <v>0</v>
      </c>
      <c r="N267" t="n">
        <v>0</v>
      </c>
      <c r="O267" t="n">
        <v>0</v>
      </c>
      <c r="P267" t="n">
        <v>0</v>
      </c>
      <c r="Q267" t="n">
        <v>0</v>
      </c>
      <c r="R267" s="2" t="inlineStr"/>
    </row>
    <row r="268" ht="15" customHeight="1">
      <c r="A268" t="inlineStr">
        <is>
          <t>A 56579-2023</t>
        </is>
      </c>
      <c r="B268" s="1" t="n">
        <v>45243.62420138889</v>
      </c>
      <c r="C268" s="1" t="n">
        <v>45990</v>
      </c>
      <c r="D268" t="inlineStr">
        <is>
          <t>ÖREBRO LÄN</t>
        </is>
      </c>
      <c r="E268" t="inlineStr">
        <is>
          <t>LINDESBERG</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56582-2023</t>
        </is>
      </c>
      <c r="B269" s="1" t="n">
        <v>45243</v>
      </c>
      <c r="C269" s="1" t="n">
        <v>45990</v>
      </c>
      <c r="D269" t="inlineStr">
        <is>
          <t>ÖREBRO LÄN</t>
        </is>
      </c>
      <c r="E269" t="inlineStr">
        <is>
          <t>LINDESBERG</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4440-2024</t>
        </is>
      </c>
      <c r="B270" s="1" t="n">
        <v>45327</v>
      </c>
      <c r="C270" s="1" t="n">
        <v>45990</v>
      </c>
      <c r="D270" t="inlineStr">
        <is>
          <t>ÖREBRO LÄN</t>
        </is>
      </c>
      <c r="E270" t="inlineStr">
        <is>
          <t>LINDESBERG</t>
        </is>
      </c>
      <c r="F270" t="inlineStr">
        <is>
          <t>BillerudKorsnäs AB</t>
        </is>
      </c>
      <c r="G270" t="n">
        <v>2</v>
      </c>
      <c r="H270" t="n">
        <v>0</v>
      </c>
      <c r="I270" t="n">
        <v>0</v>
      </c>
      <c r="J270" t="n">
        <v>0</v>
      </c>
      <c r="K270" t="n">
        <v>0</v>
      </c>
      <c r="L270" t="n">
        <v>0</v>
      </c>
      <c r="M270" t="n">
        <v>0</v>
      </c>
      <c r="N270" t="n">
        <v>0</v>
      </c>
      <c r="O270" t="n">
        <v>0</v>
      </c>
      <c r="P270" t="n">
        <v>0</v>
      </c>
      <c r="Q270" t="n">
        <v>0</v>
      </c>
      <c r="R270" s="2" t="inlineStr"/>
    </row>
    <row r="271" ht="15" customHeight="1">
      <c r="A271" t="inlineStr">
        <is>
          <t>A 15899-2025</t>
        </is>
      </c>
      <c r="B271" s="1" t="n">
        <v>45749.42258101852</v>
      </c>
      <c r="C271" s="1" t="n">
        <v>45990</v>
      </c>
      <c r="D271" t="inlineStr">
        <is>
          <t>ÖREBRO LÄN</t>
        </is>
      </c>
      <c r="E271" t="inlineStr">
        <is>
          <t>LINDESBERG</t>
        </is>
      </c>
      <c r="G271" t="n">
        <v>6.6</v>
      </c>
      <c r="H271" t="n">
        <v>0</v>
      </c>
      <c r="I271" t="n">
        <v>0</v>
      </c>
      <c r="J271" t="n">
        <v>0</v>
      </c>
      <c r="K271" t="n">
        <v>0</v>
      </c>
      <c r="L271" t="n">
        <v>0</v>
      </c>
      <c r="M271" t="n">
        <v>0</v>
      </c>
      <c r="N271" t="n">
        <v>0</v>
      </c>
      <c r="O271" t="n">
        <v>0</v>
      </c>
      <c r="P271" t="n">
        <v>0</v>
      </c>
      <c r="Q271" t="n">
        <v>0</v>
      </c>
      <c r="R271" s="2" t="inlineStr"/>
    </row>
    <row r="272" ht="15" customHeight="1">
      <c r="A272" t="inlineStr">
        <is>
          <t>A 10825-2021</t>
        </is>
      </c>
      <c r="B272" s="1" t="n">
        <v>44259</v>
      </c>
      <c r="C272" s="1" t="n">
        <v>45990</v>
      </c>
      <c r="D272" t="inlineStr">
        <is>
          <t>ÖREBRO LÄN</t>
        </is>
      </c>
      <c r="E272" t="inlineStr">
        <is>
          <t>LINDESBERG</t>
        </is>
      </c>
      <c r="G272" t="n">
        <v>7.4</v>
      </c>
      <c r="H272" t="n">
        <v>0</v>
      </c>
      <c r="I272" t="n">
        <v>0</v>
      </c>
      <c r="J272" t="n">
        <v>0</v>
      </c>
      <c r="K272" t="n">
        <v>0</v>
      </c>
      <c r="L272" t="n">
        <v>0</v>
      </c>
      <c r="M272" t="n">
        <v>0</v>
      </c>
      <c r="N272" t="n">
        <v>0</v>
      </c>
      <c r="O272" t="n">
        <v>0</v>
      </c>
      <c r="P272" t="n">
        <v>0</v>
      </c>
      <c r="Q272" t="n">
        <v>0</v>
      </c>
      <c r="R272" s="2" t="inlineStr"/>
    </row>
    <row r="273" ht="15" customHeight="1">
      <c r="A273" t="inlineStr">
        <is>
          <t>A 56561-2023</t>
        </is>
      </c>
      <c r="B273" s="1" t="n">
        <v>45243</v>
      </c>
      <c r="C273" s="1" t="n">
        <v>45990</v>
      </c>
      <c r="D273" t="inlineStr">
        <is>
          <t>ÖREBRO LÄN</t>
        </is>
      </c>
      <c r="E273" t="inlineStr">
        <is>
          <t>LINDESBERG</t>
        </is>
      </c>
      <c r="G273" t="n">
        <v>1.9</v>
      </c>
      <c r="H273" t="n">
        <v>0</v>
      </c>
      <c r="I273" t="n">
        <v>0</v>
      </c>
      <c r="J273" t="n">
        <v>0</v>
      </c>
      <c r="K273" t="n">
        <v>0</v>
      </c>
      <c r="L273" t="n">
        <v>0</v>
      </c>
      <c r="M273" t="n">
        <v>0</v>
      </c>
      <c r="N273" t="n">
        <v>0</v>
      </c>
      <c r="O273" t="n">
        <v>0</v>
      </c>
      <c r="P273" t="n">
        <v>0</v>
      </c>
      <c r="Q273" t="n">
        <v>0</v>
      </c>
      <c r="R273" s="2" t="inlineStr"/>
    </row>
    <row r="274" ht="15" customHeight="1">
      <c r="A274" t="inlineStr">
        <is>
          <t>A 41947-2023</t>
        </is>
      </c>
      <c r="B274" s="1" t="n">
        <v>45177.31795138889</v>
      </c>
      <c r="C274" s="1" t="n">
        <v>45990</v>
      </c>
      <c r="D274" t="inlineStr">
        <is>
          <t>ÖREBRO LÄN</t>
        </is>
      </c>
      <c r="E274" t="inlineStr">
        <is>
          <t>LINDESBERG</t>
        </is>
      </c>
      <c r="F274" t="inlineStr">
        <is>
          <t>Kyrkan</t>
        </is>
      </c>
      <c r="G274" t="n">
        <v>0.7</v>
      </c>
      <c r="H274" t="n">
        <v>0</v>
      </c>
      <c r="I274" t="n">
        <v>0</v>
      </c>
      <c r="J274" t="n">
        <v>0</v>
      </c>
      <c r="K274" t="n">
        <v>0</v>
      </c>
      <c r="L274" t="n">
        <v>0</v>
      </c>
      <c r="M274" t="n">
        <v>0</v>
      </c>
      <c r="N274" t="n">
        <v>0</v>
      </c>
      <c r="O274" t="n">
        <v>0</v>
      </c>
      <c r="P274" t="n">
        <v>0</v>
      </c>
      <c r="Q274" t="n">
        <v>0</v>
      </c>
      <c r="R274" s="2" t="inlineStr"/>
    </row>
    <row r="275" ht="15" customHeight="1">
      <c r="A275" t="inlineStr">
        <is>
          <t>A 15933-2025</t>
        </is>
      </c>
      <c r="B275" s="1" t="n">
        <v>45749.47251157407</v>
      </c>
      <c r="C275" s="1" t="n">
        <v>45990</v>
      </c>
      <c r="D275" t="inlineStr">
        <is>
          <t>ÖREBRO LÄN</t>
        </is>
      </c>
      <c r="E275" t="inlineStr">
        <is>
          <t>LINDESBERG</t>
        </is>
      </c>
      <c r="G275" t="n">
        <v>6.1</v>
      </c>
      <c r="H275" t="n">
        <v>0</v>
      </c>
      <c r="I275" t="n">
        <v>0</v>
      </c>
      <c r="J275" t="n">
        <v>0</v>
      </c>
      <c r="K275" t="n">
        <v>0</v>
      </c>
      <c r="L275" t="n">
        <v>0</v>
      </c>
      <c r="M275" t="n">
        <v>0</v>
      </c>
      <c r="N275" t="n">
        <v>0</v>
      </c>
      <c r="O275" t="n">
        <v>0</v>
      </c>
      <c r="P275" t="n">
        <v>0</v>
      </c>
      <c r="Q275" t="n">
        <v>0</v>
      </c>
      <c r="R275" s="2" t="inlineStr"/>
    </row>
    <row r="276" ht="15" customHeight="1">
      <c r="A276" t="inlineStr">
        <is>
          <t>A 62968-2023</t>
        </is>
      </c>
      <c r="B276" s="1" t="n">
        <v>45272.57385416667</v>
      </c>
      <c r="C276" s="1" t="n">
        <v>45990</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15936-2025</t>
        </is>
      </c>
      <c r="B277" s="1" t="n">
        <v>45749.4737962963</v>
      </c>
      <c r="C277" s="1" t="n">
        <v>45990</v>
      </c>
      <c r="D277" t="inlineStr">
        <is>
          <t>ÖREBRO LÄN</t>
        </is>
      </c>
      <c r="E277" t="inlineStr">
        <is>
          <t>LINDESBERG</t>
        </is>
      </c>
      <c r="G277" t="n">
        <v>22.3</v>
      </c>
      <c r="H277" t="n">
        <v>0</v>
      </c>
      <c r="I277" t="n">
        <v>0</v>
      </c>
      <c r="J277" t="n">
        <v>0</v>
      </c>
      <c r="K277" t="n">
        <v>0</v>
      </c>
      <c r="L277" t="n">
        <v>0</v>
      </c>
      <c r="M277" t="n">
        <v>0</v>
      </c>
      <c r="N277" t="n">
        <v>0</v>
      </c>
      <c r="O277" t="n">
        <v>0</v>
      </c>
      <c r="P277" t="n">
        <v>0</v>
      </c>
      <c r="Q277" t="n">
        <v>0</v>
      </c>
      <c r="R277" s="2" t="inlineStr"/>
    </row>
    <row r="278" ht="15" customHeight="1">
      <c r="A278" t="inlineStr">
        <is>
          <t>A 10564-2023</t>
        </is>
      </c>
      <c r="B278" s="1" t="n">
        <v>44988</v>
      </c>
      <c r="C278" s="1" t="n">
        <v>45990</v>
      </c>
      <c r="D278" t="inlineStr">
        <is>
          <t>ÖREBRO LÄN</t>
        </is>
      </c>
      <c r="E278" t="inlineStr">
        <is>
          <t>LINDESBERG</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30830-2024</t>
        </is>
      </c>
      <c r="B279" s="1" t="n">
        <v>45497</v>
      </c>
      <c r="C279" s="1" t="n">
        <v>45990</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24017-2025</t>
        </is>
      </c>
      <c r="B280" s="1" t="n">
        <v>45796.44885416667</v>
      </c>
      <c r="C280" s="1" t="n">
        <v>45990</v>
      </c>
      <c r="D280" t="inlineStr">
        <is>
          <t>ÖREBRO LÄN</t>
        </is>
      </c>
      <c r="E280" t="inlineStr">
        <is>
          <t>LINDESBERG</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23897-2025</t>
        </is>
      </c>
      <c r="B281" s="1" t="n">
        <v>45794.33498842592</v>
      </c>
      <c r="C281" s="1" t="n">
        <v>45990</v>
      </c>
      <c r="D281" t="inlineStr">
        <is>
          <t>ÖREBRO LÄN</t>
        </is>
      </c>
      <c r="E281" t="inlineStr">
        <is>
          <t>LINDESBERG</t>
        </is>
      </c>
      <c r="G281" t="n">
        <v>5.6</v>
      </c>
      <c r="H281" t="n">
        <v>0</v>
      </c>
      <c r="I281" t="n">
        <v>0</v>
      </c>
      <c r="J281" t="n">
        <v>0</v>
      </c>
      <c r="K281" t="n">
        <v>0</v>
      </c>
      <c r="L281" t="n">
        <v>0</v>
      </c>
      <c r="M281" t="n">
        <v>0</v>
      </c>
      <c r="N281" t="n">
        <v>0</v>
      </c>
      <c r="O281" t="n">
        <v>0</v>
      </c>
      <c r="P281" t="n">
        <v>0</v>
      </c>
      <c r="Q281" t="n">
        <v>0</v>
      </c>
      <c r="R281" s="2" t="inlineStr"/>
    </row>
    <row r="282" ht="15" customHeight="1">
      <c r="A282" t="inlineStr">
        <is>
          <t>A 24107-2025</t>
        </is>
      </c>
      <c r="B282" s="1" t="n">
        <v>45796</v>
      </c>
      <c r="C282" s="1" t="n">
        <v>45990</v>
      </c>
      <c r="D282" t="inlineStr">
        <is>
          <t>ÖREBRO LÄN</t>
        </is>
      </c>
      <c r="E282" t="inlineStr">
        <is>
          <t>LINDESBERG</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23898-2025</t>
        </is>
      </c>
      <c r="B283" s="1" t="n">
        <v>45794.3419212963</v>
      </c>
      <c r="C283" s="1" t="n">
        <v>45990</v>
      </c>
      <c r="D283" t="inlineStr">
        <is>
          <t>ÖREBRO LÄN</t>
        </is>
      </c>
      <c r="E283" t="inlineStr">
        <is>
          <t>LINDESBERG</t>
        </is>
      </c>
      <c r="G283" t="n">
        <v>1</v>
      </c>
      <c r="H283" t="n">
        <v>0</v>
      </c>
      <c r="I283" t="n">
        <v>0</v>
      </c>
      <c r="J283" t="n">
        <v>0</v>
      </c>
      <c r="K283" t="n">
        <v>0</v>
      </c>
      <c r="L283" t="n">
        <v>0</v>
      </c>
      <c r="M283" t="n">
        <v>0</v>
      </c>
      <c r="N283" t="n">
        <v>0</v>
      </c>
      <c r="O283" t="n">
        <v>0</v>
      </c>
      <c r="P283" t="n">
        <v>0</v>
      </c>
      <c r="Q283" t="n">
        <v>0</v>
      </c>
      <c r="R283" s="2" t="inlineStr"/>
    </row>
    <row r="284" ht="15" customHeight="1">
      <c r="A284" t="inlineStr">
        <is>
          <t>A 36291-2022</t>
        </is>
      </c>
      <c r="B284" s="1" t="n">
        <v>44803.64361111111</v>
      </c>
      <c r="C284" s="1" t="n">
        <v>45990</v>
      </c>
      <c r="D284" t="inlineStr">
        <is>
          <t>ÖREBRO LÄN</t>
        </is>
      </c>
      <c r="E284" t="inlineStr">
        <is>
          <t>LINDESBERG</t>
        </is>
      </c>
      <c r="G284" t="n">
        <v>3.8</v>
      </c>
      <c r="H284" t="n">
        <v>0</v>
      </c>
      <c r="I284" t="n">
        <v>0</v>
      </c>
      <c r="J284" t="n">
        <v>0</v>
      </c>
      <c r="K284" t="n">
        <v>0</v>
      </c>
      <c r="L284" t="n">
        <v>0</v>
      </c>
      <c r="M284" t="n">
        <v>0</v>
      </c>
      <c r="N284" t="n">
        <v>0</v>
      </c>
      <c r="O284" t="n">
        <v>0</v>
      </c>
      <c r="P284" t="n">
        <v>0</v>
      </c>
      <c r="Q284" t="n">
        <v>0</v>
      </c>
      <c r="R284" s="2" t="inlineStr"/>
    </row>
    <row r="285" ht="15" customHeight="1">
      <c r="A285" t="inlineStr">
        <is>
          <t>A 37738-2024</t>
        </is>
      </c>
      <c r="B285" s="1" t="n">
        <v>45541.66916666667</v>
      </c>
      <c r="C285" s="1" t="n">
        <v>45990</v>
      </c>
      <c r="D285" t="inlineStr">
        <is>
          <t>ÖREBRO LÄN</t>
        </is>
      </c>
      <c r="E285" t="inlineStr">
        <is>
          <t>LINDESBERG</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24011-2025</t>
        </is>
      </c>
      <c r="B286" s="1" t="n">
        <v>45796</v>
      </c>
      <c r="C286" s="1" t="n">
        <v>45990</v>
      </c>
      <c r="D286" t="inlineStr">
        <is>
          <t>ÖREBRO LÄN</t>
        </is>
      </c>
      <c r="E286" t="inlineStr">
        <is>
          <t>LINDESBERG</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24020-2025</t>
        </is>
      </c>
      <c r="B287" s="1" t="n">
        <v>45796.45054398148</v>
      </c>
      <c r="C287" s="1" t="n">
        <v>45990</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23934-2025</t>
        </is>
      </c>
      <c r="B288" s="1" t="n">
        <v>45795.71547453704</v>
      </c>
      <c r="C288" s="1" t="n">
        <v>45990</v>
      </c>
      <c r="D288" t="inlineStr">
        <is>
          <t>ÖREBRO LÄN</t>
        </is>
      </c>
      <c r="E288" t="inlineStr">
        <is>
          <t>LINDESBERG</t>
        </is>
      </c>
      <c r="G288" t="n">
        <v>1.9</v>
      </c>
      <c r="H288" t="n">
        <v>0</v>
      </c>
      <c r="I288" t="n">
        <v>0</v>
      </c>
      <c r="J288" t="n">
        <v>0</v>
      </c>
      <c r="K288" t="n">
        <v>0</v>
      </c>
      <c r="L288" t="n">
        <v>0</v>
      </c>
      <c r="M288" t="n">
        <v>0</v>
      </c>
      <c r="N288" t="n">
        <v>0</v>
      </c>
      <c r="O288" t="n">
        <v>0</v>
      </c>
      <c r="P288" t="n">
        <v>0</v>
      </c>
      <c r="Q288" t="n">
        <v>0</v>
      </c>
      <c r="R288" s="2" t="inlineStr"/>
    </row>
    <row r="289" ht="15" customHeight="1">
      <c r="A289" t="inlineStr">
        <is>
          <t>A 24043-2024</t>
        </is>
      </c>
      <c r="B289" s="1" t="n">
        <v>45456.48927083334</v>
      </c>
      <c r="C289" s="1" t="n">
        <v>45990</v>
      </c>
      <c r="D289" t="inlineStr">
        <is>
          <t>ÖREBRO LÄN</t>
        </is>
      </c>
      <c r="E289" t="inlineStr">
        <is>
          <t>LINDESBERG</t>
        </is>
      </c>
      <c r="G289" t="n">
        <v>6.2</v>
      </c>
      <c r="H289" t="n">
        <v>0</v>
      </c>
      <c r="I289" t="n">
        <v>0</v>
      </c>
      <c r="J289" t="n">
        <v>0</v>
      </c>
      <c r="K289" t="n">
        <v>0</v>
      </c>
      <c r="L289" t="n">
        <v>0</v>
      </c>
      <c r="M289" t="n">
        <v>0</v>
      </c>
      <c r="N289" t="n">
        <v>0</v>
      </c>
      <c r="O289" t="n">
        <v>0</v>
      </c>
      <c r="P289" t="n">
        <v>0</v>
      </c>
      <c r="Q289" t="n">
        <v>0</v>
      </c>
      <c r="R289" s="2" t="inlineStr"/>
    </row>
    <row r="290" ht="15" customHeight="1">
      <c r="A290" t="inlineStr">
        <is>
          <t>A 10836-2024</t>
        </is>
      </c>
      <c r="B290" s="1" t="n">
        <v>45369</v>
      </c>
      <c r="C290" s="1" t="n">
        <v>45990</v>
      </c>
      <c r="D290" t="inlineStr">
        <is>
          <t>ÖREBRO LÄN</t>
        </is>
      </c>
      <c r="E290" t="inlineStr">
        <is>
          <t>LINDESBERG</t>
        </is>
      </c>
      <c r="G290" t="n">
        <v>2.8</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45990</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33716-2021</t>
        </is>
      </c>
      <c r="B292" s="1" t="n">
        <v>44378.46857638889</v>
      </c>
      <c r="C292" s="1" t="n">
        <v>45990</v>
      </c>
      <c r="D292" t="inlineStr">
        <is>
          <t>ÖREBRO LÄN</t>
        </is>
      </c>
      <c r="E292" t="inlineStr">
        <is>
          <t>LINDESBERG</t>
        </is>
      </c>
      <c r="G292" t="n">
        <v>4.6</v>
      </c>
      <c r="H292" t="n">
        <v>0</v>
      </c>
      <c r="I292" t="n">
        <v>0</v>
      </c>
      <c r="J292" t="n">
        <v>0</v>
      </c>
      <c r="K292" t="n">
        <v>0</v>
      </c>
      <c r="L292" t="n">
        <v>0</v>
      </c>
      <c r="M292" t="n">
        <v>0</v>
      </c>
      <c r="N292" t="n">
        <v>0</v>
      </c>
      <c r="O292" t="n">
        <v>0</v>
      </c>
      <c r="P292" t="n">
        <v>0</v>
      </c>
      <c r="Q292" t="n">
        <v>0</v>
      </c>
      <c r="R292" s="2" t="inlineStr"/>
    </row>
    <row r="293" ht="15" customHeight="1">
      <c r="A293" t="inlineStr">
        <is>
          <t>A 12250-2025</t>
        </is>
      </c>
      <c r="B293" s="1" t="n">
        <v>45729.60775462963</v>
      </c>
      <c r="C293" s="1" t="n">
        <v>45990</v>
      </c>
      <c r="D293" t="inlineStr">
        <is>
          <t>ÖREBRO LÄN</t>
        </is>
      </c>
      <c r="E293" t="inlineStr">
        <is>
          <t>LINDESBERG</t>
        </is>
      </c>
      <c r="G293" t="n">
        <v>3.4</v>
      </c>
      <c r="H293" t="n">
        <v>0</v>
      </c>
      <c r="I293" t="n">
        <v>0</v>
      </c>
      <c r="J293" t="n">
        <v>0</v>
      </c>
      <c r="K293" t="n">
        <v>0</v>
      </c>
      <c r="L293" t="n">
        <v>0</v>
      </c>
      <c r="M293" t="n">
        <v>0</v>
      </c>
      <c r="N293" t="n">
        <v>0</v>
      </c>
      <c r="O293" t="n">
        <v>0</v>
      </c>
      <c r="P293" t="n">
        <v>0</v>
      </c>
      <c r="Q293" t="n">
        <v>0</v>
      </c>
      <c r="R293" s="2" t="inlineStr"/>
    </row>
    <row r="294" ht="15" customHeight="1">
      <c r="A294" t="inlineStr">
        <is>
          <t>A 23536-2023</t>
        </is>
      </c>
      <c r="B294" s="1" t="n">
        <v>45077</v>
      </c>
      <c r="C294" s="1" t="n">
        <v>45990</v>
      </c>
      <c r="D294" t="inlineStr">
        <is>
          <t>ÖREBRO LÄN</t>
        </is>
      </c>
      <c r="E294" t="inlineStr">
        <is>
          <t>LINDESBERG</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38552-2023</t>
        </is>
      </c>
      <c r="B295" s="1" t="n">
        <v>45162.5978125</v>
      </c>
      <c r="C295" s="1" t="n">
        <v>45990</v>
      </c>
      <c r="D295" t="inlineStr">
        <is>
          <t>ÖREBRO LÄN</t>
        </is>
      </c>
      <c r="E295" t="inlineStr">
        <is>
          <t>LINDESBERG</t>
        </is>
      </c>
      <c r="G295" t="n">
        <v>10.4</v>
      </c>
      <c r="H295" t="n">
        <v>0</v>
      </c>
      <c r="I295" t="n">
        <v>0</v>
      </c>
      <c r="J295" t="n">
        <v>0</v>
      </c>
      <c r="K295" t="n">
        <v>0</v>
      </c>
      <c r="L295" t="n">
        <v>0</v>
      </c>
      <c r="M295" t="n">
        <v>0</v>
      </c>
      <c r="N295" t="n">
        <v>0</v>
      </c>
      <c r="O295" t="n">
        <v>0</v>
      </c>
      <c r="P295" t="n">
        <v>0</v>
      </c>
      <c r="Q295" t="n">
        <v>0</v>
      </c>
      <c r="R295" s="2" t="inlineStr"/>
    </row>
    <row r="296" ht="15" customHeight="1">
      <c r="A296" t="inlineStr">
        <is>
          <t>A 15213-2025</t>
        </is>
      </c>
      <c r="B296" s="1" t="n">
        <v>45744.57851851852</v>
      </c>
      <c r="C296" s="1" t="n">
        <v>45990</v>
      </c>
      <c r="D296" t="inlineStr">
        <is>
          <t>ÖREBRO LÄN</t>
        </is>
      </c>
      <c r="E296" t="inlineStr">
        <is>
          <t>LINDESBERG</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19914-2024</t>
        </is>
      </c>
      <c r="B297" s="1" t="n">
        <v>45433.58099537037</v>
      </c>
      <c r="C297" s="1" t="n">
        <v>45990</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48231-2024</t>
        </is>
      </c>
      <c r="B298" s="1" t="n">
        <v>45590.37590277778</v>
      </c>
      <c r="C298" s="1" t="n">
        <v>45990</v>
      </c>
      <c r="D298" t="inlineStr">
        <is>
          <t>ÖREBRO LÄN</t>
        </is>
      </c>
      <c r="E298" t="inlineStr">
        <is>
          <t>LINDESBERG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4999-2025</t>
        </is>
      </c>
      <c r="B299" s="1" t="n">
        <v>45691.36253472222</v>
      </c>
      <c r="C299" s="1" t="n">
        <v>45990</v>
      </c>
      <c r="D299" t="inlineStr">
        <is>
          <t>ÖREBRO LÄN</t>
        </is>
      </c>
      <c r="E299" t="inlineStr">
        <is>
          <t>LINDESBERG</t>
        </is>
      </c>
      <c r="G299" t="n">
        <v>4.7</v>
      </c>
      <c r="H299" t="n">
        <v>0</v>
      </c>
      <c r="I299" t="n">
        <v>0</v>
      </c>
      <c r="J299" t="n">
        <v>0</v>
      </c>
      <c r="K299" t="n">
        <v>0</v>
      </c>
      <c r="L299" t="n">
        <v>0</v>
      </c>
      <c r="M299" t="n">
        <v>0</v>
      </c>
      <c r="N299" t="n">
        <v>0</v>
      </c>
      <c r="O299" t="n">
        <v>0</v>
      </c>
      <c r="P299" t="n">
        <v>0</v>
      </c>
      <c r="Q299" t="n">
        <v>0</v>
      </c>
      <c r="R299" s="2" t="inlineStr"/>
    </row>
    <row r="300" ht="15" customHeight="1">
      <c r="A300" t="inlineStr">
        <is>
          <t>A 15941-2025</t>
        </is>
      </c>
      <c r="B300" s="1" t="n">
        <v>45749</v>
      </c>
      <c r="C300" s="1" t="n">
        <v>45990</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55631-2022</t>
        </is>
      </c>
      <c r="B301" s="1" t="n">
        <v>44888.4577662037</v>
      </c>
      <c r="C301" s="1" t="n">
        <v>45990</v>
      </c>
      <c r="D301" t="inlineStr">
        <is>
          <t>ÖREBRO LÄN</t>
        </is>
      </c>
      <c r="E301" t="inlineStr">
        <is>
          <t>LINDESBERG</t>
        </is>
      </c>
      <c r="G301" t="n">
        <v>4.4</v>
      </c>
      <c r="H301" t="n">
        <v>0</v>
      </c>
      <c r="I301" t="n">
        <v>0</v>
      </c>
      <c r="J301" t="n">
        <v>0</v>
      </c>
      <c r="K301" t="n">
        <v>0</v>
      </c>
      <c r="L301" t="n">
        <v>0</v>
      </c>
      <c r="M301" t="n">
        <v>0</v>
      </c>
      <c r="N301" t="n">
        <v>0</v>
      </c>
      <c r="O301" t="n">
        <v>0</v>
      </c>
      <c r="P301" t="n">
        <v>0</v>
      </c>
      <c r="Q301" t="n">
        <v>0</v>
      </c>
      <c r="R301" s="2" t="inlineStr"/>
    </row>
    <row r="302" ht="15" customHeight="1">
      <c r="A302" t="inlineStr">
        <is>
          <t>A 25643-2025</t>
        </is>
      </c>
      <c r="B302" s="1" t="n">
        <v>45803</v>
      </c>
      <c r="C302" s="1" t="n">
        <v>45990</v>
      </c>
      <c r="D302" t="inlineStr">
        <is>
          <t>ÖREBRO LÄN</t>
        </is>
      </c>
      <c r="E302" t="inlineStr">
        <is>
          <t>LINDESBERG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265-2023</t>
        </is>
      </c>
      <c r="B303" s="1" t="n">
        <v>44928</v>
      </c>
      <c r="C303" s="1" t="n">
        <v>45990</v>
      </c>
      <c r="D303" t="inlineStr">
        <is>
          <t>ÖREBRO LÄN</t>
        </is>
      </c>
      <c r="E303" t="inlineStr">
        <is>
          <t>LINDESBERG</t>
        </is>
      </c>
      <c r="G303" t="n">
        <v>2.4</v>
      </c>
      <c r="H303" t="n">
        <v>0</v>
      </c>
      <c r="I303" t="n">
        <v>0</v>
      </c>
      <c r="J303" t="n">
        <v>0</v>
      </c>
      <c r="K303" t="n">
        <v>0</v>
      </c>
      <c r="L303" t="n">
        <v>0</v>
      </c>
      <c r="M303" t="n">
        <v>0</v>
      </c>
      <c r="N303" t="n">
        <v>0</v>
      </c>
      <c r="O303" t="n">
        <v>0</v>
      </c>
      <c r="P303" t="n">
        <v>0</v>
      </c>
      <c r="Q303" t="n">
        <v>0</v>
      </c>
      <c r="R303" s="2" t="inlineStr"/>
    </row>
    <row r="304" ht="15" customHeight="1">
      <c r="A304" t="inlineStr">
        <is>
          <t>A 60115-2022</t>
        </is>
      </c>
      <c r="B304" s="1" t="n">
        <v>44902</v>
      </c>
      <c r="C304" s="1" t="n">
        <v>45990</v>
      </c>
      <c r="D304" t="inlineStr">
        <is>
          <t>ÖREBRO LÄN</t>
        </is>
      </c>
      <c r="E304" t="inlineStr">
        <is>
          <t>LINDESBERG</t>
        </is>
      </c>
      <c r="G304" t="n">
        <v>0.5</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45990</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38861-2025</t>
        </is>
      </c>
      <c r="B306" s="1" t="n">
        <v>45887.56101851852</v>
      </c>
      <c r="C306" s="1" t="n">
        <v>45990</v>
      </c>
      <c r="D306" t="inlineStr">
        <is>
          <t>ÖREBRO LÄN</t>
        </is>
      </c>
      <c r="E306" t="inlineStr">
        <is>
          <t>LINDESBERG</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15212-2025</t>
        </is>
      </c>
      <c r="B307" s="1" t="n">
        <v>45744.57673611111</v>
      </c>
      <c r="C307" s="1" t="n">
        <v>45990</v>
      </c>
      <c r="D307" t="inlineStr">
        <is>
          <t>ÖREBRO LÄN</t>
        </is>
      </c>
      <c r="E307" t="inlineStr">
        <is>
          <t>LINDESBERG</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25842-2025</t>
        </is>
      </c>
      <c r="B308" s="1" t="n">
        <v>45804.45474537037</v>
      </c>
      <c r="C308" s="1" t="n">
        <v>45990</v>
      </c>
      <c r="D308" t="inlineStr">
        <is>
          <t>ÖREBRO LÄN</t>
        </is>
      </c>
      <c r="E308" t="inlineStr">
        <is>
          <t>LINDESBERG</t>
        </is>
      </c>
      <c r="G308" t="n">
        <v>1.7</v>
      </c>
      <c r="H308" t="n">
        <v>0</v>
      </c>
      <c r="I308" t="n">
        <v>0</v>
      </c>
      <c r="J308" t="n">
        <v>0</v>
      </c>
      <c r="K308" t="n">
        <v>0</v>
      </c>
      <c r="L308" t="n">
        <v>0</v>
      </c>
      <c r="M308" t="n">
        <v>0</v>
      </c>
      <c r="N308" t="n">
        <v>0</v>
      </c>
      <c r="O308" t="n">
        <v>0</v>
      </c>
      <c r="P308" t="n">
        <v>0</v>
      </c>
      <c r="Q308" t="n">
        <v>0</v>
      </c>
      <c r="R308" s="2" t="inlineStr"/>
    </row>
    <row r="309" ht="15" customHeight="1">
      <c r="A309" t="inlineStr">
        <is>
          <t>A 39429-2025</t>
        </is>
      </c>
      <c r="B309" s="1" t="n">
        <v>45889.67577546297</v>
      </c>
      <c r="C309" s="1" t="n">
        <v>45990</v>
      </c>
      <c r="D309" t="inlineStr">
        <is>
          <t>ÖREBRO LÄN</t>
        </is>
      </c>
      <c r="E309" t="inlineStr">
        <is>
          <t>LINDESBERG</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26016-2025</t>
        </is>
      </c>
      <c r="B310" s="1" t="n">
        <v>45804.67795138889</v>
      </c>
      <c r="C310" s="1" t="n">
        <v>45990</v>
      </c>
      <c r="D310" t="inlineStr">
        <is>
          <t>ÖREBRO LÄN</t>
        </is>
      </c>
      <c r="E310" t="inlineStr">
        <is>
          <t>LINDESBERG</t>
        </is>
      </c>
      <c r="G310" t="n">
        <v>10</v>
      </c>
      <c r="H310" t="n">
        <v>0</v>
      </c>
      <c r="I310" t="n">
        <v>0</v>
      </c>
      <c r="J310" t="n">
        <v>0</v>
      </c>
      <c r="K310" t="n">
        <v>0</v>
      </c>
      <c r="L310" t="n">
        <v>0</v>
      </c>
      <c r="M310" t="n">
        <v>0</v>
      </c>
      <c r="N310" t="n">
        <v>0</v>
      </c>
      <c r="O310" t="n">
        <v>0</v>
      </c>
      <c r="P310" t="n">
        <v>0</v>
      </c>
      <c r="Q310" t="n">
        <v>0</v>
      </c>
      <c r="R310" s="2" t="inlineStr"/>
    </row>
    <row r="311" ht="15" customHeight="1">
      <c r="A311" t="inlineStr">
        <is>
          <t>A 39421-2025</t>
        </is>
      </c>
      <c r="B311" s="1" t="n">
        <v>45889.66935185185</v>
      </c>
      <c r="C311" s="1" t="n">
        <v>45990</v>
      </c>
      <c r="D311" t="inlineStr">
        <is>
          <t>ÖREBRO LÄN</t>
        </is>
      </c>
      <c r="E311" t="inlineStr">
        <is>
          <t>LINDESBERG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40905-2023</t>
        </is>
      </c>
      <c r="B312" s="1" t="n">
        <v>45173.39315972223</v>
      </c>
      <c r="C312" s="1" t="n">
        <v>45990</v>
      </c>
      <c r="D312" t="inlineStr">
        <is>
          <t>ÖREBRO LÄN</t>
        </is>
      </c>
      <c r="E312" t="inlineStr">
        <is>
          <t>LINDESBERG</t>
        </is>
      </c>
      <c r="G312" t="n">
        <v>0.5</v>
      </c>
      <c r="H312" t="n">
        <v>0</v>
      </c>
      <c r="I312" t="n">
        <v>0</v>
      </c>
      <c r="J312" t="n">
        <v>0</v>
      </c>
      <c r="K312" t="n">
        <v>0</v>
      </c>
      <c r="L312" t="n">
        <v>0</v>
      </c>
      <c r="M312" t="n">
        <v>0</v>
      </c>
      <c r="N312" t="n">
        <v>0</v>
      </c>
      <c r="O312" t="n">
        <v>0</v>
      </c>
      <c r="P312" t="n">
        <v>0</v>
      </c>
      <c r="Q312" t="n">
        <v>0</v>
      </c>
      <c r="R312" s="2" t="inlineStr"/>
    </row>
    <row r="313" ht="15" customHeight="1">
      <c r="A313" t="inlineStr">
        <is>
          <t>A 39424-2025</t>
        </is>
      </c>
      <c r="B313" s="1" t="n">
        <v>45889.67290509259</v>
      </c>
      <c r="C313" s="1" t="n">
        <v>45990</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40085-2023</t>
        </is>
      </c>
      <c r="B314" s="1" t="n">
        <v>45168.92155092592</v>
      </c>
      <c r="C314" s="1" t="n">
        <v>45990</v>
      </c>
      <c r="D314" t="inlineStr">
        <is>
          <t>ÖREBRO LÄN</t>
        </is>
      </c>
      <c r="E314" t="inlineStr">
        <is>
          <t>LINDESBERG</t>
        </is>
      </c>
      <c r="G314" t="n">
        <v>6.1</v>
      </c>
      <c r="H314" t="n">
        <v>0</v>
      </c>
      <c r="I314" t="n">
        <v>0</v>
      </c>
      <c r="J314" t="n">
        <v>0</v>
      </c>
      <c r="K314" t="n">
        <v>0</v>
      </c>
      <c r="L314" t="n">
        <v>0</v>
      </c>
      <c r="M314" t="n">
        <v>0</v>
      </c>
      <c r="N314" t="n">
        <v>0</v>
      </c>
      <c r="O314" t="n">
        <v>0</v>
      </c>
      <c r="P314" t="n">
        <v>0</v>
      </c>
      <c r="Q314" t="n">
        <v>0</v>
      </c>
      <c r="R314" s="2" t="inlineStr"/>
    </row>
    <row r="315" ht="15" customHeight="1">
      <c r="A315" t="inlineStr">
        <is>
          <t>A 40117-2023</t>
        </is>
      </c>
      <c r="B315" s="1" t="n">
        <v>45168.94197916667</v>
      </c>
      <c r="C315" s="1" t="n">
        <v>45990</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25843-2025</t>
        </is>
      </c>
      <c r="B316" s="1" t="n">
        <v>45804.45584490741</v>
      </c>
      <c r="C316" s="1" t="n">
        <v>45990</v>
      </c>
      <c r="D316" t="inlineStr">
        <is>
          <t>ÖREBRO LÄN</t>
        </is>
      </c>
      <c r="E316" t="inlineStr">
        <is>
          <t>LINDESBERG</t>
        </is>
      </c>
      <c r="G316" t="n">
        <v>4.6</v>
      </c>
      <c r="H316" t="n">
        <v>0</v>
      </c>
      <c r="I316" t="n">
        <v>0</v>
      </c>
      <c r="J316" t="n">
        <v>0</v>
      </c>
      <c r="K316" t="n">
        <v>0</v>
      </c>
      <c r="L316" t="n">
        <v>0</v>
      </c>
      <c r="M316" t="n">
        <v>0</v>
      </c>
      <c r="N316" t="n">
        <v>0</v>
      </c>
      <c r="O316" t="n">
        <v>0</v>
      </c>
      <c r="P316" t="n">
        <v>0</v>
      </c>
      <c r="Q316" t="n">
        <v>0</v>
      </c>
      <c r="R316" s="2" t="inlineStr"/>
    </row>
    <row r="317" ht="15" customHeight="1">
      <c r="A317" t="inlineStr">
        <is>
          <t>A 21390-2024</t>
        </is>
      </c>
      <c r="B317" s="1" t="n">
        <v>45441.30899305556</v>
      </c>
      <c r="C317" s="1" t="n">
        <v>45990</v>
      </c>
      <c r="D317" t="inlineStr">
        <is>
          <t>ÖREBRO LÄN</t>
        </is>
      </c>
      <c r="E317" t="inlineStr">
        <is>
          <t>LINDESBERG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21392-2024</t>
        </is>
      </c>
      <c r="B318" s="1" t="n">
        <v>45441.30998842593</v>
      </c>
      <c r="C318" s="1" t="n">
        <v>45990</v>
      </c>
      <c r="D318" t="inlineStr">
        <is>
          <t>ÖREBRO LÄN</t>
        </is>
      </c>
      <c r="E318" t="inlineStr">
        <is>
          <t>LINDESBERG</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9966-2023</t>
        </is>
      </c>
      <c r="B319" s="1" t="n">
        <v>44979</v>
      </c>
      <c r="C319" s="1" t="n">
        <v>45990</v>
      </c>
      <c r="D319" t="inlineStr">
        <is>
          <t>ÖREBRO LÄN</t>
        </is>
      </c>
      <c r="E319" t="inlineStr">
        <is>
          <t>LINDESBERG</t>
        </is>
      </c>
      <c r="G319" t="n">
        <v>4.1</v>
      </c>
      <c r="H319" t="n">
        <v>0</v>
      </c>
      <c r="I319" t="n">
        <v>0</v>
      </c>
      <c r="J319" t="n">
        <v>0</v>
      </c>
      <c r="K319" t="n">
        <v>0</v>
      </c>
      <c r="L319" t="n">
        <v>0</v>
      </c>
      <c r="M319" t="n">
        <v>0</v>
      </c>
      <c r="N319" t="n">
        <v>0</v>
      </c>
      <c r="O319" t="n">
        <v>0</v>
      </c>
      <c r="P319" t="n">
        <v>0</v>
      </c>
      <c r="Q319" t="n">
        <v>0</v>
      </c>
      <c r="R319" s="2" t="inlineStr"/>
    </row>
    <row r="320" ht="15" customHeight="1">
      <c r="A320" t="inlineStr">
        <is>
          <t>A 40347-2025</t>
        </is>
      </c>
      <c r="B320" s="1" t="n">
        <v>45895.4790625</v>
      </c>
      <c r="C320" s="1" t="n">
        <v>45990</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40346-2025</t>
        </is>
      </c>
      <c r="B321" s="1" t="n">
        <v>45895.47704861111</v>
      </c>
      <c r="C321" s="1" t="n">
        <v>45990</v>
      </c>
      <c r="D321" t="inlineStr">
        <is>
          <t>ÖREBRO LÄN</t>
        </is>
      </c>
      <c r="E321" t="inlineStr">
        <is>
          <t>LINDESBERG</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40351-2025</t>
        </is>
      </c>
      <c r="B322" s="1" t="n">
        <v>45895.48394675926</v>
      </c>
      <c r="C322" s="1" t="n">
        <v>45990</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40366-2025</t>
        </is>
      </c>
      <c r="B323" s="1" t="n">
        <v>45895.49994212963</v>
      </c>
      <c r="C323" s="1" t="n">
        <v>45990</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60941-2024</t>
        </is>
      </c>
      <c r="B324" s="1" t="n">
        <v>45645.3712037037</v>
      </c>
      <c r="C324" s="1" t="n">
        <v>45990</v>
      </c>
      <c r="D324" t="inlineStr">
        <is>
          <t>ÖREBRO LÄN</t>
        </is>
      </c>
      <c r="E324" t="inlineStr">
        <is>
          <t>LINDESBERG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37604-2025</t>
        </is>
      </c>
      <c r="B325" s="1" t="n">
        <v>45880</v>
      </c>
      <c r="C325" s="1" t="n">
        <v>45990</v>
      </c>
      <c r="D325" t="inlineStr">
        <is>
          <t>ÖREBRO LÄN</t>
        </is>
      </c>
      <c r="E325" t="inlineStr">
        <is>
          <t>LINDESBERG</t>
        </is>
      </c>
      <c r="G325" t="n">
        <v>6.3</v>
      </c>
      <c r="H325" t="n">
        <v>0</v>
      </c>
      <c r="I325" t="n">
        <v>0</v>
      </c>
      <c r="J325" t="n">
        <v>0</v>
      </c>
      <c r="K325" t="n">
        <v>0</v>
      </c>
      <c r="L325" t="n">
        <v>0</v>
      </c>
      <c r="M325" t="n">
        <v>0</v>
      </c>
      <c r="N325" t="n">
        <v>0</v>
      </c>
      <c r="O325" t="n">
        <v>0</v>
      </c>
      <c r="P325" t="n">
        <v>0</v>
      </c>
      <c r="Q325" t="n">
        <v>0</v>
      </c>
      <c r="R325" s="2" t="inlineStr"/>
    </row>
    <row r="326" ht="15" customHeight="1">
      <c r="A326" t="inlineStr">
        <is>
          <t>A 17823-2021</t>
        </is>
      </c>
      <c r="B326" s="1" t="n">
        <v>44300</v>
      </c>
      <c r="C326" s="1" t="n">
        <v>45990</v>
      </c>
      <c r="D326" t="inlineStr">
        <is>
          <t>ÖREBRO LÄN</t>
        </is>
      </c>
      <c r="E326" t="inlineStr">
        <is>
          <t>LINDESBERG</t>
        </is>
      </c>
      <c r="G326" t="n">
        <v>3.9</v>
      </c>
      <c r="H326" t="n">
        <v>0</v>
      </c>
      <c r="I326" t="n">
        <v>0</v>
      </c>
      <c r="J326" t="n">
        <v>0</v>
      </c>
      <c r="K326" t="n">
        <v>0</v>
      </c>
      <c r="L326" t="n">
        <v>0</v>
      </c>
      <c r="M326" t="n">
        <v>0</v>
      </c>
      <c r="N326" t="n">
        <v>0</v>
      </c>
      <c r="O326" t="n">
        <v>0</v>
      </c>
      <c r="P326" t="n">
        <v>0</v>
      </c>
      <c r="Q326" t="n">
        <v>0</v>
      </c>
      <c r="R326" s="2" t="inlineStr"/>
    </row>
    <row r="327" ht="15" customHeight="1">
      <c r="A327" t="inlineStr">
        <is>
          <t>A 40357-2025</t>
        </is>
      </c>
      <c r="B327" s="1" t="n">
        <v>45895.48927083334</v>
      </c>
      <c r="C327" s="1" t="n">
        <v>45990</v>
      </c>
      <c r="D327" t="inlineStr">
        <is>
          <t>ÖREBRO LÄN</t>
        </is>
      </c>
      <c r="E327" t="inlineStr">
        <is>
          <t>LINDESBERG</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56507-2021</t>
        </is>
      </c>
      <c r="B328" s="1" t="n">
        <v>44480.58034722223</v>
      </c>
      <c r="C328" s="1" t="n">
        <v>45990</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27296-2025</t>
        </is>
      </c>
      <c r="B329" s="1" t="n">
        <v>45812.56952546296</v>
      </c>
      <c r="C329" s="1" t="n">
        <v>45990</v>
      </c>
      <c r="D329" t="inlineStr">
        <is>
          <t>ÖREBRO LÄN</t>
        </is>
      </c>
      <c r="E329" t="inlineStr">
        <is>
          <t>LINDESBERG</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27300-2025</t>
        </is>
      </c>
      <c r="B330" s="1" t="n">
        <v>45812.57143518519</v>
      </c>
      <c r="C330" s="1" t="n">
        <v>45990</v>
      </c>
      <c r="D330" t="inlineStr">
        <is>
          <t>ÖREBRO LÄN</t>
        </is>
      </c>
      <c r="E330" t="inlineStr">
        <is>
          <t>LINDESBERG</t>
        </is>
      </c>
      <c r="F330" t="inlineStr">
        <is>
          <t>Sveaskog</t>
        </is>
      </c>
      <c r="G330" t="n">
        <v>19.7</v>
      </c>
      <c r="H330" t="n">
        <v>0</v>
      </c>
      <c r="I330" t="n">
        <v>0</v>
      </c>
      <c r="J330" t="n">
        <v>0</v>
      </c>
      <c r="K330" t="n">
        <v>0</v>
      </c>
      <c r="L330" t="n">
        <v>0</v>
      </c>
      <c r="M330" t="n">
        <v>0</v>
      </c>
      <c r="N330" t="n">
        <v>0</v>
      </c>
      <c r="O330" t="n">
        <v>0</v>
      </c>
      <c r="P330" t="n">
        <v>0</v>
      </c>
      <c r="Q330" t="n">
        <v>0</v>
      </c>
      <c r="R330" s="2" t="inlineStr"/>
    </row>
    <row r="331" ht="15" customHeight="1">
      <c r="A331" t="inlineStr">
        <is>
          <t>A 27309-2025</t>
        </is>
      </c>
      <c r="B331" s="1" t="n">
        <v>45812.57452546297</v>
      </c>
      <c r="C331" s="1" t="n">
        <v>45990</v>
      </c>
      <c r="D331" t="inlineStr">
        <is>
          <t>ÖREBRO LÄN</t>
        </is>
      </c>
      <c r="E331" t="inlineStr">
        <is>
          <t>LINDESBERG</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27311-2025</t>
        </is>
      </c>
      <c r="B332" s="1" t="n">
        <v>45812.57604166667</v>
      </c>
      <c r="C332" s="1" t="n">
        <v>45990</v>
      </c>
      <c r="D332" t="inlineStr">
        <is>
          <t>ÖREBRO LÄN</t>
        </is>
      </c>
      <c r="E332" t="inlineStr">
        <is>
          <t>LINDESBERG</t>
        </is>
      </c>
      <c r="F332" t="inlineStr">
        <is>
          <t>Sveaskog</t>
        </is>
      </c>
      <c r="G332" t="n">
        <v>4.8</v>
      </c>
      <c r="H332" t="n">
        <v>0</v>
      </c>
      <c r="I332" t="n">
        <v>0</v>
      </c>
      <c r="J332" t="n">
        <v>0</v>
      </c>
      <c r="K332" t="n">
        <v>0</v>
      </c>
      <c r="L332" t="n">
        <v>0</v>
      </c>
      <c r="M332" t="n">
        <v>0</v>
      </c>
      <c r="N332" t="n">
        <v>0</v>
      </c>
      <c r="O332" t="n">
        <v>0</v>
      </c>
      <c r="P332" t="n">
        <v>0</v>
      </c>
      <c r="Q332" t="n">
        <v>0</v>
      </c>
      <c r="R332" s="2" t="inlineStr"/>
    </row>
    <row r="333" ht="15" customHeight="1">
      <c r="A333" t="inlineStr">
        <is>
          <t>A 47069-2023</t>
        </is>
      </c>
      <c r="B333" s="1" t="n">
        <v>45201</v>
      </c>
      <c r="C333" s="1" t="n">
        <v>45990</v>
      </c>
      <c r="D333" t="inlineStr">
        <is>
          <t>ÖREBRO LÄN</t>
        </is>
      </c>
      <c r="E333" t="inlineStr">
        <is>
          <t>LINDESBERG</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47074-2023</t>
        </is>
      </c>
      <c r="B334" s="1" t="n">
        <v>45201.60283564815</v>
      </c>
      <c r="C334" s="1" t="n">
        <v>45990</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45990</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45990</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45990</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41027-2025</t>
        </is>
      </c>
      <c r="B338" s="1" t="n">
        <v>45898.37138888889</v>
      </c>
      <c r="C338" s="1" t="n">
        <v>45990</v>
      </c>
      <c r="D338" t="inlineStr">
        <is>
          <t>ÖREBRO LÄN</t>
        </is>
      </c>
      <c r="E338" t="inlineStr">
        <is>
          <t>LINDESBERG</t>
        </is>
      </c>
      <c r="G338" t="n">
        <v>4.7</v>
      </c>
      <c r="H338" t="n">
        <v>0</v>
      </c>
      <c r="I338" t="n">
        <v>0</v>
      </c>
      <c r="J338" t="n">
        <v>0</v>
      </c>
      <c r="K338" t="n">
        <v>0</v>
      </c>
      <c r="L338" t="n">
        <v>0</v>
      </c>
      <c r="M338" t="n">
        <v>0</v>
      </c>
      <c r="N338" t="n">
        <v>0</v>
      </c>
      <c r="O338" t="n">
        <v>0</v>
      </c>
      <c r="P338" t="n">
        <v>0</v>
      </c>
      <c r="Q338" t="n">
        <v>0</v>
      </c>
      <c r="R338" s="2" t="inlineStr"/>
    </row>
    <row r="339" ht="15" customHeight="1">
      <c r="A339" t="inlineStr">
        <is>
          <t>A 28040-2025</t>
        </is>
      </c>
      <c r="B339" s="1" t="n">
        <v>45817.6455324074</v>
      </c>
      <c r="C339" s="1" t="n">
        <v>45990</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38696-2024</t>
        </is>
      </c>
      <c r="B340" s="1" t="n">
        <v>45547.36590277778</v>
      </c>
      <c r="C340" s="1" t="n">
        <v>45990</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19219-2023</t>
        </is>
      </c>
      <c r="B341" s="1" t="n">
        <v>45048</v>
      </c>
      <c r="C341" s="1" t="n">
        <v>45990</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1742-2022</t>
        </is>
      </c>
      <c r="B342" s="1" t="n">
        <v>44574.50425925926</v>
      </c>
      <c r="C342" s="1" t="n">
        <v>45990</v>
      </c>
      <c r="D342" t="inlineStr">
        <is>
          <t>ÖREBRO LÄN</t>
        </is>
      </c>
      <c r="E342" t="inlineStr">
        <is>
          <t>LINDESBERG</t>
        </is>
      </c>
      <c r="G342" t="n">
        <v>0.9</v>
      </c>
      <c r="H342" t="n">
        <v>0</v>
      </c>
      <c r="I342" t="n">
        <v>0</v>
      </c>
      <c r="J342" t="n">
        <v>0</v>
      </c>
      <c r="K342" t="n">
        <v>0</v>
      </c>
      <c r="L342" t="n">
        <v>0</v>
      </c>
      <c r="M342" t="n">
        <v>0</v>
      </c>
      <c r="N342" t="n">
        <v>0</v>
      </c>
      <c r="O342" t="n">
        <v>0</v>
      </c>
      <c r="P342" t="n">
        <v>0</v>
      </c>
      <c r="Q342" t="n">
        <v>0</v>
      </c>
      <c r="R342" s="2" t="inlineStr"/>
    </row>
    <row r="343" ht="15" customHeight="1">
      <c r="A343" t="inlineStr">
        <is>
          <t>A 52928-2024</t>
        </is>
      </c>
      <c r="B343" s="1" t="n">
        <v>45610</v>
      </c>
      <c r="C343" s="1" t="n">
        <v>45990</v>
      </c>
      <c r="D343" t="inlineStr">
        <is>
          <t>ÖREBRO LÄN</t>
        </is>
      </c>
      <c r="E343" t="inlineStr">
        <is>
          <t>LINDESBERG</t>
        </is>
      </c>
      <c r="G343" t="n">
        <v>8.6</v>
      </c>
      <c r="H343" t="n">
        <v>0</v>
      </c>
      <c r="I343" t="n">
        <v>0</v>
      </c>
      <c r="J343" t="n">
        <v>0</v>
      </c>
      <c r="K343" t="n">
        <v>0</v>
      </c>
      <c r="L343" t="n">
        <v>0</v>
      </c>
      <c r="M343" t="n">
        <v>0</v>
      </c>
      <c r="N343" t="n">
        <v>0</v>
      </c>
      <c r="O343" t="n">
        <v>0</v>
      </c>
      <c r="P343" t="n">
        <v>0</v>
      </c>
      <c r="Q343" t="n">
        <v>0</v>
      </c>
      <c r="R343" s="2" t="inlineStr"/>
    </row>
    <row r="344" ht="15" customHeight="1">
      <c r="A344" t="inlineStr">
        <is>
          <t>A 73500-2021</t>
        </is>
      </c>
      <c r="B344" s="1" t="n">
        <v>44551</v>
      </c>
      <c r="C344" s="1" t="n">
        <v>45990</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41889-2025</t>
        </is>
      </c>
      <c r="B345" s="1" t="n">
        <v>45903.37475694445</v>
      </c>
      <c r="C345" s="1" t="n">
        <v>45990</v>
      </c>
      <c r="D345" t="inlineStr">
        <is>
          <t>ÖREBRO LÄN</t>
        </is>
      </c>
      <c r="E345" t="inlineStr">
        <is>
          <t>LINDESBERG</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16864-2022</t>
        </is>
      </c>
      <c r="B346" s="1" t="n">
        <v>44675</v>
      </c>
      <c r="C346" s="1" t="n">
        <v>45990</v>
      </c>
      <c r="D346" t="inlineStr">
        <is>
          <t>ÖREBRO LÄN</t>
        </is>
      </c>
      <c r="E346" t="inlineStr">
        <is>
          <t>LINDESBERG</t>
        </is>
      </c>
      <c r="F346" t="inlineStr">
        <is>
          <t>Kyrkan</t>
        </is>
      </c>
      <c r="G346" t="n">
        <v>1.7</v>
      </c>
      <c r="H346" t="n">
        <v>0</v>
      </c>
      <c r="I346" t="n">
        <v>0</v>
      </c>
      <c r="J346" t="n">
        <v>0</v>
      </c>
      <c r="K346" t="n">
        <v>0</v>
      </c>
      <c r="L346" t="n">
        <v>0</v>
      </c>
      <c r="M346" t="n">
        <v>0</v>
      </c>
      <c r="N346" t="n">
        <v>0</v>
      </c>
      <c r="O346" t="n">
        <v>0</v>
      </c>
      <c r="P346" t="n">
        <v>0</v>
      </c>
      <c r="Q346" t="n">
        <v>0</v>
      </c>
      <c r="R346" s="2" t="inlineStr"/>
    </row>
    <row r="347" ht="15" customHeight="1">
      <c r="A347" t="inlineStr">
        <is>
          <t>A 28877-2025</t>
        </is>
      </c>
      <c r="B347" s="1" t="n">
        <v>45820.61684027778</v>
      </c>
      <c r="C347" s="1" t="n">
        <v>45990</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28991-2025</t>
        </is>
      </c>
      <c r="B348" s="1" t="n">
        <v>45821.37199074074</v>
      </c>
      <c r="C348" s="1" t="n">
        <v>45990</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41653-2025</t>
        </is>
      </c>
      <c r="B349" s="1" t="n">
        <v>45902.3406712963</v>
      </c>
      <c r="C349" s="1" t="n">
        <v>45990</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29049-2025</t>
        </is>
      </c>
      <c r="B350" s="1" t="n">
        <v>45821.46135416667</v>
      </c>
      <c r="C350" s="1" t="n">
        <v>45990</v>
      </c>
      <c r="D350" t="inlineStr">
        <is>
          <t>ÖREBRO LÄN</t>
        </is>
      </c>
      <c r="E350" t="inlineStr">
        <is>
          <t>LINDESBERG</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29051-2025</t>
        </is>
      </c>
      <c r="B351" s="1" t="n">
        <v>45821.46486111111</v>
      </c>
      <c r="C351" s="1" t="n">
        <v>45990</v>
      </c>
      <c r="D351" t="inlineStr">
        <is>
          <t>ÖREBRO LÄN</t>
        </is>
      </c>
      <c r="E351" t="inlineStr">
        <is>
          <t>LINDESBERG</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29037-2025</t>
        </is>
      </c>
      <c r="B352" s="1" t="n">
        <v>45821.44521990741</v>
      </c>
      <c r="C352" s="1" t="n">
        <v>45990</v>
      </c>
      <c r="D352" t="inlineStr">
        <is>
          <t>ÖREBRO LÄN</t>
        </is>
      </c>
      <c r="E352" t="inlineStr">
        <is>
          <t>LINDESBERG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30341-2025</t>
        </is>
      </c>
      <c r="B353" s="1" t="n">
        <v>45827.51862268519</v>
      </c>
      <c r="C353" s="1" t="n">
        <v>45990</v>
      </c>
      <c r="D353" t="inlineStr">
        <is>
          <t>ÖREBRO LÄN</t>
        </is>
      </c>
      <c r="E353" t="inlineStr">
        <is>
          <t>LINDESBERG</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30000-2025</t>
        </is>
      </c>
      <c r="B354" s="1" t="n">
        <v>45826.52024305556</v>
      </c>
      <c r="C354" s="1" t="n">
        <v>45990</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11953-2024</t>
        </is>
      </c>
      <c r="B355" s="1" t="n">
        <v>45376.70292824074</v>
      </c>
      <c r="C355" s="1" t="n">
        <v>45990</v>
      </c>
      <c r="D355" t="inlineStr">
        <is>
          <t>ÖREBRO LÄN</t>
        </is>
      </c>
      <c r="E355" t="inlineStr">
        <is>
          <t>LINDESBERG</t>
        </is>
      </c>
      <c r="G355" t="n">
        <v>5.7</v>
      </c>
      <c r="H355" t="n">
        <v>0</v>
      </c>
      <c r="I355" t="n">
        <v>0</v>
      </c>
      <c r="J355" t="n">
        <v>0</v>
      </c>
      <c r="K355" t="n">
        <v>0</v>
      </c>
      <c r="L355" t="n">
        <v>0</v>
      </c>
      <c r="M355" t="n">
        <v>0</v>
      </c>
      <c r="N355" t="n">
        <v>0</v>
      </c>
      <c r="O355" t="n">
        <v>0</v>
      </c>
      <c r="P355" t="n">
        <v>0</v>
      </c>
      <c r="Q355" t="n">
        <v>0</v>
      </c>
      <c r="R355" s="2" t="inlineStr"/>
    </row>
    <row r="356" ht="15" customHeight="1">
      <c r="A356" t="inlineStr">
        <is>
          <t>A 50170-2022</t>
        </is>
      </c>
      <c r="B356" s="1" t="n">
        <v>44865.600625</v>
      </c>
      <c r="C356" s="1" t="n">
        <v>45990</v>
      </c>
      <c r="D356" t="inlineStr">
        <is>
          <t>ÖREBRO LÄN</t>
        </is>
      </c>
      <c r="E356" t="inlineStr">
        <is>
          <t>LINDESBERG</t>
        </is>
      </c>
      <c r="G356" t="n">
        <v>2.1</v>
      </c>
      <c r="H356" t="n">
        <v>0</v>
      </c>
      <c r="I356" t="n">
        <v>0</v>
      </c>
      <c r="J356" t="n">
        <v>0</v>
      </c>
      <c r="K356" t="n">
        <v>0</v>
      </c>
      <c r="L356" t="n">
        <v>0</v>
      </c>
      <c r="M356" t="n">
        <v>0</v>
      </c>
      <c r="N356" t="n">
        <v>0</v>
      </c>
      <c r="O356" t="n">
        <v>0</v>
      </c>
      <c r="P356" t="n">
        <v>0</v>
      </c>
      <c r="Q356" t="n">
        <v>0</v>
      </c>
      <c r="R356" s="2" t="inlineStr"/>
    </row>
    <row r="357" ht="15" customHeight="1">
      <c r="A357" t="inlineStr">
        <is>
          <t>A 30381-2025</t>
        </is>
      </c>
      <c r="B357" s="1" t="n">
        <v>45827.56939814815</v>
      </c>
      <c r="C357" s="1" t="n">
        <v>45990</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42630-2025</t>
        </is>
      </c>
      <c r="B358" s="1" t="n">
        <v>45905.89143518519</v>
      </c>
      <c r="C358" s="1" t="n">
        <v>45990</v>
      </c>
      <c r="D358" t="inlineStr">
        <is>
          <t>ÖREBRO LÄN</t>
        </is>
      </c>
      <c r="E358" t="inlineStr">
        <is>
          <t>LINDESBERG</t>
        </is>
      </c>
      <c r="F358" t="inlineStr">
        <is>
          <t>Sveaskog</t>
        </is>
      </c>
      <c r="G358" t="n">
        <v>9.9</v>
      </c>
      <c r="H358" t="n">
        <v>0</v>
      </c>
      <c r="I358" t="n">
        <v>0</v>
      </c>
      <c r="J358" t="n">
        <v>0</v>
      </c>
      <c r="K358" t="n">
        <v>0</v>
      </c>
      <c r="L358" t="n">
        <v>0</v>
      </c>
      <c r="M358" t="n">
        <v>0</v>
      </c>
      <c r="N358" t="n">
        <v>0</v>
      </c>
      <c r="O358" t="n">
        <v>0</v>
      </c>
      <c r="P358" t="n">
        <v>0</v>
      </c>
      <c r="Q358" t="n">
        <v>0</v>
      </c>
      <c r="R358" s="2" t="inlineStr"/>
    </row>
    <row r="359" ht="15" customHeight="1">
      <c r="A359" t="inlineStr">
        <is>
          <t>A 28469-2023</t>
        </is>
      </c>
      <c r="B359" s="1" t="n">
        <v>45103</v>
      </c>
      <c r="C359" s="1" t="n">
        <v>45990</v>
      </c>
      <c r="D359" t="inlineStr">
        <is>
          <t>ÖREBRO LÄN</t>
        </is>
      </c>
      <c r="E359" t="inlineStr">
        <is>
          <t>LINDESBERG</t>
        </is>
      </c>
      <c r="G359" t="n">
        <v>0.3</v>
      </c>
      <c r="H359" t="n">
        <v>0</v>
      </c>
      <c r="I359" t="n">
        <v>0</v>
      </c>
      <c r="J359" t="n">
        <v>0</v>
      </c>
      <c r="K359" t="n">
        <v>0</v>
      </c>
      <c r="L359" t="n">
        <v>0</v>
      </c>
      <c r="M359" t="n">
        <v>0</v>
      </c>
      <c r="N359" t="n">
        <v>0</v>
      </c>
      <c r="O359" t="n">
        <v>0</v>
      </c>
      <c r="P359" t="n">
        <v>0</v>
      </c>
      <c r="Q359" t="n">
        <v>0</v>
      </c>
      <c r="R359" s="2" t="inlineStr"/>
    </row>
    <row r="360" ht="15" customHeight="1">
      <c r="A360" t="inlineStr">
        <is>
          <t>A 30340-2025</t>
        </is>
      </c>
      <c r="B360" s="1" t="n">
        <v>45827.51753472222</v>
      </c>
      <c r="C360" s="1" t="n">
        <v>45990</v>
      </c>
      <c r="D360" t="inlineStr">
        <is>
          <t>ÖREBRO LÄN</t>
        </is>
      </c>
      <c r="E360" t="inlineStr">
        <is>
          <t>LINDESBERG</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30342-2025</t>
        </is>
      </c>
      <c r="B361" s="1" t="n">
        <v>45827.51956018519</v>
      </c>
      <c r="C361" s="1" t="n">
        <v>45990</v>
      </c>
      <c r="D361" t="inlineStr">
        <is>
          <t>ÖREBRO LÄN</t>
        </is>
      </c>
      <c r="E361" t="inlineStr">
        <is>
          <t>LINDESBERG</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42631-2025</t>
        </is>
      </c>
      <c r="B362" s="1" t="n">
        <v>45905.89236111111</v>
      </c>
      <c r="C362" s="1" t="n">
        <v>45990</v>
      </c>
      <c r="D362" t="inlineStr">
        <is>
          <t>ÖREBRO LÄN</t>
        </is>
      </c>
      <c r="E362" t="inlineStr">
        <is>
          <t>LINDESBERG</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72706-2021</t>
        </is>
      </c>
      <c r="B363" s="1" t="n">
        <v>44546.67222222222</v>
      </c>
      <c r="C363" s="1" t="n">
        <v>45990</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30339-2025</t>
        </is>
      </c>
      <c r="B364" s="1" t="n">
        <v>45827.51628472222</v>
      </c>
      <c r="C364" s="1" t="n">
        <v>45990</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45481-2023</t>
        </is>
      </c>
      <c r="B365" s="1" t="n">
        <v>45194</v>
      </c>
      <c r="C365" s="1" t="n">
        <v>45990</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59766-2022</t>
        </is>
      </c>
      <c r="B366" s="1" t="n">
        <v>44908.49152777778</v>
      </c>
      <c r="C366" s="1" t="n">
        <v>45990</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27013-2024</t>
        </is>
      </c>
      <c r="B367" s="1" t="n">
        <v>45471.40384259259</v>
      </c>
      <c r="C367" s="1" t="n">
        <v>45990</v>
      </c>
      <c r="D367" t="inlineStr">
        <is>
          <t>ÖREBRO LÄN</t>
        </is>
      </c>
      <c r="E367" t="inlineStr">
        <is>
          <t>LINDESBERG</t>
        </is>
      </c>
      <c r="G367" t="n">
        <v>5.2</v>
      </c>
      <c r="H367" t="n">
        <v>0</v>
      </c>
      <c r="I367" t="n">
        <v>0</v>
      </c>
      <c r="J367" t="n">
        <v>0</v>
      </c>
      <c r="K367" t="n">
        <v>0</v>
      </c>
      <c r="L367" t="n">
        <v>0</v>
      </c>
      <c r="M367" t="n">
        <v>0</v>
      </c>
      <c r="N367" t="n">
        <v>0</v>
      </c>
      <c r="O367" t="n">
        <v>0</v>
      </c>
      <c r="P367" t="n">
        <v>0</v>
      </c>
      <c r="Q367" t="n">
        <v>0</v>
      </c>
      <c r="R367" s="2" t="inlineStr"/>
    </row>
    <row r="368" ht="15" customHeight="1">
      <c r="A368" t="inlineStr">
        <is>
          <t>A 34029-2024</t>
        </is>
      </c>
      <c r="B368" s="1" t="n">
        <v>45523</v>
      </c>
      <c r="C368" s="1" t="n">
        <v>45990</v>
      </c>
      <c r="D368" t="inlineStr">
        <is>
          <t>ÖREBRO LÄN</t>
        </is>
      </c>
      <c r="E368" t="inlineStr">
        <is>
          <t>LINDESBERG</t>
        </is>
      </c>
      <c r="G368" t="n">
        <v>1.9</v>
      </c>
      <c r="H368" t="n">
        <v>0</v>
      </c>
      <c r="I368" t="n">
        <v>0</v>
      </c>
      <c r="J368" t="n">
        <v>0</v>
      </c>
      <c r="K368" t="n">
        <v>0</v>
      </c>
      <c r="L368" t="n">
        <v>0</v>
      </c>
      <c r="M368" t="n">
        <v>0</v>
      </c>
      <c r="N368" t="n">
        <v>0</v>
      </c>
      <c r="O368" t="n">
        <v>0</v>
      </c>
      <c r="P368" t="n">
        <v>0</v>
      </c>
      <c r="Q368" t="n">
        <v>0</v>
      </c>
      <c r="R368" s="2" t="inlineStr"/>
    </row>
    <row r="369" ht="15" customHeight="1">
      <c r="A369" t="inlineStr">
        <is>
          <t>A 7990-2025</t>
        </is>
      </c>
      <c r="B369" s="1" t="n">
        <v>45707</v>
      </c>
      <c r="C369" s="1" t="n">
        <v>45990</v>
      </c>
      <c r="D369" t="inlineStr">
        <is>
          <t>ÖREBRO LÄN</t>
        </is>
      </c>
      <c r="E369" t="inlineStr">
        <is>
          <t>LINDESBERG</t>
        </is>
      </c>
      <c r="G369" t="n">
        <v>4.4</v>
      </c>
      <c r="H369" t="n">
        <v>0</v>
      </c>
      <c r="I369" t="n">
        <v>0</v>
      </c>
      <c r="J369" t="n">
        <v>0</v>
      </c>
      <c r="K369" t="n">
        <v>0</v>
      </c>
      <c r="L369" t="n">
        <v>0</v>
      </c>
      <c r="M369" t="n">
        <v>0</v>
      </c>
      <c r="N369" t="n">
        <v>0</v>
      </c>
      <c r="O369" t="n">
        <v>0</v>
      </c>
      <c r="P369" t="n">
        <v>0</v>
      </c>
      <c r="Q369" t="n">
        <v>0</v>
      </c>
      <c r="R369" s="2" t="inlineStr"/>
    </row>
    <row r="370" ht="15" customHeight="1">
      <c r="A370" t="inlineStr">
        <is>
          <t>A 27134-2024</t>
        </is>
      </c>
      <c r="B370" s="1" t="n">
        <v>45471.52878472222</v>
      </c>
      <c r="C370" s="1" t="n">
        <v>45990</v>
      </c>
      <c r="D370" t="inlineStr">
        <is>
          <t>ÖREBRO LÄN</t>
        </is>
      </c>
      <c r="E370" t="inlineStr">
        <is>
          <t>LINDESBERG</t>
        </is>
      </c>
      <c r="G370" t="n">
        <v>0.7</v>
      </c>
      <c r="H370" t="n">
        <v>0</v>
      </c>
      <c r="I370" t="n">
        <v>0</v>
      </c>
      <c r="J370" t="n">
        <v>0</v>
      </c>
      <c r="K370" t="n">
        <v>0</v>
      </c>
      <c r="L370" t="n">
        <v>0</v>
      </c>
      <c r="M370" t="n">
        <v>0</v>
      </c>
      <c r="N370" t="n">
        <v>0</v>
      </c>
      <c r="O370" t="n">
        <v>0</v>
      </c>
      <c r="P370" t="n">
        <v>0</v>
      </c>
      <c r="Q370" t="n">
        <v>0</v>
      </c>
      <c r="R370" s="2" t="inlineStr"/>
    </row>
    <row r="371" ht="15" customHeight="1">
      <c r="A371" t="inlineStr">
        <is>
          <t>A 36121-2023</t>
        </is>
      </c>
      <c r="B371" s="1" t="n">
        <v>45148</v>
      </c>
      <c r="C371" s="1" t="n">
        <v>45990</v>
      </c>
      <c r="D371" t="inlineStr">
        <is>
          <t>ÖREBRO LÄN</t>
        </is>
      </c>
      <c r="E371" t="inlineStr">
        <is>
          <t>LINDESBERG</t>
        </is>
      </c>
      <c r="G371" t="n">
        <v>7.1</v>
      </c>
      <c r="H371" t="n">
        <v>0</v>
      </c>
      <c r="I371" t="n">
        <v>0</v>
      </c>
      <c r="J371" t="n">
        <v>0</v>
      </c>
      <c r="K371" t="n">
        <v>0</v>
      </c>
      <c r="L371" t="n">
        <v>0</v>
      </c>
      <c r="M371" t="n">
        <v>0</v>
      </c>
      <c r="N371" t="n">
        <v>0</v>
      </c>
      <c r="O371" t="n">
        <v>0</v>
      </c>
      <c r="P371" t="n">
        <v>0</v>
      </c>
      <c r="Q371" t="n">
        <v>0</v>
      </c>
      <c r="R371" s="2" t="inlineStr"/>
    </row>
    <row r="372" ht="15" customHeight="1">
      <c r="A372" t="inlineStr">
        <is>
          <t>A 31220-2025</t>
        </is>
      </c>
      <c r="B372" s="1" t="n">
        <v>45832.76100694444</v>
      </c>
      <c r="C372" s="1" t="n">
        <v>45990</v>
      </c>
      <c r="D372" t="inlineStr">
        <is>
          <t>ÖREBRO LÄN</t>
        </is>
      </c>
      <c r="E372" t="inlineStr">
        <is>
          <t>LINDESBERG</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31221-2025</t>
        </is>
      </c>
      <c r="B373" s="1" t="n">
        <v>45832.76491898148</v>
      </c>
      <c r="C373" s="1" t="n">
        <v>45990</v>
      </c>
      <c r="D373" t="inlineStr">
        <is>
          <t>ÖREBRO LÄN</t>
        </is>
      </c>
      <c r="E373" t="inlineStr">
        <is>
          <t>LINDESBERG</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42632-2025</t>
        </is>
      </c>
      <c r="B374" s="1" t="n">
        <v>45905.89329861111</v>
      </c>
      <c r="C374" s="1" t="n">
        <v>45990</v>
      </c>
      <c r="D374" t="inlineStr">
        <is>
          <t>ÖREBRO LÄN</t>
        </is>
      </c>
      <c r="E374" t="inlineStr">
        <is>
          <t>LINDESBERG</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36280-2023</t>
        </is>
      </c>
      <c r="B375" s="1" t="n">
        <v>45152.34586805556</v>
      </c>
      <c r="C375" s="1" t="n">
        <v>45990</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31000-2025</t>
        </is>
      </c>
      <c r="B376" s="1" t="n">
        <v>45832.49325231482</v>
      </c>
      <c r="C376" s="1" t="n">
        <v>45990</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31018-2025</t>
        </is>
      </c>
      <c r="B377" s="1" t="n">
        <v>45832.51255787037</v>
      </c>
      <c r="C377" s="1" t="n">
        <v>45990</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31049-2025</t>
        </is>
      </c>
      <c r="B378" s="1" t="n">
        <v>45832.55810185185</v>
      </c>
      <c r="C378" s="1" t="n">
        <v>45990</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31213-2025</t>
        </is>
      </c>
      <c r="B379" s="1" t="n">
        <v>45832.72778935185</v>
      </c>
      <c r="C379" s="1" t="n">
        <v>45990</v>
      </c>
      <c r="D379" t="inlineStr">
        <is>
          <t>ÖREBRO LÄN</t>
        </is>
      </c>
      <c r="E379" t="inlineStr">
        <is>
          <t>LINDESBERG</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31085-2025</t>
        </is>
      </c>
      <c r="B380" s="1" t="n">
        <v>45832.5902662037</v>
      </c>
      <c r="C380" s="1" t="n">
        <v>45990</v>
      </c>
      <c r="D380" t="inlineStr">
        <is>
          <t>ÖREBRO LÄN</t>
        </is>
      </c>
      <c r="E380" t="inlineStr">
        <is>
          <t>LINDESBERG</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31215-2025</t>
        </is>
      </c>
      <c r="B381" s="1" t="n">
        <v>45832.74418981482</v>
      </c>
      <c r="C381" s="1" t="n">
        <v>45990</v>
      </c>
      <c r="D381" t="inlineStr">
        <is>
          <t>ÖREBRO LÄN</t>
        </is>
      </c>
      <c r="E381" t="inlineStr">
        <is>
          <t>LINDESBERG</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44449-2023</t>
        </is>
      </c>
      <c r="B382" s="1" t="n">
        <v>45189.38135416667</v>
      </c>
      <c r="C382" s="1" t="n">
        <v>45990</v>
      </c>
      <c r="D382" t="inlineStr">
        <is>
          <t>ÖREBRO LÄN</t>
        </is>
      </c>
      <c r="E382" t="inlineStr">
        <is>
          <t>LINDESBERG</t>
        </is>
      </c>
      <c r="G382" t="n">
        <v>13.7</v>
      </c>
      <c r="H382" t="n">
        <v>0</v>
      </c>
      <c r="I382" t="n">
        <v>0</v>
      </c>
      <c r="J382" t="n">
        <v>0</v>
      </c>
      <c r="K382" t="n">
        <v>0</v>
      </c>
      <c r="L382" t="n">
        <v>0</v>
      </c>
      <c r="M382" t="n">
        <v>0</v>
      </c>
      <c r="N382" t="n">
        <v>0</v>
      </c>
      <c r="O382" t="n">
        <v>0</v>
      </c>
      <c r="P382" t="n">
        <v>0</v>
      </c>
      <c r="Q382" t="n">
        <v>0</v>
      </c>
      <c r="R382" s="2" t="inlineStr"/>
    </row>
    <row r="383" ht="15" customHeight="1">
      <c r="A383" t="inlineStr">
        <is>
          <t>A 31003-2025</t>
        </is>
      </c>
      <c r="B383" s="1" t="n">
        <v>45832.49579861111</v>
      </c>
      <c r="C383" s="1" t="n">
        <v>45990</v>
      </c>
      <c r="D383" t="inlineStr">
        <is>
          <t>ÖREBRO LÄN</t>
        </is>
      </c>
      <c r="E383" t="inlineStr">
        <is>
          <t>LINDESBERG</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31014-2025</t>
        </is>
      </c>
      <c r="B384" s="1" t="n">
        <v>45832.51028935185</v>
      </c>
      <c r="C384" s="1" t="n">
        <v>45990</v>
      </c>
      <c r="D384" t="inlineStr">
        <is>
          <t>ÖREBRO LÄN</t>
        </is>
      </c>
      <c r="E384" t="inlineStr">
        <is>
          <t>LINDESBERG</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37843-2025</t>
        </is>
      </c>
      <c r="B385" s="1" t="n">
        <v>45881.43759259259</v>
      </c>
      <c r="C385" s="1" t="n">
        <v>45990</v>
      </c>
      <c r="D385" t="inlineStr">
        <is>
          <t>ÖREBRO LÄN</t>
        </is>
      </c>
      <c r="E385" t="inlineStr">
        <is>
          <t>LINDESBERG</t>
        </is>
      </c>
      <c r="G385" t="n">
        <v>5.2</v>
      </c>
      <c r="H385" t="n">
        <v>0</v>
      </c>
      <c r="I385" t="n">
        <v>0</v>
      </c>
      <c r="J385" t="n">
        <v>0</v>
      </c>
      <c r="K385" t="n">
        <v>0</v>
      </c>
      <c r="L385" t="n">
        <v>0</v>
      </c>
      <c r="M385" t="n">
        <v>0</v>
      </c>
      <c r="N385" t="n">
        <v>0</v>
      </c>
      <c r="O385" t="n">
        <v>0</v>
      </c>
      <c r="P385" t="n">
        <v>0</v>
      </c>
      <c r="Q385" t="n">
        <v>0</v>
      </c>
      <c r="R385" s="2" t="inlineStr"/>
    </row>
    <row r="386" ht="15" customHeight="1">
      <c r="A386" t="inlineStr">
        <is>
          <t>A 2103-2022</t>
        </is>
      </c>
      <c r="B386" s="1" t="n">
        <v>44577.81121527778</v>
      </c>
      <c r="C386" s="1" t="n">
        <v>45990</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52102-2025</t>
        </is>
      </c>
      <c r="B387" s="1" t="n">
        <v>45952.68358796297</v>
      </c>
      <c r="C387" s="1" t="n">
        <v>45990</v>
      </c>
      <c r="D387" t="inlineStr">
        <is>
          <t>ÖREBRO LÄN</t>
        </is>
      </c>
      <c r="E387" t="inlineStr">
        <is>
          <t>LINDESBERG</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32284-2025</t>
        </is>
      </c>
      <c r="B388" s="1" t="n">
        <v>45835.68443287037</v>
      </c>
      <c r="C388" s="1" t="n">
        <v>45990</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45990</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33424-2024</t>
        </is>
      </c>
      <c r="B390" s="1" t="n">
        <v>45519.51627314815</v>
      </c>
      <c r="C390" s="1" t="n">
        <v>45990</v>
      </c>
      <c r="D390" t="inlineStr">
        <is>
          <t>ÖREBRO LÄN</t>
        </is>
      </c>
      <c r="E390" t="inlineStr">
        <is>
          <t>LINDESBERG</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51851-2025</t>
        </is>
      </c>
      <c r="B391" s="1" t="n">
        <v>45952.35611111111</v>
      </c>
      <c r="C391" s="1" t="n">
        <v>45990</v>
      </c>
      <c r="D391" t="inlineStr">
        <is>
          <t>ÖREBRO LÄN</t>
        </is>
      </c>
      <c r="E391" t="inlineStr">
        <is>
          <t>LINDESBERG</t>
        </is>
      </c>
      <c r="G391" t="n">
        <v>6.9</v>
      </c>
      <c r="H391" t="n">
        <v>0</v>
      </c>
      <c r="I391" t="n">
        <v>0</v>
      </c>
      <c r="J391" t="n">
        <v>0</v>
      </c>
      <c r="K391" t="n">
        <v>0</v>
      </c>
      <c r="L391" t="n">
        <v>0</v>
      </c>
      <c r="M391" t="n">
        <v>0</v>
      </c>
      <c r="N391" t="n">
        <v>0</v>
      </c>
      <c r="O391" t="n">
        <v>0</v>
      </c>
      <c r="P391" t="n">
        <v>0</v>
      </c>
      <c r="Q391" t="n">
        <v>0</v>
      </c>
      <c r="R391" s="2" t="inlineStr"/>
    </row>
    <row r="392" ht="15" customHeight="1">
      <c r="A392" t="inlineStr">
        <is>
          <t>A 57911-2022</t>
        </is>
      </c>
      <c r="B392" s="1" t="n">
        <v>44900.36149305556</v>
      </c>
      <c r="C392" s="1" t="n">
        <v>45990</v>
      </c>
      <c r="D392" t="inlineStr">
        <is>
          <t>ÖREBRO LÄN</t>
        </is>
      </c>
      <c r="E392" t="inlineStr">
        <is>
          <t>LINDESBERG</t>
        </is>
      </c>
      <c r="G392" t="n">
        <v>4.9</v>
      </c>
      <c r="H392" t="n">
        <v>0</v>
      </c>
      <c r="I392" t="n">
        <v>0</v>
      </c>
      <c r="J392" t="n">
        <v>0</v>
      </c>
      <c r="K392" t="n">
        <v>0</v>
      </c>
      <c r="L392" t="n">
        <v>0</v>
      </c>
      <c r="M392" t="n">
        <v>0</v>
      </c>
      <c r="N392" t="n">
        <v>0</v>
      </c>
      <c r="O392" t="n">
        <v>0</v>
      </c>
      <c r="P392" t="n">
        <v>0</v>
      </c>
      <c r="Q392" t="n">
        <v>0</v>
      </c>
      <c r="R392" s="2" t="inlineStr"/>
    </row>
    <row r="393" ht="15" customHeight="1">
      <c r="A393" t="inlineStr">
        <is>
          <t>A 52104-2025</t>
        </is>
      </c>
      <c r="B393" s="1" t="n">
        <v>45952.68524305556</v>
      </c>
      <c r="C393" s="1" t="n">
        <v>45990</v>
      </c>
      <c r="D393" t="inlineStr">
        <is>
          <t>ÖREBRO LÄN</t>
        </is>
      </c>
      <c r="E393" t="inlineStr">
        <is>
          <t>LINDESBERG</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52298-2025</t>
        </is>
      </c>
      <c r="B394" s="1" t="n">
        <v>45953.61387731481</v>
      </c>
      <c r="C394" s="1" t="n">
        <v>45990</v>
      </c>
      <c r="D394" t="inlineStr">
        <is>
          <t>ÖREBRO LÄN</t>
        </is>
      </c>
      <c r="E394" t="inlineStr">
        <is>
          <t>LINDESBERG</t>
        </is>
      </c>
      <c r="G394" t="n">
        <v>18.2</v>
      </c>
      <c r="H394" t="n">
        <v>0</v>
      </c>
      <c r="I394" t="n">
        <v>0</v>
      </c>
      <c r="J394" t="n">
        <v>0</v>
      </c>
      <c r="K394" t="n">
        <v>0</v>
      </c>
      <c r="L394" t="n">
        <v>0</v>
      </c>
      <c r="M394" t="n">
        <v>0</v>
      </c>
      <c r="N394" t="n">
        <v>0</v>
      </c>
      <c r="O394" t="n">
        <v>0</v>
      </c>
      <c r="P394" t="n">
        <v>0</v>
      </c>
      <c r="Q394" t="n">
        <v>0</v>
      </c>
      <c r="R394" s="2" t="inlineStr"/>
    </row>
    <row r="395" ht="15" customHeight="1">
      <c r="A395" t="inlineStr">
        <is>
          <t>A 28032-2023</t>
        </is>
      </c>
      <c r="B395" s="1" t="n">
        <v>45099</v>
      </c>
      <c r="C395" s="1" t="n">
        <v>45990</v>
      </c>
      <c r="D395" t="inlineStr">
        <is>
          <t>ÖREBRO LÄN</t>
        </is>
      </c>
      <c r="E395" t="inlineStr">
        <is>
          <t>LINDESBERG</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62608-2021</t>
        </is>
      </c>
      <c r="B396" s="1" t="n">
        <v>44503</v>
      </c>
      <c r="C396" s="1" t="n">
        <v>45990</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73860-2021</t>
        </is>
      </c>
      <c r="B397" s="1" t="n">
        <v>44553.35407407407</v>
      </c>
      <c r="C397" s="1" t="n">
        <v>45990</v>
      </c>
      <c r="D397" t="inlineStr">
        <is>
          <t>ÖREBRO LÄN</t>
        </is>
      </c>
      <c r="E397" t="inlineStr">
        <is>
          <t>LINDESBERG</t>
        </is>
      </c>
      <c r="G397" t="n">
        <v>12.7</v>
      </c>
      <c r="H397" t="n">
        <v>0</v>
      </c>
      <c r="I397" t="n">
        <v>0</v>
      </c>
      <c r="J397" t="n">
        <v>0</v>
      </c>
      <c r="K397" t="n">
        <v>0</v>
      </c>
      <c r="L397" t="n">
        <v>0</v>
      </c>
      <c r="M397" t="n">
        <v>0</v>
      </c>
      <c r="N397" t="n">
        <v>0</v>
      </c>
      <c r="O397" t="n">
        <v>0</v>
      </c>
      <c r="P397" t="n">
        <v>0</v>
      </c>
      <c r="Q397" t="n">
        <v>0</v>
      </c>
      <c r="R397" s="2" t="inlineStr"/>
    </row>
    <row r="398" ht="15" customHeight="1">
      <c r="A398" t="inlineStr">
        <is>
          <t>A 49094-2024</t>
        </is>
      </c>
      <c r="B398" s="1" t="n">
        <v>45594.63747685185</v>
      </c>
      <c r="C398" s="1" t="n">
        <v>45990</v>
      </c>
      <c r="D398" t="inlineStr">
        <is>
          <t>ÖREBRO LÄN</t>
        </is>
      </c>
      <c r="E398" t="inlineStr">
        <is>
          <t>LINDESBERG</t>
        </is>
      </c>
      <c r="G398" t="n">
        <v>3.8</v>
      </c>
      <c r="H398" t="n">
        <v>0</v>
      </c>
      <c r="I398" t="n">
        <v>0</v>
      </c>
      <c r="J398" t="n">
        <v>0</v>
      </c>
      <c r="K398" t="n">
        <v>0</v>
      </c>
      <c r="L398" t="n">
        <v>0</v>
      </c>
      <c r="M398" t="n">
        <v>0</v>
      </c>
      <c r="N398" t="n">
        <v>0</v>
      </c>
      <c r="O398" t="n">
        <v>0</v>
      </c>
      <c r="P398" t="n">
        <v>0</v>
      </c>
      <c r="Q398" t="n">
        <v>0</v>
      </c>
      <c r="R398" s="2" t="inlineStr"/>
    </row>
    <row r="399" ht="15" customHeight="1">
      <c r="A399" t="inlineStr">
        <is>
          <t>A 52098-2025</t>
        </is>
      </c>
      <c r="B399" s="1" t="n">
        <v>45952.68001157408</v>
      </c>
      <c r="C399" s="1" t="n">
        <v>45990</v>
      </c>
      <c r="D399" t="inlineStr">
        <is>
          <t>ÖREBRO LÄN</t>
        </is>
      </c>
      <c r="E399" t="inlineStr">
        <is>
          <t>LINDESBERG</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52103-2025</t>
        </is>
      </c>
      <c r="B400" s="1" t="n">
        <v>45952.68439814815</v>
      </c>
      <c r="C400" s="1" t="n">
        <v>45990</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52117-2025</t>
        </is>
      </c>
      <c r="B401" s="1" t="n">
        <v>45952.70765046297</v>
      </c>
      <c r="C401" s="1" t="n">
        <v>45990</v>
      </c>
      <c r="D401" t="inlineStr">
        <is>
          <t>ÖREBRO LÄN</t>
        </is>
      </c>
      <c r="E401" t="inlineStr">
        <is>
          <t>LINDESBERG</t>
        </is>
      </c>
      <c r="G401" t="n">
        <v>4.6</v>
      </c>
      <c r="H401" t="n">
        <v>0</v>
      </c>
      <c r="I401" t="n">
        <v>0</v>
      </c>
      <c r="J401" t="n">
        <v>0</v>
      </c>
      <c r="K401" t="n">
        <v>0</v>
      </c>
      <c r="L401" t="n">
        <v>0</v>
      </c>
      <c r="M401" t="n">
        <v>0</v>
      </c>
      <c r="N401" t="n">
        <v>0</v>
      </c>
      <c r="O401" t="n">
        <v>0</v>
      </c>
      <c r="P401" t="n">
        <v>0</v>
      </c>
      <c r="Q401" t="n">
        <v>0</v>
      </c>
      <c r="R401" s="2" t="inlineStr"/>
    </row>
    <row r="402" ht="15" customHeight="1">
      <c r="A402" t="inlineStr">
        <is>
          <t>A 3803-2023</t>
        </is>
      </c>
      <c r="B402" s="1" t="n">
        <v>44951.5830324074</v>
      </c>
      <c r="C402" s="1" t="n">
        <v>45990</v>
      </c>
      <c r="D402" t="inlineStr">
        <is>
          <t>ÖREBRO LÄN</t>
        </is>
      </c>
      <c r="E402" t="inlineStr">
        <is>
          <t>LINDESBERG</t>
        </is>
      </c>
      <c r="G402" t="n">
        <v>0.9</v>
      </c>
      <c r="H402" t="n">
        <v>0</v>
      </c>
      <c r="I402" t="n">
        <v>0</v>
      </c>
      <c r="J402" t="n">
        <v>0</v>
      </c>
      <c r="K402" t="n">
        <v>0</v>
      </c>
      <c r="L402" t="n">
        <v>0</v>
      </c>
      <c r="M402" t="n">
        <v>0</v>
      </c>
      <c r="N402" t="n">
        <v>0</v>
      </c>
      <c r="O402" t="n">
        <v>0</v>
      </c>
      <c r="P402" t="n">
        <v>0</v>
      </c>
      <c r="Q402" t="n">
        <v>0</v>
      </c>
      <c r="R402" s="2" t="inlineStr"/>
    </row>
    <row r="403" ht="15" customHeight="1">
      <c r="A403" t="inlineStr">
        <is>
          <t>A 11581-2024</t>
        </is>
      </c>
      <c r="B403" s="1" t="n">
        <v>45373.34383101852</v>
      </c>
      <c r="C403" s="1" t="n">
        <v>45990</v>
      </c>
      <c r="D403" t="inlineStr">
        <is>
          <t>ÖREBRO LÄN</t>
        </is>
      </c>
      <c r="E403" t="inlineStr">
        <is>
          <t>LINDESBERG</t>
        </is>
      </c>
      <c r="F403" t="inlineStr">
        <is>
          <t>BillerudKorsnäs AB</t>
        </is>
      </c>
      <c r="G403" t="n">
        <v>3.9</v>
      </c>
      <c r="H403" t="n">
        <v>0</v>
      </c>
      <c r="I403" t="n">
        <v>0</v>
      </c>
      <c r="J403" t="n">
        <v>0</v>
      </c>
      <c r="K403" t="n">
        <v>0</v>
      </c>
      <c r="L403" t="n">
        <v>0</v>
      </c>
      <c r="M403" t="n">
        <v>0</v>
      </c>
      <c r="N403" t="n">
        <v>0</v>
      </c>
      <c r="O403" t="n">
        <v>0</v>
      </c>
      <c r="P403" t="n">
        <v>0</v>
      </c>
      <c r="Q403" t="n">
        <v>0</v>
      </c>
      <c r="R403" s="2" t="inlineStr"/>
    </row>
    <row r="404" ht="15" customHeight="1">
      <c r="A404" t="inlineStr">
        <is>
          <t>A 52101-2025</t>
        </is>
      </c>
      <c r="B404" s="1" t="n">
        <v>45952.68271990741</v>
      </c>
      <c r="C404" s="1" t="n">
        <v>45990</v>
      </c>
      <c r="D404" t="inlineStr">
        <is>
          <t>ÖREBRO LÄN</t>
        </is>
      </c>
      <c r="E404" t="inlineStr">
        <is>
          <t>LINDESBERG</t>
        </is>
      </c>
      <c r="F404" t="inlineStr">
        <is>
          <t>Sveaskog</t>
        </is>
      </c>
      <c r="G404" t="n">
        <v>10.9</v>
      </c>
      <c r="H404" t="n">
        <v>0</v>
      </c>
      <c r="I404" t="n">
        <v>0</v>
      </c>
      <c r="J404" t="n">
        <v>0</v>
      </c>
      <c r="K404" t="n">
        <v>0</v>
      </c>
      <c r="L404" t="n">
        <v>0</v>
      </c>
      <c r="M404" t="n">
        <v>0</v>
      </c>
      <c r="N404" t="n">
        <v>0</v>
      </c>
      <c r="O404" t="n">
        <v>0</v>
      </c>
      <c r="P404" t="n">
        <v>0</v>
      </c>
      <c r="Q404" t="n">
        <v>0</v>
      </c>
      <c r="R404" s="2" t="inlineStr"/>
    </row>
    <row r="405" ht="15" customHeight="1">
      <c r="A405" t="inlineStr">
        <is>
          <t>A 33507-2023</t>
        </is>
      </c>
      <c r="B405" s="1" t="n">
        <v>45131</v>
      </c>
      <c r="C405" s="1" t="n">
        <v>45990</v>
      </c>
      <c r="D405" t="inlineStr">
        <is>
          <t>ÖREBRO LÄN</t>
        </is>
      </c>
      <c r="E405" t="inlineStr">
        <is>
          <t>LINDESBERG</t>
        </is>
      </c>
      <c r="G405" t="n">
        <v>3.2</v>
      </c>
      <c r="H405" t="n">
        <v>0</v>
      </c>
      <c r="I405" t="n">
        <v>0</v>
      </c>
      <c r="J405" t="n">
        <v>0</v>
      </c>
      <c r="K405" t="n">
        <v>0</v>
      </c>
      <c r="L405" t="n">
        <v>0</v>
      </c>
      <c r="M405" t="n">
        <v>0</v>
      </c>
      <c r="N405" t="n">
        <v>0</v>
      </c>
      <c r="O405" t="n">
        <v>0</v>
      </c>
      <c r="P405" t="n">
        <v>0</v>
      </c>
      <c r="Q405" t="n">
        <v>0</v>
      </c>
      <c r="R405" s="2" t="inlineStr"/>
    </row>
    <row r="406" ht="15" customHeight="1">
      <c r="A406" t="inlineStr">
        <is>
          <t>A 24030-2023</t>
        </is>
      </c>
      <c r="B406" s="1" t="n">
        <v>45078.82620370371</v>
      </c>
      <c r="C406" s="1" t="n">
        <v>45990</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21986-2023</t>
        </is>
      </c>
      <c r="B407" s="1" t="n">
        <v>45068</v>
      </c>
      <c r="C407" s="1" t="n">
        <v>45990</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52401-2025</t>
        </is>
      </c>
      <c r="B408" s="1" t="n">
        <v>45954.35075231481</v>
      </c>
      <c r="C408" s="1" t="n">
        <v>45990</v>
      </c>
      <c r="D408" t="inlineStr">
        <is>
          <t>ÖREBRO LÄN</t>
        </is>
      </c>
      <c r="E408" t="inlineStr">
        <is>
          <t>LINDESBERG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43847-2025</t>
        </is>
      </c>
      <c r="B409" s="1" t="n">
        <v>45912.63751157407</v>
      </c>
      <c r="C409" s="1" t="n">
        <v>45990</v>
      </c>
      <c r="D409" t="inlineStr">
        <is>
          <t>ÖREBRO LÄN</t>
        </is>
      </c>
      <c r="E409" t="inlineStr">
        <is>
          <t>LINDESBERG</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32504-2025</t>
        </is>
      </c>
      <c r="B410" s="1" t="n">
        <v>45838.46456018519</v>
      </c>
      <c r="C410" s="1" t="n">
        <v>45990</v>
      </c>
      <c r="D410" t="inlineStr">
        <is>
          <t>ÖREBRO LÄN</t>
        </is>
      </c>
      <c r="E410" t="inlineStr">
        <is>
          <t>LINDESBERG</t>
        </is>
      </c>
      <c r="F410" t="inlineStr">
        <is>
          <t>Sveaskog</t>
        </is>
      </c>
      <c r="G410" t="n">
        <v>16.9</v>
      </c>
      <c r="H410" t="n">
        <v>0</v>
      </c>
      <c r="I410" t="n">
        <v>0</v>
      </c>
      <c r="J410" t="n">
        <v>0</v>
      </c>
      <c r="K410" t="n">
        <v>0</v>
      </c>
      <c r="L410" t="n">
        <v>0</v>
      </c>
      <c r="M410" t="n">
        <v>0</v>
      </c>
      <c r="N410" t="n">
        <v>0</v>
      </c>
      <c r="O410" t="n">
        <v>0</v>
      </c>
      <c r="P410" t="n">
        <v>0</v>
      </c>
      <c r="Q410" t="n">
        <v>0</v>
      </c>
      <c r="R410" s="2" t="inlineStr"/>
    </row>
    <row r="411" ht="15" customHeight="1">
      <c r="A411" t="inlineStr">
        <is>
          <t>A 32502-2025</t>
        </is>
      </c>
      <c r="B411" s="1" t="n">
        <v>45838.46408564815</v>
      </c>
      <c r="C411" s="1" t="n">
        <v>45990</v>
      </c>
      <c r="D411" t="inlineStr">
        <is>
          <t>ÖREBRO LÄN</t>
        </is>
      </c>
      <c r="E411" t="inlineStr">
        <is>
          <t>LINDESBERG</t>
        </is>
      </c>
      <c r="F411" t="inlineStr">
        <is>
          <t>Sveaskog</t>
        </is>
      </c>
      <c r="G411" t="n">
        <v>17.7</v>
      </c>
      <c r="H411" t="n">
        <v>0</v>
      </c>
      <c r="I411" t="n">
        <v>0</v>
      </c>
      <c r="J411" t="n">
        <v>0</v>
      </c>
      <c r="K411" t="n">
        <v>0</v>
      </c>
      <c r="L411" t="n">
        <v>0</v>
      </c>
      <c r="M411" t="n">
        <v>0</v>
      </c>
      <c r="N411" t="n">
        <v>0</v>
      </c>
      <c r="O411" t="n">
        <v>0</v>
      </c>
      <c r="P411" t="n">
        <v>0</v>
      </c>
      <c r="Q411" t="n">
        <v>0</v>
      </c>
      <c r="R411" s="2" t="inlineStr"/>
    </row>
    <row r="412" ht="15" customHeight="1">
      <c r="A412" t="inlineStr">
        <is>
          <t>A 32727-2024</t>
        </is>
      </c>
      <c r="B412" s="1" t="n">
        <v>45516.4221412037</v>
      </c>
      <c r="C412" s="1" t="n">
        <v>45990</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44010-2023</t>
        </is>
      </c>
      <c r="B413" s="1" t="n">
        <v>45188</v>
      </c>
      <c r="C413" s="1" t="n">
        <v>45990</v>
      </c>
      <c r="D413" t="inlineStr">
        <is>
          <t>ÖREBRO LÄN</t>
        </is>
      </c>
      <c r="E413" t="inlineStr">
        <is>
          <t>LINDESBERG</t>
        </is>
      </c>
      <c r="G413" t="n">
        <v>2.3</v>
      </c>
      <c r="H413" t="n">
        <v>0</v>
      </c>
      <c r="I413" t="n">
        <v>0</v>
      </c>
      <c r="J413" t="n">
        <v>0</v>
      </c>
      <c r="K413" t="n">
        <v>0</v>
      </c>
      <c r="L413" t="n">
        <v>0</v>
      </c>
      <c r="M413" t="n">
        <v>0</v>
      </c>
      <c r="N413" t="n">
        <v>0</v>
      </c>
      <c r="O413" t="n">
        <v>0</v>
      </c>
      <c r="P413" t="n">
        <v>0</v>
      </c>
      <c r="Q413" t="n">
        <v>0</v>
      </c>
      <c r="R413" s="2" t="inlineStr"/>
    </row>
    <row r="414" ht="15" customHeight="1">
      <c r="A414" t="inlineStr">
        <is>
          <t>A 52402-2025</t>
        </is>
      </c>
      <c r="B414" s="1" t="n">
        <v>45954.35387731482</v>
      </c>
      <c r="C414" s="1" t="n">
        <v>45990</v>
      </c>
      <c r="D414" t="inlineStr">
        <is>
          <t>ÖREBRO LÄN</t>
        </is>
      </c>
      <c r="E414" t="inlineStr">
        <is>
          <t>LINDESBERG</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44077-2025</t>
        </is>
      </c>
      <c r="B415" s="1" t="n">
        <v>45915.54983796296</v>
      </c>
      <c r="C415" s="1" t="n">
        <v>45990</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50986-2023</t>
        </is>
      </c>
      <c r="B416" s="1" t="n">
        <v>45218</v>
      </c>
      <c r="C416" s="1" t="n">
        <v>45990</v>
      </c>
      <c r="D416" t="inlineStr">
        <is>
          <t>ÖREBRO LÄN</t>
        </is>
      </c>
      <c r="E416" t="inlineStr">
        <is>
          <t>LINDESBERG</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61969-2023</t>
        </is>
      </c>
      <c r="B417" s="1" t="n">
        <v>45266.58394675926</v>
      </c>
      <c r="C417" s="1" t="n">
        <v>45990</v>
      </c>
      <c r="D417" t="inlineStr">
        <is>
          <t>ÖREBRO LÄN</t>
        </is>
      </c>
      <c r="E417" t="inlineStr">
        <is>
          <t>LINDESBERG</t>
        </is>
      </c>
      <c r="G417" t="n">
        <v>10.5</v>
      </c>
      <c r="H417" t="n">
        <v>0</v>
      </c>
      <c r="I417" t="n">
        <v>0</v>
      </c>
      <c r="J417" t="n">
        <v>0</v>
      </c>
      <c r="K417" t="n">
        <v>0</v>
      </c>
      <c r="L417" t="n">
        <v>0</v>
      </c>
      <c r="M417" t="n">
        <v>0</v>
      </c>
      <c r="N417" t="n">
        <v>0</v>
      </c>
      <c r="O417" t="n">
        <v>0</v>
      </c>
      <c r="P417" t="n">
        <v>0</v>
      </c>
      <c r="Q417" t="n">
        <v>0</v>
      </c>
      <c r="R417" s="2" t="inlineStr"/>
    </row>
    <row r="418" ht="15" customHeight="1">
      <c r="A418" t="inlineStr">
        <is>
          <t>A 33046-2025</t>
        </is>
      </c>
      <c r="B418" s="1" t="n">
        <v>45840</v>
      </c>
      <c r="C418" s="1" t="n">
        <v>45990</v>
      </c>
      <c r="D418" t="inlineStr">
        <is>
          <t>ÖREBRO LÄN</t>
        </is>
      </c>
      <c r="E418" t="inlineStr">
        <is>
          <t>LINDESBERG</t>
        </is>
      </c>
      <c r="G418" t="n">
        <v>6.1</v>
      </c>
      <c r="H418" t="n">
        <v>0</v>
      </c>
      <c r="I418" t="n">
        <v>0</v>
      </c>
      <c r="J418" t="n">
        <v>0</v>
      </c>
      <c r="K418" t="n">
        <v>0</v>
      </c>
      <c r="L418" t="n">
        <v>0</v>
      </c>
      <c r="M418" t="n">
        <v>0</v>
      </c>
      <c r="N418" t="n">
        <v>0</v>
      </c>
      <c r="O418" t="n">
        <v>0</v>
      </c>
      <c r="P418" t="n">
        <v>0</v>
      </c>
      <c r="Q418" t="n">
        <v>0</v>
      </c>
      <c r="R418" s="2" t="inlineStr"/>
    </row>
    <row r="419" ht="15" customHeight="1">
      <c r="A419" t="inlineStr">
        <is>
          <t>A 44041-2025</t>
        </is>
      </c>
      <c r="B419" s="1" t="n">
        <v>45915.49238425926</v>
      </c>
      <c r="C419" s="1" t="n">
        <v>45990</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43837-2025</t>
        </is>
      </c>
      <c r="B420" s="1" t="n">
        <v>45912.63451388889</v>
      </c>
      <c r="C420" s="1" t="n">
        <v>45990</v>
      </c>
      <c r="D420" t="inlineStr">
        <is>
          <t>ÖREBRO LÄN</t>
        </is>
      </c>
      <c r="E420" t="inlineStr">
        <is>
          <t>LINDESBERG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40450-2023</t>
        </is>
      </c>
      <c r="B421" s="1" t="n">
        <v>45170</v>
      </c>
      <c r="C421" s="1" t="n">
        <v>45990</v>
      </c>
      <c r="D421" t="inlineStr">
        <is>
          <t>ÖREBRO LÄN</t>
        </is>
      </c>
      <c r="E421" t="inlineStr">
        <is>
          <t>LINDESBERG</t>
        </is>
      </c>
      <c r="F421" t="inlineStr">
        <is>
          <t>Kyrkan</t>
        </is>
      </c>
      <c r="G421" t="n">
        <v>4.3</v>
      </c>
      <c r="H421" t="n">
        <v>0</v>
      </c>
      <c r="I421" t="n">
        <v>0</v>
      </c>
      <c r="J421" t="n">
        <v>0</v>
      </c>
      <c r="K421" t="n">
        <v>0</v>
      </c>
      <c r="L421" t="n">
        <v>0</v>
      </c>
      <c r="M421" t="n">
        <v>0</v>
      </c>
      <c r="N421" t="n">
        <v>0</v>
      </c>
      <c r="O421" t="n">
        <v>0</v>
      </c>
      <c r="P421" t="n">
        <v>0</v>
      </c>
      <c r="Q421" t="n">
        <v>0</v>
      </c>
      <c r="R421" s="2" t="inlineStr"/>
    </row>
    <row r="422" ht="15" customHeight="1">
      <c r="A422" t="inlineStr">
        <is>
          <t>A 53062-2023</t>
        </is>
      </c>
      <c r="B422" s="1" t="n">
        <v>45227.31859953704</v>
      </c>
      <c r="C422" s="1" t="n">
        <v>45990</v>
      </c>
      <c r="D422" t="inlineStr">
        <is>
          <t>ÖREBRO LÄN</t>
        </is>
      </c>
      <c r="E422" t="inlineStr">
        <is>
          <t>LINDESBERG</t>
        </is>
      </c>
      <c r="G422" t="n">
        <v>3.1</v>
      </c>
      <c r="H422" t="n">
        <v>0</v>
      </c>
      <c r="I422" t="n">
        <v>0</v>
      </c>
      <c r="J422" t="n">
        <v>0</v>
      </c>
      <c r="K422" t="n">
        <v>0</v>
      </c>
      <c r="L422" t="n">
        <v>0</v>
      </c>
      <c r="M422" t="n">
        <v>0</v>
      </c>
      <c r="N422" t="n">
        <v>0</v>
      </c>
      <c r="O422" t="n">
        <v>0</v>
      </c>
      <c r="P422" t="n">
        <v>0</v>
      </c>
      <c r="Q422" t="n">
        <v>0</v>
      </c>
      <c r="R422" s="2" t="inlineStr"/>
    </row>
    <row r="423" ht="15" customHeight="1">
      <c r="A423" t="inlineStr">
        <is>
          <t>A 34004-2025</t>
        </is>
      </c>
      <c r="B423" s="1" t="n">
        <v>45844.5775</v>
      </c>
      <c r="C423" s="1" t="n">
        <v>45990</v>
      </c>
      <c r="D423" t="inlineStr">
        <is>
          <t>ÖREBRO LÄN</t>
        </is>
      </c>
      <c r="E423" t="inlineStr">
        <is>
          <t>LINDESBERG</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45990</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12739-2024</t>
        </is>
      </c>
      <c r="B425" s="1" t="n">
        <v>45384</v>
      </c>
      <c r="C425" s="1" t="n">
        <v>45990</v>
      </c>
      <c r="D425" t="inlineStr">
        <is>
          <t>ÖREBRO LÄN</t>
        </is>
      </c>
      <c r="E425" t="inlineStr">
        <is>
          <t>LINDESBERG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45056-2024</t>
        </is>
      </c>
      <c r="B426" s="1" t="n">
        <v>45575.55273148148</v>
      </c>
      <c r="C426" s="1" t="n">
        <v>45990</v>
      </c>
      <c r="D426" t="inlineStr">
        <is>
          <t>ÖREBRO LÄN</t>
        </is>
      </c>
      <c r="E426" t="inlineStr">
        <is>
          <t>LINDESBERG</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45058-2024</t>
        </is>
      </c>
      <c r="B427" s="1" t="n">
        <v>45575.5547337963</v>
      </c>
      <c r="C427" s="1" t="n">
        <v>45990</v>
      </c>
      <c r="D427" t="inlineStr">
        <is>
          <t>ÖREBRO LÄN</t>
        </is>
      </c>
      <c r="E427" t="inlineStr">
        <is>
          <t>LINDESBERG</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45063-2024</t>
        </is>
      </c>
      <c r="B428" s="1" t="n">
        <v>45575.55684027778</v>
      </c>
      <c r="C428" s="1" t="n">
        <v>45990</v>
      </c>
      <c r="D428" t="inlineStr">
        <is>
          <t>ÖREBRO LÄN</t>
        </is>
      </c>
      <c r="E428" t="inlineStr">
        <is>
          <t>LINDESBERG</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43836-2025</t>
        </is>
      </c>
      <c r="B429" s="1" t="n">
        <v>45912.63359953704</v>
      </c>
      <c r="C429" s="1" t="n">
        <v>45990</v>
      </c>
      <c r="D429" t="inlineStr">
        <is>
          <t>ÖREBRO LÄN</t>
        </is>
      </c>
      <c r="E429" t="inlineStr">
        <is>
          <t>LINDESBERG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33574-2024</t>
        </is>
      </c>
      <c r="B430" s="1" t="n">
        <v>45520.32887731482</v>
      </c>
      <c r="C430" s="1" t="n">
        <v>45990</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52730-2025</t>
        </is>
      </c>
      <c r="B431" s="1" t="n">
        <v>45957.36386574074</v>
      </c>
      <c r="C431" s="1" t="n">
        <v>45990</v>
      </c>
      <c r="D431" t="inlineStr">
        <is>
          <t>ÖREBRO LÄN</t>
        </is>
      </c>
      <c r="E431" t="inlineStr">
        <is>
          <t>LINDESBERG</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44067-2025</t>
        </is>
      </c>
      <c r="B432" s="1" t="n">
        <v>45915.54439814815</v>
      </c>
      <c r="C432" s="1" t="n">
        <v>45990</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9198-2025</t>
        </is>
      </c>
      <c r="B433" s="1" t="n">
        <v>45714</v>
      </c>
      <c r="C433" s="1" t="n">
        <v>45990</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34002-2025</t>
        </is>
      </c>
      <c r="B434" s="1" t="n">
        <v>45844.57328703703</v>
      </c>
      <c r="C434" s="1" t="n">
        <v>45990</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34003-2025</t>
        </is>
      </c>
      <c r="B435" s="1" t="n">
        <v>45844.57527777777</v>
      </c>
      <c r="C435" s="1" t="n">
        <v>45990</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34097-2025</t>
        </is>
      </c>
      <c r="B436" s="1" t="n">
        <v>45845.4855787037</v>
      </c>
      <c r="C436" s="1" t="n">
        <v>45990</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60492-2024</t>
        </is>
      </c>
      <c r="B437" s="1" t="n">
        <v>45642</v>
      </c>
      <c r="C437" s="1" t="n">
        <v>45990</v>
      </c>
      <c r="D437" t="inlineStr">
        <is>
          <t>ÖREBRO LÄN</t>
        </is>
      </c>
      <c r="E437" t="inlineStr">
        <is>
          <t>LINDESBERG</t>
        </is>
      </c>
      <c r="G437" t="n">
        <v>2.6</v>
      </c>
      <c r="H437" t="n">
        <v>0</v>
      </c>
      <c r="I437" t="n">
        <v>0</v>
      </c>
      <c r="J437" t="n">
        <v>0</v>
      </c>
      <c r="K437" t="n">
        <v>0</v>
      </c>
      <c r="L437" t="n">
        <v>0</v>
      </c>
      <c r="M437" t="n">
        <v>0</v>
      </c>
      <c r="N437" t="n">
        <v>0</v>
      </c>
      <c r="O437" t="n">
        <v>0</v>
      </c>
      <c r="P437" t="n">
        <v>0</v>
      </c>
      <c r="Q437" t="n">
        <v>0</v>
      </c>
      <c r="R437" s="2" t="inlineStr"/>
    </row>
    <row r="438" ht="15" customHeight="1">
      <c r="A438" t="inlineStr">
        <is>
          <t>A 44545-2025</t>
        </is>
      </c>
      <c r="B438" s="1" t="n">
        <v>45917.31780092593</v>
      </c>
      <c r="C438" s="1" t="n">
        <v>45990</v>
      </c>
      <c r="D438" t="inlineStr">
        <is>
          <t>ÖREBRO LÄN</t>
        </is>
      </c>
      <c r="E438" t="inlineStr">
        <is>
          <t>LINDESBERG</t>
        </is>
      </c>
      <c r="F438" t="inlineStr">
        <is>
          <t>Kommuner</t>
        </is>
      </c>
      <c r="G438" t="n">
        <v>2.3</v>
      </c>
      <c r="H438" t="n">
        <v>0</v>
      </c>
      <c r="I438" t="n">
        <v>0</v>
      </c>
      <c r="J438" t="n">
        <v>0</v>
      </c>
      <c r="K438" t="n">
        <v>0</v>
      </c>
      <c r="L438" t="n">
        <v>0</v>
      </c>
      <c r="M438" t="n">
        <v>0</v>
      </c>
      <c r="N438" t="n">
        <v>0</v>
      </c>
      <c r="O438" t="n">
        <v>0</v>
      </c>
      <c r="P438" t="n">
        <v>0</v>
      </c>
      <c r="Q438" t="n">
        <v>0</v>
      </c>
      <c r="R438" s="2" t="inlineStr"/>
    </row>
    <row r="439" ht="15" customHeight="1">
      <c r="A439" t="inlineStr">
        <is>
          <t>A 34267-2025</t>
        </is>
      </c>
      <c r="B439" s="1" t="n">
        <v>45845.76005787037</v>
      </c>
      <c r="C439" s="1" t="n">
        <v>45990</v>
      </c>
      <c r="D439" t="inlineStr">
        <is>
          <t>ÖREBRO LÄN</t>
        </is>
      </c>
      <c r="E439" t="inlineStr">
        <is>
          <t>LINDESBERG</t>
        </is>
      </c>
      <c r="G439" t="n">
        <v>4.6</v>
      </c>
      <c r="H439" t="n">
        <v>0</v>
      </c>
      <c r="I439" t="n">
        <v>0</v>
      </c>
      <c r="J439" t="n">
        <v>0</v>
      </c>
      <c r="K439" t="n">
        <v>0</v>
      </c>
      <c r="L439" t="n">
        <v>0</v>
      </c>
      <c r="M439" t="n">
        <v>0</v>
      </c>
      <c r="N439" t="n">
        <v>0</v>
      </c>
      <c r="O439" t="n">
        <v>0</v>
      </c>
      <c r="P439" t="n">
        <v>0</v>
      </c>
      <c r="Q439" t="n">
        <v>0</v>
      </c>
      <c r="R439" s="2" t="inlineStr"/>
    </row>
    <row r="440" ht="15" customHeight="1">
      <c r="A440" t="inlineStr">
        <is>
          <t>A 53187-2025</t>
        </is>
      </c>
      <c r="B440" s="1" t="n">
        <v>45958.55577546296</v>
      </c>
      <c r="C440" s="1" t="n">
        <v>45990</v>
      </c>
      <c r="D440" t="inlineStr">
        <is>
          <t>ÖREBRO LÄN</t>
        </is>
      </c>
      <c r="E440" t="inlineStr">
        <is>
          <t>LINDESBERG</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34264-2025</t>
        </is>
      </c>
      <c r="B441" s="1" t="n">
        <v>45845.75200231482</v>
      </c>
      <c r="C441" s="1" t="n">
        <v>45990</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26093-2023</t>
        </is>
      </c>
      <c r="B442" s="1" t="n">
        <v>45091.39362268519</v>
      </c>
      <c r="C442" s="1" t="n">
        <v>45990</v>
      </c>
      <c r="D442" t="inlineStr">
        <is>
          <t>ÖREBRO LÄN</t>
        </is>
      </c>
      <c r="E442" t="inlineStr">
        <is>
          <t>LINDESBERG</t>
        </is>
      </c>
      <c r="G442" t="n">
        <v>0.4</v>
      </c>
      <c r="H442" t="n">
        <v>0</v>
      </c>
      <c r="I442" t="n">
        <v>0</v>
      </c>
      <c r="J442" t="n">
        <v>0</v>
      </c>
      <c r="K442" t="n">
        <v>0</v>
      </c>
      <c r="L442" t="n">
        <v>0</v>
      </c>
      <c r="M442" t="n">
        <v>0</v>
      </c>
      <c r="N442" t="n">
        <v>0</v>
      </c>
      <c r="O442" t="n">
        <v>0</v>
      </c>
      <c r="P442" t="n">
        <v>0</v>
      </c>
      <c r="Q442" t="n">
        <v>0</v>
      </c>
      <c r="R442" s="2" t="inlineStr"/>
    </row>
    <row r="443" ht="15" customHeight="1">
      <c r="A443" t="inlineStr">
        <is>
          <t>A 47066-2023</t>
        </is>
      </c>
      <c r="B443" s="1" t="n">
        <v>45201</v>
      </c>
      <c r="C443" s="1" t="n">
        <v>45990</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54859-2024</t>
        </is>
      </c>
      <c r="B444" s="1" t="n">
        <v>45618.58962962963</v>
      </c>
      <c r="C444" s="1" t="n">
        <v>45990</v>
      </c>
      <c r="D444" t="inlineStr">
        <is>
          <t>ÖREBRO LÄN</t>
        </is>
      </c>
      <c r="E444" t="inlineStr">
        <is>
          <t>LINDESBERG</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36773-2024</t>
        </is>
      </c>
      <c r="B445" s="1" t="n">
        <v>45538</v>
      </c>
      <c r="C445" s="1" t="n">
        <v>45990</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53288-2025</t>
        </is>
      </c>
      <c r="B446" s="1" t="n">
        <v>45958.79287037037</v>
      </c>
      <c r="C446" s="1" t="n">
        <v>45990</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59804-2023</t>
        </is>
      </c>
      <c r="B447" s="1" t="n">
        <v>45257.48188657407</v>
      </c>
      <c r="C447" s="1" t="n">
        <v>45990</v>
      </c>
      <c r="D447" t="inlineStr">
        <is>
          <t>ÖREBRO LÄN</t>
        </is>
      </c>
      <c r="E447" t="inlineStr">
        <is>
          <t>LINDESBERG</t>
        </is>
      </c>
      <c r="G447" t="n">
        <v>1.2</v>
      </c>
      <c r="H447" t="n">
        <v>0</v>
      </c>
      <c r="I447" t="n">
        <v>0</v>
      </c>
      <c r="J447" t="n">
        <v>0</v>
      </c>
      <c r="K447" t="n">
        <v>0</v>
      </c>
      <c r="L447" t="n">
        <v>0</v>
      </c>
      <c r="M447" t="n">
        <v>0</v>
      </c>
      <c r="N447" t="n">
        <v>0</v>
      </c>
      <c r="O447" t="n">
        <v>0</v>
      </c>
      <c r="P447" t="n">
        <v>0</v>
      </c>
      <c r="Q447" t="n">
        <v>0</v>
      </c>
      <c r="R447" s="2" t="inlineStr"/>
    </row>
    <row r="448" ht="15" customHeight="1">
      <c r="A448" t="inlineStr">
        <is>
          <t>A 40758-2021</t>
        </is>
      </c>
      <c r="B448" s="1" t="n">
        <v>44420</v>
      </c>
      <c r="C448" s="1" t="n">
        <v>45990</v>
      </c>
      <c r="D448" t="inlineStr">
        <is>
          <t>ÖREBRO LÄN</t>
        </is>
      </c>
      <c r="E448" t="inlineStr">
        <is>
          <t>LINDESBERG</t>
        </is>
      </c>
      <c r="G448" t="n">
        <v>5</v>
      </c>
      <c r="H448" t="n">
        <v>0</v>
      </c>
      <c r="I448" t="n">
        <v>0</v>
      </c>
      <c r="J448" t="n">
        <v>0</v>
      </c>
      <c r="K448" t="n">
        <v>0</v>
      </c>
      <c r="L448" t="n">
        <v>0</v>
      </c>
      <c r="M448" t="n">
        <v>0</v>
      </c>
      <c r="N448" t="n">
        <v>0</v>
      </c>
      <c r="O448" t="n">
        <v>0</v>
      </c>
      <c r="P448" t="n">
        <v>0</v>
      </c>
      <c r="Q448" t="n">
        <v>0</v>
      </c>
      <c r="R448" s="2" t="inlineStr"/>
    </row>
    <row r="449" ht="15" customHeight="1">
      <c r="A449" t="inlineStr">
        <is>
          <t>A 61691-2023</t>
        </is>
      </c>
      <c r="B449" s="1" t="n">
        <v>45265.64142361111</v>
      </c>
      <c r="C449" s="1" t="n">
        <v>45990</v>
      </c>
      <c r="D449" t="inlineStr">
        <is>
          <t>ÖREBRO LÄN</t>
        </is>
      </c>
      <c r="E449" t="inlineStr">
        <is>
          <t>LINDESBERG</t>
        </is>
      </c>
      <c r="G449" t="n">
        <v>2.6</v>
      </c>
      <c r="H449" t="n">
        <v>0</v>
      </c>
      <c r="I449" t="n">
        <v>0</v>
      </c>
      <c r="J449" t="n">
        <v>0</v>
      </c>
      <c r="K449" t="n">
        <v>0</v>
      </c>
      <c r="L449" t="n">
        <v>0</v>
      </c>
      <c r="M449" t="n">
        <v>0</v>
      </c>
      <c r="N449" t="n">
        <v>0</v>
      </c>
      <c r="O449" t="n">
        <v>0</v>
      </c>
      <c r="P449" t="n">
        <v>0</v>
      </c>
      <c r="Q449" t="n">
        <v>0</v>
      </c>
      <c r="R449" s="2" t="inlineStr"/>
    </row>
    <row r="450" ht="15" customHeight="1">
      <c r="A450" t="inlineStr">
        <is>
          <t>A 4298-2025</t>
        </is>
      </c>
      <c r="B450" s="1" t="n">
        <v>45685</v>
      </c>
      <c r="C450" s="1" t="n">
        <v>45990</v>
      </c>
      <c r="D450" t="inlineStr">
        <is>
          <t>ÖREBRO LÄN</t>
        </is>
      </c>
      <c r="E450" t="inlineStr">
        <is>
          <t>LINDESBERG</t>
        </is>
      </c>
      <c r="G450" t="n">
        <v>13.5</v>
      </c>
      <c r="H450" t="n">
        <v>0</v>
      </c>
      <c r="I450" t="n">
        <v>0</v>
      </c>
      <c r="J450" t="n">
        <v>0</v>
      </c>
      <c r="K450" t="n">
        <v>0</v>
      </c>
      <c r="L450" t="n">
        <v>0</v>
      </c>
      <c r="M450" t="n">
        <v>0</v>
      </c>
      <c r="N450" t="n">
        <v>0</v>
      </c>
      <c r="O450" t="n">
        <v>0</v>
      </c>
      <c r="P450" t="n">
        <v>0</v>
      </c>
      <c r="Q450" t="n">
        <v>0</v>
      </c>
      <c r="R450" s="2" t="inlineStr"/>
    </row>
    <row r="451" ht="15" customHeight="1">
      <c r="A451" t="inlineStr">
        <is>
          <t>A 53597-2024</t>
        </is>
      </c>
      <c r="B451" s="1" t="n">
        <v>45614.68083333333</v>
      </c>
      <c r="C451" s="1" t="n">
        <v>45990</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43081-2021</t>
        </is>
      </c>
      <c r="B452" s="1" t="n">
        <v>44431</v>
      </c>
      <c r="C452" s="1" t="n">
        <v>45990</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32002-2023</t>
        </is>
      </c>
      <c r="B453" s="1" t="n">
        <v>45119.46452546296</v>
      </c>
      <c r="C453" s="1" t="n">
        <v>45990</v>
      </c>
      <c r="D453" t="inlineStr">
        <is>
          <t>ÖREBRO LÄN</t>
        </is>
      </c>
      <c r="E453" t="inlineStr">
        <is>
          <t>LINDESBERG</t>
        </is>
      </c>
      <c r="F453" t="inlineStr">
        <is>
          <t>Kyrkan</t>
        </is>
      </c>
      <c r="G453" t="n">
        <v>0.6</v>
      </c>
      <c r="H453" t="n">
        <v>0</v>
      </c>
      <c r="I453" t="n">
        <v>0</v>
      </c>
      <c r="J453" t="n">
        <v>0</v>
      </c>
      <c r="K453" t="n">
        <v>0</v>
      </c>
      <c r="L453" t="n">
        <v>0</v>
      </c>
      <c r="M453" t="n">
        <v>0</v>
      </c>
      <c r="N453" t="n">
        <v>0</v>
      </c>
      <c r="O453" t="n">
        <v>0</v>
      </c>
      <c r="P453" t="n">
        <v>0</v>
      </c>
      <c r="Q453" t="n">
        <v>0</v>
      </c>
      <c r="R453" s="2" t="inlineStr"/>
    </row>
    <row r="454" ht="15" customHeight="1">
      <c r="A454" t="inlineStr">
        <is>
          <t>A 24916-2022</t>
        </is>
      </c>
      <c r="B454" s="1" t="n">
        <v>44728</v>
      </c>
      <c r="C454" s="1" t="n">
        <v>45990</v>
      </c>
      <c r="D454" t="inlineStr">
        <is>
          <t>ÖREBRO LÄN</t>
        </is>
      </c>
      <c r="E454" t="inlineStr">
        <is>
          <t>LINDESBERG</t>
        </is>
      </c>
      <c r="G454" t="n">
        <v>8.1</v>
      </c>
      <c r="H454" t="n">
        <v>0</v>
      </c>
      <c r="I454" t="n">
        <v>0</v>
      </c>
      <c r="J454" t="n">
        <v>0</v>
      </c>
      <c r="K454" t="n">
        <v>0</v>
      </c>
      <c r="L454" t="n">
        <v>0</v>
      </c>
      <c r="M454" t="n">
        <v>0</v>
      </c>
      <c r="N454" t="n">
        <v>0</v>
      </c>
      <c r="O454" t="n">
        <v>0</v>
      </c>
      <c r="P454" t="n">
        <v>0</v>
      </c>
      <c r="Q454" t="n">
        <v>0</v>
      </c>
      <c r="R454" s="2" t="inlineStr"/>
    </row>
    <row r="455" ht="15" customHeight="1">
      <c r="A455" t="inlineStr">
        <is>
          <t>A 5677-2025</t>
        </is>
      </c>
      <c r="B455" s="1" t="n">
        <v>45694</v>
      </c>
      <c r="C455" s="1" t="n">
        <v>45990</v>
      </c>
      <c r="D455" t="inlineStr">
        <is>
          <t>ÖREBRO LÄN</t>
        </is>
      </c>
      <c r="E455" t="inlineStr">
        <is>
          <t>LINDESBERG</t>
        </is>
      </c>
      <c r="G455" t="n">
        <v>1.6</v>
      </c>
      <c r="H455" t="n">
        <v>0</v>
      </c>
      <c r="I455" t="n">
        <v>0</v>
      </c>
      <c r="J455" t="n">
        <v>0</v>
      </c>
      <c r="K455" t="n">
        <v>0</v>
      </c>
      <c r="L455" t="n">
        <v>0</v>
      </c>
      <c r="M455" t="n">
        <v>0</v>
      </c>
      <c r="N455" t="n">
        <v>0</v>
      </c>
      <c r="O455" t="n">
        <v>0</v>
      </c>
      <c r="P455" t="n">
        <v>0</v>
      </c>
      <c r="Q455" t="n">
        <v>0</v>
      </c>
      <c r="R455" s="2" t="inlineStr"/>
    </row>
    <row r="456" ht="15" customHeight="1">
      <c r="A456" t="inlineStr">
        <is>
          <t>A 7661-2024</t>
        </is>
      </c>
      <c r="B456" s="1" t="n">
        <v>45348</v>
      </c>
      <c r="C456" s="1" t="n">
        <v>45990</v>
      </c>
      <c r="D456" t="inlineStr">
        <is>
          <t>ÖREBRO LÄN</t>
        </is>
      </c>
      <c r="E456" t="inlineStr">
        <is>
          <t>LINDESBERG</t>
        </is>
      </c>
      <c r="G456" t="n">
        <v>4.1</v>
      </c>
      <c r="H456" t="n">
        <v>0</v>
      </c>
      <c r="I456" t="n">
        <v>0</v>
      </c>
      <c r="J456" t="n">
        <v>0</v>
      </c>
      <c r="K456" t="n">
        <v>0</v>
      </c>
      <c r="L456" t="n">
        <v>0</v>
      </c>
      <c r="M456" t="n">
        <v>0</v>
      </c>
      <c r="N456" t="n">
        <v>0</v>
      </c>
      <c r="O456" t="n">
        <v>0</v>
      </c>
      <c r="P456" t="n">
        <v>0</v>
      </c>
      <c r="Q456" t="n">
        <v>0</v>
      </c>
      <c r="R456" s="2" t="inlineStr"/>
    </row>
    <row r="457" ht="15" customHeight="1">
      <c r="A457" t="inlineStr">
        <is>
          <t>A 12278-2025</t>
        </is>
      </c>
      <c r="B457" s="1" t="n">
        <v>45729.65171296296</v>
      </c>
      <c r="C457" s="1" t="n">
        <v>45990</v>
      </c>
      <c r="D457" t="inlineStr">
        <is>
          <t>ÖREBRO LÄN</t>
        </is>
      </c>
      <c r="E457" t="inlineStr">
        <is>
          <t>LINDESBERG</t>
        </is>
      </c>
      <c r="G457" t="n">
        <v>3.2</v>
      </c>
      <c r="H457" t="n">
        <v>0</v>
      </c>
      <c r="I457" t="n">
        <v>0</v>
      </c>
      <c r="J457" t="n">
        <v>0</v>
      </c>
      <c r="K457" t="n">
        <v>0</v>
      </c>
      <c r="L457" t="n">
        <v>0</v>
      </c>
      <c r="M457" t="n">
        <v>0</v>
      </c>
      <c r="N457" t="n">
        <v>0</v>
      </c>
      <c r="O457" t="n">
        <v>0</v>
      </c>
      <c r="P457" t="n">
        <v>0</v>
      </c>
      <c r="Q457" t="n">
        <v>0</v>
      </c>
      <c r="R457" s="2" t="inlineStr"/>
    </row>
    <row r="458" ht="15" customHeight="1">
      <c r="A458" t="inlineStr">
        <is>
          <t>A 1681-2025</t>
        </is>
      </c>
      <c r="B458" s="1" t="n">
        <v>45670.69458333333</v>
      </c>
      <c r="C458" s="1" t="n">
        <v>45990</v>
      </c>
      <c r="D458" t="inlineStr">
        <is>
          <t>ÖREBRO LÄN</t>
        </is>
      </c>
      <c r="E458" t="inlineStr">
        <is>
          <t>LINDESBERG</t>
        </is>
      </c>
      <c r="G458" t="n">
        <v>1.9</v>
      </c>
      <c r="H458" t="n">
        <v>0</v>
      </c>
      <c r="I458" t="n">
        <v>0</v>
      </c>
      <c r="J458" t="n">
        <v>0</v>
      </c>
      <c r="K458" t="n">
        <v>0</v>
      </c>
      <c r="L458" t="n">
        <v>0</v>
      </c>
      <c r="M458" t="n">
        <v>0</v>
      </c>
      <c r="N458" t="n">
        <v>0</v>
      </c>
      <c r="O458" t="n">
        <v>0</v>
      </c>
      <c r="P458" t="n">
        <v>0</v>
      </c>
      <c r="Q458" t="n">
        <v>0</v>
      </c>
      <c r="R458" s="2" t="inlineStr"/>
    </row>
    <row r="459" ht="15" customHeight="1">
      <c r="A459" t="inlineStr">
        <is>
          <t>A 36670-2024</t>
        </is>
      </c>
      <c r="B459" s="1" t="n">
        <v>45537.64621527777</v>
      </c>
      <c r="C459" s="1" t="n">
        <v>45990</v>
      </c>
      <c r="D459" t="inlineStr">
        <is>
          <t>ÖREBRO LÄN</t>
        </is>
      </c>
      <c r="E459" t="inlineStr">
        <is>
          <t>LINDESBERG</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34237-2023</t>
        </is>
      </c>
      <c r="B460" s="1" t="n">
        <v>45138</v>
      </c>
      <c r="C460" s="1" t="n">
        <v>45990</v>
      </c>
      <c r="D460" t="inlineStr">
        <is>
          <t>ÖREBRO LÄN</t>
        </is>
      </c>
      <c r="E460" t="inlineStr">
        <is>
          <t>LINDESBERG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35366-2025</t>
        </is>
      </c>
      <c r="B461" s="1" t="n">
        <v>45854</v>
      </c>
      <c r="C461" s="1" t="n">
        <v>45990</v>
      </c>
      <c r="D461" t="inlineStr">
        <is>
          <t>ÖREBRO LÄN</t>
        </is>
      </c>
      <c r="E461" t="inlineStr">
        <is>
          <t>LINDESBERG</t>
        </is>
      </c>
      <c r="G461" t="n">
        <v>5.5</v>
      </c>
      <c r="H461" t="n">
        <v>0</v>
      </c>
      <c r="I461" t="n">
        <v>0</v>
      </c>
      <c r="J461" t="n">
        <v>0</v>
      </c>
      <c r="K461" t="n">
        <v>0</v>
      </c>
      <c r="L461" t="n">
        <v>0</v>
      </c>
      <c r="M461" t="n">
        <v>0</v>
      </c>
      <c r="N461" t="n">
        <v>0</v>
      </c>
      <c r="O461" t="n">
        <v>0</v>
      </c>
      <c r="P461" t="n">
        <v>0</v>
      </c>
      <c r="Q461" t="n">
        <v>0</v>
      </c>
      <c r="R461" s="2" t="inlineStr"/>
    </row>
    <row r="462" ht="15" customHeight="1">
      <c r="A462" t="inlineStr">
        <is>
          <t>A 29942-2024</t>
        </is>
      </c>
      <c r="B462" s="1" t="n">
        <v>45488.42258101852</v>
      </c>
      <c r="C462" s="1" t="n">
        <v>45990</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35292-2025</t>
        </is>
      </c>
      <c r="B463" s="1" t="n">
        <v>45854</v>
      </c>
      <c r="C463" s="1" t="n">
        <v>45990</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3294-2024</t>
        </is>
      </c>
      <c r="B464" s="1" t="n">
        <v>45316</v>
      </c>
      <c r="C464" s="1" t="n">
        <v>45990</v>
      </c>
      <c r="D464" t="inlineStr">
        <is>
          <t>ÖREBRO LÄN</t>
        </is>
      </c>
      <c r="E464" t="inlineStr">
        <is>
          <t>LINDESBERG</t>
        </is>
      </c>
      <c r="G464" t="n">
        <v>3</v>
      </c>
      <c r="H464" t="n">
        <v>0</v>
      </c>
      <c r="I464" t="n">
        <v>0</v>
      </c>
      <c r="J464" t="n">
        <v>0</v>
      </c>
      <c r="K464" t="n">
        <v>0</v>
      </c>
      <c r="L464" t="n">
        <v>0</v>
      </c>
      <c r="M464" t="n">
        <v>0</v>
      </c>
      <c r="N464" t="n">
        <v>0</v>
      </c>
      <c r="O464" t="n">
        <v>0</v>
      </c>
      <c r="P464" t="n">
        <v>0</v>
      </c>
      <c r="Q464" t="n">
        <v>0</v>
      </c>
      <c r="R464" s="2" t="inlineStr"/>
    </row>
    <row r="465" ht="15" customHeight="1">
      <c r="A465" t="inlineStr">
        <is>
          <t>A 53723-2025</t>
        </is>
      </c>
      <c r="B465" s="1" t="n">
        <v>45960.62986111111</v>
      </c>
      <c r="C465" s="1" t="n">
        <v>45990</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14185-2024</t>
        </is>
      </c>
      <c r="B466" s="1" t="n">
        <v>45393.3562962963</v>
      </c>
      <c r="C466" s="1" t="n">
        <v>45990</v>
      </c>
      <c r="D466" t="inlineStr">
        <is>
          <t>ÖREBRO LÄN</t>
        </is>
      </c>
      <c r="E466" t="inlineStr">
        <is>
          <t>LINDESBERG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14190-2024</t>
        </is>
      </c>
      <c r="B467" s="1" t="n">
        <v>45393.36060185185</v>
      </c>
      <c r="C467" s="1" t="n">
        <v>45990</v>
      </c>
      <c r="D467" t="inlineStr">
        <is>
          <t>ÖREBRO LÄN</t>
        </is>
      </c>
      <c r="E467" t="inlineStr">
        <is>
          <t>LINDESBERG</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35710-2025</t>
        </is>
      </c>
      <c r="B468" s="1" t="n">
        <v>45860.3857175926</v>
      </c>
      <c r="C468" s="1" t="n">
        <v>45990</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35702-2025</t>
        </is>
      </c>
      <c r="B469" s="1" t="n">
        <v>45860.36222222223</v>
      </c>
      <c r="C469" s="1" t="n">
        <v>45990</v>
      </c>
      <c r="D469" t="inlineStr">
        <is>
          <t>ÖREBRO LÄN</t>
        </is>
      </c>
      <c r="E469" t="inlineStr">
        <is>
          <t>LINDESBERG</t>
        </is>
      </c>
      <c r="G469" t="n">
        <v>5.3</v>
      </c>
      <c r="H469" t="n">
        <v>0</v>
      </c>
      <c r="I469" t="n">
        <v>0</v>
      </c>
      <c r="J469" t="n">
        <v>0</v>
      </c>
      <c r="K469" t="n">
        <v>0</v>
      </c>
      <c r="L469" t="n">
        <v>0</v>
      </c>
      <c r="M469" t="n">
        <v>0</v>
      </c>
      <c r="N469" t="n">
        <v>0</v>
      </c>
      <c r="O469" t="n">
        <v>0</v>
      </c>
      <c r="P469" t="n">
        <v>0</v>
      </c>
      <c r="Q469" t="n">
        <v>0</v>
      </c>
      <c r="R469" s="2" t="inlineStr"/>
    </row>
    <row r="470" ht="15" customHeight="1">
      <c r="A470" t="inlineStr">
        <is>
          <t>A 47304-2024</t>
        </is>
      </c>
      <c r="B470" s="1" t="n">
        <v>45587</v>
      </c>
      <c r="C470" s="1" t="n">
        <v>45990</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51656-2023</t>
        </is>
      </c>
      <c r="B471" s="1" t="n">
        <v>45222</v>
      </c>
      <c r="C471" s="1" t="n">
        <v>45990</v>
      </c>
      <c r="D471" t="inlineStr">
        <is>
          <t>ÖREBRO LÄN</t>
        </is>
      </c>
      <c r="E471" t="inlineStr">
        <is>
          <t>LINDESBERG</t>
        </is>
      </c>
      <c r="G471" t="n">
        <v>1.2</v>
      </c>
      <c r="H471" t="n">
        <v>0</v>
      </c>
      <c r="I471" t="n">
        <v>0</v>
      </c>
      <c r="J471" t="n">
        <v>0</v>
      </c>
      <c r="K471" t="n">
        <v>0</v>
      </c>
      <c r="L471" t="n">
        <v>0</v>
      </c>
      <c r="M471" t="n">
        <v>0</v>
      </c>
      <c r="N471" t="n">
        <v>0</v>
      </c>
      <c r="O471" t="n">
        <v>0</v>
      </c>
      <c r="P471" t="n">
        <v>0</v>
      </c>
      <c r="Q471" t="n">
        <v>0</v>
      </c>
      <c r="R471" s="2" t="inlineStr"/>
    </row>
    <row r="472" ht="15" customHeight="1">
      <c r="A472" t="inlineStr">
        <is>
          <t>A 54070-2025</t>
        </is>
      </c>
      <c r="B472" s="1" t="n">
        <v>45964.34680555556</v>
      </c>
      <c r="C472" s="1" t="n">
        <v>45990</v>
      </c>
      <c r="D472" t="inlineStr">
        <is>
          <t>ÖREBRO LÄN</t>
        </is>
      </c>
      <c r="E472" t="inlineStr">
        <is>
          <t>LINDESBERG</t>
        </is>
      </c>
      <c r="G472" t="n">
        <v>0.5</v>
      </c>
      <c r="H472" t="n">
        <v>0</v>
      </c>
      <c r="I472" t="n">
        <v>0</v>
      </c>
      <c r="J472" t="n">
        <v>0</v>
      </c>
      <c r="K472" t="n">
        <v>0</v>
      </c>
      <c r="L472" t="n">
        <v>0</v>
      </c>
      <c r="M472" t="n">
        <v>0</v>
      </c>
      <c r="N472" t="n">
        <v>0</v>
      </c>
      <c r="O472" t="n">
        <v>0</v>
      </c>
      <c r="P472" t="n">
        <v>0</v>
      </c>
      <c r="Q472" t="n">
        <v>0</v>
      </c>
      <c r="R472" s="2" t="inlineStr"/>
    </row>
    <row r="473" ht="15" customHeight="1">
      <c r="A473" t="inlineStr">
        <is>
          <t>A 3732-2023</t>
        </is>
      </c>
      <c r="B473" s="1" t="n">
        <v>44949</v>
      </c>
      <c r="C473" s="1" t="n">
        <v>45990</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36253-2024</t>
        </is>
      </c>
      <c r="B474" s="1" t="n">
        <v>45534.54032407407</v>
      </c>
      <c r="C474" s="1" t="n">
        <v>45990</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57069-2022</t>
        </is>
      </c>
      <c r="B475" s="1" t="n">
        <v>44895</v>
      </c>
      <c r="C475" s="1" t="n">
        <v>45990</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54250-2025</t>
        </is>
      </c>
      <c r="B476" s="1" t="n">
        <v>45964.64709490741</v>
      </c>
      <c r="C476" s="1" t="n">
        <v>45990</v>
      </c>
      <c r="D476" t="inlineStr">
        <is>
          <t>ÖREBRO LÄN</t>
        </is>
      </c>
      <c r="E476" t="inlineStr">
        <is>
          <t>LINDESBERG</t>
        </is>
      </c>
      <c r="F476" t="inlineStr">
        <is>
          <t>Sveaskog</t>
        </is>
      </c>
      <c r="G476" t="n">
        <v>4.5</v>
      </c>
      <c r="H476" t="n">
        <v>0</v>
      </c>
      <c r="I476" t="n">
        <v>0</v>
      </c>
      <c r="J476" t="n">
        <v>0</v>
      </c>
      <c r="K476" t="n">
        <v>0</v>
      </c>
      <c r="L476" t="n">
        <v>0</v>
      </c>
      <c r="M476" t="n">
        <v>0</v>
      </c>
      <c r="N476" t="n">
        <v>0</v>
      </c>
      <c r="O476" t="n">
        <v>0</v>
      </c>
      <c r="P476" t="n">
        <v>0</v>
      </c>
      <c r="Q476" t="n">
        <v>0</v>
      </c>
      <c r="R476" s="2" t="inlineStr"/>
    </row>
    <row r="477" ht="15" customHeight="1">
      <c r="A477" t="inlineStr">
        <is>
          <t>A 4067-2024</t>
        </is>
      </c>
      <c r="B477" s="1" t="n">
        <v>45323</v>
      </c>
      <c r="C477" s="1" t="n">
        <v>45990</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54251-2025</t>
        </is>
      </c>
      <c r="B478" s="1" t="n">
        <v>45964.64778935185</v>
      </c>
      <c r="C478" s="1" t="n">
        <v>45990</v>
      </c>
      <c r="D478" t="inlineStr">
        <is>
          <t>ÖREBRO LÄN</t>
        </is>
      </c>
      <c r="E478" t="inlineStr">
        <is>
          <t>LINDESBERG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30514-2025</t>
        </is>
      </c>
      <c r="B479" s="1" t="n">
        <v>45831</v>
      </c>
      <c r="C479" s="1" t="n">
        <v>45990</v>
      </c>
      <c r="D479" t="inlineStr">
        <is>
          <t>ÖREBRO LÄN</t>
        </is>
      </c>
      <c r="E479" t="inlineStr">
        <is>
          <t>LINDESBERG</t>
        </is>
      </c>
      <c r="G479" t="n">
        <v>1.6</v>
      </c>
      <c r="H479" t="n">
        <v>0</v>
      </c>
      <c r="I479" t="n">
        <v>0</v>
      </c>
      <c r="J479" t="n">
        <v>0</v>
      </c>
      <c r="K479" t="n">
        <v>0</v>
      </c>
      <c r="L479" t="n">
        <v>0</v>
      </c>
      <c r="M479" t="n">
        <v>0</v>
      </c>
      <c r="N479" t="n">
        <v>0</v>
      </c>
      <c r="O479" t="n">
        <v>0</v>
      </c>
      <c r="P479" t="n">
        <v>0</v>
      </c>
      <c r="Q479" t="n">
        <v>0</v>
      </c>
      <c r="R479" s="2" t="inlineStr"/>
    </row>
    <row r="480" ht="15" customHeight="1">
      <c r="A480" t="inlineStr">
        <is>
          <t>A 29500-2023</t>
        </is>
      </c>
      <c r="B480" s="1" t="n">
        <v>45106</v>
      </c>
      <c r="C480" s="1" t="n">
        <v>45990</v>
      </c>
      <c r="D480" t="inlineStr">
        <is>
          <t>ÖREBRO LÄN</t>
        </is>
      </c>
      <c r="E480" t="inlineStr">
        <is>
          <t>LINDESBERG</t>
        </is>
      </c>
      <c r="G480" t="n">
        <v>1.6</v>
      </c>
      <c r="H480" t="n">
        <v>0</v>
      </c>
      <c r="I480" t="n">
        <v>0</v>
      </c>
      <c r="J480" t="n">
        <v>0</v>
      </c>
      <c r="K480" t="n">
        <v>0</v>
      </c>
      <c r="L480" t="n">
        <v>0</v>
      </c>
      <c r="M480" t="n">
        <v>0</v>
      </c>
      <c r="N480" t="n">
        <v>0</v>
      </c>
      <c r="O480" t="n">
        <v>0</v>
      </c>
      <c r="P480" t="n">
        <v>0</v>
      </c>
      <c r="Q480" t="n">
        <v>0</v>
      </c>
      <c r="R480" s="2" t="inlineStr"/>
    </row>
    <row r="481" ht="15" customHeight="1">
      <c r="A481" t="inlineStr">
        <is>
          <t>A 45173-2024</t>
        </is>
      </c>
      <c r="B481" s="1" t="n">
        <v>45575.65721064815</v>
      </c>
      <c r="C481" s="1" t="n">
        <v>45990</v>
      </c>
      <c r="D481" t="inlineStr">
        <is>
          <t>ÖREBRO LÄN</t>
        </is>
      </c>
      <c r="E481" t="inlineStr">
        <is>
          <t>LINDESBERG</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10823-2023</t>
        </is>
      </c>
      <c r="B482" s="1" t="n">
        <v>44990</v>
      </c>
      <c r="C482" s="1" t="n">
        <v>45990</v>
      </c>
      <c r="D482" t="inlineStr">
        <is>
          <t>ÖREBRO LÄN</t>
        </is>
      </c>
      <c r="E482" t="inlineStr">
        <is>
          <t>LINDESBERG</t>
        </is>
      </c>
      <c r="G482" t="n">
        <v>1.8</v>
      </c>
      <c r="H482" t="n">
        <v>0</v>
      </c>
      <c r="I482" t="n">
        <v>0</v>
      </c>
      <c r="J482" t="n">
        <v>0</v>
      </c>
      <c r="K482" t="n">
        <v>0</v>
      </c>
      <c r="L482" t="n">
        <v>0</v>
      </c>
      <c r="M482" t="n">
        <v>0</v>
      </c>
      <c r="N482" t="n">
        <v>0</v>
      </c>
      <c r="O482" t="n">
        <v>0</v>
      </c>
      <c r="P482" t="n">
        <v>0</v>
      </c>
      <c r="Q482" t="n">
        <v>0</v>
      </c>
      <c r="R482" s="2" t="inlineStr"/>
    </row>
    <row r="483" ht="15" customHeight="1">
      <c r="A483" t="inlineStr">
        <is>
          <t>A 54072-2025</t>
        </is>
      </c>
      <c r="B483" s="1" t="n">
        <v>45964.3550925926</v>
      </c>
      <c r="C483" s="1" t="n">
        <v>45990</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30512-2025</t>
        </is>
      </c>
      <c r="B484" s="1" t="n">
        <v>45831</v>
      </c>
      <c r="C484" s="1" t="n">
        <v>45990</v>
      </c>
      <c r="D484" t="inlineStr">
        <is>
          <t>ÖREBRO LÄN</t>
        </is>
      </c>
      <c r="E484" t="inlineStr">
        <is>
          <t>LINDESBERG</t>
        </is>
      </c>
      <c r="G484" t="n">
        <v>4.5</v>
      </c>
      <c r="H484" t="n">
        <v>0</v>
      </c>
      <c r="I484" t="n">
        <v>0</v>
      </c>
      <c r="J484" t="n">
        <v>0</v>
      </c>
      <c r="K484" t="n">
        <v>0</v>
      </c>
      <c r="L484" t="n">
        <v>0</v>
      </c>
      <c r="M484" t="n">
        <v>0</v>
      </c>
      <c r="N484" t="n">
        <v>0</v>
      </c>
      <c r="O484" t="n">
        <v>0</v>
      </c>
      <c r="P484" t="n">
        <v>0</v>
      </c>
      <c r="Q484" t="n">
        <v>0</v>
      </c>
      <c r="R484" s="2" t="inlineStr"/>
    </row>
    <row r="485" ht="15" customHeight="1">
      <c r="A485" t="inlineStr">
        <is>
          <t>A 54239-2025</t>
        </is>
      </c>
      <c r="B485" s="1" t="n">
        <v>45964.62771990741</v>
      </c>
      <c r="C485" s="1" t="n">
        <v>45990</v>
      </c>
      <c r="D485" t="inlineStr">
        <is>
          <t>ÖREBRO LÄN</t>
        </is>
      </c>
      <c r="E485" t="inlineStr">
        <is>
          <t>LINDESBERG</t>
        </is>
      </c>
      <c r="G485" t="n">
        <v>4.9</v>
      </c>
      <c r="H485" t="n">
        <v>0</v>
      </c>
      <c r="I485" t="n">
        <v>0</v>
      </c>
      <c r="J485" t="n">
        <v>0</v>
      </c>
      <c r="K485" t="n">
        <v>0</v>
      </c>
      <c r="L485" t="n">
        <v>0</v>
      </c>
      <c r="M485" t="n">
        <v>0</v>
      </c>
      <c r="N485" t="n">
        <v>0</v>
      </c>
      <c r="O485" t="n">
        <v>0</v>
      </c>
      <c r="P485" t="n">
        <v>0</v>
      </c>
      <c r="Q485" t="n">
        <v>0</v>
      </c>
      <c r="R485" s="2" t="inlineStr"/>
    </row>
    <row r="486" ht="15" customHeight="1">
      <c r="A486" t="inlineStr">
        <is>
          <t>A 54240-2025</t>
        </is>
      </c>
      <c r="B486" s="1" t="n">
        <v>45964.62796296296</v>
      </c>
      <c r="C486" s="1" t="n">
        <v>45990</v>
      </c>
      <c r="D486" t="inlineStr">
        <is>
          <t>ÖREBRO LÄN</t>
        </is>
      </c>
      <c r="E486" t="inlineStr">
        <is>
          <t>LINDESBERG</t>
        </is>
      </c>
      <c r="G486" t="n">
        <v>3.9</v>
      </c>
      <c r="H486" t="n">
        <v>0</v>
      </c>
      <c r="I486" t="n">
        <v>0</v>
      </c>
      <c r="J486" t="n">
        <v>0</v>
      </c>
      <c r="K486" t="n">
        <v>0</v>
      </c>
      <c r="L486" t="n">
        <v>0</v>
      </c>
      <c r="M486" t="n">
        <v>0</v>
      </c>
      <c r="N486" t="n">
        <v>0</v>
      </c>
      <c r="O486" t="n">
        <v>0</v>
      </c>
      <c r="P486" t="n">
        <v>0</v>
      </c>
      <c r="Q486" t="n">
        <v>0</v>
      </c>
      <c r="R486" s="2" t="inlineStr"/>
    </row>
    <row r="487" ht="15" customHeight="1">
      <c r="A487" t="inlineStr">
        <is>
          <t>A 54241-2025</t>
        </is>
      </c>
      <c r="B487" s="1" t="n">
        <v>45964.63199074074</v>
      </c>
      <c r="C487" s="1" t="n">
        <v>45990</v>
      </c>
      <c r="D487" t="inlineStr">
        <is>
          <t>ÖREBRO LÄN</t>
        </is>
      </c>
      <c r="E487" t="inlineStr">
        <is>
          <t>LINDESBERG</t>
        </is>
      </c>
      <c r="G487" t="n">
        <v>4</v>
      </c>
      <c r="H487" t="n">
        <v>0</v>
      </c>
      <c r="I487" t="n">
        <v>0</v>
      </c>
      <c r="J487" t="n">
        <v>0</v>
      </c>
      <c r="K487" t="n">
        <v>0</v>
      </c>
      <c r="L487" t="n">
        <v>0</v>
      </c>
      <c r="M487" t="n">
        <v>0</v>
      </c>
      <c r="N487" t="n">
        <v>0</v>
      </c>
      <c r="O487" t="n">
        <v>0</v>
      </c>
      <c r="P487" t="n">
        <v>0</v>
      </c>
      <c r="Q487" t="n">
        <v>0</v>
      </c>
      <c r="R487" s="2" t="inlineStr"/>
    </row>
    <row r="488" ht="15" customHeight="1">
      <c r="A488" t="inlineStr">
        <is>
          <t>A 8902-2024</t>
        </is>
      </c>
      <c r="B488" s="1" t="n">
        <v>45357.34521990741</v>
      </c>
      <c r="C488" s="1" t="n">
        <v>45990</v>
      </c>
      <c r="D488" t="inlineStr">
        <is>
          <t>ÖREBRO LÄN</t>
        </is>
      </c>
      <c r="E488" t="inlineStr">
        <is>
          <t>LINDESBERG</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54249-2025</t>
        </is>
      </c>
      <c r="B489" s="1" t="n">
        <v>45964.64599537037</v>
      </c>
      <c r="C489" s="1" t="n">
        <v>45990</v>
      </c>
      <c r="D489" t="inlineStr">
        <is>
          <t>ÖREBRO LÄN</t>
        </is>
      </c>
      <c r="E489" t="inlineStr">
        <is>
          <t>LINDESBERG</t>
        </is>
      </c>
      <c r="F489" t="inlineStr">
        <is>
          <t>Sveaskog</t>
        </is>
      </c>
      <c r="G489" t="n">
        <v>5.2</v>
      </c>
      <c r="H489" t="n">
        <v>0</v>
      </c>
      <c r="I489" t="n">
        <v>0</v>
      </c>
      <c r="J489" t="n">
        <v>0</v>
      </c>
      <c r="K489" t="n">
        <v>0</v>
      </c>
      <c r="L489" t="n">
        <v>0</v>
      </c>
      <c r="M489" t="n">
        <v>0</v>
      </c>
      <c r="N489" t="n">
        <v>0</v>
      </c>
      <c r="O489" t="n">
        <v>0</v>
      </c>
      <c r="P489" t="n">
        <v>0</v>
      </c>
      <c r="Q489" t="n">
        <v>0</v>
      </c>
      <c r="R489" s="2" t="inlineStr"/>
    </row>
    <row r="490" ht="15" customHeight="1">
      <c r="A490" t="inlineStr">
        <is>
          <t>A 36572-2025</t>
        </is>
      </c>
      <c r="B490" s="1" t="n">
        <v>45870</v>
      </c>
      <c r="C490" s="1" t="n">
        <v>45990</v>
      </c>
      <c r="D490" t="inlineStr">
        <is>
          <t>ÖREBRO LÄN</t>
        </is>
      </c>
      <c r="E490" t="inlineStr">
        <is>
          <t>LINDESBERG</t>
        </is>
      </c>
      <c r="G490" t="n">
        <v>11.9</v>
      </c>
      <c r="H490" t="n">
        <v>0</v>
      </c>
      <c r="I490" t="n">
        <v>0</v>
      </c>
      <c r="J490" t="n">
        <v>0</v>
      </c>
      <c r="K490" t="n">
        <v>0</v>
      </c>
      <c r="L490" t="n">
        <v>0</v>
      </c>
      <c r="M490" t="n">
        <v>0</v>
      </c>
      <c r="N490" t="n">
        <v>0</v>
      </c>
      <c r="O490" t="n">
        <v>0</v>
      </c>
      <c r="P490" t="n">
        <v>0</v>
      </c>
      <c r="Q490" t="n">
        <v>0</v>
      </c>
      <c r="R490" s="2" t="inlineStr"/>
    </row>
    <row r="491" ht="15" customHeight="1">
      <c r="A491" t="inlineStr">
        <is>
          <t>A 36574-2025</t>
        </is>
      </c>
      <c r="B491" s="1" t="n">
        <v>45870</v>
      </c>
      <c r="C491" s="1" t="n">
        <v>45990</v>
      </c>
      <c r="D491" t="inlineStr">
        <is>
          <t>ÖREBRO LÄN</t>
        </is>
      </c>
      <c r="E491" t="inlineStr">
        <is>
          <t>LINDESBERG</t>
        </is>
      </c>
      <c r="G491" t="n">
        <v>4</v>
      </c>
      <c r="H491" t="n">
        <v>0</v>
      </c>
      <c r="I491" t="n">
        <v>0</v>
      </c>
      <c r="J491" t="n">
        <v>0</v>
      </c>
      <c r="K491" t="n">
        <v>0</v>
      </c>
      <c r="L491" t="n">
        <v>0</v>
      </c>
      <c r="M491" t="n">
        <v>0</v>
      </c>
      <c r="N491" t="n">
        <v>0</v>
      </c>
      <c r="O491" t="n">
        <v>0</v>
      </c>
      <c r="P491" t="n">
        <v>0</v>
      </c>
      <c r="Q491" t="n">
        <v>0</v>
      </c>
      <c r="R491" s="2" t="inlineStr"/>
    </row>
    <row r="492" ht="15" customHeight="1">
      <c r="A492" t="inlineStr">
        <is>
          <t>A 36577-2025</t>
        </is>
      </c>
      <c r="B492" s="1" t="n">
        <v>45870</v>
      </c>
      <c r="C492" s="1" t="n">
        <v>45990</v>
      </c>
      <c r="D492" t="inlineStr">
        <is>
          <t>ÖREBRO LÄN</t>
        </is>
      </c>
      <c r="E492" t="inlineStr">
        <is>
          <t>LINDESBERG</t>
        </is>
      </c>
      <c r="G492" t="n">
        <v>3.7</v>
      </c>
      <c r="H492" t="n">
        <v>0</v>
      </c>
      <c r="I492" t="n">
        <v>0</v>
      </c>
      <c r="J492" t="n">
        <v>0</v>
      </c>
      <c r="K492" t="n">
        <v>0</v>
      </c>
      <c r="L492" t="n">
        <v>0</v>
      </c>
      <c r="M492" t="n">
        <v>0</v>
      </c>
      <c r="N492" t="n">
        <v>0</v>
      </c>
      <c r="O492" t="n">
        <v>0</v>
      </c>
      <c r="P492" t="n">
        <v>0</v>
      </c>
      <c r="Q492" t="n">
        <v>0</v>
      </c>
      <c r="R492" s="2" t="inlineStr"/>
    </row>
    <row r="493" ht="15" customHeight="1">
      <c r="A493" t="inlineStr">
        <is>
          <t>A 40305-2024</t>
        </is>
      </c>
      <c r="B493" s="1" t="n">
        <v>45554.71863425926</v>
      </c>
      <c r="C493" s="1" t="n">
        <v>45990</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46404-2025</t>
        </is>
      </c>
      <c r="B494" s="1" t="n">
        <v>45925.56173611111</v>
      </c>
      <c r="C494" s="1" t="n">
        <v>45990</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19436-2025</t>
        </is>
      </c>
      <c r="B495" s="1" t="n">
        <v>45769.98449074074</v>
      </c>
      <c r="C495" s="1" t="n">
        <v>45990</v>
      </c>
      <c r="D495" t="inlineStr">
        <is>
          <t>ÖREBRO LÄN</t>
        </is>
      </c>
      <c r="E495" t="inlineStr">
        <is>
          <t>LINDESBERG</t>
        </is>
      </c>
      <c r="G495" t="n">
        <v>1.2</v>
      </c>
      <c r="H495" t="n">
        <v>0</v>
      </c>
      <c r="I495" t="n">
        <v>0</v>
      </c>
      <c r="J495" t="n">
        <v>0</v>
      </c>
      <c r="K495" t="n">
        <v>0</v>
      </c>
      <c r="L495" t="n">
        <v>0</v>
      </c>
      <c r="M495" t="n">
        <v>0</v>
      </c>
      <c r="N495" t="n">
        <v>0</v>
      </c>
      <c r="O495" t="n">
        <v>0</v>
      </c>
      <c r="P495" t="n">
        <v>0</v>
      </c>
      <c r="Q495" t="n">
        <v>0</v>
      </c>
      <c r="R495" s="2" t="inlineStr"/>
    </row>
    <row r="496" ht="15" customHeight="1">
      <c r="A496" t="inlineStr">
        <is>
          <t>A 22829-2023</t>
        </is>
      </c>
      <c r="B496" s="1" t="n">
        <v>45072.42776620371</v>
      </c>
      <c r="C496" s="1" t="n">
        <v>45990</v>
      </c>
      <c r="D496" t="inlineStr">
        <is>
          <t>ÖREBRO LÄN</t>
        </is>
      </c>
      <c r="E496" t="inlineStr">
        <is>
          <t>LINDESBERG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36579-2025</t>
        </is>
      </c>
      <c r="B497" s="1" t="n">
        <v>45870</v>
      </c>
      <c r="C497" s="1" t="n">
        <v>45990</v>
      </c>
      <c r="D497" t="inlineStr">
        <is>
          <t>ÖREBRO LÄN</t>
        </is>
      </c>
      <c r="E497" t="inlineStr">
        <is>
          <t>LINDESBERG</t>
        </is>
      </c>
      <c r="G497" t="n">
        <v>6</v>
      </c>
      <c r="H497" t="n">
        <v>0</v>
      </c>
      <c r="I497" t="n">
        <v>0</v>
      </c>
      <c r="J497" t="n">
        <v>0</v>
      </c>
      <c r="K497" t="n">
        <v>0</v>
      </c>
      <c r="L497" t="n">
        <v>0</v>
      </c>
      <c r="M497" t="n">
        <v>0</v>
      </c>
      <c r="N497" t="n">
        <v>0</v>
      </c>
      <c r="O497" t="n">
        <v>0</v>
      </c>
      <c r="P497" t="n">
        <v>0</v>
      </c>
      <c r="Q497" t="n">
        <v>0</v>
      </c>
      <c r="R497" s="2" t="inlineStr"/>
    </row>
    <row r="498" ht="15" customHeight="1">
      <c r="A498" t="inlineStr">
        <is>
          <t>A 28463-2024</t>
        </is>
      </c>
      <c r="B498" s="1" t="n">
        <v>45477.70315972222</v>
      </c>
      <c r="C498" s="1" t="n">
        <v>45990</v>
      </c>
      <c r="D498" t="inlineStr">
        <is>
          <t>ÖREBRO LÄN</t>
        </is>
      </c>
      <c r="E498" t="inlineStr">
        <is>
          <t>LINDESBERG</t>
        </is>
      </c>
      <c r="G498" t="n">
        <v>6.3</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45990</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55065-2025</t>
        </is>
      </c>
      <c r="B500" s="1" t="n">
        <v>45967.7096875</v>
      </c>
      <c r="C500" s="1" t="n">
        <v>45990</v>
      </c>
      <c r="D500" t="inlineStr">
        <is>
          <t>ÖREBRO LÄN</t>
        </is>
      </c>
      <c r="E500" t="inlineStr">
        <is>
          <t>LINDESBERG</t>
        </is>
      </c>
      <c r="G500" t="n">
        <v>3.5</v>
      </c>
      <c r="H500" t="n">
        <v>0</v>
      </c>
      <c r="I500" t="n">
        <v>0</v>
      </c>
      <c r="J500" t="n">
        <v>0</v>
      </c>
      <c r="K500" t="n">
        <v>0</v>
      </c>
      <c r="L500" t="n">
        <v>0</v>
      </c>
      <c r="M500" t="n">
        <v>0</v>
      </c>
      <c r="N500" t="n">
        <v>0</v>
      </c>
      <c r="O500" t="n">
        <v>0</v>
      </c>
      <c r="P500" t="n">
        <v>0</v>
      </c>
      <c r="Q500" t="n">
        <v>0</v>
      </c>
      <c r="R500" s="2" t="inlineStr"/>
    </row>
    <row r="501" ht="15" customHeight="1">
      <c r="A501" t="inlineStr">
        <is>
          <t>A 15822-2024</t>
        </is>
      </c>
      <c r="B501" s="1" t="n">
        <v>45404.68190972223</v>
      </c>
      <c r="C501" s="1" t="n">
        <v>45990</v>
      </c>
      <c r="D501" t="inlineStr">
        <is>
          <t>ÖREBRO LÄN</t>
        </is>
      </c>
      <c r="E501" t="inlineStr">
        <is>
          <t>LINDESBERG</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36859-2025</t>
        </is>
      </c>
      <c r="B502" s="1" t="n">
        <v>45874.40503472222</v>
      </c>
      <c r="C502" s="1" t="n">
        <v>45990</v>
      </c>
      <c r="D502" t="inlineStr">
        <is>
          <t>ÖREBRO LÄN</t>
        </is>
      </c>
      <c r="E502" t="inlineStr">
        <is>
          <t>LINDESBERG</t>
        </is>
      </c>
      <c r="F502" t="inlineStr">
        <is>
          <t>Övriga Aktiebolag</t>
        </is>
      </c>
      <c r="G502" t="n">
        <v>1.4</v>
      </c>
      <c r="H502" t="n">
        <v>0</v>
      </c>
      <c r="I502" t="n">
        <v>0</v>
      </c>
      <c r="J502" t="n">
        <v>0</v>
      </c>
      <c r="K502" t="n">
        <v>0</v>
      </c>
      <c r="L502" t="n">
        <v>0</v>
      </c>
      <c r="M502" t="n">
        <v>0</v>
      </c>
      <c r="N502" t="n">
        <v>0</v>
      </c>
      <c r="O502" t="n">
        <v>0</v>
      </c>
      <c r="P502" t="n">
        <v>0</v>
      </c>
      <c r="Q502" t="n">
        <v>0</v>
      </c>
      <c r="R502" s="2" t="inlineStr"/>
    </row>
    <row r="503" ht="15" customHeight="1">
      <c r="A503" t="inlineStr">
        <is>
          <t>A 59052-2023</t>
        </is>
      </c>
      <c r="B503" s="1" t="n">
        <v>45252.78021990741</v>
      </c>
      <c r="C503" s="1" t="n">
        <v>45990</v>
      </c>
      <c r="D503" t="inlineStr">
        <is>
          <t>ÖREBRO LÄN</t>
        </is>
      </c>
      <c r="E503" t="inlineStr">
        <is>
          <t>LINDESBERG</t>
        </is>
      </c>
      <c r="G503" t="n">
        <v>4.2</v>
      </c>
      <c r="H503" t="n">
        <v>0</v>
      </c>
      <c r="I503" t="n">
        <v>0</v>
      </c>
      <c r="J503" t="n">
        <v>0</v>
      </c>
      <c r="K503" t="n">
        <v>0</v>
      </c>
      <c r="L503" t="n">
        <v>0</v>
      </c>
      <c r="M503" t="n">
        <v>0</v>
      </c>
      <c r="N503" t="n">
        <v>0</v>
      </c>
      <c r="O503" t="n">
        <v>0</v>
      </c>
      <c r="P503" t="n">
        <v>0</v>
      </c>
      <c r="Q503" t="n">
        <v>0</v>
      </c>
      <c r="R503" s="2" t="inlineStr"/>
    </row>
    <row r="504" ht="15" customHeight="1">
      <c r="A504" t="inlineStr">
        <is>
          <t>A 2107-2022</t>
        </is>
      </c>
      <c r="B504" s="1" t="n">
        <v>44577.83484953704</v>
      </c>
      <c r="C504" s="1" t="n">
        <v>45990</v>
      </c>
      <c r="D504" t="inlineStr">
        <is>
          <t>ÖREBRO LÄN</t>
        </is>
      </c>
      <c r="E504" t="inlineStr">
        <is>
          <t>LINDESBERG</t>
        </is>
      </c>
      <c r="G504" t="n">
        <v>2.9</v>
      </c>
      <c r="H504" t="n">
        <v>0</v>
      </c>
      <c r="I504" t="n">
        <v>0</v>
      </c>
      <c r="J504" t="n">
        <v>0</v>
      </c>
      <c r="K504" t="n">
        <v>0</v>
      </c>
      <c r="L504" t="n">
        <v>0</v>
      </c>
      <c r="M504" t="n">
        <v>0</v>
      </c>
      <c r="N504" t="n">
        <v>0</v>
      </c>
      <c r="O504" t="n">
        <v>0</v>
      </c>
      <c r="P504" t="n">
        <v>0</v>
      </c>
      <c r="Q504" t="n">
        <v>0</v>
      </c>
      <c r="R504" s="2" t="inlineStr"/>
    </row>
    <row r="505" ht="15" customHeight="1">
      <c r="A505" t="inlineStr">
        <is>
          <t>A 23603-2023</t>
        </is>
      </c>
      <c r="B505" s="1" t="n">
        <v>45077</v>
      </c>
      <c r="C505" s="1" t="n">
        <v>45990</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23607-2023</t>
        </is>
      </c>
      <c r="B506" s="1" t="n">
        <v>45077</v>
      </c>
      <c r="C506" s="1" t="n">
        <v>45990</v>
      </c>
      <c r="D506" t="inlineStr">
        <is>
          <t>ÖREBRO LÄN</t>
        </is>
      </c>
      <c r="E506" t="inlineStr">
        <is>
          <t>LINDESBERG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23612-2023</t>
        </is>
      </c>
      <c r="B507" s="1" t="n">
        <v>45077</v>
      </c>
      <c r="C507" s="1" t="n">
        <v>45990</v>
      </c>
      <c r="D507" t="inlineStr">
        <is>
          <t>ÖREBRO LÄN</t>
        </is>
      </c>
      <c r="E507" t="inlineStr">
        <is>
          <t>LINDESBERG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45990</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37490-2025</t>
        </is>
      </c>
      <c r="B509" s="1" t="n">
        <v>45877.63989583333</v>
      </c>
      <c r="C509" s="1" t="n">
        <v>45990</v>
      </c>
      <c r="D509" t="inlineStr">
        <is>
          <t>ÖREBRO LÄN</t>
        </is>
      </c>
      <c r="E509" t="inlineStr">
        <is>
          <t>LINDESBERG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37491-2025</t>
        </is>
      </c>
      <c r="B510" s="1" t="n">
        <v>45877.64144675926</v>
      </c>
      <c r="C510" s="1" t="n">
        <v>45990</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37499-2025</t>
        </is>
      </c>
      <c r="B511" s="1" t="n">
        <v>45877.64605324074</v>
      </c>
      <c r="C511" s="1" t="n">
        <v>45990</v>
      </c>
      <c r="D511" t="inlineStr">
        <is>
          <t>ÖREBRO LÄN</t>
        </is>
      </c>
      <c r="E511" t="inlineStr">
        <is>
          <t>LINDESBERG</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37503-2025</t>
        </is>
      </c>
      <c r="B512" s="1" t="n">
        <v>45877.65075231482</v>
      </c>
      <c r="C512" s="1" t="n">
        <v>45990</v>
      </c>
      <c r="D512" t="inlineStr">
        <is>
          <t>ÖREBRO LÄN</t>
        </is>
      </c>
      <c r="E512" t="inlineStr">
        <is>
          <t>LINDESBERG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37501-2025</t>
        </is>
      </c>
      <c r="B513" s="1" t="n">
        <v>45877.64847222222</v>
      </c>
      <c r="C513" s="1" t="n">
        <v>45990</v>
      </c>
      <c r="D513" t="inlineStr">
        <is>
          <t>ÖREBRO LÄN</t>
        </is>
      </c>
      <c r="E513" t="inlineStr">
        <is>
          <t>LINDESBERG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37500-2025</t>
        </is>
      </c>
      <c r="B514" s="1" t="n">
        <v>45877.64776620371</v>
      </c>
      <c r="C514" s="1" t="n">
        <v>45990</v>
      </c>
      <c r="D514" t="inlineStr">
        <is>
          <t>ÖREBRO LÄN</t>
        </is>
      </c>
      <c r="E514" t="inlineStr">
        <is>
          <t>LINDESBERG</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37301-2025</t>
        </is>
      </c>
      <c r="B515" s="1" t="n">
        <v>45876.59166666667</v>
      </c>
      <c r="C515" s="1" t="n">
        <v>45990</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37492-2025</t>
        </is>
      </c>
      <c r="B516" s="1" t="n">
        <v>45877.64230324074</v>
      </c>
      <c r="C516" s="1" t="n">
        <v>45990</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37837-2025</t>
        </is>
      </c>
      <c r="B517" s="1" t="n">
        <v>45881.42791666667</v>
      </c>
      <c r="C517" s="1" t="n">
        <v>45990</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23641-2024</t>
        </is>
      </c>
      <c r="B518" s="1" t="n">
        <v>45454.49679398148</v>
      </c>
      <c r="C518" s="1" t="n">
        <v>45990</v>
      </c>
      <c r="D518" t="inlineStr">
        <is>
          <t>ÖREBRO LÄN</t>
        </is>
      </c>
      <c r="E518" t="inlineStr">
        <is>
          <t>LINDESBERG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37602-2025</t>
        </is>
      </c>
      <c r="B519" s="1" t="n">
        <v>45880</v>
      </c>
      <c r="C519" s="1" t="n">
        <v>45990</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37625-2025</t>
        </is>
      </c>
      <c r="B520" s="1" t="n">
        <v>45880.46056712963</v>
      </c>
      <c r="C520" s="1" t="n">
        <v>45990</v>
      </c>
      <c r="D520" t="inlineStr">
        <is>
          <t>ÖREBRO LÄN</t>
        </is>
      </c>
      <c r="E520" t="inlineStr">
        <is>
          <t>LINDESBERG</t>
        </is>
      </c>
      <c r="G520" t="n">
        <v>12.5</v>
      </c>
      <c r="H520" t="n">
        <v>0</v>
      </c>
      <c r="I520" t="n">
        <v>0</v>
      </c>
      <c r="J520" t="n">
        <v>0</v>
      </c>
      <c r="K520" t="n">
        <v>0</v>
      </c>
      <c r="L520" t="n">
        <v>0</v>
      </c>
      <c r="M520" t="n">
        <v>0</v>
      </c>
      <c r="N520" t="n">
        <v>0</v>
      </c>
      <c r="O520" t="n">
        <v>0</v>
      </c>
      <c r="P520" t="n">
        <v>0</v>
      </c>
      <c r="Q520" t="n">
        <v>0</v>
      </c>
      <c r="R520" s="2" t="inlineStr"/>
    </row>
    <row r="521" ht="15" customHeight="1">
      <c r="A521" t="inlineStr">
        <is>
          <t>A 46219-2022</t>
        </is>
      </c>
      <c r="B521" s="1" t="n">
        <v>44846</v>
      </c>
      <c r="C521" s="1" t="n">
        <v>45990</v>
      </c>
      <c r="D521" t="inlineStr">
        <is>
          <t>ÖREBRO LÄN</t>
        </is>
      </c>
      <c r="E521" t="inlineStr">
        <is>
          <t>LINDESBERG</t>
        </is>
      </c>
      <c r="G521" t="n">
        <v>6</v>
      </c>
      <c r="H521" t="n">
        <v>0</v>
      </c>
      <c r="I521" t="n">
        <v>0</v>
      </c>
      <c r="J521" t="n">
        <v>0</v>
      </c>
      <c r="K521" t="n">
        <v>0</v>
      </c>
      <c r="L521" t="n">
        <v>0</v>
      </c>
      <c r="M521" t="n">
        <v>0</v>
      </c>
      <c r="N521" t="n">
        <v>0</v>
      </c>
      <c r="O521" t="n">
        <v>0</v>
      </c>
      <c r="P521" t="n">
        <v>0</v>
      </c>
      <c r="Q521" t="n">
        <v>0</v>
      </c>
      <c r="R521" s="2" t="inlineStr"/>
    </row>
    <row r="522" ht="15" customHeight="1">
      <c r="A522" t="inlineStr">
        <is>
          <t>A 37552-2025</t>
        </is>
      </c>
      <c r="B522" s="1" t="n">
        <v>45880.28673611111</v>
      </c>
      <c r="C522" s="1" t="n">
        <v>45990</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10057-2025</t>
        </is>
      </c>
      <c r="B523" s="1" t="n">
        <v>45719.52871527777</v>
      </c>
      <c r="C523" s="1" t="n">
        <v>45990</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37935-2025</t>
        </is>
      </c>
      <c r="B524" s="1" t="n">
        <v>45881.59550925926</v>
      </c>
      <c r="C524" s="1" t="n">
        <v>45990</v>
      </c>
      <c r="D524" t="inlineStr">
        <is>
          <t>ÖREBRO LÄN</t>
        </is>
      </c>
      <c r="E524" t="inlineStr">
        <is>
          <t>LINDESBERG</t>
        </is>
      </c>
      <c r="G524" t="n">
        <v>5.1</v>
      </c>
      <c r="H524" t="n">
        <v>0</v>
      </c>
      <c r="I524" t="n">
        <v>0</v>
      </c>
      <c r="J524" t="n">
        <v>0</v>
      </c>
      <c r="K524" t="n">
        <v>0</v>
      </c>
      <c r="L524" t="n">
        <v>0</v>
      </c>
      <c r="M524" t="n">
        <v>0</v>
      </c>
      <c r="N524" t="n">
        <v>0</v>
      </c>
      <c r="O524" t="n">
        <v>0</v>
      </c>
      <c r="P524" t="n">
        <v>0</v>
      </c>
      <c r="Q524" t="n">
        <v>0</v>
      </c>
      <c r="R524" s="2" t="inlineStr"/>
    </row>
    <row r="525" ht="15" customHeight="1">
      <c r="A525" t="inlineStr">
        <is>
          <t>A 37553-2025</t>
        </is>
      </c>
      <c r="B525" s="1" t="n">
        <v>45880.3172337963</v>
      </c>
      <c r="C525" s="1" t="n">
        <v>45990</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54862-2024</t>
        </is>
      </c>
      <c r="B526" s="1" t="n">
        <v>45618</v>
      </c>
      <c r="C526" s="1" t="n">
        <v>45990</v>
      </c>
      <c r="D526" t="inlineStr">
        <is>
          <t>ÖREBRO LÄN</t>
        </is>
      </c>
      <c r="E526" t="inlineStr">
        <is>
          <t>LINDESBERG</t>
        </is>
      </c>
      <c r="F526" t="inlineStr">
        <is>
          <t>Sveaskog</t>
        </is>
      </c>
      <c r="G526" t="n">
        <v>12.2</v>
      </c>
      <c r="H526" t="n">
        <v>0</v>
      </c>
      <c r="I526" t="n">
        <v>0</v>
      </c>
      <c r="J526" t="n">
        <v>0</v>
      </c>
      <c r="K526" t="n">
        <v>0</v>
      </c>
      <c r="L526" t="n">
        <v>0</v>
      </c>
      <c r="M526" t="n">
        <v>0</v>
      </c>
      <c r="N526" t="n">
        <v>0</v>
      </c>
      <c r="O526" t="n">
        <v>0</v>
      </c>
      <c r="P526" t="n">
        <v>0</v>
      </c>
      <c r="Q526" t="n">
        <v>0</v>
      </c>
      <c r="R526" s="2" t="inlineStr"/>
    </row>
    <row r="527" ht="15" customHeight="1">
      <c r="A527" t="inlineStr">
        <is>
          <t>A 5358-2022</t>
        </is>
      </c>
      <c r="B527" s="1" t="n">
        <v>44594.84091435185</v>
      </c>
      <c r="C527" s="1" t="n">
        <v>45990</v>
      </c>
      <c r="D527" t="inlineStr">
        <is>
          <t>ÖREBRO LÄN</t>
        </is>
      </c>
      <c r="E527" t="inlineStr">
        <is>
          <t>LINDESBERG</t>
        </is>
      </c>
      <c r="G527" t="n">
        <v>2.8</v>
      </c>
      <c r="H527" t="n">
        <v>0</v>
      </c>
      <c r="I527" t="n">
        <v>0</v>
      </c>
      <c r="J527" t="n">
        <v>0</v>
      </c>
      <c r="K527" t="n">
        <v>0</v>
      </c>
      <c r="L527" t="n">
        <v>0</v>
      </c>
      <c r="M527" t="n">
        <v>0</v>
      </c>
      <c r="N527" t="n">
        <v>0</v>
      </c>
      <c r="O527" t="n">
        <v>0</v>
      </c>
      <c r="P527" t="n">
        <v>0</v>
      </c>
      <c r="Q527" t="n">
        <v>0</v>
      </c>
      <c r="R527" s="2" t="inlineStr"/>
    </row>
    <row r="528" ht="15" customHeight="1">
      <c r="A528" t="inlineStr">
        <is>
          <t>A 60943-2024</t>
        </is>
      </c>
      <c r="B528" s="1" t="n">
        <v>45645.3737962963</v>
      </c>
      <c r="C528" s="1" t="n">
        <v>45990</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41948-2023</t>
        </is>
      </c>
      <c r="B529" s="1" t="n">
        <v>45177.33091435185</v>
      </c>
      <c r="C529" s="1" t="n">
        <v>45990</v>
      </c>
      <c r="D529" t="inlineStr">
        <is>
          <t>ÖREBRO LÄN</t>
        </is>
      </c>
      <c r="E529" t="inlineStr">
        <is>
          <t>LINDESBERG</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44804-2024</t>
        </is>
      </c>
      <c r="B530" s="1" t="n">
        <v>45574.65189814815</v>
      </c>
      <c r="C530" s="1" t="n">
        <v>45990</v>
      </c>
      <c r="D530" t="inlineStr">
        <is>
          <t>ÖREBRO LÄN</t>
        </is>
      </c>
      <c r="E530" t="inlineStr">
        <is>
          <t>LINDESBERG</t>
        </is>
      </c>
      <c r="F530" t="inlineStr">
        <is>
          <t>Sveaskog</t>
        </is>
      </c>
      <c r="G530" t="n">
        <v>5.7</v>
      </c>
      <c r="H530" t="n">
        <v>0</v>
      </c>
      <c r="I530" t="n">
        <v>0</v>
      </c>
      <c r="J530" t="n">
        <v>0</v>
      </c>
      <c r="K530" t="n">
        <v>0</v>
      </c>
      <c r="L530" t="n">
        <v>0</v>
      </c>
      <c r="M530" t="n">
        <v>0</v>
      </c>
      <c r="N530" t="n">
        <v>0</v>
      </c>
      <c r="O530" t="n">
        <v>0</v>
      </c>
      <c r="P530" t="n">
        <v>0</v>
      </c>
      <c r="Q530" t="n">
        <v>0</v>
      </c>
      <c r="R530" s="2" t="inlineStr"/>
    </row>
    <row r="531" ht="15" customHeight="1">
      <c r="A531" t="inlineStr">
        <is>
          <t>A 55255-2025</t>
        </is>
      </c>
      <c r="B531" s="1" t="n">
        <v>45968.63695601852</v>
      </c>
      <c r="C531" s="1" t="n">
        <v>45990</v>
      </c>
      <c r="D531" t="inlineStr">
        <is>
          <t>ÖREBRO LÄN</t>
        </is>
      </c>
      <c r="E531" t="inlineStr">
        <is>
          <t>LINDESBERG</t>
        </is>
      </c>
      <c r="F531" t="inlineStr">
        <is>
          <t>Kyrkan</t>
        </is>
      </c>
      <c r="G531" t="n">
        <v>1</v>
      </c>
      <c r="H531" t="n">
        <v>0</v>
      </c>
      <c r="I531" t="n">
        <v>0</v>
      </c>
      <c r="J531" t="n">
        <v>0</v>
      </c>
      <c r="K531" t="n">
        <v>0</v>
      </c>
      <c r="L531" t="n">
        <v>0</v>
      </c>
      <c r="M531" t="n">
        <v>0</v>
      </c>
      <c r="N531" t="n">
        <v>0</v>
      </c>
      <c r="O531" t="n">
        <v>0</v>
      </c>
      <c r="P531" t="n">
        <v>0</v>
      </c>
      <c r="Q531" t="n">
        <v>0</v>
      </c>
      <c r="R531" s="2" t="inlineStr"/>
    </row>
    <row r="532" ht="15" customHeight="1">
      <c r="A532" t="inlineStr">
        <is>
          <t>A 26778-2023</t>
        </is>
      </c>
      <c r="B532" s="1" t="n">
        <v>45093.48221064815</v>
      </c>
      <c r="C532" s="1" t="n">
        <v>45990</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55490-2025</t>
        </is>
      </c>
      <c r="B533" s="1" t="n">
        <v>45971.57659722222</v>
      </c>
      <c r="C533" s="1" t="n">
        <v>45990</v>
      </c>
      <c r="D533" t="inlineStr">
        <is>
          <t>ÖREBRO LÄN</t>
        </is>
      </c>
      <c r="E533" t="inlineStr">
        <is>
          <t>LINDESBERG</t>
        </is>
      </c>
      <c r="G533" t="n">
        <v>1.1</v>
      </c>
      <c r="H533" t="n">
        <v>0</v>
      </c>
      <c r="I533" t="n">
        <v>0</v>
      </c>
      <c r="J533" t="n">
        <v>0</v>
      </c>
      <c r="K533" t="n">
        <v>0</v>
      </c>
      <c r="L533" t="n">
        <v>0</v>
      </c>
      <c r="M533" t="n">
        <v>0</v>
      </c>
      <c r="N533" t="n">
        <v>0</v>
      </c>
      <c r="O533" t="n">
        <v>0</v>
      </c>
      <c r="P533" t="n">
        <v>0</v>
      </c>
      <c r="Q533" t="n">
        <v>0</v>
      </c>
      <c r="R533" s="2" t="inlineStr"/>
    </row>
    <row r="534" ht="15" customHeight="1">
      <c r="A534" t="inlineStr">
        <is>
          <t>A 55477-2025</t>
        </is>
      </c>
      <c r="B534" s="1" t="n">
        <v>45971.56197916667</v>
      </c>
      <c r="C534" s="1" t="n">
        <v>45990</v>
      </c>
      <c r="D534" t="inlineStr">
        <is>
          <t>ÖREBRO LÄN</t>
        </is>
      </c>
      <c r="E534" t="inlineStr">
        <is>
          <t>LINDESBERG</t>
        </is>
      </c>
      <c r="G534" t="n">
        <v>1.2</v>
      </c>
      <c r="H534" t="n">
        <v>0</v>
      </c>
      <c r="I534" t="n">
        <v>0</v>
      </c>
      <c r="J534" t="n">
        <v>0</v>
      </c>
      <c r="K534" t="n">
        <v>0</v>
      </c>
      <c r="L534" t="n">
        <v>0</v>
      </c>
      <c r="M534" t="n">
        <v>0</v>
      </c>
      <c r="N534" t="n">
        <v>0</v>
      </c>
      <c r="O534" t="n">
        <v>0</v>
      </c>
      <c r="P534" t="n">
        <v>0</v>
      </c>
      <c r="Q534" t="n">
        <v>0</v>
      </c>
      <c r="R534" s="2" t="inlineStr"/>
    </row>
    <row r="535" ht="15" customHeight="1">
      <c r="A535" t="inlineStr">
        <is>
          <t>A 19392-2025</t>
        </is>
      </c>
      <c r="B535" s="1" t="n">
        <v>45769.66260416667</v>
      </c>
      <c r="C535" s="1" t="n">
        <v>45990</v>
      </c>
      <c r="D535" t="inlineStr">
        <is>
          <t>ÖREBRO LÄN</t>
        </is>
      </c>
      <c r="E535" t="inlineStr">
        <is>
          <t>LINDESBERG</t>
        </is>
      </c>
      <c r="G535" t="n">
        <v>6.5</v>
      </c>
      <c r="H535" t="n">
        <v>0</v>
      </c>
      <c r="I535" t="n">
        <v>0</v>
      </c>
      <c r="J535" t="n">
        <v>0</v>
      </c>
      <c r="K535" t="n">
        <v>0</v>
      </c>
      <c r="L535" t="n">
        <v>0</v>
      </c>
      <c r="M535" t="n">
        <v>0</v>
      </c>
      <c r="N535" t="n">
        <v>0</v>
      </c>
      <c r="O535" t="n">
        <v>0</v>
      </c>
      <c r="P535" t="n">
        <v>0</v>
      </c>
      <c r="Q535" t="n">
        <v>0</v>
      </c>
      <c r="R535" s="2" t="inlineStr"/>
    </row>
    <row r="536" ht="15" customHeight="1">
      <c r="A536" t="inlineStr">
        <is>
          <t>A 61597-2023</t>
        </is>
      </c>
      <c r="B536" s="1" t="n">
        <v>45265.49225694445</v>
      </c>
      <c r="C536" s="1" t="n">
        <v>45990</v>
      </c>
      <c r="D536" t="inlineStr">
        <is>
          <t>ÖREBRO LÄN</t>
        </is>
      </c>
      <c r="E536" t="inlineStr">
        <is>
          <t>LINDESBERG</t>
        </is>
      </c>
      <c r="G536" t="n">
        <v>10.3</v>
      </c>
      <c r="H536" t="n">
        <v>0</v>
      </c>
      <c r="I536" t="n">
        <v>0</v>
      </c>
      <c r="J536" t="n">
        <v>0</v>
      </c>
      <c r="K536" t="n">
        <v>0</v>
      </c>
      <c r="L536" t="n">
        <v>0</v>
      </c>
      <c r="M536" t="n">
        <v>0</v>
      </c>
      <c r="N536" t="n">
        <v>0</v>
      </c>
      <c r="O536" t="n">
        <v>0</v>
      </c>
      <c r="P536" t="n">
        <v>0</v>
      </c>
      <c r="Q536" t="n">
        <v>0</v>
      </c>
      <c r="R536" s="2" t="inlineStr"/>
    </row>
    <row r="537" ht="15" customHeight="1">
      <c r="A537" t="inlineStr">
        <is>
          <t>A 46757-2025</t>
        </is>
      </c>
      <c r="B537" s="1" t="n">
        <v>45926.62039351852</v>
      </c>
      <c r="C537" s="1" t="n">
        <v>45990</v>
      </c>
      <c r="D537" t="inlineStr">
        <is>
          <t>ÖREBRO LÄN</t>
        </is>
      </c>
      <c r="E537" t="inlineStr">
        <is>
          <t>LINDESBERG</t>
        </is>
      </c>
      <c r="G537" t="n">
        <v>7.9</v>
      </c>
      <c r="H537" t="n">
        <v>0</v>
      </c>
      <c r="I537" t="n">
        <v>0</v>
      </c>
      <c r="J537" t="n">
        <v>0</v>
      </c>
      <c r="K537" t="n">
        <v>0</v>
      </c>
      <c r="L537" t="n">
        <v>0</v>
      </c>
      <c r="M537" t="n">
        <v>0</v>
      </c>
      <c r="N537" t="n">
        <v>0</v>
      </c>
      <c r="O537" t="n">
        <v>0</v>
      </c>
      <c r="P537" t="n">
        <v>0</v>
      </c>
      <c r="Q537" t="n">
        <v>0</v>
      </c>
      <c r="R537" s="2" t="inlineStr"/>
    </row>
    <row r="538" ht="15" customHeight="1">
      <c r="A538" t="inlineStr">
        <is>
          <t>A 7211-2024</t>
        </is>
      </c>
      <c r="B538" s="1" t="n">
        <v>45344.623125</v>
      </c>
      <c r="C538" s="1" t="n">
        <v>45990</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41582-2021</t>
        </is>
      </c>
      <c r="B539" s="1" t="n">
        <v>44425.40297453704</v>
      </c>
      <c r="C539" s="1" t="n">
        <v>45990</v>
      </c>
      <c r="D539" t="inlineStr">
        <is>
          <t>ÖREBRO LÄN</t>
        </is>
      </c>
      <c r="E539" t="inlineStr">
        <is>
          <t>LINDESBERG</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47678-2025</t>
        </is>
      </c>
      <c r="B540" s="1" t="n">
        <v>45931.57967592592</v>
      </c>
      <c r="C540" s="1" t="n">
        <v>45990</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6511-2025</t>
        </is>
      </c>
      <c r="B541" s="1" t="n">
        <v>45699.65424768518</v>
      </c>
      <c r="C541" s="1" t="n">
        <v>45990</v>
      </c>
      <c r="D541" t="inlineStr">
        <is>
          <t>ÖREBRO LÄN</t>
        </is>
      </c>
      <c r="E541" t="inlineStr">
        <is>
          <t>LINDESBERG</t>
        </is>
      </c>
      <c r="G541" t="n">
        <v>9.1</v>
      </c>
      <c r="H541" t="n">
        <v>0</v>
      </c>
      <c r="I541" t="n">
        <v>0</v>
      </c>
      <c r="J541" t="n">
        <v>0</v>
      </c>
      <c r="K541" t="n">
        <v>0</v>
      </c>
      <c r="L541" t="n">
        <v>0</v>
      </c>
      <c r="M541" t="n">
        <v>0</v>
      </c>
      <c r="N541" t="n">
        <v>0</v>
      </c>
      <c r="O541" t="n">
        <v>0</v>
      </c>
      <c r="P541" t="n">
        <v>0</v>
      </c>
      <c r="Q541" t="n">
        <v>0</v>
      </c>
      <c r="R541" s="2" t="inlineStr"/>
    </row>
    <row r="542" ht="15" customHeight="1">
      <c r="A542" t="inlineStr">
        <is>
          <t>A 38534-2025</t>
        </is>
      </c>
      <c r="B542" s="1" t="n">
        <v>45884</v>
      </c>
      <c r="C542" s="1" t="n">
        <v>45990</v>
      </c>
      <c r="D542" t="inlineStr">
        <is>
          <t>ÖREBRO LÄN</t>
        </is>
      </c>
      <c r="E542" t="inlineStr">
        <is>
          <t>LINDESBERG</t>
        </is>
      </c>
      <c r="G542" t="n">
        <v>4.9</v>
      </c>
      <c r="H542" t="n">
        <v>0</v>
      </c>
      <c r="I542" t="n">
        <v>0</v>
      </c>
      <c r="J542" t="n">
        <v>0</v>
      </c>
      <c r="K542" t="n">
        <v>0</v>
      </c>
      <c r="L542" t="n">
        <v>0</v>
      </c>
      <c r="M542" t="n">
        <v>0</v>
      </c>
      <c r="N542" t="n">
        <v>0</v>
      </c>
      <c r="O542" t="n">
        <v>0</v>
      </c>
      <c r="P542" t="n">
        <v>0</v>
      </c>
      <c r="Q542" t="n">
        <v>0</v>
      </c>
      <c r="R542" s="2" t="inlineStr"/>
    </row>
    <row r="543" ht="15" customHeight="1">
      <c r="A543" t="inlineStr">
        <is>
          <t>A 38460-2024</t>
        </is>
      </c>
      <c r="B543" s="1" t="n">
        <v>45546.46497685185</v>
      </c>
      <c r="C543" s="1" t="n">
        <v>45990</v>
      </c>
      <c r="D543" t="inlineStr">
        <is>
          <t>ÖREBRO LÄN</t>
        </is>
      </c>
      <c r="E543" t="inlineStr">
        <is>
          <t>LINDESBERG</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47676-2025</t>
        </is>
      </c>
      <c r="B544" s="1" t="n">
        <v>45931.57756944445</v>
      </c>
      <c r="C544" s="1" t="n">
        <v>45990</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48265-2021</t>
        </is>
      </c>
      <c r="B545" s="1" t="n">
        <v>44449</v>
      </c>
      <c r="C545" s="1" t="n">
        <v>45990</v>
      </c>
      <c r="D545" t="inlineStr">
        <is>
          <t>ÖREBRO LÄN</t>
        </is>
      </c>
      <c r="E545" t="inlineStr">
        <is>
          <t>LINDESBERG</t>
        </is>
      </c>
      <c r="G545" t="n">
        <v>23.7</v>
      </c>
      <c r="H545" t="n">
        <v>0</v>
      </c>
      <c r="I545" t="n">
        <v>0</v>
      </c>
      <c r="J545" t="n">
        <v>0</v>
      </c>
      <c r="K545" t="n">
        <v>0</v>
      </c>
      <c r="L545" t="n">
        <v>0</v>
      </c>
      <c r="M545" t="n">
        <v>0</v>
      </c>
      <c r="N545" t="n">
        <v>0</v>
      </c>
      <c r="O545" t="n">
        <v>0</v>
      </c>
      <c r="P545" t="n">
        <v>0</v>
      </c>
      <c r="Q545" t="n">
        <v>0</v>
      </c>
      <c r="R545" s="2" t="inlineStr"/>
    </row>
    <row r="546" ht="15" customHeight="1">
      <c r="A546" t="inlineStr">
        <is>
          <t>A 67016-2021</t>
        </is>
      </c>
      <c r="B546" s="1" t="n">
        <v>44522</v>
      </c>
      <c r="C546" s="1" t="n">
        <v>45990</v>
      </c>
      <c r="D546" t="inlineStr">
        <is>
          <t>ÖREBRO LÄN</t>
        </is>
      </c>
      <c r="E546" t="inlineStr">
        <is>
          <t>LINDESBERG</t>
        </is>
      </c>
      <c r="G546" t="n">
        <v>8</v>
      </c>
      <c r="H546" t="n">
        <v>0</v>
      </c>
      <c r="I546" t="n">
        <v>0</v>
      </c>
      <c r="J546" t="n">
        <v>0</v>
      </c>
      <c r="K546" t="n">
        <v>0</v>
      </c>
      <c r="L546" t="n">
        <v>0</v>
      </c>
      <c r="M546" t="n">
        <v>0</v>
      </c>
      <c r="N546" t="n">
        <v>0</v>
      </c>
      <c r="O546" t="n">
        <v>0</v>
      </c>
      <c r="P546" t="n">
        <v>0</v>
      </c>
      <c r="Q546" t="n">
        <v>0</v>
      </c>
      <c r="R546" s="2" t="inlineStr"/>
    </row>
    <row r="547" ht="15" customHeight="1">
      <c r="A547" t="inlineStr">
        <is>
          <t>A 7026-2024</t>
        </is>
      </c>
      <c r="B547" s="1" t="n">
        <v>45343.58587962963</v>
      </c>
      <c r="C547" s="1" t="n">
        <v>45990</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4013-2025</t>
        </is>
      </c>
      <c r="B548" s="1" t="n">
        <v>45684.5790162037</v>
      </c>
      <c r="C548" s="1" t="n">
        <v>45990</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33978-2023</t>
        </is>
      </c>
      <c r="B549" s="1" t="n">
        <v>45134.68158564815</v>
      </c>
      <c r="C549" s="1" t="n">
        <v>45990</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55272-2023</t>
        </is>
      </c>
      <c r="B550" s="1" t="n">
        <v>45237.67819444444</v>
      </c>
      <c r="C550" s="1" t="n">
        <v>45990</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12307-2025</t>
        </is>
      </c>
      <c r="B551" s="1" t="n">
        <v>45729.76231481481</v>
      </c>
      <c r="C551" s="1" t="n">
        <v>45990</v>
      </c>
      <c r="D551" t="inlineStr">
        <is>
          <t>ÖREBRO LÄN</t>
        </is>
      </c>
      <c r="E551" t="inlineStr">
        <is>
          <t>LINDESBERG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15852-2025</t>
        </is>
      </c>
      <c r="B552" s="1" t="n">
        <v>45749</v>
      </c>
      <c r="C552" s="1" t="n">
        <v>45990</v>
      </c>
      <c r="D552" t="inlineStr">
        <is>
          <t>ÖREBRO LÄN</t>
        </is>
      </c>
      <c r="E552" t="inlineStr">
        <is>
          <t>LINDESBERG</t>
        </is>
      </c>
      <c r="G552" t="n">
        <v>8.9</v>
      </c>
      <c r="H552" t="n">
        <v>0</v>
      </c>
      <c r="I552" t="n">
        <v>0</v>
      </c>
      <c r="J552" t="n">
        <v>0</v>
      </c>
      <c r="K552" t="n">
        <v>0</v>
      </c>
      <c r="L552" t="n">
        <v>0</v>
      </c>
      <c r="M552" t="n">
        <v>0</v>
      </c>
      <c r="N552" t="n">
        <v>0</v>
      </c>
      <c r="O552" t="n">
        <v>0</v>
      </c>
      <c r="P552" t="n">
        <v>0</v>
      </c>
      <c r="Q552" t="n">
        <v>0</v>
      </c>
      <c r="R552" s="2" t="inlineStr"/>
    </row>
    <row r="553" ht="15" customHeight="1">
      <c r="A553" t="inlineStr">
        <is>
          <t>A 8834-2023</t>
        </is>
      </c>
      <c r="B553" s="1" t="n">
        <v>44978</v>
      </c>
      <c r="C553" s="1" t="n">
        <v>45990</v>
      </c>
      <c r="D553" t="inlineStr">
        <is>
          <t>ÖREBRO LÄN</t>
        </is>
      </c>
      <c r="E553" t="inlineStr">
        <is>
          <t>LINDESBERG</t>
        </is>
      </c>
      <c r="G553" t="n">
        <v>0.5</v>
      </c>
      <c r="H553" t="n">
        <v>0</v>
      </c>
      <c r="I553" t="n">
        <v>0</v>
      </c>
      <c r="J553" t="n">
        <v>0</v>
      </c>
      <c r="K553" t="n">
        <v>0</v>
      </c>
      <c r="L553" t="n">
        <v>0</v>
      </c>
      <c r="M553" t="n">
        <v>0</v>
      </c>
      <c r="N553" t="n">
        <v>0</v>
      </c>
      <c r="O553" t="n">
        <v>0</v>
      </c>
      <c r="P553" t="n">
        <v>0</v>
      </c>
      <c r="Q553" t="n">
        <v>0</v>
      </c>
      <c r="R553" s="2" t="inlineStr"/>
    </row>
    <row r="554" ht="15" customHeight="1">
      <c r="A554" t="inlineStr">
        <is>
          <t>A 38509-2025</t>
        </is>
      </c>
      <c r="B554" s="1" t="n">
        <v>45884.38858796296</v>
      </c>
      <c r="C554" s="1" t="n">
        <v>45990</v>
      </c>
      <c r="D554" t="inlineStr">
        <is>
          <t>ÖREBRO LÄN</t>
        </is>
      </c>
      <c r="E554" t="inlineStr">
        <is>
          <t>LINDESBERG</t>
        </is>
      </c>
      <c r="G554" t="n">
        <v>14.9</v>
      </c>
      <c r="H554" t="n">
        <v>0</v>
      </c>
      <c r="I554" t="n">
        <v>0</v>
      </c>
      <c r="J554" t="n">
        <v>0</v>
      </c>
      <c r="K554" t="n">
        <v>0</v>
      </c>
      <c r="L554" t="n">
        <v>0</v>
      </c>
      <c r="M554" t="n">
        <v>0</v>
      </c>
      <c r="N554" t="n">
        <v>0</v>
      </c>
      <c r="O554" t="n">
        <v>0</v>
      </c>
      <c r="P554" t="n">
        <v>0</v>
      </c>
      <c r="Q554" t="n">
        <v>0</v>
      </c>
      <c r="R554" s="2" t="inlineStr"/>
    </row>
    <row r="555" ht="15" customHeight="1">
      <c r="A555" t="inlineStr">
        <is>
          <t>A 51071-2022</t>
        </is>
      </c>
      <c r="B555" s="1" t="n">
        <v>44868.36924768519</v>
      </c>
      <c r="C555" s="1" t="n">
        <v>45990</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60926-2024</t>
        </is>
      </c>
      <c r="B556" s="1" t="n">
        <v>45645</v>
      </c>
      <c r="C556" s="1" t="n">
        <v>45990</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1383-2025</t>
        </is>
      </c>
      <c r="B557" s="1" t="n">
        <v>45667</v>
      </c>
      <c r="C557" s="1" t="n">
        <v>45990</v>
      </c>
      <c r="D557" t="inlineStr">
        <is>
          <t>ÖREBRO LÄN</t>
        </is>
      </c>
      <c r="E557" t="inlineStr">
        <is>
          <t>LINDESBERG</t>
        </is>
      </c>
      <c r="G557" t="n">
        <v>5</v>
      </c>
      <c r="H557" t="n">
        <v>0</v>
      </c>
      <c r="I557" t="n">
        <v>0</v>
      </c>
      <c r="J557" t="n">
        <v>0</v>
      </c>
      <c r="K557" t="n">
        <v>0</v>
      </c>
      <c r="L557" t="n">
        <v>0</v>
      </c>
      <c r="M557" t="n">
        <v>0</v>
      </c>
      <c r="N557" t="n">
        <v>0</v>
      </c>
      <c r="O557" t="n">
        <v>0</v>
      </c>
      <c r="P557" t="n">
        <v>0</v>
      </c>
      <c r="Q557" t="n">
        <v>0</v>
      </c>
      <c r="R557" s="2" t="inlineStr"/>
    </row>
    <row r="558" ht="15" customHeight="1">
      <c r="A558" t="inlineStr">
        <is>
          <t>A 35229-2024</t>
        </is>
      </c>
      <c r="B558" s="1" t="n">
        <v>45530</v>
      </c>
      <c r="C558" s="1" t="n">
        <v>45990</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56308-2025</t>
        </is>
      </c>
      <c r="B559" s="1" t="n">
        <v>45974.61344907407</v>
      </c>
      <c r="C559" s="1" t="n">
        <v>45990</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50285-2022</t>
        </is>
      </c>
      <c r="B560" s="1" t="n">
        <v>44865.87770833333</v>
      </c>
      <c r="C560" s="1" t="n">
        <v>45990</v>
      </c>
      <c r="D560" t="inlineStr">
        <is>
          <t>ÖREBRO LÄN</t>
        </is>
      </c>
      <c r="E560" t="inlineStr">
        <is>
          <t>LINDESBERG</t>
        </is>
      </c>
      <c r="G560" t="n">
        <v>2.5</v>
      </c>
      <c r="H560" t="n">
        <v>0</v>
      </c>
      <c r="I560" t="n">
        <v>0</v>
      </c>
      <c r="J560" t="n">
        <v>0</v>
      </c>
      <c r="K560" t="n">
        <v>0</v>
      </c>
      <c r="L560" t="n">
        <v>0</v>
      </c>
      <c r="M560" t="n">
        <v>0</v>
      </c>
      <c r="N560" t="n">
        <v>0</v>
      </c>
      <c r="O560" t="n">
        <v>0</v>
      </c>
      <c r="P560" t="n">
        <v>0</v>
      </c>
      <c r="Q560" t="n">
        <v>0</v>
      </c>
      <c r="R560" s="2" t="inlineStr"/>
    </row>
    <row r="561" ht="15" customHeight="1">
      <c r="A561" t="inlineStr">
        <is>
          <t>A 10822-2023</t>
        </is>
      </c>
      <c r="B561" s="1" t="n">
        <v>44990</v>
      </c>
      <c r="C561" s="1" t="n">
        <v>45990</v>
      </c>
      <c r="D561" t="inlineStr">
        <is>
          <t>ÖREBRO LÄN</t>
        </is>
      </c>
      <c r="E561" t="inlineStr">
        <is>
          <t>LINDESBERG</t>
        </is>
      </c>
      <c r="G561" t="n">
        <v>1.3</v>
      </c>
      <c r="H561" t="n">
        <v>0</v>
      </c>
      <c r="I561" t="n">
        <v>0</v>
      </c>
      <c r="J561" t="n">
        <v>0</v>
      </c>
      <c r="K561" t="n">
        <v>0</v>
      </c>
      <c r="L561" t="n">
        <v>0</v>
      </c>
      <c r="M561" t="n">
        <v>0</v>
      </c>
      <c r="N561" t="n">
        <v>0</v>
      </c>
      <c r="O561" t="n">
        <v>0</v>
      </c>
      <c r="P561" t="n">
        <v>0</v>
      </c>
      <c r="Q561" t="n">
        <v>0</v>
      </c>
      <c r="R561" s="2" t="inlineStr"/>
    </row>
    <row r="562" ht="15" customHeight="1">
      <c r="A562" t="inlineStr">
        <is>
          <t>A 3233-2023</t>
        </is>
      </c>
      <c r="B562" s="1" t="n">
        <v>44946</v>
      </c>
      <c r="C562" s="1" t="n">
        <v>45990</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15325-2024</t>
        </is>
      </c>
      <c r="B563" s="1" t="n">
        <v>45400.6709837963</v>
      </c>
      <c r="C563" s="1" t="n">
        <v>45990</v>
      </c>
      <c r="D563" t="inlineStr">
        <is>
          <t>ÖREBRO LÄN</t>
        </is>
      </c>
      <c r="E563" t="inlineStr">
        <is>
          <t>LINDESBERG</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40970-2023</t>
        </is>
      </c>
      <c r="B564" s="1" t="n">
        <v>45173</v>
      </c>
      <c r="C564" s="1" t="n">
        <v>45990</v>
      </c>
      <c r="D564" t="inlineStr">
        <is>
          <t>ÖREBRO LÄN</t>
        </is>
      </c>
      <c r="E564" t="inlineStr">
        <is>
          <t>LINDESBERG</t>
        </is>
      </c>
      <c r="G564" t="n">
        <v>2.1</v>
      </c>
      <c r="H564" t="n">
        <v>0</v>
      </c>
      <c r="I564" t="n">
        <v>0</v>
      </c>
      <c r="J564" t="n">
        <v>0</v>
      </c>
      <c r="K564" t="n">
        <v>0</v>
      </c>
      <c r="L564" t="n">
        <v>0</v>
      </c>
      <c r="M564" t="n">
        <v>0</v>
      </c>
      <c r="N564" t="n">
        <v>0</v>
      </c>
      <c r="O564" t="n">
        <v>0</v>
      </c>
      <c r="P564" t="n">
        <v>0</v>
      </c>
      <c r="Q564" t="n">
        <v>0</v>
      </c>
      <c r="R564" s="2" t="inlineStr"/>
    </row>
    <row r="565" ht="15" customHeight="1">
      <c r="A565" t="inlineStr">
        <is>
          <t>A 34093-2022</t>
        </is>
      </c>
      <c r="B565" s="1" t="n">
        <v>44791</v>
      </c>
      <c r="C565" s="1" t="n">
        <v>45990</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58662-2022</t>
        </is>
      </c>
      <c r="B566" s="1" t="n">
        <v>44902</v>
      </c>
      <c r="C566" s="1" t="n">
        <v>45990</v>
      </c>
      <c r="D566" t="inlineStr">
        <is>
          <t>ÖREBRO LÄN</t>
        </is>
      </c>
      <c r="E566" t="inlineStr">
        <is>
          <t>LINDESBERG</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56306-2025</t>
        </is>
      </c>
      <c r="B567" s="1" t="n">
        <v>45974.61217592593</v>
      </c>
      <c r="C567" s="1" t="n">
        <v>45990</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56232-2025</t>
        </is>
      </c>
      <c r="B568" s="1" t="n">
        <v>45974.53239583333</v>
      </c>
      <c r="C568" s="1" t="n">
        <v>45990</v>
      </c>
      <c r="D568" t="inlineStr">
        <is>
          <t>ÖREBRO LÄN</t>
        </is>
      </c>
      <c r="E568" t="inlineStr">
        <is>
          <t>LINDESBERG</t>
        </is>
      </c>
      <c r="G568" t="n">
        <v>3.2</v>
      </c>
      <c r="H568" t="n">
        <v>0</v>
      </c>
      <c r="I568" t="n">
        <v>0</v>
      </c>
      <c r="J568" t="n">
        <v>0</v>
      </c>
      <c r="K568" t="n">
        <v>0</v>
      </c>
      <c r="L568" t="n">
        <v>0</v>
      </c>
      <c r="M568" t="n">
        <v>0</v>
      </c>
      <c r="N568" t="n">
        <v>0</v>
      </c>
      <c r="O568" t="n">
        <v>0</v>
      </c>
      <c r="P568" t="n">
        <v>0</v>
      </c>
      <c r="Q568" t="n">
        <v>0</v>
      </c>
      <c r="R568" s="2" t="inlineStr"/>
    </row>
    <row r="569" ht="15" customHeight="1">
      <c r="A569" t="inlineStr">
        <is>
          <t>A 56226-2025</t>
        </is>
      </c>
      <c r="B569" s="1" t="n">
        <v>45974.51283564815</v>
      </c>
      <c r="C569" s="1" t="n">
        <v>45990</v>
      </c>
      <c r="D569" t="inlineStr">
        <is>
          <t>ÖREBRO LÄN</t>
        </is>
      </c>
      <c r="E569" t="inlineStr">
        <is>
          <t>LINDESBERG</t>
        </is>
      </c>
      <c r="G569" t="n">
        <v>1.8</v>
      </c>
      <c r="H569" t="n">
        <v>0</v>
      </c>
      <c r="I569" t="n">
        <v>0</v>
      </c>
      <c r="J569" t="n">
        <v>0</v>
      </c>
      <c r="K569" t="n">
        <v>0</v>
      </c>
      <c r="L569" t="n">
        <v>0</v>
      </c>
      <c r="M569" t="n">
        <v>0</v>
      </c>
      <c r="N569" t="n">
        <v>0</v>
      </c>
      <c r="O569" t="n">
        <v>0</v>
      </c>
      <c r="P569" t="n">
        <v>0</v>
      </c>
      <c r="Q569" t="n">
        <v>0</v>
      </c>
      <c r="R569" s="2" t="inlineStr"/>
    </row>
    <row r="570" ht="15" customHeight="1">
      <c r="A570" t="inlineStr">
        <is>
          <t>A 48061-2025</t>
        </is>
      </c>
      <c r="B570" s="1" t="n">
        <v>45932.68006944445</v>
      </c>
      <c r="C570" s="1" t="n">
        <v>45990</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15060-2024</t>
        </is>
      </c>
      <c r="B571" s="1" t="n">
        <v>45399.56596064815</v>
      </c>
      <c r="C571" s="1" t="n">
        <v>45990</v>
      </c>
      <c r="D571" t="inlineStr">
        <is>
          <t>ÖREBRO LÄN</t>
        </is>
      </c>
      <c r="E571" t="inlineStr">
        <is>
          <t>LINDESBERG</t>
        </is>
      </c>
      <c r="F571" t="inlineStr">
        <is>
          <t>Sveaskog</t>
        </is>
      </c>
      <c r="G571" t="n">
        <v>3.8</v>
      </c>
      <c r="H571" t="n">
        <v>0</v>
      </c>
      <c r="I571" t="n">
        <v>0</v>
      </c>
      <c r="J571" t="n">
        <v>0</v>
      </c>
      <c r="K571" t="n">
        <v>0</v>
      </c>
      <c r="L571" t="n">
        <v>0</v>
      </c>
      <c r="M571" t="n">
        <v>0</v>
      </c>
      <c r="N571" t="n">
        <v>0</v>
      </c>
      <c r="O571" t="n">
        <v>0</v>
      </c>
      <c r="P571" t="n">
        <v>0</v>
      </c>
      <c r="Q571" t="n">
        <v>0</v>
      </c>
      <c r="R571" s="2" t="inlineStr"/>
    </row>
    <row r="572" ht="15" customHeight="1">
      <c r="A572" t="inlineStr">
        <is>
          <t>A 48750-2025</t>
        </is>
      </c>
      <c r="B572" s="1" t="n">
        <v>45936.68452546297</v>
      </c>
      <c r="C572" s="1" t="n">
        <v>45990</v>
      </c>
      <c r="D572" t="inlineStr">
        <is>
          <t>ÖREBRO LÄN</t>
        </is>
      </c>
      <c r="E572" t="inlineStr">
        <is>
          <t>LINDESBERG</t>
        </is>
      </c>
      <c r="G572" t="n">
        <v>2.1</v>
      </c>
      <c r="H572" t="n">
        <v>0</v>
      </c>
      <c r="I572" t="n">
        <v>0</v>
      </c>
      <c r="J572" t="n">
        <v>0</v>
      </c>
      <c r="K572" t="n">
        <v>0</v>
      </c>
      <c r="L572" t="n">
        <v>0</v>
      </c>
      <c r="M572" t="n">
        <v>0</v>
      </c>
      <c r="N572" t="n">
        <v>0</v>
      </c>
      <c r="O572" t="n">
        <v>0</v>
      </c>
      <c r="P572" t="n">
        <v>0</v>
      </c>
      <c r="Q572" t="n">
        <v>0</v>
      </c>
      <c r="R572" s="2" t="inlineStr"/>
    </row>
    <row r="573" ht="15" customHeight="1">
      <c r="A573" t="inlineStr">
        <is>
          <t>A 48620-2025</t>
        </is>
      </c>
      <c r="B573" s="1" t="n">
        <v>45936.49210648148</v>
      </c>
      <c r="C573" s="1" t="n">
        <v>45990</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28031-2023</t>
        </is>
      </c>
      <c r="B574" s="1" t="n">
        <v>45099.27354166667</v>
      </c>
      <c r="C574" s="1" t="n">
        <v>45990</v>
      </c>
      <c r="D574" t="inlineStr">
        <is>
          <t>ÖREBRO LÄN</t>
        </is>
      </c>
      <c r="E574" t="inlineStr">
        <is>
          <t>LINDESBERG</t>
        </is>
      </c>
      <c r="F574" t="inlineStr">
        <is>
          <t>Kyrkan</t>
        </is>
      </c>
      <c r="G574" t="n">
        <v>1.2</v>
      </c>
      <c r="H574" t="n">
        <v>0</v>
      </c>
      <c r="I574" t="n">
        <v>0</v>
      </c>
      <c r="J574" t="n">
        <v>0</v>
      </c>
      <c r="K574" t="n">
        <v>0</v>
      </c>
      <c r="L574" t="n">
        <v>0</v>
      </c>
      <c r="M574" t="n">
        <v>0</v>
      </c>
      <c r="N574" t="n">
        <v>0</v>
      </c>
      <c r="O574" t="n">
        <v>0</v>
      </c>
      <c r="P574" t="n">
        <v>0</v>
      </c>
      <c r="Q574" t="n">
        <v>0</v>
      </c>
      <c r="R574" s="2" t="inlineStr"/>
    </row>
    <row r="575" ht="15" customHeight="1">
      <c r="A575" t="inlineStr">
        <is>
          <t>A 48497-2025</t>
        </is>
      </c>
      <c r="B575" s="1" t="n">
        <v>45936.37523148148</v>
      </c>
      <c r="C575" s="1" t="n">
        <v>45990</v>
      </c>
      <c r="D575" t="inlineStr">
        <is>
          <t>ÖREBRO LÄN</t>
        </is>
      </c>
      <c r="E575" t="inlineStr">
        <is>
          <t>LINDESBERG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4310-2025</t>
        </is>
      </c>
      <c r="B576" s="1" t="n">
        <v>45685</v>
      </c>
      <c r="C576" s="1" t="n">
        <v>45990</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19026-2021</t>
        </is>
      </c>
      <c r="B577" s="1" t="n">
        <v>44308</v>
      </c>
      <c r="C577" s="1" t="n">
        <v>45990</v>
      </c>
      <c r="D577" t="inlineStr">
        <is>
          <t>ÖREBRO LÄN</t>
        </is>
      </c>
      <c r="E577" t="inlineStr">
        <is>
          <t>LINDESBERG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56982-2025</t>
        </is>
      </c>
      <c r="B578" s="1" t="n">
        <v>45978.71075231482</v>
      </c>
      <c r="C578" s="1" t="n">
        <v>45990</v>
      </c>
      <c r="D578" t="inlineStr">
        <is>
          <t>ÖREBRO LÄN</t>
        </is>
      </c>
      <c r="E578" t="inlineStr">
        <is>
          <t>LINDESBERG</t>
        </is>
      </c>
      <c r="G578" t="n">
        <v>4.3</v>
      </c>
      <c r="H578" t="n">
        <v>0</v>
      </c>
      <c r="I578" t="n">
        <v>0</v>
      </c>
      <c r="J578" t="n">
        <v>0</v>
      </c>
      <c r="K578" t="n">
        <v>0</v>
      </c>
      <c r="L578" t="n">
        <v>0</v>
      </c>
      <c r="M578" t="n">
        <v>0</v>
      </c>
      <c r="N578" t="n">
        <v>0</v>
      </c>
      <c r="O578" t="n">
        <v>0</v>
      </c>
      <c r="P578" t="n">
        <v>0</v>
      </c>
      <c r="Q578" t="n">
        <v>0</v>
      </c>
      <c r="R578" s="2" t="inlineStr"/>
    </row>
    <row r="579" ht="15" customHeight="1">
      <c r="A579" t="inlineStr">
        <is>
          <t>A 47110-2024</t>
        </is>
      </c>
      <c r="B579" s="1" t="n">
        <v>45586.55451388889</v>
      </c>
      <c r="C579" s="1" t="n">
        <v>45990</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48489-2025</t>
        </is>
      </c>
      <c r="B580" s="1" t="n">
        <v>45936.36637731481</v>
      </c>
      <c r="C580" s="1" t="n">
        <v>45990</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48618-2025</t>
        </is>
      </c>
      <c r="B581" s="1" t="n">
        <v>45936.49026620371</v>
      </c>
      <c r="C581" s="1" t="n">
        <v>45990</v>
      </c>
      <c r="D581" t="inlineStr">
        <is>
          <t>ÖREBRO LÄN</t>
        </is>
      </c>
      <c r="E581" t="inlineStr">
        <is>
          <t>LINDESBERG</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27440-2023</t>
        </is>
      </c>
      <c r="B582" s="1" t="n">
        <v>45097.39893518519</v>
      </c>
      <c r="C582" s="1" t="n">
        <v>45990</v>
      </c>
      <c r="D582" t="inlineStr">
        <is>
          <t>ÖREBRO LÄN</t>
        </is>
      </c>
      <c r="E582" t="inlineStr">
        <is>
          <t>LINDESBERG</t>
        </is>
      </c>
      <c r="G582" t="n">
        <v>6.6</v>
      </c>
      <c r="H582" t="n">
        <v>0</v>
      </c>
      <c r="I582" t="n">
        <v>0</v>
      </c>
      <c r="J582" t="n">
        <v>0</v>
      </c>
      <c r="K582" t="n">
        <v>0</v>
      </c>
      <c r="L582" t="n">
        <v>0</v>
      </c>
      <c r="M582" t="n">
        <v>0</v>
      </c>
      <c r="N582" t="n">
        <v>0</v>
      </c>
      <c r="O582" t="n">
        <v>0</v>
      </c>
      <c r="P582" t="n">
        <v>0</v>
      </c>
      <c r="Q582" t="n">
        <v>0</v>
      </c>
      <c r="R582" s="2" t="inlineStr"/>
    </row>
    <row r="583" ht="15" customHeight="1">
      <c r="A583" t="inlineStr">
        <is>
          <t>A 48495-2025</t>
        </is>
      </c>
      <c r="B583" s="1" t="n">
        <v>45936.37237268518</v>
      </c>
      <c r="C583" s="1" t="n">
        <v>45990</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57359-2025</t>
        </is>
      </c>
      <c r="B584" s="1" t="n">
        <v>45980.36866898148</v>
      </c>
      <c r="C584" s="1" t="n">
        <v>45990</v>
      </c>
      <c r="D584" t="inlineStr">
        <is>
          <t>ÖREBRO LÄN</t>
        </is>
      </c>
      <c r="E584" t="inlineStr">
        <is>
          <t>LINDESBERG</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45980.36988425926</v>
      </c>
      <c r="C585" s="1" t="n">
        <v>45990</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48867-2025</t>
        </is>
      </c>
      <c r="B586" s="1" t="n">
        <v>45937.4484837963</v>
      </c>
      <c r="C586" s="1" t="n">
        <v>45990</v>
      </c>
      <c r="D586" t="inlineStr">
        <is>
          <t>ÖREBRO LÄN</t>
        </is>
      </c>
      <c r="E586" t="inlineStr">
        <is>
          <t>LINDESBERG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48953-2025</t>
        </is>
      </c>
      <c r="B587" s="1" t="n">
        <v>45937.54697916667</v>
      </c>
      <c r="C587" s="1" t="n">
        <v>45990</v>
      </c>
      <c r="D587" t="inlineStr">
        <is>
          <t>ÖREBRO LÄN</t>
        </is>
      </c>
      <c r="E587" t="inlineStr">
        <is>
          <t>LINDESBERG</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48971-2025</t>
        </is>
      </c>
      <c r="B588" s="1" t="n">
        <v>45937.56420138889</v>
      </c>
      <c r="C588" s="1" t="n">
        <v>45990</v>
      </c>
      <c r="D588" t="inlineStr">
        <is>
          <t>ÖREBRO LÄN</t>
        </is>
      </c>
      <c r="E588" t="inlineStr">
        <is>
          <t>LINDESBERG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48975-2025</t>
        </is>
      </c>
      <c r="B589" s="1" t="n">
        <v>45937.56798611111</v>
      </c>
      <c r="C589" s="1" t="n">
        <v>45990</v>
      </c>
      <c r="D589" t="inlineStr">
        <is>
          <t>ÖREBRO LÄN</t>
        </is>
      </c>
      <c r="E589" t="inlineStr">
        <is>
          <t>LINDESBERG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39137-2024</t>
        </is>
      </c>
      <c r="B590" s="1" t="n">
        <v>45548</v>
      </c>
      <c r="C590" s="1" t="n">
        <v>45990</v>
      </c>
      <c r="D590" t="inlineStr">
        <is>
          <t>ÖREBRO LÄN</t>
        </is>
      </c>
      <c r="E590" t="inlineStr">
        <is>
          <t>LINDESBERG</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39152-2024</t>
        </is>
      </c>
      <c r="B591" s="1" t="n">
        <v>45548</v>
      </c>
      <c r="C591" s="1" t="n">
        <v>45990</v>
      </c>
      <c r="D591" t="inlineStr">
        <is>
          <t>ÖREBRO LÄN</t>
        </is>
      </c>
      <c r="E591" t="inlineStr">
        <is>
          <t>LINDESBERG</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57358-2025</t>
        </is>
      </c>
      <c r="B592" s="1" t="n">
        <v>45980.36679398148</v>
      </c>
      <c r="C592" s="1" t="n">
        <v>45990</v>
      </c>
      <c r="D592" t="inlineStr">
        <is>
          <t>ÖREBRO LÄN</t>
        </is>
      </c>
      <c r="E592" t="inlineStr">
        <is>
          <t>LINDESBERG</t>
        </is>
      </c>
      <c r="F592" t="inlineStr">
        <is>
          <t>Sveaskog</t>
        </is>
      </c>
      <c r="G592" t="n">
        <v>4.2</v>
      </c>
      <c r="H592" t="n">
        <v>0</v>
      </c>
      <c r="I592" t="n">
        <v>0</v>
      </c>
      <c r="J592" t="n">
        <v>0</v>
      </c>
      <c r="K592" t="n">
        <v>0</v>
      </c>
      <c r="L592" t="n">
        <v>0</v>
      </c>
      <c r="M592" t="n">
        <v>0</v>
      </c>
      <c r="N592" t="n">
        <v>0</v>
      </c>
      <c r="O592" t="n">
        <v>0</v>
      </c>
      <c r="P592" t="n">
        <v>0</v>
      </c>
      <c r="Q592" t="n">
        <v>0</v>
      </c>
      <c r="R592" s="2" t="inlineStr"/>
    </row>
    <row r="593" ht="15" customHeight="1">
      <c r="A593" t="inlineStr">
        <is>
          <t>A 57363-2025</t>
        </is>
      </c>
      <c r="B593" s="1" t="n">
        <v>45980.3716087963</v>
      </c>
      <c r="C593" s="1" t="n">
        <v>45990</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49100-2025</t>
        </is>
      </c>
      <c r="B594" s="1" t="n">
        <v>45937.71556712963</v>
      </c>
      <c r="C594" s="1" t="n">
        <v>45990</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49133-2025</t>
        </is>
      </c>
      <c r="B595" s="1" t="n">
        <v>45937.92319444445</v>
      </c>
      <c r="C595" s="1" t="n">
        <v>45990</v>
      </c>
      <c r="D595" t="inlineStr">
        <is>
          <t>ÖREBRO LÄN</t>
        </is>
      </c>
      <c r="E595" t="inlineStr">
        <is>
          <t>LINDESBERG</t>
        </is>
      </c>
      <c r="G595" t="n">
        <v>5</v>
      </c>
      <c r="H595" t="n">
        <v>0</v>
      </c>
      <c r="I595" t="n">
        <v>0</v>
      </c>
      <c r="J595" t="n">
        <v>0</v>
      </c>
      <c r="K595" t="n">
        <v>0</v>
      </c>
      <c r="L595" t="n">
        <v>0</v>
      </c>
      <c r="M595" t="n">
        <v>0</v>
      </c>
      <c r="N595" t="n">
        <v>0</v>
      </c>
      <c r="O595" t="n">
        <v>0</v>
      </c>
      <c r="P595" t="n">
        <v>0</v>
      </c>
      <c r="Q595" t="n">
        <v>0</v>
      </c>
      <c r="R595" s="2" t="inlineStr"/>
    </row>
    <row r="596" ht="15" customHeight="1">
      <c r="A596" t="inlineStr">
        <is>
          <t>A 21245-2024</t>
        </is>
      </c>
      <c r="B596" s="1" t="n">
        <v>45440</v>
      </c>
      <c r="C596" s="1" t="n">
        <v>45990</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57356-2025</t>
        </is>
      </c>
      <c r="B597" s="1" t="n">
        <v>45980.36633101852</v>
      </c>
      <c r="C597" s="1" t="n">
        <v>45990</v>
      </c>
      <c r="D597" t="inlineStr">
        <is>
          <t>ÖREBRO LÄN</t>
        </is>
      </c>
      <c r="E597" t="inlineStr">
        <is>
          <t>LINDESBERG</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27702-2025</t>
        </is>
      </c>
      <c r="B598" s="1" t="n">
        <v>45813</v>
      </c>
      <c r="C598" s="1" t="n">
        <v>45990</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48993-2025</t>
        </is>
      </c>
      <c r="B599" s="1" t="n">
        <v>45937.58590277778</v>
      </c>
      <c r="C599" s="1" t="n">
        <v>45990</v>
      </c>
      <c r="D599" t="inlineStr">
        <is>
          <t>ÖREBRO LÄN</t>
        </is>
      </c>
      <c r="E599" t="inlineStr">
        <is>
          <t>LINDESBERG</t>
        </is>
      </c>
      <c r="F599" t="inlineStr">
        <is>
          <t>Kyrkan</t>
        </is>
      </c>
      <c r="G599" t="n">
        <v>4</v>
      </c>
      <c r="H599" t="n">
        <v>0</v>
      </c>
      <c r="I599" t="n">
        <v>0</v>
      </c>
      <c r="J599" t="n">
        <v>0</v>
      </c>
      <c r="K599" t="n">
        <v>0</v>
      </c>
      <c r="L599" t="n">
        <v>0</v>
      </c>
      <c r="M599" t="n">
        <v>0</v>
      </c>
      <c r="N599" t="n">
        <v>0</v>
      </c>
      <c r="O599" t="n">
        <v>0</v>
      </c>
      <c r="P599" t="n">
        <v>0</v>
      </c>
      <c r="Q599" t="n">
        <v>0</v>
      </c>
      <c r="R599" s="2" t="inlineStr"/>
    </row>
    <row r="600" ht="15" customHeight="1">
      <c r="A600" t="inlineStr">
        <is>
          <t>A 4603-2024</t>
        </is>
      </c>
      <c r="B600" s="1" t="n">
        <v>45328</v>
      </c>
      <c r="C600" s="1" t="n">
        <v>45990</v>
      </c>
      <c r="D600" t="inlineStr">
        <is>
          <t>ÖREBRO LÄN</t>
        </is>
      </c>
      <c r="E600" t="inlineStr">
        <is>
          <t>LINDESBERG</t>
        </is>
      </c>
      <c r="F600" t="inlineStr">
        <is>
          <t>BillerudKorsnäs AB</t>
        </is>
      </c>
      <c r="G600" t="n">
        <v>4.3</v>
      </c>
      <c r="H600" t="n">
        <v>0</v>
      </c>
      <c r="I600" t="n">
        <v>0</v>
      </c>
      <c r="J600" t="n">
        <v>0</v>
      </c>
      <c r="K600" t="n">
        <v>0</v>
      </c>
      <c r="L600" t="n">
        <v>0</v>
      </c>
      <c r="M600" t="n">
        <v>0</v>
      </c>
      <c r="N600" t="n">
        <v>0</v>
      </c>
      <c r="O600" t="n">
        <v>0</v>
      </c>
      <c r="P600" t="n">
        <v>0</v>
      </c>
      <c r="Q600" t="n">
        <v>0</v>
      </c>
      <c r="R600" s="2" t="inlineStr"/>
    </row>
    <row r="601" ht="15" customHeight="1">
      <c r="A601" t="inlineStr">
        <is>
          <t>A 61601-2024</t>
        </is>
      </c>
      <c r="B601" s="1" t="n">
        <v>45646.63839120371</v>
      </c>
      <c r="C601" s="1" t="n">
        <v>45990</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6604-2024</t>
        </is>
      </c>
      <c r="B602" s="1" t="n">
        <v>45341.56577546296</v>
      </c>
      <c r="C602" s="1" t="n">
        <v>45990</v>
      </c>
      <c r="D602" t="inlineStr">
        <is>
          <t>ÖREBRO LÄN</t>
        </is>
      </c>
      <c r="E602" t="inlineStr">
        <is>
          <t>LINDESBERG</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49183-2025</t>
        </is>
      </c>
      <c r="B603" s="1" t="n">
        <v>45938.39741898148</v>
      </c>
      <c r="C603" s="1" t="n">
        <v>45990</v>
      </c>
      <c r="D603" t="inlineStr">
        <is>
          <t>ÖREBRO LÄN</t>
        </is>
      </c>
      <c r="E603" t="inlineStr">
        <is>
          <t>LINDESBERG</t>
        </is>
      </c>
      <c r="G603" t="n">
        <v>4.4</v>
      </c>
      <c r="H603" t="n">
        <v>0</v>
      </c>
      <c r="I603" t="n">
        <v>0</v>
      </c>
      <c r="J603" t="n">
        <v>0</v>
      </c>
      <c r="K603" t="n">
        <v>0</v>
      </c>
      <c r="L603" t="n">
        <v>0</v>
      </c>
      <c r="M603" t="n">
        <v>0</v>
      </c>
      <c r="N603" t="n">
        <v>0</v>
      </c>
      <c r="O603" t="n">
        <v>0</v>
      </c>
      <c r="P603" t="n">
        <v>0</v>
      </c>
      <c r="Q603" t="n">
        <v>0</v>
      </c>
      <c r="R603" s="2" t="inlineStr"/>
    </row>
    <row r="604" ht="15" customHeight="1">
      <c r="A604" t="inlineStr">
        <is>
          <t>A 4924-2021</t>
        </is>
      </c>
      <c r="B604" s="1" t="n">
        <v>44227</v>
      </c>
      <c r="C604" s="1" t="n">
        <v>45990</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42410-2024</t>
        </is>
      </c>
      <c r="B605" s="1" t="n">
        <v>45565</v>
      </c>
      <c r="C605" s="1" t="n">
        <v>45990</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49707-2025</t>
        </is>
      </c>
      <c r="B606" s="1" t="n">
        <v>45939.67951388889</v>
      </c>
      <c r="C606" s="1" t="n">
        <v>45990</v>
      </c>
      <c r="D606" t="inlineStr">
        <is>
          <t>ÖREBRO LÄN</t>
        </is>
      </c>
      <c r="E606" t="inlineStr">
        <is>
          <t>LINDESBERG</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57299-2025</t>
        </is>
      </c>
      <c r="B607" s="1" t="n">
        <v>45979.81347222222</v>
      </c>
      <c r="C607" s="1" t="n">
        <v>45990</v>
      </c>
      <c r="D607" t="inlineStr">
        <is>
          <t>ÖREBRO LÄN</t>
        </is>
      </c>
      <c r="E607" t="inlineStr">
        <is>
          <t>LINDESBERG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57317-2025</t>
        </is>
      </c>
      <c r="B608" s="1" t="n">
        <v>45980.01226851852</v>
      </c>
      <c r="C608" s="1" t="n">
        <v>45990</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9140-2025</t>
        </is>
      </c>
      <c r="B609" s="1" t="n">
        <v>45714.31533564815</v>
      </c>
      <c r="C609" s="1" t="n">
        <v>45990</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57300-2025</t>
        </is>
      </c>
      <c r="B610" s="1" t="n">
        <v>45979.81403935186</v>
      </c>
      <c r="C610" s="1" t="n">
        <v>45990</v>
      </c>
      <c r="D610" t="inlineStr">
        <is>
          <t>ÖREBRO LÄN</t>
        </is>
      </c>
      <c r="E610" t="inlineStr">
        <is>
          <t>LINDESBERG</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8139-2023</t>
        </is>
      </c>
      <c r="B611" s="1" t="n">
        <v>44970</v>
      </c>
      <c r="C611" s="1" t="n">
        <v>45990</v>
      </c>
      <c r="D611" t="inlineStr">
        <is>
          <t>ÖREBRO LÄN</t>
        </is>
      </c>
      <c r="E611" t="inlineStr">
        <is>
          <t>LINDESBERG</t>
        </is>
      </c>
      <c r="G611" t="n">
        <v>3.6</v>
      </c>
      <c r="H611" t="n">
        <v>0</v>
      </c>
      <c r="I611" t="n">
        <v>0</v>
      </c>
      <c r="J611" t="n">
        <v>0</v>
      </c>
      <c r="K611" t="n">
        <v>0</v>
      </c>
      <c r="L611" t="n">
        <v>0</v>
      </c>
      <c r="M611" t="n">
        <v>0</v>
      </c>
      <c r="N611" t="n">
        <v>0</v>
      </c>
      <c r="O611" t="n">
        <v>0</v>
      </c>
      <c r="P611" t="n">
        <v>0</v>
      </c>
      <c r="Q611" t="n">
        <v>0</v>
      </c>
      <c r="R611" s="2" t="inlineStr"/>
    </row>
    <row r="612" ht="15" customHeight="1">
      <c r="A612" t="inlineStr">
        <is>
          <t>A 57320-2025</t>
        </is>
      </c>
      <c r="B612" s="1" t="n">
        <v>45980.01553240741</v>
      </c>
      <c r="C612" s="1" t="n">
        <v>45990</v>
      </c>
      <c r="D612" t="inlineStr">
        <is>
          <t>ÖREBRO LÄN</t>
        </is>
      </c>
      <c r="E612" t="inlineStr">
        <is>
          <t>LINDESBERG</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57313-2025</t>
        </is>
      </c>
      <c r="B613" s="1" t="n">
        <v>45979.97458333334</v>
      </c>
      <c r="C613" s="1" t="n">
        <v>45990</v>
      </c>
      <c r="D613" t="inlineStr">
        <is>
          <t>ÖREBRO LÄN</t>
        </is>
      </c>
      <c r="E613" t="inlineStr">
        <is>
          <t>LINDESBERG</t>
        </is>
      </c>
      <c r="F613" t="inlineStr">
        <is>
          <t>Sveaskog</t>
        </is>
      </c>
      <c r="G613" t="n">
        <v>9.1</v>
      </c>
      <c r="H613" t="n">
        <v>0</v>
      </c>
      <c r="I613" t="n">
        <v>0</v>
      </c>
      <c r="J613" t="n">
        <v>0</v>
      </c>
      <c r="K613" t="n">
        <v>0</v>
      </c>
      <c r="L613" t="n">
        <v>0</v>
      </c>
      <c r="M613" t="n">
        <v>0</v>
      </c>
      <c r="N613" t="n">
        <v>0</v>
      </c>
      <c r="O613" t="n">
        <v>0</v>
      </c>
      <c r="P613" t="n">
        <v>0</v>
      </c>
      <c r="Q613" t="n">
        <v>0</v>
      </c>
      <c r="R613" s="2" t="inlineStr"/>
    </row>
    <row r="614" ht="15" customHeight="1">
      <c r="A614" t="inlineStr">
        <is>
          <t>A 57314-2025</t>
        </is>
      </c>
      <c r="B614" s="1" t="n">
        <v>45980.00710648148</v>
      </c>
      <c r="C614" s="1" t="n">
        <v>45990</v>
      </c>
      <c r="D614" t="inlineStr">
        <is>
          <t>ÖREBRO LÄN</t>
        </is>
      </c>
      <c r="E614" t="inlineStr">
        <is>
          <t>LINDESBERG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57315-2025</t>
        </is>
      </c>
      <c r="B615" s="1" t="n">
        <v>45980.00753472222</v>
      </c>
      <c r="C615" s="1" t="n">
        <v>45990</v>
      </c>
      <c r="D615" t="inlineStr">
        <is>
          <t>ÖREBRO LÄN</t>
        </is>
      </c>
      <c r="E615" t="inlineStr">
        <is>
          <t>LINDESBERG</t>
        </is>
      </c>
      <c r="F615" t="inlineStr">
        <is>
          <t>Sveaskog</t>
        </is>
      </c>
      <c r="G615" t="n">
        <v>2.5</v>
      </c>
      <c r="H615" t="n">
        <v>0</v>
      </c>
      <c r="I615" t="n">
        <v>0</v>
      </c>
      <c r="J615" t="n">
        <v>0</v>
      </c>
      <c r="K615" t="n">
        <v>0</v>
      </c>
      <c r="L615" t="n">
        <v>0</v>
      </c>
      <c r="M615" t="n">
        <v>0</v>
      </c>
      <c r="N615" t="n">
        <v>0</v>
      </c>
      <c r="O615" t="n">
        <v>0</v>
      </c>
      <c r="P615" t="n">
        <v>0</v>
      </c>
      <c r="Q615" t="n">
        <v>0</v>
      </c>
      <c r="R615" s="2" t="inlineStr"/>
    </row>
    <row r="616" ht="15" customHeight="1">
      <c r="A616" t="inlineStr">
        <is>
          <t>A 57316-2025</t>
        </is>
      </c>
      <c r="B616" s="1" t="n">
        <v>45980.0115625</v>
      </c>
      <c r="C616" s="1" t="n">
        <v>45990</v>
      </c>
      <c r="D616" t="inlineStr">
        <is>
          <t>ÖREBRO LÄN</t>
        </is>
      </c>
      <c r="E616" t="inlineStr">
        <is>
          <t>LINDESBERG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49946-2025</t>
        </is>
      </c>
      <c r="B617" s="1" t="n">
        <v>45940.69862268519</v>
      </c>
      <c r="C617" s="1" t="n">
        <v>45990</v>
      </c>
      <c r="D617" t="inlineStr">
        <is>
          <t>ÖREBRO LÄN</t>
        </is>
      </c>
      <c r="E617" t="inlineStr">
        <is>
          <t>LINDESBERG</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53168-2023</t>
        </is>
      </c>
      <c r="B618" s="1" t="n">
        <v>45229</v>
      </c>
      <c r="C618" s="1" t="n">
        <v>45990</v>
      </c>
      <c r="D618" t="inlineStr">
        <is>
          <t>ÖREBRO LÄN</t>
        </is>
      </c>
      <c r="E618" t="inlineStr">
        <is>
          <t>LINDESBERG</t>
        </is>
      </c>
      <c r="G618" t="n">
        <v>1.5</v>
      </c>
      <c r="H618" t="n">
        <v>0</v>
      </c>
      <c r="I618" t="n">
        <v>0</v>
      </c>
      <c r="J618" t="n">
        <v>0</v>
      </c>
      <c r="K618" t="n">
        <v>0</v>
      </c>
      <c r="L618" t="n">
        <v>0</v>
      </c>
      <c r="M618" t="n">
        <v>0</v>
      </c>
      <c r="N618" t="n">
        <v>0</v>
      </c>
      <c r="O618" t="n">
        <v>0</v>
      </c>
      <c r="P618" t="n">
        <v>0</v>
      </c>
      <c r="Q618" t="n">
        <v>0</v>
      </c>
      <c r="R618" s="2" t="inlineStr"/>
    </row>
    <row r="619" ht="15" customHeight="1">
      <c r="A619" t="inlineStr">
        <is>
          <t>A 6001-2021</t>
        </is>
      </c>
      <c r="B619" s="1" t="n">
        <v>44231</v>
      </c>
      <c r="C619" s="1" t="n">
        <v>45990</v>
      </c>
      <c r="D619" t="inlineStr">
        <is>
          <t>ÖREBRO LÄN</t>
        </is>
      </c>
      <c r="E619" t="inlineStr">
        <is>
          <t>LINDESBERG</t>
        </is>
      </c>
      <c r="G619" t="n">
        <v>0.7</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v>
      </c>
      <c r="C620" s="1" t="n">
        <v>45990</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58166-2025</t>
        </is>
      </c>
      <c r="B621" s="1" t="n">
        <v>45982.71017361111</v>
      </c>
      <c r="C621" s="1" t="n">
        <v>45990</v>
      </c>
      <c r="D621" t="inlineStr">
        <is>
          <t>ÖREBRO LÄN</t>
        </is>
      </c>
      <c r="E621" t="inlineStr">
        <is>
          <t>LINDESBERG</t>
        </is>
      </c>
      <c r="G621" t="n">
        <v>2.5</v>
      </c>
      <c r="H621" t="n">
        <v>0</v>
      </c>
      <c r="I621" t="n">
        <v>0</v>
      </c>
      <c r="J621" t="n">
        <v>0</v>
      </c>
      <c r="K621" t="n">
        <v>0</v>
      </c>
      <c r="L621" t="n">
        <v>0</v>
      </c>
      <c r="M621" t="n">
        <v>0</v>
      </c>
      <c r="N621" t="n">
        <v>0</v>
      </c>
      <c r="O621" t="n">
        <v>0</v>
      </c>
      <c r="P621" t="n">
        <v>0</v>
      </c>
      <c r="Q621" t="n">
        <v>0</v>
      </c>
      <c r="R621" s="2" t="inlineStr"/>
    </row>
    <row r="622" ht="15" customHeight="1">
      <c r="A622" t="inlineStr">
        <is>
          <t>A 36748-2024</t>
        </is>
      </c>
      <c r="B622" s="1" t="n">
        <v>45538.34460648148</v>
      </c>
      <c r="C622" s="1" t="n">
        <v>45990</v>
      </c>
      <c r="D622" t="inlineStr">
        <is>
          <t>ÖREBRO LÄN</t>
        </is>
      </c>
      <c r="E622" t="inlineStr">
        <is>
          <t>LINDESBERG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49943-2025</t>
        </is>
      </c>
      <c r="B623" s="1" t="n">
        <v>45940.69521990741</v>
      </c>
      <c r="C623" s="1" t="n">
        <v>45990</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28082-2021</t>
        </is>
      </c>
      <c r="B624" s="1" t="n">
        <v>44355</v>
      </c>
      <c r="C624" s="1" t="n">
        <v>45990</v>
      </c>
      <c r="D624" t="inlineStr">
        <is>
          <t>ÖREBRO LÄN</t>
        </is>
      </c>
      <c r="E624" t="inlineStr">
        <is>
          <t>LINDESBERG</t>
        </is>
      </c>
      <c r="F624" t="inlineStr">
        <is>
          <t>Sveaskog</t>
        </is>
      </c>
      <c r="G624" t="n">
        <v>9.9</v>
      </c>
      <c r="H624" t="n">
        <v>0</v>
      </c>
      <c r="I624" t="n">
        <v>0</v>
      </c>
      <c r="J624" t="n">
        <v>0</v>
      </c>
      <c r="K624" t="n">
        <v>0</v>
      </c>
      <c r="L624" t="n">
        <v>0</v>
      </c>
      <c r="M624" t="n">
        <v>0</v>
      </c>
      <c r="N624" t="n">
        <v>0</v>
      </c>
      <c r="O624" t="n">
        <v>0</v>
      </c>
      <c r="P624" t="n">
        <v>0</v>
      </c>
      <c r="Q624" t="n">
        <v>0</v>
      </c>
      <c r="R624" s="2" t="inlineStr"/>
    </row>
    <row r="625" ht="15" customHeight="1">
      <c r="A625" t="inlineStr">
        <is>
          <t>A 64427-2021</t>
        </is>
      </c>
      <c r="B625" s="1" t="n">
        <v>44511</v>
      </c>
      <c r="C625" s="1" t="n">
        <v>45990</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47620-2023</t>
        </is>
      </c>
      <c r="B626" s="1" t="n">
        <v>45203.510625</v>
      </c>
      <c r="C626" s="1" t="n">
        <v>45990</v>
      </c>
      <c r="D626" t="inlineStr">
        <is>
          <t>ÖREBRO LÄN</t>
        </is>
      </c>
      <c r="E626" t="inlineStr">
        <is>
          <t>LINDESBERG</t>
        </is>
      </c>
      <c r="G626" t="n">
        <v>2.7</v>
      </c>
      <c r="H626" t="n">
        <v>0</v>
      </c>
      <c r="I626" t="n">
        <v>0</v>
      </c>
      <c r="J626" t="n">
        <v>0</v>
      </c>
      <c r="K626" t="n">
        <v>0</v>
      </c>
      <c r="L626" t="n">
        <v>0</v>
      </c>
      <c r="M626" t="n">
        <v>0</v>
      </c>
      <c r="N626" t="n">
        <v>0</v>
      </c>
      <c r="O626" t="n">
        <v>0</v>
      </c>
      <c r="P626" t="n">
        <v>0</v>
      </c>
      <c r="Q626" t="n">
        <v>0</v>
      </c>
      <c r="R626" s="2" t="inlineStr"/>
    </row>
    <row r="627" ht="15" customHeight="1">
      <c r="A627" t="inlineStr">
        <is>
          <t>A 53352-2023</t>
        </is>
      </c>
      <c r="B627" s="1" t="n">
        <v>45229.66262731481</v>
      </c>
      <c r="C627" s="1" t="n">
        <v>45990</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58050-2025</t>
        </is>
      </c>
      <c r="B628" s="1" t="n">
        <v>45982</v>
      </c>
      <c r="C628" s="1" t="n">
        <v>45990</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6727-2022</t>
        </is>
      </c>
      <c r="B629" s="1" t="n">
        <v>44602.45490740741</v>
      </c>
      <c r="C629" s="1" t="n">
        <v>45990</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49944-2025</t>
        </is>
      </c>
      <c r="B630" s="1" t="n">
        <v>45940.69643518519</v>
      </c>
      <c r="C630" s="1" t="n">
        <v>45990</v>
      </c>
      <c r="D630" t="inlineStr">
        <is>
          <t>ÖREBRO LÄN</t>
        </is>
      </c>
      <c r="E630" t="inlineStr">
        <is>
          <t>LINDESBERG</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49947-2025</t>
        </is>
      </c>
      <c r="B631" s="1" t="n">
        <v>45940.70018518518</v>
      </c>
      <c r="C631" s="1" t="n">
        <v>45990</v>
      </c>
      <c r="D631" t="inlineStr">
        <is>
          <t>ÖREBRO LÄN</t>
        </is>
      </c>
      <c r="E631" t="inlineStr">
        <is>
          <t>LINDESBERG</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50072-2025</t>
        </is>
      </c>
      <c r="B632" s="1" t="n">
        <v>45943.45966435185</v>
      </c>
      <c r="C632" s="1" t="n">
        <v>45990</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50086-2025</t>
        </is>
      </c>
      <c r="B633" s="1" t="n">
        <v>45943.47649305555</v>
      </c>
      <c r="C633" s="1" t="n">
        <v>45990</v>
      </c>
      <c r="D633" t="inlineStr">
        <is>
          <t>ÖREBRO LÄN</t>
        </is>
      </c>
      <c r="E633" t="inlineStr">
        <is>
          <t>LINDESBERG</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44803-2024</t>
        </is>
      </c>
      <c r="B634" s="1" t="n">
        <v>45574.65087962963</v>
      </c>
      <c r="C634" s="1" t="n">
        <v>45990</v>
      </c>
      <c r="D634" t="inlineStr">
        <is>
          <t>ÖREBRO LÄN</t>
        </is>
      </c>
      <c r="E634" t="inlineStr">
        <is>
          <t>LINDESBERG</t>
        </is>
      </c>
      <c r="F634" t="inlineStr">
        <is>
          <t>Sveaskog</t>
        </is>
      </c>
      <c r="G634" t="n">
        <v>6.8</v>
      </c>
      <c r="H634" t="n">
        <v>0</v>
      </c>
      <c r="I634" t="n">
        <v>0</v>
      </c>
      <c r="J634" t="n">
        <v>0</v>
      </c>
      <c r="K634" t="n">
        <v>0</v>
      </c>
      <c r="L634" t="n">
        <v>0</v>
      </c>
      <c r="M634" t="n">
        <v>0</v>
      </c>
      <c r="N634" t="n">
        <v>0</v>
      </c>
      <c r="O634" t="n">
        <v>0</v>
      </c>
      <c r="P634" t="n">
        <v>0</v>
      </c>
      <c r="Q634" t="n">
        <v>0</v>
      </c>
      <c r="R634" s="2" t="inlineStr"/>
    </row>
    <row r="635" ht="15" customHeight="1">
      <c r="A635" t="inlineStr">
        <is>
          <t>A 50073-2025</t>
        </is>
      </c>
      <c r="B635" s="1" t="n">
        <v>45943.4603125</v>
      </c>
      <c r="C635" s="1" t="n">
        <v>45990</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25012-2023</t>
        </is>
      </c>
      <c r="B636" s="1" t="n">
        <v>45085</v>
      </c>
      <c r="C636" s="1" t="n">
        <v>45990</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13969-2025</t>
        </is>
      </c>
      <c r="B637" s="1" t="n">
        <v>45738.43714120371</v>
      </c>
      <c r="C637" s="1" t="n">
        <v>45990</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58963-2025</t>
        </is>
      </c>
      <c r="B638" s="1" t="n">
        <v>45987.60012731481</v>
      </c>
      <c r="C638" s="1" t="n">
        <v>45990</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53366-2023</t>
        </is>
      </c>
      <c r="B639" s="1" t="n">
        <v>45229</v>
      </c>
      <c r="C639" s="1" t="n">
        <v>45990</v>
      </c>
      <c r="D639" t="inlineStr">
        <is>
          <t>ÖREBRO LÄN</t>
        </is>
      </c>
      <c r="E639" t="inlineStr">
        <is>
          <t>LINDESBERG</t>
        </is>
      </c>
      <c r="G639" t="n">
        <v>1.9</v>
      </c>
      <c r="H639" t="n">
        <v>0</v>
      </c>
      <c r="I639" t="n">
        <v>0</v>
      </c>
      <c r="J639" t="n">
        <v>0</v>
      </c>
      <c r="K639" t="n">
        <v>0</v>
      </c>
      <c r="L639" t="n">
        <v>0</v>
      </c>
      <c r="M639" t="n">
        <v>0</v>
      </c>
      <c r="N639" t="n">
        <v>0</v>
      </c>
      <c r="O639" t="n">
        <v>0</v>
      </c>
      <c r="P639" t="n">
        <v>0</v>
      </c>
      <c r="Q639" t="n">
        <v>0</v>
      </c>
      <c r="R639" s="2" t="inlineStr"/>
    </row>
    <row r="640" ht="15" customHeight="1">
      <c r="A640" t="inlineStr">
        <is>
          <t>A 42430-2024</t>
        </is>
      </c>
      <c r="B640" s="1" t="n">
        <v>45565.40700231482</v>
      </c>
      <c r="C640" s="1" t="n">
        <v>45990</v>
      </c>
      <c r="D640" t="inlineStr">
        <is>
          <t>ÖREBRO LÄN</t>
        </is>
      </c>
      <c r="E640" t="inlineStr">
        <is>
          <t>LINDESBERG</t>
        </is>
      </c>
      <c r="G640" t="n">
        <v>4</v>
      </c>
      <c r="H640" t="n">
        <v>0</v>
      </c>
      <c r="I640" t="n">
        <v>0</v>
      </c>
      <c r="J640" t="n">
        <v>0</v>
      </c>
      <c r="K640" t="n">
        <v>0</v>
      </c>
      <c r="L640" t="n">
        <v>0</v>
      </c>
      <c r="M640" t="n">
        <v>0</v>
      </c>
      <c r="N640" t="n">
        <v>0</v>
      </c>
      <c r="O640" t="n">
        <v>0</v>
      </c>
      <c r="P640" t="n">
        <v>0</v>
      </c>
      <c r="Q640" t="n">
        <v>0</v>
      </c>
      <c r="R640" s="2" t="inlineStr"/>
    </row>
    <row r="641" ht="15" customHeight="1">
      <c r="A641" t="inlineStr">
        <is>
          <t>A 36754-2024</t>
        </is>
      </c>
      <c r="B641" s="1" t="n">
        <v>45538.34796296297</v>
      </c>
      <c r="C641" s="1" t="n">
        <v>45990</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1354-2024</t>
        </is>
      </c>
      <c r="B642" s="1" t="n">
        <v>45303</v>
      </c>
      <c r="C642" s="1" t="n">
        <v>45990</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27001-2024</t>
        </is>
      </c>
      <c r="B643" s="1" t="n">
        <v>45471.38995370371</v>
      </c>
      <c r="C643" s="1" t="n">
        <v>45990</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26067-2022</t>
        </is>
      </c>
      <c r="B644" s="1" t="n">
        <v>44734.64337962963</v>
      </c>
      <c r="C644" s="1" t="n">
        <v>45990</v>
      </c>
      <c r="D644" t="inlineStr">
        <is>
          <t>ÖREBRO LÄN</t>
        </is>
      </c>
      <c r="E644" t="inlineStr">
        <is>
          <t>LINDESBERG</t>
        </is>
      </c>
      <c r="G644" t="n">
        <v>3.1</v>
      </c>
      <c r="H644" t="n">
        <v>0</v>
      </c>
      <c r="I644" t="n">
        <v>0</v>
      </c>
      <c r="J644" t="n">
        <v>0</v>
      </c>
      <c r="K644" t="n">
        <v>0</v>
      </c>
      <c r="L644" t="n">
        <v>0</v>
      </c>
      <c r="M644" t="n">
        <v>0</v>
      </c>
      <c r="N644" t="n">
        <v>0</v>
      </c>
      <c r="O644" t="n">
        <v>0</v>
      </c>
      <c r="P644" t="n">
        <v>0</v>
      </c>
      <c r="Q644" t="n">
        <v>0</v>
      </c>
      <c r="R644" s="2" t="inlineStr"/>
    </row>
    <row r="645" ht="15" customHeight="1">
      <c r="A645" t="inlineStr">
        <is>
          <t>A 59395-2022</t>
        </is>
      </c>
      <c r="B645" s="1" t="n">
        <v>44906.73321759259</v>
      </c>
      <c r="C645" s="1" t="n">
        <v>45990</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51186-2025</t>
        </is>
      </c>
      <c r="B646" s="1" t="n">
        <v>45947.62353009259</v>
      </c>
      <c r="C646" s="1" t="n">
        <v>45990</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19043-2023</t>
        </is>
      </c>
      <c r="B647" s="1" t="n">
        <v>45047.7181712963</v>
      </c>
      <c r="C647" s="1" t="n">
        <v>45990</v>
      </c>
      <c r="D647" t="inlineStr">
        <is>
          <t>ÖREBRO LÄN</t>
        </is>
      </c>
      <c r="E647" t="inlineStr">
        <is>
          <t>LINDESBERG</t>
        </is>
      </c>
      <c r="G647" t="n">
        <v>2.6</v>
      </c>
      <c r="H647" t="n">
        <v>0</v>
      </c>
      <c r="I647" t="n">
        <v>0</v>
      </c>
      <c r="J647" t="n">
        <v>0</v>
      </c>
      <c r="K647" t="n">
        <v>0</v>
      </c>
      <c r="L647" t="n">
        <v>0</v>
      </c>
      <c r="M647" t="n">
        <v>0</v>
      </c>
      <c r="N647" t="n">
        <v>0</v>
      </c>
      <c r="O647" t="n">
        <v>0</v>
      </c>
      <c r="P647" t="n">
        <v>0</v>
      </c>
      <c r="Q647" t="n">
        <v>0</v>
      </c>
      <c r="R647" s="2" t="inlineStr"/>
    </row>
    <row r="648" ht="15" customHeight="1">
      <c r="A648" t="inlineStr">
        <is>
          <t>A 41343-2021</t>
        </is>
      </c>
      <c r="B648" s="1" t="n">
        <v>44424.61709490741</v>
      </c>
      <c r="C648" s="1" t="n">
        <v>45990</v>
      </c>
      <c r="D648" t="inlineStr">
        <is>
          <t>ÖREBRO LÄN</t>
        </is>
      </c>
      <c r="E648" t="inlineStr">
        <is>
          <t>LINDESBERG</t>
        </is>
      </c>
      <c r="G648" t="n">
        <v>8.9</v>
      </c>
      <c r="H648" t="n">
        <v>0</v>
      </c>
      <c r="I648" t="n">
        <v>0</v>
      </c>
      <c r="J648" t="n">
        <v>0</v>
      </c>
      <c r="K648" t="n">
        <v>0</v>
      </c>
      <c r="L648" t="n">
        <v>0</v>
      </c>
      <c r="M648" t="n">
        <v>0</v>
      </c>
      <c r="N648" t="n">
        <v>0</v>
      </c>
      <c r="O648" t="n">
        <v>0</v>
      </c>
      <c r="P648" t="n">
        <v>0</v>
      </c>
      <c r="Q648" t="n">
        <v>0</v>
      </c>
      <c r="R648" s="2" t="inlineStr"/>
    </row>
    <row r="649" ht="15" customHeight="1">
      <c r="A649" t="inlineStr">
        <is>
          <t>A 51172-2025</t>
        </is>
      </c>
      <c r="B649" s="1" t="n">
        <v>45947.60508101852</v>
      </c>
      <c r="C649" s="1" t="n">
        <v>45990</v>
      </c>
      <c r="D649" t="inlineStr">
        <is>
          <t>ÖREBRO LÄN</t>
        </is>
      </c>
      <c r="E649" t="inlineStr">
        <is>
          <t>LINDESBERG</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43416-2024</t>
        </is>
      </c>
      <c r="B650" s="1" t="n">
        <v>45568.62625</v>
      </c>
      <c r="C650" s="1" t="n">
        <v>45990</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10654-2023</t>
        </is>
      </c>
      <c r="B651" s="1" t="n">
        <v>44984</v>
      </c>
      <c r="C651" s="1" t="n">
        <v>45990</v>
      </c>
      <c r="D651" t="inlineStr">
        <is>
          <t>ÖREBRO LÄN</t>
        </is>
      </c>
      <c r="E651" t="inlineStr">
        <is>
          <t>LINDESBERG</t>
        </is>
      </c>
      <c r="G651" t="n">
        <v>1.2</v>
      </c>
      <c r="H651" t="n">
        <v>0</v>
      </c>
      <c r="I651" t="n">
        <v>0</v>
      </c>
      <c r="J651" t="n">
        <v>0</v>
      </c>
      <c r="K651" t="n">
        <v>0</v>
      </c>
      <c r="L651" t="n">
        <v>0</v>
      </c>
      <c r="M651" t="n">
        <v>0</v>
      </c>
      <c r="N651" t="n">
        <v>0</v>
      </c>
      <c r="O651" t="n">
        <v>0</v>
      </c>
      <c r="P651" t="n">
        <v>0</v>
      </c>
      <c r="Q651" t="n">
        <v>0</v>
      </c>
      <c r="R651" s="2" t="inlineStr"/>
    </row>
    <row r="652" ht="15" customHeight="1">
      <c r="A652" t="inlineStr">
        <is>
          <t>A 63125-2023</t>
        </is>
      </c>
      <c r="B652" s="1" t="n">
        <v>45273</v>
      </c>
      <c r="C652" s="1" t="n">
        <v>45990</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50933-2025</t>
        </is>
      </c>
      <c r="B653" s="1" t="n">
        <v>45946.68859953704</v>
      </c>
      <c r="C653" s="1" t="n">
        <v>45990</v>
      </c>
      <c r="D653" t="inlineStr">
        <is>
          <t>ÖREBRO LÄN</t>
        </is>
      </c>
      <c r="E653" t="inlineStr">
        <is>
          <t>LINDESBERG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50765-2025</t>
        </is>
      </c>
      <c r="B654" s="1" t="n">
        <v>45946.44216435185</v>
      </c>
      <c r="C654" s="1" t="n">
        <v>45990</v>
      </c>
      <c r="D654" t="inlineStr">
        <is>
          <t>ÖREBRO LÄN</t>
        </is>
      </c>
      <c r="E654" t="inlineStr">
        <is>
          <t>LINDESBERG</t>
        </is>
      </c>
      <c r="F654" t="inlineStr">
        <is>
          <t>Sveaskog</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14454-2024</t>
        </is>
      </c>
      <c r="B655" s="1" t="n">
        <v>45394.51289351852</v>
      </c>
      <c r="C655" s="1" t="n">
        <v>45990</v>
      </c>
      <c r="D655" t="inlineStr">
        <is>
          <t>ÖREBRO LÄN</t>
        </is>
      </c>
      <c r="E655" t="inlineStr">
        <is>
          <t>LINDESBERG</t>
        </is>
      </c>
      <c r="G655" t="n">
        <v>1.9</v>
      </c>
      <c r="H655" t="n">
        <v>0</v>
      </c>
      <c r="I655" t="n">
        <v>0</v>
      </c>
      <c r="J655" t="n">
        <v>0</v>
      </c>
      <c r="K655" t="n">
        <v>0</v>
      </c>
      <c r="L655" t="n">
        <v>0</v>
      </c>
      <c r="M655" t="n">
        <v>0</v>
      </c>
      <c r="N655" t="n">
        <v>0</v>
      </c>
      <c r="O655" t="n">
        <v>0</v>
      </c>
      <c r="P655" t="n">
        <v>0</v>
      </c>
      <c r="Q655" t="n">
        <v>0</v>
      </c>
      <c r="R655" s="2" t="inlineStr"/>
    </row>
    <row r="656" ht="15" customHeight="1">
      <c r="A656" t="inlineStr">
        <is>
          <t>A 51030-2025</t>
        </is>
      </c>
      <c r="B656" s="1" t="n">
        <v>45947.40105324074</v>
      </c>
      <c r="C656" s="1" t="n">
        <v>45990</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50936-2025</t>
        </is>
      </c>
      <c r="B657" s="1" t="n">
        <v>45946.69616898148</v>
      </c>
      <c r="C657" s="1" t="n">
        <v>45990</v>
      </c>
      <c r="D657" t="inlineStr">
        <is>
          <t>ÖREBRO LÄN</t>
        </is>
      </c>
      <c r="E657" t="inlineStr">
        <is>
          <t>LINDESBERG</t>
        </is>
      </c>
      <c r="G657" t="n">
        <v>2.9</v>
      </c>
      <c r="H657" t="n">
        <v>0</v>
      </c>
      <c r="I657" t="n">
        <v>0</v>
      </c>
      <c r="J657" t="n">
        <v>0</v>
      </c>
      <c r="K657" t="n">
        <v>0</v>
      </c>
      <c r="L657" t="n">
        <v>0</v>
      </c>
      <c r="M657" t="n">
        <v>0</v>
      </c>
      <c r="N657" t="n">
        <v>0</v>
      </c>
      <c r="O657" t="n">
        <v>0</v>
      </c>
      <c r="P657" t="n">
        <v>0</v>
      </c>
      <c r="Q657" t="n">
        <v>0</v>
      </c>
      <c r="R657" s="2" t="inlineStr"/>
    </row>
    <row r="658" ht="15" customHeight="1">
      <c r="A658" t="inlineStr">
        <is>
          <t>A 53721-2025</t>
        </is>
      </c>
      <c r="B658" s="1" t="n">
        <v>45960</v>
      </c>
      <c r="C658" s="1" t="n">
        <v>45990</v>
      </c>
      <c r="D658" t="inlineStr">
        <is>
          <t>ÖREBRO LÄN</t>
        </is>
      </c>
      <c r="E658" t="inlineStr">
        <is>
          <t>LINDESBERG</t>
        </is>
      </c>
      <c r="G658" t="n">
        <v>3.3</v>
      </c>
      <c r="H658" t="n">
        <v>0</v>
      </c>
      <c r="I658" t="n">
        <v>0</v>
      </c>
      <c r="J658" t="n">
        <v>0</v>
      </c>
      <c r="K658" t="n">
        <v>0</v>
      </c>
      <c r="L658" t="n">
        <v>0</v>
      </c>
      <c r="M658" t="n">
        <v>0</v>
      </c>
      <c r="N658" t="n">
        <v>0</v>
      </c>
      <c r="O658" t="n">
        <v>0</v>
      </c>
      <c r="P658" t="n">
        <v>0</v>
      </c>
      <c r="Q658" t="n">
        <v>0</v>
      </c>
      <c r="R658" s="2" t="inlineStr"/>
    </row>
    <row r="659" ht="15" customHeight="1">
      <c r="A659" t="inlineStr">
        <is>
          <t>A 6752-2021</t>
        </is>
      </c>
      <c r="B659" s="1" t="n">
        <v>44236</v>
      </c>
      <c r="C659" s="1" t="n">
        <v>45990</v>
      </c>
      <c r="D659" t="inlineStr">
        <is>
          <t>ÖREBRO LÄN</t>
        </is>
      </c>
      <c r="E659" t="inlineStr">
        <is>
          <t>LINDESBERG</t>
        </is>
      </c>
      <c r="G659" t="n">
        <v>2.6</v>
      </c>
      <c r="H659" t="n">
        <v>0</v>
      </c>
      <c r="I659" t="n">
        <v>0</v>
      </c>
      <c r="J659" t="n">
        <v>0</v>
      </c>
      <c r="K659" t="n">
        <v>0</v>
      </c>
      <c r="L659" t="n">
        <v>0</v>
      </c>
      <c r="M659" t="n">
        <v>0</v>
      </c>
      <c r="N659" t="n">
        <v>0</v>
      </c>
      <c r="O659" t="n">
        <v>0</v>
      </c>
      <c r="P659" t="n">
        <v>0</v>
      </c>
      <c r="Q659" t="n">
        <v>0</v>
      </c>
      <c r="R659" s="2" t="inlineStr"/>
      <c r="U659">
        <f>HYPERLINK("https://klasma.github.io/Logging_1885/knärot/A 6752-2021 karta knärot.png", "A 6752-2021")</f>
        <v/>
      </c>
      <c r="V659">
        <f>HYPERLINK("https://klasma.github.io/Logging_1885/klagomål/A 6752-2021 FSC-klagomål.docx", "A 6752-2021")</f>
        <v/>
      </c>
      <c r="W659">
        <f>HYPERLINK("https://klasma.github.io/Logging_1885/klagomålsmail/A 6752-2021 FSC-klagomål mail.docx", "A 6752-2021")</f>
        <v/>
      </c>
      <c r="X659">
        <f>HYPERLINK("https://klasma.github.io/Logging_1885/tillsyn/A 6752-2021 tillsynsbegäran.docx", "A 6752-2021")</f>
        <v/>
      </c>
      <c r="Y659">
        <f>HYPERLINK("https://klasma.github.io/Logging_1885/tillsynsmail/A 6752-2021 tillsynsbegäran mail.docx", "A 6752-2021")</f>
        <v/>
      </c>
    </row>
    <row r="660" ht="15" customHeight="1">
      <c r="A660" t="inlineStr">
        <is>
          <t>A 61960-2024</t>
        </is>
      </c>
      <c r="B660" s="1" t="n">
        <v>45653.53664351852</v>
      </c>
      <c r="C660" s="1" t="n">
        <v>45990</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34436-2023</t>
        </is>
      </c>
      <c r="B661" s="1" t="n">
        <v>45139.64328703703</v>
      </c>
      <c r="C661" s="1" t="n">
        <v>45990</v>
      </c>
      <c r="D661" t="inlineStr">
        <is>
          <t>ÖREBRO LÄN</t>
        </is>
      </c>
      <c r="E661" t="inlineStr">
        <is>
          <t>LINDESBERG</t>
        </is>
      </c>
      <c r="F661" t="inlineStr">
        <is>
          <t>Kyrkan</t>
        </is>
      </c>
      <c r="G661" t="n">
        <v>5.8</v>
      </c>
      <c r="H661" t="n">
        <v>0</v>
      </c>
      <c r="I661" t="n">
        <v>0</v>
      </c>
      <c r="J661" t="n">
        <v>0</v>
      </c>
      <c r="K661" t="n">
        <v>0</v>
      </c>
      <c r="L661" t="n">
        <v>0</v>
      </c>
      <c r="M661" t="n">
        <v>0</v>
      </c>
      <c r="N661" t="n">
        <v>0</v>
      </c>
      <c r="O661" t="n">
        <v>0</v>
      </c>
      <c r="P661" t="n">
        <v>0</v>
      </c>
      <c r="Q661" t="n">
        <v>0</v>
      </c>
      <c r="R661" s="2" t="inlineStr"/>
    </row>
    <row r="662" ht="15" customHeight="1">
      <c r="A662" t="inlineStr">
        <is>
          <t>A 54860-2024</t>
        </is>
      </c>
      <c r="B662" s="1" t="n">
        <v>45618.59219907408</v>
      </c>
      <c r="C662" s="1" t="n">
        <v>45990</v>
      </c>
      <c r="D662" t="inlineStr">
        <is>
          <t>ÖREBRO LÄN</t>
        </is>
      </c>
      <c r="E662" t="inlineStr">
        <is>
          <t>LINDESBERG</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6181-2025</t>
        </is>
      </c>
      <c r="B663" s="1" t="n">
        <v>45698</v>
      </c>
      <c r="C663" s="1" t="n">
        <v>45990</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8612-2024</t>
        </is>
      </c>
      <c r="B664" s="1" t="n">
        <v>45355.70009259259</v>
      </c>
      <c r="C664" s="1" t="n">
        <v>45990</v>
      </c>
      <c r="D664" t="inlineStr">
        <is>
          <t>ÖREBRO LÄN</t>
        </is>
      </c>
      <c r="E664" t="inlineStr">
        <is>
          <t>LINDESBERG</t>
        </is>
      </c>
      <c r="G664" t="n">
        <v>4.5</v>
      </c>
      <c r="H664" t="n">
        <v>0</v>
      </c>
      <c r="I664" t="n">
        <v>0</v>
      </c>
      <c r="J664" t="n">
        <v>0</v>
      </c>
      <c r="K664" t="n">
        <v>0</v>
      </c>
      <c r="L664" t="n">
        <v>0</v>
      </c>
      <c r="M664" t="n">
        <v>0</v>
      </c>
      <c r="N664" t="n">
        <v>0</v>
      </c>
      <c r="O664" t="n">
        <v>0</v>
      </c>
      <c r="P664" t="n">
        <v>0</v>
      </c>
      <c r="Q664" t="n">
        <v>0</v>
      </c>
      <c r="R664" s="2" t="inlineStr"/>
    </row>
    <row r="665" ht="15" customHeight="1">
      <c r="A665" t="inlineStr">
        <is>
          <t>A 7126-2025</t>
        </is>
      </c>
      <c r="B665" s="1" t="n">
        <v>45702</v>
      </c>
      <c r="C665" s="1" t="n">
        <v>45990</v>
      </c>
      <c r="D665" t="inlineStr">
        <is>
          <t>ÖREBRO LÄN</t>
        </is>
      </c>
      <c r="E665" t="inlineStr">
        <is>
          <t>LINDESBERG</t>
        </is>
      </c>
      <c r="G665" t="n">
        <v>1.3</v>
      </c>
      <c r="H665" t="n">
        <v>0</v>
      </c>
      <c r="I665" t="n">
        <v>0</v>
      </c>
      <c r="J665" t="n">
        <v>0</v>
      </c>
      <c r="K665" t="n">
        <v>0</v>
      </c>
      <c r="L665" t="n">
        <v>0</v>
      </c>
      <c r="M665" t="n">
        <v>0</v>
      </c>
      <c r="N665" t="n">
        <v>0</v>
      </c>
      <c r="O665" t="n">
        <v>0</v>
      </c>
      <c r="P665" t="n">
        <v>0</v>
      </c>
      <c r="Q665" t="n">
        <v>0</v>
      </c>
      <c r="R665" s="2" t="inlineStr"/>
    </row>
    <row r="666" ht="15" customHeight="1">
      <c r="A666" t="inlineStr">
        <is>
          <t>A 9961-2023</t>
        </is>
      </c>
      <c r="B666" s="1" t="n">
        <v>44979</v>
      </c>
      <c r="C666" s="1" t="n">
        <v>45990</v>
      </c>
      <c r="D666" t="inlineStr">
        <is>
          <t>ÖREBRO LÄN</t>
        </is>
      </c>
      <c r="E666" t="inlineStr">
        <is>
          <t>LINDESBERG</t>
        </is>
      </c>
      <c r="G666" t="n">
        <v>4.8</v>
      </c>
      <c r="H666" t="n">
        <v>0</v>
      </c>
      <c r="I666" t="n">
        <v>0</v>
      </c>
      <c r="J666" t="n">
        <v>0</v>
      </c>
      <c r="K666" t="n">
        <v>0</v>
      </c>
      <c r="L666" t="n">
        <v>0</v>
      </c>
      <c r="M666" t="n">
        <v>0</v>
      </c>
      <c r="N666" t="n">
        <v>0</v>
      </c>
      <c r="O666" t="n">
        <v>0</v>
      </c>
      <c r="P666" t="n">
        <v>0</v>
      </c>
      <c r="Q666" t="n">
        <v>0</v>
      </c>
      <c r="R666" s="2" t="inlineStr"/>
    </row>
    <row r="667" ht="15" customHeight="1">
      <c r="A667" t="inlineStr">
        <is>
          <t>A 21084-2021</t>
        </is>
      </c>
      <c r="B667" s="1" t="n">
        <v>44319</v>
      </c>
      <c r="C667" s="1" t="n">
        <v>45990</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5047-2023</t>
        </is>
      </c>
      <c r="B668" s="1" t="n">
        <v>44958.58982638889</v>
      </c>
      <c r="C668" s="1" t="n">
        <v>45990</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18590-2023</t>
        </is>
      </c>
      <c r="B669" s="1" t="n">
        <v>45043.40300925926</v>
      </c>
      <c r="C669" s="1" t="n">
        <v>45990</v>
      </c>
      <c r="D669" t="inlineStr">
        <is>
          <t>ÖREBRO LÄN</t>
        </is>
      </c>
      <c r="E669" t="inlineStr">
        <is>
          <t>LINDESBERG</t>
        </is>
      </c>
      <c r="G669" t="n">
        <v>2.4</v>
      </c>
      <c r="H669" t="n">
        <v>0</v>
      </c>
      <c r="I669" t="n">
        <v>0</v>
      </c>
      <c r="J669" t="n">
        <v>0</v>
      </c>
      <c r="K669" t="n">
        <v>0</v>
      </c>
      <c r="L669" t="n">
        <v>0</v>
      </c>
      <c r="M669" t="n">
        <v>0</v>
      </c>
      <c r="N669" t="n">
        <v>0</v>
      </c>
      <c r="O669" t="n">
        <v>0</v>
      </c>
      <c r="P669" t="n">
        <v>0</v>
      </c>
      <c r="Q669" t="n">
        <v>0</v>
      </c>
      <c r="R669" s="2" t="inlineStr"/>
    </row>
    <row r="670" ht="15" customHeight="1">
      <c r="A670" t="inlineStr">
        <is>
          <t>A 5784-2025</t>
        </is>
      </c>
      <c r="B670" s="1" t="n">
        <v>45694</v>
      </c>
      <c r="C670" s="1" t="n">
        <v>45990</v>
      </c>
      <c r="D670" t="inlineStr">
        <is>
          <t>ÖREBRO LÄN</t>
        </is>
      </c>
      <c r="E670" t="inlineStr">
        <is>
          <t>LINDESBERG</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16448-2025</t>
        </is>
      </c>
      <c r="B671" s="1" t="n">
        <v>45751.5056712963</v>
      </c>
      <c r="C671" s="1" t="n">
        <v>45990</v>
      </c>
      <c r="D671" t="inlineStr">
        <is>
          <t>ÖREBRO LÄN</t>
        </is>
      </c>
      <c r="E671" t="inlineStr">
        <is>
          <t>LINDESBERG</t>
        </is>
      </c>
      <c r="G671" t="n">
        <v>20.1</v>
      </c>
      <c r="H671" t="n">
        <v>0</v>
      </c>
      <c r="I671" t="n">
        <v>0</v>
      </c>
      <c r="J671" t="n">
        <v>0</v>
      </c>
      <c r="K671" t="n">
        <v>0</v>
      </c>
      <c r="L671" t="n">
        <v>0</v>
      </c>
      <c r="M671" t="n">
        <v>0</v>
      </c>
      <c r="N671" t="n">
        <v>0</v>
      </c>
      <c r="O671" t="n">
        <v>0</v>
      </c>
      <c r="P671" t="n">
        <v>0</v>
      </c>
      <c r="Q671" t="n">
        <v>0</v>
      </c>
      <c r="R671" s="2" t="inlineStr"/>
    </row>
    <row r="672" ht="15" customHeight="1">
      <c r="A672" t="inlineStr">
        <is>
          <t>A 54432-2023</t>
        </is>
      </c>
      <c r="B672" s="1" t="n">
        <v>45233.42121527778</v>
      </c>
      <c r="C672" s="1" t="n">
        <v>45990</v>
      </c>
      <c r="D672" t="inlineStr">
        <is>
          <t>ÖREBRO LÄN</t>
        </is>
      </c>
      <c r="E672" t="inlineStr">
        <is>
          <t>LINDESBERG</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9436-2023</t>
        </is>
      </c>
      <c r="B673" s="1" t="n">
        <v>44981</v>
      </c>
      <c r="C673" s="1" t="n">
        <v>45990</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60200-2024</t>
        </is>
      </c>
      <c r="B674" s="1" t="n">
        <v>45642.66184027777</v>
      </c>
      <c r="C674" s="1" t="n">
        <v>45990</v>
      </c>
      <c r="D674" t="inlineStr">
        <is>
          <t>ÖREBRO LÄN</t>
        </is>
      </c>
      <c r="E674" t="inlineStr">
        <is>
          <t>LINDESBERG</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36747-2024</t>
        </is>
      </c>
      <c r="B675" s="1" t="n">
        <v>45538.34193287037</v>
      </c>
      <c r="C675" s="1" t="n">
        <v>45990</v>
      </c>
      <c r="D675" t="inlineStr">
        <is>
          <t>ÖREBRO LÄN</t>
        </is>
      </c>
      <c r="E675" t="inlineStr">
        <is>
          <t>LINDESBERG</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13305-2023</t>
        </is>
      </c>
      <c r="B676" s="1" t="n">
        <v>45005.35967592592</v>
      </c>
      <c r="C676" s="1" t="n">
        <v>45990</v>
      </c>
      <c r="D676" t="inlineStr">
        <is>
          <t>ÖREBRO LÄN</t>
        </is>
      </c>
      <c r="E676" t="inlineStr">
        <is>
          <t>LINDESBERG</t>
        </is>
      </c>
      <c r="G676" t="n">
        <v>5.5</v>
      </c>
      <c r="H676" t="n">
        <v>0</v>
      </c>
      <c r="I676" t="n">
        <v>0</v>
      </c>
      <c r="J676" t="n">
        <v>0</v>
      </c>
      <c r="K676" t="n">
        <v>0</v>
      </c>
      <c r="L676" t="n">
        <v>0</v>
      </c>
      <c r="M676" t="n">
        <v>0</v>
      </c>
      <c r="N676" t="n">
        <v>0</v>
      </c>
      <c r="O676" t="n">
        <v>0</v>
      </c>
      <c r="P676" t="n">
        <v>0</v>
      </c>
      <c r="Q676" t="n">
        <v>0</v>
      </c>
      <c r="R676" s="2" t="inlineStr"/>
    </row>
    <row r="677" ht="15" customHeight="1">
      <c r="A677" t="inlineStr">
        <is>
          <t>A 13368-2023</t>
        </is>
      </c>
      <c r="B677" s="1" t="n">
        <v>45005.47820601852</v>
      </c>
      <c r="C677" s="1" t="n">
        <v>45990</v>
      </c>
      <c r="D677" t="inlineStr">
        <is>
          <t>ÖREBRO LÄN</t>
        </is>
      </c>
      <c r="E677" t="inlineStr">
        <is>
          <t>LINDESBERG</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56912-2024</t>
        </is>
      </c>
      <c r="B678" s="1" t="n">
        <v>45628.59233796296</v>
      </c>
      <c r="C678" s="1" t="n">
        <v>45990</v>
      </c>
      <c r="D678" t="inlineStr">
        <is>
          <t>ÖREBRO LÄN</t>
        </is>
      </c>
      <c r="E678" t="inlineStr">
        <is>
          <t>LINDESBERG</t>
        </is>
      </c>
      <c r="G678" t="n">
        <v>1</v>
      </c>
      <c r="H678" t="n">
        <v>0</v>
      </c>
      <c r="I678" t="n">
        <v>0</v>
      </c>
      <c r="J678" t="n">
        <v>0</v>
      </c>
      <c r="K678" t="n">
        <v>0</v>
      </c>
      <c r="L678" t="n">
        <v>0</v>
      </c>
      <c r="M678" t="n">
        <v>0</v>
      </c>
      <c r="N678" t="n">
        <v>0</v>
      </c>
      <c r="O678" t="n">
        <v>0</v>
      </c>
      <c r="P678" t="n">
        <v>0</v>
      </c>
      <c r="Q678" t="n">
        <v>0</v>
      </c>
      <c r="R678" s="2" t="inlineStr"/>
    </row>
    <row r="679" ht="15" customHeight="1">
      <c r="A679" t="inlineStr">
        <is>
          <t>A 15745-2024</t>
        </is>
      </c>
      <c r="B679" s="1" t="n">
        <v>45404.55239583334</v>
      </c>
      <c r="C679" s="1" t="n">
        <v>45990</v>
      </c>
      <c r="D679" t="inlineStr">
        <is>
          <t>ÖREBRO LÄN</t>
        </is>
      </c>
      <c r="E679" t="inlineStr">
        <is>
          <t>LINDESBERG</t>
        </is>
      </c>
      <c r="F679" t="inlineStr">
        <is>
          <t>Sveaskog</t>
        </is>
      </c>
      <c r="G679" t="n">
        <v>6.2</v>
      </c>
      <c r="H679" t="n">
        <v>0</v>
      </c>
      <c r="I679" t="n">
        <v>0</v>
      </c>
      <c r="J679" t="n">
        <v>0</v>
      </c>
      <c r="K679" t="n">
        <v>0</v>
      </c>
      <c r="L679" t="n">
        <v>0</v>
      </c>
      <c r="M679" t="n">
        <v>0</v>
      </c>
      <c r="N679" t="n">
        <v>0</v>
      </c>
      <c r="O679" t="n">
        <v>0</v>
      </c>
      <c r="P679" t="n">
        <v>0</v>
      </c>
      <c r="Q679" t="n">
        <v>0</v>
      </c>
      <c r="R679" s="2" t="inlineStr"/>
    </row>
    <row r="680" ht="15" customHeight="1">
      <c r="A680" t="inlineStr">
        <is>
          <t>A 15750-2024</t>
        </is>
      </c>
      <c r="B680" s="1" t="n">
        <v>45404.55601851852</v>
      </c>
      <c r="C680" s="1" t="n">
        <v>45990</v>
      </c>
      <c r="D680" t="inlineStr">
        <is>
          <t>ÖREBRO LÄN</t>
        </is>
      </c>
      <c r="E680" t="inlineStr">
        <is>
          <t>LINDESBERG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72698-2021</t>
        </is>
      </c>
      <c r="B681" s="1" t="n">
        <v>44546.6679050926</v>
      </c>
      <c r="C681" s="1" t="n">
        <v>45990</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19110-2025</t>
        </is>
      </c>
      <c r="B682" s="1" t="n">
        <v>45768.49947916667</v>
      </c>
      <c r="C682" s="1" t="n">
        <v>45990</v>
      </c>
      <c r="D682" t="inlineStr">
        <is>
          <t>ÖREBRO LÄN</t>
        </is>
      </c>
      <c r="E682" t="inlineStr">
        <is>
          <t>LINDESBERG</t>
        </is>
      </c>
      <c r="G682" t="n">
        <v>2.6</v>
      </c>
      <c r="H682" t="n">
        <v>0</v>
      </c>
      <c r="I682" t="n">
        <v>0</v>
      </c>
      <c r="J682" t="n">
        <v>0</v>
      </c>
      <c r="K682" t="n">
        <v>0</v>
      </c>
      <c r="L682" t="n">
        <v>0</v>
      </c>
      <c r="M682" t="n">
        <v>0</v>
      </c>
      <c r="N682" t="n">
        <v>0</v>
      </c>
      <c r="O682" t="n">
        <v>0</v>
      </c>
      <c r="P682" t="n">
        <v>0</v>
      </c>
      <c r="Q682" t="n">
        <v>0</v>
      </c>
      <c r="R682" s="2" t="inlineStr"/>
    </row>
    <row r="683" ht="15" customHeight="1">
      <c r="A683" t="inlineStr">
        <is>
          <t>A 46678-2023</t>
        </is>
      </c>
      <c r="B683" s="1" t="n">
        <v>45194</v>
      </c>
      <c r="C683" s="1" t="n">
        <v>45990</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44721.52627314815</v>
      </c>
      <c r="C684" s="1" t="n">
        <v>45990</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53054-2022</t>
        </is>
      </c>
      <c r="B685" s="1" t="n">
        <v>44876.35706018518</v>
      </c>
      <c r="C685" s="1" t="n">
        <v>45990</v>
      </c>
      <c r="D685" t="inlineStr">
        <is>
          <t>ÖREBRO LÄN</t>
        </is>
      </c>
      <c r="E685" t="inlineStr">
        <is>
          <t>LINDESBERG</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20467-2023</t>
        </is>
      </c>
      <c r="B686" s="1" t="n">
        <v>45057</v>
      </c>
      <c r="C686" s="1" t="n">
        <v>45990</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35140-2023</t>
        </is>
      </c>
      <c r="B687" s="1" t="n">
        <v>45145</v>
      </c>
      <c r="C687" s="1" t="n">
        <v>45990</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38762-2021</t>
        </is>
      </c>
      <c r="B688" s="1" t="n">
        <v>44410.61837962963</v>
      </c>
      <c r="C688" s="1" t="n">
        <v>45990</v>
      </c>
      <c r="D688" t="inlineStr">
        <is>
          <t>ÖREBRO LÄN</t>
        </is>
      </c>
      <c r="E688" t="inlineStr">
        <is>
          <t>LINDESBERG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39419-2023</t>
        </is>
      </c>
      <c r="B689" s="1" t="n">
        <v>45166.68493055556</v>
      </c>
      <c r="C689" s="1" t="n">
        <v>45990</v>
      </c>
      <c r="D689" t="inlineStr">
        <is>
          <t>ÖREBRO LÄN</t>
        </is>
      </c>
      <c r="E689" t="inlineStr">
        <is>
          <t>LINDESBERG</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6470-2024</t>
        </is>
      </c>
      <c r="B690" s="1" t="n">
        <v>45338</v>
      </c>
      <c r="C690" s="1" t="n">
        <v>45990</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58697-2024</t>
        </is>
      </c>
      <c r="B691" s="1" t="n">
        <v>45635.63706018519</v>
      </c>
      <c r="C691" s="1" t="n">
        <v>45990</v>
      </c>
      <c r="D691" t="inlineStr">
        <is>
          <t>ÖREBRO LÄN</t>
        </is>
      </c>
      <c r="E691" t="inlineStr">
        <is>
          <t>LINDESBERG</t>
        </is>
      </c>
      <c r="G691" t="n">
        <v>25.1</v>
      </c>
      <c r="H691" t="n">
        <v>0</v>
      </c>
      <c r="I691" t="n">
        <v>0</v>
      </c>
      <c r="J691" t="n">
        <v>0</v>
      </c>
      <c r="K691" t="n">
        <v>0</v>
      </c>
      <c r="L691" t="n">
        <v>0</v>
      </c>
      <c r="M691" t="n">
        <v>0</v>
      </c>
      <c r="N691" t="n">
        <v>0</v>
      </c>
      <c r="O691" t="n">
        <v>0</v>
      </c>
      <c r="P691" t="n">
        <v>0</v>
      </c>
      <c r="Q691" t="n">
        <v>0</v>
      </c>
      <c r="R691" s="2" t="inlineStr"/>
    </row>
    <row r="692" ht="15" customHeight="1">
      <c r="A692" t="inlineStr">
        <is>
          <t>A 45978-2021</t>
        </is>
      </c>
      <c r="B692" s="1" t="n">
        <v>44441.70047453704</v>
      </c>
      <c r="C692" s="1" t="n">
        <v>45990</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11218-2025</t>
        </is>
      </c>
      <c r="B693" s="1" t="n">
        <v>45726.33763888889</v>
      </c>
      <c r="C693" s="1" t="n">
        <v>45990</v>
      </c>
      <c r="D693" t="inlineStr">
        <is>
          <t>ÖREBRO LÄN</t>
        </is>
      </c>
      <c r="E693" t="inlineStr">
        <is>
          <t>LINDESBERG</t>
        </is>
      </c>
      <c r="G693" t="n">
        <v>0.4</v>
      </c>
      <c r="H693" t="n">
        <v>0</v>
      </c>
      <c r="I693" t="n">
        <v>0</v>
      </c>
      <c r="J693" t="n">
        <v>0</v>
      </c>
      <c r="K693" t="n">
        <v>0</v>
      </c>
      <c r="L693" t="n">
        <v>0</v>
      </c>
      <c r="M693" t="n">
        <v>0</v>
      </c>
      <c r="N693" t="n">
        <v>0</v>
      </c>
      <c r="O693" t="n">
        <v>0</v>
      </c>
      <c r="P693" t="n">
        <v>0</v>
      </c>
      <c r="Q693" t="n">
        <v>0</v>
      </c>
      <c r="R693" s="2" t="inlineStr"/>
    </row>
    <row r="694" ht="15" customHeight="1">
      <c r="A694" t="inlineStr">
        <is>
          <t>A 11220-2025</t>
        </is>
      </c>
      <c r="B694" s="1" t="n">
        <v>45726.34090277777</v>
      </c>
      <c r="C694" s="1" t="n">
        <v>45990</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37616-2023</t>
        </is>
      </c>
      <c r="B695" s="1" t="n">
        <v>45159.44525462963</v>
      </c>
      <c r="C695" s="1" t="n">
        <v>45990</v>
      </c>
      <c r="D695" t="inlineStr">
        <is>
          <t>ÖREBRO LÄN</t>
        </is>
      </c>
      <c r="E695" t="inlineStr">
        <is>
          <t>LINDESBERG</t>
        </is>
      </c>
      <c r="G695" t="n">
        <v>5.3</v>
      </c>
      <c r="H695" t="n">
        <v>0</v>
      </c>
      <c r="I695" t="n">
        <v>0</v>
      </c>
      <c r="J695" t="n">
        <v>0</v>
      </c>
      <c r="K695" t="n">
        <v>0</v>
      </c>
      <c r="L695" t="n">
        <v>0</v>
      </c>
      <c r="M695" t="n">
        <v>0</v>
      </c>
      <c r="N695" t="n">
        <v>0</v>
      </c>
      <c r="O695" t="n">
        <v>0</v>
      </c>
      <c r="P695" t="n">
        <v>0</v>
      </c>
      <c r="Q695" t="n">
        <v>0</v>
      </c>
      <c r="R695" s="2" t="inlineStr"/>
    </row>
    <row r="696" ht="15" customHeight="1">
      <c r="A696" t="inlineStr">
        <is>
          <t>A 28562-2023</t>
        </is>
      </c>
      <c r="B696" s="1" t="n">
        <v>45103.53614583334</v>
      </c>
      <c r="C696" s="1" t="n">
        <v>45990</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21016-2023</t>
        </is>
      </c>
      <c r="B697" s="1" t="n">
        <v>45061.53414351852</v>
      </c>
      <c r="C697" s="1" t="n">
        <v>45990</v>
      </c>
      <c r="D697" t="inlineStr">
        <is>
          <t>ÖREBRO LÄN</t>
        </is>
      </c>
      <c r="E697" t="inlineStr">
        <is>
          <t>LINDESBERG</t>
        </is>
      </c>
      <c r="G697" t="n">
        <v>8.1</v>
      </c>
      <c r="H697" t="n">
        <v>0</v>
      </c>
      <c r="I697" t="n">
        <v>0</v>
      </c>
      <c r="J697" t="n">
        <v>0</v>
      </c>
      <c r="K697" t="n">
        <v>0</v>
      </c>
      <c r="L697" t="n">
        <v>0</v>
      </c>
      <c r="M697" t="n">
        <v>0</v>
      </c>
      <c r="N697" t="n">
        <v>0</v>
      </c>
      <c r="O697" t="n">
        <v>0</v>
      </c>
      <c r="P697" t="n">
        <v>0</v>
      </c>
      <c r="Q697" t="n">
        <v>0</v>
      </c>
      <c r="R697" s="2" t="inlineStr"/>
    </row>
    <row r="698" ht="15" customHeight="1">
      <c r="A698" t="inlineStr">
        <is>
          <t>A 64084-2023</t>
        </is>
      </c>
      <c r="B698" s="1" t="n">
        <v>45279</v>
      </c>
      <c r="C698" s="1" t="n">
        <v>45990</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33886-2024</t>
        </is>
      </c>
      <c r="B699" s="1" t="n">
        <v>45523.31621527778</v>
      </c>
      <c r="C699" s="1" t="n">
        <v>45990</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43046-2022</t>
        </is>
      </c>
      <c r="B700" s="1" t="n">
        <v>44833</v>
      </c>
      <c r="C700" s="1" t="n">
        <v>45990</v>
      </c>
      <c r="D700" t="inlineStr">
        <is>
          <t>ÖREBRO LÄN</t>
        </is>
      </c>
      <c r="E700" t="inlineStr">
        <is>
          <t>LINDESBERG</t>
        </is>
      </c>
      <c r="G700" t="n">
        <v>0.9</v>
      </c>
      <c r="H700" t="n">
        <v>0</v>
      </c>
      <c r="I700" t="n">
        <v>0</v>
      </c>
      <c r="J700" t="n">
        <v>0</v>
      </c>
      <c r="K700" t="n">
        <v>0</v>
      </c>
      <c r="L700" t="n">
        <v>0</v>
      </c>
      <c r="M700" t="n">
        <v>0</v>
      </c>
      <c r="N700" t="n">
        <v>0</v>
      </c>
      <c r="O700" t="n">
        <v>0</v>
      </c>
      <c r="P700" t="n">
        <v>0</v>
      </c>
      <c r="Q700" t="n">
        <v>0</v>
      </c>
      <c r="R700" s="2" t="inlineStr"/>
    </row>
    <row r="701" ht="15" customHeight="1">
      <c r="A701" t="inlineStr">
        <is>
          <t>A 62866-2023</t>
        </is>
      </c>
      <c r="B701" s="1" t="n">
        <v>45272.36168981482</v>
      </c>
      <c r="C701" s="1" t="n">
        <v>45990</v>
      </c>
      <c r="D701" t="inlineStr">
        <is>
          <t>ÖREBRO LÄN</t>
        </is>
      </c>
      <c r="E701" t="inlineStr">
        <is>
          <t>LINDESBERG</t>
        </is>
      </c>
      <c r="G701" t="n">
        <v>14.5</v>
      </c>
      <c r="H701" t="n">
        <v>0</v>
      </c>
      <c r="I701" t="n">
        <v>0</v>
      </c>
      <c r="J701" t="n">
        <v>0</v>
      </c>
      <c r="K701" t="n">
        <v>0</v>
      </c>
      <c r="L701" t="n">
        <v>0</v>
      </c>
      <c r="M701" t="n">
        <v>0</v>
      </c>
      <c r="N701" t="n">
        <v>0</v>
      </c>
      <c r="O701" t="n">
        <v>0</v>
      </c>
      <c r="P701" t="n">
        <v>0</v>
      </c>
      <c r="Q701" t="n">
        <v>0</v>
      </c>
      <c r="R701" s="2" t="inlineStr"/>
    </row>
    <row r="702" ht="15" customHeight="1">
      <c r="A702" t="inlineStr">
        <is>
          <t>A 6-2023</t>
        </is>
      </c>
      <c r="B702" s="1" t="n">
        <v>44927.72487268518</v>
      </c>
      <c r="C702" s="1" t="n">
        <v>45990</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13729-2025</t>
        </is>
      </c>
      <c r="B703" s="1" t="n">
        <v>45737.3846412037</v>
      </c>
      <c r="C703" s="1" t="n">
        <v>45990</v>
      </c>
      <c r="D703" t="inlineStr">
        <is>
          <t>ÖREBRO LÄN</t>
        </is>
      </c>
      <c r="E703" t="inlineStr">
        <is>
          <t>LINDESBERG</t>
        </is>
      </c>
      <c r="F703" t="inlineStr">
        <is>
          <t>Sveaskog</t>
        </is>
      </c>
      <c r="G703" t="n">
        <v>5.4</v>
      </c>
      <c r="H703" t="n">
        <v>0</v>
      </c>
      <c r="I703" t="n">
        <v>0</v>
      </c>
      <c r="J703" t="n">
        <v>0</v>
      </c>
      <c r="K703" t="n">
        <v>0</v>
      </c>
      <c r="L703" t="n">
        <v>0</v>
      </c>
      <c r="M703" t="n">
        <v>0</v>
      </c>
      <c r="N703" t="n">
        <v>0</v>
      </c>
      <c r="O703" t="n">
        <v>0</v>
      </c>
      <c r="P703" t="n">
        <v>0</v>
      </c>
      <c r="Q703" t="n">
        <v>0</v>
      </c>
      <c r="R703" s="2" t="inlineStr"/>
    </row>
    <row r="704" ht="15" customHeight="1">
      <c r="A704" t="inlineStr">
        <is>
          <t>A 41353-2024</t>
        </is>
      </c>
      <c r="B704" s="1" t="n">
        <v>45559</v>
      </c>
      <c r="C704" s="1" t="n">
        <v>45990</v>
      </c>
      <c r="D704" t="inlineStr">
        <is>
          <t>ÖREBRO LÄN</t>
        </is>
      </c>
      <c r="E704" t="inlineStr">
        <is>
          <t>LINDESBERG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63508-2023</t>
        </is>
      </c>
      <c r="B705" s="1" t="n">
        <v>45274</v>
      </c>
      <c r="C705" s="1" t="n">
        <v>45990</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45990</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34025-2024</t>
        </is>
      </c>
      <c r="B707" s="1" t="n">
        <v>45523.58565972222</v>
      </c>
      <c r="C707" s="1" t="n">
        <v>45990</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19077-2025</t>
        </is>
      </c>
      <c r="B708" s="1" t="n">
        <v>45766.33309027777</v>
      </c>
      <c r="C708" s="1" t="n">
        <v>45990</v>
      </c>
      <c r="D708" t="inlineStr">
        <is>
          <t>ÖREBRO LÄN</t>
        </is>
      </c>
      <c r="E708" t="inlineStr">
        <is>
          <t>LINDESBERG</t>
        </is>
      </c>
      <c r="G708" t="n">
        <v>0</v>
      </c>
      <c r="H708" t="n">
        <v>0</v>
      </c>
      <c r="I708" t="n">
        <v>0</v>
      </c>
      <c r="J708" t="n">
        <v>0</v>
      </c>
      <c r="K708" t="n">
        <v>0</v>
      </c>
      <c r="L708" t="n">
        <v>0</v>
      </c>
      <c r="M708" t="n">
        <v>0</v>
      </c>
      <c r="N708" t="n">
        <v>0</v>
      </c>
      <c r="O708" t="n">
        <v>0</v>
      </c>
      <c r="P708" t="n">
        <v>0</v>
      </c>
      <c r="Q708" t="n">
        <v>0</v>
      </c>
      <c r="R708" s="2" t="inlineStr"/>
    </row>
    <row r="709" ht="15" customHeight="1">
      <c r="A709" t="inlineStr">
        <is>
          <t>A 13884-2023</t>
        </is>
      </c>
      <c r="B709" s="1" t="n">
        <v>45007</v>
      </c>
      <c r="C709" s="1" t="n">
        <v>45990</v>
      </c>
      <c r="D709" t="inlineStr">
        <is>
          <t>ÖREBRO LÄN</t>
        </is>
      </c>
      <c r="E709" t="inlineStr">
        <is>
          <t>LINDESBERG</t>
        </is>
      </c>
      <c r="F709" t="inlineStr">
        <is>
          <t>Kommuner</t>
        </is>
      </c>
      <c r="G709" t="n">
        <v>7.7</v>
      </c>
      <c r="H709" t="n">
        <v>0</v>
      </c>
      <c r="I709" t="n">
        <v>0</v>
      </c>
      <c r="J709" t="n">
        <v>0</v>
      </c>
      <c r="K709" t="n">
        <v>0</v>
      </c>
      <c r="L709" t="n">
        <v>0</v>
      </c>
      <c r="M709" t="n">
        <v>0</v>
      </c>
      <c r="N709" t="n">
        <v>0</v>
      </c>
      <c r="O709" t="n">
        <v>0</v>
      </c>
      <c r="P709" t="n">
        <v>0</v>
      </c>
      <c r="Q709" t="n">
        <v>0</v>
      </c>
      <c r="R709" s="2" t="inlineStr"/>
    </row>
    <row r="710" ht="15" customHeight="1">
      <c r="A710" t="inlineStr">
        <is>
          <t>A 50275-2024</t>
        </is>
      </c>
      <c r="B710" s="1" t="n">
        <v>45600.60071759259</v>
      </c>
      <c r="C710" s="1" t="n">
        <v>45990</v>
      </c>
      <c r="D710" t="inlineStr">
        <is>
          <t>ÖREBRO LÄN</t>
        </is>
      </c>
      <c r="E710" t="inlineStr">
        <is>
          <t>LINDESBERG</t>
        </is>
      </c>
      <c r="G710" t="n">
        <v>4.3</v>
      </c>
      <c r="H710" t="n">
        <v>0</v>
      </c>
      <c r="I710" t="n">
        <v>0</v>
      </c>
      <c r="J710" t="n">
        <v>0</v>
      </c>
      <c r="K710" t="n">
        <v>0</v>
      </c>
      <c r="L710" t="n">
        <v>0</v>
      </c>
      <c r="M710" t="n">
        <v>0</v>
      </c>
      <c r="N710" t="n">
        <v>0</v>
      </c>
      <c r="O710" t="n">
        <v>0</v>
      </c>
      <c r="P710" t="n">
        <v>0</v>
      </c>
      <c r="Q710" t="n">
        <v>0</v>
      </c>
      <c r="R710" s="2" t="inlineStr"/>
    </row>
    <row r="711" ht="15" customHeight="1">
      <c r="A711" t="inlineStr">
        <is>
          <t>A 17463-2023</t>
        </is>
      </c>
      <c r="B711" s="1" t="n">
        <v>45036</v>
      </c>
      <c r="C711" s="1" t="n">
        <v>45990</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10712-2021</t>
        </is>
      </c>
      <c r="B712" s="1" t="n">
        <v>44258</v>
      </c>
      <c r="C712" s="1" t="n">
        <v>45990</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14522-2025</t>
        </is>
      </c>
      <c r="B713" s="1" t="n">
        <v>45741.64491898148</v>
      </c>
      <c r="C713" s="1" t="n">
        <v>45990</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36001-2021</t>
        </is>
      </c>
      <c r="B714" s="1" t="n">
        <v>44389</v>
      </c>
      <c r="C714" s="1" t="n">
        <v>45990</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33280-2024</t>
        </is>
      </c>
      <c r="B715" s="1" t="n">
        <v>45518.71048611111</v>
      </c>
      <c r="C715" s="1" t="n">
        <v>45990</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33281-2024</t>
        </is>
      </c>
      <c r="B716" s="1" t="n">
        <v>45518.71202546296</v>
      </c>
      <c r="C716" s="1" t="n">
        <v>45990</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33283-2024</t>
        </is>
      </c>
      <c r="B717" s="1" t="n">
        <v>45518.71591435185</v>
      </c>
      <c r="C717" s="1" t="n">
        <v>45990</v>
      </c>
      <c r="D717" t="inlineStr">
        <is>
          <t>ÖREBRO LÄN</t>
        </is>
      </c>
      <c r="E717" t="inlineStr">
        <is>
          <t>LINDESBERG</t>
        </is>
      </c>
      <c r="G717" t="n">
        <v>3.9</v>
      </c>
      <c r="H717" t="n">
        <v>0</v>
      </c>
      <c r="I717" t="n">
        <v>0</v>
      </c>
      <c r="J717" t="n">
        <v>0</v>
      </c>
      <c r="K717" t="n">
        <v>0</v>
      </c>
      <c r="L717" t="n">
        <v>0</v>
      </c>
      <c r="M717" t="n">
        <v>0</v>
      </c>
      <c r="N717" t="n">
        <v>0</v>
      </c>
      <c r="O717" t="n">
        <v>0</v>
      </c>
      <c r="P717" t="n">
        <v>0</v>
      </c>
      <c r="Q717" t="n">
        <v>0</v>
      </c>
      <c r="R717" s="2" t="inlineStr"/>
    </row>
    <row r="718" ht="15" customHeight="1">
      <c r="A718" t="inlineStr">
        <is>
          <t>A 39140-2024</t>
        </is>
      </c>
      <c r="B718" s="1" t="n">
        <v>45548</v>
      </c>
      <c r="C718" s="1" t="n">
        <v>45990</v>
      </c>
      <c r="D718" t="inlineStr">
        <is>
          <t>ÖREBRO LÄN</t>
        </is>
      </c>
      <c r="E718" t="inlineStr">
        <is>
          <t>LINDESBERG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32928-2023</t>
        </is>
      </c>
      <c r="B719" s="1" t="n">
        <v>45125.41458333333</v>
      </c>
      <c r="C719" s="1" t="n">
        <v>45990</v>
      </c>
      <c r="D719" t="inlineStr">
        <is>
          <t>ÖREBRO LÄN</t>
        </is>
      </c>
      <c r="E719" t="inlineStr">
        <is>
          <t>LINDESBERG</t>
        </is>
      </c>
      <c r="G719" t="n">
        <v>4.8</v>
      </c>
      <c r="H719" t="n">
        <v>0</v>
      </c>
      <c r="I719" t="n">
        <v>0</v>
      </c>
      <c r="J719" t="n">
        <v>0</v>
      </c>
      <c r="K719" t="n">
        <v>0</v>
      </c>
      <c r="L719" t="n">
        <v>0</v>
      </c>
      <c r="M719" t="n">
        <v>0</v>
      </c>
      <c r="N719" t="n">
        <v>0</v>
      </c>
      <c r="O719" t="n">
        <v>0</v>
      </c>
      <c r="P719" t="n">
        <v>0</v>
      </c>
      <c r="Q719" t="n">
        <v>0</v>
      </c>
      <c r="R719" s="2" t="inlineStr"/>
    </row>
    <row r="720" ht="15" customHeight="1">
      <c r="A720" t="inlineStr">
        <is>
          <t>A 32994-2023</t>
        </is>
      </c>
      <c r="B720" s="1" t="n">
        <v>45113</v>
      </c>
      <c r="C720" s="1" t="n">
        <v>45990</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45062-2022</t>
        </is>
      </c>
      <c r="B721" s="1" t="n">
        <v>44841</v>
      </c>
      <c r="C721" s="1" t="n">
        <v>45990</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21012-2023</t>
        </is>
      </c>
      <c r="B722" s="1" t="n">
        <v>45061.52474537037</v>
      </c>
      <c r="C722" s="1" t="n">
        <v>45990</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40456-2023</t>
        </is>
      </c>
      <c r="B723" s="1" t="n">
        <v>45170</v>
      </c>
      <c r="C723" s="1" t="n">
        <v>45990</v>
      </c>
      <c r="D723" t="inlineStr">
        <is>
          <t>ÖREBRO LÄN</t>
        </is>
      </c>
      <c r="E723" t="inlineStr">
        <is>
          <t>LINDESBERG</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42282-2024</t>
        </is>
      </c>
      <c r="B724" s="1" t="n">
        <v>45562.61158564815</v>
      </c>
      <c r="C724" s="1" t="n">
        <v>45990</v>
      </c>
      <c r="D724" t="inlineStr">
        <is>
          <t>ÖREBRO LÄN</t>
        </is>
      </c>
      <c r="E724" t="inlineStr">
        <is>
          <t>LINDESBERG</t>
        </is>
      </c>
      <c r="G724" t="n">
        <v>0.8</v>
      </c>
      <c r="H724" t="n">
        <v>0</v>
      </c>
      <c r="I724" t="n">
        <v>0</v>
      </c>
      <c r="J724" t="n">
        <v>0</v>
      </c>
      <c r="K724" t="n">
        <v>0</v>
      </c>
      <c r="L724" t="n">
        <v>0</v>
      </c>
      <c r="M724" t="n">
        <v>0</v>
      </c>
      <c r="N724" t="n">
        <v>0</v>
      </c>
      <c r="O724" t="n">
        <v>0</v>
      </c>
      <c r="P724" t="n">
        <v>0</v>
      </c>
      <c r="Q724" t="n">
        <v>0</v>
      </c>
      <c r="R724" s="2" t="inlineStr"/>
    </row>
    <row r="725" ht="15" customHeight="1">
      <c r="A725" t="inlineStr">
        <is>
          <t>A 32262-2021</t>
        </is>
      </c>
      <c r="B725" s="1" t="n">
        <v>44371.47609953704</v>
      </c>
      <c r="C725" s="1" t="n">
        <v>45990</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45990</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45990</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45990</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45990</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36024-2021</t>
        </is>
      </c>
      <c r="B730" s="1" t="n">
        <v>44389</v>
      </c>
      <c r="C730" s="1" t="n">
        <v>45990</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45990</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13472-2023</t>
        </is>
      </c>
      <c r="B732" s="1" t="n">
        <v>45005</v>
      </c>
      <c r="C732" s="1" t="n">
        <v>45990</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17087-2023</t>
        </is>
      </c>
      <c r="B733" s="1" t="n">
        <v>45034.5174537037</v>
      </c>
      <c r="C733" s="1" t="n">
        <v>45990</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61222-2022</t>
        </is>
      </c>
      <c r="B734" s="1" t="n">
        <v>44909</v>
      </c>
      <c r="C734" s="1" t="n">
        <v>45990</v>
      </c>
      <c r="D734" t="inlineStr">
        <is>
          <t>ÖREBRO LÄN</t>
        </is>
      </c>
      <c r="E734" t="inlineStr">
        <is>
          <t>LINDESBERG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46484-2024</t>
        </is>
      </c>
      <c r="B735" s="1" t="n">
        <v>45582.57542824074</v>
      </c>
      <c r="C735" s="1" t="n">
        <v>45990</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41576-2021</t>
        </is>
      </c>
      <c r="B736" s="1" t="n">
        <v>44425</v>
      </c>
      <c r="C736" s="1" t="n">
        <v>45990</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58741-2024</t>
        </is>
      </c>
      <c r="B737" s="1" t="n">
        <v>45635.69581018519</v>
      </c>
      <c r="C737" s="1" t="n">
        <v>45990</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26967-2022</t>
        </is>
      </c>
      <c r="B738" s="1" t="n">
        <v>44740.66997685185</v>
      </c>
      <c r="C738" s="1" t="n">
        <v>45990</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43066-2021</t>
        </is>
      </c>
      <c r="B739" s="1" t="n">
        <v>44431</v>
      </c>
      <c r="C739" s="1" t="n">
        <v>45990</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16791-2024</t>
        </is>
      </c>
      <c r="B740" s="1" t="n">
        <v>45411.42858796296</v>
      </c>
      <c r="C740" s="1" t="n">
        <v>45990</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45428-2023</t>
        </is>
      </c>
      <c r="B741" s="1" t="n">
        <v>45194</v>
      </c>
      <c r="C741" s="1" t="n">
        <v>45990</v>
      </c>
      <c r="D741" t="inlineStr">
        <is>
          <t>ÖREBRO LÄN</t>
        </is>
      </c>
      <c r="E741" t="inlineStr">
        <is>
          <t>LINDESBERG</t>
        </is>
      </c>
      <c r="G741" t="n">
        <v>7.7</v>
      </c>
      <c r="H741" t="n">
        <v>0</v>
      </c>
      <c r="I741" t="n">
        <v>0</v>
      </c>
      <c r="J741" t="n">
        <v>0</v>
      </c>
      <c r="K741" t="n">
        <v>0</v>
      </c>
      <c r="L741" t="n">
        <v>0</v>
      </c>
      <c r="M741" t="n">
        <v>0</v>
      </c>
      <c r="N741" t="n">
        <v>0</v>
      </c>
      <c r="O741" t="n">
        <v>0</v>
      </c>
      <c r="P741" t="n">
        <v>0</v>
      </c>
      <c r="Q741" t="n">
        <v>0</v>
      </c>
      <c r="R741" s="2" t="inlineStr"/>
    </row>
    <row r="742" ht="15" customHeight="1">
      <c r="A742" t="inlineStr">
        <is>
          <t>A 53897-2024</t>
        </is>
      </c>
      <c r="B742" s="1" t="n">
        <v>45615.69570601852</v>
      </c>
      <c r="C742" s="1" t="n">
        <v>45990</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56907-2024</t>
        </is>
      </c>
      <c r="B743" s="1" t="n">
        <v>45628.58975694444</v>
      </c>
      <c r="C743" s="1" t="n">
        <v>45990</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7992-2025</t>
        </is>
      </c>
      <c r="B744" s="1" t="n">
        <v>45707</v>
      </c>
      <c r="C744" s="1" t="n">
        <v>45990</v>
      </c>
      <c r="D744" t="inlineStr">
        <is>
          <t>ÖREBRO LÄN</t>
        </is>
      </c>
      <c r="E744" t="inlineStr">
        <is>
          <t>LINDESBERG</t>
        </is>
      </c>
      <c r="G744" t="n">
        <v>4.8</v>
      </c>
      <c r="H744" t="n">
        <v>0</v>
      </c>
      <c r="I744" t="n">
        <v>0</v>
      </c>
      <c r="J744" t="n">
        <v>0</v>
      </c>
      <c r="K744" t="n">
        <v>0</v>
      </c>
      <c r="L744" t="n">
        <v>0</v>
      </c>
      <c r="M744" t="n">
        <v>0</v>
      </c>
      <c r="N744" t="n">
        <v>0</v>
      </c>
      <c r="O744" t="n">
        <v>0</v>
      </c>
      <c r="P744" t="n">
        <v>0</v>
      </c>
      <c r="Q744" t="n">
        <v>0</v>
      </c>
      <c r="R744" s="2" t="inlineStr"/>
    </row>
    <row r="745" ht="15" customHeight="1">
      <c r="A745" t="inlineStr">
        <is>
          <t>A 17242-2025</t>
        </is>
      </c>
      <c r="B745" s="1" t="n">
        <v>45756.49009259259</v>
      </c>
      <c r="C745" s="1" t="n">
        <v>45990</v>
      </c>
      <c r="D745" t="inlineStr">
        <is>
          <t>ÖREBRO LÄN</t>
        </is>
      </c>
      <c r="E745" t="inlineStr">
        <is>
          <t>LINDESBERG</t>
        </is>
      </c>
      <c r="G745" t="n">
        <v>7.3</v>
      </c>
      <c r="H745" t="n">
        <v>0</v>
      </c>
      <c r="I745" t="n">
        <v>0</v>
      </c>
      <c r="J745" t="n">
        <v>0</v>
      </c>
      <c r="K745" t="n">
        <v>0</v>
      </c>
      <c r="L745" t="n">
        <v>0</v>
      </c>
      <c r="M745" t="n">
        <v>0</v>
      </c>
      <c r="N745" t="n">
        <v>0</v>
      </c>
      <c r="O745" t="n">
        <v>0</v>
      </c>
      <c r="P745" t="n">
        <v>0</v>
      </c>
      <c r="Q745" t="n">
        <v>0</v>
      </c>
      <c r="R745" s="2" t="inlineStr"/>
    </row>
    <row r="746" ht="15" customHeight="1">
      <c r="A746" t="inlineStr">
        <is>
          <t>A 7119-2025</t>
        </is>
      </c>
      <c r="B746" s="1" t="n">
        <v>45702</v>
      </c>
      <c r="C746" s="1" t="n">
        <v>45990</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45060-2024</t>
        </is>
      </c>
      <c r="B747" s="1" t="n">
        <v>45575.55570601852</v>
      </c>
      <c r="C747" s="1" t="n">
        <v>45990</v>
      </c>
      <c r="D747" t="inlineStr">
        <is>
          <t>ÖREBRO LÄN</t>
        </is>
      </c>
      <c r="E747" t="inlineStr">
        <is>
          <t>LINDESBERG</t>
        </is>
      </c>
      <c r="F747" t="inlineStr">
        <is>
          <t>Sveaskog</t>
        </is>
      </c>
      <c r="G747" t="n">
        <v>4.6</v>
      </c>
      <c r="H747" t="n">
        <v>0</v>
      </c>
      <c r="I747" t="n">
        <v>0</v>
      </c>
      <c r="J747" t="n">
        <v>0</v>
      </c>
      <c r="K747" t="n">
        <v>0</v>
      </c>
      <c r="L747" t="n">
        <v>0</v>
      </c>
      <c r="M747" t="n">
        <v>0</v>
      </c>
      <c r="N747" t="n">
        <v>0</v>
      </c>
      <c r="O747" t="n">
        <v>0</v>
      </c>
      <c r="P747" t="n">
        <v>0</v>
      </c>
      <c r="Q747" t="n">
        <v>0</v>
      </c>
      <c r="R747" s="2" t="inlineStr"/>
    </row>
    <row r="748" ht="15" customHeight="1">
      <c r="A748" t="inlineStr">
        <is>
          <t>A 50972-2023</t>
        </is>
      </c>
      <c r="B748" s="1" t="n">
        <v>45218</v>
      </c>
      <c r="C748" s="1" t="n">
        <v>45990</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50225-2021</t>
        </is>
      </c>
      <c r="B749" s="1" t="n">
        <v>44457</v>
      </c>
      <c r="C749" s="1" t="n">
        <v>45990</v>
      </c>
      <c r="D749" t="inlineStr">
        <is>
          <t>ÖREBRO LÄN</t>
        </is>
      </c>
      <c r="E749" t="inlineStr">
        <is>
          <t>LINDESBERG</t>
        </is>
      </c>
      <c r="G749" t="n">
        <v>2.5</v>
      </c>
      <c r="H749" t="n">
        <v>0</v>
      </c>
      <c r="I749" t="n">
        <v>0</v>
      </c>
      <c r="J749" t="n">
        <v>0</v>
      </c>
      <c r="K749" t="n">
        <v>0</v>
      </c>
      <c r="L749" t="n">
        <v>0</v>
      </c>
      <c r="M749" t="n">
        <v>0</v>
      </c>
      <c r="N749" t="n">
        <v>0</v>
      </c>
      <c r="O749" t="n">
        <v>0</v>
      </c>
      <c r="P749" t="n">
        <v>0</v>
      </c>
      <c r="Q749" t="n">
        <v>0</v>
      </c>
      <c r="R749" s="2" t="inlineStr"/>
    </row>
    <row r="750" ht="15" customHeight="1">
      <c r="A750" t="inlineStr">
        <is>
          <t>A 17995-2021</t>
        </is>
      </c>
      <c r="B750" s="1" t="n">
        <v>44301</v>
      </c>
      <c r="C750" s="1" t="n">
        <v>45990</v>
      </c>
      <c r="D750" t="inlineStr">
        <is>
          <t>ÖREBRO LÄN</t>
        </is>
      </c>
      <c r="E750" t="inlineStr">
        <is>
          <t>LINDESBERG</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48244-2024</t>
        </is>
      </c>
      <c r="B751" s="1" t="n">
        <v>45590.39471064815</v>
      </c>
      <c r="C751" s="1" t="n">
        <v>45990</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20210-2024</t>
        </is>
      </c>
      <c r="B752" s="1" t="n">
        <v>45434.65854166666</v>
      </c>
      <c r="C752" s="1" t="n">
        <v>45990</v>
      </c>
      <c r="D752" t="inlineStr">
        <is>
          <t>ÖREBRO LÄN</t>
        </is>
      </c>
      <c r="E752" t="inlineStr">
        <is>
          <t>LINDESBERG</t>
        </is>
      </c>
      <c r="G752" t="n">
        <v>5.5</v>
      </c>
      <c r="H752" t="n">
        <v>0</v>
      </c>
      <c r="I752" t="n">
        <v>0</v>
      </c>
      <c r="J752" t="n">
        <v>0</v>
      </c>
      <c r="K752" t="n">
        <v>0</v>
      </c>
      <c r="L752" t="n">
        <v>0</v>
      </c>
      <c r="M752" t="n">
        <v>0</v>
      </c>
      <c r="N752" t="n">
        <v>0</v>
      </c>
      <c r="O752" t="n">
        <v>0</v>
      </c>
      <c r="P752" t="n">
        <v>0</v>
      </c>
      <c r="Q752" t="n">
        <v>0</v>
      </c>
      <c r="R752" s="2" t="inlineStr"/>
    </row>
    <row r="753" ht="15" customHeight="1">
      <c r="A753" t="inlineStr">
        <is>
          <t>A 24352-2023</t>
        </is>
      </c>
      <c r="B753" s="1" t="n">
        <v>45082.31421296296</v>
      </c>
      <c r="C753" s="1" t="n">
        <v>45990</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22824-2023</t>
        </is>
      </c>
      <c r="B754" s="1" t="n">
        <v>45072</v>
      </c>
      <c r="C754" s="1" t="n">
        <v>45990</v>
      </c>
      <c r="D754" t="inlineStr">
        <is>
          <t>ÖREBRO LÄN</t>
        </is>
      </c>
      <c r="E754" t="inlineStr">
        <is>
          <t>LINDESBERG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36509-2024</t>
        </is>
      </c>
      <c r="B755" s="1" t="n">
        <v>45537.42240740741</v>
      </c>
      <c r="C755" s="1" t="n">
        <v>45990</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33428-2024</t>
        </is>
      </c>
      <c r="B756" s="1" t="n">
        <v>45519.52319444445</v>
      </c>
      <c r="C756" s="1" t="n">
        <v>45990</v>
      </c>
      <c r="D756" t="inlineStr">
        <is>
          <t>ÖREBRO LÄN</t>
        </is>
      </c>
      <c r="E756" t="inlineStr">
        <is>
          <t>LINDESBERG</t>
        </is>
      </c>
      <c r="F756" t="inlineStr">
        <is>
          <t>Sveaskog</t>
        </is>
      </c>
      <c r="G756" t="n">
        <v>0.2</v>
      </c>
      <c r="H756" t="n">
        <v>0</v>
      </c>
      <c r="I756" t="n">
        <v>0</v>
      </c>
      <c r="J756" t="n">
        <v>0</v>
      </c>
      <c r="K756" t="n">
        <v>0</v>
      </c>
      <c r="L756" t="n">
        <v>0</v>
      </c>
      <c r="M756" t="n">
        <v>0</v>
      </c>
      <c r="N756" t="n">
        <v>0</v>
      </c>
      <c r="O756" t="n">
        <v>0</v>
      </c>
      <c r="P756" t="n">
        <v>0</v>
      </c>
      <c r="Q756" t="n">
        <v>0</v>
      </c>
      <c r="R756" s="2" t="inlineStr"/>
    </row>
    <row r="757" ht="15" customHeight="1">
      <c r="A757" t="inlineStr">
        <is>
          <t>A 17104-2024</t>
        </is>
      </c>
      <c r="B757" s="1" t="n">
        <v>45412.54541666667</v>
      </c>
      <c r="C757" s="1" t="n">
        <v>45990</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13350-2024</t>
        </is>
      </c>
      <c r="B758" s="1" t="n">
        <v>45387.24732638889</v>
      </c>
      <c r="C758" s="1" t="n">
        <v>45990</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13351-2024</t>
        </is>
      </c>
      <c r="B759" s="1" t="n">
        <v>45387.2521875</v>
      </c>
      <c r="C759" s="1" t="n">
        <v>45990</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40303-2024</t>
        </is>
      </c>
      <c r="B760" s="1" t="n">
        <v>45554.7158912037</v>
      </c>
      <c r="C760" s="1" t="n">
        <v>45990</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34838-2023</t>
        </is>
      </c>
      <c r="B761" s="1" t="n">
        <v>45141.76530092592</v>
      </c>
      <c r="C761" s="1" t="n">
        <v>45990</v>
      </c>
      <c r="D761" t="inlineStr">
        <is>
          <t>ÖREBRO LÄN</t>
        </is>
      </c>
      <c r="E761" t="inlineStr">
        <is>
          <t>LINDESBERG</t>
        </is>
      </c>
      <c r="G761" t="n">
        <v>3</v>
      </c>
      <c r="H761" t="n">
        <v>0</v>
      </c>
      <c r="I761" t="n">
        <v>0</v>
      </c>
      <c r="J761" t="n">
        <v>0</v>
      </c>
      <c r="K761" t="n">
        <v>0</v>
      </c>
      <c r="L761" t="n">
        <v>0</v>
      </c>
      <c r="M761" t="n">
        <v>0</v>
      </c>
      <c r="N761" t="n">
        <v>0</v>
      </c>
      <c r="O761" t="n">
        <v>0</v>
      </c>
      <c r="P761" t="n">
        <v>0</v>
      </c>
      <c r="Q761" t="n">
        <v>0</v>
      </c>
      <c r="R761" s="2" t="inlineStr"/>
    </row>
    <row r="762" ht="15" customHeight="1">
      <c r="A762" t="inlineStr">
        <is>
          <t>A 15324-2024</t>
        </is>
      </c>
      <c r="B762" s="1" t="n">
        <v>45400.66995370371</v>
      </c>
      <c r="C762" s="1" t="n">
        <v>45990</v>
      </c>
      <c r="D762" t="inlineStr">
        <is>
          <t>ÖREBRO LÄN</t>
        </is>
      </c>
      <c r="E762" t="inlineStr">
        <is>
          <t>LINDESBERG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36170-2021</t>
        </is>
      </c>
      <c r="B763" s="1" t="n">
        <v>44389</v>
      </c>
      <c r="C763" s="1" t="n">
        <v>45990</v>
      </c>
      <c r="D763" t="inlineStr">
        <is>
          <t>ÖREBRO LÄN</t>
        </is>
      </c>
      <c r="E763" t="inlineStr">
        <is>
          <t>LINDESBERG</t>
        </is>
      </c>
      <c r="G763" t="n">
        <v>0.4</v>
      </c>
      <c r="H763" t="n">
        <v>0</v>
      </c>
      <c r="I763" t="n">
        <v>0</v>
      </c>
      <c r="J763" t="n">
        <v>0</v>
      </c>
      <c r="K763" t="n">
        <v>0</v>
      </c>
      <c r="L763" t="n">
        <v>0</v>
      </c>
      <c r="M763" t="n">
        <v>0</v>
      </c>
      <c r="N763" t="n">
        <v>0</v>
      </c>
      <c r="O763" t="n">
        <v>0</v>
      </c>
      <c r="P763" t="n">
        <v>0</v>
      </c>
      <c r="Q763" t="n">
        <v>0</v>
      </c>
      <c r="R763" s="2" t="inlineStr"/>
    </row>
    <row r="764" ht="15" customHeight="1">
      <c r="A764" t="inlineStr">
        <is>
          <t>A 7180-2023</t>
        </is>
      </c>
      <c r="B764" s="1" t="n">
        <v>44970.51849537037</v>
      </c>
      <c r="C764" s="1" t="n">
        <v>45990</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46675-2023</t>
        </is>
      </c>
      <c r="B765" s="1" t="n">
        <v>45194</v>
      </c>
      <c r="C765" s="1" t="n">
        <v>45990</v>
      </c>
      <c r="D765" t="inlineStr">
        <is>
          <t>ÖREBRO LÄN</t>
        </is>
      </c>
      <c r="E765" t="inlineStr">
        <is>
          <t>LINDESBERG</t>
        </is>
      </c>
      <c r="G765" t="n">
        <v>3.8</v>
      </c>
      <c r="H765" t="n">
        <v>0</v>
      </c>
      <c r="I765" t="n">
        <v>0</v>
      </c>
      <c r="J765" t="n">
        <v>0</v>
      </c>
      <c r="K765" t="n">
        <v>0</v>
      </c>
      <c r="L765" t="n">
        <v>0</v>
      </c>
      <c r="M765" t="n">
        <v>0</v>
      </c>
      <c r="N765" t="n">
        <v>0</v>
      </c>
      <c r="O765" t="n">
        <v>0</v>
      </c>
      <c r="P765" t="n">
        <v>0</v>
      </c>
      <c r="Q765" t="n">
        <v>0</v>
      </c>
      <c r="R765" s="2" t="inlineStr"/>
    </row>
    <row r="766" ht="15" customHeight="1">
      <c r="A766" t="inlineStr">
        <is>
          <t>A 50964-2023</t>
        </is>
      </c>
      <c r="B766" s="1" t="n">
        <v>45218.488125</v>
      </c>
      <c r="C766" s="1" t="n">
        <v>45990</v>
      </c>
      <c r="D766" t="inlineStr">
        <is>
          <t>ÖREBRO LÄN</t>
        </is>
      </c>
      <c r="E766" t="inlineStr">
        <is>
          <t>LINDESBERG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50619-2022</t>
        </is>
      </c>
      <c r="B767" s="1" t="n">
        <v>44866.79668981482</v>
      </c>
      <c r="C767" s="1" t="n">
        <v>45990</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66214-2020</t>
        </is>
      </c>
      <c r="B768" s="1" t="n">
        <v>44175</v>
      </c>
      <c r="C768" s="1" t="n">
        <v>45990</v>
      </c>
      <c r="D768" t="inlineStr">
        <is>
          <t>ÖREBRO LÄN</t>
        </is>
      </c>
      <c r="E768" t="inlineStr">
        <is>
          <t>LINDESBERG</t>
        </is>
      </c>
      <c r="G768" t="n">
        <v>3.7</v>
      </c>
      <c r="H768" t="n">
        <v>0</v>
      </c>
      <c r="I768" t="n">
        <v>0</v>
      </c>
      <c r="J768" t="n">
        <v>0</v>
      </c>
      <c r="K768" t="n">
        <v>0</v>
      </c>
      <c r="L768" t="n">
        <v>0</v>
      </c>
      <c r="M768" t="n">
        <v>0</v>
      </c>
      <c r="N768" t="n">
        <v>0</v>
      </c>
      <c r="O768" t="n">
        <v>0</v>
      </c>
      <c r="P768" t="n">
        <v>0</v>
      </c>
      <c r="Q768" t="n">
        <v>0</v>
      </c>
      <c r="R768" s="2" t="inlineStr"/>
    </row>
    <row r="769" ht="15" customHeight="1">
      <c r="A769" t="inlineStr">
        <is>
          <t>A 36893-2024</t>
        </is>
      </c>
      <c r="B769" s="1" t="n">
        <v>45538</v>
      </c>
      <c r="C769" s="1" t="n">
        <v>45990</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47155-2024</t>
        </is>
      </c>
      <c r="B770" s="1" t="n">
        <v>45586</v>
      </c>
      <c r="C770" s="1" t="n">
        <v>45990</v>
      </c>
      <c r="D770" t="inlineStr">
        <is>
          <t>ÖREBRO LÄN</t>
        </is>
      </c>
      <c r="E770" t="inlineStr">
        <is>
          <t>LINDESBERG</t>
        </is>
      </c>
      <c r="F770" t="inlineStr">
        <is>
          <t>Sveaskog</t>
        </is>
      </c>
      <c r="G770" t="n">
        <v>5.7</v>
      </c>
      <c r="H770" t="n">
        <v>0</v>
      </c>
      <c r="I770" t="n">
        <v>0</v>
      </c>
      <c r="J770" t="n">
        <v>0</v>
      </c>
      <c r="K770" t="n">
        <v>0</v>
      </c>
      <c r="L770" t="n">
        <v>0</v>
      </c>
      <c r="M770" t="n">
        <v>0</v>
      </c>
      <c r="N770" t="n">
        <v>0</v>
      </c>
      <c r="O770" t="n">
        <v>0</v>
      </c>
      <c r="P770" t="n">
        <v>0</v>
      </c>
      <c r="Q770" t="n">
        <v>0</v>
      </c>
      <c r="R770" s="2" t="inlineStr"/>
    </row>
    <row r="771" ht="15" customHeight="1">
      <c r="A771" t="inlineStr">
        <is>
          <t>A 10111-2022</t>
        </is>
      </c>
      <c r="B771" s="1" t="n">
        <v>44621.85737268518</v>
      </c>
      <c r="C771" s="1" t="n">
        <v>45990</v>
      </c>
      <c r="D771" t="inlineStr">
        <is>
          <t>ÖREBRO LÄN</t>
        </is>
      </c>
      <c r="E771" t="inlineStr">
        <is>
          <t>LINDESBERG</t>
        </is>
      </c>
      <c r="G771" t="n">
        <v>2.4</v>
      </c>
      <c r="H771" t="n">
        <v>0</v>
      </c>
      <c r="I771" t="n">
        <v>0</v>
      </c>
      <c r="J771" t="n">
        <v>0</v>
      </c>
      <c r="K771" t="n">
        <v>0</v>
      </c>
      <c r="L771" t="n">
        <v>0</v>
      </c>
      <c r="M771" t="n">
        <v>0</v>
      </c>
      <c r="N771" t="n">
        <v>0</v>
      </c>
      <c r="O771" t="n">
        <v>0</v>
      </c>
      <c r="P771" t="n">
        <v>0</v>
      </c>
      <c r="Q771" t="n">
        <v>0</v>
      </c>
      <c r="R771" s="2" t="inlineStr"/>
    </row>
    <row r="772" ht="15" customHeight="1">
      <c r="A772" t="inlineStr">
        <is>
          <t>A 14231-2023</t>
        </is>
      </c>
      <c r="B772" s="1" t="n">
        <v>45009.64217592592</v>
      </c>
      <c r="C772" s="1" t="n">
        <v>45990</v>
      </c>
      <c r="D772" t="inlineStr">
        <is>
          <t>ÖREBRO LÄN</t>
        </is>
      </c>
      <c r="E772" t="inlineStr">
        <is>
          <t>LINDESBERG</t>
        </is>
      </c>
      <c r="G772" t="n">
        <v>4.3</v>
      </c>
      <c r="H772" t="n">
        <v>0</v>
      </c>
      <c r="I772" t="n">
        <v>0</v>
      </c>
      <c r="J772" t="n">
        <v>0</v>
      </c>
      <c r="K772" t="n">
        <v>0</v>
      </c>
      <c r="L772" t="n">
        <v>0</v>
      </c>
      <c r="M772" t="n">
        <v>0</v>
      </c>
      <c r="N772" t="n">
        <v>0</v>
      </c>
      <c r="O772" t="n">
        <v>0</v>
      </c>
      <c r="P772" t="n">
        <v>0</v>
      </c>
      <c r="Q772" t="n">
        <v>0</v>
      </c>
      <c r="R772" s="2" t="inlineStr"/>
    </row>
    <row r="773" ht="15" customHeight="1">
      <c r="A773" t="inlineStr">
        <is>
          <t>A 484-2022</t>
        </is>
      </c>
      <c r="B773" s="1" t="n">
        <v>44566</v>
      </c>
      <c r="C773" s="1" t="n">
        <v>45990</v>
      </c>
      <c r="D773" t="inlineStr">
        <is>
          <t>ÖREBRO LÄN</t>
        </is>
      </c>
      <c r="E773" t="inlineStr">
        <is>
          <t>LINDESBERG</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1395-2025</t>
        </is>
      </c>
      <c r="B774" s="1" t="n">
        <v>45667</v>
      </c>
      <c r="C774" s="1" t="n">
        <v>45990</v>
      </c>
      <c r="D774" t="inlineStr">
        <is>
          <t>ÖREBRO LÄN</t>
        </is>
      </c>
      <c r="E774" t="inlineStr">
        <is>
          <t>LINDESBERG</t>
        </is>
      </c>
      <c r="G774" t="n">
        <v>4.6</v>
      </c>
      <c r="H774" t="n">
        <v>0</v>
      </c>
      <c r="I774" t="n">
        <v>0</v>
      </c>
      <c r="J774" t="n">
        <v>0</v>
      </c>
      <c r="K774" t="n">
        <v>0</v>
      </c>
      <c r="L774" t="n">
        <v>0</v>
      </c>
      <c r="M774" t="n">
        <v>0</v>
      </c>
      <c r="N774" t="n">
        <v>0</v>
      </c>
      <c r="O774" t="n">
        <v>0</v>
      </c>
      <c r="P774" t="n">
        <v>0</v>
      </c>
      <c r="Q774" t="n">
        <v>0</v>
      </c>
      <c r="R774" s="2" t="inlineStr"/>
    </row>
    <row r="775" ht="15" customHeight="1">
      <c r="A775" t="inlineStr">
        <is>
          <t>A 1405-2025</t>
        </is>
      </c>
      <c r="B775" s="1" t="n">
        <v>45667</v>
      </c>
      <c r="C775" s="1" t="n">
        <v>45990</v>
      </c>
      <c r="D775" t="inlineStr">
        <is>
          <t>ÖREBRO LÄN</t>
        </is>
      </c>
      <c r="E775" t="inlineStr">
        <is>
          <t>LINDESBERG</t>
        </is>
      </c>
      <c r="F775" t="inlineStr">
        <is>
          <t>Allmännings- och besparingsskogar</t>
        </is>
      </c>
      <c r="G775" t="n">
        <v>3.1</v>
      </c>
      <c r="H775" t="n">
        <v>0</v>
      </c>
      <c r="I775" t="n">
        <v>0</v>
      </c>
      <c r="J775" t="n">
        <v>0</v>
      </c>
      <c r="K775" t="n">
        <v>0</v>
      </c>
      <c r="L775" t="n">
        <v>0</v>
      </c>
      <c r="M775" t="n">
        <v>0</v>
      </c>
      <c r="N775" t="n">
        <v>0</v>
      </c>
      <c r="O775" t="n">
        <v>0</v>
      </c>
      <c r="P775" t="n">
        <v>0</v>
      </c>
      <c r="Q775" t="n">
        <v>0</v>
      </c>
      <c r="R775" s="2" t="inlineStr"/>
    </row>
    <row r="776" ht="15" customHeight="1">
      <c r="A776" t="inlineStr">
        <is>
          <t>A 34434-2023</t>
        </is>
      </c>
      <c r="B776" s="1" t="n">
        <v>45139.63480324074</v>
      </c>
      <c r="C776" s="1" t="n">
        <v>45990</v>
      </c>
      <c r="D776" t="inlineStr">
        <is>
          <t>ÖREBRO LÄN</t>
        </is>
      </c>
      <c r="E776" t="inlineStr">
        <is>
          <t>LINDESBERG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45078-2024</t>
        </is>
      </c>
      <c r="B777" s="1" t="n">
        <v>45575.57104166667</v>
      </c>
      <c r="C777" s="1" t="n">
        <v>45990</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6723-2022</t>
        </is>
      </c>
      <c r="B778" s="1" t="n">
        <v>44602.45162037037</v>
      </c>
      <c r="C778" s="1" t="n">
        <v>45990</v>
      </c>
      <c r="D778" t="inlineStr">
        <is>
          <t>ÖREBRO LÄN</t>
        </is>
      </c>
      <c r="E778" t="inlineStr">
        <is>
          <t>LINDESBERG</t>
        </is>
      </c>
      <c r="G778" t="n">
        <v>4.2</v>
      </c>
      <c r="H778" t="n">
        <v>0</v>
      </c>
      <c r="I778" t="n">
        <v>0</v>
      </c>
      <c r="J778" t="n">
        <v>0</v>
      </c>
      <c r="K778" t="n">
        <v>0</v>
      </c>
      <c r="L778" t="n">
        <v>0</v>
      </c>
      <c r="M778" t="n">
        <v>0</v>
      </c>
      <c r="N778" t="n">
        <v>0</v>
      </c>
      <c r="O778" t="n">
        <v>0</v>
      </c>
      <c r="P778" t="n">
        <v>0</v>
      </c>
      <c r="Q778" t="n">
        <v>0</v>
      </c>
      <c r="R778" s="2" t="inlineStr"/>
    </row>
    <row r="779" ht="15" customHeight="1">
      <c r="A779" t="inlineStr">
        <is>
          <t>A 28470-2023</t>
        </is>
      </c>
      <c r="B779" s="1" t="n">
        <v>45103</v>
      </c>
      <c r="C779" s="1" t="n">
        <v>45990</v>
      </c>
      <c r="D779" t="inlineStr">
        <is>
          <t>ÖREBRO LÄN</t>
        </is>
      </c>
      <c r="E779" t="inlineStr">
        <is>
          <t>LINDESBERG</t>
        </is>
      </c>
      <c r="G779" t="n">
        <v>6.7</v>
      </c>
      <c r="H779" t="n">
        <v>0</v>
      </c>
      <c r="I779" t="n">
        <v>0</v>
      </c>
      <c r="J779" t="n">
        <v>0</v>
      </c>
      <c r="K779" t="n">
        <v>0</v>
      </c>
      <c r="L779" t="n">
        <v>0</v>
      </c>
      <c r="M779" t="n">
        <v>0</v>
      </c>
      <c r="N779" t="n">
        <v>0</v>
      </c>
      <c r="O779" t="n">
        <v>0</v>
      </c>
      <c r="P779" t="n">
        <v>0</v>
      </c>
      <c r="Q779" t="n">
        <v>0</v>
      </c>
      <c r="R779" s="2" t="inlineStr"/>
    </row>
    <row r="780" ht="15" customHeight="1">
      <c r="A780" t="inlineStr">
        <is>
          <t>A 32097-2024</t>
        </is>
      </c>
      <c r="B780" s="1" t="n">
        <v>45511.39445601852</v>
      </c>
      <c r="C780" s="1" t="n">
        <v>45990</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26340-2022</t>
        </is>
      </c>
      <c r="B781" s="1" t="n">
        <v>44735.62539351852</v>
      </c>
      <c r="C781" s="1" t="n">
        <v>45990</v>
      </c>
      <c r="D781" t="inlineStr">
        <is>
          <t>ÖREBRO LÄN</t>
        </is>
      </c>
      <c r="E781" t="inlineStr">
        <is>
          <t>LINDESBERG</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30534-2023</t>
        </is>
      </c>
      <c r="B782" s="1" t="n">
        <v>45111</v>
      </c>
      <c r="C782" s="1" t="n">
        <v>45990</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3994-2023</t>
        </is>
      </c>
      <c r="B783" s="1" t="n">
        <v>44950</v>
      </c>
      <c r="C783" s="1" t="n">
        <v>45990</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54705-2022</t>
        </is>
      </c>
      <c r="B784" s="1" t="n">
        <v>44883</v>
      </c>
      <c r="C784" s="1" t="n">
        <v>45990</v>
      </c>
      <c r="D784" t="inlineStr">
        <is>
          <t>ÖREBRO LÄN</t>
        </is>
      </c>
      <c r="E784" t="inlineStr">
        <is>
          <t>LINDESBERG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59631-2023</t>
        </is>
      </c>
      <c r="B785" s="1" t="n">
        <v>45254.68105324074</v>
      </c>
      <c r="C785" s="1" t="n">
        <v>45990</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34539-2024</t>
        </is>
      </c>
      <c r="B786" s="1" t="n">
        <v>45525.7374537037</v>
      </c>
      <c r="C786" s="1" t="n">
        <v>45990</v>
      </c>
      <c r="D786" t="inlineStr">
        <is>
          <t>ÖREBRO LÄN</t>
        </is>
      </c>
      <c r="E786" t="inlineStr">
        <is>
          <t>LINDESBERG</t>
        </is>
      </c>
      <c r="G786" t="n">
        <v>5.4</v>
      </c>
      <c r="H786" t="n">
        <v>0</v>
      </c>
      <c r="I786" t="n">
        <v>0</v>
      </c>
      <c r="J786" t="n">
        <v>0</v>
      </c>
      <c r="K786" t="n">
        <v>0</v>
      </c>
      <c r="L786" t="n">
        <v>0</v>
      </c>
      <c r="M786" t="n">
        <v>0</v>
      </c>
      <c r="N786" t="n">
        <v>0</v>
      </c>
      <c r="O786" t="n">
        <v>0</v>
      </c>
      <c r="P786" t="n">
        <v>0</v>
      </c>
      <c r="Q786" t="n">
        <v>0</v>
      </c>
      <c r="R786" s="2" t="inlineStr"/>
    </row>
    <row r="787" ht="15" customHeight="1">
      <c r="A787" t="inlineStr">
        <is>
          <t>A 41951-2023</t>
        </is>
      </c>
      <c r="B787" s="1" t="n">
        <v>45177.33991898148</v>
      </c>
      <c r="C787" s="1" t="n">
        <v>45990</v>
      </c>
      <c r="D787" t="inlineStr">
        <is>
          <t>ÖREBRO LÄN</t>
        </is>
      </c>
      <c r="E787" t="inlineStr">
        <is>
          <t>LINDESBERG</t>
        </is>
      </c>
      <c r="F787" t="inlineStr">
        <is>
          <t>Kyrkan</t>
        </is>
      </c>
      <c r="G787" t="n">
        <v>3.3</v>
      </c>
      <c r="H787" t="n">
        <v>0</v>
      </c>
      <c r="I787" t="n">
        <v>0</v>
      </c>
      <c r="J787" t="n">
        <v>0</v>
      </c>
      <c r="K787" t="n">
        <v>0</v>
      </c>
      <c r="L787" t="n">
        <v>0</v>
      </c>
      <c r="M787" t="n">
        <v>0</v>
      </c>
      <c r="N787" t="n">
        <v>0</v>
      </c>
      <c r="O787" t="n">
        <v>0</v>
      </c>
      <c r="P787" t="n">
        <v>0</v>
      </c>
      <c r="Q787" t="n">
        <v>0</v>
      </c>
      <c r="R787" s="2" t="inlineStr"/>
    </row>
    <row r="788" ht="15" customHeight="1">
      <c r="A788" t="inlineStr">
        <is>
          <t>A 58603-2023</t>
        </is>
      </c>
      <c r="B788" s="1" t="n">
        <v>45251</v>
      </c>
      <c r="C788" s="1" t="n">
        <v>45990</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14187-2024</t>
        </is>
      </c>
      <c r="B789" s="1" t="n">
        <v>45393.35787037037</v>
      </c>
      <c r="C789" s="1" t="n">
        <v>45990</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18418-2025</t>
        </is>
      </c>
      <c r="B790" s="1" t="n">
        <v>45762.61817129629</v>
      </c>
      <c r="C790" s="1" t="n">
        <v>45990</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29849-2023</t>
        </is>
      </c>
      <c r="B791" s="1" t="n">
        <v>45107</v>
      </c>
      <c r="C791" s="1" t="n">
        <v>45990</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60105-2022</t>
        </is>
      </c>
      <c r="B792" s="1" t="n">
        <v>44902</v>
      </c>
      <c r="C792" s="1" t="n">
        <v>45990</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15094-2025</t>
        </is>
      </c>
      <c r="B793" s="1" t="n">
        <v>45744.32981481482</v>
      </c>
      <c r="C793" s="1" t="n">
        <v>45990</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33427-2024</t>
        </is>
      </c>
      <c r="B794" s="1" t="n">
        <v>45519.52232638889</v>
      </c>
      <c r="C794" s="1" t="n">
        <v>45990</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29894-2023</t>
        </is>
      </c>
      <c r="B795" s="1" t="n">
        <v>45107</v>
      </c>
      <c r="C795" s="1" t="n">
        <v>45990</v>
      </c>
      <c r="D795" t="inlineStr">
        <is>
          <t>ÖREBRO LÄN</t>
        </is>
      </c>
      <c r="E795" t="inlineStr">
        <is>
          <t>LINDESBERG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64528-2020</t>
        </is>
      </c>
      <c r="B796" s="1" t="n">
        <v>44169</v>
      </c>
      <c r="C796" s="1" t="n">
        <v>45990</v>
      </c>
      <c r="D796" t="inlineStr">
        <is>
          <t>ÖREBRO LÄN</t>
        </is>
      </c>
      <c r="E796" t="inlineStr">
        <is>
          <t>LINDESBERG</t>
        </is>
      </c>
      <c r="F796" t="inlineStr">
        <is>
          <t>Sveaskog</t>
        </is>
      </c>
      <c r="G796" t="n">
        <v>7.1</v>
      </c>
      <c r="H796" t="n">
        <v>0</v>
      </c>
      <c r="I796" t="n">
        <v>0</v>
      </c>
      <c r="J796" t="n">
        <v>0</v>
      </c>
      <c r="K796" t="n">
        <v>0</v>
      </c>
      <c r="L796" t="n">
        <v>0</v>
      </c>
      <c r="M796" t="n">
        <v>0</v>
      </c>
      <c r="N796" t="n">
        <v>0</v>
      </c>
      <c r="O796" t="n">
        <v>0</v>
      </c>
      <c r="P796" t="n">
        <v>0</v>
      </c>
      <c r="Q796" t="n">
        <v>0</v>
      </c>
      <c r="R796" s="2" t="inlineStr"/>
    </row>
    <row r="797" ht="15" customHeight="1">
      <c r="A797" t="inlineStr">
        <is>
          <t>A 40306-2022</t>
        </is>
      </c>
      <c r="B797" s="1" t="n">
        <v>44822</v>
      </c>
      <c r="C797" s="1" t="n">
        <v>45990</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63668-2023</t>
        </is>
      </c>
      <c r="B798" s="1" t="n">
        <v>45274</v>
      </c>
      <c r="C798" s="1" t="n">
        <v>45990</v>
      </c>
      <c r="D798" t="inlineStr">
        <is>
          <t>ÖREBRO LÄN</t>
        </is>
      </c>
      <c r="E798" t="inlineStr">
        <is>
          <t>LINDESBERG</t>
        </is>
      </c>
      <c r="G798" t="n">
        <v>0.7</v>
      </c>
      <c r="H798" t="n">
        <v>0</v>
      </c>
      <c r="I798" t="n">
        <v>0</v>
      </c>
      <c r="J798" t="n">
        <v>0</v>
      </c>
      <c r="K798" t="n">
        <v>0</v>
      </c>
      <c r="L798" t="n">
        <v>0</v>
      </c>
      <c r="M798" t="n">
        <v>0</v>
      </c>
      <c r="N798" t="n">
        <v>0</v>
      </c>
      <c r="O798" t="n">
        <v>0</v>
      </c>
      <c r="P798" t="n">
        <v>0</v>
      </c>
      <c r="Q798" t="n">
        <v>0</v>
      </c>
      <c r="R798" s="2" t="inlineStr"/>
    </row>
    <row r="799" ht="15" customHeight="1">
      <c r="A799" t="inlineStr">
        <is>
          <t>A 4539-2025</t>
        </is>
      </c>
      <c r="B799" s="1" t="n">
        <v>45687</v>
      </c>
      <c r="C799" s="1" t="n">
        <v>45990</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44675-2021</t>
        </is>
      </c>
      <c r="B800" s="1" t="n">
        <v>44438</v>
      </c>
      <c r="C800" s="1" t="n">
        <v>45990</v>
      </c>
      <c r="D800" t="inlineStr">
        <is>
          <t>ÖREBRO LÄN</t>
        </is>
      </c>
      <c r="E800" t="inlineStr">
        <is>
          <t>LINDESBERG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59633-2023</t>
        </is>
      </c>
      <c r="B801" s="1" t="n">
        <v>45254</v>
      </c>
      <c r="C801" s="1" t="n">
        <v>45990</v>
      </c>
      <c r="D801" t="inlineStr">
        <is>
          <t>ÖREBRO LÄN</t>
        </is>
      </c>
      <c r="E801" t="inlineStr">
        <is>
          <t>LINDESBERG</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13416-2025</t>
        </is>
      </c>
      <c r="B802" s="1" t="n">
        <v>45736.308125</v>
      </c>
      <c r="C802" s="1" t="n">
        <v>45990</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27051-2023</t>
        </is>
      </c>
      <c r="B803" s="1" t="n">
        <v>45095</v>
      </c>
      <c r="C803" s="1" t="n">
        <v>45990</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43801-2024</t>
        </is>
      </c>
      <c r="B804" s="1" t="n">
        <v>45571.71736111111</v>
      </c>
      <c r="C804" s="1" t="n">
        <v>45990</v>
      </c>
      <c r="D804" t="inlineStr">
        <is>
          <t>ÖREBRO LÄN</t>
        </is>
      </c>
      <c r="E804" t="inlineStr">
        <is>
          <t>LINDESBERG</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45072-2024</t>
        </is>
      </c>
      <c r="B805" s="1" t="n">
        <v>45575.56686342593</v>
      </c>
      <c r="C805" s="1" t="n">
        <v>45990</v>
      </c>
      <c r="D805" t="inlineStr">
        <is>
          <t>ÖREBRO LÄN</t>
        </is>
      </c>
      <c r="E805" t="inlineStr">
        <is>
          <t>LINDESBERG</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45075-2024</t>
        </is>
      </c>
      <c r="B806" s="1" t="n">
        <v>45575.56820601852</v>
      </c>
      <c r="C806" s="1" t="n">
        <v>45990</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61405-2022</t>
        </is>
      </c>
      <c r="B807" s="1" t="n">
        <v>44916</v>
      </c>
      <c r="C807" s="1" t="n">
        <v>45990</v>
      </c>
      <c r="D807" t="inlineStr">
        <is>
          <t>ÖREBRO LÄN</t>
        </is>
      </c>
      <c r="E807" t="inlineStr">
        <is>
          <t>LINDESBERG</t>
        </is>
      </c>
      <c r="G807" t="n">
        <v>4.4</v>
      </c>
      <c r="H807" t="n">
        <v>0</v>
      </c>
      <c r="I807" t="n">
        <v>0</v>
      </c>
      <c r="J807" t="n">
        <v>0</v>
      </c>
      <c r="K807" t="n">
        <v>0</v>
      </c>
      <c r="L807" t="n">
        <v>0</v>
      </c>
      <c r="M807" t="n">
        <v>0</v>
      </c>
      <c r="N807" t="n">
        <v>0</v>
      </c>
      <c r="O807" t="n">
        <v>0</v>
      </c>
      <c r="P807" t="n">
        <v>0</v>
      </c>
      <c r="Q807" t="n">
        <v>0</v>
      </c>
      <c r="R807" s="2" t="inlineStr"/>
    </row>
    <row r="808" ht="15" customHeight="1">
      <c r="A808" t="inlineStr">
        <is>
          <t>A 40563-2023</t>
        </is>
      </c>
      <c r="B808" s="1" t="n">
        <v>45170.45921296296</v>
      </c>
      <c r="C808" s="1" t="n">
        <v>45990</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38613-2024</t>
        </is>
      </c>
      <c r="B809" s="1" t="n">
        <v>45546.68743055555</v>
      </c>
      <c r="C809" s="1" t="n">
        <v>45990</v>
      </c>
      <c r="D809" t="inlineStr">
        <is>
          <t>ÖREBRO LÄN</t>
        </is>
      </c>
      <c r="E809" t="inlineStr">
        <is>
          <t>LINDESBERG</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49358-2023</t>
        </is>
      </c>
      <c r="B810" s="1" t="n">
        <v>45211</v>
      </c>
      <c r="C810" s="1" t="n">
        <v>45990</v>
      </c>
      <c r="D810" t="inlineStr">
        <is>
          <t>ÖREBRO LÄN</t>
        </is>
      </c>
      <c r="E810" t="inlineStr">
        <is>
          <t>LINDESBERG</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72331-2021</t>
        </is>
      </c>
      <c r="B811" s="1" t="n">
        <v>44544</v>
      </c>
      <c r="C811" s="1" t="n">
        <v>45990</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54663-2021</t>
        </is>
      </c>
      <c r="B812" s="1" t="n">
        <v>44473.6343287037</v>
      </c>
      <c r="C812" s="1" t="n">
        <v>45990</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57795-2021</t>
        </is>
      </c>
      <c r="B813" s="1" t="n">
        <v>44484</v>
      </c>
      <c r="C813" s="1" t="n">
        <v>45990</v>
      </c>
      <c r="D813" t="inlineStr">
        <is>
          <t>ÖREBRO LÄN</t>
        </is>
      </c>
      <c r="E813" t="inlineStr">
        <is>
          <t>LINDESBERG</t>
        </is>
      </c>
      <c r="G813" t="n">
        <v>39.4</v>
      </c>
      <c r="H813" t="n">
        <v>0</v>
      </c>
      <c r="I813" t="n">
        <v>0</v>
      </c>
      <c r="J813" t="n">
        <v>0</v>
      </c>
      <c r="K813" t="n">
        <v>0</v>
      </c>
      <c r="L813" t="n">
        <v>0</v>
      </c>
      <c r="M813" t="n">
        <v>0</v>
      </c>
      <c r="N813" t="n">
        <v>0</v>
      </c>
      <c r="O813" t="n">
        <v>0</v>
      </c>
      <c r="P813" t="n">
        <v>0</v>
      </c>
      <c r="Q813" t="n">
        <v>0</v>
      </c>
      <c r="R813" s="2" t="inlineStr"/>
    </row>
    <row r="814" ht="15" customHeight="1">
      <c r="A814" t="inlineStr">
        <is>
          <t>A 27031-2024</t>
        </is>
      </c>
      <c r="B814" s="1" t="n">
        <v>45471.42659722222</v>
      </c>
      <c r="C814" s="1" t="n">
        <v>45990</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27130-2024</t>
        </is>
      </c>
      <c r="B815" s="1" t="n">
        <v>45471.52072916667</v>
      </c>
      <c r="C815" s="1" t="n">
        <v>45990</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6161-2025</t>
        </is>
      </c>
      <c r="B816" s="1" t="n">
        <v>45698</v>
      </c>
      <c r="C816" s="1" t="n">
        <v>45990</v>
      </c>
      <c r="D816" t="inlineStr">
        <is>
          <t>ÖREBRO LÄN</t>
        </is>
      </c>
      <c r="E816" t="inlineStr">
        <is>
          <t>LINDESBERG</t>
        </is>
      </c>
      <c r="F816" t="inlineStr">
        <is>
          <t>Sveaskog</t>
        </is>
      </c>
      <c r="G816" t="n">
        <v>3.7</v>
      </c>
      <c r="H816" t="n">
        <v>0</v>
      </c>
      <c r="I816" t="n">
        <v>0</v>
      </c>
      <c r="J816" t="n">
        <v>0</v>
      </c>
      <c r="K816" t="n">
        <v>0</v>
      </c>
      <c r="L816" t="n">
        <v>0</v>
      </c>
      <c r="M816" t="n">
        <v>0</v>
      </c>
      <c r="N816" t="n">
        <v>0</v>
      </c>
      <c r="O816" t="n">
        <v>0</v>
      </c>
      <c r="P816" t="n">
        <v>0</v>
      </c>
      <c r="Q816" t="n">
        <v>0</v>
      </c>
      <c r="R816" s="2" t="inlineStr"/>
    </row>
    <row r="817" ht="15" customHeight="1">
      <c r="A817" t="inlineStr">
        <is>
          <t>A 6165-2025</t>
        </is>
      </c>
      <c r="B817" s="1" t="n">
        <v>45698</v>
      </c>
      <c r="C817" s="1" t="n">
        <v>45990</v>
      </c>
      <c r="D817" t="inlineStr">
        <is>
          <t>ÖREBRO LÄN</t>
        </is>
      </c>
      <c r="E817" t="inlineStr">
        <is>
          <t>LINDESBERG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44664-2023</t>
        </is>
      </c>
      <c r="B818" s="1" t="n">
        <v>45189</v>
      </c>
      <c r="C818" s="1" t="n">
        <v>45990</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11366-2024</t>
        </is>
      </c>
      <c r="B819" s="1" t="n">
        <v>45372.40246527778</v>
      </c>
      <c r="C819" s="1" t="n">
        <v>45990</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45990</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45990</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25046-2024</t>
        </is>
      </c>
      <c r="B822" s="1" t="n">
        <v>45462</v>
      </c>
      <c r="C822" s="1" t="n">
        <v>45990</v>
      </c>
      <c r="D822" t="inlineStr">
        <is>
          <t>ÖREBRO LÄN</t>
        </is>
      </c>
      <c r="E822" t="inlineStr">
        <is>
          <t>LINDESBERG</t>
        </is>
      </c>
      <c r="G822" t="n">
        <v>4.1</v>
      </c>
      <c r="H822" t="n">
        <v>0</v>
      </c>
      <c r="I822" t="n">
        <v>0</v>
      </c>
      <c r="J822" t="n">
        <v>0</v>
      </c>
      <c r="K822" t="n">
        <v>0</v>
      </c>
      <c r="L822" t="n">
        <v>0</v>
      </c>
      <c r="M822" t="n">
        <v>0</v>
      </c>
      <c r="N822" t="n">
        <v>0</v>
      </c>
      <c r="O822" t="n">
        <v>0</v>
      </c>
      <c r="P822" t="n">
        <v>0</v>
      </c>
      <c r="Q822" t="n">
        <v>0</v>
      </c>
      <c r="R822" s="2" t="inlineStr"/>
    </row>
    <row r="823" ht="15" customHeight="1">
      <c r="A823" t="inlineStr">
        <is>
          <t>A 45038-2024</t>
        </is>
      </c>
      <c r="B823" s="1" t="n">
        <v>45575.53331018519</v>
      </c>
      <c r="C823" s="1" t="n">
        <v>45990</v>
      </c>
      <c r="D823" t="inlineStr">
        <is>
          <t>ÖREBRO LÄN</t>
        </is>
      </c>
      <c r="E823" t="inlineStr">
        <is>
          <t>LINDESBERG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45046-2024</t>
        </is>
      </c>
      <c r="B824" s="1" t="n">
        <v>45575.54489583334</v>
      </c>
      <c r="C824" s="1" t="n">
        <v>45990</v>
      </c>
      <c r="D824" t="inlineStr">
        <is>
          <t>ÖREBRO LÄN</t>
        </is>
      </c>
      <c r="E824" t="inlineStr">
        <is>
          <t>LINDESBERG</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21468-2024</t>
        </is>
      </c>
      <c r="B825" s="1" t="n">
        <v>45441.48670138889</v>
      </c>
      <c r="C825" s="1" t="n">
        <v>45990</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18610-2021</t>
        </is>
      </c>
      <c r="B826" s="1" t="n">
        <v>44306.6371412037</v>
      </c>
      <c r="C826" s="1" t="n">
        <v>45990</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40038-2024</t>
        </is>
      </c>
      <c r="B827" s="1" t="n">
        <v>45553</v>
      </c>
      <c r="C827" s="1" t="n">
        <v>45990</v>
      </c>
      <c r="D827" t="inlineStr">
        <is>
          <t>ÖREBRO LÄN</t>
        </is>
      </c>
      <c r="E827" t="inlineStr">
        <is>
          <t>LINDESBERG</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61360-2024</t>
        </is>
      </c>
      <c r="B828" s="1" t="n">
        <v>45646</v>
      </c>
      <c r="C828" s="1" t="n">
        <v>45990</v>
      </c>
      <c r="D828" t="inlineStr">
        <is>
          <t>ÖREBRO LÄN</t>
        </is>
      </c>
      <c r="E828" t="inlineStr">
        <is>
          <t>LINDESBERG</t>
        </is>
      </c>
      <c r="F828" t="inlineStr">
        <is>
          <t>Sveaskog</t>
        </is>
      </c>
      <c r="G828" t="n">
        <v>6.5</v>
      </c>
      <c r="H828" t="n">
        <v>0</v>
      </c>
      <c r="I828" t="n">
        <v>0</v>
      </c>
      <c r="J828" t="n">
        <v>0</v>
      </c>
      <c r="K828" t="n">
        <v>0</v>
      </c>
      <c r="L828" t="n">
        <v>0</v>
      </c>
      <c r="M828" t="n">
        <v>0</v>
      </c>
      <c r="N828" t="n">
        <v>0</v>
      </c>
      <c r="O828" t="n">
        <v>0</v>
      </c>
      <c r="P828" t="n">
        <v>0</v>
      </c>
      <c r="Q828" t="n">
        <v>0</v>
      </c>
      <c r="R828" s="2" t="inlineStr"/>
    </row>
    <row r="829" ht="15" customHeight="1">
      <c r="A829" t="inlineStr">
        <is>
          <t>A 12276-2025</t>
        </is>
      </c>
      <c r="B829" s="1" t="n">
        <v>45729.65061342593</v>
      </c>
      <c r="C829" s="1" t="n">
        <v>45990</v>
      </c>
      <c r="D829" t="inlineStr">
        <is>
          <t>ÖREBRO LÄN</t>
        </is>
      </c>
      <c r="E829" t="inlineStr">
        <is>
          <t>LINDESBERG</t>
        </is>
      </c>
      <c r="G829" t="n">
        <v>7.6</v>
      </c>
      <c r="H829" t="n">
        <v>0</v>
      </c>
      <c r="I829" t="n">
        <v>0</v>
      </c>
      <c r="J829" t="n">
        <v>0</v>
      </c>
      <c r="K829" t="n">
        <v>0</v>
      </c>
      <c r="L829" t="n">
        <v>0</v>
      </c>
      <c r="M829" t="n">
        <v>0</v>
      </c>
      <c r="N829" t="n">
        <v>0</v>
      </c>
      <c r="O829" t="n">
        <v>0</v>
      </c>
      <c r="P829" t="n">
        <v>0</v>
      </c>
      <c r="Q829" t="n">
        <v>0</v>
      </c>
      <c r="R829" s="2" t="inlineStr"/>
    </row>
    <row r="830" ht="15" customHeight="1">
      <c r="A830" t="inlineStr">
        <is>
          <t>A 14028-2023</t>
        </is>
      </c>
      <c r="B830" s="1" t="n">
        <v>45008</v>
      </c>
      <c r="C830" s="1" t="n">
        <v>45990</v>
      </c>
      <c r="D830" t="inlineStr">
        <is>
          <t>ÖREBRO LÄN</t>
        </is>
      </c>
      <c r="E830" t="inlineStr">
        <is>
          <t>LINDESBERG</t>
        </is>
      </c>
      <c r="F830" t="inlineStr">
        <is>
          <t>Kyrkan</t>
        </is>
      </c>
      <c r="G830" t="n">
        <v>1.1</v>
      </c>
      <c r="H830" t="n">
        <v>0</v>
      </c>
      <c r="I830" t="n">
        <v>0</v>
      </c>
      <c r="J830" t="n">
        <v>0</v>
      </c>
      <c r="K830" t="n">
        <v>0</v>
      </c>
      <c r="L830" t="n">
        <v>0</v>
      </c>
      <c r="M830" t="n">
        <v>0</v>
      </c>
      <c r="N830" t="n">
        <v>0</v>
      </c>
      <c r="O830" t="n">
        <v>0</v>
      </c>
      <c r="P830" t="n">
        <v>0</v>
      </c>
      <c r="Q830" t="n">
        <v>0</v>
      </c>
      <c r="R830" s="2" t="inlineStr"/>
    </row>
    <row r="831" ht="15" customHeight="1">
      <c r="A831" t="inlineStr">
        <is>
          <t>A 31024-2023</t>
        </is>
      </c>
      <c r="B831" s="1" t="n">
        <v>45113</v>
      </c>
      <c r="C831" s="1" t="n">
        <v>45990</v>
      </c>
      <c r="D831" t="inlineStr">
        <is>
          <t>ÖREBRO LÄN</t>
        </is>
      </c>
      <c r="E831" t="inlineStr">
        <is>
          <t>LINDESBERG</t>
        </is>
      </c>
      <c r="G831" t="n">
        <v>5.1</v>
      </c>
      <c r="H831" t="n">
        <v>0</v>
      </c>
      <c r="I831" t="n">
        <v>0</v>
      </c>
      <c r="J831" t="n">
        <v>0</v>
      </c>
      <c r="K831" t="n">
        <v>0</v>
      </c>
      <c r="L831" t="n">
        <v>0</v>
      </c>
      <c r="M831" t="n">
        <v>0</v>
      </c>
      <c r="N831" t="n">
        <v>0</v>
      </c>
      <c r="O831" t="n">
        <v>0</v>
      </c>
      <c r="P831" t="n">
        <v>0</v>
      </c>
      <c r="Q831" t="n">
        <v>0</v>
      </c>
      <c r="R831" s="2" t="inlineStr"/>
    </row>
    <row r="832" ht="15" customHeight="1">
      <c r="A832" t="inlineStr">
        <is>
          <t>A 27052-2023</t>
        </is>
      </c>
      <c r="B832" s="1" t="n">
        <v>45095</v>
      </c>
      <c r="C832" s="1" t="n">
        <v>45990</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12053-2024</t>
        </is>
      </c>
      <c r="B833" s="1" t="n">
        <v>45377.48265046296</v>
      </c>
      <c r="C833" s="1" t="n">
        <v>45990</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25229-2021</t>
        </is>
      </c>
      <c r="B834" s="1" t="n">
        <v>44342.39703703704</v>
      </c>
      <c r="C834" s="1" t="n">
        <v>45990</v>
      </c>
      <c r="D834" t="inlineStr">
        <is>
          <t>ÖREBRO LÄN</t>
        </is>
      </c>
      <c r="E834" t="inlineStr">
        <is>
          <t>LINDESBERG</t>
        </is>
      </c>
      <c r="F834" t="inlineStr">
        <is>
          <t>Kyrkan</t>
        </is>
      </c>
      <c r="G834" t="n">
        <v>1.5</v>
      </c>
      <c r="H834" t="n">
        <v>0</v>
      </c>
      <c r="I834" t="n">
        <v>0</v>
      </c>
      <c r="J834" t="n">
        <v>0</v>
      </c>
      <c r="K834" t="n">
        <v>0</v>
      </c>
      <c r="L834" t="n">
        <v>0</v>
      </c>
      <c r="M834" t="n">
        <v>0</v>
      </c>
      <c r="N834" t="n">
        <v>0</v>
      </c>
      <c r="O834" t="n">
        <v>0</v>
      </c>
      <c r="P834" t="n">
        <v>0</v>
      </c>
      <c r="Q834" t="n">
        <v>0</v>
      </c>
      <c r="R834" s="2" t="inlineStr"/>
    </row>
    <row r="835" ht="15" customHeight="1">
      <c r="A835" t="inlineStr">
        <is>
          <t>A 626-2025</t>
        </is>
      </c>
      <c r="B835" s="1" t="n">
        <v>45664</v>
      </c>
      <c r="C835" s="1" t="n">
        <v>45990</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13573-2025</t>
        </is>
      </c>
      <c r="B836" s="1" t="n">
        <v>45736</v>
      </c>
      <c r="C836" s="1" t="n">
        <v>45990</v>
      </c>
      <c r="D836" t="inlineStr">
        <is>
          <t>ÖREBRO LÄN</t>
        </is>
      </c>
      <c r="E836" t="inlineStr">
        <is>
          <t>LINDESBERG</t>
        </is>
      </c>
      <c r="G836" t="n">
        <v>11.7</v>
      </c>
      <c r="H836" t="n">
        <v>0</v>
      </c>
      <c r="I836" t="n">
        <v>0</v>
      </c>
      <c r="J836" t="n">
        <v>0</v>
      </c>
      <c r="K836" t="n">
        <v>0</v>
      </c>
      <c r="L836" t="n">
        <v>0</v>
      </c>
      <c r="M836" t="n">
        <v>0</v>
      </c>
      <c r="N836" t="n">
        <v>0</v>
      </c>
      <c r="O836" t="n">
        <v>0</v>
      </c>
      <c r="P836" t="n">
        <v>0</v>
      </c>
      <c r="Q836" t="n">
        <v>0</v>
      </c>
      <c r="R836" s="2" t="inlineStr"/>
    </row>
    <row r="837" ht="15" customHeight="1">
      <c r="A837" t="inlineStr">
        <is>
          <t>A 63686-2023</t>
        </is>
      </c>
      <c r="B837" s="1" t="n">
        <v>45274</v>
      </c>
      <c r="C837" s="1" t="n">
        <v>45990</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64365-2023</t>
        </is>
      </c>
      <c r="B838" s="1" t="n">
        <v>45280</v>
      </c>
      <c r="C838" s="1" t="n">
        <v>45990</v>
      </c>
      <c r="D838" t="inlineStr">
        <is>
          <t>ÖREBRO LÄN</t>
        </is>
      </c>
      <c r="E838" t="inlineStr">
        <is>
          <t>LINDESBERG</t>
        </is>
      </c>
      <c r="F838" t="inlineStr">
        <is>
          <t>Kyrkan</t>
        </is>
      </c>
      <c r="G838" t="n">
        <v>1.4</v>
      </c>
      <c r="H838" t="n">
        <v>0</v>
      </c>
      <c r="I838" t="n">
        <v>0</v>
      </c>
      <c r="J838" t="n">
        <v>0</v>
      </c>
      <c r="K838" t="n">
        <v>0</v>
      </c>
      <c r="L838" t="n">
        <v>0</v>
      </c>
      <c r="M838" t="n">
        <v>0</v>
      </c>
      <c r="N838" t="n">
        <v>0</v>
      </c>
      <c r="O838" t="n">
        <v>0</v>
      </c>
      <c r="P838" t="n">
        <v>0</v>
      </c>
      <c r="Q838" t="n">
        <v>0</v>
      </c>
      <c r="R838" s="2" t="inlineStr"/>
    </row>
    <row r="839" ht="15" customHeight="1">
      <c r="A839" t="inlineStr">
        <is>
          <t>A 12562-2021</t>
        </is>
      </c>
      <c r="B839" s="1" t="n">
        <v>44267</v>
      </c>
      <c r="C839" s="1" t="n">
        <v>45990</v>
      </c>
      <c r="D839" t="inlineStr">
        <is>
          <t>ÖREBRO LÄN</t>
        </is>
      </c>
      <c r="E839" t="inlineStr">
        <is>
          <t>LINDESBERG</t>
        </is>
      </c>
      <c r="G839" t="n">
        <v>30.1</v>
      </c>
      <c r="H839" t="n">
        <v>0</v>
      </c>
      <c r="I839" t="n">
        <v>0</v>
      </c>
      <c r="J839" t="n">
        <v>0</v>
      </c>
      <c r="K839" t="n">
        <v>0</v>
      </c>
      <c r="L839" t="n">
        <v>0</v>
      </c>
      <c r="M839" t="n">
        <v>0</v>
      </c>
      <c r="N839" t="n">
        <v>0</v>
      </c>
      <c r="O839" t="n">
        <v>0</v>
      </c>
      <c r="P839" t="n">
        <v>0</v>
      </c>
      <c r="Q839" t="n">
        <v>0</v>
      </c>
      <c r="R839" s="2" t="inlineStr"/>
    </row>
    <row r="840" ht="15" customHeight="1">
      <c r="A840" t="inlineStr">
        <is>
          <t>A 56217-2022</t>
        </is>
      </c>
      <c r="B840" s="1" t="n">
        <v>44890.46174768519</v>
      </c>
      <c r="C840" s="1" t="n">
        <v>45990</v>
      </c>
      <c r="D840" t="inlineStr">
        <is>
          <t>ÖREBRO LÄN</t>
        </is>
      </c>
      <c r="E840" t="inlineStr">
        <is>
          <t>LINDESBERG</t>
        </is>
      </c>
      <c r="G840" t="n">
        <v>6.9</v>
      </c>
      <c r="H840" t="n">
        <v>0</v>
      </c>
      <c r="I840" t="n">
        <v>0</v>
      </c>
      <c r="J840" t="n">
        <v>0</v>
      </c>
      <c r="K840" t="n">
        <v>0</v>
      </c>
      <c r="L840" t="n">
        <v>0</v>
      </c>
      <c r="M840" t="n">
        <v>0</v>
      </c>
      <c r="N840" t="n">
        <v>0</v>
      </c>
      <c r="O840" t="n">
        <v>0</v>
      </c>
      <c r="P840" t="n">
        <v>0</v>
      </c>
      <c r="Q840" t="n">
        <v>0</v>
      </c>
      <c r="R840" s="2" t="inlineStr"/>
    </row>
    <row r="841" ht="15" customHeight="1">
      <c r="A841" t="inlineStr">
        <is>
          <t>A 5550-2024</t>
        </is>
      </c>
      <c r="B841" s="1" t="n">
        <v>45334</v>
      </c>
      <c r="C841" s="1" t="n">
        <v>45990</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32829-2024</t>
        </is>
      </c>
      <c r="B842" s="1" t="n">
        <v>45516.59447916667</v>
      </c>
      <c r="C842" s="1" t="n">
        <v>45990</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13823-2021</t>
        </is>
      </c>
      <c r="B843" s="1" t="n">
        <v>44276</v>
      </c>
      <c r="C843" s="1" t="n">
        <v>45990</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29350-2022</t>
        </is>
      </c>
      <c r="B844" s="1" t="n">
        <v>44753</v>
      </c>
      <c r="C844" s="1" t="n">
        <v>45990</v>
      </c>
      <c r="D844" t="inlineStr">
        <is>
          <t>ÖREBRO LÄN</t>
        </is>
      </c>
      <c r="E844" t="inlineStr">
        <is>
          <t>LINDESBERG</t>
        </is>
      </c>
      <c r="G844" t="n">
        <v>7.7</v>
      </c>
      <c r="H844" t="n">
        <v>0</v>
      </c>
      <c r="I844" t="n">
        <v>0</v>
      </c>
      <c r="J844" t="n">
        <v>0</v>
      </c>
      <c r="K844" t="n">
        <v>0</v>
      </c>
      <c r="L844" t="n">
        <v>0</v>
      </c>
      <c r="M844" t="n">
        <v>0</v>
      </c>
      <c r="N844" t="n">
        <v>0</v>
      </c>
      <c r="O844" t="n">
        <v>0</v>
      </c>
      <c r="P844" t="n">
        <v>0</v>
      </c>
      <c r="Q844" t="n">
        <v>0</v>
      </c>
      <c r="R844" s="2" t="inlineStr"/>
    </row>
    <row r="845" ht="15" customHeight="1">
      <c r="A845" t="inlineStr">
        <is>
          <t>A 53510-2024</t>
        </is>
      </c>
      <c r="B845" s="1" t="n">
        <v>45614.5968287037</v>
      </c>
      <c r="C845" s="1" t="n">
        <v>45990</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58710-2023</t>
        </is>
      </c>
      <c r="B846" s="1" t="n">
        <v>45251.696875</v>
      </c>
      <c r="C846" s="1" t="n">
        <v>45990</v>
      </c>
      <c r="D846" t="inlineStr">
        <is>
          <t>ÖREBRO LÄN</t>
        </is>
      </c>
      <c r="E846" t="inlineStr">
        <is>
          <t>LINDESBERG</t>
        </is>
      </c>
      <c r="G846" t="n">
        <v>6.3</v>
      </c>
      <c r="H846" t="n">
        <v>0</v>
      </c>
      <c r="I846" t="n">
        <v>0</v>
      </c>
      <c r="J846" t="n">
        <v>0</v>
      </c>
      <c r="K846" t="n">
        <v>0</v>
      </c>
      <c r="L846" t="n">
        <v>0</v>
      </c>
      <c r="M846" t="n">
        <v>0</v>
      </c>
      <c r="N846" t="n">
        <v>0</v>
      </c>
      <c r="O846" t="n">
        <v>0</v>
      </c>
      <c r="P846" t="n">
        <v>0</v>
      </c>
      <c r="Q846" t="n">
        <v>0</v>
      </c>
      <c r="R846" s="2" t="inlineStr"/>
    </row>
    <row r="847" ht="15" customHeight="1">
      <c r="A847" t="inlineStr">
        <is>
          <t>A 60449-2024</t>
        </is>
      </c>
      <c r="B847" s="1" t="n">
        <v>45643</v>
      </c>
      <c r="C847" s="1" t="n">
        <v>45990</v>
      </c>
      <c r="D847" t="inlineStr">
        <is>
          <t>ÖREBRO LÄN</t>
        </is>
      </c>
      <c r="E847" t="inlineStr">
        <is>
          <t>LINDESBERG</t>
        </is>
      </c>
      <c r="G847" t="n">
        <v>1.2</v>
      </c>
      <c r="H847" t="n">
        <v>0</v>
      </c>
      <c r="I847" t="n">
        <v>0</v>
      </c>
      <c r="J847" t="n">
        <v>0</v>
      </c>
      <c r="K847" t="n">
        <v>0</v>
      </c>
      <c r="L847" t="n">
        <v>0</v>
      </c>
      <c r="M847" t="n">
        <v>0</v>
      </c>
      <c r="N847" t="n">
        <v>0</v>
      </c>
      <c r="O847" t="n">
        <v>0</v>
      </c>
      <c r="P847" t="n">
        <v>0</v>
      </c>
      <c r="Q847" t="n">
        <v>0</v>
      </c>
      <c r="R847" s="2" t="inlineStr"/>
    </row>
    <row r="848" ht="15" customHeight="1">
      <c r="A848" t="inlineStr">
        <is>
          <t>A 15894-2025</t>
        </is>
      </c>
      <c r="B848" s="1" t="n">
        <v>45749</v>
      </c>
      <c r="C848" s="1" t="n">
        <v>45990</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43529-2024</t>
        </is>
      </c>
      <c r="B849" s="1" t="n">
        <v>45569.35209490741</v>
      </c>
      <c r="C849" s="1" t="n">
        <v>45990</v>
      </c>
      <c r="D849" t="inlineStr">
        <is>
          <t>ÖREBRO LÄN</t>
        </is>
      </c>
      <c r="E849" t="inlineStr">
        <is>
          <t>LINDESBERG</t>
        </is>
      </c>
      <c r="G849" t="n">
        <v>2.8</v>
      </c>
      <c r="H849" t="n">
        <v>0</v>
      </c>
      <c r="I849" t="n">
        <v>0</v>
      </c>
      <c r="J849" t="n">
        <v>0</v>
      </c>
      <c r="K849" t="n">
        <v>0</v>
      </c>
      <c r="L849" t="n">
        <v>0</v>
      </c>
      <c r="M849" t="n">
        <v>0</v>
      </c>
      <c r="N849" t="n">
        <v>0</v>
      </c>
      <c r="O849" t="n">
        <v>0</v>
      </c>
      <c r="P849" t="n">
        <v>0</v>
      </c>
      <c r="Q849" t="n">
        <v>0</v>
      </c>
      <c r="R849" s="2" t="inlineStr"/>
    </row>
    <row r="850" ht="15" customHeight="1">
      <c r="A850" t="inlineStr">
        <is>
          <t>A 54864-2024</t>
        </is>
      </c>
      <c r="B850" s="1" t="n">
        <v>45618.59456018519</v>
      </c>
      <c r="C850" s="1" t="n">
        <v>45990</v>
      </c>
      <c r="D850" t="inlineStr">
        <is>
          <t>ÖREBRO LÄN</t>
        </is>
      </c>
      <c r="E850" t="inlineStr">
        <is>
          <t>LINDESBERG</t>
        </is>
      </c>
      <c r="F850" t="inlineStr">
        <is>
          <t>Sveaskog</t>
        </is>
      </c>
      <c r="G850" t="n">
        <v>4.4</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45990</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3148-2023</t>
        </is>
      </c>
      <c r="B852" s="1" t="n">
        <v>44946.54424768518</v>
      </c>
      <c r="C852" s="1" t="n">
        <v>45990</v>
      </c>
      <c r="D852" t="inlineStr">
        <is>
          <t>ÖREBRO LÄN</t>
        </is>
      </c>
      <c r="E852" t="inlineStr">
        <is>
          <t>LINDESBERG</t>
        </is>
      </c>
      <c r="G852" t="n">
        <v>5.5</v>
      </c>
      <c r="H852" t="n">
        <v>0</v>
      </c>
      <c r="I852" t="n">
        <v>0</v>
      </c>
      <c r="J852" t="n">
        <v>0</v>
      </c>
      <c r="K852" t="n">
        <v>0</v>
      </c>
      <c r="L852" t="n">
        <v>0</v>
      </c>
      <c r="M852" t="n">
        <v>0</v>
      </c>
      <c r="N852" t="n">
        <v>0</v>
      </c>
      <c r="O852" t="n">
        <v>0</v>
      </c>
      <c r="P852" t="n">
        <v>0</v>
      </c>
      <c r="Q852" t="n">
        <v>0</v>
      </c>
      <c r="R852" s="2" t="inlineStr"/>
    </row>
    <row r="853" ht="15" customHeight="1">
      <c r="A853" t="inlineStr">
        <is>
          <t>A 54855-2024</t>
        </is>
      </c>
      <c r="B853" s="1" t="n">
        <v>45618.58622685185</v>
      </c>
      <c r="C853" s="1" t="n">
        <v>45990</v>
      </c>
      <c r="D853" t="inlineStr">
        <is>
          <t>ÖREBRO LÄN</t>
        </is>
      </c>
      <c r="E853" t="inlineStr">
        <is>
          <t>LINDESBERG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37432-2022</t>
        </is>
      </c>
      <c r="B854" s="1" t="n">
        <v>44809</v>
      </c>
      <c r="C854" s="1" t="n">
        <v>45990</v>
      </c>
      <c r="D854" t="inlineStr">
        <is>
          <t>ÖREBRO LÄN</t>
        </is>
      </c>
      <c r="E854" t="inlineStr">
        <is>
          <t>LINDESBERG</t>
        </is>
      </c>
      <c r="G854" t="n">
        <v>3.6</v>
      </c>
      <c r="H854" t="n">
        <v>0</v>
      </c>
      <c r="I854" t="n">
        <v>0</v>
      </c>
      <c r="J854" t="n">
        <v>0</v>
      </c>
      <c r="K854" t="n">
        <v>0</v>
      </c>
      <c r="L854" t="n">
        <v>0</v>
      </c>
      <c r="M854" t="n">
        <v>0</v>
      </c>
      <c r="N854" t="n">
        <v>0</v>
      </c>
      <c r="O854" t="n">
        <v>0</v>
      </c>
      <c r="P854" t="n">
        <v>0</v>
      </c>
      <c r="Q854" t="n">
        <v>0</v>
      </c>
      <c r="R854" s="2" t="inlineStr"/>
    </row>
    <row r="855" ht="15" customHeight="1">
      <c r="A855" t="inlineStr">
        <is>
          <t>A 61202-2023</t>
        </is>
      </c>
      <c r="B855" s="1" t="n">
        <v>45264.38084490741</v>
      </c>
      <c r="C855" s="1" t="n">
        <v>45990</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7120-2025</t>
        </is>
      </c>
      <c r="B856" s="1" t="n">
        <v>45702</v>
      </c>
      <c r="C856" s="1" t="n">
        <v>45990</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195-2022</t>
        </is>
      </c>
      <c r="B857" s="1" t="n">
        <v>44564</v>
      </c>
      <c r="C857" s="1" t="n">
        <v>45990</v>
      </c>
      <c r="D857" t="inlineStr">
        <is>
          <t>ÖREBRO LÄN</t>
        </is>
      </c>
      <c r="E857" t="inlineStr">
        <is>
          <t>LINDESBERG</t>
        </is>
      </c>
      <c r="G857" t="n">
        <v>4.7</v>
      </c>
      <c r="H857" t="n">
        <v>0</v>
      </c>
      <c r="I857" t="n">
        <v>0</v>
      </c>
      <c r="J857" t="n">
        <v>0</v>
      </c>
      <c r="K857" t="n">
        <v>0</v>
      </c>
      <c r="L857" t="n">
        <v>0</v>
      </c>
      <c r="M857" t="n">
        <v>0</v>
      </c>
      <c r="N857" t="n">
        <v>0</v>
      </c>
      <c r="O857" t="n">
        <v>0</v>
      </c>
      <c r="P857" t="n">
        <v>0</v>
      </c>
      <c r="Q857" t="n">
        <v>0</v>
      </c>
      <c r="R857" s="2" t="inlineStr"/>
    </row>
    <row r="858" ht="15" customHeight="1">
      <c r="A858" t="inlineStr">
        <is>
          <t>A 51379-2023</t>
        </is>
      </c>
      <c r="B858" s="1" t="n">
        <v>45219</v>
      </c>
      <c r="C858" s="1" t="n">
        <v>45990</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16054-2022</t>
        </is>
      </c>
      <c r="B859" s="1" t="n">
        <v>44665</v>
      </c>
      <c r="C859" s="1" t="n">
        <v>45990</v>
      </c>
      <c r="D859" t="inlineStr">
        <is>
          <t>ÖREBRO LÄN</t>
        </is>
      </c>
      <c r="E859" t="inlineStr">
        <is>
          <t>LINDESBERG</t>
        </is>
      </c>
      <c r="G859" t="n">
        <v>6.9</v>
      </c>
      <c r="H859" t="n">
        <v>0</v>
      </c>
      <c r="I859" t="n">
        <v>0</v>
      </c>
      <c r="J859" t="n">
        <v>0</v>
      </c>
      <c r="K859" t="n">
        <v>0</v>
      </c>
      <c r="L859" t="n">
        <v>0</v>
      </c>
      <c r="M859" t="n">
        <v>0</v>
      </c>
      <c r="N859" t="n">
        <v>0</v>
      </c>
      <c r="O859" t="n">
        <v>0</v>
      </c>
      <c r="P859" t="n">
        <v>0</v>
      </c>
      <c r="Q859" t="n">
        <v>0</v>
      </c>
      <c r="R859" s="2" t="inlineStr"/>
    </row>
    <row r="860" ht="15" customHeight="1">
      <c r="A860" t="inlineStr">
        <is>
          <t>A 49544-2023</t>
        </is>
      </c>
      <c r="B860" s="1" t="n">
        <v>45211</v>
      </c>
      <c r="C860" s="1" t="n">
        <v>45990</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48756-2024</t>
        </is>
      </c>
      <c r="B861" s="1" t="n">
        <v>45593.59681712963</v>
      </c>
      <c r="C861" s="1" t="n">
        <v>45990</v>
      </c>
      <c r="D861" t="inlineStr">
        <is>
          <t>ÖREBRO LÄN</t>
        </is>
      </c>
      <c r="E861" t="inlineStr">
        <is>
          <t>LINDESBERG</t>
        </is>
      </c>
      <c r="G861" t="n">
        <v>1.6</v>
      </c>
      <c r="H861" t="n">
        <v>0</v>
      </c>
      <c r="I861" t="n">
        <v>0</v>
      </c>
      <c r="J861" t="n">
        <v>0</v>
      </c>
      <c r="K861" t="n">
        <v>0</v>
      </c>
      <c r="L861" t="n">
        <v>0</v>
      </c>
      <c r="M861" t="n">
        <v>0</v>
      </c>
      <c r="N861" t="n">
        <v>0</v>
      </c>
      <c r="O861" t="n">
        <v>0</v>
      </c>
      <c r="P861" t="n">
        <v>0</v>
      </c>
      <c r="Q861" t="n">
        <v>0</v>
      </c>
      <c r="R861" s="2" t="inlineStr"/>
    </row>
    <row r="862" ht="15" customHeight="1">
      <c r="A862" t="inlineStr">
        <is>
          <t>A 15892-2025</t>
        </is>
      </c>
      <c r="B862" s="1" t="n">
        <v>45749</v>
      </c>
      <c r="C862" s="1" t="n">
        <v>45990</v>
      </c>
      <c r="D862" t="inlineStr">
        <is>
          <t>ÖREBRO LÄN</t>
        </is>
      </c>
      <c r="E862" t="inlineStr">
        <is>
          <t>LINDESBERG</t>
        </is>
      </c>
      <c r="G862" t="n">
        <v>0.8</v>
      </c>
      <c r="H862" t="n">
        <v>0</v>
      </c>
      <c r="I862" t="n">
        <v>0</v>
      </c>
      <c r="J862" t="n">
        <v>0</v>
      </c>
      <c r="K862" t="n">
        <v>0</v>
      </c>
      <c r="L862" t="n">
        <v>0</v>
      </c>
      <c r="M862" t="n">
        <v>0</v>
      </c>
      <c r="N862" t="n">
        <v>0</v>
      </c>
      <c r="O862" t="n">
        <v>0</v>
      </c>
      <c r="P862" t="n">
        <v>0</v>
      </c>
      <c r="Q862" t="n">
        <v>0</v>
      </c>
      <c r="R862" s="2" t="inlineStr"/>
    </row>
    <row r="863" ht="15" customHeight="1">
      <c r="A863" t="inlineStr">
        <is>
          <t>A 23260-2024</t>
        </is>
      </c>
      <c r="B863" s="1" t="n">
        <v>45453.36664351852</v>
      </c>
      <c r="C863" s="1" t="n">
        <v>45990</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46607-2021</t>
        </is>
      </c>
      <c r="B864" s="1" t="n">
        <v>44445.55690972223</v>
      </c>
      <c r="C864" s="1" t="n">
        <v>45990</v>
      </c>
      <c r="D864" t="inlineStr">
        <is>
          <t>ÖREBRO LÄN</t>
        </is>
      </c>
      <c r="E864" t="inlineStr">
        <is>
          <t>LINDESBERG</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20930-2025</t>
        </is>
      </c>
      <c r="B865" s="1" t="n">
        <v>45777.42628472222</v>
      </c>
      <c r="C865" s="1" t="n">
        <v>45990</v>
      </c>
      <c r="D865" t="inlineStr">
        <is>
          <t>ÖREBRO LÄN</t>
        </is>
      </c>
      <c r="E865" t="inlineStr">
        <is>
          <t>LINDESBERG</t>
        </is>
      </c>
      <c r="F865" t="inlineStr">
        <is>
          <t>Sveaskog</t>
        </is>
      </c>
      <c r="G865" t="n">
        <v>3.9</v>
      </c>
      <c r="H865" t="n">
        <v>0</v>
      </c>
      <c r="I865" t="n">
        <v>0</v>
      </c>
      <c r="J865" t="n">
        <v>0</v>
      </c>
      <c r="K865" t="n">
        <v>0</v>
      </c>
      <c r="L865" t="n">
        <v>0</v>
      </c>
      <c r="M865" t="n">
        <v>0</v>
      </c>
      <c r="N865" t="n">
        <v>0</v>
      </c>
      <c r="O865" t="n">
        <v>0</v>
      </c>
      <c r="P865" t="n">
        <v>0</v>
      </c>
      <c r="Q865" t="n">
        <v>0</v>
      </c>
      <c r="R865" s="2" t="inlineStr"/>
    </row>
    <row r="866" ht="15" customHeight="1">
      <c r="A866" t="inlineStr">
        <is>
          <t>A 20923-2025</t>
        </is>
      </c>
      <c r="B866" s="1" t="n">
        <v>45777.41673611111</v>
      </c>
      <c r="C866" s="1" t="n">
        <v>45990</v>
      </c>
      <c r="D866" t="inlineStr">
        <is>
          <t>ÖREBRO LÄN</t>
        </is>
      </c>
      <c r="E866" t="inlineStr">
        <is>
          <t>LINDESBERG</t>
        </is>
      </c>
      <c r="F866" t="inlineStr">
        <is>
          <t>Sveaskog</t>
        </is>
      </c>
      <c r="G866" t="n">
        <v>10.3</v>
      </c>
      <c r="H866" t="n">
        <v>0</v>
      </c>
      <c r="I866" t="n">
        <v>0</v>
      </c>
      <c r="J866" t="n">
        <v>0</v>
      </c>
      <c r="K866" t="n">
        <v>0</v>
      </c>
      <c r="L866" t="n">
        <v>0</v>
      </c>
      <c r="M866" t="n">
        <v>0</v>
      </c>
      <c r="N866" t="n">
        <v>0</v>
      </c>
      <c r="O866" t="n">
        <v>0</v>
      </c>
      <c r="P866" t="n">
        <v>0</v>
      </c>
      <c r="Q866" t="n">
        <v>0</v>
      </c>
      <c r="R866" s="2" t="inlineStr"/>
    </row>
    <row r="867" ht="15" customHeight="1">
      <c r="A867" t="inlineStr">
        <is>
          <t>A 12795-2025</t>
        </is>
      </c>
      <c r="B867" s="1" t="n">
        <v>45733.60959490741</v>
      </c>
      <c r="C867" s="1" t="n">
        <v>45990</v>
      </c>
      <c r="D867" t="inlineStr">
        <is>
          <t>ÖREBRO LÄN</t>
        </is>
      </c>
      <c r="E867" t="inlineStr">
        <is>
          <t>LINDESBERG</t>
        </is>
      </c>
      <c r="G867" t="n">
        <v>10.8</v>
      </c>
      <c r="H867" t="n">
        <v>0</v>
      </c>
      <c r="I867" t="n">
        <v>0</v>
      </c>
      <c r="J867" t="n">
        <v>0</v>
      </c>
      <c r="K867" t="n">
        <v>0</v>
      </c>
      <c r="L867" t="n">
        <v>0</v>
      </c>
      <c r="M867" t="n">
        <v>0</v>
      </c>
      <c r="N867" t="n">
        <v>0</v>
      </c>
      <c r="O867" t="n">
        <v>0</v>
      </c>
      <c r="P867" t="n">
        <v>0</v>
      </c>
      <c r="Q867" t="n">
        <v>0</v>
      </c>
      <c r="R867" s="2" t="inlineStr"/>
    </row>
    <row r="868" ht="15" customHeight="1">
      <c r="A868" t="inlineStr">
        <is>
          <t>A 20944-2025</t>
        </is>
      </c>
      <c r="B868" s="1" t="n">
        <v>45777</v>
      </c>
      <c r="C868" s="1" t="n">
        <v>45990</v>
      </c>
      <c r="D868" t="inlineStr">
        <is>
          <t>ÖREBRO LÄN</t>
        </is>
      </c>
      <c r="E868" t="inlineStr">
        <is>
          <t>LINDESBERG</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20950-2025</t>
        </is>
      </c>
      <c r="B869" s="1" t="n">
        <v>45777.43878472222</v>
      </c>
      <c r="C869" s="1" t="n">
        <v>45990</v>
      </c>
      <c r="D869" t="inlineStr">
        <is>
          <t>ÖREBRO LÄN</t>
        </is>
      </c>
      <c r="E869" t="inlineStr">
        <is>
          <t>LINDESBERG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20804-2025</t>
        </is>
      </c>
      <c r="B870" s="1" t="n">
        <v>45776.65518518518</v>
      </c>
      <c r="C870" s="1" t="n">
        <v>45990</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21812-2025</t>
        </is>
      </c>
      <c r="B871" s="1" t="n">
        <v>45783.71833333333</v>
      </c>
      <c r="C871" s="1" t="n">
        <v>45990</v>
      </c>
      <c r="D871" t="inlineStr">
        <is>
          <t>ÖREBRO LÄN</t>
        </is>
      </c>
      <c r="E871" t="inlineStr">
        <is>
          <t>LINDESBERG</t>
        </is>
      </c>
      <c r="G871" t="n">
        <v>0.9</v>
      </c>
      <c r="H871" t="n">
        <v>0</v>
      </c>
      <c r="I871" t="n">
        <v>0</v>
      </c>
      <c r="J871" t="n">
        <v>0</v>
      </c>
      <c r="K871" t="n">
        <v>0</v>
      </c>
      <c r="L871" t="n">
        <v>0</v>
      </c>
      <c r="M871" t="n">
        <v>0</v>
      </c>
      <c r="N871" t="n">
        <v>0</v>
      </c>
      <c r="O871" t="n">
        <v>0</v>
      </c>
      <c r="P871" t="n">
        <v>0</v>
      </c>
      <c r="Q871" t="n">
        <v>0</v>
      </c>
      <c r="R871" s="2" t="inlineStr"/>
    </row>
    <row r="872" ht="15" customHeight="1">
      <c r="A872" t="inlineStr">
        <is>
          <t>A 43195-2024</t>
        </is>
      </c>
      <c r="B872" s="1" t="n">
        <v>45567.68003472222</v>
      </c>
      <c r="C872" s="1" t="n">
        <v>45990</v>
      </c>
      <c r="D872" t="inlineStr">
        <is>
          <t>ÖREBRO LÄN</t>
        </is>
      </c>
      <c r="E872" t="inlineStr">
        <is>
          <t>LINDESBERG</t>
        </is>
      </c>
      <c r="G872" t="n">
        <v>27.8</v>
      </c>
      <c r="H872" t="n">
        <v>0</v>
      </c>
      <c r="I872" t="n">
        <v>0</v>
      </c>
      <c r="J872" t="n">
        <v>0</v>
      </c>
      <c r="K872" t="n">
        <v>0</v>
      </c>
      <c r="L872" t="n">
        <v>0</v>
      </c>
      <c r="M872" t="n">
        <v>0</v>
      </c>
      <c r="N872" t="n">
        <v>0</v>
      </c>
      <c r="O872" t="n">
        <v>0</v>
      </c>
      <c r="P872" t="n">
        <v>0</v>
      </c>
      <c r="Q872" t="n">
        <v>0</v>
      </c>
      <c r="R872" s="2" t="inlineStr"/>
    </row>
    <row r="873" ht="15" customHeight="1">
      <c r="A873" t="inlineStr">
        <is>
          <t>A 31861-2024</t>
        </is>
      </c>
      <c r="B873" s="1" t="n">
        <v>45509.73383101852</v>
      </c>
      <c r="C873" s="1" t="n">
        <v>45990</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24583-2024</t>
        </is>
      </c>
      <c r="B874" s="1" t="n">
        <v>45460.46358796296</v>
      </c>
      <c r="C874" s="1" t="n">
        <v>45990</v>
      </c>
      <c r="D874" t="inlineStr">
        <is>
          <t>ÖREBRO LÄN</t>
        </is>
      </c>
      <c r="E874" t="inlineStr">
        <is>
          <t>LINDESBERG</t>
        </is>
      </c>
      <c r="G874" t="n">
        <v>13.7</v>
      </c>
      <c r="H874" t="n">
        <v>0</v>
      </c>
      <c r="I874" t="n">
        <v>0</v>
      </c>
      <c r="J874" t="n">
        <v>0</v>
      </c>
      <c r="K874" t="n">
        <v>0</v>
      </c>
      <c r="L874" t="n">
        <v>0</v>
      </c>
      <c r="M874" t="n">
        <v>0</v>
      </c>
      <c r="N874" t="n">
        <v>0</v>
      </c>
      <c r="O874" t="n">
        <v>0</v>
      </c>
      <c r="P874" t="n">
        <v>0</v>
      </c>
      <c r="Q874" t="n">
        <v>0</v>
      </c>
      <c r="R874" s="2" t="inlineStr"/>
    </row>
    <row r="875" ht="15" customHeight="1">
      <c r="A875" t="inlineStr">
        <is>
          <t>A 43532-2024</t>
        </is>
      </c>
      <c r="B875" s="1" t="n">
        <v>45569.3533912037</v>
      </c>
      <c r="C875" s="1" t="n">
        <v>45990</v>
      </c>
      <c r="D875" t="inlineStr">
        <is>
          <t>ÖREBRO LÄN</t>
        </is>
      </c>
      <c r="E875" t="inlineStr">
        <is>
          <t>LINDESBERG</t>
        </is>
      </c>
      <c r="G875" t="n">
        <v>2.4</v>
      </c>
      <c r="H875" t="n">
        <v>0</v>
      </c>
      <c r="I875" t="n">
        <v>0</v>
      </c>
      <c r="J875" t="n">
        <v>0</v>
      </c>
      <c r="K875" t="n">
        <v>0</v>
      </c>
      <c r="L875" t="n">
        <v>0</v>
      </c>
      <c r="M875" t="n">
        <v>0</v>
      </c>
      <c r="N875" t="n">
        <v>0</v>
      </c>
      <c r="O875" t="n">
        <v>0</v>
      </c>
      <c r="P875" t="n">
        <v>0</v>
      </c>
      <c r="Q875" t="n">
        <v>0</v>
      </c>
      <c r="R875" s="2" t="inlineStr"/>
    </row>
    <row r="876" ht="15" customHeight="1">
      <c r="A876" t="inlineStr">
        <is>
          <t>A 59282-2023</t>
        </is>
      </c>
      <c r="B876" s="1" t="n">
        <v>45253</v>
      </c>
      <c r="C876" s="1" t="n">
        <v>45990</v>
      </c>
      <c r="D876" t="inlineStr">
        <is>
          <t>ÖREBRO LÄN</t>
        </is>
      </c>
      <c r="E876" t="inlineStr">
        <is>
          <t>LINDESBERG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47601-2023</t>
        </is>
      </c>
      <c r="B877" s="1" t="n">
        <v>45203.45681712963</v>
      </c>
      <c r="C877" s="1" t="n">
        <v>45990</v>
      </c>
      <c r="D877" t="inlineStr">
        <is>
          <t>ÖREBRO LÄN</t>
        </is>
      </c>
      <c r="E877" t="inlineStr">
        <is>
          <t>LINDESBERG</t>
        </is>
      </c>
      <c r="G877" t="n">
        <v>37.6</v>
      </c>
      <c r="H877" t="n">
        <v>0</v>
      </c>
      <c r="I877" t="n">
        <v>0</v>
      </c>
      <c r="J877" t="n">
        <v>0</v>
      </c>
      <c r="K877" t="n">
        <v>0</v>
      </c>
      <c r="L877" t="n">
        <v>0</v>
      </c>
      <c r="M877" t="n">
        <v>0</v>
      </c>
      <c r="N877" t="n">
        <v>0</v>
      </c>
      <c r="O877" t="n">
        <v>0</v>
      </c>
      <c r="P877" t="n">
        <v>0</v>
      </c>
      <c r="Q877" t="n">
        <v>0</v>
      </c>
      <c r="R877" s="2" t="inlineStr"/>
    </row>
    <row r="878" ht="15" customHeight="1">
      <c r="A878" t="inlineStr">
        <is>
          <t>A 22078-2025</t>
        </is>
      </c>
      <c r="B878" s="1" t="n">
        <v>45785.4253125</v>
      </c>
      <c r="C878" s="1" t="n">
        <v>45990</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53355-2023</t>
        </is>
      </c>
      <c r="B879" s="1" t="n">
        <v>45229.66430555555</v>
      </c>
      <c r="C879" s="1" t="n">
        <v>45990</v>
      </c>
      <c r="D879" t="inlineStr">
        <is>
          <t>ÖREBRO LÄN</t>
        </is>
      </c>
      <c r="E879" t="inlineStr">
        <is>
          <t>LINDESBERG</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62308-2023</t>
        </is>
      </c>
      <c r="B880" s="1" t="n">
        <v>45267.69052083333</v>
      </c>
      <c r="C880" s="1" t="n">
        <v>45990</v>
      </c>
      <c r="D880" t="inlineStr">
        <is>
          <t>ÖREBRO LÄN</t>
        </is>
      </c>
      <c r="E880" t="inlineStr">
        <is>
          <t>LINDESBERG</t>
        </is>
      </c>
      <c r="F880" t="inlineStr">
        <is>
          <t>Naturvårdsverket</t>
        </is>
      </c>
      <c r="G880" t="n">
        <v>3.1</v>
      </c>
      <c r="H880" t="n">
        <v>0</v>
      </c>
      <c r="I880" t="n">
        <v>0</v>
      </c>
      <c r="J880" t="n">
        <v>0</v>
      </c>
      <c r="K880" t="n">
        <v>0</v>
      </c>
      <c r="L880" t="n">
        <v>0</v>
      </c>
      <c r="M880" t="n">
        <v>0</v>
      </c>
      <c r="N880" t="n">
        <v>0</v>
      </c>
      <c r="O880" t="n">
        <v>0</v>
      </c>
      <c r="P880" t="n">
        <v>0</v>
      </c>
      <c r="Q880" t="n">
        <v>0</v>
      </c>
      <c r="R880" s="2" t="inlineStr"/>
    </row>
    <row r="881" ht="15" customHeight="1">
      <c r="A881" t="inlineStr">
        <is>
          <t>A 36680-2024</t>
        </is>
      </c>
      <c r="B881" s="1" t="n">
        <v>45537.65305555556</v>
      </c>
      <c r="C881" s="1" t="n">
        <v>45990</v>
      </c>
      <c r="D881" t="inlineStr">
        <is>
          <t>ÖREBRO LÄN</t>
        </is>
      </c>
      <c r="E881" t="inlineStr">
        <is>
          <t>LINDESBERG</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22543-2025</t>
        </is>
      </c>
      <c r="B882" s="1" t="n">
        <v>45788.42467592593</v>
      </c>
      <c r="C882" s="1" t="n">
        <v>45990</v>
      </c>
      <c r="D882" t="inlineStr">
        <is>
          <t>ÖREBRO LÄN</t>
        </is>
      </c>
      <c r="E882" t="inlineStr">
        <is>
          <t>LINDESBERG</t>
        </is>
      </c>
      <c r="G882" t="n">
        <v>6.7</v>
      </c>
      <c r="H882" t="n">
        <v>0</v>
      </c>
      <c r="I882" t="n">
        <v>0</v>
      </c>
      <c r="J882" t="n">
        <v>0</v>
      </c>
      <c r="K882" t="n">
        <v>0</v>
      </c>
      <c r="L882" t="n">
        <v>0</v>
      </c>
      <c r="M882" t="n">
        <v>0</v>
      </c>
      <c r="N882" t="n">
        <v>0</v>
      </c>
      <c r="O882" t="n">
        <v>0</v>
      </c>
      <c r="P882" t="n">
        <v>0</v>
      </c>
      <c r="Q882" t="n">
        <v>0</v>
      </c>
      <c r="R882" s="2" t="inlineStr"/>
    </row>
    <row r="883" ht="15" customHeight="1">
      <c r="A883" t="inlineStr">
        <is>
          <t>A 36686-2024</t>
        </is>
      </c>
      <c r="B883" s="1" t="n">
        <v>45537.665</v>
      </c>
      <c r="C883" s="1" t="n">
        <v>45990</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28776-2023</t>
        </is>
      </c>
      <c r="B884" s="1" t="n">
        <v>45104.34107638889</v>
      </c>
      <c r="C884" s="1" t="n">
        <v>45990</v>
      </c>
      <c r="D884" t="inlineStr">
        <is>
          <t>ÖREBRO LÄN</t>
        </is>
      </c>
      <c r="E884" t="inlineStr">
        <is>
          <t>LINDESBERG</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22438-2025</t>
        </is>
      </c>
      <c r="B885" s="1" t="n">
        <v>45786</v>
      </c>
      <c r="C885" s="1" t="n">
        <v>45990</v>
      </c>
      <c r="D885" t="inlineStr">
        <is>
          <t>ÖREBRO LÄN</t>
        </is>
      </c>
      <c r="E885" t="inlineStr">
        <is>
          <t>LINDESBERG</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59641-2024</t>
        </is>
      </c>
      <c r="B886" s="1" t="n">
        <v>45639.30934027778</v>
      </c>
      <c r="C886" s="1" t="n">
        <v>45990</v>
      </c>
      <c r="D886" t="inlineStr">
        <is>
          <t>ÖREBRO LÄN</t>
        </is>
      </c>
      <c r="E886" t="inlineStr">
        <is>
          <t>LINDESBERG</t>
        </is>
      </c>
      <c r="G886" t="n">
        <v>2.1</v>
      </c>
      <c r="H886" t="n">
        <v>0</v>
      </c>
      <c r="I886" t="n">
        <v>0</v>
      </c>
      <c r="J886" t="n">
        <v>0</v>
      </c>
      <c r="K886" t="n">
        <v>0</v>
      </c>
      <c r="L886" t="n">
        <v>0</v>
      </c>
      <c r="M886" t="n">
        <v>0</v>
      </c>
      <c r="N886" t="n">
        <v>0</v>
      </c>
      <c r="O886" t="n">
        <v>0</v>
      </c>
      <c r="P886" t="n">
        <v>0</v>
      </c>
      <c r="Q886" t="n">
        <v>0</v>
      </c>
      <c r="R886" s="2" t="inlineStr"/>
    </row>
    <row r="887" ht="15" customHeight="1">
      <c r="A887" t="inlineStr">
        <is>
          <t>A 23245-2025</t>
        </is>
      </c>
      <c r="B887" s="1" t="n">
        <v>45791.50862268519</v>
      </c>
      <c r="C887" s="1" t="n">
        <v>45990</v>
      </c>
      <c r="D887" t="inlineStr">
        <is>
          <t>ÖREBRO LÄN</t>
        </is>
      </c>
      <c r="E887" t="inlineStr">
        <is>
          <t>LINDESBERG</t>
        </is>
      </c>
      <c r="G887" t="n">
        <v>6.8</v>
      </c>
      <c r="H887" t="n">
        <v>0</v>
      </c>
      <c r="I887" t="n">
        <v>0</v>
      </c>
      <c r="J887" t="n">
        <v>0</v>
      </c>
      <c r="K887" t="n">
        <v>0</v>
      </c>
      <c r="L887" t="n">
        <v>0</v>
      </c>
      <c r="M887" t="n">
        <v>0</v>
      </c>
      <c r="N887" t="n">
        <v>0</v>
      </c>
      <c r="O887" t="n">
        <v>0</v>
      </c>
      <c r="P887" t="n">
        <v>0</v>
      </c>
      <c r="Q887" t="n">
        <v>0</v>
      </c>
      <c r="R887" s="2" t="inlineStr"/>
    </row>
    <row r="888" ht="15" customHeight="1">
      <c r="A888" t="inlineStr">
        <is>
          <t>A 42707-2023</t>
        </is>
      </c>
      <c r="B888" s="1" t="n">
        <v>45181</v>
      </c>
      <c r="C888" s="1" t="n">
        <v>45990</v>
      </c>
      <c r="D888" t="inlineStr">
        <is>
          <t>ÖREBRO LÄN</t>
        </is>
      </c>
      <c r="E888" t="inlineStr">
        <is>
          <t>LINDESBERG</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17779-2024</t>
        </is>
      </c>
      <c r="B889" s="1" t="n">
        <v>45418.66800925926</v>
      </c>
      <c r="C889" s="1" t="n">
        <v>45990</v>
      </c>
      <c r="D889" t="inlineStr">
        <is>
          <t>ÖREBRO LÄN</t>
        </is>
      </c>
      <c r="E889" t="inlineStr">
        <is>
          <t>LINDESBERG</t>
        </is>
      </c>
      <c r="G889" t="n">
        <v>3.7</v>
      </c>
      <c r="H889" t="n">
        <v>0</v>
      </c>
      <c r="I889" t="n">
        <v>0</v>
      </c>
      <c r="J889" t="n">
        <v>0</v>
      </c>
      <c r="K889" t="n">
        <v>0</v>
      </c>
      <c r="L889" t="n">
        <v>0</v>
      </c>
      <c r="M889" t="n">
        <v>0</v>
      </c>
      <c r="N889" t="n">
        <v>0</v>
      </c>
      <c r="O889" t="n">
        <v>0</v>
      </c>
      <c r="P889" t="n">
        <v>0</v>
      </c>
      <c r="Q889" t="n">
        <v>0</v>
      </c>
      <c r="R889" s="2" t="inlineStr"/>
    </row>
    <row r="890" ht="15" customHeight="1">
      <c r="A890" t="inlineStr">
        <is>
          <t>A 54793-2024</t>
        </is>
      </c>
      <c r="B890" s="1" t="n">
        <v>45618</v>
      </c>
      <c r="C890" s="1" t="n">
        <v>45990</v>
      </c>
      <c r="D890" t="inlineStr">
        <is>
          <t>ÖREBRO LÄN</t>
        </is>
      </c>
      <c r="E890" t="inlineStr">
        <is>
          <t>LINDESBERG</t>
        </is>
      </c>
      <c r="G890" t="n">
        <v>3</v>
      </c>
      <c r="H890" t="n">
        <v>0</v>
      </c>
      <c r="I890" t="n">
        <v>0</v>
      </c>
      <c r="J890" t="n">
        <v>0</v>
      </c>
      <c r="K890" t="n">
        <v>0</v>
      </c>
      <c r="L890" t="n">
        <v>0</v>
      </c>
      <c r="M890" t="n">
        <v>0</v>
      </c>
      <c r="N890" t="n">
        <v>0</v>
      </c>
      <c r="O890" t="n">
        <v>0</v>
      </c>
      <c r="P890" t="n">
        <v>0</v>
      </c>
      <c r="Q890" t="n">
        <v>0</v>
      </c>
      <c r="R890" s="2" t="inlineStr"/>
    </row>
    <row r="891" ht="15" customHeight="1">
      <c r="A891" t="inlineStr">
        <is>
          <t>A 1400-2025</t>
        </is>
      </c>
      <c r="B891" s="1" t="n">
        <v>45667</v>
      </c>
      <c r="C891" s="1" t="n">
        <v>45990</v>
      </c>
      <c r="D891" t="inlineStr">
        <is>
          <t>ÖREBRO LÄN</t>
        </is>
      </c>
      <c r="E891" t="inlineStr">
        <is>
          <t>LINDESBERG</t>
        </is>
      </c>
      <c r="F891" t="inlineStr">
        <is>
          <t>Allmännings- och besparingsskogar</t>
        </is>
      </c>
      <c r="G891" t="n">
        <v>11.3</v>
      </c>
      <c r="H891" t="n">
        <v>0</v>
      </c>
      <c r="I891" t="n">
        <v>0</v>
      </c>
      <c r="J891" t="n">
        <v>0</v>
      </c>
      <c r="K891" t="n">
        <v>0</v>
      </c>
      <c r="L891" t="n">
        <v>0</v>
      </c>
      <c r="M891" t="n">
        <v>0</v>
      </c>
      <c r="N891" t="n">
        <v>0</v>
      </c>
      <c r="O891" t="n">
        <v>0</v>
      </c>
      <c r="P891" t="n">
        <v>0</v>
      </c>
      <c r="Q891" t="n">
        <v>0</v>
      </c>
      <c r="R891" s="2" t="inlineStr"/>
    </row>
    <row r="892" ht="15" customHeight="1">
      <c r="A892" t="inlineStr">
        <is>
          <t>A 38380-2024</t>
        </is>
      </c>
      <c r="B892" s="1" t="n">
        <v>45546.28121527778</v>
      </c>
      <c r="C892" s="1" t="n">
        <v>45990</v>
      </c>
      <c r="D892" t="inlineStr">
        <is>
          <t>ÖREBRO LÄN</t>
        </is>
      </c>
      <c r="E892" t="inlineStr">
        <is>
          <t>LINDESBERG</t>
        </is>
      </c>
      <c r="G892" t="n">
        <v>6.8</v>
      </c>
      <c r="H892" t="n">
        <v>0</v>
      </c>
      <c r="I892" t="n">
        <v>0</v>
      </c>
      <c r="J892" t="n">
        <v>0</v>
      </c>
      <c r="K892" t="n">
        <v>0</v>
      </c>
      <c r="L892" t="n">
        <v>0</v>
      </c>
      <c r="M892" t="n">
        <v>0</v>
      </c>
      <c r="N892" t="n">
        <v>0</v>
      </c>
      <c r="O892" t="n">
        <v>0</v>
      </c>
      <c r="P892" t="n">
        <v>0</v>
      </c>
      <c r="Q892" t="n">
        <v>0</v>
      </c>
      <c r="R892" s="2" t="inlineStr"/>
    </row>
    <row r="893" ht="15" customHeight="1">
      <c r="A893" t="inlineStr">
        <is>
          <t>A 21202-2024</t>
        </is>
      </c>
      <c r="B893" s="1" t="n">
        <v>45440.5433912037</v>
      </c>
      <c r="C893" s="1" t="n">
        <v>45990</v>
      </c>
      <c r="D893" t="inlineStr">
        <is>
          <t>ÖREBRO LÄN</t>
        </is>
      </c>
      <c r="E893" t="inlineStr">
        <is>
          <t>LINDESBERG</t>
        </is>
      </c>
      <c r="G893" t="n">
        <v>4</v>
      </c>
      <c r="H893" t="n">
        <v>0</v>
      </c>
      <c r="I893" t="n">
        <v>0</v>
      </c>
      <c r="J893" t="n">
        <v>0</v>
      </c>
      <c r="K893" t="n">
        <v>0</v>
      </c>
      <c r="L893" t="n">
        <v>0</v>
      </c>
      <c r="M893" t="n">
        <v>0</v>
      </c>
      <c r="N893" t="n">
        <v>0</v>
      </c>
      <c r="O893" t="n">
        <v>0</v>
      </c>
      <c r="P893" t="n">
        <v>0</v>
      </c>
      <c r="Q893" t="n">
        <v>0</v>
      </c>
      <c r="R893" s="2" t="inlineStr"/>
    </row>
    <row r="894" ht="15" customHeight="1">
      <c r="A894" t="inlineStr">
        <is>
          <t>A 23835-2025</t>
        </is>
      </c>
      <c r="B894" s="1" t="n">
        <v>45793.61047453704</v>
      </c>
      <c r="C894" s="1" t="n">
        <v>45990</v>
      </c>
      <c r="D894" t="inlineStr">
        <is>
          <t>ÖREBRO LÄN</t>
        </is>
      </c>
      <c r="E894" t="inlineStr">
        <is>
          <t>LINDESBERG</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23844-2025</t>
        </is>
      </c>
      <c r="B895" s="1" t="n">
        <v>45793.62422453704</v>
      </c>
      <c r="C895" s="1" t="n">
        <v>45990</v>
      </c>
      <c r="D895" t="inlineStr">
        <is>
          <t>ÖREBRO LÄN</t>
        </is>
      </c>
      <c r="E895" t="inlineStr">
        <is>
          <t>LINDESBERG</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24186-2024</t>
        </is>
      </c>
      <c r="B896" s="1" t="n">
        <v>45456.90869212963</v>
      </c>
      <c r="C896" s="1" t="n">
        <v>45990</v>
      </c>
      <c r="D896" t="inlineStr">
        <is>
          <t>ÖREBRO LÄN</t>
        </is>
      </c>
      <c r="E896" t="inlineStr">
        <is>
          <t>LINDESBERG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23933-2025</t>
        </is>
      </c>
      <c r="B897" s="1" t="n">
        <v>45795.71300925926</v>
      </c>
      <c r="C897" s="1" t="n">
        <v>45990</v>
      </c>
      <c r="D897" t="inlineStr">
        <is>
          <t>ÖREBRO LÄN</t>
        </is>
      </c>
      <c r="E897" t="inlineStr">
        <is>
          <t>LINDESBERG</t>
        </is>
      </c>
      <c r="G897" t="n">
        <v>2.2</v>
      </c>
      <c r="H897" t="n">
        <v>0</v>
      </c>
      <c r="I897" t="n">
        <v>0</v>
      </c>
      <c r="J897" t="n">
        <v>0</v>
      </c>
      <c r="K897" t="n">
        <v>0</v>
      </c>
      <c r="L897" t="n">
        <v>0</v>
      </c>
      <c r="M897" t="n">
        <v>0</v>
      </c>
      <c r="N897" t="n">
        <v>0</v>
      </c>
      <c r="O897" t="n">
        <v>0</v>
      </c>
      <c r="P897" t="n">
        <v>0</v>
      </c>
      <c r="Q897" t="n">
        <v>0</v>
      </c>
      <c r="R897" s="2" t="inlineStr"/>
    </row>
    <row r="898" ht="15" customHeight="1">
      <c r="A898" t="inlineStr">
        <is>
          <t>A 23932-2025</t>
        </is>
      </c>
      <c r="B898" s="1" t="n">
        <v>45795.70912037037</v>
      </c>
      <c r="C898" s="1" t="n">
        <v>45990</v>
      </c>
      <c r="D898" t="inlineStr">
        <is>
          <t>ÖREBRO LÄN</t>
        </is>
      </c>
      <c r="E898" t="inlineStr">
        <is>
          <t>LINDESBERG</t>
        </is>
      </c>
      <c r="G898" t="n">
        <v>2</v>
      </c>
      <c r="H898" t="n">
        <v>0</v>
      </c>
      <c r="I898" t="n">
        <v>0</v>
      </c>
      <c r="J898" t="n">
        <v>0</v>
      </c>
      <c r="K898" t="n">
        <v>0</v>
      </c>
      <c r="L898" t="n">
        <v>0</v>
      </c>
      <c r="M898" t="n">
        <v>0</v>
      </c>
      <c r="N898" t="n">
        <v>0</v>
      </c>
      <c r="O898" t="n">
        <v>0</v>
      </c>
      <c r="P898" t="n">
        <v>0</v>
      </c>
      <c r="Q898" t="n">
        <v>0</v>
      </c>
      <c r="R898" s="2" t="inlineStr"/>
    </row>
    <row r="899" ht="15" customHeight="1">
      <c r="A899" t="inlineStr">
        <is>
          <t>A 37125-2023</t>
        </is>
      </c>
      <c r="B899" s="1" t="n">
        <v>45155.5653125</v>
      </c>
      <c r="C899" s="1" t="n">
        <v>45990</v>
      </c>
      <c r="D899" t="inlineStr">
        <is>
          <t>ÖREBRO LÄN</t>
        </is>
      </c>
      <c r="E899" t="inlineStr">
        <is>
          <t>LINDESBERG</t>
        </is>
      </c>
      <c r="G899" t="n">
        <v>2</v>
      </c>
      <c r="H899" t="n">
        <v>0</v>
      </c>
      <c r="I899" t="n">
        <v>0</v>
      </c>
      <c r="J899" t="n">
        <v>0</v>
      </c>
      <c r="K899" t="n">
        <v>0</v>
      </c>
      <c r="L899" t="n">
        <v>0</v>
      </c>
      <c r="M899" t="n">
        <v>0</v>
      </c>
      <c r="N899" t="n">
        <v>0</v>
      </c>
      <c r="O899" t="n">
        <v>0</v>
      </c>
      <c r="P899" t="n">
        <v>0</v>
      </c>
      <c r="Q899" t="n">
        <v>0</v>
      </c>
      <c r="R899" s="2" t="inlineStr"/>
    </row>
    <row r="900">
      <c r="A900" t="inlineStr">
        <is>
          <t>A 57944-2023</t>
        </is>
      </c>
      <c r="B900" s="1" t="n">
        <v>45244</v>
      </c>
      <c r="C900" s="1" t="n">
        <v>45990</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2025-11-29T10:24:43Z</dcterms:created>
  <dcterms:modified xmlns:dcterms="http://purl.org/dc/terms/" xmlns:xsi="http://www.w3.org/2001/XMLSchema-instance" xsi:type="dcterms:W3CDTF">2025-11-29T10:24:43Z</dcterms:modified>
</cp:coreProperties>
</file>