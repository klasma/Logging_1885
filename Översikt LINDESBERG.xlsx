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45811</v>
      </c>
      <c r="D2" t="inlineStr">
        <is>
          <t>ÖREBRO LÄN</t>
        </is>
      </c>
      <c r="E2" t="inlineStr">
        <is>
          <t>LINDESBERG</t>
        </is>
      </c>
      <c r="G2" t="n">
        <v>11.1</v>
      </c>
      <c r="H2" t="n">
        <v>14</v>
      </c>
      <c r="I2" t="n">
        <v>13</v>
      </c>
      <c r="J2" t="n">
        <v>6</v>
      </c>
      <c r="K2" t="n">
        <v>2</v>
      </c>
      <c r="L2" t="n">
        <v>1</v>
      </c>
      <c r="M2" t="n">
        <v>1</v>
      </c>
      <c r="N2" t="n">
        <v>0</v>
      </c>
      <c r="O2" t="n">
        <v>10</v>
      </c>
      <c r="P2" t="n">
        <v>4</v>
      </c>
      <c r="Q2" t="n">
        <v>31</v>
      </c>
      <c r="R2"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45811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45811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45811</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45811</v>
      </c>
      <c r="D6" t="inlineStr">
        <is>
          <t>ÖREBRO LÄN</t>
        </is>
      </c>
      <c r="E6" t="inlineStr">
        <is>
          <t>LINDESBERG</t>
        </is>
      </c>
      <c r="F6" t="inlineStr">
        <is>
          <t>Kommuner</t>
        </is>
      </c>
      <c r="G6" t="n">
        <v>9.800000000000001</v>
      </c>
      <c r="H6" t="n">
        <v>1</v>
      </c>
      <c r="I6" t="n">
        <v>4</v>
      </c>
      <c r="J6" t="n">
        <v>1</v>
      </c>
      <c r="K6" t="n">
        <v>0</v>
      </c>
      <c r="L6" t="n">
        <v>1</v>
      </c>
      <c r="M6" t="n">
        <v>0</v>
      </c>
      <c r="N6" t="n">
        <v>0</v>
      </c>
      <c r="O6" t="n">
        <v>2</v>
      </c>
      <c r="P6" t="n">
        <v>1</v>
      </c>
      <c r="Q6" t="n">
        <v>7</v>
      </c>
      <c r="R6" s="2" t="inlineStr">
        <is>
          <t>Ask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55478-2019</t>
        </is>
      </c>
      <c r="B7" s="1" t="n">
        <v>43759</v>
      </c>
      <c r="C7" s="1" t="n">
        <v>45811</v>
      </c>
      <c r="D7" t="inlineStr">
        <is>
          <t>ÖREBRO LÄN</t>
        </is>
      </c>
      <c r="E7" t="inlineStr">
        <is>
          <t>LINDESBERG</t>
        </is>
      </c>
      <c r="F7" t="inlineStr">
        <is>
          <t>Sveaskog</t>
        </is>
      </c>
      <c r="G7" t="n">
        <v>2.9</v>
      </c>
      <c r="H7" t="n">
        <v>0</v>
      </c>
      <c r="I7" t="n">
        <v>3</v>
      </c>
      <c r="J7" t="n">
        <v>3</v>
      </c>
      <c r="K7" t="n">
        <v>0</v>
      </c>
      <c r="L7" t="n">
        <v>0</v>
      </c>
      <c r="M7" t="n">
        <v>0</v>
      </c>
      <c r="N7" t="n">
        <v>0</v>
      </c>
      <c r="O7" t="n">
        <v>3</v>
      </c>
      <c r="P7" t="n">
        <v>0</v>
      </c>
      <c r="Q7" t="n">
        <v>6</v>
      </c>
      <c r="R7" s="2" t="inlineStr">
        <is>
          <t>Motaggsvamp
Skrovlig taggsvamp
Vedskivlav
Dropptaggsvamp
Mindre märgborre
Vedticka</t>
        </is>
      </c>
      <c r="S7">
        <f>HYPERLINK("https://klasma.github.io/Logging_1885/artfynd/A 55478-2019 artfynd.xlsx", "A 55478-2019")</f>
        <v/>
      </c>
      <c r="T7">
        <f>HYPERLINK("https://klasma.github.io/Logging_1885/kartor/A 55478-2019 karta.png", "A 55478-2019")</f>
        <v/>
      </c>
      <c r="V7">
        <f>HYPERLINK("https://klasma.github.io/Logging_1885/klagomål/A 55478-2019 FSC-klagomål.docx", "A 55478-2019")</f>
        <v/>
      </c>
      <c r="W7">
        <f>HYPERLINK("https://klasma.github.io/Logging_1885/klagomålsmail/A 55478-2019 FSC-klagomål mail.docx", "A 55478-2019")</f>
        <v/>
      </c>
      <c r="X7">
        <f>HYPERLINK("https://klasma.github.io/Logging_1885/tillsyn/A 55478-2019 tillsynsbegäran.docx", "A 55478-2019")</f>
        <v/>
      </c>
      <c r="Y7">
        <f>HYPERLINK("https://klasma.github.io/Logging_1885/tillsynsmail/A 55478-2019 tillsynsbegäran mail.docx", "A 55478-2019")</f>
        <v/>
      </c>
    </row>
    <row r="8" ht="15" customHeight="1">
      <c r="A8" t="inlineStr">
        <is>
          <t>A 38385-2021</t>
        </is>
      </c>
      <c r="B8" s="1" t="n">
        <v>44406</v>
      </c>
      <c r="C8" s="1" t="n">
        <v>45811</v>
      </c>
      <c r="D8" t="inlineStr">
        <is>
          <t>ÖREBRO LÄN</t>
        </is>
      </c>
      <c r="E8" t="inlineStr">
        <is>
          <t>LINDESBERG</t>
        </is>
      </c>
      <c r="F8" t="inlineStr">
        <is>
          <t>Sveaskog</t>
        </is>
      </c>
      <c r="G8" t="n">
        <v>2</v>
      </c>
      <c r="H8" t="n">
        <v>0</v>
      </c>
      <c r="I8" t="n">
        <v>5</v>
      </c>
      <c r="J8" t="n">
        <v>1</v>
      </c>
      <c r="K8" t="n">
        <v>0</v>
      </c>
      <c r="L8" t="n">
        <v>0</v>
      </c>
      <c r="M8" t="n">
        <v>0</v>
      </c>
      <c r="N8" t="n">
        <v>0</v>
      </c>
      <c r="O8" t="n">
        <v>1</v>
      </c>
      <c r="P8" t="n">
        <v>0</v>
      </c>
      <c r="Q8" t="n">
        <v>6</v>
      </c>
      <c r="R8" s="2" t="inlineStr">
        <is>
          <t>Grantaggsvamp
Bronshjon
Flagellkvastmossa
Mindre märgborre
Stor revmossa
Vedticka</t>
        </is>
      </c>
      <c r="S8">
        <f>HYPERLINK("https://klasma.github.io/Logging_1885/artfynd/A 38385-2021 artfynd.xlsx", "A 38385-2021")</f>
        <v/>
      </c>
      <c r="T8">
        <f>HYPERLINK("https://klasma.github.io/Logging_1885/kartor/A 38385-2021 karta.png", "A 38385-2021")</f>
        <v/>
      </c>
      <c r="V8">
        <f>HYPERLINK("https://klasma.github.io/Logging_1885/klagomål/A 38385-2021 FSC-klagomål.docx", "A 38385-2021")</f>
        <v/>
      </c>
      <c r="W8">
        <f>HYPERLINK("https://klasma.github.io/Logging_1885/klagomålsmail/A 38385-2021 FSC-klagomål mail.docx", "A 38385-2021")</f>
        <v/>
      </c>
      <c r="X8">
        <f>HYPERLINK("https://klasma.github.io/Logging_1885/tillsyn/A 38385-2021 tillsynsbegäran.docx", "A 38385-2021")</f>
        <v/>
      </c>
      <c r="Y8">
        <f>HYPERLINK("https://klasma.github.io/Logging_1885/tillsynsmail/A 38385-2021 tillsynsbegäran mail.docx", "A 38385-2021")</f>
        <v/>
      </c>
    </row>
    <row r="9" ht="15" customHeight="1">
      <c r="A9" t="inlineStr">
        <is>
          <t>A 28033-2023</t>
        </is>
      </c>
      <c r="B9" s="1" t="n">
        <v>45099</v>
      </c>
      <c r="C9" s="1" t="n">
        <v>45811</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43429-2024</t>
        </is>
      </c>
      <c r="B10" s="1" t="n">
        <v>45568</v>
      </c>
      <c r="C10" s="1" t="n">
        <v>45811</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56889-2019</t>
        </is>
      </c>
      <c r="B11" s="1" t="n">
        <v>43766</v>
      </c>
      <c r="C11" s="1" t="n">
        <v>45811</v>
      </c>
      <c r="D11" t="inlineStr">
        <is>
          <t>ÖREBRO LÄN</t>
        </is>
      </c>
      <c r="E11" t="inlineStr">
        <is>
          <t>LINDESBERG</t>
        </is>
      </c>
      <c r="F11" t="inlineStr">
        <is>
          <t>Sveaskog</t>
        </is>
      </c>
      <c r="G11" t="n">
        <v>8.4</v>
      </c>
      <c r="H11" t="n">
        <v>0</v>
      </c>
      <c r="I11" t="n">
        <v>3</v>
      </c>
      <c r="J11" t="n">
        <v>2</v>
      </c>
      <c r="K11" t="n">
        <v>0</v>
      </c>
      <c r="L11" t="n">
        <v>0</v>
      </c>
      <c r="M11" t="n">
        <v>0</v>
      </c>
      <c r="N11" t="n">
        <v>0</v>
      </c>
      <c r="O11" t="n">
        <v>2</v>
      </c>
      <c r="P11" t="n">
        <v>0</v>
      </c>
      <c r="Q11" t="n">
        <v>5</v>
      </c>
      <c r="R11" s="2" t="inlineStr">
        <is>
          <t>Motaggsvamp
Tallriska
Grovticka
Mindre märgborre
Skuggblåslav</t>
        </is>
      </c>
      <c r="S11">
        <f>HYPERLINK("https://klasma.github.io/Logging_1885/artfynd/A 56889-2019 artfynd.xlsx", "A 56889-2019")</f>
        <v/>
      </c>
      <c r="T11">
        <f>HYPERLINK("https://klasma.github.io/Logging_1885/kartor/A 56889-2019 karta.png", "A 56889-2019")</f>
        <v/>
      </c>
      <c r="V11">
        <f>HYPERLINK("https://klasma.github.io/Logging_1885/klagomål/A 56889-2019 FSC-klagomål.docx", "A 56889-2019")</f>
        <v/>
      </c>
      <c r="W11">
        <f>HYPERLINK("https://klasma.github.io/Logging_1885/klagomålsmail/A 56889-2019 FSC-klagomål mail.docx", "A 56889-2019")</f>
        <v/>
      </c>
      <c r="X11">
        <f>HYPERLINK("https://klasma.github.io/Logging_1885/tillsyn/A 56889-2019 tillsynsbegäran.docx", "A 56889-2019")</f>
        <v/>
      </c>
      <c r="Y11">
        <f>HYPERLINK("https://klasma.github.io/Logging_1885/tillsynsmail/A 56889-2019 tillsynsbegäran mail.docx", "A 56889-2019")</f>
        <v/>
      </c>
    </row>
    <row r="12" ht="15" customHeight="1">
      <c r="A12" t="inlineStr">
        <is>
          <t>A 55487-2019</t>
        </is>
      </c>
      <c r="B12" s="1" t="n">
        <v>43759</v>
      </c>
      <c r="C12" s="1" t="n">
        <v>45811</v>
      </c>
      <c r="D12" t="inlineStr">
        <is>
          <t>ÖREBRO LÄN</t>
        </is>
      </c>
      <c r="E12" t="inlineStr">
        <is>
          <t>LINDESBERG</t>
        </is>
      </c>
      <c r="F12" t="inlineStr">
        <is>
          <t>Sveaskog</t>
        </is>
      </c>
      <c r="G12" t="n">
        <v>3.2</v>
      </c>
      <c r="H12" t="n">
        <v>1</v>
      </c>
      <c r="I12" t="n">
        <v>0</v>
      </c>
      <c r="J12" t="n">
        <v>4</v>
      </c>
      <c r="K12" t="n">
        <v>0</v>
      </c>
      <c r="L12" t="n">
        <v>0</v>
      </c>
      <c r="M12" t="n">
        <v>0</v>
      </c>
      <c r="N12" t="n">
        <v>0</v>
      </c>
      <c r="O12" t="n">
        <v>4</v>
      </c>
      <c r="P12" t="n">
        <v>0</v>
      </c>
      <c r="Q12" t="n">
        <v>4</v>
      </c>
      <c r="R12" s="2" t="inlineStr">
        <is>
          <t>Motaggsvamp
Skrovlig taggsvamp
Spillkråka
Tallticka</t>
        </is>
      </c>
      <c r="S12">
        <f>HYPERLINK("https://klasma.github.io/Logging_1885/artfynd/A 55487-2019 artfynd.xlsx", "A 55487-2019")</f>
        <v/>
      </c>
      <c r="T12">
        <f>HYPERLINK("https://klasma.github.io/Logging_1885/kartor/A 55487-2019 karta.png", "A 55487-2019")</f>
        <v/>
      </c>
      <c r="V12">
        <f>HYPERLINK("https://klasma.github.io/Logging_1885/klagomål/A 55487-2019 FSC-klagomål.docx", "A 55487-2019")</f>
        <v/>
      </c>
      <c r="W12">
        <f>HYPERLINK("https://klasma.github.io/Logging_1885/klagomålsmail/A 55487-2019 FSC-klagomål mail.docx", "A 55487-2019")</f>
        <v/>
      </c>
      <c r="X12">
        <f>HYPERLINK("https://klasma.github.io/Logging_1885/tillsyn/A 55487-2019 tillsynsbegäran.docx", "A 55487-2019")</f>
        <v/>
      </c>
      <c r="Y12">
        <f>HYPERLINK("https://klasma.github.io/Logging_1885/tillsynsmail/A 55487-2019 tillsynsbegäran mail.docx", "A 55487-2019")</f>
        <v/>
      </c>
      <c r="Z12">
        <f>HYPERLINK("https://klasma.github.io/Logging_1885/fåglar/A 55487-2019 prioriterade fågelarter.docx", "A 55487-2019")</f>
        <v/>
      </c>
    </row>
    <row r="13" ht="15" customHeight="1">
      <c r="A13" t="inlineStr">
        <is>
          <t>A 38299-2020</t>
        </is>
      </c>
      <c r="B13" s="1" t="n">
        <v>44060</v>
      </c>
      <c r="C13" s="1" t="n">
        <v>45811</v>
      </c>
      <c r="D13" t="inlineStr">
        <is>
          <t>ÖREBRO LÄN</t>
        </is>
      </c>
      <c r="E13" t="inlineStr">
        <is>
          <t>LINDESBERG</t>
        </is>
      </c>
      <c r="G13" t="n">
        <v>2.9</v>
      </c>
      <c r="H13" t="n">
        <v>1</v>
      </c>
      <c r="I13" t="n">
        <v>1</v>
      </c>
      <c r="J13" t="n">
        <v>1</v>
      </c>
      <c r="K13" t="n">
        <v>1</v>
      </c>
      <c r="L13" t="n">
        <v>0</v>
      </c>
      <c r="M13" t="n">
        <v>0</v>
      </c>
      <c r="N13" t="n">
        <v>0</v>
      </c>
      <c r="O13" t="n">
        <v>2</v>
      </c>
      <c r="P13" t="n">
        <v>1</v>
      </c>
      <c r="Q13" t="n">
        <v>4</v>
      </c>
      <c r="R13" s="2" t="inlineStr">
        <is>
          <t>Honungsticka
Kandelabersvamp
Rävticka
Blåsippa</t>
        </is>
      </c>
      <c r="S13">
        <f>HYPERLINK("https://klasma.github.io/Logging_1885/artfynd/A 38299-2020 artfynd.xlsx", "A 38299-2020")</f>
        <v/>
      </c>
      <c r="T13">
        <f>HYPERLINK("https://klasma.github.io/Logging_1885/kartor/A 38299-2020 karta.png", "A 38299-2020")</f>
        <v/>
      </c>
      <c r="V13">
        <f>HYPERLINK("https://klasma.github.io/Logging_1885/klagomål/A 38299-2020 FSC-klagomål.docx", "A 38299-2020")</f>
        <v/>
      </c>
      <c r="W13">
        <f>HYPERLINK("https://klasma.github.io/Logging_1885/klagomålsmail/A 38299-2020 FSC-klagomål mail.docx", "A 38299-2020")</f>
        <v/>
      </c>
      <c r="X13">
        <f>HYPERLINK("https://klasma.github.io/Logging_1885/tillsyn/A 38299-2020 tillsynsbegäran.docx", "A 38299-2020")</f>
        <v/>
      </c>
      <c r="Y13">
        <f>HYPERLINK("https://klasma.github.io/Logging_1885/tillsynsmail/A 38299-2020 tillsynsbegäran mail.docx", "A 38299-2020")</f>
        <v/>
      </c>
    </row>
    <row r="14" ht="15" customHeight="1">
      <c r="A14" t="inlineStr">
        <is>
          <t>A 34293-2023</t>
        </is>
      </c>
      <c r="B14" s="1" t="n">
        <v>45138</v>
      </c>
      <c r="C14" s="1" t="n">
        <v>45811</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44794-2024</t>
        </is>
      </c>
      <c r="B15" s="1" t="n">
        <v>45574</v>
      </c>
      <c r="C15" s="1" t="n">
        <v>45811</v>
      </c>
      <c r="D15" t="inlineStr">
        <is>
          <t>ÖREBRO LÄN</t>
        </is>
      </c>
      <c r="E15" t="inlineStr">
        <is>
          <t>LINDESBERG</t>
        </is>
      </c>
      <c r="F15" t="inlineStr">
        <is>
          <t>Sveaskog</t>
        </is>
      </c>
      <c r="G15" t="n">
        <v>3.5</v>
      </c>
      <c r="H15" t="n">
        <v>0</v>
      </c>
      <c r="I15" t="n">
        <v>2</v>
      </c>
      <c r="J15" t="n">
        <v>2</v>
      </c>
      <c r="K15" t="n">
        <v>0</v>
      </c>
      <c r="L15" t="n">
        <v>0</v>
      </c>
      <c r="M15" t="n">
        <v>0</v>
      </c>
      <c r="N15" t="n">
        <v>0</v>
      </c>
      <c r="O15" t="n">
        <v>2</v>
      </c>
      <c r="P15" t="n">
        <v>0</v>
      </c>
      <c r="Q15" t="n">
        <v>4</v>
      </c>
      <c r="R15" s="2" t="inlineStr">
        <is>
          <t>Kandelabersvamp
Koralltaggsvamp
Dropptaggsvamp
Rödgul trumpetsvamp</t>
        </is>
      </c>
      <c r="S15">
        <f>HYPERLINK("https://klasma.github.io/Logging_1885/artfynd/A 44794-2024 artfynd.xlsx", "A 44794-2024")</f>
        <v/>
      </c>
      <c r="T15">
        <f>HYPERLINK("https://klasma.github.io/Logging_1885/kartor/A 44794-2024 karta.png", "A 44794-2024")</f>
        <v/>
      </c>
      <c r="V15">
        <f>HYPERLINK("https://klasma.github.io/Logging_1885/klagomål/A 44794-2024 FSC-klagomål.docx", "A 44794-2024")</f>
        <v/>
      </c>
      <c r="W15">
        <f>HYPERLINK("https://klasma.github.io/Logging_1885/klagomålsmail/A 44794-2024 FSC-klagomål mail.docx", "A 44794-2024")</f>
        <v/>
      </c>
      <c r="X15">
        <f>HYPERLINK("https://klasma.github.io/Logging_1885/tillsyn/A 44794-2024 tillsynsbegäran.docx", "A 44794-2024")</f>
        <v/>
      </c>
      <c r="Y15">
        <f>HYPERLINK("https://klasma.github.io/Logging_1885/tillsynsmail/A 44794-2024 tillsynsbegäran mail.docx", "A 44794-2024")</f>
        <v/>
      </c>
    </row>
    <row r="16" ht="15" customHeight="1">
      <c r="A16" t="inlineStr">
        <is>
          <t>A 26749-2025</t>
        </is>
      </c>
      <c r="B16" s="1" t="n">
        <v>45810</v>
      </c>
      <c r="C16" s="1" t="n">
        <v>45811</v>
      </c>
      <c r="D16" t="inlineStr">
        <is>
          <t>ÖREBRO LÄN</t>
        </is>
      </c>
      <c r="E16" t="inlineStr">
        <is>
          <t>LINDESBERG</t>
        </is>
      </c>
      <c r="G16" t="n">
        <v>4</v>
      </c>
      <c r="H16" t="n">
        <v>4</v>
      </c>
      <c r="I16" t="n">
        <v>0</v>
      </c>
      <c r="J16" t="n">
        <v>0</v>
      </c>
      <c r="K16" t="n">
        <v>1</v>
      </c>
      <c r="L16" t="n">
        <v>0</v>
      </c>
      <c r="M16" t="n">
        <v>0</v>
      </c>
      <c r="N16" t="n">
        <v>0</v>
      </c>
      <c r="O16" t="n">
        <v>1</v>
      </c>
      <c r="P16" t="n">
        <v>1</v>
      </c>
      <c r="Q16" t="n">
        <v>4</v>
      </c>
      <c r="R16" s="2" t="inlineStr">
        <is>
          <t>Knärot
Kungsfågel
Blåsippa
Revlummer</t>
        </is>
      </c>
      <c r="S16">
        <f>HYPERLINK("https://klasma.github.io/Logging_181885/artfynd/A 26749-2025 artfynd.xlsx", "A 26749-2025")</f>
        <v/>
      </c>
      <c r="T16">
        <f>HYPERLINK("https://klasma.github.io/Logging_181885/kartor/A 26749-2025 karta.png", "A 26749-2025")</f>
        <v/>
      </c>
      <c r="U16">
        <f>HYPERLINK("https://klasma.github.io/Logging_181885/knärot/A 26749-2025 karta knärot.png", "A 26749-2025")</f>
        <v/>
      </c>
      <c r="V16">
        <f>HYPERLINK("https://klasma.github.io/Logging_181885/klagomål/A 26749-2025 FSC-klagomål.docx", "A 26749-2025")</f>
        <v/>
      </c>
      <c r="W16">
        <f>HYPERLINK("https://klasma.github.io/Logging_181885/klagomålsmail/A 26749-2025 FSC-klagomål mail.docx", "A 26749-2025")</f>
        <v/>
      </c>
      <c r="X16">
        <f>HYPERLINK("https://klasma.github.io/Logging_181885/tillsyn/A 26749-2025 tillsynsbegäran.docx", "A 26749-2025")</f>
        <v/>
      </c>
      <c r="Y16">
        <f>HYPERLINK("https://klasma.github.io/Logging_181885/tillsynsmail/A 26749-2025 tillsynsbegäran mail.docx", "A 26749-2025")</f>
        <v/>
      </c>
      <c r="Z16">
        <f>HYPERLINK("https://klasma.github.io/Logging_181885/fåglar/A 26749-2025 prioriterade fågelarter.docx", "A 26749-2025")</f>
        <v/>
      </c>
    </row>
    <row r="17" ht="15" customHeight="1">
      <c r="A17" t="inlineStr">
        <is>
          <t>A 49419-2019</t>
        </is>
      </c>
      <c r="B17" s="1" t="n">
        <v>43732</v>
      </c>
      <c r="C17" s="1" t="n">
        <v>45811</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45811</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45811</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45811</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45811</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45811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45811</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45811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45811</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45811</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45811</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45811</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45811</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45811</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45811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45811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45811</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45811</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45811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45811</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45811</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45811</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45811</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45811</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45811</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45811</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45811</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45811</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45811</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45811</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45811</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45811</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45811</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45811</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45811</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45811</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45811</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45811</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45811</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45811</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45811</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45811</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45811</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45811</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45811</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45811</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45811</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45811</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45811</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45811</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45811</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45811</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45811</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45811</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45811</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45811</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45811</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45811</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45811</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45811</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45811</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45811</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45811</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45811</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45811</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45811</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45811</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45811</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45811</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45811</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45811</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45811</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45811</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45811</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45811</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45811</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45811</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45811</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45811</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45811</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45811</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45811</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45811</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45811</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45811</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45811</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45811</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45811</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45811</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45811</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45811</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45811</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45811</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45811</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45811</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45811</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45811</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45811</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45811</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45811</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45811</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45811</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45811</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45811</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45811</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45811</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45811</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45811</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45811</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45811</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45811</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45811</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45811</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45811</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45811</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45811</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45811</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45811</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45811</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45811</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45811</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45811</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45811</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45811</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45811</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45811</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45811</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45811</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45811</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45811</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45811</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45811</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45811</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45811</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45811</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45811</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45811</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45811</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45811</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45811</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45811</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45811</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45811</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45811</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45811</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45811</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45811</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45811</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45811</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45811</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45811</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45811</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45811</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45811</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45811</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45811</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45811</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45811</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45811</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45811</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45811</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45811</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45811</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45811</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45811</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45811</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45811</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45811</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45811</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45811</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45811</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45811</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45811</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45811</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45811</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45811</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45811</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45811</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45811</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45811</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45811</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45811</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45811</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45811</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45811</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45811</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45811</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45811</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45811</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45811</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45811</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45811</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45811</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45811</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45811</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45811</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45811</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45811</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45811</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45811</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45811</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45811</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45811</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45811</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45811</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45811</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45811</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45811</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45811</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45811</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45811</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45811</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45811</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45811</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45811</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45811</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45811</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45811</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45811</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45811</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45811</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45811</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45811</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45811</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45811</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45811</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45811</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45811</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45811</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45811</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45811</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45811</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45811</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45811</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45811</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45811</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45811</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45811</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45811</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45811</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45811</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45811</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45811</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45811</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45811</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45811</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45811</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45811</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45811</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45811</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45811</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45811</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45811</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45811</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45811</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45811</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45811</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45811</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45811</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45811</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45811</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45811</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45811</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45811</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45811</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45811</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45811</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45811</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45811</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45811</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45811</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45811</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45811</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45811</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45811</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45811</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45811</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45811</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45811</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45811</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45811</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45811</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45811</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45811</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45811</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45811</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45811</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45811</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45811</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45811</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45811</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45811</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45811</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45811</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45811</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45811</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45811</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45811</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45811</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45811</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45811</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45811</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45811</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45811</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45811</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45811</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45811</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45811</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45811</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45811</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45811</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45811</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45811</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45811</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45811</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45811</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45811</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45811</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45811</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45811</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45811</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45811</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45811</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45811</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45811</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45811</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45811</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45811</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45811</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45811</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45811</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45811</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45811</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45811</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45811</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45811</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45811</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45811</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45811</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45811</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45811</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45811</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45811</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45811</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45811</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45811</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45811</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45811</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45811</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45811</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45811</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45811</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45811</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45811</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45811</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45811</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45811</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45811</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45811</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45811</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45811</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45811</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45811</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45811</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45811</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45811</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45811</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45811</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45811</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45811</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45811</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45811</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45811</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45811</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45811</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45811</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45811</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45811</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45811</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45811</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45811</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45811</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45811</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45811</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45811</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45811</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45811</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45811</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45811</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45811</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45811</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45811</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45811</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45811</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45811</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45811</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45811</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45811</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45811</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45811</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45811</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45811</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45811</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45811</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45811</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45811</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45811</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45811</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45811</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45811</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45811</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45811</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45811</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45811</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45811</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45811</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45811</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45811</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45811</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45811</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45811</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45811</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45811</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45811</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45811</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45811</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45811</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45811</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45811</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45811</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45811</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45811</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45811</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45811</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45811</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45811</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45811</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45811</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45811</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45811</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45811</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45811</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45811</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45811</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45811</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45811</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45811</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45811</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45811</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45811</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45811</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45811</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45811</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45811</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45811</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45811</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45811</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45811</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45811</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45811</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45811</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45811</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45811</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45811</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45811</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45811</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45811</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45811</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45811</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45811</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45811</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45811</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45811</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45811</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45811</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45811</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45811</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45811</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45811</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45811</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45811</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45811</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45811</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45811</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45811</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45811</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45811</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45811</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45811</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45811</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45811</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45811</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45811</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45811</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45811</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45811</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45811</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45811</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45811</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45811</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45811</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45811</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45811</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45811</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45811</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45811</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45811</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45811</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45811</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45811</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45811</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45811</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45811</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45811</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45811</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45811</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45811</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45811</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45811</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45811</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45811</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45811</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45811</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45811</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45811</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45811</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45811</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45811</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45811</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45811</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45811</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45811</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45811</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45811</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45811</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45811</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45811</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45811</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45811</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45811</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45811</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45811</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45811</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45811</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45811</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45811</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45811</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45811</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45811</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45811</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45811</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45811</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45811</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45811</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45811</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45811</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45811</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45811</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45811</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45811</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45811</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45811</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45811</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45811</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45811</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45811</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45811</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45811</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45811</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45811</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45811</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45811</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45811</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45811</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45811</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45811</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45811</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45811</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45811</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45811</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45811</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45811</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45811</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45811</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45811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45811</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45811</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45811</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45811</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45811</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45811</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45811</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45811</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45811</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45811</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45811</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45811</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45811</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45811</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45811</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45811</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45811</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45811</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45811</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45811</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45811</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45811</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45811</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45811</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45811</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45811</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45811</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45811</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45811</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45811</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45811</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45811</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45811</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45811</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45811</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45811</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45811</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45811</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45811</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45811</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45811</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45811</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45811</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45811</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45811</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45811</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45811</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45811</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45811</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45811</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45811</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45811</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45811</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45811</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45811</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45811</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45811</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45811</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45811</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45811</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45811</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45811</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45811</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45811</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45811</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45811</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45811</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45811</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45811</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45811</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45811</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45811</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45811</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45811</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45811</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45811</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45811</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45811</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45811</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45811</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45811</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45811</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45811</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45811</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45811</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45811</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45811</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45811</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45811</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45811</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45811</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45811</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45811</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45811</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45811</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45811</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45811</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45811</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45811</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45811</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45811</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45811</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45811</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45811</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45811</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45811</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45811</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45811</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45811</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45811</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45811</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45811</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45811</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45811</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45811</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45811</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45811</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45811</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45811</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45811</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45811</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45811</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45811</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45811</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45811</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45811</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45811</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45811</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45811</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45811</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45811</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45811</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45811</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45811</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45811</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45811</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45811</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45811</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45811</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45811</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45811</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45811</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45811</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45811</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45811</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45811</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45811</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45811</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45811</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45811</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45811</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45811</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45811</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45811</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45811</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45811</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45811</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45811</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45811</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45811</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45811</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45811</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45811</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45811</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45811</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45811</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45811</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45811</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45811</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45811</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45811</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45811</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45811</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45811</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45811</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45811</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45811</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45811</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45811</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45811</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45811</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45811</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45811</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45811</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45811</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45811</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45811</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45811</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45811</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45811</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45811</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45811</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45811</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45811</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45811</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45811</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45811</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45811</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45811</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45811</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45811</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45811</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45811</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45811</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45811</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45811</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45811</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45811</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45811</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45811</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45811</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45811</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45811</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45811</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45811</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45811</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45811</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45811</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45811</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45811</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45811</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45811</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45811</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45811</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45811</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45811</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45811</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45811</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45811</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45811</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45811</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45811</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45811</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45811</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45811</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45811</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45811</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45811</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45811</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45811</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45811</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45811</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45811</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45811</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45811</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45811</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45811</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45811</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45811</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45811</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45811</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45811</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45811</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45811</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45811</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45811</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45811</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45811</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45811</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45811</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45811</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45811</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45811</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45811</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45811</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45811</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45811</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45811</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45811</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45811</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45811</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45811</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45811</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45811</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45811</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45811</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45811</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45811</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45811</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45811</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45811</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45811</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45811</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45811</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45811</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45811</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45811</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45811</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45811</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45811</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45811</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45811</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45811</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45811</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45811</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45811</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45811</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45811</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45811</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45811</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45811</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45811</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45811</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45811</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45811</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45811</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45811</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45811</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45811</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45811</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45811</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45811</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45811</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45811</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45811</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45811</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45811</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45811</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45811</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45811</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45811</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45811</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45811</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45811</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45811</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45811</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45811</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45811</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45811</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45811</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45811</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45811</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45811</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45811</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45811</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45811</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45811</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45811</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45811</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45811</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45811</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45811</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45811</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45811</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45811</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45811</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45811</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45811</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45811</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45811</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45811</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45811</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45811</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45811</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45811</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45811</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45811</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45811</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45811</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45811</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45811</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45811</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45811</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45811</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45811</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45811</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45811</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45811</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45811</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45811</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45811</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45811</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45811</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45811</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45811</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45811</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45811</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45811</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45811</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45811</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45811</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45811</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45811</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45811</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45811</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45811</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45811</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45811</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45811</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45811</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45811</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45811</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45811</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45811</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45811</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45811</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45811</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45811</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45811</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45811</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45811</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45811</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45811</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45811</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45811</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45811</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45811</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45811</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45811</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45811</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45811</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45811</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45811</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45811</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45811</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45811</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45811</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45811</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45811</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45811</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45811</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45811</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45811</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45811</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45811</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45811</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45811</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45811</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45811</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45811</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45811</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45811</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45811</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45811</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45811</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45811</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45811</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45811</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45811</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45811</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45811</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45811</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45811</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45811</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45811</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45811</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45811</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45811</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45811</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45811</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45811</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45811</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45811</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45811</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45811</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45811</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45811</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45811</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45811</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45811</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45811</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45811</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45811</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45811</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45811</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45811</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45811</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45811</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45811</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45811</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45811</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45811</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45811</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45811</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45811</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45811</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45811</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45811</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45811</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45811</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45811</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45811</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45811</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45811</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45811</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45811</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45811</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45811</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45811</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45811</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45811</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45811</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45811</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45811</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45811</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45811</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45811</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45811</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45811</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45811</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45811</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45811</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45811</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45811</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45811</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45811</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45811</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45811</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45811</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45811</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45811</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45811</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45811</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45811</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45811</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45811</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45811</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45811</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45811</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45811</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45811</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45811</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45811</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45811</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45811</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45811</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45811</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45811</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45811</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45811</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45811</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45811</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45811</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45811</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45811</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45811</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45811</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45811</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45811</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45811</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45811</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45811</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45811</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45811</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45811</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45811</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45811</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45811</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45811</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45811</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45811</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45811</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45811</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45811</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45811</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45811</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45811</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45811</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45811</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45811</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45811</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45811</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45811</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45811</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45811</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45811</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45811</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45811</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45811</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45811</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45811</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45811</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45811</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45811</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45811</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45811</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45811</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45811</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45811</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45811</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45811</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45811</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45811</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45811</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45811</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45811</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45811</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45811</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45811</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45811</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45811</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45811</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45811</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45811</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45811</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45811</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45811</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45811</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45811</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45811</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45811</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45811</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45811</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45811</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45811</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45811</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45811</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45811</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45811</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45811</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45811</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45811</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45811</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45811</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45811</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45811</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45811</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45811</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45811</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45811</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45811</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45811</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45811</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45811</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45811</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45811</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45811</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45811</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45811</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45811</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45811</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45811</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45811</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45811</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45811</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45811</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45811</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45811</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45811</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45811</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45811</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45811</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45811</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45811</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45811</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45811</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45811</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45811</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45811</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45811</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45811</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45811</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45811</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45811</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45811</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45811</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45811</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45811</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45811</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45811</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45811</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45811</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45811</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45811</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45811</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45811</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45811</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45811</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45811</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45811</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45811</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45811</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45811</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45811</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45811</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45811</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45811</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45811</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45811</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45811</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45811</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45811</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45811</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45811</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45811</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45811</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45811</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45811</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45811</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45811</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45811</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45811</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45811</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45811</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45811</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45811</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45811</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45811</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45811</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45811</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45811</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45811</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45811</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45811</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45811</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45811</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45811</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45811</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45811</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45811</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45811</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45811</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45811</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45811</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45811</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45811</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45811</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45811</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45811</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45811</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45811</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45811</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45811</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45811</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45811</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45811</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45811</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45811</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45811</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45811</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45811</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45811</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45811</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45811</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45811</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45811</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45811</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45811</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45811</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45811</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45811</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45811</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45811</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45811</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45811</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45811</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45811</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45811</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45811</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45811</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45811</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45811</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45811</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45811</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45811</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45811</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45811</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45811</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45811</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45811</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45811</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45811</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45811</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45811</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45811</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45811</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45811</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45811</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45811</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45811</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45811</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45811</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45811</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45811</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45811</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45811</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45811</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45811</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45811</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45811</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45811</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45811</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45811</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45811</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45811</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45811</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45811</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45811</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45811</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45811</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45811</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45811</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45811</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45811</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45811</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45811</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45811</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45811</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45811</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45811</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45811</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45811</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45811</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45811</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45811</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45811</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45811</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45811</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45811</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45811</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45811</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45811</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45811</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45811</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45811</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45811</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45811</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45811</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45811</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45811</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45811</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45811</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45811</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45811</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45811</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45811</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45811</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45811</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45811</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45811</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45811</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45811</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45811</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45811</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45811</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45811</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45811</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45811</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45811</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45811</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45811</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45811</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45811</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45811</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45811</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45811</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45811</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45811</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45811</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45811</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45811</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45811</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45811</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45811</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45811</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45811</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45811</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45811</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45811</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45811</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45811</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45811</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45811</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45811</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45811</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45811</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45811</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45811</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45811</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45811</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45811</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45811</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45811</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45811</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45811</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45811</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45811</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45811</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45811</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45811</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45811</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45811</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45811</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45811</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45811</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45811</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45811</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45811</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45811</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45811</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45811</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45811</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45811</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45811</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45811</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45811</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45811</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45811</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45811</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45811</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45811</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45811</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45811</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45811</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45811</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45811</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45811</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45811</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45811</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45811</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45811</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45811</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45811</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45811</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45811</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45811</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45811</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45811</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45811</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45811</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45811</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45811</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45811</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45811</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45811</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45811</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45811</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45811</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45811</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45811</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45811</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45811</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45811</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45811</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45811</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45811</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45811</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45811</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45811</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45811</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45811</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45811</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45811</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45811</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45811</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45811</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45811</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45811</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45811</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45811</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45811</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45811</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45811</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45811</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45811</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45811</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45811</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45811</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45811</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45811</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45811</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45811</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45811</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45811</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45811</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45811</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45811</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45811</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45811</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45811</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45811</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45811</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45811</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45811</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45811</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45811</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45811</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45811</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45811</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45811</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45811</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45811</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45811</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45811</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45811</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45811</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45811</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45811</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45811</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45811</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45811</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45811</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45811</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45811</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45811</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45811</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45811</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45811</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45811</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45811</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45811</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45811</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45811</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45811</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45811</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45811</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45811</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45811</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45811</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45811</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45811</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45811</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45811</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45811</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45811</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45811</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45811</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45811</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45811</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45811</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45811</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45811</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45811</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45811</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45811</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45811</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45811</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45811</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45811</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45811</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45811</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45811</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45811</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45811</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45811</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45811</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45811</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45811</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45811</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45811</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45811</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45811</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45811</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45811</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45811</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45811</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45811</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45811</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45811</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45811</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45811</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45811</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45811</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45811</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45811</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45811</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45811</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45811</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45811</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45811</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45811</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45811</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45811</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45811</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45811</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45811</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45811</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45811</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45811</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45811</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23844-2025</t>
        </is>
      </c>
      <c r="B1672" s="1" t="n">
        <v>45793</v>
      </c>
      <c r="C1672" s="1" t="n">
        <v>45811</v>
      </c>
      <c r="D1672" t="inlineStr">
        <is>
          <t>ÖREBRO LÄN</t>
        </is>
      </c>
      <c r="E1672" t="inlineStr">
        <is>
          <t>LINDESBERG</t>
        </is>
      </c>
      <c r="F1672" t="inlineStr">
        <is>
          <t>Sveaskog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45811</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45811</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45811</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23934-2025</t>
        </is>
      </c>
      <c r="B1676" s="1" t="n">
        <v>45795</v>
      </c>
      <c r="C1676" s="1" t="n">
        <v>45811</v>
      </c>
      <c r="D1676" t="inlineStr">
        <is>
          <t>ÖREBRO LÄN</t>
        </is>
      </c>
      <c r="E1676" t="inlineStr">
        <is>
          <t>LINDESBERG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45811</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45811</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24017-2025</t>
        </is>
      </c>
      <c r="B1679" s="1" t="n">
        <v>45796</v>
      </c>
      <c r="C1679" s="1" t="n">
        <v>45811</v>
      </c>
      <c r="D1679" t="inlineStr">
        <is>
          <t>ÖREBRO LÄN</t>
        </is>
      </c>
      <c r="E1679" t="inlineStr">
        <is>
          <t>LINDESBERG</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45811</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45811</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24107-2025</t>
        </is>
      </c>
      <c r="B1682" s="1" t="n">
        <v>45796</v>
      </c>
      <c r="C1682" s="1" t="n">
        <v>45811</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45811</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45811</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25843-2025</t>
        </is>
      </c>
      <c r="B1685" s="1" t="n">
        <v>45804</v>
      </c>
      <c r="C1685" s="1" t="n">
        <v>45811</v>
      </c>
      <c r="D1685" t="inlineStr">
        <is>
          <t>ÖREBRO LÄN</t>
        </is>
      </c>
      <c r="E1685" t="inlineStr">
        <is>
          <t>LINDESBERG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25842-2025</t>
        </is>
      </c>
      <c r="B1686" s="1" t="n">
        <v>45804</v>
      </c>
      <c r="C1686" s="1" t="n">
        <v>45811</v>
      </c>
      <c r="D1686" t="inlineStr">
        <is>
          <t>ÖREBRO LÄN</t>
        </is>
      </c>
      <c r="E1686" t="inlineStr">
        <is>
          <t>LINDESBERG</t>
        </is>
      </c>
      <c r="G1686" t="n">
        <v>1.7</v>
      </c>
      <c r="H1686" t="n">
        <v>0</v>
      </c>
      <c r="I1686" t="n">
        <v>0</v>
      </c>
      <c r="J1686" t="n">
        <v>0</v>
      </c>
      <c r="K1686" t="n">
        <v>0</v>
      </c>
      <c r="L1686" t="n">
        <v>0</v>
      </c>
      <c r="M1686" t="n">
        <v>0</v>
      </c>
      <c r="N1686" t="n">
        <v>0</v>
      </c>
      <c r="O1686" t="n">
        <v>0</v>
      </c>
      <c r="P1686" t="n">
        <v>0</v>
      </c>
      <c r="Q1686" t="n">
        <v>0</v>
      </c>
      <c r="R1686" s="2" t="inlineStr"/>
    </row>
    <row r="1687">
      <c r="A1687" t="inlineStr">
        <is>
          <t>A 26016-2025</t>
        </is>
      </c>
      <c r="B1687" s="1" t="n">
        <v>45804</v>
      </c>
      <c r="C1687" s="1" t="n">
        <v>45811</v>
      </c>
      <c r="D1687" t="inlineStr">
        <is>
          <t>ÖREBRO LÄN</t>
        </is>
      </c>
      <c r="E1687" t="inlineStr">
        <is>
          <t>LINDESBERG</t>
        </is>
      </c>
      <c r="G1687" t="n">
        <v>10</v>
      </c>
      <c r="H1687" t="n">
        <v>0</v>
      </c>
      <c r="I1687" t="n">
        <v>0</v>
      </c>
      <c r="J1687" t="n">
        <v>0</v>
      </c>
      <c r="K1687" t="n">
        <v>0</v>
      </c>
      <c r="L1687" t="n">
        <v>0</v>
      </c>
      <c r="M1687" t="n">
        <v>0</v>
      </c>
      <c r="N1687" t="n">
        <v>0</v>
      </c>
      <c r="O1687" t="n">
        <v>0</v>
      </c>
      <c r="P1687" t="n">
        <v>0</v>
      </c>
      <c r="Q1687" t="n">
        <v>0</v>
      </c>
      <c r="R1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2025-06-03T18:11:08Z</dcterms:created>
  <dcterms:modified xmlns:dcterms="http://purl.org/dc/terms/" xmlns:xsi="http://www.w3.org/2001/XMLSchema-instance" xsi:type="dcterms:W3CDTF">2025-06-03T18:11:09Z</dcterms:modified>
</cp:coreProperties>
</file>