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46147</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46147</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46147</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46147</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46147</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46147</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46147</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46147</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39189-2025</t>
        </is>
      </c>
      <c r="B17" s="1" t="n">
        <v>45888.67560185185</v>
      </c>
      <c r="C17" s="1" t="n">
        <v>46147</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34293-2023</t>
        </is>
      </c>
      <c r="B18" s="1" t="n">
        <v>45138</v>
      </c>
      <c r="C18" s="1" t="n">
        <v>46147</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57803-2021</t>
        </is>
      </c>
      <c r="B19" s="1" t="n">
        <v>44484</v>
      </c>
      <c r="C19" s="1" t="n">
        <v>46147</v>
      </c>
      <c r="D19" t="inlineStr">
        <is>
          <t>ÖREBRO LÄN</t>
        </is>
      </c>
      <c r="E19" t="inlineStr">
        <is>
          <t>LINDESBERG</t>
        </is>
      </c>
      <c r="G19" t="n">
        <v>9.4</v>
      </c>
      <c r="H19" t="n">
        <v>2</v>
      </c>
      <c r="I19" t="n">
        <v>0</v>
      </c>
      <c r="J19" t="n">
        <v>2</v>
      </c>
      <c r="K19" t="n">
        <v>0</v>
      </c>
      <c r="L19" t="n">
        <v>0</v>
      </c>
      <c r="M19" t="n">
        <v>0</v>
      </c>
      <c r="N19" t="n">
        <v>0</v>
      </c>
      <c r="O19" t="n">
        <v>2</v>
      </c>
      <c r="P19" t="n">
        <v>0</v>
      </c>
      <c r="Q19" t="n">
        <v>3</v>
      </c>
      <c r="R19" s="2" t="inlineStr">
        <is>
          <t>Motaggsvamp
Talltita
Tjäder</t>
        </is>
      </c>
      <c r="S19">
        <f>HYPERLINK("https://klasma.github.io/Logging_1885/artfynd/A 57803-2021 artfynd.xlsx", "A 57803-2021")</f>
        <v/>
      </c>
      <c r="T19">
        <f>HYPERLINK("https://klasma.github.io/Logging_1885/kartor/A 57803-2021 karta.png", "A 57803-2021")</f>
        <v/>
      </c>
      <c r="V19">
        <f>HYPERLINK("https://klasma.github.io/Logging_1885/klagomål/A 57803-2021 FSC-klagomål.docx", "A 57803-2021")</f>
        <v/>
      </c>
      <c r="W19">
        <f>HYPERLINK("https://klasma.github.io/Logging_1885/klagomålsmail/A 57803-2021 FSC-klagomål mail.docx", "A 57803-2021")</f>
        <v/>
      </c>
      <c r="X19">
        <f>HYPERLINK("https://klasma.github.io/Logging_1885/tillsyn/A 57803-2021 tillsynsbegäran.docx", "A 57803-2021")</f>
        <v/>
      </c>
      <c r="Y19">
        <f>HYPERLINK("https://klasma.github.io/Logging_1885/tillsynsmail/A 57803-2021 tillsynsbegäran mail.docx", "A 57803-2021")</f>
        <v/>
      </c>
      <c r="Z19">
        <f>HYPERLINK("https://klasma.github.io/Logging_1885/fåglar/A 57803-2021 prioriterade fågelarter.docx", "A 57803-2021")</f>
        <v/>
      </c>
    </row>
    <row r="20" ht="15" customHeight="1">
      <c r="A20" t="inlineStr">
        <is>
          <t>A 39193-2025</t>
        </is>
      </c>
      <c r="B20" s="1" t="n">
        <v>45888.67765046296</v>
      </c>
      <c r="C20" s="1" t="n">
        <v>46147</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28035-2023</t>
        </is>
      </c>
      <c r="B21" s="1" t="n">
        <v>45099</v>
      </c>
      <c r="C21" s="1" t="n">
        <v>46147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46147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42636-2025</t>
        </is>
      </c>
      <c r="B23" s="1" t="n">
        <v>45905.90789351852</v>
      </c>
      <c r="C23" s="1" t="n">
        <v>46147</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46147</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34266-2025</t>
        </is>
      </c>
      <c r="B25" s="1" t="n">
        <v>45845.75751157408</v>
      </c>
      <c r="C25" s="1" t="n">
        <v>46147</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46147</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8195-2026</t>
        </is>
      </c>
      <c r="B27" s="1" t="n">
        <v>46064.43017361111</v>
      </c>
      <c r="C27" s="1" t="n">
        <v>46147</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54020-2024</t>
        </is>
      </c>
      <c r="B28" s="1" t="n">
        <v>45616.38605324074</v>
      </c>
      <c r="C28" s="1" t="n">
        <v>46147</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54332-2021</t>
        </is>
      </c>
      <c r="B29" s="1" t="n">
        <v>44472</v>
      </c>
      <c r="C29" s="1" t="n">
        <v>46147</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34292-2023</t>
        </is>
      </c>
      <c r="B30" s="1" t="n">
        <v>45138</v>
      </c>
      <c r="C30" s="1" t="n">
        <v>46147</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1475-2025</t>
        </is>
      </c>
      <c r="B31" s="1" t="n">
        <v>45670</v>
      </c>
      <c r="C31" s="1" t="n">
        <v>46147</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42629-2025</t>
        </is>
      </c>
      <c r="B32" s="1" t="n">
        <v>45905.88938657408</v>
      </c>
      <c r="C32" s="1" t="n">
        <v>46147</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8189-2026</t>
        </is>
      </c>
      <c r="B33" s="1" t="n">
        <v>46064.42460648148</v>
      </c>
      <c r="C33" s="1" t="n">
        <v>46147</v>
      </c>
      <c r="D33" t="inlineStr">
        <is>
          <t>ÖREBRO LÄN</t>
        </is>
      </c>
      <c r="E33" t="inlineStr">
        <is>
          <t>LINDESBERG</t>
        </is>
      </c>
      <c r="G33" t="n">
        <v>1.4</v>
      </c>
      <c r="H33" t="n">
        <v>2</v>
      </c>
      <c r="I33" t="n">
        <v>0</v>
      </c>
      <c r="J33" t="n">
        <v>1</v>
      </c>
      <c r="K33" t="n">
        <v>0</v>
      </c>
      <c r="L33" t="n">
        <v>0</v>
      </c>
      <c r="M33" t="n">
        <v>0</v>
      </c>
      <c r="N33" t="n">
        <v>0</v>
      </c>
      <c r="O33" t="n">
        <v>1</v>
      </c>
      <c r="P33" t="n">
        <v>0</v>
      </c>
      <c r="Q33" t="n">
        <v>2</v>
      </c>
      <c r="R33" s="2" t="inlineStr">
        <is>
          <t>Spillkråka
Kungsfågel</t>
        </is>
      </c>
      <c r="S33">
        <f>HYPERLINK("https://klasma.github.io/Logging_1885/artfynd/A 8189-2026 artfynd.xlsx", "A 8189-2026")</f>
        <v/>
      </c>
      <c r="T33">
        <f>HYPERLINK("https://klasma.github.io/Logging_1885/kartor/A 8189-2026 karta.png", "A 8189-2026")</f>
        <v/>
      </c>
      <c r="V33">
        <f>HYPERLINK("https://klasma.github.io/Logging_1885/klagomål/A 8189-2026 FSC-klagomål.docx", "A 8189-2026")</f>
        <v/>
      </c>
      <c r="W33">
        <f>HYPERLINK("https://klasma.github.io/Logging_1885/klagomålsmail/A 8189-2026 FSC-klagomål mail.docx", "A 8189-2026")</f>
        <v/>
      </c>
      <c r="X33">
        <f>HYPERLINK("https://klasma.github.io/Logging_1885/tillsyn/A 8189-2026 tillsynsbegäran.docx", "A 8189-2026")</f>
        <v/>
      </c>
      <c r="Y33">
        <f>HYPERLINK("https://klasma.github.io/Logging_1885/tillsynsmail/A 8189-2026 tillsynsbegäran mail.docx", "A 8189-2026")</f>
        <v/>
      </c>
      <c r="Z33">
        <f>HYPERLINK("https://klasma.github.io/Logging_1885/fåglar/A 8189-2026 prioriterade fågelarter.docx", "A 8189-2026")</f>
        <v/>
      </c>
    </row>
    <row r="34" ht="15" customHeight="1">
      <c r="A34" t="inlineStr">
        <is>
          <t>A 51851-2025</t>
        </is>
      </c>
      <c r="B34" s="1" t="n">
        <v>45952.35611111111</v>
      </c>
      <c r="C34" s="1" t="n">
        <v>46147</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46147</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9567-2026</t>
        </is>
      </c>
      <c r="B36" s="1" t="n">
        <v>46071.65692129629</v>
      </c>
      <c r="C36" s="1" t="n">
        <v>46147</v>
      </c>
      <c r="D36" t="inlineStr">
        <is>
          <t>ÖREBRO LÄN</t>
        </is>
      </c>
      <c r="E36" t="inlineStr">
        <is>
          <t>LINDESBERG</t>
        </is>
      </c>
      <c r="F36" t="inlineStr">
        <is>
          <t>Kommuner</t>
        </is>
      </c>
      <c r="G36" t="n">
        <v>1.4</v>
      </c>
      <c r="H36" t="n">
        <v>0</v>
      </c>
      <c r="I36" t="n">
        <v>1</v>
      </c>
      <c r="J36" t="n">
        <v>1</v>
      </c>
      <c r="K36" t="n">
        <v>0</v>
      </c>
      <c r="L36" t="n">
        <v>0</v>
      </c>
      <c r="M36" t="n">
        <v>0</v>
      </c>
      <c r="N36" t="n">
        <v>0</v>
      </c>
      <c r="O36" t="n">
        <v>1</v>
      </c>
      <c r="P36" t="n">
        <v>0</v>
      </c>
      <c r="Q36" t="n">
        <v>2</v>
      </c>
      <c r="R36" s="2" t="inlineStr">
        <is>
          <t>Ullticka
Thomsons trägnagare</t>
        </is>
      </c>
      <c r="S36">
        <f>HYPERLINK("https://klasma.github.io/Logging_1885/artfynd/A 9567-2026 artfynd.xlsx", "A 9567-2026")</f>
        <v/>
      </c>
      <c r="T36">
        <f>HYPERLINK("https://klasma.github.io/Logging_1885/kartor/A 9567-2026 karta.png", "A 9567-2026")</f>
        <v/>
      </c>
      <c r="V36">
        <f>HYPERLINK("https://klasma.github.io/Logging_1885/klagomål/A 9567-2026 FSC-klagomål.docx", "A 9567-2026")</f>
        <v/>
      </c>
      <c r="W36">
        <f>HYPERLINK("https://klasma.github.io/Logging_1885/klagomålsmail/A 9567-2026 FSC-klagomål mail.docx", "A 9567-2026")</f>
        <v/>
      </c>
      <c r="X36">
        <f>HYPERLINK("https://klasma.github.io/Logging_1885/tillsyn/A 9567-2026 tillsynsbegäran.docx", "A 9567-2026")</f>
        <v/>
      </c>
      <c r="Y36">
        <f>HYPERLINK("https://klasma.github.io/Logging_1885/tillsynsmail/A 9567-2026 tillsynsbegäran mail.docx", "A 9567-2026")</f>
        <v/>
      </c>
    </row>
    <row r="37" ht="15" customHeight="1">
      <c r="A37" t="inlineStr">
        <is>
          <t>A 54093-2025</t>
        </is>
      </c>
      <c r="B37" s="1" t="n">
        <v>45964.40112268519</v>
      </c>
      <c r="C37" s="1" t="n">
        <v>46147</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46147</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15687-2023</t>
        </is>
      </c>
      <c r="B39" s="1" t="n">
        <v>45021</v>
      </c>
      <c r="C39" s="1" t="n">
        <v>46147</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33574-2022</t>
        </is>
      </c>
      <c r="B40" s="1" t="n">
        <v>44789</v>
      </c>
      <c r="C40" s="1" t="n">
        <v>46147</v>
      </c>
      <c r="D40" t="inlineStr">
        <is>
          <t>ÖREBRO LÄN</t>
        </is>
      </c>
      <c r="E40" t="inlineStr">
        <is>
          <t>LINDESBERG</t>
        </is>
      </c>
      <c r="G40" t="n">
        <v>11.5</v>
      </c>
      <c r="H40" t="n">
        <v>1</v>
      </c>
      <c r="I40" t="n">
        <v>1</v>
      </c>
      <c r="J40" t="n">
        <v>0</v>
      </c>
      <c r="K40" t="n">
        <v>1</v>
      </c>
      <c r="L40" t="n">
        <v>0</v>
      </c>
      <c r="M40" t="n">
        <v>0</v>
      </c>
      <c r="N40" t="n">
        <v>0</v>
      </c>
      <c r="O40" t="n">
        <v>1</v>
      </c>
      <c r="P40" t="n">
        <v>1</v>
      </c>
      <c r="Q40" t="n">
        <v>2</v>
      </c>
      <c r="R40" s="2" t="inlineStr">
        <is>
          <t>Knärot
Vedticka</t>
        </is>
      </c>
      <c r="S40">
        <f>HYPERLINK("https://klasma.github.io/Logging_1885/artfynd/A 33574-2022 artfynd.xlsx", "A 33574-2022")</f>
        <v/>
      </c>
      <c r="T40">
        <f>HYPERLINK("https://klasma.github.io/Logging_1885/kartor/A 33574-2022 karta.png", "A 33574-2022")</f>
        <v/>
      </c>
      <c r="U40">
        <f>HYPERLINK("https://klasma.github.io/Logging_1885/knärot/A 33574-2022 karta knärot.png", "A 33574-2022")</f>
        <v/>
      </c>
      <c r="V40">
        <f>HYPERLINK("https://klasma.github.io/Logging_1885/klagomål/A 33574-2022 FSC-klagomål.docx", "A 33574-2022")</f>
        <v/>
      </c>
      <c r="W40">
        <f>HYPERLINK("https://klasma.github.io/Logging_1885/klagomålsmail/A 33574-2022 FSC-klagomål mail.docx", "A 33574-2022")</f>
        <v/>
      </c>
      <c r="X40">
        <f>HYPERLINK("https://klasma.github.io/Logging_1885/tillsyn/A 33574-2022 tillsynsbegäran.docx", "A 33574-2022")</f>
        <v/>
      </c>
      <c r="Y40">
        <f>HYPERLINK("https://klasma.github.io/Logging_1885/tillsynsmail/A 33574-2022 tillsynsbegäran mail.docx", "A 33574-2022")</f>
        <v/>
      </c>
    </row>
    <row r="41" ht="15" customHeight="1">
      <c r="A41" t="inlineStr">
        <is>
          <t>A 53686-2024</t>
        </is>
      </c>
      <c r="B41" s="1" t="n">
        <v>45615</v>
      </c>
      <c r="C41" s="1" t="n">
        <v>46147</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38380-2024</t>
        </is>
      </c>
      <c r="B42" s="1" t="n">
        <v>45546.28121527778</v>
      </c>
      <c r="C42" s="1" t="n">
        <v>46147</v>
      </c>
      <c r="D42" t="inlineStr">
        <is>
          <t>ÖREBRO LÄN</t>
        </is>
      </c>
      <c r="E42" t="inlineStr">
        <is>
          <t>LINDESBERG</t>
        </is>
      </c>
      <c r="G42" t="n">
        <v>6.8</v>
      </c>
      <c r="H42" t="n">
        <v>2</v>
      </c>
      <c r="I42" t="n">
        <v>0</v>
      </c>
      <c r="J42" t="n">
        <v>0</v>
      </c>
      <c r="K42" t="n">
        <v>0</v>
      </c>
      <c r="L42" t="n">
        <v>0</v>
      </c>
      <c r="M42" t="n">
        <v>0</v>
      </c>
      <c r="N42" t="n">
        <v>0</v>
      </c>
      <c r="O42" t="n">
        <v>0</v>
      </c>
      <c r="P42" t="n">
        <v>0</v>
      </c>
      <c r="Q42" t="n">
        <v>2</v>
      </c>
      <c r="R42" s="2" t="inlineStr">
        <is>
          <t>Blåsippa
Gullviva</t>
        </is>
      </c>
      <c r="S42">
        <f>HYPERLINK("https://klasma.github.io/Logging_1885/artfynd/A 38380-2024 artfynd.xlsx", "A 38380-2024")</f>
        <v/>
      </c>
      <c r="T42">
        <f>HYPERLINK("https://klasma.github.io/Logging_1885/kartor/A 38380-2024 karta.png", "A 38380-2024")</f>
        <v/>
      </c>
      <c r="V42">
        <f>HYPERLINK("https://klasma.github.io/Logging_1885/klagomål/A 38380-2024 FSC-klagomål.docx", "A 38380-2024")</f>
        <v/>
      </c>
      <c r="W42">
        <f>HYPERLINK("https://klasma.github.io/Logging_1885/klagomålsmail/A 38380-2024 FSC-klagomål mail.docx", "A 38380-2024")</f>
        <v/>
      </c>
      <c r="X42">
        <f>HYPERLINK("https://klasma.github.io/Logging_1885/tillsyn/A 38380-2024 tillsynsbegäran.docx", "A 38380-2024")</f>
        <v/>
      </c>
      <c r="Y42">
        <f>HYPERLINK("https://klasma.github.io/Logging_1885/tillsynsmail/A 38380-2024 tillsynsbegäran mail.docx", "A 38380-2024")</f>
        <v/>
      </c>
    </row>
    <row r="43" ht="15" customHeight="1">
      <c r="A43" t="inlineStr">
        <is>
          <t>A 32713-2021</t>
        </is>
      </c>
      <c r="B43" s="1" t="n">
        <v>44375</v>
      </c>
      <c r="C43" s="1" t="n">
        <v>46147</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46147</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46147</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17563-2022</t>
        </is>
      </c>
      <c r="B46" s="1" t="n">
        <v>44679</v>
      </c>
      <c r="C46" s="1" t="n">
        <v>46147</v>
      </c>
      <c r="D46" t="inlineStr">
        <is>
          <t>ÖREBRO LÄN</t>
        </is>
      </c>
      <c r="E46" t="inlineStr">
        <is>
          <t>LINDESBERG</t>
        </is>
      </c>
      <c r="G46" t="n">
        <v>1.4</v>
      </c>
      <c r="H46" t="n">
        <v>1</v>
      </c>
      <c r="I46" t="n">
        <v>0</v>
      </c>
      <c r="J46" t="n">
        <v>1</v>
      </c>
      <c r="K46" t="n">
        <v>0</v>
      </c>
      <c r="L46" t="n">
        <v>0</v>
      </c>
      <c r="M46" t="n">
        <v>0</v>
      </c>
      <c r="N46" t="n">
        <v>0</v>
      </c>
      <c r="O46" t="n">
        <v>1</v>
      </c>
      <c r="P46" t="n">
        <v>0</v>
      </c>
      <c r="Q46" t="n">
        <v>1</v>
      </c>
      <c r="R46" s="2" t="inlineStr">
        <is>
          <t>Fjällvråk</t>
        </is>
      </c>
      <c r="S46">
        <f>HYPERLINK("https://klasma.github.io/Logging_1885/artfynd/A 17563-2022 artfynd.xlsx", "A 17563-2022")</f>
        <v/>
      </c>
      <c r="T46">
        <f>HYPERLINK("https://klasma.github.io/Logging_1885/kartor/A 17563-2022 karta.png", "A 17563-2022")</f>
        <v/>
      </c>
      <c r="V46">
        <f>HYPERLINK("https://klasma.github.io/Logging_1885/klagomål/A 17563-2022 FSC-klagomål.docx", "A 17563-2022")</f>
        <v/>
      </c>
      <c r="W46">
        <f>HYPERLINK("https://klasma.github.io/Logging_1885/klagomålsmail/A 17563-2022 FSC-klagomål mail.docx", "A 17563-2022")</f>
        <v/>
      </c>
      <c r="X46">
        <f>HYPERLINK("https://klasma.github.io/Logging_1885/tillsyn/A 17563-2022 tillsynsbegäran.docx", "A 17563-2022")</f>
        <v/>
      </c>
      <c r="Y46">
        <f>HYPERLINK("https://klasma.github.io/Logging_1885/tillsynsmail/A 17563-2022 tillsynsbegäran mail.docx", "A 17563-2022")</f>
        <v/>
      </c>
      <c r="Z46">
        <f>HYPERLINK("https://klasma.github.io/Logging_1885/fåglar/A 17563-2022 prioriterade fågelarter.docx", "A 17563-2022")</f>
        <v/>
      </c>
    </row>
    <row r="47" ht="15" customHeight="1">
      <c r="A47" t="inlineStr">
        <is>
          <t>A 33286-2024</t>
        </is>
      </c>
      <c r="B47" s="1" t="n">
        <v>45518</v>
      </c>
      <c r="C47" s="1" t="n">
        <v>46147</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45051-2024</t>
        </is>
      </c>
      <c r="B48" s="1" t="n">
        <v>45575.54934027778</v>
      </c>
      <c r="C48" s="1" t="n">
        <v>46147</v>
      </c>
      <c r="D48" t="inlineStr">
        <is>
          <t>ÖREBRO LÄN</t>
        </is>
      </c>
      <c r="E48" t="inlineStr">
        <is>
          <t>LINDESBERG</t>
        </is>
      </c>
      <c r="F48" t="inlineStr">
        <is>
          <t>Sveaskog</t>
        </is>
      </c>
      <c r="G48" t="n">
        <v>2.2</v>
      </c>
      <c r="H48" t="n">
        <v>1</v>
      </c>
      <c r="I48" t="n">
        <v>0</v>
      </c>
      <c r="J48" t="n">
        <v>1</v>
      </c>
      <c r="K48" t="n">
        <v>0</v>
      </c>
      <c r="L48" t="n">
        <v>0</v>
      </c>
      <c r="M48" t="n">
        <v>0</v>
      </c>
      <c r="N48" t="n">
        <v>0</v>
      </c>
      <c r="O48" t="n">
        <v>1</v>
      </c>
      <c r="P48" t="n">
        <v>0</v>
      </c>
      <c r="Q48" t="n">
        <v>1</v>
      </c>
      <c r="R48" s="2" t="inlineStr">
        <is>
          <t>Spillkråka</t>
        </is>
      </c>
      <c r="S48">
        <f>HYPERLINK("https://klasma.github.io/Logging_1885/artfynd/A 45051-2024 artfynd.xlsx", "A 45051-2024")</f>
        <v/>
      </c>
      <c r="T48">
        <f>HYPERLINK("https://klasma.github.io/Logging_1885/kartor/A 45051-2024 karta.png", "A 45051-2024")</f>
        <v/>
      </c>
      <c r="V48">
        <f>HYPERLINK("https://klasma.github.io/Logging_1885/klagomål/A 45051-2024 FSC-klagomål.docx", "A 45051-2024")</f>
        <v/>
      </c>
      <c r="W48">
        <f>HYPERLINK("https://klasma.github.io/Logging_1885/klagomålsmail/A 45051-2024 FSC-klagomål mail.docx", "A 45051-2024")</f>
        <v/>
      </c>
      <c r="X48">
        <f>HYPERLINK("https://klasma.github.io/Logging_1885/tillsyn/A 45051-2024 tillsynsbegäran.docx", "A 45051-2024")</f>
        <v/>
      </c>
      <c r="Y48">
        <f>HYPERLINK("https://klasma.github.io/Logging_1885/tillsynsmail/A 45051-2024 tillsynsbegäran mail.docx", "A 45051-2024")</f>
        <v/>
      </c>
      <c r="Z48">
        <f>HYPERLINK("https://klasma.github.io/Logging_1885/fåglar/A 45051-2024 prioriterade fågelarter.docx", "A 45051-2024")</f>
        <v/>
      </c>
    </row>
    <row r="49" ht="15" customHeight="1">
      <c r="A49" t="inlineStr">
        <is>
          <t>A 61129-2024</t>
        </is>
      </c>
      <c r="B49" s="1" t="n">
        <v>45645</v>
      </c>
      <c r="C49" s="1" t="n">
        <v>46147</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3729-2023</t>
        </is>
      </c>
      <c r="B50" s="1" t="n">
        <v>44949</v>
      </c>
      <c r="C50" s="1" t="n">
        <v>46147</v>
      </c>
      <c r="D50" t="inlineStr">
        <is>
          <t>ÖREBRO LÄN</t>
        </is>
      </c>
      <c r="E50" t="inlineStr">
        <is>
          <t>LINDESBERG</t>
        </is>
      </c>
      <c r="G50" t="n">
        <v>4</v>
      </c>
      <c r="H50" t="n">
        <v>0</v>
      </c>
      <c r="I50" t="n">
        <v>0</v>
      </c>
      <c r="J50" t="n">
        <v>1</v>
      </c>
      <c r="K50" t="n">
        <v>0</v>
      </c>
      <c r="L50" t="n">
        <v>0</v>
      </c>
      <c r="M50" t="n">
        <v>0</v>
      </c>
      <c r="N50" t="n">
        <v>0</v>
      </c>
      <c r="O50" t="n">
        <v>1</v>
      </c>
      <c r="P50" t="n">
        <v>0</v>
      </c>
      <c r="Q50" t="n">
        <v>1</v>
      </c>
      <c r="R50" s="2" t="inlineStr">
        <is>
          <t>Motaggsvamp</t>
        </is>
      </c>
      <c r="S50">
        <f>HYPERLINK("https://klasma.github.io/Logging_1885/artfynd/A 3729-2023 artfynd.xlsx", "A 3729-2023")</f>
        <v/>
      </c>
      <c r="T50">
        <f>HYPERLINK("https://klasma.github.io/Logging_1885/kartor/A 3729-2023 karta.png", "A 3729-2023")</f>
        <v/>
      </c>
      <c r="V50">
        <f>HYPERLINK("https://klasma.github.io/Logging_1885/klagomål/A 3729-2023 FSC-klagomål.docx", "A 3729-2023")</f>
        <v/>
      </c>
      <c r="W50">
        <f>HYPERLINK("https://klasma.github.io/Logging_1885/klagomålsmail/A 3729-2023 FSC-klagomål mail.docx", "A 3729-2023")</f>
        <v/>
      </c>
      <c r="X50">
        <f>HYPERLINK("https://klasma.github.io/Logging_1885/tillsyn/A 3729-2023 tillsynsbegäran.docx", "A 3729-2023")</f>
        <v/>
      </c>
      <c r="Y50">
        <f>HYPERLINK("https://klasma.github.io/Logging_1885/tillsynsmail/A 3729-2023 tillsynsbegäran mail.docx", "A 3729-2023")</f>
        <v/>
      </c>
    </row>
    <row r="51" ht="15" customHeight="1">
      <c r="A51" t="inlineStr">
        <is>
          <t>A 30347-2025</t>
        </is>
      </c>
      <c r="B51" s="1" t="n">
        <v>45827.53077546296</v>
      </c>
      <c r="C51" s="1" t="n">
        <v>46147</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31052-2025</t>
        </is>
      </c>
      <c r="B52" s="1" t="n">
        <v>45832.56153935185</v>
      </c>
      <c r="C52" s="1" t="n">
        <v>46147</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2829-2026</t>
        </is>
      </c>
      <c r="B53" s="1" t="n">
        <v>46038.45296296296</v>
      </c>
      <c r="C53" s="1" t="n">
        <v>46147</v>
      </c>
      <c r="D53" t="inlineStr">
        <is>
          <t>ÖREBRO LÄN</t>
        </is>
      </c>
      <c r="E53" t="inlineStr">
        <is>
          <t>LINDESBERG</t>
        </is>
      </c>
      <c r="G53" t="n">
        <v>6.3</v>
      </c>
      <c r="H53" t="n">
        <v>0</v>
      </c>
      <c r="I53" t="n">
        <v>1</v>
      </c>
      <c r="J53" t="n">
        <v>0</v>
      </c>
      <c r="K53" t="n">
        <v>0</v>
      </c>
      <c r="L53" t="n">
        <v>0</v>
      </c>
      <c r="M53" t="n">
        <v>0</v>
      </c>
      <c r="N53" t="n">
        <v>0</v>
      </c>
      <c r="O53" t="n">
        <v>0</v>
      </c>
      <c r="P53" t="n">
        <v>0</v>
      </c>
      <c r="Q53" t="n">
        <v>1</v>
      </c>
      <c r="R53" s="2" t="inlineStr">
        <is>
          <t>Vedticka</t>
        </is>
      </c>
      <c r="S53">
        <f>HYPERLINK("https://klasma.github.io/Logging_1885/artfynd/A 2829-2026 artfynd.xlsx", "A 2829-2026")</f>
        <v/>
      </c>
      <c r="T53">
        <f>HYPERLINK("https://klasma.github.io/Logging_1885/kartor/A 2829-2026 karta.png", "A 2829-2026")</f>
        <v/>
      </c>
      <c r="U53">
        <f>HYPERLINK("https://klasma.github.io/Logging_1885/knärot/A 2829-2026 karta knärot.png", "A 2829-2026")</f>
        <v/>
      </c>
      <c r="V53">
        <f>HYPERLINK("https://klasma.github.io/Logging_1885/klagomål/A 2829-2026 FSC-klagomål.docx", "A 2829-2026")</f>
        <v/>
      </c>
      <c r="W53">
        <f>HYPERLINK("https://klasma.github.io/Logging_1885/klagomålsmail/A 2829-2026 FSC-klagomål mail.docx", "A 2829-2026")</f>
        <v/>
      </c>
      <c r="X53">
        <f>HYPERLINK("https://klasma.github.io/Logging_1885/tillsyn/A 2829-2026 tillsynsbegäran.docx", "A 2829-2026")</f>
        <v/>
      </c>
      <c r="Y53">
        <f>HYPERLINK("https://klasma.github.io/Logging_1885/tillsynsmail/A 2829-2026 tillsynsbegäran mail.docx", "A 2829-2026")</f>
        <v/>
      </c>
    </row>
    <row r="54" ht="15" customHeight="1">
      <c r="A54" t="inlineStr">
        <is>
          <t>A 64513-2023</t>
        </is>
      </c>
      <c r="B54" s="1" t="n">
        <v>45281</v>
      </c>
      <c r="C54" s="1" t="n">
        <v>46147</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46147</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36669-2024</t>
        </is>
      </c>
      <c r="B56" s="1" t="n">
        <v>45537.64484953704</v>
      </c>
      <c r="C56" s="1" t="n">
        <v>46147</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45467-2025</t>
        </is>
      </c>
      <c r="B57" s="1" t="n">
        <v>45922.49990740741</v>
      </c>
      <c r="C57" s="1" t="n">
        <v>46147</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37834-2025</t>
        </is>
      </c>
      <c r="B58" s="1" t="n">
        <v>45881.42446759259</v>
      </c>
      <c r="C58" s="1" t="n">
        <v>46147</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 agg.</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48956-2025</t>
        </is>
      </c>
      <c r="B59" s="1" t="n">
        <v>45937.54982638889</v>
      </c>
      <c r="C59" s="1" t="n">
        <v>46147</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67013-2021</t>
        </is>
      </c>
      <c r="B60" s="1" t="n">
        <v>44522</v>
      </c>
      <c r="C60" s="1" t="n">
        <v>46147</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8172-2026</t>
        </is>
      </c>
      <c r="B61" s="1" t="n">
        <v>46064</v>
      </c>
      <c r="C61" s="1" t="n">
        <v>46147</v>
      </c>
      <c r="D61" t="inlineStr">
        <is>
          <t>ÖREBRO LÄN</t>
        </is>
      </c>
      <c r="E61" t="inlineStr">
        <is>
          <t>LINDESBERG</t>
        </is>
      </c>
      <c r="G61" t="n">
        <v>2.9</v>
      </c>
      <c r="H61" t="n">
        <v>0</v>
      </c>
      <c r="I61" t="n">
        <v>0</v>
      </c>
      <c r="J61" t="n">
        <v>0</v>
      </c>
      <c r="K61" t="n">
        <v>0</v>
      </c>
      <c r="L61" t="n">
        <v>1</v>
      </c>
      <c r="M61" t="n">
        <v>0</v>
      </c>
      <c r="N61" t="n">
        <v>0</v>
      </c>
      <c r="O61" t="n">
        <v>1</v>
      </c>
      <c r="P61" t="n">
        <v>1</v>
      </c>
      <c r="Q61" t="n">
        <v>1</v>
      </c>
      <c r="R61" s="2" t="inlineStr">
        <is>
          <t>Bågtuss</t>
        </is>
      </c>
      <c r="S61">
        <f>HYPERLINK("https://klasma.github.io/Logging_1885/artfynd/A 8172-2026 artfynd.xlsx", "A 8172-2026")</f>
        <v/>
      </c>
      <c r="T61">
        <f>HYPERLINK("https://klasma.github.io/Logging_1885/kartor/A 8172-2026 karta.png", "A 8172-2026")</f>
        <v/>
      </c>
      <c r="U61">
        <f>HYPERLINK("https://klasma.github.io/Logging_1885/knärot/A 8172-2026 karta knärot.png", "A 8172-2026")</f>
        <v/>
      </c>
      <c r="V61">
        <f>HYPERLINK("https://klasma.github.io/Logging_1885/klagomål/A 8172-2026 FSC-klagomål.docx", "A 8172-2026")</f>
        <v/>
      </c>
      <c r="W61">
        <f>HYPERLINK("https://klasma.github.io/Logging_1885/klagomålsmail/A 8172-2026 FSC-klagomål mail.docx", "A 8172-2026")</f>
        <v/>
      </c>
      <c r="X61">
        <f>HYPERLINK("https://klasma.github.io/Logging_1885/tillsyn/A 8172-2026 tillsynsbegäran.docx", "A 8172-2026")</f>
        <v/>
      </c>
      <c r="Y61">
        <f>HYPERLINK("https://klasma.github.io/Logging_1885/tillsynsmail/A 8172-2026 tillsynsbegäran mail.docx", "A 8172-2026")</f>
        <v/>
      </c>
    </row>
    <row r="62" ht="15" customHeight="1">
      <c r="A62" t="inlineStr">
        <is>
          <t>A 50777-2025</t>
        </is>
      </c>
      <c r="B62" s="1" t="n">
        <v>45946.45171296296</v>
      </c>
      <c r="C62" s="1" t="n">
        <v>46147</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46147</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46147</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8186-2026</t>
        </is>
      </c>
      <c r="B65" s="1" t="n">
        <v>46064.42189814815</v>
      </c>
      <c r="C65" s="1" t="n">
        <v>46147</v>
      </c>
      <c r="D65" t="inlineStr">
        <is>
          <t>ÖREBRO LÄN</t>
        </is>
      </c>
      <c r="E65" t="inlineStr">
        <is>
          <t>LINDESBERG</t>
        </is>
      </c>
      <c r="G65" t="n">
        <v>2.4</v>
      </c>
      <c r="H65" t="n">
        <v>1</v>
      </c>
      <c r="I65" t="n">
        <v>0</v>
      </c>
      <c r="J65" t="n">
        <v>0</v>
      </c>
      <c r="K65" t="n">
        <v>0</v>
      </c>
      <c r="L65" t="n">
        <v>1</v>
      </c>
      <c r="M65" t="n">
        <v>0</v>
      </c>
      <c r="N65" t="n">
        <v>0</v>
      </c>
      <c r="O65" t="n">
        <v>1</v>
      </c>
      <c r="P65" t="n">
        <v>1</v>
      </c>
      <c r="Q65" t="n">
        <v>1</v>
      </c>
      <c r="R65" s="2" t="inlineStr">
        <is>
          <t>Asknätfjäril</t>
        </is>
      </c>
      <c r="S65">
        <f>HYPERLINK("https://klasma.github.io/Logging_1885/artfynd/A 8186-2026 artfynd.xlsx", "A 8186-2026")</f>
        <v/>
      </c>
      <c r="T65">
        <f>HYPERLINK("https://klasma.github.io/Logging_1885/kartor/A 8186-2026 karta.png", "A 8186-2026")</f>
        <v/>
      </c>
      <c r="V65">
        <f>HYPERLINK("https://klasma.github.io/Logging_1885/klagomål/A 8186-2026 FSC-klagomål.docx", "A 8186-2026")</f>
        <v/>
      </c>
      <c r="W65">
        <f>HYPERLINK("https://klasma.github.io/Logging_1885/klagomålsmail/A 8186-2026 FSC-klagomål mail.docx", "A 8186-2026")</f>
        <v/>
      </c>
      <c r="X65">
        <f>HYPERLINK("https://klasma.github.io/Logging_1885/tillsyn/A 8186-2026 tillsynsbegäran.docx", "A 8186-2026")</f>
        <v/>
      </c>
      <c r="Y65">
        <f>HYPERLINK("https://klasma.github.io/Logging_1885/tillsynsmail/A 8186-2026 tillsynsbegäran mail.docx", "A 8186-2026")</f>
        <v/>
      </c>
    </row>
    <row r="66" ht="15" customHeight="1">
      <c r="A66" t="inlineStr">
        <is>
          <t>A 52105-2025</t>
        </is>
      </c>
      <c r="B66" s="1" t="n">
        <v>45952.68596064814</v>
      </c>
      <c r="C66" s="1" t="n">
        <v>46147</v>
      </c>
      <c r="D66" t="inlineStr">
        <is>
          <t>ÖREBRO LÄN</t>
        </is>
      </c>
      <c r="E66" t="inlineStr">
        <is>
          <t>LINDESBERG</t>
        </is>
      </c>
      <c r="F66" t="inlineStr">
        <is>
          <t>Sveaskog</t>
        </is>
      </c>
      <c r="G66" t="n">
        <v>3.8</v>
      </c>
      <c r="H66" t="n">
        <v>1</v>
      </c>
      <c r="I66" t="n">
        <v>0</v>
      </c>
      <c r="J66" t="n">
        <v>0</v>
      </c>
      <c r="K66" t="n">
        <v>0</v>
      </c>
      <c r="L66" t="n">
        <v>0</v>
      </c>
      <c r="M66" t="n">
        <v>0</v>
      </c>
      <c r="N66" t="n">
        <v>0</v>
      </c>
      <c r="O66" t="n">
        <v>0</v>
      </c>
      <c r="P66" t="n">
        <v>0</v>
      </c>
      <c r="Q66" t="n">
        <v>1</v>
      </c>
      <c r="R66" s="2" t="inlineStr">
        <is>
          <t>Revlummer</t>
        </is>
      </c>
      <c r="S66">
        <f>HYPERLINK("https://klasma.github.io/Logging_1885/artfynd/A 52105-2025 artfynd.xlsx", "A 52105-2025")</f>
        <v/>
      </c>
      <c r="T66">
        <f>HYPERLINK("https://klasma.github.io/Logging_1885/kartor/A 52105-2025 karta.png", "A 52105-2025")</f>
        <v/>
      </c>
      <c r="V66">
        <f>HYPERLINK("https://klasma.github.io/Logging_1885/klagomål/A 52105-2025 FSC-klagomål.docx", "A 52105-2025")</f>
        <v/>
      </c>
      <c r="W66">
        <f>HYPERLINK("https://klasma.github.io/Logging_1885/klagomålsmail/A 52105-2025 FSC-klagomål mail.docx", "A 52105-2025")</f>
        <v/>
      </c>
      <c r="X66">
        <f>HYPERLINK("https://klasma.github.io/Logging_1885/tillsyn/A 52105-2025 tillsynsbegäran.docx", "A 52105-2025")</f>
        <v/>
      </c>
      <c r="Y66">
        <f>HYPERLINK("https://klasma.github.io/Logging_1885/tillsynsmail/A 52105-2025 tillsynsbegäran mail.docx", "A 52105-2025")</f>
        <v/>
      </c>
    </row>
    <row r="67" ht="15" customHeight="1">
      <c r="A67" t="inlineStr">
        <is>
          <t>A 52337-2025</t>
        </is>
      </c>
      <c r="B67" s="1" t="n">
        <v>45953.69287037037</v>
      </c>
      <c r="C67" s="1" t="n">
        <v>46147</v>
      </c>
      <c r="D67" t="inlineStr">
        <is>
          <t>ÖREBRO LÄN</t>
        </is>
      </c>
      <c r="E67" t="inlineStr">
        <is>
          <t>LINDESBERG</t>
        </is>
      </c>
      <c r="F67" t="inlineStr">
        <is>
          <t>Sveaskog</t>
        </is>
      </c>
      <c r="G67" t="n">
        <v>3.3</v>
      </c>
      <c r="H67" t="n">
        <v>1</v>
      </c>
      <c r="I67" t="n">
        <v>0</v>
      </c>
      <c r="J67" t="n">
        <v>0</v>
      </c>
      <c r="K67" t="n">
        <v>0</v>
      </c>
      <c r="L67" t="n">
        <v>0</v>
      </c>
      <c r="M67" t="n">
        <v>0</v>
      </c>
      <c r="N67" t="n">
        <v>0</v>
      </c>
      <c r="O67" t="n">
        <v>0</v>
      </c>
      <c r="P67" t="n">
        <v>0</v>
      </c>
      <c r="Q67" t="n">
        <v>1</v>
      </c>
      <c r="R67" s="2" t="inlineStr">
        <is>
          <t>Fläcknycklar</t>
        </is>
      </c>
      <c r="S67">
        <f>HYPERLINK("https://klasma.github.io/Logging_1885/artfynd/A 52337-2025 artfynd.xlsx", "A 52337-2025")</f>
        <v/>
      </c>
      <c r="T67">
        <f>HYPERLINK("https://klasma.github.io/Logging_1885/kartor/A 52337-2025 karta.png", "A 52337-2025")</f>
        <v/>
      </c>
      <c r="V67">
        <f>HYPERLINK("https://klasma.github.io/Logging_1885/klagomål/A 52337-2025 FSC-klagomål.docx", "A 52337-2025")</f>
        <v/>
      </c>
      <c r="W67">
        <f>HYPERLINK("https://klasma.github.io/Logging_1885/klagomålsmail/A 52337-2025 FSC-klagomål mail.docx", "A 52337-2025")</f>
        <v/>
      </c>
      <c r="X67">
        <f>HYPERLINK("https://klasma.github.io/Logging_1885/tillsyn/A 52337-2025 tillsynsbegäran.docx", "A 52337-2025")</f>
        <v/>
      </c>
      <c r="Y67">
        <f>HYPERLINK("https://klasma.github.io/Logging_1885/tillsynsmail/A 52337-2025 tillsynsbegäran mail.docx", "A 52337-2025")</f>
        <v/>
      </c>
    </row>
    <row r="68" ht="15" customHeight="1">
      <c r="A68" t="inlineStr">
        <is>
          <t>A 8175-2026</t>
        </is>
      </c>
      <c r="B68" s="1" t="n">
        <v>46064</v>
      </c>
      <c r="C68" s="1" t="n">
        <v>46147</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Svart trolldruva</t>
        </is>
      </c>
      <c r="S68">
        <f>HYPERLINK("https://klasma.github.io/Logging_1885/artfynd/A 8175-2026 artfynd.xlsx", "A 8175-2026")</f>
        <v/>
      </c>
      <c r="T68">
        <f>HYPERLINK("https://klasma.github.io/Logging_1885/kartor/A 8175-2026 karta.png", "A 8175-2026")</f>
        <v/>
      </c>
      <c r="V68">
        <f>HYPERLINK("https://klasma.github.io/Logging_1885/klagomål/A 8175-2026 FSC-klagomål.docx", "A 8175-2026")</f>
        <v/>
      </c>
      <c r="W68">
        <f>HYPERLINK("https://klasma.github.io/Logging_1885/klagomålsmail/A 8175-2026 FSC-klagomål mail.docx", "A 8175-2026")</f>
        <v/>
      </c>
      <c r="X68">
        <f>HYPERLINK("https://klasma.github.io/Logging_1885/tillsyn/A 8175-2026 tillsynsbegäran.docx", "A 8175-2026")</f>
        <v/>
      </c>
      <c r="Y68">
        <f>HYPERLINK("https://klasma.github.io/Logging_1885/tillsynsmail/A 8175-2026 tillsynsbegäran mail.docx", "A 8175-2026")</f>
        <v/>
      </c>
    </row>
    <row r="69" ht="15" customHeight="1">
      <c r="A69" t="inlineStr">
        <is>
          <t>A 54092-2025</t>
        </is>
      </c>
      <c r="B69" s="1" t="n">
        <v>45964.3965625</v>
      </c>
      <c r="C69" s="1" t="n">
        <v>46147</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57362-2025</t>
        </is>
      </c>
      <c r="B70" s="1" t="n">
        <v>45980.37108796297</v>
      </c>
      <c r="C70" s="1" t="n">
        <v>46147</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46147</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18180-2026</t>
        </is>
      </c>
      <c r="B72" s="1" t="n">
        <v>46125.67597222222</v>
      </c>
      <c r="C72" s="1" t="n">
        <v>46147</v>
      </c>
      <c r="D72" t="inlineStr">
        <is>
          <t>ÖREBRO LÄN</t>
        </is>
      </c>
      <c r="E72" t="inlineStr">
        <is>
          <t>LINDESBERG</t>
        </is>
      </c>
      <c r="F72" t="inlineStr">
        <is>
          <t>Sveaskog</t>
        </is>
      </c>
      <c r="G72" t="n">
        <v>2.1</v>
      </c>
      <c r="H72" t="n">
        <v>0</v>
      </c>
      <c r="I72" t="n">
        <v>1</v>
      </c>
      <c r="J72" t="n">
        <v>0</v>
      </c>
      <c r="K72" t="n">
        <v>0</v>
      </c>
      <c r="L72" t="n">
        <v>0</v>
      </c>
      <c r="M72" t="n">
        <v>0</v>
      </c>
      <c r="N72" t="n">
        <v>0</v>
      </c>
      <c r="O72" t="n">
        <v>0</v>
      </c>
      <c r="P72" t="n">
        <v>0</v>
      </c>
      <c r="Q72" t="n">
        <v>1</v>
      </c>
      <c r="R72" s="2" t="inlineStr">
        <is>
          <t>Dropptaggsvamp</t>
        </is>
      </c>
      <c r="S72">
        <f>HYPERLINK("https://klasma.github.io/Logging_1885/artfynd/A 18180-2026 artfynd.xlsx", "A 18180-2026")</f>
        <v/>
      </c>
      <c r="T72">
        <f>HYPERLINK("https://klasma.github.io/Logging_1885/kartor/A 18180-2026 karta.png", "A 18180-2026")</f>
        <v/>
      </c>
      <c r="V72">
        <f>HYPERLINK("https://klasma.github.io/Logging_1885/klagomål/A 18180-2026 FSC-klagomål.docx", "A 18180-2026")</f>
        <v/>
      </c>
      <c r="W72">
        <f>HYPERLINK("https://klasma.github.io/Logging_1885/klagomålsmail/A 18180-2026 FSC-klagomål mail.docx", "A 18180-2026")</f>
        <v/>
      </c>
      <c r="X72">
        <f>HYPERLINK("https://klasma.github.io/Logging_1885/tillsyn/A 18180-2026 tillsynsbegäran.docx", "A 18180-2026")</f>
        <v/>
      </c>
      <c r="Y72">
        <f>HYPERLINK("https://klasma.github.io/Logging_1885/tillsynsmail/A 18180-2026 tillsynsbegäran mail.docx", "A 18180-2026")</f>
        <v/>
      </c>
    </row>
    <row r="73" ht="15" customHeight="1">
      <c r="A73" t="inlineStr">
        <is>
          <t>A 18178-2026</t>
        </is>
      </c>
      <c r="B73" s="1" t="n">
        <v>46125.67452546296</v>
      </c>
      <c r="C73" s="1" t="n">
        <v>46147</v>
      </c>
      <c r="D73" t="inlineStr">
        <is>
          <t>ÖREBRO LÄN</t>
        </is>
      </c>
      <c r="E73" t="inlineStr">
        <is>
          <t>LINDESBERG</t>
        </is>
      </c>
      <c r="F73" t="inlineStr">
        <is>
          <t>Sveaskog</t>
        </is>
      </c>
      <c r="G73" t="n">
        <v>4.4</v>
      </c>
      <c r="H73" t="n">
        <v>0</v>
      </c>
      <c r="I73" t="n">
        <v>0</v>
      </c>
      <c r="J73" t="n">
        <v>1</v>
      </c>
      <c r="K73" t="n">
        <v>0</v>
      </c>
      <c r="L73" t="n">
        <v>0</v>
      </c>
      <c r="M73" t="n">
        <v>0</v>
      </c>
      <c r="N73" t="n">
        <v>0</v>
      </c>
      <c r="O73" t="n">
        <v>1</v>
      </c>
      <c r="P73" t="n">
        <v>0</v>
      </c>
      <c r="Q73" t="n">
        <v>1</v>
      </c>
      <c r="R73" s="2" t="inlineStr">
        <is>
          <t>Svartvit taggsvamp</t>
        </is>
      </c>
      <c r="S73">
        <f>HYPERLINK("https://klasma.github.io/Logging_1885/artfynd/A 18178-2026 artfynd.xlsx", "A 18178-2026")</f>
        <v/>
      </c>
      <c r="T73">
        <f>HYPERLINK("https://klasma.github.io/Logging_1885/kartor/A 18178-2026 karta.png", "A 18178-2026")</f>
        <v/>
      </c>
      <c r="V73">
        <f>HYPERLINK("https://klasma.github.io/Logging_1885/klagomål/A 18178-2026 FSC-klagomål.docx", "A 18178-2026")</f>
        <v/>
      </c>
      <c r="W73">
        <f>HYPERLINK("https://klasma.github.io/Logging_1885/klagomålsmail/A 18178-2026 FSC-klagomål mail.docx", "A 18178-2026")</f>
        <v/>
      </c>
      <c r="X73">
        <f>HYPERLINK("https://klasma.github.io/Logging_1885/tillsyn/A 18178-2026 tillsynsbegäran.docx", "A 18178-2026")</f>
        <v/>
      </c>
      <c r="Y73">
        <f>HYPERLINK("https://klasma.github.io/Logging_1885/tillsynsmail/A 18178-2026 tillsynsbegäran mail.docx", "A 18178-2026")</f>
        <v/>
      </c>
    </row>
    <row r="74" ht="15" customHeight="1">
      <c r="A74" t="inlineStr">
        <is>
          <t>A 54857-2024</t>
        </is>
      </c>
      <c r="B74" s="1" t="n">
        <v>45618.58876157407</v>
      </c>
      <c r="C74" s="1" t="n">
        <v>46147</v>
      </c>
      <c r="D74" t="inlineStr">
        <is>
          <t>ÖREBRO LÄN</t>
        </is>
      </c>
      <c r="E74" t="inlineStr">
        <is>
          <t>LINDESBERG</t>
        </is>
      </c>
      <c r="F74" t="inlineStr">
        <is>
          <t>Sveaskog</t>
        </is>
      </c>
      <c r="G74" t="n">
        <v>6.1</v>
      </c>
      <c r="H74" t="n">
        <v>0</v>
      </c>
      <c r="I74" t="n">
        <v>0</v>
      </c>
      <c r="J74" t="n">
        <v>1</v>
      </c>
      <c r="K74" t="n">
        <v>0</v>
      </c>
      <c r="L74" t="n">
        <v>0</v>
      </c>
      <c r="M74" t="n">
        <v>0</v>
      </c>
      <c r="N74" t="n">
        <v>0</v>
      </c>
      <c r="O74" t="n">
        <v>1</v>
      </c>
      <c r="P74" t="n">
        <v>0</v>
      </c>
      <c r="Q74" t="n">
        <v>1</v>
      </c>
      <c r="R74" s="2" t="inlineStr">
        <is>
          <t>Sexfläckig bastardsvärmare</t>
        </is>
      </c>
      <c r="S74">
        <f>HYPERLINK("https://klasma.github.io/Logging_1885/artfynd/A 54857-2024 artfynd.xlsx", "A 54857-2024")</f>
        <v/>
      </c>
      <c r="T74">
        <f>HYPERLINK("https://klasma.github.io/Logging_1885/kartor/A 54857-2024 karta.png", "A 54857-2024")</f>
        <v/>
      </c>
      <c r="V74">
        <f>HYPERLINK("https://klasma.github.io/Logging_1885/klagomål/A 54857-2024 FSC-klagomål.docx", "A 54857-2024")</f>
        <v/>
      </c>
      <c r="W74">
        <f>HYPERLINK("https://klasma.github.io/Logging_1885/klagomålsmail/A 54857-2024 FSC-klagomål mail.docx", "A 54857-2024")</f>
        <v/>
      </c>
      <c r="X74">
        <f>HYPERLINK("https://klasma.github.io/Logging_1885/tillsyn/A 54857-2024 tillsynsbegäran.docx", "A 54857-2024")</f>
        <v/>
      </c>
      <c r="Y74">
        <f>HYPERLINK("https://klasma.github.io/Logging_1885/tillsynsmail/A 54857-2024 tillsynsbegäran mail.docx", "A 54857-2024")</f>
        <v/>
      </c>
    </row>
    <row r="75" ht="15" customHeight="1">
      <c r="A75" t="inlineStr">
        <is>
          <t>A 18639-2026</t>
        </is>
      </c>
      <c r="B75" s="1" t="n">
        <v>46128.32203703704</v>
      </c>
      <c r="C75" s="1" t="n">
        <v>46147</v>
      </c>
      <c r="D75" t="inlineStr">
        <is>
          <t>ÖREBRO LÄN</t>
        </is>
      </c>
      <c r="E75" t="inlineStr">
        <is>
          <t>LINDESBERG</t>
        </is>
      </c>
      <c r="F75" t="inlineStr">
        <is>
          <t>Sveaskog</t>
        </is>
      </c>
      <c r="G75" t="n">
        <v>6</v>
      </c>
      <c r="H75" t="n">
        <v>1</v>
      </c>
      <c r="I75" t="n">
        <v>1</v>
      </c>
      <c r="J75" t="n">
        <v>0</v>
      </c>
      <c r="K75" t="n">
        <v>0</v>
      </c>
      <c r="L75" t="n">
        <v>0</v>
      </c>
      <c r="M75" t="n">
        <v>0</v>
      </c>
      <c r="N75" t="n">
        <v>0</v>
      </c>
      <c r="O75" t="n">
        <v>0</v>
      </c>
      <c r="P75" t="n">
        <v>0</v>
      </c>
      <c r="Q75" t="n">
        <v>1</v>
      </c>
      <c r="R75" s="2" t="inlineStr">
        <is>
          <t>Plattlummer</t>
        </is>
      </c>
      <c r="S75">
        <f>HYPERLINK("https://klasma.github.io/Logging_1885/artfynd/A 18639-2026 artfynd.xlsx", "A 18639-2026")</f>
        <v/>
      </c>
      <c r="T75">
        <f>HYPERLINK("https://klasma.github.io/Logging_1885/kartor/A 18639-2026 karta.png", "A 18639-2026")</f>
        <v/>
      </c>
      <c r="V75">
        <f>HYPERLINK("https://klasma.github.io/Logging_1885/klagomål/A 18639-2026 FSC-klagomål.docx", "A 18639-2026")</f>
        <v/>
      </c>
      <c r="W75">
        <f>HYPERLINK("https://klasma.github.io/Logging_1885/klagomålsmail/A 18639-2026 FSC-klagomål mail.docx", "A 18639-2026")</f>
        <v/>
      </c>
      <c r="X75">
        <f>HYPERLINK("https://klasma.github.io/Logging_1885/tillsyn/A 18639-2026 tillsynsbegäran.docx", "A 18639-2026")</f>
        <v/>
      </c>
      <c r="Y75">
        <f>HYPERLINK("https://klasma.github.io/Logging_1885/tillsynsmail/A 18639-2026 tillsynsbegäran mail.docx", "A 18639-2026")</f>
        <v/>
      </c>
    </row>
    <row r="76" ht="15" customHeight="1">
      <c r="A76" t="inlineStr">
        <is>
          <t>A 6192-2025</t>
        </is>
      </c>
      <c r="B76" s="1" t="n">
        <v>45698.46697916667</v>
      </c>
      <c r="C76" s="1" t="n">
        <v>46147</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28569-2024</t>
        </is>
      </c>
      <c r="B77" s="1" t="n">
        <v>45478.39592592593</v>
      </c>
      <c r="C77" s="1" t="n">
        <v>46147</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20744-2026</t>
        </is>
      </c>
      <c r="B78" s="1" t="n">
        <v>46141.58104166666</v>
      </c>
      <c r="C78" s="1" t="n">
        <v>46147</v>
      </c>
      <c r="D78" t="inlineStr">
        <is>
          <t>ÖREBRO LÄN</t>
        </is>
      </c>
      <c r="E78" t="inlineStr">
        <is>
          <t>LINDESBERG</t>
        </is>
      </c>
      <c r="G78" t="n">
        <v>3</v>
      </c>
      <c r="H78" t="n">
        <v>1</v>
      </c>
      <c r="I78" t="n">
        <v>0</v>
      </c>
      <c r="J78" t="n">
        <v>0</v>
      </c>
      <c r="K78" t="n">
        <v>0</v>
      </c>
      <c r="L78" t="n">
        <v>1</v>
      </c>
      <c r="M78" t="n">
        <v>0</v>
      </c>
      <c r="N78" t="n">
        <v>0</v>
      </c>
      <c r="O78" t="n">
        <v>1</v>
      </c>
      <c r="P78" t="n">
        <v>1</v>
      </c>
      <c r="Q78" t="n">
        <v>1</v>
      </c>
      <c r="R78" s="2" t="inlineStr">
        <is>
          <t>Asknätfjäril</t>
        </is>
      </c>
      <c r="S78">
        <f>HYPERLINK("https://klasma.github.io/Logging_1885/artfynd/A 20744-2026 artfynd.xlsx", "A 20744-2026")</f>
        <v/>
      </c>
      <c r="T78">
        <f>HYPERLINK("https://klasma.github.io/Logging_1885/kartor/A 20744-2026 karta.png", "A 20744-2026")</f>
        <v/>
      </c>
      <c r="V78">
        <f>HYPERLINK("https://klasma.github.io/Logging_1885/klagomål/A 20744-2026 FSC-klagomål.docx", "A 20744-2026")</f>
        <v/>
      </c>
      <c r="W78">
        <f>HYPERLINK("https://klasma.github.io/Logging_1885/klagomålsmail/A 20744-2026 FSC-klagomål mail.docx", "A 20744-2026")</f>
        <v/>
      </c>
      <c r="X78">
        <f>HYPERLINK("https://klasma.github.io/Logging_1885/tillsyn/A 20744-2026 tillsynsbegäran.docx", "A 20744-2026")</f>
        <v/>
      </c>
      <c r="Y78">
        <f>HYPERLINK("https://klasma.github.io/Logging_1885/tillsynsmail/A 20744-2026 tillsynsbegäran mail.docx", "A 20744-2026")</f>
        <v/>
      </c>
    </row>
    <row r="79" ht="15" customHeight="1">
      <c r="A79" t="inlineStr">
        <is>
          <t>A 16791-2024</t>
        </is>
      </c>
      <c r="B79" s="1" t="n">
        <v>45411.42858796296</v>
      </c>
      <c r="C79" s="1" t="n">
        <v>46147</v>
      </c>
      <c r="D79" t="inlineStr">
        <is>
          <t>ÖREBRO LÄN</t>
        </is>
      </c>
      <c r="E79" t="inlineStr">
        <is>
          <t>LINDESBERG</t>
        </is>
      </c>
      <c r="G79" t="n">
        <v>16.1</v>
      </c>
      <c r="H79" t="n">
        <v>1</v>
      </c>
      <c r="I79" t="n">
        <v>0</v>
      </c>
      <c r="J79" t="n">
        <v>1</v>
      </c>
      <c r="K79" t="n">
        <v>0</v>
      </c>
      <c r="L79" t="n">
        <v>0</v>
      </c>
      <c r="M79" t="n">
        <v>0</v>
      </c>
      <c r="N79" t="n">
        <v>0</v>
      </c>
      <c r="O79" t="n">
        <v>1</v>
      </c>
      <c r="P79" t="n">
        <v>0</v>
      </c>
      <c r="Q79" t="n">
        <v>1</v>
      </c>
      <c r="R79" s="2" t="inlineStr">
        <is>
          <t>Spillkråka</t>
        </is>
      </c>
      <c r="S79">
        <f>HYPERLINK("https://klasma.github.io/Logging_1885/artfynd/A 16791-2024 artfynd.xlsx", "A 16791-2024")</f>
        <v/>
      </c>
      <c r="T79">
        <f>HYPERLINK("https://klasma.github.io/Logging_1885/kartor/A 16791-2024 karta.png", "A 16791-2024")</f>
        <v/>
      </c>
      <c r="V79">
        <f>HYPERLINK("https://klasma.github.io/Logging_1885/klagomål/A 16791-2024 FSC-klagomål.docx", "A 16791-2024")</f>
        <v/>
      </c>
      <c r="W79">
        <f>HYPERLINK("https://klasma.github.io/Logging_1885/klagomålsmail/A 16791-2024 FSC-klagomål mail.docx", "A 16791-2024")</f>
        <v/>
      </c>
      <c r="X79">
        <f>HYPERLINK("https://klasma.github.io/Logging_1885/tillsyn/A 16791-2024 tillsynsbegäran.docx", "A 16791-2024")</f>
        <v/>
      </c>
      <c r="Y79">
        <f>HYPERLINK("https://klasma.github.io/Logging_1885/tillsynsmail/A 16791-2024 tillsynsbegäran mail.docx", "A 16791-2024")</f>
        <v/>
      </c>
      <c r="Z79">
        <f>HYPERLINK("https://klasma.github.io/Logging_1885/fåglar/A 16791-2024 prioriterade fågelarter.docx", "A 16791-2024")</f>
        <v/>
      </c>
    </row>
    <row r="80" ht="15" customHeight="1">
      <c r="A80" t="inlineStr">
        <is>
          <t>A 53600-2024</t>
        </is>
      </c>
      <c r="B80" s="1" t="n">
        <v>45614.68596064814</v>
      </c>
      <c r="C80" s="1" t="n">
        <v>46147</v>
      </c>
      <c r="D80" t="inlineStr">
        <is>
          <t>ÖREBRO LÄN</t>
        </is>
      </c>
      <c r="E80" t="inlineStr">
        <is>
          <t>LINDESBERG</t>
        </is>
      </c>
      <c r="G80" t="n">
        <v>2.2</v>
      </c>
      <c r="H80" t="n">
        <v>1</v>
      </c>
      <c r="I80" t="n">
        <v>0</v>
      </c>
      <c r="J80" t="n">
        <v>0</v>
      </c>
      <c r="K80" t="n">
        <v>0</v>
      </c>
      <c r="L80" t="n">
        <v>1</v>
      </c>
      <c r="M80" t="n">
        <v>0</v>
      </c>
      <c r="N80" t="n">
        <v>0</v>
      </c>
      <c r="O80" t="n">
        <v>1</v>
      </c>
      <c r="P80" t="n">
        <v>1</v>
      </c>
      <c r="Q80" t="n">
        <v>1</v>
      </c>
      <c r="R80" s="2" t="inlineStr">
        <is>
          <t>Asknätfjäril</t>
        </is>
      </c>
      <c r="S80">
        <f>HYPERLINK("https://klasma.github.io/Logging_1885/artfynd/A 53600-2024 artfynd.xlsx", "A 53600-2024")</f>
        <v/>
      </c>
      <c r="T80">
        <f>HYPERLINK("https://klasma.github.io/Logging_1885/kartor/A 53600-2024 karta.png", "A 53600-2024")</f>
        <v/>
      </c>
      <c r="V80">
        <f>HYPERLINK("https://klasma.github.io/Logging_1885/klagomål/A 53600-2024 FSC-klagomål.docx", "A 53600-2024")</f>
        <v/>
      </c>
      <c r="W80">
        <f>HYPERLINK("https://klasma.github.io/Logging_1885/klagomålsmail/A 53600-2024 FSC-klagomål mail.docx", "A 53600-2024")</f>
        <v/>
      </c>
      <c r="X80">
        <f>HYPERLINK("https://klasma.github.io/Logging_1885/tillsyn/A 53600-2024 tillsynsbegäran.docx", "A 53600-2024")</f>
        <v/>
      </c>
      <c r="Y80">
        <f>HYPERLINK("https://klasma.github.io/Logging_1885/tillsynsmail/A 53600-2024 tillsynsbegäran mail.docx", "A 53600-2024")</f>
        <v/>
      </c>
    </row>
    <row r="81" ht="15" customHeight="1">
      <c r="A81" t="inlineStr">
        <is>
          <t>A 70466-2021</t>
        </is>
      </c>
      <c r="B81" s="1" t="n">
        <v>44536</v>
      </c>
      <c r="C81" s="1" t="n">
        <v>46147</v>
      </c>
      <c r="D81" t="inlineStr">
        <is>
          <t>ÖREBRO LÄN</t>
        </is>
      </c>
      <c r="E81" t="inlineStr">
        <is>
          <t>LINDESBERG</t>
        </is>
      </c>
      <c r="G81" t="n">
        <v>4.4</v>
      </c>
      <c r="H81" t="n">
        <v>1</v>
      </c>
      <c r="I81" t="n">
        <v>0</v>
      </c>
      <c r="J81" t="n">
        <v>0</v>
      </c>
      <c r="K81" t="n">
        <v>1</v>
      </c>
      <c r="L81" t="n">
        <v>0</v>
      </c>
      <c r="M81" t="n">
        <v>0</v>
      </c>
      <c r="N81" t="n">
        <v>0</v>
      </c>
      <c r="O81" t="n">
        <v>1</v>
      </c>
      <c r="P81" t="n">
        <v>1</v>
      </c>
      <c r="Q81" t="n">
        <v>1</v>
      </c>
      <c r="R81" s="2" t="inlineStr">
        <is>
          <t>Knärot</t>
        </is>
      </c>
      <c r="S81">
        <f>HYPERLINK("https://klasma.github.io/Logging_1885/artfynd/A 70466-2021 artfynd.xlsx", "A 70466-2021")</f>
        <v/>
      </c>
      <c r="T81">
        <f>HYPERLINK("https://klasma.github.io/Logging_1885/kartor/A 70466-2021 karta.png", "A 70466-2021")</f>
        <v/>
      </c>
      <c r="U81">
        <f>HYPERLINK("https://klasma.github.io/Logging_1885/knärot/A 70466-2021 karta knärot.png", "A 70466-2021")</f>
        <v/>
      </c>
      <c r="V81">
        <f>HYPERLINK("https://klasma.github.io/Logging_1885/klagomål/A 70466-2021 FSC-klagomål.docx", "A 70466-2021")</f>
        <v/>
      </c>
      <c r="W81">
        <f>HYPERLINK("https://klasma.github.io/Logging_1885/klagomålsmail/A 70466-2021 FSC-klagomål mail.docx", "A 70466-2021")</f>
        <v/>
      </c>
      <c r="X81">
        <f>HYPERLINK("https://klasma.github.io/Logging_1885/tillsyn/A 70466-2021 tillsynsbegäran.docx", "A 70466-2021")</f>
        <v/>
      </c>
      <c r="Y81">
        <f>HYPERLINK("https://klasma.github.io/Logging_1885/tillsynsmail/A 70466-2021 tillsynsbegäran mail.docx", "A 70466-2021")</f>
        <v/>
      </c>
    </row>
    <row r="82" ht="15" customHeight="1">
      <c r="A82" t="inlineStr">
        <is>
          <t>A 58206-2023</t>
        </is>
      </c>
      <c r="B82" s="1" t="n">
        <v>45250</v>
      </c>
      <c r="C82" s="1" t="n">
        <v>46147</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28787-2023</t>
        </is>
      </c>
      <c r="B83" s="1" t="n">
        <v>45104.3483912037</v>
      </c>
      <c r="C83" s="1" t="n">
        <v>46147</v>
      </c>
      <c r="D83" t="inlineStr">
        <is>
          <t>ÖREBRO LÄN</t>
        </is>
      </c>
      <c r="E83" t="inlineStr">
        <is>
          <t>LINDESBERG</t>
        </is>
      </c>
      <c r="F83" t="inlineStr">
        <is>
          <t>Sveaskog</t>
        </is>
      </c>
      <c r="G83" t="n">
        <v>0.5</v>
      </c>
      <c r="H83" t="n">
        <v>1</v>
      </c>
      <c r="I83" t="n">
        <v>0</v>
      </c>
      <c r="J83" t="n">
        <v>0</v>
      </c>
      <c r="K83" t="n">
        <v>0</v>
      </c>
      <c r="L83" t="n">
        <v>0</v>
      </c>
      <c r="M83" t="n">
        <v>0</v>
      </c>
      <c r="N83" t="n">
        <v>0</v>
      </c>
      <c r="O83" t="n">
        <v>0</v>
      </c>
      <c r="P83" t="n">
        <v>0</v>
      </c>
      <c r="Q83" t="n">
        <v>1</v>
      </c>
      <c r="R83" s="2" t="inlineStr">
        <is>
          <t>Fläcknycklar</t>
        </is>
      </c>
      <c r="S83">
        <f>HYPERLINK("https://klasma.github.io/Logging_1885/artfynd/A 28787-2023 artfynd.xlsx", "A 28787-2023")</f>
        <v/>
      </c>
      <c r="T83">
        <f>HYPERLINK("https://klasma.github.io/Logging_1885/kartor/A 28787-2023 karta.png", "A 28787-2023")</f>
        <v/>
      </c>
      <c r="V83">
        <f>HYPERLINK("https://klasma.github.io/Logging_1885/klagomål/A 28787-2023 FSC-klagomål.docx", "A 28787-2023")</f>
        <v/>
      </c>
      <c r="W83">
        <f>HYPERLINK("https://klasma.github.io/Logging_1885/klagomålsmail/A 28787-2023 FSC-klagomål mail.docx", "A 28787-2023")</f>
        <v/>
      </c>
      <c r="X83">
        <f>HYPERLINK("https://klasma.github.io/Logging_1885/tillsyn/A 28787-2023 tillsynsbegäran.docx", "A 28787-2023")</f>
        <v/>
      </c>
      <c r="Y83">
        <f>HYPERLINK("https://klasma.github.io/Logging_1885/tillsynsmail/A 28787-2023 tillsynsbegäran mail.docx", "A 28787-2023")</f>
        <v/>
      </c>
    </row>
    <row r="84" ht="15" customHeight="1">
      <c r="A84" t="inlineStr">
        <is>
          <t>A 27900-2024</t>
        </is>
      </c>
      <c r="B84" s="1" t="n">
        <v>45475.92849537037</v>
      </c>
      <c r="C84" s="1" t="n">
        <v>46147</v>
      </c>
      <c r="D84" t="inlineStr">
        <is>
          <t>ÖREBRO LÄN</t>
        </is>
      </c>
      <c r="E84" t="inlineStr">
        <is>
          <t>LINDESBERG</t>
        </is>
      </c>
      <c r="F84" t="inlineStr">
        <is>
          <t>Sveaskog</t>
        </is>
      </c>
      <c r="G84" t="n">
        <v>4.1</v>
      </c>
      <c r="H84" t="n">
        <v>1</v>
      </c>
      <c r="I84" t="n">
        <v>0</v>
      </c>
      <c r="J84" t="n">
        <v>0</v>
      </c>
      <c r="K84" t="n">
        <v>0</v>
      </c>
      <c r="L84" t="n">
        <v>0</v>
      </c>
      <c r="M84" t="n">
        <v>0</v>
      </c>
      <c r="N84" t="n">
        <v>0</v>
      </c>
      <c r="O84" t="n">
        <v>0</v>
      </c>
      <c r="P84" t="n">
        <v>0</v>
      </c>
      <c r="Q84" t="n">
        <v>1</v>
      </c>
      <c r="R84" s="2" t="inlineStr">
        <is>
          <t>Fläcknycklar</t>
        </is>
      </c>
      <c r="S84">
        <f>HYPERLINK("https://klasma.github.io/Logging_1885/artfynd/A 27900-2024 artfynd.xlsx", "A 27900-2024")</f>
        <v/>
      </c>
      <c r="T84">
        <f>HYPERLINK("https://klasma.github.io/Logging_1885/kartor/A 27900-2024 karta.png", "A 27900-2024")</f>
        <v/>
      </c>
      <c r="V84">
        <f>HYPERLINK("https://klasma.github.io/Logging_1885/klagomål/A 27900-2024 FSC-klagomål.docx", "A 27900-2024")</f>
        <v/>
      </c>
      <c r="W84">
        <f>HYPERLINK("https://klasma.github.io/Logging_1885/klagomålsmail/A 27900-2024 FSC-klagomål mail.docx", "A 27900-2024")</f>
        <v/>
      </c>
      <c r="X84">
        <f>HYPERLINK("https://klasma.github.io/Logging_1885/tillsyn/A 27900-2024 tillsynsbegäran.docx", "A 27900-2024")</f>
        <v/>
      </c>
      <c r="Y84">
        <f>HYPERLINK("https://klasma.github.io/Logging_1885/tillsynsmail/A 27900-2024 tillsynsbegäran mail.docx", "A 27900-2024")</f>
        <v/>
      </c>
    </row>
    <row r="85" ht="15" customHeight="1">
      <c r="A85" t="inlineStr">
        <is>
          <t>A 53598-2024</t>
        </is>
      </c>
      <c r="B85" s="1" t="n">
        <v>45614.68287037037</v>
      </c>
      <c r="C85" s="1" t="n">
        <v>46147</v>
      </c>
      <c r="D85" t="inlineStr">
        <is>
          <t>ÖREBRO LÄN</t>
        </is>
      </c>
      <c r="E85" t="inlineStr">
        <is>
          <t>LINDESBERG</t>
        </is>
      </c>
      <c r="G85" t="n">
        <v>3.1</v>
      </c>
      <c r="H85" t="n">
        <v>1</v>
      </c>
      <c r="I85" t="n">
        <v>0</v>
      </c>
      <c r="J85" t="n">
        <v>0</v>
      </c>
      <c r="K85" t="n">
        <v>0</v>
      </c>
      <c r="L85" t="n">
        <v>1</v>
      </c>
      <c r="M85" t="n">
        <v>0</v>
      </c>
      <c r="N85" t="n">
        <v>0</v>
      </c>
      <c r="O85" t="n">
        <v>1</v>
      </c>
      <c r="P85" t="n">
        <v>1</v>
      </c>
      <c r="Q85" t="n">
        <v>1</v>
      </c>
      <c r="R85" s="2" t="inlineStr">
        <is>
          <t>Asknätfjäril</t>
        </is>
      </c>
      <c r="S85">
        <f>HYPERLINK("https://klasma.github.io/Logging_1885/artfynd/A 53598-2024 artfynd.xlsx", "A 53598-2024")</f>
        <v/>
      </c>
      <c r="T85">
        <f>HYPERLINK("https://klasma.github.io/Logging_1885/kartor/A 53598-2024 karta.png", "A 53598-2024")</f>
        <v/>
      </c>
      <c r="V85">
        <f>HYPERLINK("https://klasma.github.io/Logging_1885/klagomål/A 53598-2024 FSC-klagomål.docx", "A 53598-2024")</f>
        <v/>
      </c>
      <c r="W85">
        <f>HYPERLINK("https://klasma.github.io/Logging_1885/klagomålsmail/A 53598-2024 FSC-klagomål mail.docx", "A 53598-2024")</f>
        <v/>
      </c>
      <c r="X85">
        <f>HYPERLINK("https://klasma.github.io/Logging_1885/tillsyn/A 53598-2024 tillsynsbegäran.docx", "A 53598-2024")</f>
        <v/>
      </c>
      <c r="Y85">
        <f>HYPERLINK("https://klasma.github.io/Logging_1885/tillsynsmail/A 53598-2024 tillsynsbegäran mail.docx", "A 53598-2024")</f>
        <v/>
      </c>
    </row>
    <row r="86" ht="15" customHeight="1">
      <c r="A86" t="inlineStr">
        <is>
          <t>A 21440-2025</t>
        </is>
      </c>
      <c r="B86" s="1" t="n">
        <v>45782.5300462963</v>
      </c>
      <c r="C86" s="1" t="n">
        <v>46147</v>
      </c>
      <c r="D86" t="inlineStr">
        <is>
          <t>ÖREBRO LÄN</t>
        </is>
      </c>
      <c r="E86" t="inlineStr">
        <is>
          <t>LINDESBERG</t>
        </is>
      </c>
      <c r="F86" t="inlineStr">
        <is>
          <t>Sveaskog</t>
        </is>
      </c>
      <c r="G86" t="n">
        <v>1.3</v>
      </c>
      <c r="H86" t="n">
        <v>0</v>
      </c>
      <c r="I86" t="n">
        <v>0</v>
      </c>
      <c r="J86" t="n">
        <v>1</v>
      </c>
      <c r="K86" t="n">
        <v>0</v>
      </c>
      <c r="L86" t="n">
        <v>0</v>
      </c>
      <c r="M86" t="n">
        <v>0</v>
      </c>
      <c r="N86" t="n">
        <v>0</v>
      </c>
      <c r="O86" t="n">
        <v>1</v>
      </c>
      <c r="P86" t="n">
        <v>0</v>
      </c>
      <c r="Q86" t="n">
        <v>1</v>
      </c>
      <c r="R86" s="2" t="inlineStr">
        <is>
          <t>Motaggsvamp</t>
        </is>
      </c>
      <c r="S86">
        <f>HYPERLINK("https://klasma.github.io/Logging_1885/artfynd/A 21440-2025 artfynd.xlsx", "A 21440-2025")</f>
        <v/>
      </c>
      <c r="T86">
        <f>HYPERLINK("https://klasma.github.io/Logging_1885/kartor/A 21440-2025 karta.png", "A 21440-2025")</f>
        <v/>
      </c>
      <c r="V86">
        <f>HYPERLINK("https://klasma.github.io/Logging_1885/klagomål/A 21440-2025 FSC-klagomål.docx", "A 21440-2025")</f>
        <v/>
      </c>
      <c r="W86">
        <f>HYPERLINK("https://klasma.github.io/Logging_1885/klagomålsmail/A 21440-2025 FSC-klagomål mail.docx", "A 21440-2025")</f>
        <v/>
      </c>
      <c r="X86">
        <f>HYPERLINK("https://klasma.github.io/Logging_1885/tillsyn/A 21440-2025 tillsynsbegäran.docx", "A 21440-2025")</f>
        <v/>
      </c>
      <c r="Y86">
        <f>HYPERLINK("https://klasma.github.io/Logging_1885/tillsynsmail/A 21440-2025 tillsynsbegäran mail.docx", "A 21440-2025")</f>
        <v/>
      </c>
    </row>
    <row r="87" ht="15" customHeight="1">
      <c r="A87" t="inlineStr">
        <is>
          <t>A 21779-2025</t>
        </is>
      </c>
      <c r="B87" s="1" t="n">
        <v>45783.66537037037</v>
      </c>
      <c r="C87" s="1" t="n">
        <v>46147</v>
      </c>
      <c r="D87" t="inlineStr">
        <is>
          <t>ÖREBRO LÄN</t>
        </is>
      </c>
      <c r="E87" t="inlineStr">
        <is>
          <t>LINDESBERG</t>
        </is>
      </c>
      <c r="G87" t="n">
        <v>8.5</v>
      </c>
      <c r="H87" t="n">
        <v>1</v>
      </c>
      <c r="I87" t="n">
        <v>0</v>
      </c>
      <c r="J87" t="n">
        <v>0</v>
      </c>
      <c r="K87" t="n">
        <v>0</v>
      </c>
      <c r="L87" t="n">
        <v>0</v>
      </c>
      <c r="M87" t="n">
        <v>0</v>
      </c>
      <c r="N87" t="n">
        <v>0</v>
      </c>
      <c r="O87" t="n">
        <v>0</v>
      </c>
      <c r="P87" t="n">
        <v>0</v>
      </c>
      <c r="Q87" t="n">
        <v>1</v>
      </c>
      <c r="R87" s="2" t="inlineStr">
        <is>
          <t>Mindre vattensalamander</t>
        </is>
      </c>
      <c r="S87">
        <f>HYPERLINK("https://klasma.github.io/Logging_1885/artfynd/A 21779-2025 artfynd.xlsx", "A 21779-2025")</f>
        <v/>
      </c>
      <c r="T87">
        <f>HYPERLINK("https://klasma.github.io/Logging_1885/kartor/A 21779-2025 karta.png", "A 21779-2025")</f>
        <v/>
      </c>
      <c r="V87">
        <f>HYPERLINK("https://klasma.github.io/Logging_1885/klagomål/A 21779-2025 FSC-klagomål.docx", "A 21779-2025")</f>
        <v/>
      </c>
      <c r="W87">
        <f>HYPERLINK("https://klasma.github.io/Logging_1885/klagomålsmail/A 21779-2025 FSC-klagomål mail.docx", "A 21779-2025")</f>
        <v/>
      </c>
      <c r="X87">
        <f>HYPERLINK("https://klasma.github.io/Logging_1885/tillsyn/A 21779-2025 tillsynsbegäran.docx", "A 21779-2025")</f>
        <v/>
      </c>
      <c r="Y87">
        <f>HYPERLINK("https://klasma.github.io/Logging_1885/tillsynsmail/A 21779-2025 tillsynsbegäran mail.docx", "A 21779-2025")</f>
        <v/>
      </c>
    </row>
    <row r="88" ht="15" customHeight="1">
      <c r="A88" t="inlineStr">
        <is>
          <t>A 56049-2022</t>
        </is>
      </c>
      <c r="B88" s="1" t="n">
        <v>44889.5746875</v>
      </c>
      <c r="C88" s="1" t="n">
        <v>46147</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46147</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46147</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46147</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46147</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46147</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46147</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46147</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46147</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22605-2021</t>
        </is>
      </c>
      <c r="B97" s="1" t="n">
        <v>44327</v>
      </c>
      <c r="C97" s="1" t="n">
        <v>46147</v>
      </c>
      <c r="D97" t="inlineStr">
        <is>
          <t>ÖREBRO LÄN</t>
        </is>
      </c>
      <c r="E97" t="inlineStr">
        <is>
          <t>LINDESBERG</t>
        </is>
      </c>
      <c r="F97" t="inlineStr">
        <is>
          <t>Kommuner</t>
        </is>
      </c>
      <c r="G97" t="n">
        <v>2</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46147</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46147</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46147</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46147</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46147</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46147</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46147</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46147</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46147</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46147</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46147</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46147</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46147</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46147</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46147</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46147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46147</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46147</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46147</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46147</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46147</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46147</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46147</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46147</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46147</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46147</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46147</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46147</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46147</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46147</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46147</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46147</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46147</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46147</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46147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46147</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46147</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46147</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46147</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46147</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46147</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46147</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46147</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46147</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46147</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46147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46147</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46147</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46147</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46147</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46147</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46147</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46147</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41580-2021</t>
        </is>
      </c>
      <c r="B151" s="1" t="n">
        <v>44425.40128472223</v>
      </c>
      <c r="C151" s="1" t="n">
        <v>46147</v>
      </c>
      <c r="D151" t="inlineStr">
        <is>
          <t>ÖREBRO LÄN</t>
        </is>
      </c>
      <c r="E151" t="inlineStr">
        <is>
          <t>LINDESBERG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50498-2021</t>
        </is>
      </c>
      <c r="B152" s="1" t="n">
        <v>44459.57613425926</v>
      </c>
      <c r="C152" s="1" t="n">
        <v>46147</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46147</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46147</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43452-2021</t>
        </is>
      </c>
      <c r="B155" s="1" t="n">
        <v>44432</v>
      </c>
      <c r="C155" s="1" t="n">
        <v>46147</v>
      </c>
      <c r="D155" t="inlineStr">
        <is>
          <t>ÖREBRO LÄN</t>
        </is>
      </c>
      <c r="E155" t="inlineStr">
        <is>
          <t>LINDESBERG</t>
        </is>
      </c>
      <c r="F155" t="inlineStr">
        <is>
          <t>Sveaskog</t>
        </is>
      </c>
      <c r="G155" t="n">
        <v>1.1</v>
      </c>
      <c r="H155" t="n">
        <v>0</v>
      </c>
      <c r="I155" t="n">
        <v>0</v>
      </c>
      <c r="J155" t="n">
        <v>0</v>
      </c>
      <c r="K155" t="n">
        <v>0</v>
      </c>
      <c r="L155" t="n">
        <v>0</v>
      </c>
      <c r="M155" t="n">
        <v>0</v>
      </c>
      <c r="N155" t="n">
        <v>0</v>
      </c>
      <c r="O155" t="n">
        <v>0</v>
      </c>
      <c r="P155" t="n">
        <v>0</v>
      </c>
      <c r="Q155" t="n">
        <v>0</v>
      </c>
      <c r="R155" s="2" t="inlineStr"/>
      <c r="U155">
        <f>HYPERLINK("https://klasma.github.io/Logging_1885/knärot/A 43452-2021 karta knärot.png", "A 43452-2021")</f>
        <v/>
      </c>
      <c r="V155">
        <f>HYPERLINK("https://klasma.github.io/Logging_1885/klagomål/A 43452-2021 FSC-klagomål.docx", "A 43452-2021")</f>
        <v/>
      </c>
      <c r="W155">
        <f>HYPERLINK("https://klasma.github.io/Logging_1885/klagomålsmail/A 43452-2021 FSC-klagomål mail.docx", "A 43452-2021")</f>
        <v/>
      </c>
      <c r="X155">
        <f>HYPERLINK("https://klasma.github.io/Logging_1885/tillsyn/A 43452-2021 tillsynsbegäran.docx", "A 43452-2021")</f>
        <v/>
      </c>
      <c r="Y155">
        <f>HYPERLINK("https://klasma.github.io/Logging_1885/tillsynsmail/A 43452-2021 tillsynsbegäran mail.docx", "A 43452-2021")</f>
        <v/>
      </c>
    </row>
    <row r="156" ht="15" customHeight="1">
      <c r="A156" t="inlineStr">
        <is>
          <t>A 43453-2021</t>
        </is>
      </c>
      <c r="B156" s="1" t="n">
        <v>44432.68241898148</v>
      </c>
      <c r="C156" s="1" t="n">
        <v>46147</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46147</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22483-2021</t>
        </is>
      </c>
      <c r="B158" s="1" t="n">
        <v>44326.7296412037</v>
      </c>
      <c r="C158" s="1" t="n">
        <v>46147</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46147</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46147</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46147</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46147</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46147</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46147</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46147</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46147</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46147</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46147</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46147</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46147</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46147</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46147</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46147</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46147</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46147</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46147</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46147</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46147</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31950-2022</t>
        </is>
      </c>
      <c r="B179" s="1" t="n">
        <v>44777</v>
      </c>
      <c r="C179" s="1" t="n">
        <v>46147</v>
      </c>
      <c r="D179" t="inlineStr">
        <is>
          <t>ÖREBRO LÄN</t>
        </is>
      </c>
      <c r="E179" t="inlineStr">
        <is>
          <t>LINDESBERG</t>
        </is>
      </c>
      <c r="G179" t="n">
        <v>1.2</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46147</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46147</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62010-2021</t>
        </is>
      </c>
      <c r="B182" s="1" t="n">
        <v>44502.49809027778</v>
      </c>
      <c r="C182" s="1" t="n">
        <v>46147</v>
      </c>
      <c r="D182" t="inlineStr">
        <is>
          <t>ÖREBRO LÄN</t>
        </is>
      </c>
      <c r="E182" t="inlineStr">
        <is>
          <t>LINDESBERG</t>
        </is>
      </c>
      <c r="G182" t="n">
        <v>3.2</v>
      </c>
      <c r="H182" t="n">
        <v>0</v>
      </c>
      <c r="I182" t="n">
        <v>0</v>
      </c>
      <c r="J182" t="n">
        <v>0</v>
      </c>
      <c r="K182" t="n">
        <v>0</v>
      </c>
      <c r="L182" t="n">
        <v>0</v>
      </c>
      <c r="M182" t="n">
        <v>0</v>
      </c>
      <c r="N182" t="n">
        <v>0</v>
      </c>
      <c r="O182" t="n">
        <v>0</v>
      </c>
      <c r="P182" t="n">
        <v>0</v>
      </c>
      <c r="Q182" t="n">
        <v>0</v>
      </c>
      <c r="R182" s="2" t="inlineStr"/>
    </row>
    <row r="183" ht="15" customHeight="1">
      <c r="A183" t="inlineStr">
        <is>
          <t>A 62014-2021</t>
        </is>
      </c>
      <c r="B183" s="1" t="n">
        <v>44502</v>
      </c>
      <c r="C183" s="1" t="n">
        <v>46147</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56681-2021</t>
        </is>
      </c>
      <c r="B184" s="1" t="n">
        <v>44481.34877314815</v>
      </c>
      <c r="C184" s="1" t="n">
        <v>46147</v>
      </c>
      <c r="D184" t="inlineStr">
        <is>
          <t>ÖREBRO LÄN</t>
        </is>
      </c>
      <c r="E184" t="inlineStr">
        <is>
          <t>LINDESBERG</t>
        </is>
      </c>
      <c r="G184" t="n">
        <v>2.6</v>
      </c>
      <c r="H184" t="n">
        <v>0</v>
      </c>
      <c r="I184" t="n">
        <v>0</v>
      </c>
      <c r="J184" t="n">
        <v>0</v>
      </c>
      <c r="K184" t="n">
        <v>0</v>
      </c>
      <c r="L184" t="n">
        <v>0</v>
      </c>
      <c r="M184" t="n">
        <v>0</v>
      </c>
      <c r="N184" t="n">
        <v>0</v>
      </c>
      <c r="O184" t="n">
        <v>0</v>
      </c>
      <c r="P184" t="n">
        <v>0</v>
      </c>
      <c r="Q184" t="n">
        <v>0</v>
      </c>
      <c r="R184" s="2" t="inlineStr"/>
    </row>
    <row r="185" ht="15" customHeight="1">
      <c r="A185" t="inlineStr">
        <is>
          <t>A 59671-2021</t>
        </is>
      </c>
      <c r="B185" s="1" t="n">
        <v>44491</v>
      </c>
      <c r="C185" s="1" t="n">
        <v>46147</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46147</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23158-2021</t>
        </is>
      </c>
      <c r="B187" s="1" t="n">
        <v>44332.74105324074</v>
      </c>
      <c r="C187" s="1" t="n">
        <v>46147</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46147</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46147</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40692-2021</t>
        </is>
      </c>
      <c r="B190" s="1" t="n">
        <v>44420.60616898148</v>
      </c>
      <c r="C190" s="1" t="n">
        <v>46147</v>
      </c>
      <c r="D190" t="inlineStr">
        <is>
          <t>ÖREBRO LÄN</t>
        </is>
      </c>
      <c r="E190" t="inlineStr">
        <is>
          <t>LINDESBERG</t>
        </is>
      </c>
      <c r="G190" t="n">
        <v>0.6</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46147</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46147</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46147</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46147</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46147</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33084-2021</t>
        </is>
      </c>
      <c r="B196" s="1" t="n">
        <v>44376</v>
      </c>
      <c r="C196" s="1" t="n">
        <v>46147</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7859-2022</t>
        </is>
      </c>
      <c r="B197" s="1" t="n">
        <v>44608</v>
      </c>
      <c r="C197" s="1" t="n">
        <v>46147</v>
      </c>
      <c r="D197" t="inlineStr">
        <is>
          <t>ÖREBRO LÄN</t>
        </is>
      </c>
      <c r="E197" t="inlineStr">
        <is>
          <t>LINDESBERG</t>
        </is>
      </c>
      <c r="F197" t="inlineStr">
        <is>
          <t>Kyrkan</t>
        </is>
      </c>
      <c r="G197" t="n">
        <v>0.7</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46147</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35990-2021</t>
        </is>
      </c>
      <c r="B199" s="1" t="n">
        <v>44389</v>
      </c>
      <c r="C199" s="1" t="n">
        <v>46147</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71090-2021</t>
        </is>
      </c>
      <c r="B200" s="1" t="n">
        <v>44539.31923611111</v>
      </c>
      <c r="C200" s="1" t="n">
        <v>46147</v>
      </c>
      <c r="D200" t="inlineStr">
        <is>
          <t>ÖREBRO LÄN</t>
        </is>
      </c>
      <c r="E200" t="inlineStr">
        <is>
          <t>LINDESBERG</t>
        </is>
      </c>
      <c r="G200" t="n">
        <v>4.3</v>
      </c>
      <c r="H200" t="n">
        <v>0</v>
      </c>
      <c r="I200" t="n">
        <v>0</v>
      </c>
      <c r="J200" t="n">
        <v>0</v>
      </c>
      <c r="K200" t="n">
        <v>0</v>
      </c>
      <c r="L200" t="n">
        <v>0</v>
      </c>
      <c r="M200" t="n">
        <v>0</v>
      </c>
      <c r="N200" t="n">
        <v>0</v>
      </c>
      <c r="O200" t="n">
        <v>0</v>
      </c>
      <c r="P200" t="n">
        <v>0</v>
      </c>
      <c r="Q200" t="n">
        <v>0</v>
      </c>
      <c r="R200" s="2" t="inlineStr"/>
    </row>
    <row r="201" ht="15" customHeight="1">
      <c r="A201" t="inlineStr">
        <is>
          <t>A 71092-2021</t>
        </is>
      </c>
      <c r="B201" s="1" t="n">
        <v>44539</v>
      </c>
      <c r="C201" s="1" t="n">
        <v>46147</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44650.47945601852</v>
      </c>
      <c r="C202" s="1" t="n">
        <v>46147</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9751-2022</t>
        </is>
      </c>
      <c r="B203" s="1" t="n">
        <v>44618</v>
      </c>
      <c r="C203" s="1" t="n">
        <v>46147</v>
      </c>
      <c r="D203" t="inlineStr">
        <is>
          <t>ÖREBRO LÄN</t>
        </is>
      </c>
      <c r="E203" t="inlineStr">
        <is>
          <t>LINDESBERG</t>
        </is>
      </c>
      <c r="G203" t="n">
        <v>13.9</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46147</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46147</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46147</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46147</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59006-2021</t>
        </is>
      </c>
      <c r="B208" s="1" t="n">
        <v>44490</v>
      </c>
      <c r="C208" s="1" t="n">
        <v>46147</v>
      </c>
      <c r="D208" t="inlineStr">
        <is>
          <t>ÖREBRO LÄN</t>
        </is>
      </c>
      <c r="E208" t="inlineStr">
        <is>
          <t>LINDESBERG</t>
        </is>
      </c>
      <c r="G208" t="n">
        <v>5.6</v>
      </c>
      <c r="H208" t="n">
        <v>0</v>
      </c>
      <c r="I208" t="n">
        <v>0</v>
      </c>
      <c r="J208" t="n">
        <v>0</v>
      </c>
      <c r="K208" t="n">
        <v>0</v>
      </c>
      <c r="L208" t="n">
        <v>0</v>
      </c>
      <c r="M208" t="n">
        <v>0</v>
      </c>
      <c r="N208" t="n">
        <v>0</v>
      </c>
      <c r="O208" t="n">
        <v>0</v>
      </c>
      <c r="P208" t="n">
        <v>0</v>
      </c>
      <c r="Q208" t="n">
        <v>0</v>
      </c>
      <c r="R208" s="2" t="inlineStr"/>
    </row>
    <row r="209" ht="15" customHeight="1">
      <c r="A209" t="inlineStr">
        <is>
          <t>A 20238-2022</t>
        </is>
      </c>
      <c r="B209" s="1" t="n">
        <v>44698.62354166667</v>
      </c>
      <c r="C209" s="1" t="n">
        <v>46147</v>
      </c>
      <c r="D209" t="inlineStr">
        <is>
          <t>ÖREBRO LÄN</t>
        </is>
      </c>
      <c r="E209" t="inlineStr">
        <is>
          <t>LINDESBERG</t>
        </is>
      </c>
      <c r="F209" t="inlineStr">
        <is>
          <t>Naturvårdsverket</t>
        </is>
      </c>
      <c r="G209" t="n">
        <v>2.9</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46147</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2406-2024</t>
        </is>
      </c>
      <c r="B211" s="1" t="n">
        <v>45310</v>
      </c>
      <c r="C211" s="1" t="n">
        <v>46147</v>
      </c>
      <c r="D211" t="inlineStr">
        <is>
          <t>ÖREBRO LÄN</t>
        </is>
      </c>
      <c r="E211" t="inlineStr">
        <is>
          <t>LINDESBERG</t>
        </is>
      </c>
      <c r="G211" t="n">
        <v>16.1</v>
      </c>
      <c r="H211" t="n">
        <v>0</v>
      </c>
      <c r="I211" t="n">
        <v>0</v>
      </c>
      <c r="J211" t="n">
        <v>0</v>
      </c>
      <c r="K211" t="n">
        <v>0</v>
      </c>
      <c r="L211" t="n">
        <v>0</v>
      </c>
      <c r="M211" t="n">
        <v>0</v>
      </c>
      <c r="N211" t="n">
        <v>0</v>
      </c>
      <c r="O211" t="n">
        <v>0</v>
      </c>
      <c r="P211" t="n">
        <v>0</v>
      </c>
      <c r="Q211" t="n">
        <v>0</v>
      </c>
      <c r="R211" s="2" t="inlineStr"/>
    </row>
    <row r="212" ht="15" customHeight="1">
      <c r="A212" t="inlineStr">
        <is>
          <t>A 13417-2025</t>
        </is>
      </c>
      <c r="B212" s="1" t="n">
        <v>45736.30940972222</v>
      </c>
      <c r="C212" s="1" t="n">
        <v>46147</v>
      </c>
      <c r="D212" t="inlineStr">
        <is>
          <t>ÖREBRO LÄN</t>
        </is>
      </c>
      <c r="E212" t="inlineStr">
        <is>
          <t>LINDESBERG</t>
        </is>
      </c>
      <c r="G212" t="n">
        <v>2.2</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46147</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65194-2023</t>
        </is>
      </c>
      <c r="B214" s="1" t="n">
        <v>45289</v>
      </c>
      <c r="C214" s="1" t="n">
        <v>46147</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69208-2021</t>
        </is>
      </c>
      <c r="B215" s="1" t="n">
        <v>44531.3575</v>
      </c>
      <c r="C215" s="1" t="n">
        <v>46147</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6962-2023</t>
        </is>
      </c>
      <c r="B216" s="1" t="n">
        <v>44967.60165509259</v>
      </c>
      <c r="C216" s="1" t="n">
        <v>46147</v>
      </c>
      <c r="D216" t="inlineStr">
        <is>
          <t>ÖREBRO LÄN</t>
        </is>
      </c>
      <c r="E216" t="inlineStr">
        <is>
          <t>LINDESBERG</t>
        </is>
      </c>
      <c r="G216" t="n">
        <v>11.4</v>
      </c>
      <c r="H216" t="n">
        <v>0</v>
      </c>
      <c r="I216" t="n">
        <v>0</v>
      </c>
      <c r="J216" t="n">
        <v>0</v>
      </c>
      <c r="K216" t="n">
        <v>0</v>
      </c>
      <c r="L216" t="n">
        <v>0</v>
      </c>
      <c r="M216" t="n">
        <v>0</v>
      </c>
      <c r="N216" t="n">
        <v>0</v>
      </c>
      <c r="O216" t="n">
        <v>0</v>
      </c>
      <c r="P216" t="n">
        <v>0</v>
      </c>
      <c r="Q216" t="n">
        <v>0</v>
      </c>
      <c r="R216" s="2" t="inlineStr"/>
    </row>
    <row r="217" ht="15" customHeight="1">
      <c r="A217" t="inlineStr">
        <is>
          <t>A 36015-2021</t>
        </is>
      </c>
      <c r="B217" s="1" t="n">
        <v>44389</v>
      </c>
      <c r="C217" s="1" t="n">
        <v>46147</v>
      </c>
      <c r="D217" t="inlineStr">
        <is>
          <t>ÖREBRO LÄN</t>
        </is>
      </c>
      <c r="E217" t="inlineStr">
        <is>
          <t>LINDESBERG</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46603-2021</t>
        </is>
      </c>
      <c r="B218" s="1" t="n">
        <v>44445</v>
      </c>
      <c r="C218" s="1" t="n">
        <v>46147</v>
      </c>
      <c r="D218" t="inlineStr">
        <is>
          <t>ÖREBRO LÄN</t>
        </is>
      </c>
      <c r="E218" t="inlineStr">
        <is>
          <t>LINDESBERG</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20954-2024</t>
        </is>
      </c>
      <c r="B219" s="1" t="n">
        <v>45439.56605324074</v>
      </c>
      <c r="C219" s="1" t="n">
        <v>46147</v>
      </c>
      <c r="D219" t="inlineStr">
        <is>
          <t>ÖREBRO LÄN</t>
        </is>
      </c>
      <c r="E219" t="inlineStr">
        <is>
          <t>LINDESBERG</t>
        </is>
      </c>
      <c r="G219" t="n">
        <v>0.9</v>
      </c>
      <c r="H219" t="n">
        <v>0</v>
      </c>
      <c r="I219" t="n">
        <v>0</v>
      </c>
      <c r="J219" t="n">
        <v>0</v>
      </c>
      <c r="K219" t="n">
        <v>0</v>
      </c>
      <c r="L219" t="n">
        <v>0</v>
      </c>
      <c r="M219" t="n">
        <v>0</v>
      </c>
      <c r="N219" t="n">
        <v>0</v>
      </c>
      <c r="O219" t="n">
        <v>0</v>
      </c>
      <c r="P219" t="n">
        <v>0</v>
      </c>
      <c r="Q219" t="n">
        <v>0</v>
      </c>
      <c r="R219" s="2" t="inlineStr"/>
    </row>
    <row r="220" ht="15" customHeight="1">
      <c r="A220" t="inlineStr">
        <is>
          <t>A 29857-2023</t>
        </is>
      </c>
      <c r="B220" s="1" t="n">
        <v>45107</v>
      </c>
      <c r="C220" s="1" t="n">
        <v>46147</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46147</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35739-2024</t>
        </is>
      </c>
      <c r="B222" s="1" t="n">
        <v>45532</v>
      </c>
      <c r="C222" s="1" t="n">
        <v>46147</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30767-2023</t>
        </is>
      </c>
      <c r="B223" s="1" t="n">
        <v>45112.67952546296</v>
      </c>
      <c r="C223" s="1" t="n">
        <v>46147</v>
      </c>
      <c r="D223" t="inlineStr">
        <is>
          <t>ÖREBRO LÄN</t>
        </is>
      </c>
      <c r="E223" t="inlineStr">
        <is>
          <t>LINDESBERG</t>
        </is>
      </c>
      <c r="G223" t="n">
        <v>3.9</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46147</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17895-2022</t>
        </is>
      </c>
      <c r="B225" s="1" t="n">
        <v>44683</v>
      </c>
      <c r="C225" s="1" t="n">
        <v>46147</v>
      </c>
      <c r="D225" t="inlineStr">
        <is>
          <t>ÖREBRO LÄN</t>
        </is>
      </c>
      <c r="E225" t="inlineStr">
        <is>
          <t>LINDESBERG</t>
        </is>
      </c>
      <c r="G225" t="n">
        <v>1.3</v>
      </c>
      <c r="H225" t="n">
        <v>0</v>
      </c>
      <c r="I225" t="n">
        <v>0</v>
      </c>
      <c r="J225" t="n">
        <v>0</v>
      </c>
      <c r="K225" t="n">
        <v>0</v>
      </c>
      <c r="L225" t="n">
        <v>0</v>
      </c>
      <c r="M225" t="n">
        <v>0</v>
      </c>
      <c r="N225" t="n">
        <v>0</v>
      </c>
      <c r="O225" t="n">
        <v>0</v>
      </c>
      <c r="P225" t="n">
        <v>0</v>
      </c>
      <c r="Q225" t="n">
        <v>0</v>
      </c>
      <c r="R225" s="2" t="inlineStr"/>
    </row>
    <row r="226" ht="15" customHeight="1">
      <c r="A226" t="inlineStr">
        <is>
          <t>A 51539-2024</t>
        </is>
      </c>
      <c r="B226" s="1" t="n">
        <v>45604.58837962963</v>
      </c>
      <c r="C226" s="1" t="n">
        <v>46147</v>
      </c>
      <c r="D226" t="inlineStr">
        <is>
          <t>ÖREBRO LÄN</t>
        </is>
      </c>
      <c r="E226" t="inlineStr">
        <is>
          <t>LINDESBERG</t>
        </is>
      </c>
      <c r="G226" t="n">
        <v>1.4</v>
      </c>
      <c r="H226" t="n">
        <v>0</v>
      </c>
      <c r="I226" t="n">
        <v>0</v>
      </c>
      <c r="J226" t="n">
        <v>0</v>
      </c>
      <c r="K226" t="n">
        <v>0</v>
      </c>
      <c r="L226" t="n">
        <v>0</v>
      </c>
      <c r="M226" t="n">
        <v>0</v>
      </c>
      <c r="N226" t="n">
        <v>0</v>
      </c>
      <c r="O226" t="n">
        <v>0</v>
      </c>
      <c r="P226" t="n">
        <v>0</v>
      </c>
      <c r="Q226" t="n">
        <v>0</v>
      </c>
      <c r="R226" s="2" t="inlineStr"/>
    </row>
    <row r="227" ht="15" customHeight="1">
      <c r="A227" t="inlineStr">
        <is>
          <t>A 15752-2024</t>
        </is>
      </c>
      <c r="B227" s="1" t="n">
        <v>45404.55681712963</v>
      </c>
      <c r="C227" s="1" t="n">
        <v>46147</v>
      </c>
      <c r="D227" t="inlineStr">
        <is>
          <t>ÖREBRO LÄN</t>
        </is>
      </c>
      <c r="E227" t="inlineStr">
        <is>
          <t>LINDESBERG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16618-2023</t>
        </is>
      </c>
      <c r="B228" s="1" t="n">
        <v>45030</v>
      </c>
      <c r="C228" s="1" t="n">
        <v>46147</v>
      </c>
      <c r="D228" t="inlineStr">
        <is>
          <t>ÖREBRO LÄN</t>
        </is>
      </c>
      <c r="E228" t="inlineStr">
        <is>
          <t>LINDESBERG</t>
        </is>
      </c>
      <c r="F228" t="inlineStr">
        <is>
          <t>Kommuner</t>
        </is>
      </c>
      <c r="G228" t="n">
        <v>4.6</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46147</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2569-2023</t>
        </is>
      </c>
      <c r="B230" s="1" t="n">
        <v>44943.73792824074</v>
      </c>
      <c r="C230" s="1" t="n">
        <v>46147</v>
      </c>
      <c r="D230" t="inlineStr">
        <is>
          <t>ÖREBRO LÄN</t>
        </is>
      </c>
      <c r="E230" t="inlineStr">
        <is>
          <t>LINDESBERG</t>
        </is>
      </c>
      <c r="G230" t="n">
        <v>2.3</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46147</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61594-2024</t>
        </is>
      </c>
      <c r="B232" s="1" t="n">
        <v>45646.63482638889</v>
      </c>
      <c r="C232" s="1" t="n">
        <v>46147</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19960-2023</t>
        </is>
      </c>
      <c r="B233" s="1" t="n">
        <v>45054</v>
      </c>
      <c r="C233" s="1" t="n">
        <v>46147</v>
      </c>
      <c r="D233" t="inlineStr">
        <is>
          <t>ÖREBRO LÄN</t>
        </is>
      </c>
      <c r="E233" t="inlineStr">
        <is>
          <t>LINDESBERG</t>
        </is>
      </c>
      <c r="G233" t="n">
        <v>6.2</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46147</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46039-2024</t>
        </is>
      </c>
      <c r="B235" s="1" t="n">
        <v>45580.73525462963</v>
      </c>
      <c r="C235" s="1" t="n">
        <v>46147</v>
      </c>
      <c r="D235" t="inlineStr">
        <is>
          <t>ÖREBRO LÄN</t>
        </is>
      </c>
      <c r="E235" t="inlineStr">
        <is>
          <t>LINDESBERG</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46647-2024</t>
        </is>
      </c>
      <c r="B236" s="1" t="n">
        <v>45583</v>
      </c>
      <c r="C236" s="1" t="n">
        <v>46147</v>
      </c>
      <c r="D236" t="inlineStr">
        <is>
          <t>ÖREBRO LÄN</t>
        </is>
      </c>
      <c r="E236" t="inlineStr">
        <is>
          <t>LINDESBERG</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34676-2023</t>
        </is>
      </c>
      <c r="B237" s="1" t="n">
        <v>45140</v>
      </c>
      <c r="C237" s="1" t="n">
        <v>46147</v>
      </c>
      <c r="D237" t="inlineStr">
        <is>
          <t>ÖREBRO LÄN</t>
        </is>
      </c>
      <c r="E237" t="inlineStr">
        <is>
          <t>LINDESBERG</t>
        </is>
      </c>
      <c r="G237" t="n">
        <v>2.4</v>
      </c>
      <c r="H237" t="n">
        <v>0</v>
      </c>
      <c r="I237" t="n">
        <v>0</v>
      </c>
      <c r="J237" t="n">
        <v>0</v>
      </c>
      <c r="K237" t="n">
        <v>0</v>
      </c>
      <c r="L237" t="n">
        <v>0</v>
      </c>
      <c r="M237" t="n">
        <v>0</v>
      </c>
      <c r="N237" t="n">
        <v>0</v>
      </c>
      <c r="O237" t="n">
        <v>0</v>
      </c>
      <c r="P237" t="n">
        <v>0</v>
      </c>
      <c r="Q237" t="n">
        <v>0</v>
      </c>
      <c r="R237" s="2" t="inlineStr"/>
    </row>
    <row r="238" ht="15" customHeight="1">
      <c r="A238" t="inlineStr">
        <is>
          <t>A 16447-2025</t>
        </is>
      </c>
      <c r="B238" s="1" t="n">
        <v>45751.50498842593</v>
      </c>
      <c r="C238" s="1" t="n">
        <v>46147</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43247-2023</t>
        </is>
      </c>
      <c r="B239" s="1" t="n">
        <v>45183.48666666666</v>
      </c>
      <c r="C239" s="1" t="n">
        <v>46147</v>
      </c>
      <c r="D239" t="inlineStr">
        <is>
          <t>ÖREBRO LÄN</t>
        </is>
      </c>
      <c r="E239" t="inlineStr">
        <is>
          <t>LINDESBERG</t>
        </is>
      </c>
      <c r="G239" t="n">
        <v>3</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45158.41768518519</v>
      </c>
      <c r="C240" s="1" t="n">
        <v>46147</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53189-2023</t>
        </is>
      </c>
      <c r="B241" s="1" t="n">
        <v>45194</v>
      </c>
      <c r="C241" s="1" t="n">
        <v>46147</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33282-2024</t>
        </is>
      </c>
      <c r="B242" s="1" t="n">
        <v>45518.71482638889</v>
      </c>
      <c r="C242" s="1" t="n">
        <v>46147</v>
      </c>
      <c r="D242" t="inlineStr">
        <is>
          <t>ÖREBRO LÄN</t>
        </is>
      </c>
      <c r="E242" t="inlineStr">
        <is>
          <t>LINDESBERG</t>
        </is>
      </c>
      <c r="G242" t="n">
        <v>7.5</v>
      </c>
      <c r="H242" t="n">
        <v>0</v>
      </c>
      <c r="I242" t="n">
        <v>0</v>
      </c>
      <c r="J242" t="n">
        <v>0</v>
      </c>
      <c r="K242" t="n">
        <v>0</v>
      </c>
      <c r="L242" t="n">
        <v>0</v>
      </c>
      <c r="M242" t="n">
        <v>0</v>
      </c>
      <c r="N242" t="n">
        <v>0</v>
      </c>
      <c r="O242" t="n">
        <v>0</v>
      </c>
      <c r="P242" t="n">
        <v>0</v>
      </c>
      <c r="Q242" t="n">
        <v>0</v>
      </c>
      <c r="R242" s="2" t="inlineStr"/>
    </row>
    <row r="243" ht="15" customHeight="1">
      <c r="A243" t="inlineStr">
        <is>
          <t>A 23649-2023</t>
        </is>
      </c>
      <c r="B243" s="1" t="n">
        <v>45074</v>
      </c>
      <c r="C243" s="1" t="n">
        <v>46147</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45041-2024</t>
        </is>
      </c>
      <c r="B244" s="1" t="n">
        <v>45575.53690972222</v>
      </c>
      <c r="C244" s="1" t="n">
        <v>46147</v>
      </c>
      <c r="D244" t="inlineStr">
        <is>
          <t>ÖREBRO LÄN</t>
        </is>
      </c>
      <c r="E244" t="inlineStr">
        <is>
          <t>LINDESBERG</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45068-2024</t>
        </is>
      </c>
      <c r="B245" s="1" t="n">
        <v>45575.56256944445</v>
      </c>
      <c r="C245" s="1" t="n">
        <v>46147</v>
      </c>
      <c r="D245" t="inlineStr">
        <is>
          <t>ÖREBRO LÄN</t>
        </is>
      </c>
      <c r="E245" t="inlineStr">
        <is>
          <t>LINDESBERG</t>
        </is>
      </c>
      <c r="F245" t="inlineStr">
        <is>
          <t>Sveaskog</t>
        </is>
      </c>
      <c r="G245" t="n">
        <v>16.5</v>
      </c>
      <c r="H245" t="n">
        <v>0</v>
      </c>
      <c r="I245" t="n">
        <v>0</v>
      </c>
      <c r="J245" t="n">
        <v>0</v>
      </c>
      <c r="K245" t="n">
        <v>0</v>
      </c>
      <c r="L245" t="n">
        <v>0</v>
      </c>
      <c r="M245" t="n">
        <v>0</v>
      </c>
      <c r="N245" t="n">
        <v>0</v>
      </c>
      <c r="O245" t="n">
        <v>0</v>
      </c>
      <c r="P245" t="n">
        <v>0</v>
      </c>
      <c r="Q245" t="n">
        <v>0</v>
      </c>
      <c r="R245" s="2" t="inlineStr"/>
    </row>
    <row r="246" ht="15" customHeight="1">
      <c r="A246" t="inlineStr">
        <is>
          <t>A 29938-2024</t>
        </is>
      </c>
      <c r="B246" s="1" t="n">
        <v>45488.41480324074</v>
      </c>
      <c r="C246" s="1" t="n">
        <v>46147</v>
      </c>
      <c r="D246" t="inlineStr">
        <is>
          <t>ÖREBRO LÄN</t>
        </is>
      </c>
      <c r="E246" t="inlineStr">
        <is>
          <t>LINDESBERG</t>
        </is>
      </c>
      <c r="G246" t="n">
        <v>4</v>
      </c>
      <c r="H246" t="n">
        <v>0</v>
      </c>
      <c r="I246" t="n">
        <v>0</v>
      </c>
      <c r="J246" t="n">
        <v>0</v>
      </c>
      <c r="K246" t="n">
        <v>0</v>
      </c>
      <c r="L246" t="n">
        <v>0</v>
      </c>
      <c r="M246" t="n">
        <v>0</v>
      </c>
      <c r="N246" t="n">
        <v>0</v>
      </c>
      <c r="O246" t="n">
        <v>0</v>
      </c>
      <c r="P246" t="n">
        <v>0</v>
      </c>
      <c r="Q246" t="n">
        <v>0</v>
      </c>
      <c r="R246" s="2" t="inlineStr"/>
    </row>
    <row r="247" ht="15" customHeight="1">
      <c r="A247" t="inlineStr">
        <is>
          <t>A 47535-2022</t>
        </is>
      </c>
      <c r="B247" s="1" t="n">
        <v>44853.79818287037</v>
      </c>
      <c r="C247" s="1" t="n">
        <v>46147</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43433-2024</t>
        </is>
      </c>
      <c r="B248" s="1" t="n">
        <v>45568.64523148148</v>
      </c>
      <c r="C248" s="1" t="n">
        <v>46147</v>
      </c>
      <c r="D248" t="inlineStr">
        <is>
          <t>ÖREBRO LÄN</t>
        </is>
      </c>
      <c r="E248" t="inlineStr">
        <is>
          <t>LINDESBERG</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1490-2024</t>
        </is>
      </c>
      <c r="B249" s="1" t="n">
        <v>45305</v>
      </c>
      <c r="C249" s="1" t="n">
        <v>46147</v>
      </c>
      <c r="D249" t="inlineStr">
        <is>
          <t>ÖREBRO LÄN</t>
        </is>
      </c>
      <c r="E249" t="inlineStr">
        <is>
          <t>LINDESBERG</t>
        </is>
      </c>
      <c r="G249" t="n">
        <v>17.6</v>
      </c>
      <c r="H249" t="n">
        <v>0</v>
      </c>
      <c r="I249" t="n">
        <v>0</v>
      </c>
      <c r="J249" t="n">
        <v>0</v>
      </c>
      <c r="K249" t="n">
        <v>0</v>
      </c>
      <c r="L249" t="n">
        <v>0</v>
      </c>
      <c r="M249" t="n">
        <v>0</v>
      </c>
      <c r="N249" t="n">
        <v>0</v>
      </c>
      <c r="O249" t="n">
        <v>0</v>
      </c>
      <c r="P249" t="n">
        <v>0</v>
      </c>
      <c r="Q249" t="n">
        <v>0</v>
      </c>
      <c r="R249" s="2" t="inlineStr"/>
    </row>
    <row r="250" ht="15" customHeight="1">
      <c r="A250" t="inlineStr">
        <is>
          <t>A 23102-2023</t>
        </is>
      </c>
      <c r="B250" s="1" t="n">
        <v>45075.44152777778</v>
      </c>
      <c r="C250" s="1" t="n">
        <v>46147</v>
      </c>
      <c r="D250" t="inlineStr">
        <is>
          <t>ÖREBRO LÄN</t>
        </is>
      </c>
      <c r="E250" t="inlineStr">
        <is>
          <t>LINDESBERG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7201-2024</t>
        </is>
      </c>
      <c r="B251" s="1" t="n">
        <v>45344.6027662037</v>
      </c>
      <c r="C251" s="1" t="n">
        <v>46147</v>
      </c>
      <c r="D251" t="inlineStr">
        <is>
          <t>ÖREBRO LÄN</t>
        </is>
      </c>
      <c r="E251" t="inlineStr">
        <is>
          <t>LINDESBERG</t>
        </is>
      </c>
      <c r="G251" t="n">
        <v>4.7</v>
      </c>
      <c r="H251" t="n">
        <v>0</v>
      </c>
      <c r="I251" t="n">
        <v>0</v>
      </c>
      <c r="J251" t="n">
        <v>0</v>
      </c>
      <c r="K251" t="n">
        <v>0</v>
      </c>
      <c r="L251" t="n">
        <v>0</v>
      </c>
      <c r="M251" t="n">
        <v>0</v>
      </c>
      <c r="N251" t="n">
        <v>0</v>
      </c>
      <c r="O251" t="n">
        <v>0</v>
      </c>
      <c r="P251" t="n">
        <v>0</v>
      </c>
      <c r="Q251" t="n">
        <v>0</v>
      </c>
      <c r="R251" s="2" t="inlineStr"/>
    </row>
    <row r="252" ht="15" customHeight="1">
      <c r="A252" t="inlineStr">
        <is>
          <t>A 2414-2024</t>
        </is>
      </c>
      <c r="B252" s="1" t="n">
        <v>45310.87931712963</v>
      </c>
      <c r="C252" s="1" t="n">
        <v>46147</v>
      </c>
      <c r="D252" t="inlineStr">
        <is>
          <t>ÖREBRO LÄN</t>
        </is>
      </c>
      <c r="E252" t="inlineStr">
        <is>
          <t>LINDESBERG</t>
        </is>
      </c>
      <c r="G252" t="n">
        <v>7.2</v>
      </c>
      <c r="H252" t="n">
        <v>0</v>
      </c>
      <c r="I252" t="n">
        <v>0</v>
      </c>
      <c r="J252" t="n">
        <v>0</v>
      </c>
      <c r="K252" t="n">
        <v>0</v>
      </c>
      <c r="L252" t="n">
        <v>0</v>
      </c>
      <c r="M252" t="n">
        <v>0</v>
      </c>
      <c r="N252" t="n">
        <v>0</v>
      </c>
      <c r="O252" t="n">
        <v>0</v>
      </c>
      <c r="P252" t="n">
        <v>0</v>
      </c>
      <c r="Q252" t="n">
        <v>0</v>
      </c>
      <c r="R252" s="2" t="inlineStr"/>
    </row>
    <row r="253" ht="15" customHeight="1">
      <c r="A253" t="inlineStr">
        <is>
          <t>A 5080-2024</t>
        </is>
      </c>
      <c r="B253" s="1" t="n">
        <v>45330</v>
      </c>
      <c r="C253" s="1" t="n">
        <v>46147</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27434-2023</t>
        </is>
      </c>
      <c r="B254" s="1" t="n">
        <v>45097.38688657407</v>
      </c>
      <c r="C254" s="1" t="n">
        <v>46147</v>
      </c>
      <c r="D254" t="inlineStr">
        <is>
          <t>ÖREBRO LÄN</t>
        </is>
      </c>
      <c r="E254" t="inlineStr">
        <is>
          <t>LINDESBERG</t>
        </is>
      </c>
      <c r="G254" t="n">
        <v>10.7</v>
      </c>
      <c r="H254" t="n">
        <v>0</v>
      </c>
      <c r="I254" t="n">
        <v>0</v>
      </c>
      <c r="J254" t="n">
        <v>0</v>
      </c>
      <c r="K254" t="n">
        <v>0</v>
      </c>
      <c r="L254" t="n">
        <v>0</v>
      </c>
      <c r="M254" t="n">
        <v>0</v>
      </c>
      <c r="N254" t="n">
        <v>0</v>
      </c>
      <c r="O254" t="n">
        <v>0</v>
      </c>
      <c r="P254" t="n">
        <v>0</v>
      </c>
      <c r="Q254" t="n">
        <v>0</v>
      </c>
      <c r="R254" s="2" t="inlineStr"/>
    </row>
    <row r="255" ht="15" customHeight="1">
      <c r="A255" t="inlineStr">
        <is>
          <t>A 52930-2024</t>
        </is>
      </c>
      <c r="B255" s="1" t="n">
        <v>45610.7466087963</v>
      </c>
      <c r="C255" s="1" t="n">
        <v>46147</v>
      </c>
      <c r="D255" t="inlineStr">
        <is>
          <t>ÖREBRO LÄN</t>
        </is>
      </c>
      <c r="E255" t="inlineStr">
        <is>
          <t>LINDESBERG</t>
        </is>
      </c>
      <c r="G255" t="n">
        <v>2.8</v>
      </c>
      <c r="H255" t="n">
        <v>0</v>
      </c>
      <c r="I255" t="n">
        <v>0</v>
      </c>
      <c r="J255" t="n">
        <v>0</v>
      </c>
      <c r="K255" t="n">
        <v>0</v>
      </c>
      <c r="L255" t="n">
        <v>0</v>
      </c>
      <c r="M255" t="n">
        <v>0</v>
      </c>
      <c r="N255" t="n">
        <v>0</v>
      </c>
      <c r="O255" t="n">
        <v>0</v>
      </c>
      <c r="P255" t="n">
        <v>0</v>
      </c>
      <c r="Q255" t="n">
        <v>0</v>
      </c>
      <c r="R255" s="2" t="inlineStr"/>
    </row>
    <row r="256" ht="15" customHeight="1">
      <c r="A256" t="inlineStr">
        <is>
          <t>A 56579-2023</t>
        </is>
      </c>
      <c r="B256" s="1" t="n">
        <v>45243.62420138889</v>
      </c>
      <c r="C256" s="1" t="n">
        <v>46147</v>
      </c>
      <c r="D256" t="inlineStr">
        <is>
          <t>ÖREBRO LÄN</t>
        </is>
      </c>
      <c r="E256" t="inlineStr">
        <is>
          <t>LINDESBERG</t>
        </is>
      </c>
      <c r="F256" t="inlineStr">
        <is>
          <t>Naturvårdsverket</t>
        </is>
      </c>
      <c r="G256" t="n">
        <v>1.6</v>
      </c>
      <c r="H256" t="n">
        <v>0</v>
      </c>
      <c r="I256" t="n">
        <v>0</v>
      </c>
      <c r="J256" t="n">
        <v>0</v>
      </c>
      <c r="K256" t="n">
        <v>0</v>
      </c>
      <c r="L256" t="n">
        <v>0</v>
      </c>
      <c r="M256" t="n">
        <v>0</v>
      </c>
      <c r="N256" t="n">
        <v>0</v>
      </c>
      <c r="O256" t="n">
        <v>0</v>
      </c>
      <c r="P256" t="n">
        <v>0</v>
      </c>
      <c r="Q256" t="n">
        <v>0</v>
      </c>
      <c r="R256" s="2" t="inlineStr"/>
    </row>
    <row r="257" ht="15" customHeight="1">
      <c r="A257" t="inlineStr">
        <is>
          <t>A 56582-2023</t>
        </is>
      </c>
      <c r="B257" s="1" t="n">
        <v>45243</v>
      </c>
      <c r="C257" s="1" t="n">
        <v>46147</v>
      </c>
      <c r="D257" t="inlineStr">
        <is>
          <t>ÖREBRO LÄN</t>
        </is>
      </c>
      <c r="E257" t="inlineStr">
        <is>
          <t>LINDESBERG</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4440-2024</t>
        </is>
      </c>
      <c r="B258" s="1" t="n">
        <v>45327</v>
      </c>
      <c r="C258" s="1" t="n">
        <v>46147</v>
      </c>
      <c r="D258" t="inlineStr">
        <is>
          <t>ÖREBRO LÄN</t>
        </is>
      </c>
      <c r="E258" t="inlineStr">
        <is>
          <t>LINDESBERG</t>
        </is>
      </c>
      <c r="F258" t="inlineStr">
        <is>
          <t>BillerudKorsnäs AB</t>
        </is>
      </c>
      <c r="G258" t="n">
        <v>2</v>
      </c>
      <c r="H258" t="n">
        <v>0</v>
      </c>
      <c r="I258" t="n">
        <v>0</v>
      </c>
      <c r="J258" t="n">
        <v>0</v>
      </c>
      <c r="K258" t="n">
        <v>0</v>
      </c>
      <c r="L258" t="n">
        <v>0</v>
      </c>
      <c r="M258" t="n">
        <v>0</v>
      </c>
      <c r="N258" t="n">
        <v>0</v>
      </c>
      <c r="O258" t="n">
        <v>0</v>
      </c>
      <c r="P258" t="n">
        <v>0</v>
      </c>
      <c r="Q258" t="n">
        <v>0</v>
      </c>
      <c r="R258" s="2" t="inlineStr"/>
    </row>
    <row r="259" ht="15" customHeight="1">
      <c r="A259" t="inlineStr">
        <is>
          <t>A 41947-2023</t>
        </is>
      </c>
      <c r="B259" s="1" t="n">
        <v>45177.31795138889</v>
      </c>
      <c r="C259" s="1" t="n">
        <v>46147</v>
      </c>
      <c r="D259" t="inlineStr">
        <is>
          <t>ÖREBRO LÄN</t>
        </is>
      </c>
      <c r="E259" t="inlineStr">
        <is>
          <t>LINDESBERG</t>
        </is>
      </c>
      <c r="F259" t="inlineStr">
        <is>
          <t>Kyrkan</t>
        </is>
      </c>
      <c r="G259" t="n">
        <v>0.7</v>
      </c>
      <c r="H259" t="n">
        <v>0</v>
      </c>
      <c r="I259" t="n">
        <v>0</v>
      </c>
      <c r="J259" t="n">
        <v>0</v>
      </c>
      <c r="K259" t="n">
        <v>0</v>
      </c>
      <c r="L259" t="n">
        <v>0</v>
      </c>
      <c r="M259" t="n">
        <v>0</v>
      </c>
      <c r="N259" t="n">
        <v>0</v>
      </c>
      <c r="O259" t="n">
        <v>0</v>
      </c>
      <c r="P259" t="n">
        <v>0</v>
      </c>
      <c r="Q259" t="n">
        <v>0</v>
      </c>
      <c r="R259" s="2" t="inlineStr"/>
    </row>
    <row r="260" ht="15" customHeight="1">
      <c r="A260" t="inlineStr">
        <is>
          <t>A 37738-2024</t>
        </is>
      </c>
      <c r="B260" s="1" t="n">
        <v>45541.66916666667</v>
      </c>
      <c r="C260" s="1" t="n">
        <v>46147</v>
      </c>
      <c r="D260" t="inlineStr">
        <is>
          <t>ÖREBRO LÄN</t>
        </is>
      </c>
      <c r="E260" t="inlineStr">
        <is>
          <t>LINDESBERG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15899-2025</t>
        </is>
      </c>
      <c r="B261" s="1" t="n">
        <v>45749.42258101852</v>
      </c>
      <c r="C261" s="1" t="n">
        <v>46147</v>
      </c>
      <c r="D261" t="inlineStr">
        <is>
          <t>ÖREBRO LÄN</t>
        </is>
      </c>
      <c r="E261" t="inlineStr">
        <is>
          <t>LINDESBERG</t>
        </is>
      </c>
      <c r="G261" t="n">
        <v>6.6</v>
      </c>
      <c r="H261" t="n">
        <v>0</v>
      </c>
      <c r="I261" t="n">
        <v>0</v>
      </c>
      <c r="J261" t="n">
        <v>0</v>
      </c>
      <c r="K261" t="n">
        <v>0</v>
      </c>
      <c r="L261" t="n">
        <v>0</v>
      </c>
      <c r="M261" t="n">
        <v>0</v>
      </c>
      <c r="N261" t="n">
        <v>0</v>
      </c>
      <c r="O261" t="n">
        <v>0</v>
      </c>
      <c r="P261" t="n">
        <v>0</v>
      </c>
      <c r="Q261" t="n">
        <v>0</v>
      </c>
      <c r="R261" s="2" t="inlineStr"/>
    </row>
    <row r="262" ht="15" customHeight="1">
      <c r="A262" t="inlineStr">
        <is>
          <t>A 52284-2024</t>
        </is>
      </c>
      <c r="B262" s="1" t="n">
        <v>45608</v>
      </c>
      <c r="C262" s="1" t="n">
        <v>46147</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15933-2025</t>
        </is>
      </c>
      <c r="B263" s="1" t="n">
        <v>45749.47251157407</v>
      </c>
      <c r="C263" s="1" t="n">
        <v>46147</v>
      </c>
      <c r="D263" t="inlineStr">
        <is>
          <t>ÖREBRO LÄN</t>
        </is>
      </c>
      <c r="E263" t="inlineStr">
        <is>
          <t>LINDESBERG</t>
        </is>
      </c>
      <c r="G263" t="n">
        <v>6.1</v>
      </c>
      <c r="H263" t="n">
        <v>0</v>
      </c>
      <c r="I263" t="n">
        <v>0</v>
      </c>
      <c r="J263" t="n">
        <v>0</v>
      </c>
      <c r="K263" t="n">
        <v>0</v>
      </c>
      <c r="L263" t="n">
        <v>0</v>
      </c>
      <c r="M263" t="n">
        <v>0</v>
      </c>
      <c r="N263" t="n">
        <v>0</v>
      </c>
      <c r="O263" t="n">
        <v>0</v>
      </c>
      <c r="P263" t="n">
        <v>0</v>
      </c>
      <c r="Q263" t="n">
        <v>0</v>
      </c>
      <c r="R263" s="2" t="inlineStr"/>
    </row>
    <row r="264" ht="15" customHeight="1">
      <c r="A264" t="inlineStr">
        <is>
          <t>A 15895-2025</t>
        </is>
      </c>
      <c r="B264" s="1" t="n">
        <v>45749</v>
      </c>
      <c r="C264" s="1" t="n">
        <v>46147</v>
      </c>
      <c r="D264" t="inlineStr">
        <is>
          <t>ÖREBRO LÄN</t>
        </is>
      </c>
      <c r="E264" t="inlineStr">
        <is>
          <t>LINDESBERG</t>
        </is>
      </c>
      <c r="G264" t="n">
        <v>1</v>
      </c>
      <c r="H264" t="n">
        <v>0</v>
      </c>
      <c r="I264" t="n">
        <v>0</v>
      </c>
      <c r="J264" t="n">
        <v>0</v>
      </c>
      <c r="K264" t="n">
        <v>0</v>
      </c>
      <c r="L264" t="n">
        <v>0</v>
      </c>
      <c r="M264" t="n">
        <v>0</v>
      </c>
      <c r="N264" t="n">
        <v>0</v>
      </c>
      <c r="O264" t="n">
        <v>0</v>
      </c>
      <c r="P264" t="n">
        <v>0</v>
      </c>
      <c r="Q264" t="n">
        <v>0</v>
      </c>
      <c r="R264" s="2" t="inlineStr"/>
    </row>
    <row r="265" ht="15" customHeight="1">
      <c r="A265" t="inlineStr">
        <is>
          <t>A 62968-2023</t>
        </is>
      </c>
      <c r="B265" s="1" t="n">
        <v>45272.57385416667</v>
      </c>
      <c r="C265" s="1" t="n">
        <v>46147</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15936-2025</t>
        </is>
      </c>
      <c r="B266" s="1" t="n">
        <v>45749.4737962963</v>
      </c>
      <c r="C266" s="1" t="n">
        <v>46147</v>
      </c>
      <c r="D266" t="inlineStr">
        <is>
          <t>ÖREBRO LÄN</t>
        </is>
      </c>
      <c r="E266" t="inlineStr">
        <is>
          <t>LINDESBERG</t>
        </is>
      </c>
      <c r="G266" t="n">
        <v>22.3</v>
      </c>
      <c r="H266" t="n">
        <v>0</v>
      </c>
      <c r="I266" t="n">
        <v>0</v>
      </c>
      <c r="J266" t="n">
        <v>0</v>
      </c>
      <c r="K266" t="n">
        <v>0</v>
      </c>
      <c r="L266" t="n">
        <v>0</v>
      </c>
      <c r="M266" t="n">
        <v>0</v>
      </c>
      <c r="N266" t="n">
        <v>0</v>
      </c>
      <c r="O266" t="n">
        <v>0</v>
      </c>
      <c r="P266" t="n">
        <v>0</v>
      </c>
      <c r="Q266" t="n">
        <v>0</v>
      </c>
      <c r="R266" s="2" t="inlineStr"/>
    </row>
    <row r="267" ht="15" customHeight="1">
      <c r="A267" t="inlineStr">
        <is>
          <t>A 10564-2023</t>
        </is>
      </c>
      <c r="B267" s="1" t="n">
        <v>44988</v>
      </c>
      <c r="C267" s="1" t="n">
        <v>46147</v>
      </c>
      <c r="D267" t="inlineStr">
        <is>
          <t>ÖREBRO LÄN</t>
        </is>
      </c>
      <c r="E267" t="inlineStr">
        <is>
          <t>LINDESBERG</t>
        </is>
      </c>
      <c r="F267" t="inlineStr">
        <is>
          <t>Kyrkan</t>
        </is>
      </c>
      <c r="G267" t="n">
        <v>1.6</v>
      </c>
      <c r="H267" t="n">
        <v>0</v>
      </c>
      <c r="I267" t="n">
        <v>0</v>
      </c>
      <c r="J267" t="n">
        <v>0</v>
      </c>
      <c r="K267" t="n">
        <v>0</v>
      </c>
      <c r="L267" t="n">
        <v>0</v>
      </c>
      <c r="M267" t="n">
        <v>0</v>
      </c>
      <c r="N267" t="n">
        <v>0</v>
      </c>
      <c r="O267" t="n">
        <v>0</v>
      </c>
      <c r="P267" t="n">
        <v>0</v>
      </c>
      <c r="Q267" t="n">
        <v>0</v>
      </c>
      <c r="R267" s="2" t="inlineStr"/>
    </row>
    <row r="268" ht="15" customHeight="1">
      <c r="A268" t="inlineStr">
        <is>
          <t>A 30830-2024</t>
        </is>
      </c>
      <c r="B268" s="1" t="n">
        <v>45497</v>
      </c>
      <c r="C268" s="1" t="n">
        <v>46147</v>
      </c>
      <c r="D268" t="inlineStr">
        <is>
          <t>ÖREBRO LÄN</t>
        </is>
      </c>
      <c r="E268" t="inlineStr">
        <is>
          <t>LINDESBERG</t>
        </is>
      </c>
      <c r="G268" t="n">
        <v>2.8</v>
      </c>
      <c r="H268" t="n">
        <v>0</v>
      </c>
      <c r="I268" t="n">
        <v>0</v>
      </c>
      <c r="J268" t="n">
        <v>0</v>
      </c>
      <c r="K268" t="n">
        <v>0</v>
      </c>
      <c r="L268" t="n">
        <v>0</v>
      </c>
      <c r="M268" t="n">
        <v>0</v>
      </c>
      <c r="N268" t="n">
        <v>0</v>
      </c>
      <c r="O268" t="n">
        <v>0</v>
      </c>
      <c r="P268" t="n">
        <v>0</v>
      </c>
      <c r="Q268" t="n">
        <v>0</v>
      </c>
      <c r="R268" s="2" t="inlineStr"/>
    </row>
    <row r="269" ht="15" customHeight="1">
      <c r="A269" t="inlineStr">
        <is>
          <t>A 10836-2024</t>
        </is>
      </c>
      <c r="B269" s="1" t="n">
        <v>45369</v>
      </c>
      <c r="C269" s="1" t="n">
        <v>46147</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36291-2022</t>
        </is>
      </c>
      <c r="B270" s="1" t="n">
        <v>44803.64361111111</v>
      </c>
      <c r="C270" s="1" t="n">
        <v>46147</v>
      </c>
      <c r="D270" t="inlineStr">
        <is>
          <t>ÖREBRO LÄN</t>
        </is>
      </c>
      <c r="E270" t="inlineStr">
        <is>
          <t>LINDESBERG</t>
        </is>
      </c>
      <c r="G270" t="n">
        <v>3.8</v>
      </c>
      <c r="H270" t="n">
        <v>0</v>
      </c>
      <c r="I270" t="n">
        <v>0</v>
      </c>
      <c r="J270" t="n">
        <v>0</v>
      </c>
      <c r="K270" t="n">
        <v>0</v>
      </c>
      <c r="L270" t="n">
        <v>0</v>
      </c>
      <c r="M270" t="n">
        <v>0</v>
      </c>
      <c r="N270" t="n">
        <v>0</v>
      </c>
      <c r="O270" t="n">
        <v>0</v>
      </c>
      <c r="P270" t="n">
        <v>0</v>
      </c>
      <c r="Q270" t="n">
        <v>0</v>
      </c>
      <c r="R270" s="2" t="inlineStr"/>
    </row>
    <row r="271" ht="15" customHeight="1">
      <c r="A271" t="inlineStr">
        <is>
          <t>A 23536-2023</t>
        </is>
      </c>
      <c r="B271" s="1" t="n">
        <v>45077</v>
      </c>
      <c r="C271" s="1" t="n">
        <v>46147</v>
      </c>
      <c r="D271" t="inlineStr">
        <is>
          <t>ÖREBRO LÄN</t>
        </is>
      </c>
      <c r="E271" t="inlineStr">
        <is>
          <t>LINDESBERG</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4999-2025</t>
        </is>
      </c>
      <c r="B272" s="1" t="n">
        <v>45691.36253472222</v>
      </c>
      <c r="C272" s="1" t="n">
        <v>46147</v>
      </c>
      <c r="D272" t="inlineStr">
        <is>
          <t>ÖREBRO LÄN</t>
        </is>
      </c>
      <c r="E272" t="inlineStr">
        <is>
          <t>LINDESBERG</t>
        </is>
      </c>
      <c r="G272" t="n">
        <v>4.7</v>
      </c>
      <c r="H272" t="n">
        <v>0</v>
      </c>
      <c r="I272" t="n">
        <v>0</v>
      </c>
      <c r="J272" t="n">
        <v>0</v>
      </c>
      <c r="K272" t="n">
        <v>0</v>
      </c>
      <c r="L272" t="n">
        <v>0</v>
      </c>
      <c r="M272" t="n">
        <v>0</v>
      </c>
      <c r="N272" t="n">
        <v>0</v>
      </c>
      <c r="O272" t="n">
        <v>0</v>
      </c>
      <c r="P272" t="n">
        <v>0</v>
      </c>
      <c r="Q272" t="n">
        <v>0</v>
      </c>
      <c r="R272" s="2" t="inlineStr"/>
    </row>
    <row r="273" ht="15" customHeight="1">
      <c r="A273" t="inlineStr">
        <is>
          <t>A 38552-2023</t>
        </is>
      </c>
      <c r="B273" s="1" t="n">
        <v>45162.5978125</v>
      </c>
      <c r="C273" s="1" t="n">
        <v>46147</v>
      </c>
      <c r="D273" t="inlineStr">
        <is>
          <t>ÖREBRO LÄN</t>
        </is>
      </c>
      <c r="E273" t="inlineStr">
        <is>
          <t>LINDESBERG</t>
        </is>
      </c>
      <c r="G273" t="n">
        <v>10.4</v>
      </c>
      <c r="H273" t="n">
        <v>0</v>
      </c>
      <c r="I273" t="n">
        <v>0</v>
      </c>
      <c r="J273" t="n">
        <v>0</v>
      </c>
      <c r="K273" t="n">
        <v>0</v>
      </c>
      <c r="L273" t="n">
        <v>0</v>
      </c>
      <c r="M273" t="n">
        <v>0</v>
      </c>
      <c r="N273" t="n">
        <v>0</v>
      </c>
      <c r="O273" t="n">
        <v>0</v>
      </c>
      <c r="P273" t="n">
        <v>0</v>
      </c>
      <c r="Q273" t="n">
        <v>0</v>
      </c>
      <c r="R273" s="2" t="inlineStr"/>
    </row>
    <row r="274" ht="15" customHeight="1">
      <c r="A274" t="inlineStr">
        <is>
          <t>A 15213-2025</t>
        </is>
      </c>
      <c r="B274" s="1" t="n">
        <v>45744.57851851852</v>
      </c>
      <c r="C274" s="1" t="n">
        <v>46147</v>
      </c>
      <c r="D274" t="inlineStr">
        <is>
          <t>ÖREBRO LÄN</t>
        </is>
      </c>
      <c r="E274" t="inlineStr">
        <is>
          <t>LINDESBERG</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24944-2024</t>
        </is>
      </c>
      <c r="B275" s="1" t="n">
        <v>45461.62924768519</v>
      </c>
      <c r="C275" s="1" t="n">
        <v>46147</v>
      </c>
      <c r="D275" t="inlineStr">
        <is>
          <t>ÖREBRO LÄN</t>
        </is>
      </c>
      <c r="E275" t="inlineStr">
        <is>
          <t>LINDESBERG</t>
        </is>
      </c>
      <c r="F275" t="inlineStr">
        <is>
          <t>Kyrkan</t>
        </is>
      </c>
      <c r="G275" t="n">
        <v>13.7</v>
      </c>
      <c r="H275" t="n">
        <v>0</v>
      </c>
      <c r="I275" t="n">
        <v>0</v>
      </c>
      <c r="J275" t="n">
        <v>0</v>
      </c>
      <c r="K275" t="n">
        <v>0</v>
      </c>
      <c r="L275" t="n">
        <v>0</v>
      </c>
      <c r="M275" t="n">
        <v>0</v>
      </c>
      <c r="N275" t="n">
        <v>0</v>
      </c>
      <c r="O275" t="n">
        <v>0</v>
      </c>
      <c r="P275" t="n">
        <v>0</v>
      </c>
      <c r="Q275" t="n">
        <v>0</v>
      </c>
      <c r="R275" s="2" t="inlineStr"/>
    </row>
    <row r="276" ht="15" customHeight="1">
      <c r="A276" t="inlineStr">
        <is>
          <t>A 56561-2023</t>
        </is>
      </c>
      <c r="B276" s="1" t="n">
        <v>45243</v>
      </c>
      <c r="C276" s="1" t="n">
        <v>46147</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15941-2025</t>
        </is>
      </c>
      <c r="B277" s="1" t="n">
        <v>45749</v>
      </c>
      <c r="C277" s="1" t="n">
        <v>46147</v>
      </c>
      <c r="D277" t="inlineStr">
        <is>
          <t>ÖREBRO LÄN</t>
        </is>
      </c>
      <c r="E277" t="inlineStr">
        <is>
          <t>LINDESBERG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33716-2021</t>
        </is>
      </c>
      <c r="B278" s="1" t="n">
        <v>44378.46857638889</v>
      </c>
      <c r="C278" s="1" t="n">
        <v>46147</v>
      </c>
      <c r="D278" t="inlineStr">
        <is>
          <t>ÖREBRO LÄN</t>
        </is>
      </c>
      <c r="E278" t="inlineStr">
        <is>
          <t>LINDESBERG</t>
        </is>
      </c>
      <c r="G278" t="n">
        <v>4.6</v>
      </c>
      <c r="H278" t="n">
        <v>0</v>
      </c>
      <c r="I278" t="n">
        <v>0</v>
      </c>
      <c r="J278" t="n">
        <v>0</v>
      </c>
      <c r="K278" t="n">
        <v>0</v>
      </c>
      <c r="L278" t="n">
        <v>0</v>
      </c>
      <c r="M278" t="n">
        <v>0</v>
      </c>
      <c r="N278" t="n">
        <v>0</v>
      </c>
      <c r="O278" t="n">
        <v>0</v>
      </c>
      <c r="P278" t="n">
        <v>0</v>
      </c>
      <c r="Q278" t="n">
        <v>0</v>
      </c>
      <c r="R278" s="2" t="inlineStr"/>
    </row>
    <row r="279" ht="15" customHeight="1">
      <c r="A279" t="inlineStr">
        <is>
          <t>A 19914-2024</t>
        </is>
      </c>
      <c r="B279" s="1" t="n">
        <v>45433.58099537037</v>
      </c>
      <c r="C279" s="1" t="n">
        <v>46147</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55631-2022</t>
        </is>
      </c>
      <c r="B280" s="1" t="n">
        <v>44888.4577662037</v>
      </c>
      <c r="C280" s="1" t="n">
        <v>46147</v>
      </c>
      <c r="D280" t="inlineStr">
        <is>
          <t>ÖREBRO LÄN</t>
        </is>
      </c>
      <c r="E280" t="inlineStr">
        <is>
          <t>LINDESBERG</t>
        </is>
      </c>
      <c r="G280" t="n">
        <v>4.4</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46147</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15212-2025</t>
        </is>
      </c>
      <c r="B282" s="1" t="n">
        <v>45744.57673611111</v>
      </c>
      <c r="C282" s="1" t="n">
        <v>46147</v>
      </c>
      <c r="D282" t="inlineStr">
        <is>
          <t>ÖREBRO LÄN</t>
        </is>
      </c>
      <c r="E282" t="inlineStr">
        <is>
          <t>LINDESBERG</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40905-2023</t>
        </is>
      </c>
      <c r="B283" s="1" t="n">
        <v>45173.39315972223</v>
      </c>
      <c r="C283" s="1" t="n">
        <v>46147</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265-2023</t>
        </is>
      </c>
      <c r="B284" s="1" t="n">
        <v>44928</v>
      </c>
      <c r="C284" s="1" t="n">
        <v>46147</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40085-2023</t>
        </is>
      </c>
      <c r="B285" s="1" t="n">
        <v>45168.92155092592</v>
      </c>
      <c r="C285" s="1" t="n">
        <v>46147</v>
      </c>
      <c r="D285" t="inlineStr">
        <is>
          <t>ÖREBRO LÄN</t>
        </is>
      </c>
      <c r="E285" t="inlineStr">
        <is>
          <t>LINDESBERG</t>
        </is>
      </c>
      <c r="G285" t="n">
        <v>6.1</v>
      </c>
      <c r="H285" t="n">
        <v>0</v>
      </c>
      <c r="I285" t="n">
        <v>0</v>
      </c>
      <c r="J285" t="n">
        <v>0</v>
      </c>
      <c r="K285" t="n">
        <v>0</v>
      </c>
      <c r="L285" t="n">
        <v>0</v>
      </c>
      <c r="M285" t="n">
        <v>0</v>
      </c>
      <c r="N285" t="n">
        <v>0</v>
      </c>
      <c r="O285" t="n">
        <v>0</v>
      </c>
      <c r="P285" t="n">
        <v>0</v>
      </c>
      <c r="Q285" t="n">
        <v>0</v>
      </c>
      <c r="R285" s="2" t="inlineStr"/>
    </row>
    <row r="286" ht="15" customHeight="1">
      <c r="A286" t="inlineStr">
        <is>
          <t>A 40117-2023</t>
        </is>
      </c>
      <c r="B286" s="1" t="n">
        <v>45168.94197916667</v>
      </c>
      <c r="C286" s="1" t="n">
        <v>46147</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60115-2022</t>
        </is>
      </c>
      <c r="B287" s="1" t="n">
        <v>44902</v>
      </c>
      <c r="C287" s="1" t="n">
        <v>46147</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9966-2023</t>
        </is>
      </c>
      <c r="B288" s="1" t="n">
        <v>44979</v>
      </c>
      <c r="C288" s="1" t="n">
        <v>46147</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21390-2024</t>
        </is>
      </c>
      <c r="B289" s="1" t="n">
        <v>45441.30899305556</v>
      </c>
      <c r="C289" s="1" t="n">
        <v>46147</v>
      </c>
      <c r="D289" t="inlineStr">
        <is>
          <t>ÖREBRO LÄN</t>
        </is>
      </c>
      <c r="E289" t="inlineStr">
        <is>
          <t>LINDESBERG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21392-2024</t>
        </is>
      </c>
      <c r="B290" s="1" t="n">
        <v>45441.30998842593</v>
      </c>
      <c r="C290" s="1" t="n">
        <v>46147</v>
      </c>
      <c r="D290" t="inlineStr">
        <is>
          <t>ÖREBRO LÄN</t>
        </is>
      </c>
      <c r="E290" t="inlineStr">
        <is>
          <t>LINDESBERG</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56507-2021</t>
        </is>
      </c>
      <c r="B291" s="1" t="n">
        <v>44480.58034722223</v>
      </c>
      <c r="C291" s="1" t="n">
        <v>46147</v>
      </c>
      <c r="D291" t="inlineStr">
        <is>
          <t>ÖREBRO LÄN</t>
        </is>
      </c>
      <c r="E291" t="inlineStr">
        <is>
          <t>LINDESBERG</t>
        </is>
      </c>
      <c r="G291" t="n">
        <v>2.3</v>
      </c>
      <c r="H291" t="n">
        <v>0</v>
      </c>
      <c r="I291" t="n">
        <v>0</v>
      </c>
      <c r="J291" t="n">
        <v>0</v>
      </c>
      <c r="K291" t="n">
        <v>0</v>
      </c>
      <c r="L291" t="n">
        <v>0</v>
      </c>
      <c r="M291" t="n">
        <v>0</v>
      </c>
      <c r="N291" t="n">
        <v>0</v>
      </c>
      <c r="O291" t="n">
        <v>0</v>
      </c>
      <c r="P291" t="n">
        <v>0</v>
      </c>
      <c r="Q291" t="n">
        <v>0</v>
      </c>
      <c r="R291" s="2" t="inlineStr"/>
    </row>
    <row r="292" ht="15" customHeight="1">
      <c r="A292" t="inlineStr">
        <is>
          <t>A 27296-2025</t>
        </is>
      </c>
      <c r="B292" s="1" t="n">
        <v>45812.56952546296</v>
      </c>
      <c r="C292" s="1" t="n">
        <v>46147</v>
      </c>
      <c r="D292" t="inlineStr">
        <is>
          <t>ÖREBRO LÄN</t>
        </is>
      </c>
      <c r="E292" t="inlineStr">
        <is>
          <t>LINDESBERG</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60941-2024</t>
        </is>
      </c>
      <c r="B293" s="1" t="n">
        <v>45645.3712037037</v>
      </c>
      <c r="C293" s="1" t="n">
        <v>46147</v>
      </c>
      <c r="D293" t="inlineStr">
        <is>
          <t>ÖREBRO LÄN</t>
        </is>
      </c>
      <c r="E293" t="inlineStr">
        <is>
          <t>LINDESBERG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47069-2023</t>
        </is>
      </c>
      <c r="B294" s="1" t="n">
        <v>45201</v>
      </c>
      <c r="C294" s="1" t="n">
        <v>46147</v>
      </c>
      <c r="D294" t="inlineStr">
        <is>
          <t>ÖREBRO LÄN</t>
        </is>
      </c>
      <c r="E294" t="inlineStr">
        <is>
          <t>LINDESBERG</t>
        </is>
      </c>
      <c r="F294" t="inlineStr">
        <is>
          <t>Sveaskog</t>
        </is>
      </c>
      <c r="G294" t="n">
        <v>9.4</v>
      </c>
      <c r="H294" t="n">
        <v>0</v>
      </c>
      <c r="I294" t="n">
        <v>0</v>
      </c>
      <c r="J294" t="n">
        <v>0</v>
      </c>
      <c r="K294" t="n">
        <v>0</v>
      </c>
      <c r="L294" t="n">
        <v>0</v>
      </c>
      <c r="M294" t="n">
        <v>0</v>
      </c>
      <c r="N294" t="n">
        <v>0</v>
      </c>
      <c r="O294" t="n">
        <v>0</v>
      </c>
      <c r="P294" t="n">
        <v>0</v>
      </c>
      <c r="Q294" t="n">
        <v>0</v>
      </c>
      <c r="R294" s="2" t="inlineStr"/>
    </row>
    <row r="295" ht="15" customHeight="1">
      <c r="A295" t="inlineStr">
        <is>
          <t>A 47074-2023</t>
        </is>
      </c>
      <c r="B295" s="1" t="n">
        <v>45201.60283564815</v>
      </c>
      <c r="C295" s="1" t="n">
        <v>46147</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46147</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33284-2024</t>
        </is>
      </c>
      <c r="B297" s="1" t="n">
        <v>45518.71721064814</v>
      </c>
      <c r="C297" s="1" t="n">
        <v>46147</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27300-2025</t>
        </is>
      </c>
      <c r="B298" s="1" t="n">
        <v>45812.57143518519</v>
      </c>
      <c r="C298" s="1" t="n">
        <v>46147</v>
      </c>
      <c r="D298" t="inlineStr">
        <is>
          <t>ÖREBRO LÄN</t>
        </is>
      </c>
      <c r="E298" t="inlineStr">
        <is>
          <t>LINDESBERG</t>
        </is>
      </c>
      <c r="F298" t="inlineStr">
        <is>
          <t>Sveaskog</t>
        </is>
      </c>
      <c r="G298" t="n">
        <v>19.7</v>
      </c>
      <c r="H298" t="n">
        <v>0</v>
      </c>
      <c r="I298" t="n">
        <v>0</v>
      </c>
      <c r="J298" t="n">
        <v>0</v>
      </c>
      <c r="K298" t="n">
        <v>0</v>
      </c>
      <c r="L298" t="n">
        <v>0</v>
      </c>
      <c r="M298" t="n">
        <v>0</v>
      </c>
      <c r="N298" t="n">
        <v>0</v>
      </c>
      <c r="O298" t="n">
        <v>0</v>
      </c>
      <c r="P298" t="n">
        <v>0</v>
      </c>
      <c r="Q298" t="n">
        <v>0</v>
      </c>
      <c r="R298" s="2" t="inlineStr"/>
    </row>
    <row r="299" ht="15" customHeight="1">
      <c r="A299" t="inlineStr">
        <is>
          <t>A 27309-2025</t>
        </is>
      </c>
      <c r="B299" s="1" t="n">
        <v>45812.57452546297</v>
      </c>
      <c r="C299" s="1" t="n">
        <v>46147</v>
      </c>
      <c r="D299" t="inlineStr">
        <is>
          <t>ÖREBRO LÄN</t>
        </is>
      </c>
      <c r="E299" t="inlineStr">
        <is>
          <t>LINDESBERG</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27311-2025</t>
        </is>
      </c>
      <c r="B300" s="1" t="n">
        <v>45812.57604166667</v>
      </c>
      <c r="C300" s="1" t="n">
        <v>46147</v>
      </c>
      <c r="D300" t="inlineStr">
        <is>
          <t>ÖREBRO LÄN</t>
        </is>
      </c>
      <c r="E300" t="inlineStr">
        <is>
          <t>LINDESBERG</t>
        </is>
      </c>
      <c r="F300" t="inlineStr">
        <is>
          <t>Sveaskog</t>
        </is>
      </c>
      <c r="G300" t="n">
        <v>4.8</v>
      </c>
      <c r="H300" t="n">
        <v>0</v>
      </c>
      <c r="I300" t="n">
        <v>0</v>
      </c>
      <c r="J300" t="n">
        <v>0</v>
      </c>
      <c r="K300" t="n">
        <v>0</v>
      </c>
      <c r="L300" t="n">
        <v>0</v>
      </c>
      <c r="M300" t="n">
        <v>0</v>
      </c>
      <c r="N300" t="n">
        <v>0</v>
      </c>
      <c r="O300" t="n">
        <v>0</v>
      </c>
      <c r="P300" t="n">
        <v>0</v>
      </c>
      <c r="Q300" t="n">
        <v>0</v>
      </c>
      <c r="R300" s="2" t="inlineStr"/>
    </row>
    <row r="301" ht="15" customHeight="1">
      <c r="A301" t="inlineStr">
        <is>
          <t>A 38696-2024</t>
        </is>
      </c>
      <c r="B301" s="1" t="n">
        <v>45547.36590277778</v>
      </c>
      <c r="C301" s="1" t="n">
        <v>46147</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19219-2023</t>
        </is>
      </c>
      <c r="B302" s="1" t="n">
        <v>45048</v>
      </c>
      <c r="C302" s="1" t="n">
        <v>46147</v>
      </c>
      <c r="D302" t="inlineStr">
        <is>
          <t>ÖREBRO LÄN</t>
        </is>
      </c>
      <c r="E302" t="inlineStr">
        <is>
          <t>LINDESBERG</t>
        </is>
      </c>
      <c r="G302" t="n">
        <v>1</v>
      </c>
      <c r="H302" t="n">
        <v>0</v>
      </c>
      <c r="I302" t="n">
        <v>0</v>
      </c>
      <c r="J302" t="n">
        <v>0</v>
      </c>
      <c r="K302" t="n">
        <v>0</v>
      </c>
      <c r="L302" t="n">
        <v>0</v>
      </c>
      <c r="M302" t="n">
        <v>0</v>
      </c>
      <c r="N302" t="n">
        <v>0</v>
      </c>
      <c r="O302" t="n">
        <v>0</v>
      </c>
      <c r="P302" t="n">
        <v>0</v>
      </c>
      <c r="Q302" t="n">
        <v>0</v>
      </c>
      <c r="R302" s="2" t="inlineStr"/>
    </row>
    <row r="303" ht="15" customHeight="1">
      <c r="A303" t="inlineStr">
        <is>
          <t>A 1742-2022</t>
        </is>
      </c>
      <c r="B303" s="1" t="n">
        <v>44574.50425925926</v>
      </c>
      <c r="C303" s="1" t="n">
        <v>46147</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28040-2025</t>
        </is>
      </c>
      <c r="B304" s="1" t="n">
        <v>45817.6455324074</v>
      </c>
      <c r="C304" s="1" t="n">
        <v>46147</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52928-2024</t>
        </is>
      </c>
      <c r="B305" s="1" t="n">
        <v>45610</v>
      </c>
      <c r="C305" s="1" t="n">
        <v>46147</v>
      </c>
      <c r="D305" t="inlineStr">
        <is>
          <t>ÖREBRO LÄN</t>
        </is>
      </c>
      <c r="E305" t="inlineStr">
        <is>
          <t>LINDESBERG</t>
        </is>
      </c>
      <c r="G305" t="n">
        <v>8.6</v>
      </c>
      <c r="H305" t="n">
        <v>0</v>
      </c>
      <c r="I305" t="n">
        <v>0</v>
      </c>
      <c r="J305" t="n">
        <v>0</v>
      </c>
      <c r="K305" t="n">
        <v>0</v>
      </c>
      <c r="L305" t="n">
        <v>0</v>
      </c>
      <c r="M305" t="n">
        <v>0</v>
      </c>
      <c r="N305" t="n">
        <v>0</v>
      </c>
      <c r="O305" t="n">
        <v>0</v>
      </c>
      <c r="P305" t="n">
        <v>0</v>
      </c>
      <c r="Q305" t="n">
        <v>0</v>
      </c>
      <c r="R305" s="2" t="inlineStr"/>
    </row>
    <row r="306" ht="15" customHeight="1">
      <c r="A306" t="inlineStr">
        <is>
          <t>A 73500-2021</t>
        </is>
      </c>
      <c r="B306" s="1" t="n">
        <v>44551</v>
      </c>
      <c r="C306" s="1" t="n">
        <v>46147</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38861-2025</t>
        </is>
      </c>
      <c r="B307" s="1" t="n">
        <v>45887.56101851852</v>
      </c>
      <c r="C307" s="1" t="n">
        <v>46147</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16864-2022</t>
        </is>
      </c>
      <c r="B308" s="1" t="n">
        <v>44675</v>
      </c>
      <c r="C308" s="1" t="n">
        <v>46147</v>
      </c>
      <c r="D308" t="inlineStr">
        <is>
          <t>ÖREBRO LÄN</t>
        </is>
      </c>
      <c r="E308" t="inlineStr">
        <is>
          <t>LINDESBERG</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39429-2025</t>
        </is>
      </c>
      <c r="B309" s="1" t="n">
        <v>45889.67577546297</v>
      </c>
      <c r="C309" s="1" t="n">
        <v>46147</v>
      </c>
      <c r="D309" t="inlineStr">
        <is>
          <t>ÖREBRO LÄN</t>
        </is>
      </c>
      <c r="E309" t="inlineStr">
        <is>
          <t>LINDESBERG</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39421-2025</t>
        </is>
      </c>
      <c r="B310" s="1" t="n">
        <v>45889.66935185185</v>
      </c>
      <c r="C310" s="1" t="n">
        <v>46147</v>
      </c>
      <c r="D310" t="inlineStr">
        <is>
          <t>ÖREBRO LÄN</t>
        </is>
      </c>
      <c r="E310" t="inlineStr">
        <is>
          <t>LINDESBERG</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39424-2025</t>
        </is>
      </c>
      <c r="B311" s="1" t="n">
        <v>45889.67290509259</v>
      </c>
      <c r="C311" s="1" t="n">
        <v>46147</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28877-2025</t>
        </is>
      </c>
      <c r="B312" s="1" t="n">
        <v>45820.61684027778</v>
      </c>
      <c r="C312" s="1" t="n">
        <v>46147</v>
      </c>
      <c r="D312" t="inlineStr">
        <is>
          <t>ÖREBRO LÄN</t>
        </is>
      </c>
      <c r="E312" t="inlineStr">
        <is>
          <t>LINDESBERG</t>
        </is>
      </c>
      <c r="G312" t="n">
        <v>4.4</v>
      </c>
      <c r="H312" t="n">
        <v>0</v>
      </c>
      <c r="I312" t="n">
        <v>0</v>
      </c>
      <c r="J312" t="n">
        <v>0</v>
      </c>
      <c r="K312" t="n">
        <v>0</v>
      </c>
      <c r="L312" t="n">
        <v>0</v>
      </c>
      <c r="M312" t="n">
        <v>0</v>
      </c>
      <c r="N312" t="n">
        <v>0</v>
      </c>
      <c r="O312" t="n">
        <v>0</v>
      </c>
      <c r="P312" t="n">
        <v>0</v>
      </c>
      <c r="Q312" t="n">
        <v>0</v>
      </c>
      <c r="R312" s="2" t="inlineStr"/>
    </row>
    <row r="313" ht="15" customHeight="1">
      <c r="A313" t="inlineStr">
        <is>
          <t>A 28991-2025</t>
        </is>
      </c>
      <c r="B313" s="1" t="n">
        <v>45821.37199074074</v>
      </c>
      <c r="C313" s="1" t="n">
        <v>46147</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29049-2025</t>
        </is>
      </c>
      <c r="B314" s="1" t="n">
        <v>45821.46135416667</v>
      </c>
      <c r="C314" s="1" t="n">
        <v>46147</v>
      </c>
      <c r="D314" t="inlineStr">
        <is>
          <t>ÖREBRO LÄN</t>
        </is>
      </c>
      <c r="E314" t="inlineStr">
        <is>
          <t>LINDESBERG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29051-2025</t>
        </is>
      </c>
      <c r="B315" s="1" t="n">
        <v>45821.46486111111</v>
      </c>
      <c r="C315" s="1" t="n">
        <v>46147</v>
      </c>
      <c r="D315" t="inlineStr">
        <is>
          <t>ÖREBRO LÄN</t>
        </is>
      </c>
      <c r="E315" t="inlineStr">
        <is>
          <t>LINDESBERG</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29037-2025</t>
        </is>
      </c>
      <c r="B316" s="1" t="n">
        <v>45821.44521990741</v>
      </c>
      <c r="C316" s="1" t="n">
        <v>46147</v>
      </c>
      <c r="D316" t="inlineStr">
        <is>
          <t>ÖREBRO LÄN</t>
        </is>
      </c>
      <c r="E316" t="inlineStr">
        <is>
          <t>LINDESBERG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11953-2024</t>
        </is>
      </c>
      <c r="B317" s="1" t="n">
        <v>45376.70292824074</v>
      </c>
      <c r="C317" s="1" t="n">
        <v>46147</v>
      </c>
      <c r="D317" t="inlineStr">
        <is>
          <t>ÖREBRO LÄN</t>
        </is>
      </c>
      <c r="E317" t="inlineStr">
        <is>
          <t>LINDESBERG</t>
        </is>
      </c>
      <c r="G317" t="n">
        <v>5.7</v>
      </c>
      <c r="H317" t="n">
        <v>0</v>
      </c>
      <c r="I317" t="n">
        <v>0</v>
      </c>
      <c r="J317" t="n">
        <v>0</v>
      </c>
      <c r="K317" t="n">
        <v>0</v>
      </c>
      <c r="L317" t="n">
        <v>0</v>
      </c>
      <c r="M317" t="n">
        <v>0</v>
      </c>
      <c r="N317" t="n">
        <v>0</v>
      </c>
      <c r="O317" t="n">
        <v>0</v>
      </c>
      <c r="P317" t="n">
        <v>0</v>
      </c>
      <c r="Q317" t="n">
        <v>0</v>
      </c>
      <c r="R317" s="2" t="inlineStr"/>
    </row>
    <row r="318" ht="15" customHeight="1">
      <c r="A318" t="inlineStr">
        <is>
          <t>A 50170-2022</t>
        </is>
      </c>
      <c r="B318" s="1" t="n">
        <v>44865.600625</v>
      </c>
      <c r="C318" s="1" t="n">
        <v>46147</v>
      </c>
      <c r="D318" t="inlineStr">
        <is>
          <t>ÖREBRO LÄN</t>
        </is>
      </c>
      <c r="E318" t="inlineStr">
        <is>
          <t>LINDESBERG</t>
        </is>
      </c>
      <c r="G318" t="n">
        <v>2.1</v>
      </c>
      <c r="H318" t="n">
        <v>0</v>
      </c>
      <c r="I318" t="n">
        <v>0</v>
      </c>
      <c r="J318" t="n">
        <v>0</v>
      </c>
      <c r="K318" t="n">
        <v>0</v>
      </c>
      <c r="L318" t="n">
        <v>0</v>
      </c>
      <c r="M318" t="n">
        <v>0</v>
      </c>
      <c r="N318" t="n">
        <v>0</v>
      </c>
      <c r="O318" t="n">
        <v>0</v>
      </c>
      <c r="P318" t="n">
        <v>0</v>
      </c>
      <c r="Q318" t="n">
        <v>0</v>
      </c>
      <c r="R318" s="2" t="inlineStr"/>
    </row>
    <row r="319" ht="15" customHeight="1">
      <c r="A319" t="inlineStr">
        <is>
          <t>A 2704-2026</t>
        </is>
      </c>
      <c r="B319" s="1" t="n">
        <v>46037.69133101852</v>
      </c>
      <c r="C319" s="1" t="n">
        <v>46147</v>
      </c>
      <c r="D319" t="inlineStr">
        <is>
          <t>ÖREBRO LÄN</t>
        </is>
      </c>
      <c r="E319" t="inlineStr">
        <is>
          <t>LINDESBERG</t>
        </is>
      </c>
      <c r="G319" t="n">
        <v>1.9</v>
      </c>
      <c r="H319" t="n">
        <v>0</v>
      </c>
      <c r="I319" t="n">
        <v>0</v>
      </c>
      <c r="J319" t="n">
        <v>0</v>
      </c>
      <c r="K319" t="n">
        <v>0</v>
      </c>
      <c r="L319" t="n">
        <v>0</v>
      </c>
      <c r="M319" t="n">
        <v>0</v>
      </c>
      <c r="N319" t="n">
        <v>0</v>
      </c>
      <c r="O319" t="n">
        <v>0</v>
      </c>
      <c r="P319" t="n">
        <v>0</v>
      </c>
      <c r="Q319" t="n">
        <v>0</v>
      </c>
      <c r="R319" s="2" t="inlineStr"/>
    </row>
    <row r="320" ht="15" customHeight="1">
      <c r="A320" t="inlineStr">
        <is>
          <t>A 40347-2025</t>
        </is>
      </c>
      <c r="B320" s="1" t="n">
        <v>45895.4790625</v>
      </c>
      <c r="C320" s="1" t="n">
        <v>46147</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40346-2025</t>
        </is>
      </c>
      <c r="B321" s="1" t="n">
        <v>45895.47704861111</v>
      </c>
      <c r="C321" s="1" t="n">
        <v>46147</v>
      </c>
      <c r="D321" t="inlineStr">
        <is>
          <t>ÖREBRO LÄN</t>
        </is>
      </c>
      <c r="E321" t="inlineStr">
        <is>
          <t>LINDESBERG</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30341-2025</t>
        </is>
      </c>
      <c r="B322" s="1" t="n">
        <v>45827.51862268519</v>
      </c>
      <c r="C322" s="1" t="n">
        <v>46147</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40351-2025</t>
        </is>
      </c>
      <c r="B323" s="1" t="n">
        <v>45895.48394675926</v>
      </c>
      <c r="C323" s="1" t="n">
        <v>46147</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30000-2025</t>
        </is>
      </c>
      <c r="B324" s="1" t="n">
        <v>45826.52024305556</v>
      </c>
      <c r="C324" s="1" t="n">
        <v>46147</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40366-2025</t>
        </is>
      </c>
      <c r="B325" s="1" t="n">
        <v>45895.49994212963</v>
      </c>
      <c r="C325" s="1" t="n">
        <v>46147</v>
      </c>
      <c r="D325" t="inlineStr">
        <is>
          <t>ÖREBRO LÄN</t>
        </is>
      </c>
      <c r="E325" t="inlineStr">
        <is>
          <t>LINDESBERG</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28469-2023</t>
        </is>
      </c>
      <c r="B326" s="1" t="n">
        <v>45103</v>
      </c>
      <c r="C326" s="1" t="n">
        <v>46147</v>
      </c>
      <c r="D326" t="inlineStr">
        <is>
          <t>ÖREBRO LÄN</t>
        </is>
      </c>
      <c r="E326" t="inlineStr">
        <is>
          <t>LINDESBERG</t>
        </is>
      </c>
      <c r="G326" t="n">
        <v>0.3</v>
      </c>
      <c r="H326" t="n">
        <v>0</v>
      </c>
      <c r="I326" t="n">
        <v>0</v>
      </c>
      <c r="J326" t="n">
        <v>0</v>
      </c>
      <c r="K326" t="n">
        <v>0</v>
      </c>
      <c r="L326" t="n">
        <v>0</v>
      </c>
      <c r="M326" t="n">
        <v>0</v>
      </c>
      <c r="N326" t="n">
        <v>0</v>
      </c>
      <c r="O326" t="n">
        <v>0</v>
      </c>
      <c r="P326" t="n">
        <v>0</v>
      </c>
      <c r="Q326" t="n">
        <v>0</v>
      </c>
      <c r="R326" s="2" t="inlineStr"/>
    </row>
    <row r="327" ht="15" customHeight="1">
      <c r="A327" t="inlineStr">
        <is>
          <t>A 72706-2021</t>
        </is>
      </c>
      <c r="B327" s="1" t="n">
        <v>44546.67222222222</v>
      </c>
      <c r="C327" s="1" t="n">
        <v>46147</v>
      </c>
      <c r="D327" t="inlineStr">
        <is>
          <t>ÖREBRO LÄN</t>
        </is>
      </c>
      <c r="E327" t="inlineStr">
        <is>
          <t>LINDESBERG</t>
        </is>
      </c>
      <c r="G327" t="n">
        <v>1.7</v>
      </c>
      <c r="H327" t="n">
        <v>0</v>
      </c>
      <c r="I327" t="n">
        <v>0</v>
      </c>
      <c r="J327" t="n">
        <v>0</v>
      </c>
      <c r="K327" t="n">
        <v>0</v>
      </c>
      <c r="L327" t="n">
        <v>0</v>
      </c>
      <c r="M327" t="n">
        <v>0</v>
      </c>
      <c r="N327" t="n">
        <v>0</v>
      </c>
      <c r="O327" t="n">
        <v>0</v>
      </c>
      <c r="P327" t="n">
        <v>0</v>
      </c>
      <c r="Q327" t="n">
        <v>0</v>
      </c>
      <c r="R327" s="2" t="inlineStr"/>
    </row>
    <row r="328" ht="15" customHeight="1">
      <c r="A328" t="inlineStr">
        <is>
          <t>A 30381-2025</t>
        </is>
      </c>
      <c r="B328" s="1" t="n">
        <v>45827.56939814815</v>
      </c>
      <c r="C328" s="1" t="n">
        <v>46147</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40357-2025</t>
        </is>
      </c>
      <c r="B329" s="1" t="n">
        <v>45895.48927083334</v>
      </c>
      <c r="C329" s="1" t="n">
        <v>46147</v>
      </c>
      <c r="D329" t="inlineStr">
        <is>
          <t>ÖREBRO LÄN</t>
        </is>
      </c>
      <c r="E329" t="inlineStr">
        <is>
          <t>LINDESBERG</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30340-2025</t>
        </is>
      </c>
      <c r="B330" s="1" t="n">
        <v>45827.51753472222</v>
      </c>
      <c r="C330" s="1" t="n">
        <v>46147</v>
      </c>
      <c r="D330" t="inlineStr">
        <is>
          <t>ÖREBRO LÄN</t>
        </is>
      </c>
      <c r="E330" t="inlineStr">
        <is>
          <t>LINDESBERG</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30342-2025</t>
        </is>
      </c>
      <c r="B331" s="1" t="n">
        <v>45827.51956018519</v>
      </c>
      <c r="C331" s="1" t="n">
        <v>46147</v>
      </c>
      <c r="D331" t="inlineStr">
        <is>
          <t>ÖREBRO LÄN</t>
        </is>
      </c>
      <c r="E331" t="inlineStr">
        <is>
          <t>LINDESBERG</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45481-2023</t>
        </is>
      </c>
      <c r="B332" s="1" t="n">
        <v>45194</v>
      </c>
      <c r="C332" s="1" t="n">
        <v>46147</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59766-2022</t>
        </is>
      </c>
      <c r="B333" s="1" t="n">
        <v>44908.49152777778</v>
      </c>
      <c r="C333" s="1" t="n">
        <v>46147</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27013-2024</t>
        </is>
      </c>
      <c r="B334" s="1" t="n">
        <v>45471.40384259259</v>
      </c>
      <c r="C334" s="1" t="n">
        <v>46147</v>
      </c>
      <c r="D334" t="inlineStr">
        <is>
          <t>ÖREBRO LÄN</t>
        </is>
      </c>
      <c r="E334" t="inlineStr">
        <is>
          <t>LINDESBERG</t>
        </is>
      </c>
      <c r="G334" t="n">
        <v>5.2</v>
      </c>
      <c r="H334" t="n">
        <v>0</v>
      </c>
      <c r="I334" t="n">
        <v>0</v>
      </c>
      <c r="J334" t="n">
        <v>0</v>
      </c>
      <c r="K334" t="n">
        <v>0</v>
      </c>
      <c r="L334" t="n">
        <v>0</v>
      </c>
      <c r="M334" t="n">
        <v>0</v>
      </c>
      <c r="N334" t="n">
        <v>0</v>
      </c>
      <c r="O334" t="n">
        <v>0</v>
      </c>
      <c r="P334" t="n">
        <v>0</v>
      </c>
      <c r="Q334" t="n">
        <v>0</v>
      </c>
      <c r="R334" s="2" t="inlineStr"/>
    </row>
    <row r="335" ht="15" customHeight="1">
      <c r="A335" t="inlineStr">
        <is>
          <t>A 30339-2025</t>
        </is>
      </c>
      <c r="B335" s="1" t="n">
        <v>45827.51628472222</v>
      </c>
      <c r="C335" s="1" t="n">
        <v>46147</v>
      </c>
      <c r="D335" t="inlineStr">
        <is>
          <t>ÖREBRO LÄN</t>
        </is>
      </c>
      <c r="E335" t="inlineStr">
        <is>
          <t>LINDESBERG</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34029-2024</t>
        </is>
      </c>
      <c r="B336" s="1" t="n">
        <v>45523</v>
      </c>
      <c r="C336" s="1" t="n">
        <v>46147</v>
      </c>
      <c r="D336" t="inlineStr">
        <is>
          <t>ÖREBRO LÄN</t>
        </is>
      </c>
      <c r="E336" t="inlineStr">
        <is>
          <t>LINDESBERG</t>
        </is>
      </c>
      <c r="G336" t="n">
        <v>1.9</v>
      </c>
      <c r="H336" t="n">
        <v>0</v>
      </c>
      <c r="I336" t="n">
        <v>0</v>
      </c>
      <c r="J336" t="n">
        <v>0</v>
      </c>
      <c r="K336" t="n">
        <v>0</v>
      </c>
      <c r="L336" t="n">
        <v>0</v>
      </c>
      <c r="M336" t="n">
        <v>0</v>
      </c>
      <c r="N336" t="n">
        <v>0</v>
      </c>
      <c r="O336" t="n">
        <v>0</v>
      </c>
      <c r="P336" t="n">
        <v>0</v>
      </c>
      <c r="Q336" t="n">
        <v>0</v>
      </c>
      <c r="R336" s="2" t="inlineStr"/>
    </row>
    <row r="337" ht="15" customHeight="1">
      <c r="A337" t="inlineStr">
        <is>
          <t>A 7990-2025</t>
        </is>
      </c>
      <c r="B337" s="1" t="n">
        <v>45707</v>
      </c>
      <c r="C337" s="1" t="n">
        <v>46147</v>
      </c>
      <c r="D337" t="inlineStr">
        <is>
          <t>ÖREBRO LÄN</t>
        </is>
      </c>
      <c r="E337" t="inlineStr">
        <is>
          <t>LINDESBERG</t>
        </is>
      </c>
      <c r="G337" t="n">
        <v>4.4</v>
      </c>
      <c r="H337" t="n">
        <v>0</v>
      </c>
      <c r="I337" t="n">
        <v>0</v>
      </c>
      <c r="J337" t="n">
        <v>0</v>
      </c>
      <c r="K337" t="n">
        <v>0</v>
      </c>
      <c r="L337" t="n">
        <v>0</v>
      </c>
      <c r="M337" t="n">
        <v>0</v>
      </c>
      <c r="N337" t="n">
        <v>0</v>
      </c>
      <c r="O337" t="n">
        <v>0</v>
      </c>
      <c r="P337" t="n">
        <v>0</v>
      </c>
      <c r="Q337" t="n">
        <v>0</v>
      </c>
      <c r="R337" s="2" t="inlineStr"/>
    </row>
    <row r="338" ht="15" customHeight="1">
      <c r="A338" t="inlineStr">
        <is>
          <t>A 41340-2025</t>
        </is>
      </c>
      <c r="B338" s="1" t="n">
        <v>45899.38057870371</v>
      </c>
      <c r="C338" s="1" t="n">
        <v>46147</v>
      </c>
      <c r="D338" t="inlineStr">
        <is>
          <t>ÖREBRO LÄN</t>
        </is>
      </c>
      <c r="E338" t="inlineStr">
        <is>
          <t>LINDESBERG</t>
        </is>
      </c>
      <c r="G338" t="n">
        <v>16.5</v>
      </c>
      <c r="H338" t="n">
        <v>0</v>
      </c>
      <c r="I338" t="n">
        <v>0</v>
      </c>
      <c r="J338" t="n">
        <v>0</v>
      </c>
      <c r="K338" t="n">
        <v>0</v>
      </c>
      <c r="L338" t="n">
        <v>0</v>
      </c>
      <c r="M338" t="n">
        <v>0</v>
      </c>
      <c r="N338" t="n">
        <v>0</v>
      </c>
      <c r="O338" t="n">
        <v>0</v>
      </c>
      <c r="P338" t="n">
        <v>0</v>
      </c>
      <c r="Q338" t="n">
        <v>0</v>
      </c>
      <c r="R338" s="2" t="inlineStr"/>
    </row>
    <row r="339" ht="15" customHeight="1">
      <c r="A339" t="inlineStr">
        <is>
          <t>A 41027-2025</t>
        </is>
      </c>
      <c r="B339" s="1" t="n">
        <v>45898.37138888889</v>
      </c>
      <c r="C339" s="1" t="n">
        <v>46147</v>
      </c>
      <c r="D339" t="inlineStr">
        <is>
          <t>ÖREBRO LÄN</t>
        </is>
      </c>
      <c r="E339" t="inlineStr">
        <is>
          <t>LINDESBERG</t>
        </is>
      </c>
      <c r="G339" t="n">
        <v>4.7</v>
      </c>
      <c r="H339" t="n">
        <v>0</v>
      </c>
      <c r="I339" t="n">
        <v>0</v>
      </c>
      <c r="J339" t="n">
        <v>0</v>
      </c>
      <c r="K339" t="n">
        <v>0</v>
      </c>
      <c r="L339" t="n">
        <v>0</v>
      </c>
      <c r="M339" t="n">
        <v>0</v>
      </c>
      <c r="N339" t="n">
        <v>0</v>
      </c>
      <c r="O339" t="n">
        <v>0</v>
      </c>
      <c r="P339" t="n">
        <v>0</v>
      </c>
      <c r="Q339" t="n">
        <v>0</v>
      </c>
      <c r="R339" s="2" t="inlineStr"/>
    </row>
    <row r="340" ht="15" customHeight="1">
      <c r="A340" t="inlineStr">
        <is>
          <t>A 3227-2026</t>
        </is>
      </c>
      <c r="B340" s="1" t="n">
        <v>46041.54181712963</v>
      </c>
      <c r="C340" s="1" t="n">
        <v>46147</v>
      </c>
      <c r="D340" t="inlineStr">
        <is>
          <t>ÖREBRO LÄN</t>
        </is>
      </c>
      <c r="E340" t="inlineStr">
        <is>
          <t>LINDESBERG</t>
        </is>
      </c>
      <c r="G340" t="n">
        <v>4.4</v>
      </c>
      <c r="H340" t="n">
        <v>0</v>
      </c>
      <c r="I340" t="n">
        <v>0</v>
      </c>
      <c r="J340" t="n">
        <v>0</v>
      </c>
      <c r="K340" t="n">
        <v>0</v>
      </c>
      <c r="L340" t="n">
        <v>0</v>
      </c>
      <c r="M340" t="n">
        <v>0</v>
      </c>
      <c r="N340" t="n">
        <v>0</v>
      </c>
      <c r="O340" t="n">
        <v>0</v>
      </c>
      <c r="P340" t="n">
        <v>0</v>
      </c>
      <c r="Q340" t="n">
        <v>0</v>
      </c>
      <c r="R340" s="2" t="inlineStr"/>
    </row>
    <row r="341" ht="15" customHeight="1">
      <c r="A341" t="inlineStr">
        <is>
          <t>A 27134-2024</t>
        </is>
      </c>
      <c r="B341" s="1" t="n">
        <v>45471.52878472222</v>
      </c>
      <c r="C341" s="1" t="n">
        <v>46147</v>
      </c>
      <c r="D341" t="inlineStr">
        <is>
          <t>ÖREBRO LÄN</t>
        </is>
      </c>
      <c r="E341" t="inlineStr">
        <is>
          <t>LINDESBERG</t>
        </is>
      </c>
      <c r="G341" t="n">
        <v>0.7</v>
      </c>
      <c r="H341" t="n">
        <v>0</v>
      </c>
      <c r="I341" t="n">
        <v>0</v>
      </c>
      <c r="J341" t="n">
        <v>0</v>
      </c>
      <c r="K341" t="n">
        <v>0</v>
      </c>
      <c r="L341" t="n">
        <v>0</v>
      </c>
      <c r="M341" t="n">
        <v>0</v>
      </c>
      <c r="N341" t="n">
        <v>0</v>
      </c>
      <c r="O341" t="n">
        <v>0</v>
      </c>
      <c r="P341" t="n">
        <v>0</v>
      </c>
      <c r="Q341" t="n">
        <v>0</v>
      </c>
      <c r="R341" s="2" t="inlineStr"/>
    </row>
    <row r="342" ht="15" customHeight="1">
      <c r="A342" t="inlineStr">
        <is>
          <t>A 36121-2023</t>
        </is>
      </c>
      <c r="B342" s="1" t="n">
        <v>45148</v>
      </c>
      <c r="C342" s="1" t="n">
        <v>46147</v>
      </c>
      <c r="D342" t="inlineStr">
        <is>
          <t>ÖREBRO LÄN</t>
        </is>
      </c>
      <c r="E342" t="inlineStr">
        <is>
          <t>LINDESBERG</t>
        </is>
      </c>
      <c r="G342" t="n">
        <v>7.1</v>
      </c>
      <c r="H342" t="n">
        <v>0</v>
      </c>
      <c r="I342" t="n">
        <v>0</v>
      </c>
      <c r="J342" t="n">
        <v>0</v>
      </c>
      <c r="K342" t="n">
        <v>0</v>
      </c>
      <c r="L342" t="n">
        <v>0</v>
      </c>
      <c r="M342" t="n">
        <v>0</v>
      </c>
      <c r="N342" t="n">
        <v>0</v>
      </c>
      <c r="O342" t="n">
        <v>0</v>
      </c>
      <c r="P342" t="n">
        <v>0</v>
      </c>
      <c r="Q342" t="n">
        <v>0</v>
      </c>
      <c r="R342" s="2" t="inlineStr"/>
    </row>
    <row r="343" ht="15" customHeight="1">
      <c r="A343" t="inlineStr">
        <is>
          <t>A 36280-2023</t>
        </is>
      </c>
      <c r="B343" s="1" t="n">
        <v>45152.34586805556</v>
      </c>
      <c r="C343" s="1" t="n">
        <v>46147</v>
      </c>
      <c r="D343" t="inlineStr">
        <is>
          <t>ÖREBRO LÄN</t>
        </is>
      </c>
      <c r="E343" t="inlineStr">
        <is>
          <t>LINDESBERG</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44449-2023</t>
        </is>
      </c>
      <c r="B344" s="1" t="n">
        <v>45189.38135416667</v>
      </c>
      <c r="C344" s="1" t="n">
        <v>46147</v>
      </c>
      <c r="D344" t="inlineStr">
        <is>
          <t>ÖREBRO LÄN</t>
        </is>
      </c>
      <c r="E344" t="inlineStr">
        <is>
          <t>LINDESBERG</t>
        </is>
      </c>
      <c r="G344" t="n">
        <v>13.7</v>
      </c>
      <c r="H344" t="n">
        <v>0</v>
      </c>
      <c r="I344" t="n">
        <v>0</v>
      </c>
      <c r="J344" t="n">
        <v>0</v>
      </c>
      <c r="K344" t="n">
        <v>0</v>
      </c>
      <c r="L344" t="n">
        <v>0</v>
      </c>
      <c r="M344" t="n">
        <v>0</v>
      </c>
      <c r="N344" t="n">
        <v>0</v>
      </c>
      <c r="O344" t="n">
        <v>0</v>
      </c>
      <c r="P344" t="n">
        <v>0</v>
      </c>
      <c r="Q344" t="n">
        <v>0</v>
      </c>
      <c r="R344" s="2" t="inlineStr"/>
    </row>
    <row r="345" ht="15" customHeight="1">
      <c r="A345" t="inlineStr">
        <is>
          <t>A 3315-2026</t>
        </is>
      </c>
      <c r="B345" s="1" t="n">
        <v>46041.68443287037</v>
      </c>
      <c r="C345" s="1" t="n">
        <v>46147</v>
      </c>
      <c r="D345" t="inlineStr">
        <is>
          <t>ÖREBRO LÄN</t>
        </is>
      </c>
      <c r="E345" t="inlineStr">
        <is>
          <t>LINDESBERG</t>
        </is>
      </c>
      <c r="G345" t="n">
        <v>7.6</v>
      </c>
      <c r="H345" t="n">
        <v>0</v>
      </c>
      <c r="I345" t="n">
        <v>0</v>
      </c>
      <c r="J345" t="n">
        <v>0</v>
      </c>
      <c r="K345" t="n">
        <v>0</v>
      </c>
      <c r="L345" t="n">
        <v>0</v>
      </c>
      <c r="M345" t="n">
        <v>0</v>
      </c>
      <c r="N345" t="n">
        <v>0</v>
      </c>
      <c r="O345" t="n">
        <v>0</v>
      </c>
      <c r="P345" t="n">
        <v>0</v>
      </c>
      <c r="Q345" t="n">
        <v>0</v>
      </c>
      <c r="R345" s="2" t="inlineStr"/>
    </row>
    <row r="346" ht="15" customHeight="1">
      <c r="A346" t="inlineStr">
        <is>
          <t>A 31220-2025</t>
        </is>
      </c>
      <c r="B346" s="1" t="n">
        <v>45832.76100694444</v>
      </c>
      <c r="C346" s="1" t="n">
        <v>46147</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31221-2025</t>
        </is>
      </c>
      <c r="B347" s="1" t="n">
        <v>45832.76491898148</v>
      </c>
      <c r="C347" s="1" t="n">
        <v>46147</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2969-2026</t>
        </is>
      </c>
      <c r="B348" s="1" t="n">
        <v>46038.61912037037</v>
      </c>
      <c r="C348" s="1" t="n">
        <v>46147</v>
      </c>
      <c r="D348" t="inlineStr">
        <is>
          <t>ÖREBRO LÄN</t>
        </is>
      </c>
      <c r="E348" t="inlineStr">
        <is>
          <t>LINDESBERG</t>
        </is>
      </c>
      <c r="G348" t="n">
        <v>2.6</v>
      </c>
      <c r="H348" t="n">
        <v>0</v>
      </c>
      <c r="I348" t="n">
        <v>0</v>
      </c>
      <c r="J348" t="n">
        <v>0</v>
      </c>
      <c r="K348" t="n">
        <v>0</v>
      </c>
      <c r="L348" t="n">
        <v>0</v>
      </c>
      <c r="M348" t="n">
        <v>0</v>
      </c>
      <c r="N348" t="n">
        <v>0</v>
      </c>
      <c r="O348" t="n">
        <v>0</v>
      </c>
      <c r="P348" t="n">
        <v>0</v>
      </c>
      <c r="Q348" t="n">
        <v>0</v>
      </c>
      <c r="R348" s="2" t="inlineStr"/>
    </row>
    <row r="349" ht="15" customHeight="1">
      <c r="A349" t="inlineStr">
        <is>
          <t>A 2103-2022</t>
        </is>
      </c>
      <c r="B349" s="1" t="n">
        <v>44577.81121527778</v>
      </c>
      <c r="C349" s="1" t="n">
        <v>46147</v>
      </c>
      <c r="D349" t="inlineStr">
        <is>
          <t>ÖREBRO LÄN</t>
        </is>
      </c>
      <c r="E349" t="inlineStr">
        <is>
          <t>LINDESBERG</t>
        </is>
      </c>
      <c r="G349" t="n">
        <v>1.4</v>
      </c>
      <c r="H349" t="n">
        <v>0</v>
      </c>
      <c r="I349" t="n">
        <v>0</v>
      </c>
      <c r="J349" t="n">
        <v>0</v>
      </c>
      <c r="K349" t="n">
        <v>0</v>
      </c>
      <c r="L349" t="n">
        <v>0</v>
      </c>
      <c r="M349" t="n">
        <v>0</v>
      </c>
      <c r="N349" t="n">
        <v>0</v>
      </c>
      <c r="O349" t="n">
        <v>0</v>
      </c>
      <c r="P349" t="n">
        <v>0</v>
      </c>
      <c r="Q349" t="n">
        <v>0</v>
      </c>
      <c r="R349" s="2" t="inlineStr"/>
    </row>
    <row r="350" ht="15" customHeight="1">
      <c r="A350" t="inlineStr">
        <is>
          <t>A 31000-2025</t>
        </is>
      </c>
      <c r="B350" s="1" t="n">
        <v>45832.49325231482</v>
      </c>
      <c r="C350" s="1" t="n">
        <v>46147</v>
      </c>
      <c r="D350" t="inlineStr">
        <is>
          <t>ÖREBRO LÄN</t>
        </is>
      </c>
      <c r="E350" t="inlineStr">
        <is>
          <t>LINDESBERG</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31018-2025</t>
        </is>
      </c>
      <c r="B351" s="1" t="n">
        <v>45832.51255787037</v>
      </c>
      <c r="C351" s="1" t="n">
        <v>46147</v>
      </c>
      <c r="D351" t="inlineStr">
        <is>
          <t>ÖREBRO LÄN</t>
        </is>
      </c>
      <c r="E351" t="inlineStr">
        <is>
          <t>LINDESBERG</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31049-2025</t>
        </is>
      </c>
      <c r="B352" s="1" t="n">
        <v>45832.55810185185</v>
      </c>
      <c r="C352" s="1" t="n">
        <v>46147</v>
      </c>
      <c r="D352" t="inlineStr">
        <is>
          <t>ÖREBRO LÄN</t>
        </is>
      </c>
      <c r="E352" t="inlineStr">
        <is>
          <t>LINDESBERG</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31213-2025</t>
        </is>
      </c>
      <c r="B353" s="1" t="n">
        <v>45832.72778935185</v>
      </c>
      <c r="C353" s="1" t="n">
        <v>46147</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31085-2025</t>
        </is>
      </c>
      <c r="B354" s="1" t="n">
        <v>45832.5902662037</v>
      </c>
      <c r="C354" s="1" t="n">
        <v>46147</v>
      </c>
      <c r="D354" t="inlineStr">
        <is>
          <t>ÖREBRO LÄN</t>
        </is>
      </c>
      <c r="E354" t="inlineStr">
        <is>
          <t>LINDESBERG</t>
        </is>
      </c>
      <c r="F354" t="inlineStr">
        <is>
          <t>Sveaskog</t>
        </is>
      </c>
      <c r="G354" t="n">
        <v>0.3</v>
      </c>
      <c r="H354" t="n">
        <v>0</v>
      </c>
      <c r="I354" t="n">
        <v>0</v>
      </c>
      <c r="J354" t="n">
        <v>0</v>
      </c>
      <c r="K354" t="n">
        <v>0</v>
      </c>
      <c r="L354" t="n">
        <v>0</v>
      </c>
      <c r="M354" t="n">
        <v>0</v>
      </c>
      <c r="N354" t="n">
        <v>0</v>
      </c>
      <c r="O354" t="n">
        <v>0</v>
      </c>
      <c r="P354" t="n">
        <v>0</v>
      </c>
      <c r="Q354" t="n">
        <v>0</v>
      </c>
      <c r="R354" s="2" t="inlineStr"/>
    </row>
    <row r="355" ht="15" customHeight="1">
      <c r="A355" t="inlineStr">
        <is>
          <t>A 31215-2025</t>
        </is>
      </c>
      <c r="B355" s="1" t="n">
        <v>45832.74418981482</v>
      </c>
      <c r="C355" s="1" t="n">
        <v>46147</v>
      </c>
      <c r="D355" t="inlineStr">
        <is>
          <t>ÖREBRO LÄN</t>
        </is>
      </c>
      <c r="E355" t="inlineStr">
        <is>
          <t>LINDESBERG</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41889-2025</t>
        </is>
      </c>
      <c r="B356" s="1" t="n">
        <v>45903.37475694445</v>
      </c>
      <c r="C356" s="1" t="n">
        <v>46147</v>
      </c>
      <c r="D356" t="inlineStr">
        <is>
          <t>ÖREBRO LÄN</t>
        </is>
      </c>
      <c r="E356" t="inlineStr">
        <is>
          <t>LINDESBERG</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13968-2025</t>
        </is>
      </c>
      <c r="B357" s="1" t="n">
        <v>45738.42981481482</v>
      </c>
      <c r="C357" s="1" t="n">
        <v>46147</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33424-2024</t>
        </is>
      </c>
      <c r="B358" s="1" t="n">
        <v>45519.51627314815</v>
      </c>
      <c r="C358" s="1" t="n">
        <v>46147</v>
      </c>
      <c r="D358" t="inlineStr">
        <is>
          <t>ÖREBRO LÄN</t>
        </is>
      </c>
      <c r="E358" t="inlineStr">
        <is>
          <t>LINDESBERG</t>
        </is>
      </c>
      <c r="F358" t="inlineStr">
        <is>
          <t>Sveaskog</t>
        </is>
      </c>
      <c r="G358" t="n">
        <v>0.1</v>
      </c>
      <c r="H358" t="n">
        <v>0</v>
      </c>
      <c r="I358" t="n">
        <v>0</v>
      </c>
      <c r="J358" t="n">
        <v>0</v>
      </c>
      <c r="K358" t="n">
        <v>0</v>
      </c>
      <c r="L358" t="n">
        <v>0</v>
      </c>
      <c r="M358" t="n">
        <v>0</v>
      </c>
      <c r="N358" t="n">
        <v>0</v>
      </c>
      <c r="O358" t="n">
        <v>0</v>
      </c>
      <c r="P358" t="n">
        <v>0</v>
      </c>
      <c r="Q358" t="n">
        <v>0</v>
      </c>
      <c r="R358" s="2" t="inlineStr"/>
    </row>
    <row r="359" ht="15" customHeight="1">
      <c r="A359" t="inlineStr">
        <is>
          <t>A 57911-2022</t>
        </is>
      </c>
      <c r="B359" s="1" t="n">
        <v>44900.36149305556</v>
      </c>
      <c r="C359" s="1" t="n">
        <v>46147</v>
      </c>
      <c r="D359" t="inlineStr">
        <is>
          <t>ÖREBRO LÄN</t>
        </is>
      </c>
      <c r="E359" t="inlineStr">
        <is>
          <t>LINDESBERG</t>
        </is>
      </c>
      <c r="G359" t="n">
        <v>4.9</v>
      </c>
      <c r="H359" t="n">
        <v>0</v>
      </c>
      <c r="I359" t="n">
        <v>0</v>
      </c>
      <c r="J359" t="n">
        <v>0</v>
      </c>
      <c r="K359" t="n">
        <v>0</v>
      </c>
      <c r="L359" t="n">
        <v>0</v>
      </c>
      <c r="M359" t="n">
        <v>0</v>
      </c>
      <c r="N359" t="n">
        <v>0</v>
      </c>
      <c r="O359" t="n">
        <v>0</v>
      </c>
      <c r="P359" t="n">
        <v>0</v>
      </c>
      <c r="Q359" t="n">
        <v>0</v>
      </c>
      <c r="R359" s="2" t="inlineStr"/>
    </row>
    <row r="360" ht="15" customHeight="1">
      <c r="A360" t="inlineStr">
        <is>
          <t>A 31003-2025</t>
        </is>
      </c>
      <c r="B360" s="1" t="n">
        <v>45832.49579861111</v>
      </c>
      <c r="C360" s="1" t="n">
        <v>46147</v>
      </c>
      <c r="D360" t="inlineStr">
        <is>
          <t>ÖREBRO LÄN</t>
        </is>
      </c>
      <c r="E360" t="inlineStr">
        <is>
          <t>LINDESBERG</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31014-2025</t>
        </is>
      </c>
      <c r="B361" s="1" t="n">
        <v>45832.51028935185</v>
      </c>
      <c r="C361" s="1" t="n">
        <v>46147</v>
      </c>
      <c r="D361" t="inlineStr">
        <is>
          <t>ÖREBRO LÄN</t>
        </is>
      </c>
      <c r="E361" t="inlineStr">
        <is>
          <t>LINDESBERG</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2902-2026</t>
        </is>
      </c>
      <c r="B362" s="1" t="n">
        <v>46038.55849537037</v>
      </c>
      <c r="C362" s="1" t="n">
        <v>46147</v>
      </c>
      <c r="D362" t="inlineStr">
        <is>
          <t>ÖREBRO LÄN</t>
        </is>
      </c>
      <c r="E362" t="inlineStr">
        <is>
          <t>LINDESBERG</t>
        </is>
      </c>
      <c r="G362" t="n">
        <v>2.1</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46147</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32284-2025</t>
        </is>
      </c>
      <c r="B364" s="1" t="n">
        <v>45835.68443287037</v>
      </c>
      <c r="C364" s="1" t="n">
        <v>46147</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62608-2021</t>
        </is>
      </c>
      <c r="B365" s="1" t="n">
        <v>44503</v>
      </c>
      <c r="C365" s="1" t="n">
        <v>46147</v>
      </c>
      <c r="D365" t="inlineStr">
        <is>
          <t>ÖREBRO LÄN</t>
        </is>
      </c>
      <c r="E365" t="inlineStr">
        <is>
          <t>LINDESBERG</t>
        </is>
      </c>
      <c r="G365" t="n">
        <v>1.4</v>
      </c>
      <c r="H365" t="n">
        <v>0</v>
      </c>
      <c r="I365" t="n">
        <v>0</v>
      </c>
      <c r="J365" t="n">
        <v>0</v>
      </c>
      <c r="K365" t="n">
        <v>0</v>
      </c>
      <c r="L365" t="n">
        <v>0</v>
      </c>
      <c r="M365" t="n">
        <v>0</v>
      </c>
      <c r="N365" t="n">
        <v>0</v>
      </c>
      <c r="O365" t="n">
        <v>0</v>
      </c>
      <c r="P365" t="n">
        <v>0</v>
      </c>
      <c r="Q365" t="n">
        <v>0</v>
      </c>
      <c r="R365" s="2" t="inlineStr"/>
    </row>
    <row r="366" ht="15" customHeight="1">
      <c r="A366" t="inlineStr">
        <is>
          <t>A 41653-2025</t>
        </is>
      </c>
      <c r="B366" s="1" t="n">
        <v>45902.3406712963</v>
      </c>
      <c r="C366" s="1" t="n">
        <v>46147</v>
      </c>
      <c r="D366" t="inlineStr">
        <is>
          <t>ÖREBRO LÄN</t>
        </is>
      </c>
      <c r="E366" t="inlineStr">
        <is>
          <t>LINDESBERG</t>
        </is>
      </c>
      <c r="G366" t="n">
        <v>1.5</v>
      </c>
      <c r="H366" t="n">
        <v>0</v>
      </c>
      <c r="I366" t="n">
        <v>0</v>
      </c>
      <c r="J366" t="n">
        <v>0</v>
      </c>
      <c r="K366" t="n">
        <v>0</v>
      </c>
      <c r="L366" t="n">
        <v>0</v>
      </c>
      <c r="M366" t="n">
        <v>0</v>
      </c>
      <c r="N366" t="n">
        <v>0</v>
      </c>
      <c r="O366" t="n">
        <v>0</v>
      </c>
      <c r="P366" t="n">
        <v>0</v>
      </c>
      <c r="Q366" t="n">
        <v>0</v>
      </c>
      <c r="R366" s="2" t="inlineStr"/>
    </row>
    <row r="367" ht="15" customHeight="1">
      <c r="A367" t="inlineStr">
        <is>
          <t>A 73860-2021</t>
        </is>
      </c>
      <c r="B367" s="1" t="n">
        <v>44553.35407407407</v>
      </c>
      <c r="C367" s="1" t="n">
        <v>46147</v>
      </c>
      <c r="D367" t="inlineStr">
        <is>
          <t>ÖREBRO LÄN</t>
        </is>
      </c>
      <c r="E367" t="inlineStr">
        <is>
          <t>LINDESBERG</t>
        </is>
      </c>
      <c r="G367" t="n">
        <v>12.7</v>
      </c>
      <c r="H367" t="n">
        <v>0</v>
      </c>
      <c r="I367" t="n">
        <v>0</v>
      </c>
      <c r="J367" t="n">
        <v>0</v>
      </c>
      <c r="K367" t="n">
        <v>0</v>
      </c>
      <c r="L367" t="n">
        <v>0</v>
      </c>
      <c r="M367" t="n">
        <v>0</v>
      </c>
      <c r="N367" t="n">
        <v>0</v>
      </c>
      <c r="O367" t="n">
        <v>0</v>
      </c>
      <c r="P367" t="n">
        <v>0</v>
      </c>
      <c r="Q367" t="n">
        <v>0</v>
      </c>
      <c r="R367" s="2" t="inlineStr"/>
    </row>
    <row r="368" ht="15" customHeight="1">
      <c r="A368" t="inlineStr">
        <is>
          <t>A 49094-2024</t>
        </is>
      </c>
      <c r="B368" s="1" t="n">
        <v>45594.63747685185</v>
      </c>
      <c r="C368" s="1" t="n">
        <v>46147</v>
      </c>
      <c r="D368" t="inlineStr">
        <is>
          <t>ÖREBRO LÄN</t>
        </is>
      </c>
      <c r="E368" t="inlineStr">
        <is>
          <t>LINDESBERG</t>
        </is>
      </c>
      <c r="G368" t="n">
        <v>3.8</v>
      </c>
      <c r="H368" t="n">
        <v>0</v>
      </c>
      <c r="I368" t="n">
        <v>0</v>
      </c>
      <c r="J368" t="n">
        <v>0</v>
      </c>
      <c r="K368" t="n">
        <v>0</v>
      </c>
      <c r="L368" t="n">
        <v>0</v>
      </c>
      <c r="M368" t="n">
        <v>0</v>
      </c>
      <c r="N368" t="n">
        <v>0</v>
      </c>
      <c r="O368" t="n">
        <v>0</v>
      </c>
      <c r="P368" t="n">
        <v>0</v>
      </c>
      <c r="Q368" t="n">
        <v>0</v>
      </c>
      <c r="R368" s="2" t="inlineStr"/>
    </row>
    <row r="369" ht="15" customHeight="1">
      <c r="A369" t="inlineStr">
        <is>
          <t>A 3803-2023</t>
        </is>
      </c>
      <c r="B369" s="1" t="n">
        <v>44951.5830324074</v>
      </c>
      <c r="C369" s="1" t="n">
        <v>46147</v>
      </c>
      <c r="D369" t="inlineStr">
        <is>
          <t>ÖREBRO LÄN</t>
        </is>
      </c>
      <c r="E369" t="inlineStr">
        <is>
          <t>LINDESBERG</t>
        </is>
      </c>
      <c r="G369" t="n">
        <v>0.9</v>
      </c>
      <c r="H369" t="n">
        <v>0</v>
      </c>
      <c r="I369" t="n">
        <v>0</v>
      </c>
      <c r="J369" t="n">
        <v>0</v>
      </c>
      <c r="K369" t="n">
        <v>0</v>
      </c>
      <c r="L369" t="n">
        <v>0</v>
      </c>
      <c r="M369" t="n">
        <v>0</v>
      </c>
      <c r="N369" t="n">
        <v>0</v>
      </c>
      <c r="O369" t="n">
        <v>0</v>
      </c>
      <c r="P369" t="n">
        <v>0</v>
      </c>
      <c r="Q369" t="n">
        <v>0</v>
      </c>
      <c r="R369" s="2" t="inlineStr"/>
    </row>
    <row r="370" ht="15" customHeight="1">
      <c r="A370" t="inlineStr">
        <is>
          <t>A 11581-2024</t>
        </is>
      </c>
      <c r="B370" s="1" t="n">
        <v>45373.34383101852</v>
      </c>
      <c r="C370" s="1" t="n">
        <v>46147</v>
      </c>
      <c r="D370" t="inlineStr">
        <is>
          <t>ÖREBRO LÄN</t>
        </is>
      </c>
      <c r="E370" t="inlineStr">
        <is>
          <t>LINDESBERG</t>
        </is>
      </c>
      <c r="F370" t="inlineStr">
        <is>
          <t>BillerudKorsnäs AB</t>
        </is>
      </c>
      <c r="G370" t="n">
        <v>3.9</v>
      </c>
      <c r="H370" t="n">
        <v>0</v>
      </c>
      <c r="I370" t="n">
        <v>0</v>
      </c>
      <c r="J370" t="n">
        <v>0</v>
      </c>
      <c r="K370" t="n">
        <v>0</v>
      </c>
      <c r="L370" t="n">
        <v>0</v>
      </c>
      <c r="M370" t="n">
        <v>0</v>
      </c>
      <c r="N370" t="n">
        <v>0</v>
      </c>
      <c r="O370" t="n">
        <v>0</v>
      </c>
      <c r="P370" t="n">
        <v>0</v>
      </c>
      <c r="Q370" t="n">
        <v>0</v>
      </c>
      <c r="R370" s="2" t="inlineStr"/>
    </row>
    <row r="371" ht="15" customHeight="1">
      <c r="A371" t="inlineStr">
        <is>
          <t>A 2929-2026</t>
        </is>
      </c>
      <c r="B371" s="1" t="n">
        <v>46038.58241898148</v>
      </c>
      <c r="C371" s="1" t="n">
        <v>46147</v>
      </c>
      <c r="D371" t="inlineStr">
        <is>
          <t>ÖREBRO LÄN</t>
        </is>
      </c>
      <c r="E371" t="inlineStr">
        <is>
          <t>LINDESBERG</t>
        </is>
      </c>
      <c r="G371" t="n">
        <v>1.8</v>
      </c>
      <c r="H371" t="n">
        <v>0</v>
      </c>
      <c r="I371" t="n">
        <v>0</v>
      </c>
      <c r="J371" t="n">
        <v>0</v>
      </c>
      <c r="K371" t="n">
        <v>0</v>
      </c>
      <c r="L371" t="n">
        <v>0</v>
      </c>
      <c r="M371" t="n">
        <v>0</v>
      </c>
      <c r="N371" t="n">
        <v>0</v>
      </c>
      <c r="O371" t="n">
        <v>0</v>
      </c>
      <c r="P371" t="n">
        <v>0</v>
      </c>
      <c r="Q371" t="n">
        <v>0</v>
      </c>
      <c r="R371" s="2" t="inlineStr"/>
    </row>
    <row r="372" ht="15" customHeight="1">
      <c r="A372" t="inlineStr">
        <is>
          <t>A 2949-2026</t>
        </is>
      </c>
      <c r="B372" s="1" t="n">
        <v>46038.59640046296</v>
      </c>
      <c r="C372" s="1" t="n">
        <v>46147</v>
      </c>
      <c r="D372" t="inlineStr">
        <is>
          <t>ÖREBRO LÄN</t>
        </is>
      </c>
      <c r="E372" t="inlineStr">
        <is>
          <t>LINDESBERG</t>
        </is>
      </c>
      <c r="G372" t="n">
        <v>4</v>
      </c>
      <c r="H372" t="n">
        <v>0</v>
      </c>
      <c r="I372" t="n">
        <v>0</v>
      </c>
      <c r="J372" t="n">
        <v>0</v>
      </c>
      <c r="K372" t="n">
        <v>0</v>
      </c>
      <c r="L372" t="n">
        <v>0</v>
      </c>
      <c r="M372" t="n">
        <v>0</v>
      </c>
      <c r="N372" t="n">
        <v>0</v>
      </c>
      <c r="O372" t="n">
        <v>0</v>
      </c>
      <c r="P372" t="n">
        <v>0</v>
      </c>
      <c r="Q372" t="n">
        <v>0</v>
      </c>
      <c r="R372" s="2" t="inlineStr"/>
    </row>
    <row r="373" ht="15" customHeight="1">
      <c r="A373" t="inlineStr">
        <is>
          <t>A 33507-2023</t>
        </is>
      </c>
      <c r="B373" s="1" t="n">
        <v>45131</v>
      </c>
      <c r="C373" s="1" t="n">
        <v>46147</v>
      </c>
      <c r="D373" t="inlineStr">
        <is>
          <t>ÖREBRO LÄN</t>
        </is>
      </c>
      <c r="E373" t="inlineStr">
        <is>
          <t>LINDESBERG</t>
        </is>
      </c>
      <c r="G373" t="n">
        <v>3.2</v>
      </c>
      <c r="H373" t="n">
        <v>0</v>
      </c>
      <c r="I373" t="n">
        <v>0</v>
      </c>
      <c r="J373" t="n">
        <v>0</v>
      </c>
      <c r="K373" t="n">
        <v>0</v>
      </c>
      <c r="L373" t="n">
        <v>0</v>
      </c>
      <c r="M373" t="n">
        <v>0</v>
      </c>
      <c r="N373" t="n">
        <v>0</v>
      </c>
      <c r="O373" t="n">
        <v>0</v>
      </c>
      <c r="P373" t="n">
        <v>0</v>
      </c>
      <c r="Q373" t="n">
        <v>0</v>
      </c>
      <c r="R373" s="2" t="inlineStr"/>
    </row>
    <row r="374" ht="15" customHeight="1">
      <c r="A374" t="inlineStr">
        <is>
          <t>A 24030-2023</t>
        </is>
      </c>
      <c r="B374" s="1" t="n">
        <v>45078.82620370371</v>
      </c>
      <c r="C374" s="1" t="n">
        <v>46147</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21986-2023</t>
        </is>
      </c>
      <c r="B375" s="1" t="n">
        <v>45068</v>
      </c>
      <c r="C375" s="1" t="n">
        <v>46147</v>
      </c>
      <c r="D375" t="inlineStr">
        <is>
          <t>ÖREBRO LÄN</t>
        </is>
      </c>
      <c r="E375" t="inlineStr">
        <is>
          <t>LINDESBERG</t>
        </is>
      </c>
      <c r="G375" t="n">
        <v>1.4</v>
      </c>
      <c r="H375" t="n">
        <v>0</v>
      </c>
      <c r="I375" t="n">
        <v>0</v>
      </c>
      <c r="J375" t="n">
        <v>0</v>
      </c>
      <c r="K375" t="n">
        <v>0</v>
      </c>
      <c r="L375" t="n">
        <v>0</v>
      </c>
      <c r="M375" t="n">
        <v>0</v>
      </c>
      <c r="N375" t="n">
        <v>0</v>
      </c>
      <c r="O375" t="n">
        <v>0</v>
      </c>
      <c r="P375" t="n">
        <v>0</v>
      </c>
      <c r="Q375" t="n">
        <v>0</v>
      </c>
      <c r="R375" s="2" t="inlineStr"/>
    </row>
    <row r="376" ht="15" customHeight="1">
      <c r="A376" t="inlineStr">
        <is>
          <t>A 2859-2026</t>
        </is>
      </c>
      <c r="B376" s="1" t="n">
        <v>46038.49269675926</v>
      </c>
      <c r="C376" s="1" t="n">
        <v>46147</v>
      </c>
      <c r="D376" t="inlineStr">
        <is>
          <t>ÖREBRO LÄN</t>
        </is>
      </c>
      <c r="E376" t="inlineStr">
        <is>
          <t>LINDESBERG</t>
        </is>
      </c>
      <c r="G376" t="n">
        <v>2.1</v>
      </c>
      <c r="H376" t="n">
        <v>0</v>
      </c>
      <c r="I376" t="n">
        <v>0</v>
      </c>
      <c r="J376" t="n">
        <v>0</v>
      </c>
      <c r="K376" t="n">
        <v>0</v>
      </c>
      <c r="L376" t="n">
        <v>0</v>
      </c>
      <c r="M376" t="n">
        <v>0</v>
      </c>
      <c r="N376" t="n">
        <v>0</v>
      </c>
      <c r="O376" t="n">
        <v>0</v>
      </c>
      <c r="P376" t="n">
        <v>0</v>
      </c>
      <c r="Q376" t="n">
        <v>0</v>
      </c>
      <c r="R376" s="2" t="inlineStr"/>
    </row>
    <row r="377" ht="15" customHeight="1">
      <c r="A377" t="inlineStr">
        <is>
          <t>A 2958-2026</t>
        </is>
      </c>
      <c r="B377" s="1" t="n">
        <v>46038.61067129629</v>
      </c>
      <c r="C377" s="1" t="n">
        <v>46147</v>
      </c>
      <c r="D377" t="inlineStr">
        <is>
          <t>ÖREBRO LÄN</t>
        </is>
      </c>
      <c r="E377" t="inlineStr">
        <is>
          <t>LINDESBERG</t>
        </is>
      </c>
      <c r="G377" t="n">
        <v>5.8</v>
      </c>
      <c r="H377" t="n">
        <v>0</v>
      </c>
      <c r="I377" t="n">
        <v>0</v>
      </c>
      <c r="J377" t="n">
        <v>0</v>
      </c>
      <c r="K377" t="n">
        <v>0</v>
      </c>
      <c r="L377" t="n">
        <v>0</v>
      </c>
      <c r="M377" t="n">
        <v>0</v>
      </c>
      <c r="N377" t="n">
        <v>0</v>
      </c>
      <c r="O377" t="n">
        <v>0</v>
      </c>
      <c r="P377" t="n">
        <v>0</v>
      </c>
      <c r="Q377" t="n">
        <v>0</v>
      </c>
      <c r="R377" s="2" t="inlineStr"/>
    </row>
    <row r="378" ht="15" customHeight="1">
      <c r="A378" t="inlineStr">
        <is>
          <t>A 44010-2023</t>
        </is>
      </c>
      <c r="B378" s="1" t="n">
        <v>45188</v>
      </c>
      <c r="C378" s="1" t="n">
        <v>46147</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42630-2025</t>
        </is>
      </c>
      <c r="B379" s="1" t="n">
        <v>45905.89143518519</v>
      </c>
      <c r="C379" s="1" t="n">
        <v>46147</v>
      </c>
      <c r="D379" t="inlineStr">
        <is>
          <t>ÖREBRO LÄN</t>
        </is>
      </c>
      <c r="E379" t="inlineStr">
        <is>
          <t>LINDESBERG</t>
        </is>
      </c>
      <c r="F379" t="inlineStr">
        <is>
          <t>Sveaskog</t>
        </is>
      </c>
      <c r="G379" t="n">
        <v>9.9</v>
      </c>
      <c r="H379" t="n">
        <v>0</v>
      </c>
      <c r="I379" t="n">
        <v>0</v>
      </c>
      <c r="J379" t="n">
        <v>0</v>
      </c>
      <c r="K379" t="n">
        <v>0</v>
      </c>
      <c r="L379" t="n">
        <v>0</v>
      </c>
      <c r="M379" t="n">
        <v>0</v>
      </c>
      <c r="N379" t="n">
        <v>0</v>
      </c>
      <c r="O379" t="n">
        <v>0</v>
      </c>
      <c r="P379" t="n">
        <v>0</v>
      </c>
      <c r="Q379" t="n">
        <v>0</v>
      </c>
      <c r="R379" s="2" t="inlineStr"/>
    </row>
    <row r="380" ht="15" customHeight="1">
      <c r="A380" t="inlineStr">
        <is>
          <t>A 42631-2025</t>
        </is>
      </c>
      <c r="B380" s="1" t="n">
        <v>45905.89236111111</v>
      </c>
      <c r="C380" s="1" t="n">
        <v>46147</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50986-2023</t>
        </is>
      </c>
      <c r="B381" s="1" t="n">
        <v>45218</v>
      </c>
      <c r="C381" s="1" t="n">
        <v>46147</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32504-2025</t>
        </is>
      </c>
      <c r="B382" s="1" t="n">
        <v>45838.46456018519</v>
      </c>
      <c r="C382" s="1" t="n">
        <v>46147</v>
      </c>
      <c r="D382" t="inlineStr">
        <is>
          <t>ÖREBRO LÄN</t>
        </is>
      </c>
      <c r="E382" t="inlineStr">
        <is>
          <t>LINDESBERG</t>
        </is>
      </c>
      <c r="F382" t="inlineStr">
        <is>
          <t>Sveaskog</t>
        </is>
      </c>
      <c r="G382" t="n">
        <v>16.9</v>
      </c>
      <c r="H382" t="n">
        <v>0</v>
      </c>
      <c r="I382" t="n">
        <v>0</v>
      </c>
      <c r="J382" t="n">
        <v>0</v>
      </c>
      <c r="K382" t="n">
        <v>0</v>
      </c>
      <c r="L382" t="n">
        <v>0</v>
      </c>
      <c r="M382" t="n">
        <v>0</v>
      </c>
      <c r="N382" t="n">
        <v>0</v>
      </c>
      <c r="O382" t="n">
        <v>0</v>
      </c>
      <c r="P382" t="n">
        <v>0</v>
      </c>
      <c r="Q382" t="n">
        <v>0</v>
      </c>
      <c r="R382" s="2" t="inlineStr"/>
    </row>
    <row r="383" ht="15" customHeight="1">
      <c r="A383" t="inlineStr">
        <is>
          <t>A 32502-2025</t>
        </is>
      </c>
      <c r="B383" s="1" t="n">
        <v>45838.46408564815</v>
      </c>
      <c r="C383" s="1" t="n">
        <v>46147</v>
      </c>
      <c r="D383" t="inlineStr">
        <is>
          <t>ÖREBRO LÄN</t>
        </is>
      </c>
      <c r="E383" t="inlineStr">
        <is>
          <t>LINDESBERG</t>
        </is>
      </c>
      <c r="F383" t="inlineStr">
        <is>
          <t>Sveaskog</t>
        </is>
      </c>
      <c r="G383" t="n">
        <v>17.7</v>
      </c>
      <c r="H383" t="n">
        <v>0</v>
      </c>
      <c r="I383" t="n">
        <v>0</v>
      </c>
      <c r="J383" t="n">
        <v>0</v>
      </c>
      <c r="K383" t="n">
        <v>0</v>
      </c>
      <c r="L383" t="n">
        <v>0</v>
      </c>
      <c r="M383" t="n">
        <v>0</v>
      </c>
      <c r="N383" t="n">
        <v>0</v>
      </c>
      <c r="O383" t="n">
        <v>0</v>
      </c>
      <c r="P383" t="n">
        <v>0</v>
      </c>
      <c r="Q383" t="n">
        <v>0</v>
      </c>
      <c r="R383" s="2" t="inlineStr"/>
    </row>
    <row r="384" ht="15" customHeight="1">
      <c r="A384" t="inlineStr">
        <is>
          <t>A 61969-2023</t>
        </is>
      </c>
      <c r="B384" s="1" t="n">
        <v>45266.58394675926</v>
      </c>
      <c r="C384" s="1" t="n">
        <v>46147</v>
      </c>
      <c r="D384" t="inlineStr">
        <is>
          <t>ÖREBRO LÄN</t>
        </is>
      </c>
      <c r="E384" t="inlineStr">
        <is>
          <t>LINDESBERG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32727-2024</t>
        </is>
      </c>
      <c r="B385" s="1" t="n">
        <v>45516.4221412037</v>
      </c>
      <c r="C385" s="1" t="n">
        <v>46147</v>
      </c>
      <c r="D385" t="inlineStr">
        <is>
          <t>ÖREBRO LÄN</t>
        </is>
      </c>
      <c r="E385" t="inlineStr">
        <is>
          <t>LINDESBERG</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40450-2023</t>
        </is>
      </c>
      <c r="B386" s="1" t="n">
        <v>45170</v>
      </c>
      <c r="C386" s="1" t="n">
        <v>46147</v>
      </c>
      <c r="D386" t="inlineStr">
        <is>
          <t>ÖREBRO LÄN</t>
        </is>
      </c>
      <c r="E386" t="inlineStr">
        <is>
          <t>LINDESBERG</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53062-2023</t>
        </is>
      </c>
      <c r="B387" s="1" t="n">
        <v>45227.31859953704</v>
      </c>
      <c r="C387" s="1" t="n">
        <v>46147</v>
      </c>
      <c r="D387" t="inlineStr">
        <is>
          <t>ÖREBRO LÄN</t>
        </is>
      </c>
      <c r="E387" t="inlineStr">
        <is>
          <t>LINDESBERG</t>
        </is>
      </c>
      <c r="G387" t="n">
        <v>3.1</v>
      </c>
      <c r="H387" t="n">
        <v>0</v>
      </c>
      <c r="I387" t="n">
        <v>0</v>
      </c>
      <c r="J387" t="n">
        <v>0</v>
      </c>
      <c r="K387" t="n">
        <v>0</v>
      </c>
      <c r="L387" t="n">
        <v>0</v>
      </c>
      <c r="M387" t="n">
        <v>0</v>
      </c>
      <c r="N387" t="n">
        <v>0</v>
      </c>
      <c r="O387" t="n">
        <v>0</v>
      </c>
      <c r="P387" t="n">
        <v>0</v>
      </c>
      <c r="Q387" t="n">
        <v>0</v>
      </c>
      <c r="R387" s="2" t="inlineStr"/>
    </row>
    <row r="388" ht="15" customHeight="1">
      <c r="A388" t="inlineStr">
        <is>
          <t>A 3660-2026</t>
        </is>
      </c>
      <c r="B388" s="1" t="n">
        <v>46043.38744212963</v>
      </c>
      <c r="C388" s="1" t="n">
        <v>46147</v>
      </c>
      <c r="D388" t="inlineStr">
        <is>
          <t>ÖREBRO LÄN</t>
        </is>
      </c>
      <c r="E388" t="inlineStr">
        <is>
          <t>LINDESBERG</t>
        </is>
      </c>
      <c r="G388" t="n">
        <v>3.4</v>
      </c>
      <c r="H388" t="n">
        <v>0</v>
      </c>
      <c r="I388" t="n">
        <v>0</v>
      </c>
      <c r="J388" t="n">
        <v>0</v>
      </c>
      <c r="K388" t="n">
        <v>0</v>
      </c>
      <c r="L388" t="n">
        <v>0</v>
      </c>
      <c r="M388" t="n">
        <v>0</v>
      </c>
      <c r="N388" t="n">
        <v>0</v>
      </c>
      <c r="O388" t="n">
        <v>0</v>
      </c>
      <c r="P388" t="n">
        <v>0</v>
      </c>
      <c r="Q388" t="n">
        <v>0</v>
      </c>
      <c r="R388" s="2" t="inlineStr"/>
    </row>
    <row r="389" ht="15" customHeight="1">
      <c r="A389" t="inlineStr">
        <is>
          <t>A 33046-2025</t>
        </is>
      </c>
      <c r="B389" s="1" t="n">
        <v>45840</v>
      </c>
      <c r="C389" s="1" t="n">
        <v>46147</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42632-2025</t>
        </is>
      </c>
      <c r="B390" s="1" t="n">
        <v>45905.89329861111</v>
      </c>
      <c r="C390" s="1" t="n">
        <v>46147</v>
      </c>
      <c r="D390" t="inlineStr">
        <is>
          <t>ÖREBRO LÄN</t>
        </is>
      </c>
      <c r="E390" t="inlineStr">
        <is>
          <t>LINDESBERG</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37843-2025</t>
        </is>
      </c>
      <c r="B391" s="1" t="n">
        <v>45881.43759259259</v>
      </c>
      <c r="C391" s="1" t="n">
        <v>46147</v>
      </c>
      <c r="D391" t="inlineStr">
        <is>
          <t>ÖREBRO LÄN</t>
        </is>
      </c>
      <c r="E391" t="inlineStr">
        <is>
          <t>LINDESBERG</t>
        </is>
      </c>
      <c r="G391" t="n">
        <v>5.2</v>
      </c>
      <c r="H391" t="n">
        <v>0</v>
      </c>
      <c r="I391" t="n">
        <v>0</v>
      </c>
      <c r="J391" t="n">
        <v>0</v>
      </c>
      <c r="K391" t="n">
        <v>0</v>
      </c>
      <c r="L391" t="n">
        <v>0</v>
      </c>
      <c r="M391" t="n">
        <v>0</v>
      </c>
      <c r="N391" t="n">
        <v>0</v>
      </c>
      <c r="O391" t="n">
        <v>0</v>
      </c>
      <c r="P391" t="n">
        <v>0</v>
      </c>
      <c r="Q391" t="n">
        <v>0</v>
      </c>
      <c r="R391" s="2" t="inlineStr"/>
    </row>
    <row r="392" ht="15" customHeight="1">
      <c r="A392" t="inlineStr">
        <is>
          <t>A 3659-2026</t>
        </is>
      </c>
      <c r="B392" s="1" t="n">
        <v>46043</v>
      </c>
      <c r="C392" s="1" t="n">
        <v>46147</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34004-2025</t>
        </is>
      </c>
      <c r="B393" s="1" t="n">
        <v>45844.5775</v>
      </c>
      <c r="C393" s="1" t="n">
        <v>46147</v>
      </c>
      <c r="D393" t="inlineStr">
        <is>
          <t>ÖREBRO LÄN</t>
        </is>
      </c>
      <c r="E393" t="inlineStr">
        <is>
          <t>LINDESBERG</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34104-2025</t>
        </is>
      </c>
      <c r="B394" s="1" t="n">
        <v>45845.49216435185</v>
      </c>
      <c r="C394" s="1" t="n">
        <v>46147</v>
      </c>
      <c r="D394" t="inlineStr">
        <is>
          <t>ÖREBRO LÄN</t>
        </is>
      </c>
      <c r="E394" t="inlineStr">
        <is>
          <t>LINDESBERG</t>
        </is>
      </c>
      <c r="G394" t="n">
        <v>1</v>
      </c>
      <c r="H394" t="n">
        <v>0</v>
      </c>
      <c r="I394" t="n">
        <v>0</v>
      </c>
      <c r="J394" t="n">
        <v>0</v>
      </c>
      <c r="K394" t="n">
        <v>0</v>
      </c>
      <c r="L394" t="n">
        <v>0</v>
      </c>
      <c r="M394" t="n">
        <v>0</v>
      </c>
      <c r="N394" t="n">
        <v>0</v>
      </c>
      <c r="O394" t="n">
        <v>0</v>
      </c>
      <c r="P394" t="n">
        <v>0</v>
      </c>
      <c r="Q394" t="n">
        <v>0</v>
      </c>
      <c r="R394" s="2" t="inlineStr"/>
    </row>
    <row r="395" ht="15" customHeight="1">
      <c r="A395" t="inlineStr">
        <is>
          <t>A 12739-2024</t>
        </is>
      </c>
      <c r="B395" s="1" t="n">
        <v>45384</v>
      </c>
      <c r="C395" s="1" t="n">
        <v>46147</v>
      </c>
      <c r="D395" t="inlineStr">
        <is>
          <t>ÖREBRO LÄN</t>
        </is>
      </c>
      <c r="E395" t="inlineStr">
        <is>
          <t>LINDESBERG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33574-2024</t>
        </is>
      </c>
      <c r="B396" s="1" t="n">
        <v>45520.32887731482</v>
      </c>
      <c r="C396" s="1" t="n">
        <v>46147</v>
      </c>
      <c r="D396" t="inlineStr">
        <is>
          <t>ÖREBRO LÄN</t>
        </is>
      </c>
      <c r="E396" t="inlineStr">
        <is>
          <t>LINDESBERG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43847-2025</t>
        </is>
      </c>
      <c r="B397" s="1" t="n">
        <v>45912.63751157407</v>
      </c>
      <c r="C397" s="1" t="n">
        <v>46147</v>
      </c>
      <c r="D397" t="inlineStr">
        <is>
          <t>ÖREBRO LÄN</t>
        </is>
      </c>
      <c r="E397" t="inlineStr">
        <is>
          <t>LINDESBERG</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45056-2024</t>
        </is>
      </c>
      <c r="B398" s="1" t="n">
        <v>45575.55273148148</v>
      </c>
      <c r="C398" s="1" t="n">
        <v>46147</v>
      </c>
      <c r="D398" t="inlineStr">
        <is>
          <t>ÖREBRO LÄN</t>
        </is>
      </c>
      <c r="E398" t="inlineStr">
        <is>
          <t>LINDESBERG</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45058-2024</t>
        </is>
      </c>
      <c r="B399" s="1" t="n">
        <v>45575.5547337963</v>
      </c>
      <c r="C399" s="1" t="n">
        <v>46147</v>
      </c>
      <c r="D399" t="inlineStr">
        <is>
          <t>ÖREBRO LÄN</t>
        </is>
      </c>
      <c r="E399" t="inlineStr">
        <is>
          <t>LINDESBERG</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45063-2024</t>
        </is>
      </c>
      <c r="B400" s="1" t="n">
        <v>45575.55684027778</v>
      </c>
      <c r="C400" s="1" t="n">
        <v>46147</v>
      </c>
      <c r="D400" t="inlineStr">
        <is>
          <t>ÖREBRO LÄN</t>
        </is>
      </c>
      <c r="E400" t="inlineStr">
        <is>
          <t>LINDESBERG</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34002-2025</t>
        </is>
      </c>
      <c r="B401" s="1" t="n">
        <v>45844.57328703703</v>
      </c>
      <c r="C401" s="1" t="n">
        <v>46147</v>
      </c>
      <c r="D401" t="inlineStr">
        <is>
          <t>ÖREBRO LÄN</t>
        </is>
      </c>
      <c r="E401" t="inlineStr">
        <is>
          <t>LINDESBERG</t>
        </is>
      </c>
      <c r="F401" t="inlineStr">
        <is>
          <t>Sveaskog</t>
        </is>
      </c>
      <c r="G401" t="n">
        <v>4.6</v>
      </c>
      <c r="H401" t="n">
        <v>0</v>
      </c>
      <c r="I401" t="n">
        <v>0</v>
      </c>
      <c r="J401" t="n">
        <v>0</v>
      </c>
      <c r="K401" t="n">
        <v>0</v>
      </c>
      <c r="L401" t="n">
        <v>0</v>
      </c>
      <c r="M401" t="n">
        <v>0</v>
      </c>
      <c r="N401" t="n">
        <v>0</v>
      </c>
      <c r="O401" t="n">
        <v>0</v>
      </c>
      <c r="P401" t="n">
        <v>0</v>
      </c>
      <c r="Q401" t="n">
        <v>0</v>
      </c>
      <c r="R401" s="2" t="inlineStr"/>
    </row>
    <row r="402" ht="15" customHeight="1">
      <c r="A402" t="inlineStr">
        <is>
          <t>A 34003-2025</t>
        </is>
      </c>
      <c r="B402" s="1" t="n">
        <v>45844.57527777777</v>
      </c>
      <c r="C402" s="1" t="n">
        <v>46147</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34097-2025</t>
        </is>
      </c>
      <c r="B403" s="1" t="n">
        <v>45845.4855787037</v>
      </c>
      <c r="C403" s="1" t="n">
        <v>46147</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44077-2025</t>
        </is>
      </c>
      <c r="B404" s="1" t="n">
        <v>45915.54983796296</v>
      </c>
      <c r="C404" s="1" t="n">
        <v>46147</v>
      </c>
      <c r="D404" t="inlineStr">
        <is>
          <t>ÖREBRO LÄN</t>
        </is>
      </c>
      <c r="E404" t="inlineStr">
        <is>
          <t>LINDESBERG</t>
        </is>
      </c>
      <c r="G404" t="n">
        <v>4.2</v>
      </c>
      <c r="H404" t="n">
        <v>0</v>
      </c>
      <c r="I404" t="n">
        <v>0</v>
      </c>
      <c r="J404" t="n">
        <v>0</v>
      </c>
      <c r="K404" t="n">
        <v>0</v>
      </c>
      <c r="L404" t="n">
        <v>0</v>
      </c>
      <c r="M404" t="n">
        <v>0</v>
      </c>
      <c r="N404" t="n">
        <v>0</v>
      </c>
      <c r="O404" t="n">
        <v>0</v>
      </c>
      <c r="P404" t="n">
        <v>0</v>
      </c>
      <c r="Q404" t="n">
        <v>0</v>
      </c>
      <c r="R404" s="2" t="inlineStr"/>
    </row>
    <row r="405" ht="15" customHeight="1">
      <c r="A405" t="inlineStr">
        <is>
          <t>A 9198-2025</t>
        </is>
      </c>
      <c r="B405" s="1" t="n">
        <v>45714</v>
      </c>
      <c r="C405" s="1" t="n">
        <v>46147</v>
      </c>
      <c r="D405" t="inlineStr">
        <is>
          <t>ÖREBRO LÄN</t>
        </is>
      </c>
      <c r="E405" t="inlineStr">
        <is>
          <t>LINDESBERG</t>
        </is>
      </c>
      <c r="G405" t="n">
        <v>3.3</v>
      </c>
      <c r="H405" t="n">
        <v>0</v>
      </c>
      <c r="I405" t="n">
        <v>0</v>
      </c>
      <c r="J405" t="n">
        <v>0</v>
      </c>
      <c r="K405" t="n">
        <v>0</v>
      </c>
      <c r="L405" t="n">
        <v>0</v>
      </c>
      <c r="M405" t="n">
        <v>0</v>
      </c>
      <c r="N405" t="n">
        <v>0</v>
      </c>
      <c r="O405" t="n">
        <v>0</v>
      </c>
      <c r="P405" t="n">
        <v>0</v>
      </c>
      <c r="Q405" t="n">
        <v>0</v>
      </c>
      <c r="R405" s="2" t="inlineStr"/>
    </row>
    <row r="406" ht="15" customHeight="1">
      <c r="A406" t="inlineStr">
        <is>
          <t>A 44041-2025</t>
        </is>
      </c>
      <c r="B406" s="1" t="n">
        <v>45915.49238425926</v>
      </c>
      <c r="C406" s="1" t="n">
        <v>46147</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60492-2024</t>
        </is>
      </c>
      <c r="B407" s="1" t="n">
        <v>45642</v>
      </c>
      <c r="C407" s="1" t="n">
        <v>46147</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43837-2025</t>
        </is>
      </c>
      <c r="B408" s="1" t="n">
        <v>45912.63451388889</v>
      </c>
      <c r="C408" s="1" t="n">
        <v>46147</v>
      </c>
      <c r="D408" t="inlineStr">
        <is>
          <t>ÖREBRO LÄN</t>
        </is>
      </c>
      <c r="E408" t="inlineStr">
        <is>
          <t>LINDESBERG</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34267-2025</t>
        </is>
      </c>
      <c r="B409" s="1" t="n">
        <v>45845.76005787037</v>
      </c>
      <c r="C409" s="1" t="n">
        <v>46147</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34264-2025</t>
        </is>
      </c>
      <c r="B410" s="1" t="n">
        <v>45845.75200231482</v>
      </c>
      <c r="C410" s="1" t="n">
        <v>46147</v>
      </c>
      <c r="D410" t="inlineStr">
        <is>
          <t>ÖREBRO LÄN</t>
        </is>
      </c>
      <c r="E410" t="inlineStr">
        <is>
          <t>LINDESBERG</t>
        </is>
      </c>
      <c r="G410" t="n">
        <v>3.9</v>
      </c>
      <c r="H410" t="n">
        <v>0</v>
      </c>
      <c r="I410" t="n">
        <v>0</v>
      </c>
      <c r="J410" t="n">
        <v>0</v>
      </c>
      <c r="K410" t="n">
        <v>0</v>
      </c>
      <c r="L410" t="n">
        <v>0</v>
      </c>
      <c r="M410" t="n">
        <v>0</v>
      </c>
      <c r="N410" t="n">
        <v>0</v>
      </c>
      <c r="O410" t="n">
        <v>0</v>
      </c>
      <c r="P410" t="n">
        <v>0</v>
      </c>
      <c r="Q410" t="n">
        <v>0</v>
      </c>
      <c r="R410" s="2" t="inlineStr"/>
    </row>
    <row r="411" ht="15" customHeight="1">
      <c r="A411" t="inlineStr">
        <is>
          <t>A 43836-2025</t>
        </is>
      </c>
      <c r="B411" s="1" t="n">
        <v>45912.63359953704</v>
      </c>
      <c r="C411" s="1" t="n">
        <v>46147</v>
      </c>
      <c r="D411" t="inlineStr">
        <is>
          <t>ÖREBRO LÄN</t>
        </is>
      </c>
      <c r="E411" t="inlineStr">
        <is>
          <t>LINDESBERG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26093-2023</t>
        </is>
      </c>
      <c r="B412" s="1" t="n">
        <v>45091.39362268519</v>
      </c>
      <c r="C412" s="1" t="n">
        <v>46147</v>
      </c>
      <c r="D412" t="inlineStr">
        <is>
          <t>ÖREBRO LÄN</t>
        </is>
      </c>
      <c r="E412" t="inlineStr">
        <is>
          <t>LINDESBERG</t>
        </is>
      </c>
      <c r="G412" t="n">
        <v>0.4</v>
      </c>
      <c r="H412" t="n">
        <v>0</v>
      </c>
      <c r="I412" t="n">
        <v>0</v>
      </c>
      <c r="J412" t="n">
        <v>0</v>
      </c>
      <c r="K412" t="n">
        <v>0</v>
      </c>
      <c r="L412" t="n">
        <v>0</v>
      </c>
      <c r="M412" t="n">
        <v>0</v>
      </c>
      <c r="N412" t="n">
        <v>0</v>
      </c>
      <c r="O412" t="n">
        <v>0</v>
      </c>
      <c r="P412" t="n">
        <v>0</v>
      </c>
      <c r="Q412" t="n">
        <v>0</v>
      </c>
      <c r="R412" s="2" t="inlineStr"/>
    </row>
    <row r="413" ht="15" customHeight="1">
      <c r="A413" t="inlineStr">
        <is>
          <t>A 47066-2023</t>
        </is>
      </c>
      <c r="B413" s="1" t="n">
        <v>45201</v>
      </c>
      <c r="C413" s="1" t="n">
        <v>46147</v>
      </c>
      <c r="D413" t="inlineStr">
        <is>
          <t>ÖREBRO LÄN</t>
        </is>
      </c>
      <c r="E413" t="inlineStr">
        <is>
          <t>LINDESBERG</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54859-2024</t>
        </is>
      </c>
      <c r="B414" s="1" t="n">
        <v>45618.58962962963</v>
      </c>
      <c r="C414" s="1" t="n">
        <v>46147</v>
      </c>
      <c r="D414" t="inlineStr">
        <is>
          <t>ÖREBRO LÄN</t>
        </is>
      </c>
      <c r="E414" t="inlineStr">
        <is>
          <t>LINDESBERG</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44067-2025</t>
        </is>
      </c>
      <c r="B415" s="1" t="n">
        <v>45915.54439814815</v>
      </c>
      <c r="C415" s="1" t="n">
        <v>46147</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36773-2024</t>
        </is>
      </c>
      <c r="B416" s="1" t="n">
        <v>45538</v>
      </c>
      <c r="C416" s="1" t="n">
        <v>46147</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44545-2025</t>
        </is>
      </c>
      <c r="B417" s="1" t="n">
        <v>45917.31780092593</v>
      </c>
      <c r="C417" s="1" t="n">
        <v>46147</v>
      </c>
      <c r="D417" t="inlineStr">
        <is>
          <t>ÖREBRO LÄN</t>
        </is>
      </c>
      <c r="E417" t="inlineStr">
        <is>
          <t>LINDESBERG</t>
        </is>
      </c>
      <c r="F417" t="inlineStr">
        <is>
          <t>Kommuner</t>
        </is>
      </c>
      <c r="G417" t="n">
        <v>2.3</v>
      </c>
      <c r="H417" t="n">
        <v>0</v>
      </c>
      <c r="I417" t="n">
        <v>0</v>
      </c>
      <c r="J417" t="n">
        <v>0</v>
      </c>
      <c r="K417" t="n">
        <v>0</v>
      </c>
      <c r="L417" t="n">
        <v>0</v>
      </c>
      <c r="M417" t="n">
        <v>0</v>
      </c>
      <c r="N417" t="n">
        <v>0</v>
      </c>
      <c r="O417" t="n">
        <v>0</v>
      </c>
      <c r="P417" t="n">
        <v>0</v>
      </c>
      <c r="Q417" t="n">
        <v>0</v>
      </c>
      <c r="R417" s="2" t="inlineStr"/>
    </row>
    <row r="418" ht="15" customHeight="1">
      <c r="A418" t="inlineStr">
        <is>
          <t>A 59804-2023</t>
        </is>
      </c>
      <c r="B418" s="1" t="n">
        <v>45257.48188657407</v>
      </c>
      <c r="C418" s="1" t="n">
        <v>46147</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40758-2021</t>
        </is>
      </c>
      <c r="B419" s="1" t="n">
        <v>44420</v>
      </c>
      <c r="C419" s="1" t="n">
        <v>46147</v>
      </c>
      <c r="D419" t="inlineStr">
        <is>
          <t>ÖREBRO LÄN</t>
        </is>
      </c>
      <c r="E419" t="inlineStr">
        <is>
          <t>LINDESBERG</t>
        </is>
      </c>
      <c r="G419" t="n">
        <v>5</v>
      </c>
      <c r="H419" t="n">
        <v>0</v>
      </c>
      <c r="I419" t="n">
        <v>0</v>
      </c>
      <c r="J419" t="n">
        <v>0</v>
      </c>
      <c r="K419" t="n">
        <v>0</v>
      </c>
      <c r="L419" t="n">
        <v>0</v>
      </c>
      <c r="M419" t="n">
        <v>0</v>
      </c>
      <c r="N419" t="n">
        <v>0</v>
      </c>
      <c r="O419" t="n">
        <v>0</v>
      </c>
      <c r="P419" t="n">
        <v>0</v>
      </c>
      <c r="Q419" t="n">
        <v>0</v>
      </c>
      <c r="R419" s="2" t="inlineStr"/>
    </row>
    <row r="420" ht="15" customHeight="1">
      <c r="A420" t="inlineStr">
        <is>
          <t>A 61691-2023</t>
        </is>
      </c>
      <c r="B420" s="1" t="n">
        <v>45265.64142361111</v>
      </c>
      <c r="C420" s="1" t="n">
        <v>46147</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4298-2025</t>
        </is>
      </c>
      <c r="B421" s="1" t="n">
        <v>45685</v>
      </c>
      <c r="C421" s="1" t="n">
        <v>46147</v>
      </c>
      <c r="D421" t="inlineStr">
        <is>
          <t>ÖREBRO LÄN</t>
        </is>
      </c>
      <c r="E421" t="inlineStr">
        <is>
          <t>LINDESBERG</t>
        </is>
      </c>
      <c r="G421" t="n">
        <v>13.5</v>
      </c>
      <c r="H421" t="n">
        <v>0</v>
      </c>
      <c r="I421" t="n">
        <v>0</v>
      </c>
      <c r="J421" t="n">
        <v>0</v>
      </c>
      <c r="K421" t="n">
        <v>0</v>
      </c>
      <c r="L421" t="n">
        <v>0</v>
      </c>
      <c r="M421" t="n">
        <v>0</v>
      </c>
      <c r="N421" t="n">
        <v>0</v>
      </c>
      <c r="O421" t="n">
        <v>0</v>
      </c>
      <c r="P421" t="n">
        <v>0</v>
      </c>
      <c r="Q421" t="n">
        <v>0</v>
      </c>
      <c r="R421" s="2" t="inlineStr"/>
    </row>
    <row r="422" ht="15" customHeight="1">
      <c r="A422" t="inlineStr">
        <is>
          <t>A 53597-2024</t>
        </is>
      </c>
      <c r="B422" s="1" t="n">
        <v>45614.68083333333</v>
      </c>
      <c r="C422" s="1" t="n">
        <v>46147</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43081-2021</t>
        </is>
      </c>
      <c r="B423" s="1" t="n">
        <v>44431</v>
      </c>
      <c r="C423" s="1" t="n">
        <v>46147</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32002-2023</t>
        </is>
      </c>
      <c r="B424" s="1" t="n">
        <v>45119.46452546296</v>
      </c>
      <c r="C424" s="1" t="n">
        <v>46147</v>
      </c>
      <c r="D424" t="inlineStr">
        <is>
          <t>ÖREBRO LÄN</t>
        </is>
      </c>
      <c r="E424" t="inlineStr">
        <is>
          <t>LINDESBERG</t>
        </is>
      </c>
      <c r="F424" t="inlineStr">
        <is>
          <t>Kyrkan</t>
        </is>
      </c>
      <c r="G424" t="n">
        <v>0.6</v>
      </c>
      <c r="H424" t="n">
        <v>0</v>
      </c>
      <c r="I424" t="n">
        <v>0</v>
      </c>
      <c r="J424" t="n">
        <v>0</v>
      </c>
      <c r="K424" t="n">
        <v>0</v>
      </c>
      <c r="L424" t="n">
        <v>0</v>
      </c>
      <c r="M424" t="n">
        <v>0</v>
      </c>
      <c r="N424" t="n">
        <v>0</v>
      </c>
      <c r="O424" t="n">
        <v>0</v>
      </c>
      <c r="P424" t="n">
        <v>0</v>
      </c>
      <c r="Q424" t="n">
        <v>0</v>
      </c>
      <c r="R424" s="2" t="inlineStr"/>
    </row>
    <row r="425" ht="15" customHeight="1">
      <c r="A425" t="inlineStr">
        <is>
          <t>A 24916-2022</t>
        </is>
      </c>
      <c r="B425" s="1" t="n">
        <v>44728</v>
      </c>
      <c r="C425" s="1" t="n">
        <v>46147</v>
      </c>
      <c r="D425" t="inlineStr">
        <is>
          <t>ÖREBRO LÄN</t>
        </is>
      </c>
      <c r="E425" t="inlineStr">
        <is>
          <t>LINDESBERG</t>
        </is>
      </c>
      <c r="G425" t="n">
        <v>8.1</v>
      </c>
      <c r="H425" t="n">
        <v>0</v>
      </c>
      <c r="I425" t="n">
        <v>0</v>
      </c>
      <c r="J425" t="n">
        <v>0</v>
      </c>
      <c r="K425" t="n">
        <v>0</v>
      </c>
      <c r="L425" t="n">
        <v>0</v>
      </c>
      <c r="M425" t="n">
        <v>0</v>
      </c>
      <c r="N425" t="n">
        <v>0</v>
      </c>
      <c r="O425" t="n">
        <v>0</v>
      </c>
      <c r="P425" t="n">
        <v>0</v>
      </c>
      <c r="Q425" t="n">
        <v>0</v>
      </c>
      <c r="R425" s="2" t="inlineStr"/>
    </row>
    <row r="426" ht="15" customHeight="1">
      <c r="A426" t="inlineStr">
        <is>
          <t>A 5677-2025</t>
        </is>
      </c>
      <c r="B426" s="1" t="n">
        <v>45694</v>
      </c>
      <c r="C426" s="1" t="n">
        <v>46147</v>
      </c>
      <c r="D426" t="inlineStr">
        <is>
          <t>ÖREBRO LÄN</t>
        </is>
      </c>
      <c r="E426" t="inlineStr">
        <is>
          <t>LINDESBERG</t>
        </is>
      </c>
      <c r="G426" t="n">
        <v>1.6</v>
      </c>
      <c r="H426" t="n">
        <v>0</v>
      </c>
      <c r="I426" t="n">
        <v>0</v>
      </c>
      <c r="J426" t="n">
        <v>0</v>
      </c>
      <c r="K426" t="n">
        <v>0</v>
      </c>
      <c r="L426" t="n">
        <v>0</v>
      </c>
      <c r="M426" t="n">
        <v>0</v>
      </c>
      <c r="N426" t="n">
        <v>0</v>
      </c>
      <c r="O426" t="n">
        <v>0</v>
      </c>
      <c r="P426" t="n">
        <v>0</v>
      </c>
      <c r="Q426" t="n">
        <v>0</v>
      </c>
      <c r="R426" s="2" t="inlineStr"/>
    </row>
    <row r="427" ht="15" customHeight="1">
      <c r="A427" t="inlineStr">
        <is>
          <t>A 7661-2024</t>
        </is>
      </c>
      <c r="B427" s="1" t="n">
        <v>45348</v>
      </c>
      <c r="C427" s="1" t="n">
        <v>46147</v>
      </c>
      <c r="D427" t="inlineStr">
        <is>
          <t>ÖREBRO LÄN</t>
        </is>
      </c>
      <c r="E427" t="inlineStr">
        <is>
          <t>LINDESBERG</t>
        </is>
      </c>
      <c r="G427" t="n">
        <v>4.1</v>
      </c>
      <c r="H427" t="n">
        <v>0</v>
      </c>
      <c r="I427" t="n">
        <v>0</v>
      </c>
      <c r="J427" t="n">
        <v>0</v>
      </c>
      <c r="K427" t="n">
        <v>0</v>
      </c>
      <c r="L427" t="n">
        <v>0</v>
      </c>
      <c r="M427" t="n">
        <v>0</v>
      </c>
      <c r="N427" t="n">
        <v>0</v>
      </c>
      <c r="O427" t="n">
        <v>0</v>
      </c>
      <c r="P427" t="n">
        <v>0</v>
      </c>
      <c r="Q427" t="n">
        <v>0</v>
      </c>
      <c r="R427" s="2" t="inlineStr"/>
    </row>
    <row r="428" ht="15" customHeight="1">
      <c r="A428" t="inlineStr">
        <is>
          <t>A 3951-2026</t>
        </is>
      </c>
      <c r="B428" s="1" t="n">
        <v>46044</v>
      </c>
      <c r="C428" s="1" t="n">
        <v>46147</v>
      </c>
      <c r="D428" t="inlineStr">
        <is>
          <t>ÖREBRO LÄN</t>
        </is>
      </c>
      <c r="E428" t="inlineStr">
        <is>
          <t>LINDESBERG</t>
        </is>
      </c>
      <c r="G428" t="n">
        <v>0.6</v>
      </c>
      <c r="H428" t="n">
        <v>0</v>
      </c>
      <c r="I428" t="n">
        <v>0</v>
      </c>
      <c r="J428" t="n">
        <v>0</v>
      </c>
      <c r="K428" t="n">
        <v>0</v>
      </c>
      <c r="L428" t="n">
        <v>0</v>
      </c>
      <c r="M428" t="n">
        <v>0</v>
      </c>
      <c r="N428" t="n">
        <v>0</v>
      </c>
      <c r="O428" t="n">
        <v>0</v>
      </c>
      <c r="P428" t="n">
        <v>0</v>
      </c>
      <c r="Q428" t="n">
        <v>0</v>
      </c>
      <c r="R428" s="2" t="inlineStr"/>
    </row>
    <row r="429" ht="15" customHeight="1">
      <c r="A429" t="inlineStr">
        <is>
          <t>A 12278-2025</t>
        </is>
      </c>
      <c r="B429" s="1" t="n">
        <v>45729.65171296296</v>
      </c>
      <c r="C429" s="1" t="n">
        <v>46147</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1681-2025</t>
        </is>
      </c>
      <c r="B430" s="1" t="n">
        <v>45670.69458333333</v>
      </c>
      <c r="C430" s="1" t="n">
        <v>46147</v>
      </c>
      <c r="D430" t="inlineStr">
        <is>
          <t>ÖREBRO LÄN</t>
        </is>
      </c>
      <c r="E430" t="inlineStr">
        <is>
          <t>LINDESBERG</t>
        </is>
      </c>
      <c r="G430" t="n">
        <v>1.9</v>
      </c>
      <c r="H430" t="n">
        <v>0</v>
      </c>
      <c r="I430" t="n">
        <v>0</v>
      </c>
      <c r="J430" t="n">
        <v>0</v>
      </c>
      <c r="K430" t="n">
        <v>0</v>
      </c>
      <c r="L430" t="n">
        <v>0</v>
      </c>
      <c r="M430" t="n">
        <v>0</v>
      </c>
      <c r="N430" t="n">
        <v>0</v>
      </c>
      <c r="O430" t="n">
        <v>0</v>
      </c>
      <c r="P430" t="n">
        <v>0</v>
      </c>
      <c r="Q430" t="n">
        <v>0</v>
      </c>
      <c r="R430" s="2" t="inlineStr"/>
    </row>
    <row r="431" ht="15" customHeight="1">
      <c r="A431" t="inlineStr">
        <is>
          <t>A 36670-2024</t>
        </is>
      </c>
      <c r="B431" s="1" t="n">
        <v>45537.64621527777</v>
      </c>
      <c r="C431" s="1" t="n">
        <v>46147</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34237-2023</t>
        </is>
      </c>
      <c r="B432" s="1" t="n">
        <v>45138</v>
      </c>
      <c r="C432" s="1" t="n">
        <v>46147</v>
      </c>
      <c r="D432" t="inlineStr">
        <is>
          <t>ÖREBRO LÄN</t>
        </is>
      </c>
      <c r="E432" t="inlineStr">
        <is>
          <t>LINDESBERG</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35366-2025</t>
        </is>
      </c>
      <c r="B433" s="1" t="n">
        <v>45854</v>
      </c>
      <c r="C433" s="1" t="n">
        <v>46147</v>
      </c>
      <c r="D433" t="inlineStr">
        <is>
          <t>ÖREBRO LÄN</t>
        </is>
      </c>
      <c r="E433" t="inlineStr">
        <is>
          <t>LINDESBERG</t>
        </is>
      </c>
      <c r="G433" t="n">
        <v>5.5</v>
      </c>
      <c r="H433" t="n">
        <v>0</v>
      </c>
      <c r="I433" t="n">
        <v>0</v>
      </c>
      <c r="J433" t="n">
        <v>0</v>
      </c>
      <c r="K433" t="n">
        <v>0</v>
      </c>
      <c r="L433" t="n">
        <v>0</v>
      </c>
      <c r="M433" t="n">
        <v>0</v>
      </c>
      <c r="N433" t="n">
        <v>0</v>
      </c>
      <c r="O433" t="n">
        <v>0</v>
      </c>
      <c r="P433" t="n">
        <v>0</v>
      </c>
      <c r="Q433" t="n">
        <v>0</v>
      </c>
      <c r="R433" s="2" t="inlineStr"/>
    </row>
    <row r="434" ht="15" customHeight="1">
      <c r="A434" t="inlineStr">
        <is>
          <t>A 29942-2024</t>
        </is>
      </c>
      <c r="B434" s="1" t="n">
        <v>45488.42258101852</v>
      </c>
      <c r="C434" s="1" t="n">
        <v>46147</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35292-2025</t>
        </is>
      </c>
      <c r="B435" s="1" t="n">
        <v>45854</v>
      </c>
      <c r="C435" s="1" t="n">
        <v>46147</v>
      </c>
      <c r="D435" t="inlineStr">
        <is>
          <t>ÖREBRO LÄN</t>
        </is>
      </c>
      <c r="E435" t="inlineStr">
        <is>
          <t>LINDESBERG</t>
        </is>
      </c>
      <c r="G435" t="n">
        <v>1</v>
      </c>
      <c r="H435" t="n">
        <v>0</v>
      </c>
      <c r="I435" t="n">
        <v>0</v>
      </c>
      <c r="J435" t="n">
        <v>0</v>
      </c>
      <c r="K435" t="n">
        <v>0</v>
      </c>
      <c r="L435" t="n">
        <v>0</v>
      </c>
      <c r="M435" t="n">
        <v>0</v>
      </c>
      <c r="N435" t="n">
        <v>0</v>
      </c>
      <c r="O435" t="n">
        <v>0</v>
      </c>
      <c r="P435" t="n">
        <v>0</v>
      </c>
      <c r="Q435" t="n">
        <v>0</v>
      </c>
      <c r="R435" s="2" t="inlineStr"/>
    </row>
    <row r="436" ht="15" customHeight="1">
      <c r="A436" t="inlineStr">
        <is>
          <t>A 3294-2024</t>
        </is>
      </c>
      <c r="B436" s="1" t="n">
        <v>45316</v>
      </c>
      <c r="C436" s="1" t="n">
        <v>46147</v>
      </c>
      <c r="D436" t="inlineStr">
        <is>
          <t>ÖREBRO LÄN</t>
        </is>
      </c>
      <c r="E436" t="inlineStr">
        <is>
          <t>LINDESBERG</t>
        </is>
      </c>
      <c r="G436" t="n">
        <v>3</v>
      </c>
      <c r="H436" t="n">
        <v>0</v>
      </c>
      <c r="I436" t="n">
        <v>0</v>
      </c>
      <c r="J436" t="n">
        <v>0</v>
      </c>
      <c r="K436" t="n">
        <v>0</v>
      </c>
      <c r="L436" t="n">
        <v>0</v>
      </c>
      <c r="M436" t="n">
        <v>0</v>
      </c>
      <c r="N436" t="n">
        <v>0</v>
      </c>
      <c r="O436" t="n">
        <v>0</v>
      </c>
      <c r="P436" t="n">
        <v>0</v>
      </c>
      <c r="Q436" t="n">
        <v>0</v>
      </c>
      <c r="R436" s="2" t="inlineStr"/>
    </row>
    <row r="437" ht="15" customHeight="1">
      <c r="A437" t="inlineStr">
        <is>
          <t>A 14185-2024</t>
        </is>
      </c>
      <c r="B437" s="1" t="n">
        <v>45393.3562962963</v>
      </c>
      <c r="C437" s="1" t="n">
        <v>46147</v>
      </c>
      <c r="D437" t="inlineStr">
        <is>
          <t>ÖREBRO LÄN</t>
        </is>
      </c>
      <c r="E437" t="inlineStr">
        <is>
          <t>LINDESBERG</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14190-2024</t>
        </is>
      </c>
      <c r="B438" s="1" t="n">
        <v>45393.36060185185</v>
      </c>
      <c r="C438" s="1" t="n">
        <v>46147</v>
      </c>
      <c r="D438" t="inlineStr">
        <is>
          <t>ÖREBRO LÄN</t>
        </is>
      </c>
      <c r="E438" t="inlineStr">
        <is>
          <t>LINDESBERG</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35710-2025</t>
        </is>
      </c>
      <c r="B439" s="1" t="n">
        <v>45860.3857175926</v>
      </c>
      <c r="C439" s="1" t="n">
        <v>46147</v>
      </c>
      <c r="D439" t="inlineStr">
        <is>
          <t>ÖREBRO LÄN</t>
        </is>
      </c>
      <c r="E439" t="inlineStr">
        <is>
          <t>LINDESBERG</t>
        </is>
      </c>
      <c r="G439" t="n">
        <v>3.2</v>
      </c>
      <c r="H439" t="n">
        <v>0</v>
      </c>
      <c r="I439" t="n">
        <v>0</v>
      </c>
      <c r="J439" t="n">
        <v>0</v>
      </c>
      <c r="K439" t="n">
        <v>0</v>
      </c>
      <c r="L439" t="n">
        <v>0</v>
      </c>
      <c r="M439" t="n">
        <v>0</v>
      </c>
      <c r="N439" t="n">
        <v>0</v>
      </c>
      <c r="O439" t="n">
        <v>0</v>
      </c>
      <c r="P439" t="n">
        <v>0</v>
      </c>
      <c r="Q439" t="n">
        <v>0</v>
      </c>
      <c r="R439" s="2" t="inlineStr"/>
    </row>
    <row r="440" ht="15" customHeight="1">
      <c r="A440" t="inlineStr">
        <is>
          <t>A 46404-2025</t>
        </is>
      </c>
      <c r="B440" s="1" t="n">
        <v>45925.56173611111</v>
      </c>
      <c r="C440" s="1" t="n">
        <v>46147</v>
      </c>
      <c r="D440" t="inlineStr">
        <is>
          <t>ÖREBRO LÄN</t>
        </is>
      </c>
      <c r="E440" t="inlineStr">
        <is>
          <t>LINDESBERG</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35702-2025</t>
        </is>
      </c>
      <c r="B441" s="1" t="n">
        <v>45860.36222222223</v>
      </c>
      <c r="C441" s="1" t="n">
        <v>46147</v>
      </c>
      <c r="D441" t="inlineStr">
        <is>
          <t>ÖREBRO LÄN</t>
        </is>
      </c>
      <c r="E441" t="inlineStr">
        <is>
          <t>LINDESBERG</t>
        </is>
      </c>
      <c r="G441" t="n">
        <v>5.3</v>
      </c>
      <c r="H441" t="n">
        <v>0</v>
      </c>
      <c r="I441" t="n">
        <v>0</v>
      </c>
      <c r="J441" t="n">
        <v>0</v>
      </c>
      <c r="K441" t="n">
        <v>0</v>
      </c>
      <c r="L441" t="n">
        <v>0</v>
      </c>
      <c r="M441" t="n">
        <v>0</v>
      </c>
      <c r="N441" t="n">
        <v>0</v>
      </c>
      <c r="O441" t="n">
        <v>0</v>
      </c>
      <c r="P441" t="n">
        <v>0</v>
      </c>
      <c r="Q441" t="n">
        <v>0</v>
      </c>
      <c r="R441" s="2" t="inlineStr"/>
    </row>
    <row r="442" ht="15" customHeight="1">
      <c r="A442" t="inlineStr">
        <is>
          <t>A 5717-2026</t>
        </is>
      </c>
      <c r="B442" s="1" t="n">
        <v>46051.53689814815</v>
      </c>
      <c r="C442" s="1" t="n">
        <v>46147</v>
      </c>
      <c r="D442" t="inlineStr">
        <is>
          <t>ÖREBRO LÄN</t>
        </is>
      </c>
      <c r="E442" t="inlineStr">
        <is>
          <t>LINDESBERG</t>
        </is>
      </c>
      <c r="G442" t="n">
        <v>6</v>
      </c>
      <c r="H442" t="n">
        <v>0</v>
      </c>
      <c r="I442" t="n">
        <v>0</v>
      </c>
      <c r="J442" t="n">
        <v>0</v>
      </c>
      <c r="K442" t="n">
        <v>0</v>
      </c>
      <c r="L442" t="n">
        <v>0</v>
      </c>
      <c r="M442" t="n">
        <v>0</v>
      </c>
      <c r="N442" t="n">
        <v>0</v>
      </c>
      <c r="O442" t="n">
        <v>0</v>
      </c>
      <c r="P442" t="n">
        <v>0</v>
      </c>
      <c r="Q442" t="n">
        <v>0</v>
      </c>
      <c r="R442" s="2" t="inlineStr"/>
    </row>
    <row r="443" ht="15" customHeight="1">
      <c r="A443" t="inlineStr">
        <is>
          <t>A 47304-2024</t>
        </is>
      </c>
      <c r="B443" s="1" t="n">
        <v>45587</v>
      </c>
      <c r="C443" s="1" t="n">
        <v>46147</v>
      </c>
      <c r="D443" t="inlineStr">
        <is>
          <t>ÖREBRO LÄN</t>
        </is>
      </c>
      <c r="E443" t="inlineStr">
        <is>
          <t>LINDESBERG</t>
        </is>
      </c>
      <c r="G443" t="n">
        <v>1</v>
      </c>
      <c r="H443" t="n">
        <v>0</v>
      </c>
      <c r="I443" t="n">
        <v>0</v>
      </c>
      <c r="J443" t="n">
        <v>0</v>
      </c>
      <c r="K443" t="n">
        <v>0</v>
      </c>
      <c r="L443" t="n">
        <v>0</v>
      </c>
      <c r="M443" t="n">
        <v>0</v>
      </c>
      <c r="N443" t="n">
        <v>0</v>
      </c>
      <c r="O443" t="n">
        <v>0</v>
      </c>
      <c r="P443" t="n">
        <v>0</v>
      </c>
      <c r="Q443" t="n">
        <v>0</v>
      </c>
      <c r="R443" s="2" t="inlineStr"/>
    </row>
    <row r="444" ht="15" customHeight="1">
      <c r="A444" t="inlineStr">
        <is>
          <t>A 5235-2026</t>
        </is>
      </c>
      <c r="B444" s="1" t="n">
        <v>46049.84017361111</v>
      </c>
      <c r="C444" s="1" t="n">
        <v>46147</v>
      </c>
      <c r="D444" t="inlineStr">
        <is>
          <t>ÖREBRO LÄN</t>
        </is>
      </c>
      <c r="E444" t="inlineStr">
        <is>
          <t>LINDESBERG</t>
        </is>
      </c>
      <c r="G444" t="n">
        <v>4.8</v>
      </c>
      <c r="H444" t="n">
        <v>0</v>
      </c>
      <c r="I444" t="n">
        <v>0</v>
      </c>
      <c r="J444" t="n">
        <v>0</v>
      </c>
      <c r="K444" t="n">
        <v>0</v>
      </c>
      <c r="L444" t="n">
        <v>0</v>
      </c>
      <c r="M444" t="n">
        <v>0</v>
      </c>
      <c r="N444" t="n">
        <v>0</v>
      </c>
      <c r="O444" t="n">
        <v>0</v>
      </c>
      <c r="P444" t="n">
        <v>0</v>
      </c>
      <c r="Q444" t="n">
        <v>0</v>
      </c>
      <c r="R444" s="2" t="inlineStr"/>
    </row>
    <row r="445" ht="15" customHeight="1">
      <c r="A445" t="inlineStr">
        <is>
          <t>A 51656-2023</t>
        </is>
      </c>
      <c r="B445" s="1" t="n">
        <v>45222</v>
      </c>
      <c r="C445" s="1" t="n">
        <v>46147</v>
      </c>
      <c r="D445" t="inlineStr">
        <is>
          <t>ÖREBRO LÄN</t>
        </is>
      </c>
      <c r="E445" t="inlineStr">
        <is>
          <t>LINDESBERG</t>
        </is>
      </c>
      <c r="G445" t="n">
        <v>1.2</v>
      </c>
      <c r="H445" t="n">
        <v>0</v>
      </c>
      <c r="I445" t="n">
        <v>0</v>
      </c>
      <c r="J445" t="n">
        <v>0</v>
      </c>
      <c r="K445" t="n">
        <v>0</v>
      </c>
      <c r="L445" t="n">
        <v>0</v>
      </c>
      <c r="M445" t="n">
        <v>0</v>
      </c>
      <c r="N445" t="n">
        <v>0</v>
      </c>
      <c r="O445" t="n">
        <v>0</v>
      </c>
      <c r="P445" t="n">
        <v>0</v>
      </c>
      <c r="Q445" t="n">
        <v>0</v>
      </c>
      <c r="R445" s="2" t="inlineStr"/>
    </row>
    <row r="446" ht="15" customHeight="1">
      <c r="A446" t="inlineStr">
        <is>
          <t>A 5715-2026</t>
        </is>
      </c>
      <c r="B446" s="1" t="n">
        <v>46051.53563657407</v>
      </c>
      <c r="C446" s="1" t="n">
        <v>46147</v>
      </c>
      <c r="D446" t="inlineStr">
        <is>
          <t>ÖREBRO LÄN</t>
        </is>
      </c>
      <c r="E446" t="inlineStr">
        <is>
          <t>LINDESBERG</t>
        </is>
      </c>
      <c r="G446" t="n">
        <v>0.7</v>
      </c>
      <c r="H446" t="n">
        <v>0</v>
      </c>
      <c r="I446" t="n">
        <v>0</v>
      </c>
      <c r="J446" t="n">
        <v>0</v>
      </c>
      <c r="K446" t="n">
        <v>0</v>
      </c>
      <c r="L446" t="n">
        <v>0</v>
      </c>
      <c r="M446" t="n">
        <v>0</v>
      </c>
      <c r="N446" t="n">
        <v>0</v>
      </c>
      <c r="O446" t="n">
        <v>0</v>
      </c>
      <c r="P446" t="n">
        <v>0</v>
      </c>
      <c r="Q446" t="n">
        <v>0</v>
      </c>
      <c r="R446" s="2" t="inlineStr"/>
    </row>
    <row r="447" ht="15" customHeight="1">
      <c r="A447" t="inlineStr">
        <is>
          <t>A 46484-2025</t>
        </is>
      </c>
      <c r="B447" s="1" t="n">
        <v>45925.70290509259</v>
      </c>
      <c r="C447" s="1" t="n">
        <v>46147</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3732-2023</t>
        </is>
      </c>
      <c r="B448" s="1" t="n">
        <v>44949</v>
      </c>
      <c r="C448" s="1" t="n">
        <v>46147</v>
      </c>
      <c r="D448" t="inlineStr">
        <is>
          <t>ÖREBRO LÄN</t>
        </is>
      </c>
      <c r="E448" t="inlineStr">
        <is>
          <t>LINDESBERG</t>
        </is>
      </c>
      <c r="G448" t="n">
        <v>3.3</v>
      </c>
      <c r="H448" t="n">
        <v>0</v>
      </c>
      <c r="I448" t="n">
        <v>0</v>
      </c>
      <c r="J448" t="n">
        <v>0</v>
      </c>
      <c r="K448" t="n">
        <v>0</v>
      </c>
      <c r="L448" t="n">
        <v>0</v>
      </c>
      <c r="M448" t="n">
        <v>0</v>
      </c>
      <c r="N448" t="n">
        <v>0</v>
      </c>
      <c r="O448" t="n">
        <v>0</v>
      </c>
      <c r="P448" t="n">
        <v>0</v>
      </c>
      <c r="Q448" t="n">
        <v>0</v>
      </c>
      <c r="R448" s="2" t="inlineStr"/>
    </row>
    <row r="449" ht="15" customHeight="1">
      <c r="A449" t="inlineStr">
        <is>
          <t>A 57069-2022</t>
        </is>
      </c>
      <c r="B449" s="1" t="n">
        <v>44895</v>
      </c>
      <c r="C449" s="1" t="n">
        <v>46147</v>
      </c>
      <c r="D449" t="inlineStr">
        <is>
          <t>ÖREBRO LÄN</t>
        </is>
      </c>
      <c r="E449" t="inlineStr">
        <is>
          <t>LINDESBERG</t>
        </is>
      </c>
      <c r="G449" t="n">
        <v>2.3</v>
      </c>
      <c r="H449" t="n">
        <v>0</v>
      </c>
      <c r="I449" t="n">
        <v>0</v>
      </c>
      <c r="J449" t="n">
        <v>0</v>
      </c>
      <c r="K449" t="n">
        <v>0</v>
      </c>
      <c r="L449" t="n">
        <v>0</v>
      </c>
      <c r="M449" t="n">
        <v>0</v>
      </c>
      <c r="N449" t="n">
        <v>0</v>
      </c>
      <c r="O449" t="n">
        <v>0</v>
      </c>
      <c r="P449" t="n">
        <v>0</v>
      </c>
      <c r="Q449" t="n">
        <v>0</v>
      </c>
      <c r="R449" s="2" t="inlineStr"/>
    </row>
    <row r="450" ht="15" customHeight="1">
      <c r="A450" t="inlineStr">
        <is>
          <t>A 4067-2024</t>
        </is>
      </c>
      <c r="B450" s="1" t="n">
        <v>45323</v>
      </c>
      <c r="C450" s="1" t="n">
        <v>46147</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36253-2024</t>
        </is>
      </c>
      <c r="B451" s="1" t="n">
        <v>45534.54032407407</v>
      </c>
      <c r="C451" s="1" t="n">
        <v>46147</v>
      </c>
      <c r="D451" t="inlineStr">
        <is>
          <t>ÖREBRO LÄN</t>
        </is>
      </c>
      <c r="E451" t="inlineStr">
        <is>
          <t>LINDESBERG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29500-2023</t>
        </is>
      </c>
      <c r="B452" s="1" t="n">
        <v>45106</v>
      </c>
      <c r="C452" s="1" t="n">
        <v>46147</v>
      </c>
      <c r="D452" t="inlineStr">
        <is>
          <t>ÖREBRO LÄN</t>
        </is>
      </c>
      <c r="E452" t="inlineStr">
        <is>
          <t>LINDESBERG</t>
        </is>
      </c>
      <c r="G452" t="n">
        <v>1.6</v>
      </c>
      <c r="H452" t="n">
        <v>0</v>
      </c>
      <c r="I452" t="n">
        <v>0</v>
      </c>
      <c r="J452" t="n">
        <v>0</v>
      </c>
      <c r="K452" t="n">
        <v>0</v>
      </c>
      <c r="L452" t="n">
        <v>0</v>
      </c>
      <c r="M452" t="n">
        <v>0</v>
      </c>
      <c r="N452" t="n">
        <v>0</v>
      </c>
      <c r="O452" t="n">
        <v>0</v>
      </c>
      <c r="P452" t="n">
        <v>0</v>
      </c>
      <c r="Q452" t="n">
        <v>0</v>
      </c>
      <c r="R452" s="2" t="inlineStr"/>
    </row>
    <row r="453" ht="15" customHeight="1">
      <c r="A453" t="inlineStr">
        <is>
          <t>A 10823-2023</t>
        </is>
      </c>
      <c r="B453" s="1" t="n">
        <v>44990</v>
      </c>
      <c r="C453" s="1" t="n">
        <v>46147</v>
      </c>
      <c r="D453" t="inlineStr">
        <is>
          <t>ÖREBRO LÄN</t>
        </is>
      </c>
      <c r="E453" t="inlineStr">
        <is>
          <t>LINDESBERG</t>
        </is>
      </c>
      <c r="G453" t="n">
        <v>1.8</v>
      </c>
      <c r="H453" t="n">
        <v>0</v>
      </c>
      <c r="I453" t="n">
        <v>0</v>
      </c>
      <c r="J453" t="n">
        <v>0</v>
      </c>
      <c r="K453" t="n">
        <v>0</v>
      </c>
      <c r="L453" t="n">
        <v>0</v>
      </c>
      <c r="M453" t="n">
        <v>0</v>
      </c>
      <c r="N453" t="n">
        <v>0</v>
      </c>
      <c r="O453" t="n">
        <v>0</v>
      </c>
      <c r="P453" t="n">
        <v>0</v>
      </c>
      <c r="Q453" t="n">
        <v>0</v>
      </c>
      <c r="R453" s="2" t="inlineStr"/>
    </row>
    <row r="454" ht="15" customHeight="1">
      <c r="A454" t="inlineStr">
        <is>
          <t>A 5928-2026</t>
        </is>
      </c>
      <c r="B454" s="1" t="n">
        <v>46052.46519675926</v>
      </c>
      <c r="C454" s="1" t="n">
        <v>46147</v>
      </c>
      <c r="D454" t="inlineStr">
        <is>
          <t>ÖREBRO LÄN</t>
        </is>
      </c>
      <c r="E454" t="inlineStr">
        <is>
          <t>LINDESBERG</t>
        </is>
      </c>
      <c r="G454" t="n">
        <v>2.1</v>
      </c>
      <c r="H454" t="n">
        <v>0</v>
      </c>
      <c r="I454" t="n">
        <v>0</v>
      </c>
      <c r="J454" t="n">
        <v>0</v>
      </c>
      <c r="K454" t="n">
        <v>0</v>
      </c>
      <c r="L454" t="n">
        <v>0</v>
      </c>
      <c r="M454" t="n">
        <v>0</v>
      </c>
      <c r="N454" t="n">
        <v>0</v>
      </c>
      <c r="O454" t="n">
        <v>0</v>
      </c>
      <c r="P454" t="n">
        <v>0</v>
      </c>
      <c r="Q454" t="n">
        <v>0</v>
      </c>
      <c r="R454" s="2" t="inlineStr"/>
    </row>
    <row r="455" ht="15" customHeight="1">
      <c r="A455" t="inlineStr">
        <is>
          <t>A 8902-2024</t>
        </is>
      </c>
      <c r="B455" s="1" t="n">
        <v>45357.34521990741</v>
      </c>
      <c r="C455" s="1" t="n">
        <v>46147</v>
      </c>
      <c r="D455" t="inlineStr">
        <is>
          <t>ÖREBRO LÄN</t>
        </is>
      </c>
      <c r="E455" t="inlineStr">
        <is>
          <t>LINDESBERG</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30514-2025</t>
        </is>
      </c>
      <c r="B456" s="1" t="n">
        <v>45831</v>
      </c>
      <c r="C456" s="1" t="n">
        <v>46147</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6616-2026</t>
        </is>
      </c>
      <c r="B457" s="1" t="n">
        <v>46056.49075231481</v>
      </c>
      <c r="C457" s="1" t="n">
        <v>46147</v>
      </c>
      <c r="D457" t="inlineStr">
        <is>
          <t>ÖREBRO LÄN</t>
        </is>
      </c>
      <c r="E457" t="inlineStr">
        <is>
          <t>LINDESBERG</t>
        </is>
      </c>
      <c r="G457" t="n">
        <v>9</v>
      </c>
      <c r="H457" t="n">
        <v>0</v>
      </c>
      <c r="I457" t="n">
        <v>0</v>
      </c>
      <c r="J457" t="n">
        <v>0</v>
      </c>
      <c r="K457" t="n">
        <v>0</v>
      </c>
      <c r="L457" t="n">
        <v>0</v>
      </c>
      <c r="M457" t="n">
        <v>0</v>
      </c>
      <c r="N457" t="n">
        <v>0</v>
      </c>
      <c r="O457" t="n">
        <v>0</v>
      </c>
      <c r="P457" t="n">
        <v>0</v>
      </c>
      <c r="Q457" t="n">
        <v>0</v>
      </c>
      <c r="R457" s="2" t="inlineStr"/>
    </row>
    <row r="458" ht="15" customHeight="1">
      <c r="A458" t="inlineStr">
        <is>
          <t>A 45173-2024</t>
        </is>
      </c>
      <c r="B458" s="1" t="n">
        <v>45575.65721064815</v>
      </c>
      <c r="C458" s="1" t="n">
        <v>46147</v>
      </c>
      <c r="D458" t="inlineStr">
        <is>
          <t>ÖREBRO LÄN</t>
        </is>
      </c>
      <c r="E458" t="inlineStr">
        <is>
          <t>LINDESBERG</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6989-2026</t>
        </is>
      </c>
      <c r="B459" s="1" t="n">
        <v>46057.60342592592</v>
      </c>
      <c r="C459" s="1" t="n">
        <v>46147</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3756-2026</t>
        </is>
      </c>
      <c r="B460" s="1" t="n">
        <v>46043</v>
      </c>
      <c r="C460" s="1" t="n">
        <v>46147</v>
      </c>
      <c r="D460" t="inlineStr">
        <is>
          <t>ÖREBRO LÄN</t>
        </is>
      </c>
      <c r="E460" t="inlineStr">
        <is>
          <t>LINDESBERG</t>
        </is>
      </c>
      <c r="G460" t="n">
        <v>6.3</v>
      </c>
      <c r="H460" t="n">
        <v>0</v>
      </c>
      <c r="I460" t="n">
        <v>0</v>
      </c>
      <c r="J460" t="n">
        <v>0</v>
      </c>
      <c r="K460" t="n">
        <v>0</v>
      </c>
      <c r="L460" t="n">
        <v>0</v>
      </c>
      <c r="M460" t="n">
        <v>0</v>
      </c>
      <c r="N460" t="n">
        <v>0</v>
      </c>
      <c r="O460" t="n">
        <v>0</v>
      </c>
      <c r="P460" t="n">
        <v>0</v>
      </c>
      <c r="Q460" t="n">
        <v>0</v>
      </c>
      <c r="R460" s="2" t="inlineStr"/>
    </row>
    <row r="461" ht="15" customHeight="1">
      <c r="A461" t="inlineStr">
        <is>
          <t>A 6520-2026</t>
        </is>
      </c>
      <c r="B461" s="1" t="n">
        <v>46056.40149305556</v>
      </c>
      <c r="C461" s="1" t="n">
        <v>46147</v>
      </c>
      <c r="D461" t="inlineStr">
        <is>
          <t>ÖREBRO LÄN</t>
        </is>
      </c>
      <c r="E461" t="inlineStr">
        <is>
          <t>LINDESBERG</t>
        </is>
      </c>
      <c r="G461" t="n">
        <v>2.2</v>
      </c>
      <c r="H461" t="n">
        <v>0</v>
      </c>
      <c r="I461" t="n">
        <v>0</v>
      </c>
      <c r="J461" t="n">
        <v>0</v>
      </c>
      <c r="K461" t="n">
        <v>0</v>
      </c>
      <c r="L461" t="n">
        <v>0</v>
      </c>
      <c r="M461" t="n">
        <v>0</v>
      </c>
      <c r="N461" t="n">
        <v>0</v>
      </c>
      <c r="O461" t="n">
        <v>0</v>
      </c>
      <c r="P461" t="n">
        <v>0</v>
      </c>
      <c r="Q461" t="n">
        <v>0</v>
      </c>
      <c r="R461" s="2" t="inlineStr"/>
    </row>
    <row r="462" ht="15" customHeight="1">
      <c r="A462" t="inlineStr">
        <is>
          <t>A 6524-2026</t>
        </is>
      </c>
      <c r="B462" s="1" t="n">
        <v>46056.40425925926</v>
      </c>
      <c r="C462" s="1" t="n">
        <v>46147</v>
      </c>
      <c r="D462" t="inlineStr">
        <is>
          <t>ÖREBRO LÄN</t>
        </is>
      </c>
      <c r="E462" t="inlineStr">
        <is>
          <t>LINDESBERG</t>
        </is>
      </c>
      <c r="G462" t="n">
        <v>0.6</v>
      </c>
      <c r="H462" t="n">
        <v>0</v>
      </c>
      <c r="I462" t="n">
        <v>0</v>
      </c>
      <c r="J462" t="n">
        <v>0</v>
      </c>
      <c r="K462" t="n">
        <v>0</v>
      </c>
      <c r="L462" t="n">
        <v>0</v>
      </c>
      <c r="M462" t="n">
        <v>0</v>
      </c>
      <c r="N462" t="n">
        <v>0</v>
      </c>
      <c r="O462" t="n">
        <v>0</v>
      </c>
      <c r="P462" t="n">
        <v>0</v>
      </c>
      <c r="Q462" t="n">
        <v>0</v>
      </c>
      <c r="R462" s="2" t="inlineStr"/>
    </row>
    <row r="463" ht="15" customHeight="1">
      <c r="A463" t="inlineStr">
        <is>
          <t>A 40305-2024</t>
        </is>
      </c>
      <c r="B463" s="1" t="n">
        <v>45554.71863425926</v>
      </c>
      <c r="C463" s="1" t="n">
        <v>46147</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30512-2025</t>
        </is>
      </c>
      <c r="B464" s="1" t="n">
        <v>45831</v>
      </c>
      <c r="C464" s="1" t="n">
        <v>46147</v>
      </c>
      <c r="D464" t="inlineStr">
        <is>
          <t>ÖREBRO LÄN</t>
        </is>
      </c>
      <c r="E464" t="inlineStr">
        <is>
          <t>LINDESBERG</t>
        </is>
      </c>
      <c r="G464" t="n">
        <v>4.5</v>
      </c>
      <c r="H464" t="n">
        <v>0</v>
      </c>
      <c r="I464" t="n">
        <v>0</v>
      </c>
      <c r="J464" t="n">
        <v>0</v>
      </c>
      <c r="K464" t="n">
        <v>0</v>
      </c>
      <c r="L464" t="n">
        <v>0</v>
      </c>
      <c r="M464" t="n">
        <v>0</v>
      </c>
      <c r="N464" t="n">
        <v>0</v>
      </c>
      <c r="O464" t="n">
        <v>0</v>
      </c>
      <c r="P464" t="n">
        <v>0</v>
      </c>
      <c r="Q464" t="n">
        <v>0</v>
      </c>
      <c r="R464" s="2" t="inlineStr"/>
    </row>
    <row r="465" ht="15" customHeight="1">
      <c r="A465" t="inlineStr">
        <is>
          <t>A 19436-2025</t>
        </is>
      </c>
      <c r="B465" s="1" t="n">
        <v>45769.98449074074</v>
      </c>
      <c r="C465" s="1" t="n">
        <v>46147</v>
      </c>
      <c r="D465" t="inlineStr">
        <is>
          <t>ÖREBRO LÄN</t>
        </is>
      </c>
      <c r="E465" t="inlineStr">
        <is>
          <t>LINDESBERG</t>
        </is>
      </c>
      <c r="G465" t="n">
        <v>1.2</v>
      </c>
      <c r="H465" t="n">
        <v>0</v>
      </c>
      <c r="I465" t="n">
        <v>0</v>
      </c>
      <c r="J465" t="n">
        <v>0</v>
      </c>
      <c r="K465" t="n">
        <v>0</v>
      </c>
      <c r="L465" t="n">
        <v>0</v>
      </c>
      <c r="M465" t="n">
        <v>0</v>
      </c>
      <c r="N465" t="n">
        <v>0</v>
      </c>
      <c r="O465" t="n">
        <v>0</v>
      </c>
      <c r="P465" t="n">
        <v>0</v>
      </c>
      <c r="Q465" t="n">
        <v>0</v>
      </c>
      <c r="R465" s="2" t="inlineStr"/>
    </row>
    <row r="466" ht="15" customHeight="1">
      <c r="A466" t="inlineStr">
        <is>
          <t>A 36572-2025</t>
        </is>
      </c>
      <c r="B466" s="1" t="n">
        <v>45870</v>
      </c>
      <c r="C466" s="1" t="n">
        <v>46147</v>
      </c>
      <c r="D466" t="inlineStr">
        <is>
          <t>ÖREBRO LÄN</t>
        </is>
      </c>
      <c r="E466" t="inlineStr">
        <is>
          <t>LINDESBERG</t>
        </is>
      </c>
      <c r="G466" t="n">
        <v>11.9</v>
      </c>
      <c r="H466" t="n">
        <v>0</v>
      </c>
      <c r="I466" t="n">
        <v>0</v>
      </c>
      <c r="J466" t="n">
        <v>0</v>
      </c>
      <c r="K466" t="n">
        <v>0</v>
      </c>
      <c r="L466" t="n">
        <v>0</v>
      </c>
      <c r="M466" t="n">
        <v>0</v>
      </c>
      <c r="N466" t="n">
        <v>0</v>
      </c>
      <c r="O466" t="n">
        <v>0</v>
      </c>
      <c r="P466" t="n">
        <v>0</v>
      </c>
      <c r="Q466" t="n">
        <v>0</v>
      </c>
      <c r="R466" s="2" t="inlineStr"/>
    </row>
    <row r="467" ht="15" customHeight="1">
      <c r="A467" t="inlineStr">
        <is>
          <t>A 36574-2025</t>
        </is>
      </c>
      <c r="B467" s="1" t="n">
        <v>45870</v>
      </c>
      <c r="C467" s="1" t="n">
        <v>46147</v>
      </c>
      <c r="D467" t="inlineStr">
        <is>
          <t>ÖREBRO LÄN</t>
        </is>
      </c>
      <c r="E467" t="inlineStr">
        <is>
          <t>LINDESBERG</t>
        </is>
      </c>
      <c r="G467" t="n">
        <v>4</v>
      </c>
      <c r="H467" t="n">
        <v>0</v>
      </c>
      <c r="I467" t="n">
        <v>0</v>
      </c>
      <c r="J467" t="n">
        <v>0</v>
      </c>
      <c r="K467" t="n">
        <v>0</v>
      </c>
      <c r="L467" t="n">
        <v>0</v>
      </c>
      <c r="M467" t="n">
        <v>0</v>
      </c>
      <c r="N467" t="n">
        <v>0</v>
      </c>
      <c r="O467" t="n">
        <v>0</v>
      </c>
      <c r="P467" t="n">
        <v>0</v>
      </c>
      <c r="Q467" t="n">
        <v>0</v>
      </c>
      <c r="R467" s="2" t="inlineStr"/>
    </row>
    <row r="468" ht="15" customHeight="1">
      <c r="A468" t="inlineStr">
        <is>
          <t>A 22829-2023</t>
        </is>
      </c>
      <c r="B468" s="1" t="n">
        <v>45072.42776620371</v>
      </c>
      <c r="C468" s="1" t="n">
        <v>46147</v>
      </c>
      <c r="D468" t="inlineStr">
        <is>
          <t>ÖREBRO LÄN</t>
        </is>
      </c>
      <c r="E468" t="inlineStr">
        <is>
          <t>LINDESBERG</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46757-2025</t>
        </is>
      </c>
      <c r="B469" s="1" t="n">
        <v>45926.62039351852</v>
      </c>
      <c r="C469" s="1" t="n">
        <v>46147</v>
      </c>
      <c r="D469" t="inlineStr">
        <is>
          <t>ÖREBRO LÄN</t>
        </is>
      </c>
      <c r="E469" t="inlineStr">
        <is>
          <t>LINDESBERG</t>
        </is>
      </c>
      <c r="G469" t="n">
        <v>7.9</v>
      </c>
      <c r="H469" t="n">
        <v>0</v>
      </c>
      <c r="I469" t="n">
        <v>0</v>
      </c>
      <c r="J469" t="n">
        <v>0</v>
      </c>
      <c r="K469" t="n">
        <v>0</v>
      </c>
      <c r="L469" t="n">
        <v>0</v>
      </c>
      <c r="M469" t="n">
        <v>0</v>
      </c>
      <c r="N469" t="n">
        <v>0</v>
      </c>
      <c r="O469" t="n">
        <v>0</v>
      </c>
      <c r="P469" t="n">
        <v>0</v>
      </c>
      <c r="Q469" t="n">
        <v>0</v>
      </c>
      <c r="R469" s="2" t="inlineStr"/>
    </row>
    <row r="470" ht="15" customHeight="1">
      <c r="A470" t="inlineStr">
        <is>
          <t>A 36577-2025</t>
        </is>
      </c>
      <c r="B470" s="1" t="n">
        <v>45870</v>
      </c>
      <c r="C470" s="1" t="n">
        <v>46147</v>
      </c>
      <c r="D470" t="inlineStr">
        <is>
          <t>ÖREBRO LÄN</t>
        </is>
      </c>
      <c r="E470" t="inlineStr">
        <is>
          <t>LINDESBERG</t>
        </is>
      </c>
      <c r="G470" t="n">
        <v>3.7</v>
      </c>
      <c r="H470" t="n">
        <v>0</v>
      </c>
      <c r="I470" t="n">
        <v>0</v>
      </c>
      <c r="J470" t="n">
        <v>0</v>
      </c>
      <c r="K470" t="n">
        <v>0</v>
      </c>
      <c r="L470" t="n">
        <v>0</v>
      </c>
      <c r="M470" t="n">
        <v>0</v>
      </c>
      <c r="N470" t="n">
        <v>0</v>
      </c>
      <c r="O470" t="n">
        <v>0</v>
      </c>
      <c r="P470" t="n">
        <v>0</v>
      </c>
      <c r="Q470" t="n">
        <v>0</v>
      </c>
      <c r="R470" s="2" t="inlineStr"/>
    </row>
    <row r="471" ht="15" customHeight="1">
      <c r="A471" t="inlineStr">
        <is>
          <t>A 47678-2025</t>
        </is>
      </c>
      <c r="B471" s="1" t="n">
        <v>45931.57967592592</v>
      </c>
      <c r="C471" s="1" t="n">
        <v>46147</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28463-2024</t>
        </is>
      </c>
      <c r="B472" s="1" t="n">
        <v>45477.70315972222</v>
      </c>
      <c r="C472" s="1" t="n">
        <v>46147</v>
      </c>
      <c r="D472" t="inlineStr">
        <is>
          <t>ÖREBRO LÄN</t>
        </is>
      </c>
      <c r="E472" t="inlineStr">
        <is>
          <t>LINDESBERG</t>
        </is>
      </c>
      <c r="G472" t="n">
        <v>6.3</v>
      </c>
      <c r="H472" t="n">
        <v>0</v>
      </c>
      <c r="I472" t="n">
        <v>0</v>
      </c>
      <c r="J472" t="n">
        <v>0</v>
      </c>
      <c r="K472" t="n">
        <v>0</v>
      </c>
      <c r="L472" t="n">
        <v>0</v>
      </c>
      <c r="M472" t="n">
        <v>0</v>
      </c>
      <c r="N472" t="n">
        <v>0</v>
      </c>
      <c r="O472" t="n">
        <v>0</v>
      </c>
      <c r="P472" t="n">
        <v>0</v>
      </c>
      <c r="Q472" t="n">
        <v>0</v>
      </c>
      <c r="R472" s="2" t="inlineStr"/>
    </row>
    <row r="473" ht="15" customHeight="1">
      <c r="A473" t="inlineStr">
        <is>
          <t>A 47676-2025</t>
        </is>
      </c>
      <c r="B473" s="1" t="n">
        <v>45931.57756944445</v>
      </c>
      <c r="C473" s="1" t="n">
        <v>46147</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7098-2026</t>
        </is>
      </c>
      <c r="B474" s="1" t="n">
        <v>46058.35196759259</v>
      </c>
      <c r="C474" s="1" t="n">
        <v>46147</v>
      </c>
      <c r="D474" t="inlineStr">
        <is>
          <t>ÖREBRO LÄN</t>
        </is>
      </c>
      <c r="E474" t="inlineStr">
        <is>
          <t>LINDESBERG</t>
        </is>
      </c>
      <c r="G474" t="n">
        <v>1.9</v>
      </c>
      <c r="H474" t="n">
        <v>0</v>
      </c>
      <c r="I474" t="n">
        <v>0</v>
      </c>
      <c r="J474" t="n">
        <v>0</v>
      </c>
      <c r="K474" t="n">
        <v>0</v>
      </c>
      <c r="L474" t="n">
        <v>0</v>
      </c>
      <c r="M474" t="n">
        <v>0</v>
      </c>
      <c r="N474" t="n">
        <v>0</v>
      </c>
      <c r="O474" t="n">
        <v>0</v>
      </c>
      <c r="P474" t="n">
        <v>0</v>
      </c>
      <c r="Q474" t="n">
        <v>0</v>
      </c>
      <c r="R474" s="2" t="inlineStr"/>
    </row>
    <row r="475" ht="15" customHeight="1">
      <c r="A475" t="inlineStr">
        <is>
          <t>A 15822-2024</t>
        </is>
      </c>
      <c r="B475" s="1" t="n">
        <v>45404.68190972223</v>
      </c>
      <c r="C475" s="1" t="n">
        <v>46147</v>
      </c>
      <c r="D475" t="inlineStr">
        <is>
          <t>ÖREBRO LÄN</t>
        </is>
      </c>
      <c r="E475" t="inlineStr">
        <is>
          <t>LINDESBERG</t>
        </is>
      </c>
      <c r="F475" t="inlineStr">
        <is>
          <t>Sveaskog</t>
        </is>
      </c>
      <c r="G475" t="n">
        <v>6.7</v>
      </c>
      <c r="H475" t="n">
        <v>0</v>
      </c>
      <c r="I475" t="n">
        <v>0</v>
      </c>
      <c r="J475" t="n">
        <v>0</v>
      </c>
      <c r="K475" t="n">
        <v>0</v>
      </c>
      <c r="L475" t="n">
        <v>0</v>
      </c>
      <c r="M475" t="n">
        <v>0</v>
      </c>
      <c r="N475" t="n">
        <v>0</v>
      </c>
      <c r="O475" t="n">
        <v>0</v>
      </c>
      <c r="P475" t="n">
        <v>0</v>
      </c>
      <c r="Q475" t="n">
        <v>0</v>
      </c>
      <c r="R475" s="2" t="inlineStr"/>
    </row>
    <row r="476" ht="15" customHeight="1">
      <c r="A476" t="inlineStr">
        <is>
          <t>A 59052-2023</t>
        </is>
      </c>
      <c r="B476" s="1" t="n">
        <v>45252.78021990741</v>
      </c>
      <c r="C476" s="1" t="n">
        <v>46147</v>
      </c>
      <c r="D476" t="inlineStr">
        <is>
          <t>ÖREBRO LÄN</t>
        </is>
      </c>
      <c r="E476" t="inlineStr">
        <is>
          <t>LINDESBERG</t>
        </is>
      </c>
      <c r="G476" t="n">
        <v>4.2</v>
      </c>
      <c r="H476" t="n">
        <v>0</v>
      </c>
      <c r="I476" t="n">
        <v>0</v>
      </c>
      <c r="J476" t="n">
        <v>0</v>
      </c>
      <c r="K476" t="n">
        <v>0</v>
      </c>
      <c r="L476" t="n">
        <v>0</v>
      </c>
      <c r="M476" t="n">
        <v>0</v>
      </c>
      <c r="N476" t="n">
        <v>0</v>
      </c>
      <c r="O476" t="n">
        <v>0</v>
      </c>
      <c r="P476" t="n">
        <v>0</v>
      </c>
      <c r="Q476" t="n">
        <v>0</v>
      </c>
      <c r="R476" s="2" t="inlineStr"/>
    </row>
    <row r="477" ht="15" customHeight="1">
      <c r="A477" t="inlineStr">
        <is>
          <t>A 2107-2022</t>
        </is>
      </c>
      <c r="B477" s="1" t="n">
        <v>44577.83484953704</v>
      </c>
      <c r="C477" s="1" t="n">
        <v>46147</v>
      </c>
      <c r="D477" t="inlineStr">
        <is>
          <t>ÖREBRO LÄN</t>
        </is>
      </c>
      <c r="E477" t="inlineStr">
        <is>
          <t>LINDESBERG</t>
        </is>
      </c>
      <c r="G477" t="n">
        <v>2.9</v>
      </c>
      <c r="H477" t="n">
        <v>0</v>
      </c>
      <c r="I477" t="n">
        <v>0</v>
      </c>
      <c r="J477" t="n">
        <v>0</v>
      </c>
      <c r="K477" t="n">
        <v>0</v>
      </c>
      <c r="L477" t="n">
        <v>0</v>
      </c>
      <c r="M477" t="n">
        <v>0</v>
      </c>
      <c r="N477" t="n">
        <v>0</v>
      </c>
      <c r="O477" t="n">
        <v>0</v>
      </c>
      <c r="P477" t="n">
        <v>0</v>
      </c>
      <c r="Q477" t="n">
        <v>0</v>
      </c>
      <c r="R477" s="2" t="inlineStr"/>
    </row>
    <row r="478" ht="15" customHeight="1">
      <c r="A478" t="inlineStr">
        <is>
          <t>A 36579-2025</t>
        </is>
      </c>
      <c r="B478" s="1" t="n">
        <v>45870</v>
      </c>
      <c r="C478" s="1" t="n">
        <v>46147</v>
      </c>
      <c r="D478" t="inlineStr">
        <is>
          <t>ÖREBRO LÄN</t>
        </is>
      </c>
      <c r="E478" t="inlineStr">
        <is>
          <t>LINDESBERG</t>
        </is>
      </c>
      <c r="G478" t="n">
        <v>6</v>
      </c>
      <c r="H478" t="n">
        <v>0</v>
      </c>
      <c r="I478" t="n">
        <v>0</v>
      </c>
      <c r="J478" t="n">
        <v>0</v>
      </c>
      <c r="K478" t="n">
        <v>0</v>
      </c>
      <c r="L478" t="n">
        <v>0</v>
      </c>
      <c r="M478" t="n">
        <v>0</v>
      </c>
      <c r="N478" t="n">
        <v>0</v>
      </c>
      <c r="O478" t="n">
        <v>0</v>
      </c>
      <c r="P478" t="n">
        <v>0</v>
      </c>
      <c r="Q478" t="n">
        <v>0</v>
      </c>
      <c r="R478" s="2" t="inlineStr"/>
    </row>
    <row r="479" ht="15" customHeight="1">
      <c r="A479" t="inlineStr">
        <is>
          <t>A 23603-2023</t>
        </is>
      </c>
      <c r="B479" s="1" t="n">
        <v>45077</v>
      </c>
      <c r="C479" s="1" t="n">
        <v>46147</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23607-2023</t>
        </is>
      </c>
      <c r="B480" s="1" t="n">
        <v>45077</v>
      </c>
      <c r="C480" s="1" t="n">
        <v>46147</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23612-2023</t>
        </is>
      </c>
      <c r="B481" s="1" t="n">
        <v>45077</v>
      </c>
      <c r="C481" s="1" t="n">
        <v>46147</v>
      </c>
      <c r="D481" t="inlineStr">
        <is>
          <t>ÖREBRO LÄN</t>
        </is>
      </c>
      <c r="E481" t="inlineStr">
        <is>
          <t>LINDESBERG</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7202-2026</t>
        </is>
      </c>
      <c r="B482" s="1" t="n">
        <v>46058.52864583334</v>
      </c>
      <c r="C482" s="1" t="n">
        <v>46147</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7069-2026</t>
        </is>
      </c>
      <c r="B483" s="1" t="n">
        <v>46058.30956018518</v>
      </c>
      <c r="C483" s="1" t="n">
        <v>46147</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7121-2026</t>
        </is>
      </c>
      <c r="B484" s="1" t="n">
        <v>46058.38300925926</v>
      </c>
      <c r="C484" s="1" t="n">
        <v>46147</v>
      </c>
      <c r="D484" t="inlineStr">
        <is>
          <t>ÖREBRO LÄN</t>
        </is>
      </c>
      <c r="E484" t="inlineStr">
        <is>
          <t>LINDESBERG</t>
        </is>
      </c>
      <c r="G484" t="n">
        <v>1.1</v>
      </c>
      <c r="H484" t="n">
        <v>0</v>
      </c>
      <c r="I484" t="n">
        <v>0</v>
      </c>
      <c r="J484" t="n">
        <v>0</v>
      </c>
      <c r="K484" t="n">
        <v>0</v>
      </c>
      <c r="L484" t="n">
        <v>0</v>
      </c>
      <c r="M484" t="n">
        <v>0</v>
      </c>
      <c r="N484" t="n">
        <v>0</v>
      </c>
      <c r="O484" t="n">
        <v>0</v>
      </c>
      <c r="P484" t="n">
        <v>0</v>
      </c>
      <c r="Q484" t="n">
        <v>0</v>
      </c>
      <c r="R484" s="2" t="inlineStr"/>
    </row>
    <row r="485" ht="15" customHeight="1">
      <c r="A485" t="inlineStr">
        <is>
          <t>A 23641-2024</t>
        </is>
      </c>
      <c r="B485" s="1" t="n">
        <v>45454.49679398148</v>
      </c>
      <c r="C485" s="1" t="n">
        <v>46147</v>
      </c>
      <c r="D485" t="inlineStr">
        <is>
          <t>ÖREBRO LÄN</t>
        </is>
      </c>
      <c r="E485" t="inlineStr">
        <is>
          <t>LINDESBERG</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46219-2022</t>
        </is>
      </c>
      <c r="B486" s="1" t="n">
        <v>44846</v>
      </c>
      <c r="C486" s="1" t="n">
        <v>46147</v>
      </c>
      <c r="D486" t="inlineStr">
        <is>
          <t>ÖREBRO LÄN</t>
        </is>
      </c>
      <c r="E486" t="inlineStr">
        <is>
          <t>LINDESBERG</t>
        </is>
      </c>
      <c r="G486" t="n">
        <v>6</v>
      </c>
      <c r="H486" t="n">
        <v>0</v>
      </c>
      <c r="I486" t="n">
        <v>0</v>
      </c>
      <c r="J486" t="n">
        <v>0</v>
      </c>
      <c r="K486" t="n">
        <v>0</v>
      </c>
      <c r="L486" t="n">
        <v>0</v>
      </c>
      <c r="M486" t="n">
        <v>0</v>
      </c>
      <c r="N486" t="n">
        <v>0</v>
      </c>
      <c r="O486" t="n">
        <v>0</v>
      </c>
      <c r="P486" t="n">
        <v>0</v>
      </c>
      <c r="Q486" t="n">
        <v>0</v>
      </c>
      <c r="R486" s="2" t="inlineStr"/>
    </row>
    <row r="487" ht="15" customHeight="1">
      <c r="A487" t="inlineStr">
        <is>
          <t>A 36859-2025</t>
        </is>
      </c>
      <c r="B487" s="1" t="n">
        <v>45874.40503472222</v>
      </c>
      <c r="C487" s="1" t="n">
        <v>46147</v>
      </c>
      <c r="D487" t="inlineStr">
        <is>
          <t>ÖREBRO LÄN</t>
        </is>
      </c>
      <c r="E487" t="inlineStr">
        <is>
          <t>LINDESBERG</t>
        </is>
      </c>
      <c r="F487" t="inlineStr">
        <is>
          <t>Övriga Aktiebolag</t>
        </is>
      </c>
      <c r="G487" t="n">
        <v>1.4</v>
      </c>
      <c r="H487" t="n">
        <v>0</v>
      </c>
      <c r="I487" t="n">
        <v>0</v>
      </c>
      <c r="J487" t="n">
        <v>0</v>
      </c>
      <c r="K487" t="n">
        <v>0</v>
      </c>
      <c r="L487" t="n">
        <v>0</v>
      </c>
      <c r="M487" t="n">
        <v>0</v>
      </c>
      <c r="N487" t="n">
        <v>0</v>
      </c>
      <c r="O487" t="n">
        <v>0</v>
      </c>
      <c r="P487" t="n">
        <v>0</v>
      </c>
      <c r="Q487" t="n">
        <v>0</v>
      </c>
      <c r="R487" s="2" t="inlineStr"/>
    </row>
    <row r="488" ht="15" customHeight="1">
      <c r="A488" t="inlineStr">
        <is>
          <t>A 48061-2025</t>
        </is>
      </c>
      <c r="B488" s="1" t="n">
        <v>45932.68006944445</v>
      </c>
      <c r="C488" s="1" t="n">
        <v>46147</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10057-2025</t>
        </is>
      </c>
      <c r="B489" s="1" t="n">
        <v>45719.52871527777</v>
      </c>
      <c r="C489" s="1" t="n">
        <v>46147</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48750-2025</t>
        </is>
      </c>
      <c r="B490" s="1" t="n">
        <v>45936.68452546297</v>
      </c>
      <c r="C490" s="1" t="n">
        <v>46147</v>
      </c>
      <c r="D490" t="inlineStr">
        <is>
          <t>ÖREBRO LÄN</t>
        </is>
      </c>
      <c r="E490" t="inlineStr">
        <is>
          <t>LINDESBERG</t>
        </is>
      </c>
      <c r="G490" t="n">
        <v>2.1</v>
      </c>
      <c r="H490" t="n">
        <v>0</v>
      </c>
      <c r="I490" t="n">
        <v>0</v>
      </c>
      <c r="J490" t="n">
        <v>0</v>
      </c>
      <c r="K490" t="n">
        <v>0</v>
      </c>
      <c r="L490" t="n">
        <v>0</v>
      </c>
      <c r="M490" t="n">
        <v>0</v>
      </c>
      <c r="N490" t="n">
        <v>0</v>
      </c>
      <c r="O490" t="n">
        <v>0</v>
      </c>
      <c r="P490" t="n">
        <v>0</v>
      </c>
      <c r="Q490" t="n">
        <v>0</v>
      </c>
      <c r="R490" s="2" t="inlineStr"/>
    </row>
    <row r="491" ht="15" customHeight="1">
      <c r="A491" t="inlineStr">
        <is>
          <t>A 48620-2025</t>
        </is>
      </c>
      <c r="B491" s="1" t="n">
        <v>45936.49210648148</v>
      </c>
      <c r="C491" s="1" t="n">
        <v>46147</v>
      </c>
      <c r="D491" t="inlineStr">
        <is>
          <t>ÖREBRO LÄN</t>
        </is>
      </c>
      <c r="E491" t="inlineStr">
        <is>
          <t>LINDESBERG</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37497-2025</t>
        </is>
      </c>
      <c r="B492" s="1" t="n">
        <v>45877.64431712963</v>
      </c>
      <c r="C492" s="1" t="n">
        <v>46147</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37490-2025</t>
        </is>
      </c>
      <c r="B493" s="1" t="n">
        <v>45877.63989583333</v>
      </c>
      <c r="C493" s="1" t="n">
        <v>46147</v>
      </c>
      <c r="D493" t="inlineStr">
        <is>
          <t>ÖREBRO LÄN</t>
        </is>
      </c>
      <c r="E493" t="inlineStr">
        <is>
          <t>LINDESBERG</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37491-2025</t>
        </is>
      </c>
      <c r="B494" s="1" t="n">
        <v>45877.64144675926</v>
      </c>
      <c r="C494" s="1" t="n">
        <v>46147</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37499-2025</t>
        </is>
      </c>
      <c r="B495" s="1" t="n">
        <v>45877.64605324074</v>
      </c>
      <c r="C495" s="1" t="n">
        <v>46147</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48497-2025</t>
        </is>
      </c>
      <c r="B496" s="1" t="n">
        <v>45936.37523148148</v>
      </c>
      <c r="C496" s="1" t="n">
        <v>46147</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54862-2024</t>
        </is>
      </c>
      <c r="B497" s="1" t="n">
        <v>45618</v>
      </c>
      <c r="C497" s="1" t="n">
        <v>46147</v>
      </c>
      <c r="D497" t="inlineStr">
        <is>
          <t>ÖREBRO LÄN</t>
        </is>
      </c>
      <c r="E497" t="inlineStr">
        <is>
          <t>LINDESBERG</t>
        </is>
      </c>
      <c r="F497" t="inlineStr">
        <is>
          <t>Sveaskog</t>
        </is>
      </c>
      <c r="G497" t="n">
        <v>12.2</v>
      </c>
      <c r="H497" t="n">
        <v>0</v>
      </c>
      <c r="I497" t="n">
        <v>0</v>
      </c>
      <c r="J497" t="n">
        <v>0</v>
      </c>
      <c r="K497" t="n">
        <v>0</v>
      </c>
      <c r="L497" t="n">
        <v>0</v>
      </c>
      <c r="M497" t="n">
        <v>0</v>
      </c>
      <c r="N497" t="n">
        <v>0</v>
      </c>
      <c r="O497" t="n">
        <v>0</v>
      </c>
      <c r="P497" t="n">
        <v>0</v>
      </c>
      <c r="Q497" t="n">
        <v>0</v>
      </c>
      <c r="R497" s="2" t="inlineStr"/>
    </row>
    <row r="498" ht="15" customHeight="1">
      <c r="A498" t="inlineStr">
        <is>
          <t>A 37503-2025</t>
        </is>
      </c>
      <c r="B498" s="1" t="n">
        <v>45877.65075231482</v>
      </c>
      <c r="C498" s="1" t="n">
        <v>46147</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37501-2025</t>
        </is>
      </c>
      <c r="B499" s="1" t="n">
        <v>45877.64847222222</v>
      </c>
      <c r="C499" s="1" t="n">
        <v>46147</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5358-2022</t>
        </is>
      </c>
      <c r="B500" s="1" t="n">
        <v>44594.84091435185</v>
      </c>
      <c r="C500" s="1" t="n">
        <v>46147</v>
      </c>
      <c r="D500" t="inlineStr">
        <is>
          <t>ÖREBRO LÄN</t>
        </is>
      </c>
      <c r="E500" t="inlineStr">
        <is>
          <t>LINDESBERG</t>
        </is>
      </c>
      <c r="G500" t="n">
        <v>2.8</v>
      </c>
      <c r="H500" t="n">
        <v>0</v>
      </c>
      <c r="I500" t="n">
        <v>0</v>
      </c>
      <c r="J500" t="n">
        <v>0</v>
      </c>
      <c r="K500" t="n">
        <v>0</v>
      </c>
      <c r="L500" t="n">
        <v>0</v>
      </c>
      <c r="M500" t="n">
        <v>0</v>
      </c>
      <c r="N500" t="n">
        <v>0</v>
      </c>
      <c r="O500" t="n">
        <v>0</v>
      </c>
      <c r="P500" t="n">
        <v>0</v>
      </c>
      <c r="Q500" t="n">
        <v>0</v>
      </c>
      <c r="R500" s="2" t="inlineStr"/>
    </row>
    <row r="501" ht="15" customHeight="1">
      <c r="A501" t="inlineStr">
        <is>
          <t>A 37500-2025</t>
        </is>
      </c>
      <c r="B501" s="1" t="n">
        <v>45877.64776620371</v>
      </c>
      <c r="C501" s="1" t="n">
        <v>46147</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48489-2025</t>
        </is>
      </c>
      <c r="B502" s="1" t="n">
        <v>45936.36637731481</v>
      </c>
      <c r="C502" s="1" t="n">
        <v>46147</v>
      </c>
      <c r="D502" t="inlineStr">
        <is>
          <t>ÖREBRO LÄN</t>
        </is>
      </c>
      <c r="E502" t="inlineStr">
        <is>
          <t>LINDESBERG</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37301-2025</t>
        </is>
      </c>
      <c r="B503" s="1" t="n">
        <v>45876.59166666667</v>
      </c>
      <c r="C503" s="1" t="n">
        <v>46147</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46147</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48495-2025</t>
        </is>
      </c>
      <c r="B505" s="1" t="n">
        <v>45936.37237268518</v>
      </c>
      <c r="C505" s="1" t="n">
        <v>46147</v>
      </c>
      <c r="D505" t="inlineStr">
        <is>
          <t>ÖREBRO LÄN</t>
        </is>
      </c>
      <c r="E505" t="inlineStr">
        <is>
          <t>LINDESBERG</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37492-2025</t>
        </is>
      </c>
      <c r="B506" s="1" t="n">
        <v>45877.64230324074</v>
      </c>
      <c r="C506" s="1" t="n">
        <v>46147</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60943-2024</t>
        </is>
      </c>
      <c r="B507" s="1" t="n">
        <v>45645.3737962963</v>
      </c>
      <c r="C507" s="1" t="n">
        <v>46147</v>
      </c>
      <c r="D507" t="inlineStr">
        <is>
          <t>ÖREBRO LÄN</t>
        </is>
      </c>
      <c r="E507" t="inlineStr">
        <is>
          <t>LINDESBERG</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48867-2025</t>
        </is>
      </c>
      <c r="B508" s="1" t="n">
        <v>45937.4484837963</v>
      </c>
      <c r="C508" s="1" t="n">
        <v>46147</v>
      </c>
      <c r="D508" t="inlineStr">
        <is>
          <t>ÖREBRO LÄN</t>
        </is>
      </c>
      <c r="E508" t="inlineStr">
        <is>
          <t>LINDESBERG</t>
        </is>
      </c>
      <c r="F508" t="inlineStr">
        <is>
          <t>Sveaskog</t>
        </is>
      </c>
      <c r="G508" t="n">
        <v>1.1</v>
      </c>
      <c r="H508" t="n">
        <v>0</v>
      </c>
      <c r="I508" t="n">
        <v>0</v>
      </c>
      <c r="J508" t="n">
        <v>0</v>
      </c>
      <c r="K508" t="n">
        <v>0</v>
      </c>
      <c r="L508" t="n">
        <v>0</v>
      </c>
      <c r="M508" t="n">
        <v>0</v>
      </c>
      <c r="N508" t="n">
        <v>0</v>
      </c>
      <c r="O508" t="n">
        <v>0</v>
      </c>
      <c r="P508" t="n">
        <v>0</v>
      </c>
      <c r="Q508" t="n">
        <v>0</v>
      </c>
      <c r="R508" s="2" t="inlineStr"/>
    </row>
    <row r="509" ht="15" customHeight="1">
      <c r="A509" t="inlineStr">
        <is>
          <t>A 48953-2025</t>
        </is>
      </c>
      <c r="B509" s="1" t="n">
        <v>45937.54697916667</v>
      </c>
      <c r="C509" s="1" t="n">
        <v>46147</v>
      </c>
      <c r="D509" t="inlineStr">
        <is>
          <t>ÖREBRO LÄN</t>
        </is>
      </c>
      <c r="E509" t="inlineStr">
        <is>
          <t>LINDESBERG</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41948-2023</t>
        </is>
      </c>
      <c r="B510" s="1" t="n">
        <v>45177.33091435185</v>
      </c>
      <c r="C510" s="1" t="n">
        <v>46147</v>
      </c>
      <c r="D510" t="inlineStr">
        <is>
          <t>ÖREBRO LÄN</t>
        </is>
      </c>
      <c r="E510" t="inlineStr">
        <is>
          <t>LINDESBERG</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44804-2024</t>
        </is>
      </c>
      <c r="B511" s="1" t="n">
        <v>45574.65189814815</v>
      </c>
      <c r="C511" s="1" t="n">
        <v>46147</v>
      </c>
      <c r="D511" t="inlineStr">
        <is>
          <t>ÖREBRO LÄN</t>
        </is>
      </c>
      <c r="E511" t="inlineStr">
        <is>
          <t>LINDESBERG</t>
        </is>
      </c>
      <c r="F511" t="inlineStr">
        <is>
          <t>Sveaskog</t>
        </is>
      </c>
      <c r="G511" t="n">
        <v>5.7</v>
      </c>
      <c r="H511" t="n">
        <v>0</v>
      </c>
      <c r="I511" t="n">
        <v>0</v>
      </c>
      <c r="J511" t="n">
        <v>0</v>
      </c>
      <c r="K511" t="n">
        <v>0</v>
      </c>
      <c r="L511" t="n">
        <v>0</v>
      </c>
      <c r="M511" t="n">
        <v>0</v>
      </c>
      <c r="N511" t="n">
        <v>0</v>
      </c>
      <c r="O511" t="n">
        <v>0</v>
      </c>
      <c r="P511" t="n">
        <v>0</v>
      </c>
      <c r="Q511" t="n">
        <v>0</v>
      </c>
      <c r="R511" s="2" t="inlineStr"/>
    </row>
    <row r="512" ht="15" customHeight="1">
      <c r="A512" t="inlineStr">
        <is>
          <t>A 48971-2025</t>
        </is>
      </c>
      <c r="B512" s="1" t="n">
        <v>45937.56420138889</v>
      </c>
      <c r="C512" s="1" t="n">
        <v>46147</v>
      </c>
      <c r="D512" t="inlineStr">
        <is>
          <t>ÖREBRO LÄN</t>
        </is>
      </c>
      <c r="E512" t="inlineStr">
        <is>
          <t>LINDESBERG</t>
        </is>
      </c>
      <c r="F512" t="inlineStr">
        <is>
          <t>Sveaskog</t>
        </is>
      </c>
      <c r="G512" t="n">
        <v>4.1</v>
      </c>
      <c r="H512" t="n">
        <v>0</v>
      </c>
      <c r="I512" t="n">
        <v>0</v>
      </c>
      <c r="J512" t="n">
        <v>0</v>
      </c>
      <c r="K512" t="n">
        <v>0</v>
      </c>
      <c r="L512" t="n">
        <v>0</v>
      </c>
      <c r="M512" t="n">
        <v>0</v>
      </c>
      <c r="N512" t="n">
        <v>0</v>
      </c>
      <c r="O512" t="n">
        <v>0</v>
      </c>
      <c r="P512" t="n">
        <v>0</v>
      </c>
      <c r="Q512" t="n">
        <v>0</v>
      </c>
      <c r="R512" s="2" t="inlineStr"/>
    </row>
    <row r="513" ht="15" customHeight="1">
      <c r="A513" t="inlineStr">
        <is>
          <t>A 48975-2025</t>
        </is>
      </c>
      <c r="B513" s="1" t="n">
        <v>45937.56798611111</v>
      </c>
      <c r="C513" s="1" t="n">
        <v>46147</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37837-2025</t>
        </is>
      </c>
      <c r="B514" s="1" t="n">
        <v>45881.42791666667</v>
      </c>
      <c r="C514" s="1" t="n">
        <v>46147</v>
      </c>
      <c r="D514" t="inlineStr">
        <is>
          <t>ÖREBRO LÄN</t>
        </is>
      </c>
      <c r="E514" t="inlineStr">
        <is>
          <t>LINDESBERG</t>
        </is>
      </c>
      <c r="G514" t="n">
        <v>1.3</v>
      </c>
      <c r="H514" t="n">
        <v>0</v>
      </c>
      <c r="I514" t="n">
        <v>0</v>
      </c>
      <c r="J514" t="n">
        <v>0</v>
      </c>
      <c r="K514" t="n">
        <v>0</v>
      </c>
      <c r="L514" t="n">
        <v>0</v>
      </c>
      <c r="M514" t="n">
        <v>0</v>
      </c>
      <c r="N514" t="n">
        <v>0</v>
      </c>
      <c r="O514" t="n">
        <v>0</v>
      </c>
      <c r="P514" t="n">
        <v>0</v>
      </c>
      <c r="Q514" t="n">
        <v>0</v>
      </c>
      <c r="R514" s="2" t="inlineStr"/>
    </row>
    <row r="515" ht="15" customHeight="1">
      <c r="A515" t="inlineStr">
        <is>
          <t>A 37602-2025</t>
        </is>
      </c>
      <c r="B515" s="1" t="n">
        <v>45880</v>
      </c>
      <c r="C515" s="1" t="n">
        <v>46147</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37625-2025</t>
        </is>
      </c>
      <c r="B516" s="1" t="n">
        <v>45880.46056712963</v>
      </c>
      <c r="C516" s="1" t="n">
        <v>46147</v>
      </c>
      <c r="D516" t="inlineStr">
        <is>
          <t>ÖREBRO LÄN</t>
        </is>
      </c>
      <c r="E516" t="inlineStr">
        <is>
          <t>LINDESBERG</t>
        </is>
      </c>
      <c r="G516" t="n">
        <v>12.5</v>
      </c>
      <c r="H516" t="n">
        <v>0</v>
      </c>
      <c r="I516" t="n">
        <v>0</v>
      </c>
      <c r="J516" t="n">
        <v>0</v>
      </c>
      <c r="K516" t="n">
        <v>0</v>
      </c>
      <c r="L516" t="n">
        <v>0</v>
      </c>
      <c r="M516" t="n">
        <v>0</v>
      </c>
      <c r="N516" t="n">
        <v>0</v>
      </c>
      <c r="O516" t="n">
        <v>0</v>
      </c>
      <c r="P516" t="n">
        <v>0</v>
      </c>
      <c r="Q516" t="n">
        <v>0</v>
      </c>
      <c r="R516" s="2" t="inlineStr"/>
    </row>
    <row r="517" ht="15" customHeight="1">
      <c r="A517" t="inlineStr">
        <is>
          <t>A 49100-2025</t>
        </is>
      </c>
      <c r="B517" s="1" t="n">
        <v>45937.71556712963</v>
      </c>
      <c r="C517" s="1" t="n">
        <v>46147</v>
      </c>
      <c r="D517" t="inlineStr">
        <is>
          <t>ÖREBRO LÄN</t>
        </is>
      </c>
      <c r="E517" t="inlineStr">
        <is>
          <t>LINDESBERG</t>
        </is>
      </c>
      <c r="G517" t="n">
        <v>2.2</v>
      </c>
      <c r="H517" t="n">
        <v>0</v>
      </c>
      <c r="I517" t="n">
        <v>0</v>
      </c>
      <c r="J517" t="n">
        <v>0</v>
      </c>
      <c r="K517" t="n">
        <v>0</v>
      </c>
      <c r="L517" t="n">
        <v>0</v>
      </c>
      <c r="M517" t="n">
        <v>0</v>
      </c>
      <c r="N517" t="n">
        <v>0</v>
      </c>
      <c r="O517" t="n">
        <v>0</v>
      </c>
      <c r="P517" t="n">
        <v>0</v>
      </c>
      <c r="Q517" t="n">
        <v>0</v>
      </c>
      <c r="R517" s="2" t="inlineStr"/>
    </row>
    <row r="518" ht="15" customHeight="1">
      <c r="A518" t="inlineStr">
        <is>
          <t>A 49133-2025</t>
        </is>
      </c>
      <c r="B518" s="1" t="n">
        <v>45937.92319444445</v>
      </c>
      <c r="C518" s="1" t="n">
        <v>46147</v>
      </c>
      <c r="D518" t="inlineStr">
        <is>
          <t>ÖREBRO LÄN</t>
        </is>
      </c>
      <c r="E518" t="inlineStr">
        <is>
          <t>LINDESBERG</t>
        </is>
      </c>
      <c r="G518" t="n">
        <v>5</v>
      </c>
      <c r="H518" t="n">
        <v>0</v>
      </c>
      <c r="I518" t="n">
        <v>0</v>
      </c>
      <c r="J518" t="n">
        <v>0</v>
      </c>
      <c r="K518" t="n">
        <v>0</v>
      </c>
      <c r="L518" t="n">
        <v>0</v>
      </c>
      <c r="M518" t="n">
        <v>0</v>
      </c>
      <c r="N518" t="n">
        <v>0</v>
      </c>
      <c r="O518" t="n">
        <v>0</v>
      </c>
      <c r="P518" t="n">
        <v>0</v>
      </c>
      <c r="Q518" t="n">
        <v>0</v>
      </c>
      <c r="R518" s="2" t="inlineStr"/>
    </row>
    <row r="519" ht="15" customHeight="1">
      <c r="A519" t="inlineStr">
        <is>
          <t>A 37552-2025</t>
        </is>
      </c>
      <c r="B519" s="1" t="n">
        <v>45880.28673611111</v>
      </c>
      <c r="C519" s="1" t="n">
        <v>46147</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26778-2023</t>
        </is>
      </c>
      <c r="B520" s="1" t="n">
        <v>45093.48221064815</v>
      </c>
      <c r="C520" s="1" t="n">
        <v>46147</v>
      </c>
      <c r="D520" t="inlineStr">
        <is>
          <t>ÖREBRO LÄN</t>
        </is>
      </c>
      <c r="E520" t="inlineStr">
        <is>
          <t>LINDESBERG</t>
        </is>
      </c>
      <c r="G520" t="n">
        <v>7.5</v>
      </c>
      <c r="H520" t="n">
        <v>0</v>
      </c>
      <c r="I520" t="n">
        <v>0</v>
      </c>
      <c r="J520" t="n">
        <v>0</v>
      </c>
      <c r="K520" t="n">
        <v>0</v>
      </c>
      <c r="L520" t="n">
        <v>0</v>
      </c>
      <c r="M520" t="n">
        <v>0</v>
      </c>
      <c r="N520" t="n">
        <v>0</v>
      </c>
      <c r="O520" t="n">
        <v>0</v>
      </c>
      <c r="P520" t="n">
        <v>0</v>
      </c>
      <c r="Q520" t="n">
        <v>0</v>
      </c>
      <c r="R520" s="2" t="inlineStr"/>
    </row>
    <row r="521" ht="15" customHeight="1">
      <c r="A521" t="inlineStr">
        <is>
          <t>A 27702-2025</t>
        </is>
      </c>
      <c r="B521" s="1" t="n">
        <v>45813</v>
      </c>
      <c r="C521" s="1" t="n">
        <v>46147</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48993-2025</t>
        </is>
      </c>
      <c r="B522" s="1" t="n">
        <v>45937.58590277778</v>
      </c>
      <c r="C522" s="1" t="n">
        <v>46147</v>
      </c>
      <c r="D522" t="inlineStr">
        <is>
          <t>ÖREBRO LÄN</t>
        </is>
      </c>
      <c r="E522" t="inlineStr">
        <is>
          <t>LINDESBERG</t>
        </is>
      </c>
      <c r="F522" t="inlineStr">
        <is>
          <t>Kyrkan</t>
        </is>
      </c>
      <c r="G522" t="n">
        <v>4</v>
      </c>
      <c r="H522" t="n">
        <v>0</v>
      </c>
      <c r="I522" t="n">
        <v>0</v>
      </c>
      <c r="J522" t="n">
        <v>0</v>
      </c>
      <c r="K522" t="n">
        <v>0</v>
      </c>
      <c r="L522" t="n">
        <v>0</v>
      </c>
      <c r="M522" t="n">
        <v>0</v>
      </c>
      <c r="N522" t="n">
        <v>0</v>
      </c>
      <c r="O522" t="n">
        <v>0</v>
      </c>
      <c r="P522" t="n">
        <v>0</v>
      </c>
      <c r="Q522" t="n">
        <v>0</v>
      </c>
      <c r="R522" s="2" t="inlineStr"/>
    </row>
    <row r="523" ht="15" customHeight="1">
      <c r="A523" t="inlineStr">
        <is>
          <t>A 37935-2025</t>
        </is>
      </c>
      <c r="B523" s="1" t="n">
        <v>45881.59550925926</v>
      </c>
      <c r="C523" s="1" t="n">
        <v>46147</v>
      </c>
      <c r="D523" t="inlineStr">
        <is>
          <t>ÖREBRO LÄN</t>
        </is>
      </c>
      <c r="E523" t="inlineStr">
        <is>
          <t>LINDESBERG</t>
        </is>
      </c>
      <c r="G523" t="n">
        <v>5.1</v>
      </c>
      <c r="H523" t="n">
        <v>0</v>
      </c>
      <c r="I523" t="n">
        <v>0</v>
      </c>
      <c r="J523" t="n">
        <v>0</v>
      </c>
      <c r="K523" t="n">
        <v>0</v>
      </c>
      <c r="L523" t="n">
        <v>0</v>
      </c>
      <c r="M523" t="n">
        <v>0</v>
      </c>
      <c r="N523" t="n">
        <v>0</v>
      </c>
      <c r="O523" t="n">
        <v>0</v>
      </c>
      <c r="P523" t="n">
        <v>0</v>
      </c>
      <c r="Q523" t="n">
        <v>0</v>
      </c>
      <c r="R523" s="2" t="inlineStr"/>
    </row>
    <row r="524" ht="15" customHeight="1">
      <c r="A524" t="inlineStr">
        <is>
          <t>A 49183-2025</t>
        </is>
      </c>
      <c r="B524" s="1" t="n">
        <v>45938.39741898148</v>
      </c>
      <c r="C524" s="1" t="n">
        <v>46147</v>
      </c>
      <c r="D524" t="inlineStr">
        <is>
          <t>ÖREBRO LÄN</t>
        </is>
      </c>
      <c r="E524" t="inlineStr">
        <is>
          <t>LINDESBERG</t>
        </is>
      </c>
      <c r="G524" t="n">
        <v>4.4</v>
      </c>
      <c r="H524" t="n">
        <v>0</v>
      </c>
      <c r="I524" t="n">
        <v>0</v>
      </c>
      <c r="J524" t="n">
        <v>0</v>
      </c>
      <c r="K524" t="n">
        <v>0</v>
      </c>
      <c r="L524" t="n">
        <v>0</v>
      </c>
      <c r="M524" t="n">
        <v>0</v>
      </c>
      <c r="N524" t="n">
        <v>0</v>
      </c>
      <c r="O524" t="n">
        <v>0</v>
      </c>
      <c r="P524" t="n">
        <v>0</v>
      </c>
      <c r="Q524" t="n">
        <v>0</v>
      </c>
      <c r="R524" s="2" t="inlineStr"/>
    </row>
    <row r="525" ht="15" customHeight="1">
      <c r="A525" t="inlineStr">
        <is>
          <t>A 37553-2025</t>
        </is>
      </c>
      <c r="B525" s="1" t="n">
        <v>45880.3172337963</v>
      </c>
      <c r="C525" s="1" t="n">
        <v>46147</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49707-2025</t>
        </is>
      </c>
      <c r="B526" s="1" t="n">
        <v>45939.67951388889</v>
      </c>
      <c r="C526" s="1" t="n">
        <v>46147</v>
      </c>
      <c r="D526" t="inlineStr">
        <is>
          <t>ÖREBRO LÄN</t>
        </is>
      </c>
      <c r="E526" t="inlineStr">
        <is>
          <t>LINDESBERG</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19392-2025</t>
        </is>
      </c>
      <c r="B527" s="1" t="n">
        <v>45769.66260416667</v>
      </c>
      <c r="C527" s="1" t="n">
        <v>46147</v>
      </c>
      <c r="D527" t="inlineStr">
        <is>
          <t>ÖREBRO LÄN</t>
        </is>
      </c>
      <c r="E527" t="inlineStr">
        <is>
          <t>LINDESBERG</t>
        </is>
      </c>
      <c r="G527" t="n">
        <v>6.5</v>
      </c>
      <c r="H527" t="n">
        <v>0</v>
      </c>
      <c r="I527" t="n">
        <v>0</v>
      </c>
      <c r="J527" t="n">
        <v>0</v>
      </c>
      <c r="K527" t="n">
        <v>0</v>
      </c>
      <c r="L527" t="n">
        <v>0</v>
      </c>
      <c r="M527" t="n">
        <v>0</v>
      </c>
      <c r="N527" t="n">
        <v>0</v>
      </c>
      <c r="O527" t="n">
        <v>0</v>
      </c>
      <c r="P527" t="n">
        <v>0</v>
      </c>
      <c r="Q527" t="n">
        <v>0</v>
      </c>
      <c r="R527" s="2" t="inlineStr"/>
    </row>
    <row r="528" ht="15" customHeight="1">
      <c r="A528" t="inlineStr">
        <is>
          <t>A 61597-2023</t>
        </is>
      </c>
      <c r="B528" s="1" t="n">
        <v>45265.49225694445</v>
      </c>
      <c r="C528" s="1" t="n">
        <v>46147</v>
      </c>
      <c r="D528" t="inlineStr">
        <is>
          <t>ÖREBRO LÄN</t>
        </is>
      </c>
      <c r="E528" t="inlineStr">
        <is>
          <t>LINDESBERG</t>
        </is>
      </c>
      <c r="G528" t="n">
        <v>10.3</v>
      </c>
      <c r="H528" t="n">
        <v>0</v>
      </c>
      <c r="I528" t="n">
        <v>0</v>
      </c>
      <c r="J528" t="n">
        <v>0</v>
      </c>
      <c r="K528" t="n">
        <v>0</v>
      </c>
      <c r="L528" t="n">
        <v>0</v>
      </c>
      <c r="M528" t="n">
        <v>0</v>
      </c>
      <c r="N528" t="n">
        <v>0</v>
      </c>
      <c r="O528" t="n">
        <v>0</v>
      </c>
      <c r="P528" t="n">
        <v>0</v>
      </c>
      <c r="Q528" t="n">
        <v>0</v>
      </c>
      <c r="R528" s="2" t="inlineStr"/>
    </row>
    <row r="529" ht="15" customHeight="1">
      <c r="A529" t="inlineStr">
        <is>
          <t>A 7211-2024</t>
        </is>
      </c>
      <c r="B529" s="1" t="n">
        <v>45344.623125</v>
      </c>
      <c r="C529" s="1" t="n">
        <v>46147</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49946-2025</t>
        </is>
      </c>
      <c r="B530" s="1" t="n">
        <v>45940.69862268519</v>
      </c>
      <c r="C530" s="1" t="n">
        <v>46147</v>
      </c>
      <c r="D530" t="inlineStr">
        <is>
          <t>ÖREBRO LÄN</t>
        </is>
      </c>
      <c r="E530" t="inlineStr">
        <is>
          <t>LINDESBERG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41582-2021</t>
        </is>
      </c>
      <c r="B531" s="1" t="n">
        <v>44425.40297453704</v>
      </c>
      <c r="C531" s="1" t="n">
        <v>46147</v>
      </c>
      <c r="D531" t="inlineStr">
        <is>
          <t>ÖREBRO LÄN</t>
        </is>
      </c>
      <c r="E531" t="inlineStr">
        <is>
          <t>LINDESBERG</t>
        </is>
      </c>
      <c r="F531" t="inlineStr">
        <is>
          <t>Sveaskog</t>
        </is>
      </c>
      <c r="G531" t="n">
        <v>5.2</v>
      </c>
      <c r="H531" t="n">
        <v>0</v>
      </c>
      <c r="I531" t="n">
        <v>0</v>
      </c>
      <c r="J531" t="n">
        <v>0</v>
      </c>
      <c r="K531" t="n">
        <v>0</v>
      </c>
      <c r="L531" t="n">
        <v>0</v>
      </c>
      <c r="M531" t="n">
        <v>0</v>
      </c>
      <c r="N531" t="n">
        <v>0</v>
      </c>
      <c r="O531" t="n">
        <v>0</v>
      </c>
      <c r="P531" t="n">
        <v>0</v>
      </c>
      <c r="Q531" t="n">
        <v>0</v>
      </c>
      <c r="R531" s="2" t="inlineStr"/>
    </row>
    <row r="532" ht="15" customHeight="1">
      <c r="A532" t="inlineStr">
        <is>
          <t>A 6511-2025</t>
        </is>
      </c>
      <c r="B532" s="1" t="n">
        <v>45699.65424768518</v>
      </c>
      <c r="C532" s="1" t="n">
        <v>46147</v>
      </c>
      <c r="D532" t="inlineStr">
        <is>
          <t>ÖREBRO LÄN</t>
        </is>
      </c>
      <c r="E532" t="inlineStr">
        <is>
          <t>LINDESBERG</t>
        </is>
      </c>
      <c r="G532" t="n">
        <v>9.1</v>
      </c>
      <c r="H532" t="n">
        <v>0</v>
      </c>
      <c r="I532" t="n">
        <v>0</v>
      </c>
      <c r="J532" t="n">
        <v>0</v>
      </c>
      <c r="K532" t="n">
        <v>0</v>
      </c>
      <c r="L532" t="n">
        <v>0</v>
      </c>
      <c r="M532" t="n">
        <v>0</v>
      </c>
      <c r="N532" t="n">
        <v>0</v>
      </c>
      <c r="O532" t="n">
        <v>0</v>
      </c>
      <c r="P532" t="n">
        <v>0</v>
      </c>
      <c r="Q532" t="n">
        <v>0</v>
      </c>
      <c r="R532" s="2" t="inlineStr"/>
    </row>
    <row r="533" ht="15" customHeight="1">
      <c r="A533" t="inlineStr">
        <is>
          <t>A 38460-2024</t>
        </is>
      </c>
      <c r="B533" s="1" t="n">
        <v>45546.46497685185</v>
      </c>
      <c r="C533" s="1" t="n">
        <v>46147</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49943-2025</t>
        </is>
      </c>
      <c r="B534" s="1" t="n">
        <v>45940.69521990741</v>
      </c>
      <c r="C534" s="1" t="n">
        <v>46147</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49944-2025</t>
        </is>
      </c>
      <c r="B535" s="1" t="n">
        <v>45940.69643518519</v>
      </c>
      <c r="C535" s="1" t="n">
        <v>46147</v>
      </c>
      <c r="D535" t="inlineStr">
        <is>
          <t>ÖREBRO LÄN</t>
        </is>
      </c>
      <c r="E535" t="inlineStr">
        <is>
          <t>LINDESBERG</t>
        </is>
      </c>
      <c r="F535" t="inlineStr">
        <is>
          <t>Sveaskog</t>
        </is>
      </c>
      <c r="G535" t="n">
        <v>2.6</v>
      </c>
      <c r="H535" t="n">
        <v>0</v>
      </c>
      <c r="I535" t="n">
        <v>0</v>
      </c>
      <c r="J535" t="n">
        <v>0</v>
      </c>
      <c r="K535" t="n">
        <v>0</v>
      </c>
      <c r="L535" t="n">
        <v>0</v>
      </c>
      <c r="M535" t="n">
        <v>0</v>
      </c>
      <c r="N535" t="n">
        <v>0</v>
      </c>
      <c r="O535" t="n">
        <v>0</v>
      </c>
      <c r="P535" t="n">
        <v>0</v>
      </c>
      <c r="Q535" t="n">
        <v>0</v>
      </c>
      <c r="R535" s="2" t="inlineStr"/>
    </row>
    <row r="536" ht="15" customHeight="1">
      <c r="A536" t="inlineStr">
        <is>
          <t>A 49947-2025</t>
        </is>
      </c>
      <c r="B536" s="1" t="n">
        <v>45940.70018518518</v>
      </c>
      <c r="C536" s="1" t="n">
        <v>46147</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50072-2025</t>
        </is>
      </c>
      <c r="B537" s="1" t="n">
        <v>45943.45966435185</v>
      </c>
      <c r="C537" s="1" t="n">
        <v>46147</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50086-2025</t>
        </is>
      </c>
      <c r="B538" s="1" t="n">
        <v>45943.47649305555</v>
      </c>
      <c r="C538" s="1" t="n">
        <v>46147</v>
      </c>
      <c r="D538" t="inlineStr">
        <is>
          <t>ÖREBRO LÄN</t>
        </is>
      </c>
      <c r="E538" t="inlineStr">
        <is>
          <t>LINDESBERG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50073-2025</t>
        </is>
      </c>
      <c r="B539" s="1" t="n">
        <v>45943.4603125</v>
      </c>
      <c r="C539" s="1" t="n">
        <v>46147</v>
      </c>
      <c r="D539" t="inlineStr">
        <is>
          <t>ÖREBRO LÄN</t>
        </is>
      </c>
      <c r="E539" t="inlineStr">
        <is>
          <t>LINDESBERG</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48265-2021</t>
        </is>
      </c>
      <c r="B540" s="1" t="n">
        <v>44449</v>
      </c>
      <c r="C540" s="1" t="n">
        <v>46147</v>
      </c>
      <c r="D540" t="inlineStr">
        <is>
          <t>ÖREBRO LÄN</t>
        </is>
      </c>
      <c r="E540" t="inlineStr">
        <is>
          <t>LINDESBERG</t>
        </is>
      </c>
      <c r="G540" t="n">
        <v>23.7</v>
      </c>
      <c r="H540" t="n">
        <v>0</v>
      </c>
      <c r="I540" t="n">
        <v>0</v>
      </c>
      <c r="J540" t="n">
        <v>0</v>
      </c>
      <c r="K540" t="n">
        <v>0</v>
      </c>
      <c r="L540" t="n">
        <v>0</v>
      </c>
      <c r="M540" t="n">
        <v>0</v>
      </c>
      <c r="N540" t="n">
        <v>0</v>
      </c>
      <c r="O540" t="n">
        <v>0</v>
      </c>
      <c r="P540" t="n">
        <v>0</v>
      </c>
      <c r="Q540" t="n">
        <v>0</v>
      </c>
      <c r="R540" s="2" t="inlineStr"/>
    </row>
    <row r="541" ht="15" customHeight="1">
      <c r="A541" t="inlineStr">
        <is>
          <t>A 67016-2021</t>
        </is>
      </c>
      <c r="B541" s="1" t="n">
        <v>44522</v>
      </c>
      <c r="C541" s="1" t="n">
        <v>46147</v>
      </c>
      <c r="D541" t="inlineStr">
        <is>
          <t>ÖREBRO LÄN</t>
        </is>
      </c>
      <c r="E541" t="inlineStr">
        <is>
          <t>LINDESBERG</t>
        </is>
      </c>
      <c r="G541" t="n">
        <v>8</v>
      </c>
      <c r="H541" t="n">
        <v>0</v>
      </c>
      <c r="I541" t="n">
        <v>0</v>
      </c>
      <c r="J541" t="n">
        <v>0</v>
      </c>
      <c r="K541" t="n">
        <v>0</v>
      </c>
      <c r="L541" t="n">
        <v>0</v>
      </c>
      <c r="M541" t="n">
        <v>0</v>
      </c>
      <c r="N541" t="n">
        <v>0</v>
      </c>
      <c r="O541" t="n">
        <v>0</v>
      </c>
      <c r="P541" t="n">
        <v>0</v>
      </c>
      <c r="Q541" t="n">
        <v>0</v>
      </c>
      <c r="R541" s="2" t="inlineStr"/>
    </row>
    <row r="542" ht="15" customHeight="1">
      <c r="A542" t="inlineStr">
        <is>
          <t>A 7026-2024</t>
        </is>
      </c>
      <c r="B542" s="1" t="n">
        <v>45343.58587962963</v>
      </c>
      <c r="C542" s="1" t="n">
        <v>46147</v>
      </c>
      <c r="D542" t="inlineStr">
        <is>
          <t>ÖREBRO LÄN</t>
        </is>
      </c>
      <c r="E542" t="inlineStr">
        <is>
          <t>LINDESBERG</t>
        </is>
      </c>
      <c r="G542" t="n">
        <v>2.4</v>
      </c>
      <c r="H542" t="n">
        <v>0</v>
      </c>
      <c r="I542" t="n">
        <v>0</v>
      </c>
      <c r="J542" t="n">
        <v>0</v>
      </c>
      <c r="K542" t="n">
        <v>0</v>
      </c>
      <c r="L542" t="n">
        <v>0</v>
      </c>
      <c r="M542" t="n">
        <v>0</v>
      </c>
      <c r="N542" t="n">
        <v>0</v>
      </c>
      <c r="O542" t="n">
        <v>0</v>
      </c>
      <c r="P542" t="n">
        <v>0</v>
      </c>
      <c r="Q542" t="n">
        <v>0</v>
      </c>
      <c r="R542" s="2" t="inlineStr"/>
    </row>
    <row r="543" ht="15" customHeight="1">
      <c r="A543" t="inlineStr">
        <is>
          <t>A 4013-2025</t>
        </is>
      </c>
      <c r="B543" s="1" t="n">
        <v>45684.5790162037</v>
      </c>
      <c r="C543" s="1" t="n">
        <v>46147</v>
      </c>
      <c r="D543" t="inlineStr">
        <is>
          <t>ÖREBRO LÄN</t>
        </is>
      </c>
      <c r="E543" t="inlineStr">
        <is>
          <t>LINDESBERG</t>
        </is>
      </c>
      <c r="G543" t="n">
        <v>0.9</v>
      </c>
      <c r="H543" t="n">
        <v>0</v>
      </c>
      <c r="I543" t="n">
        <v>0</v>
      </c>
      <c r="J543" t="n">
        <v>0</v>
      </c>
      <c r="K543" t="n">
        <v>0</v>
      </c>
      <c r="L543" t="n">
        <v>0</v>
      </c>
      <c r="M543" t="n">
        <v>0</v>
      </c>
      <c r="N543" t="n">
        <v>0</v>
      </c>
      <c r="O543" t="n">
        <v>0</v>
      </c>
      <c r="P543" t="n">
        <v>0</v>
      </c>
      <c r="Q543" t="n">
        <v>0</v>
      </c>
      <c r="R543" s="2" t="inlineStr"/>
    </row>
    <row r="544" ht="15" customHeight="1">
      <c r="A544" t="inlineStr">
        <is>
          <t>A 51186-2025</t>
        </is>
      </c>
      <c r="B544" s="1" t="n">
        <v>45947.62353009259</v>
      </c>
      <c r="C544" s="1" t="n">
        <v>46147</v>
      </c>
      <c r="D544" t="inlineStr">
        <is>
          <t>ÖREBRO LÄN</t>
        </is>
      </c>
      <c r="E544" t="inlineStr">
        <is>
          <t>LINDESBERG</t>
        </is>
      </c>
      <c r="G544" t="n">
        <v>1</v>
      </c>
      <c r="H544" t="n">
        <v>0</v>
      </c>
      <c r="I544" t="n">
        <v>0</v>
      </c>
      <c r="J544" t="n">
        <v>0</v>
      </c>
      <c r="K544" t="n">
        <v>0</v>
      </c>
      <c r="L544" t="n">
        <v>0</v>
      </c>
      <c r="M544" t="n">
        <v>0</v>
      </c>
      <c r="N544" t="n">
        <v>0</v>
      </c>
      <c r="O544" t="n">
        <v>0</v>
      </c>
      <c r="P544" t="n">
        <v>0</v>
      </c>
      <c r="Q544" t="n">
        <v>0</v>
      </c>
      <c r="R544" s="2" t="inlineStr"/>
    </row>
    <row r="545" ht="15" customHeight="1">
      <c r="A545" t="inlineStr">
        <is>
          <t>A 33978-2023</t>
        </is>
      </c>
      <c r="B545" s="1" t="n">
        <v>45134.68158564815</v>
      </c>
      <c r="C545" s="1" t="n">
        <v>46147</v>
      </c>
      <c r="D545" t="inlineStr">
        <is>
          <t>ÖREBRO LÄN</t>
        </is>
      </c>
      <c r="E545" t="inlineStr">
        <is>
          <t>LINDESBERG</t>
        </is>
      </c>
      <c r="G545" t="n">
        <v>4.1</v>
      </c>
      <c r="H545" t="n">
        <v>0</v>
      </c>
      <c r="I545" t="n">
        <v>0</v>
      </c>
      <c r="J545" t="n">
        <v>0</v>
      </c>
      <c r="K545" t="n">
        <v>0</v>
      </c>
      <c r="L545" t="n">
        <v>0</v>
      </c>
      <c r="M545" t="n">
        <v>0</v>
      </c>
      <c r="N545" t="n">
        <v>0</v>
      </c>
      <c r="O545" t="n">
        <v>0</v>
      </c>
      <c r="P545" t="n">
        <v>0</v>
      </c>
      <c r="Q545" t="n">
        <v>0</v>
      </c>
      <c r="R545" s="2" t="inlineStr"/>
    </row>
    <row r="546" ht="15" customHeight="1">
      <c r="A546" t="inlineStr">
        <is>
          <t>A 51172-2025</t>
        </is>
      </c>
      <c r="B546" s="1" t="n">
        <v>45947.60508101852</v>
      </c>
      <c r="C546" s="1" t="n">
        <v>46147</v>
      </c>
      <c r="D546" t="inlineStr">
        <is>
          <t>ÖREBRO LÄN</t>
        </is>
      </c>
      <c r="E546" t="inlineStr">
        <is>
          <t>LINDESBERG</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50933-2025</t>
        </is>
      </c>
      <c r="B547" s="1" t="n">
        <v>45946.68859953704</v>
      </c>
      <c r="C547" s="1" t="n">
        <v>46147</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55272-2023</t>
        </is>
      </c>
      <c r="B548" s="1" t="n">
        <v>45237.67819444444</v>
      </c>
      <c r="C548" s="1" t="n">
        <v>46147</v>
      </c>
      <c r="D548" t="inlineStr">
        <is>
          <t>ÖREBRO LÄN</t>
        </is>
      </c>
      <c r="E548" t="inlineStr">
        <is>
          <t>LINDESBERG</t>
        </is>
      </c>
      <c r="G548" t="n">
        <v>2.4</v>
      </c>
      <c r="H548" t="n">
        <v>0</v>
      </c>
      <c r="I548" t="n">
        <v>0</v>
      </c>
      <c r="J548" t="n">
        <v>0</v>
      </c>
      <c r="K548" t="n">
        <v>0</v>
      </c>
      <c r="L548" t="n">
        <v>0</v>
      </c>
      <c r="M548" t="n">
        <v>0</v>
      </c>
      <c r="N548" t="n">
        <v>0</v>
      </c>
      <c r="O548" t="n">
        <v>0</v>
      </c>
      <c r="P548" t="n">
        <v>0</v>
      </c>
      <c r="Q548" t="n">
        <v>0</v>
      </c>
      <c r="R548" s="2" t="inlineStr"/>
    </row>
    <row r="549" ht="15" customHeight="1">
      <c r="A549" t="inlineStr">
        <is>
          <t>A 50765-2025</t>
        </is>
      </c>
      <c r="B549" s="1" t="n">
        <v>45946.44216435185</v>
      </c>
      <c r="C549" s="1" t="n">
        <v>46147</v>
      </c>
      <c r="D549" t="inlineStr">
        <is>
          <t>ÖREBRO LÄN</t>
        </is>
      </c>
      <c r="E549" t="inlineStr">
        <is>
          <t>LINDESBERG</t>
        </is>
      </c>
      <c r="F549" t="inlineStr">
        <is>
          <t>Sveaskog</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51030-2025</t>
        </is>
      </c>
      <c r="B550" s="1" t="n">
        <v>45947.40105324074</v>
      </c>
      <c r="C550" s="1" t="n">
        <v>46147</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12307-2025</t>
        </is>
      </c>
      <c r="B551" s="1" t="n">
        <v>45729.76231481481</v>
      </c>
      <c r="C551" s="1" t="n">
        <v>46147</v>
      </c>
      <c r="D551" t="inlineStr">
        <is>
          <t>ÖREBRO LÄN</t>
        </is>
      </c>
      <c r="E551" t="inlineStr">
        <is>
          <t>LINDESBERG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50936-2025</t>
        </is>
      </c>
      <c r="B552" s="1" t="n">
        <v>45946.69616898148</v>
      </c>
      <c r="C552" s="1" t="n">
        <v>46147</v>
      </c>
      <c r="D552" t="inlineStr">
        <is>
          <t>ÖREBRO LÄN</t>
        </is>
      </c>
      <c r="E552" t="inlineStr">
        <is>
          <t>LINDESBERG</t>
        </is>
      </c>
      <c r="G552" t="n">
        <v>2.9</v>
      </c>
      <c r="H552" t="n">
        <v>0</v>
      </c>
      <c r="I552" t="n">
        <v>0</v>
      </c>
      <c r="J552" t="n">
        <v>0</v>
      </c>
      <c r="K552" t="n">
        <v>0</v>
      </c>
      <c r="L552" t="n">
        <v>0</v>
      </c>
      <c r="M552" t="n">
        <v>0</v>
      </c>
      <c r="N552" t="n">
        <v>0</v>
      </c>
      <c r="O552" t="n">
        <v>0</v>
      </c>
      <c r="P552" t="n">
        <v>0</v>
      </c>
      <c r="Q552" t="n">
        <v>0</v>
      </c>
      <c r="R552" s="2" t="inlineStr"/>
    </row>
    <row r="553" ht="15" customHeight="1">
      <c r="A553" t="inlineStr">
        <is>
          <t>A 15852-2025</t>
        </is>
      </c>
      <c r="B553" s="1" t="n">
        <v>45749</v>
      </c>
      <c r="C553" s="1" t="n">
        <v>46147</v>
      </c>
      <c r="D553" t="inlineStr">
        <is>
          <t>ÖREBRO LÄN</t>
        </is>
      </c>
      <c r="E553" t="inlineStr">
        <is>
          <t>LINDESBERG</t>
        </is>
      </c>
      <c r="G553" t="n">
        <v>8.9</v>
      </c>
      <c r="H553" t="n">
        <v>0</v>
      </c>
      <c r="I553" t="n">
        <v>0</v>
      </c>
      <c r="J553" t="n">
        <v>0</v>
      </c>
      <c r="K553" t="n">
        <v>0</v>
      </c>
      <c r="L553" t="n">
        <v>0</v>
      </c>
      <c r="M553" t="n">
        <v>0</v>
      </c>
      <c r="N553" t="n">
        <v>0</v>
      </c>
      <c r="O553" t="n">
        <v>0</v>
      </c>
      <c r="P553" t="n">
        <v>0</v>
      </c>
      <c r="Q553" t="n">
        <v>0</v>
      </c>
      <c r="R553" s="2" t="inlineStr"/>
    </row>
    <row r="554" ht="15" customHeight="1">
      <c r="A554" t="inlineStr">
        <is>
          <t>A 8834-2023</t>
        </is>
      </c>
      <c r="B554" s="1" t="n">
        <v>44978</v>
      </c>
      <c r="C554" s="1" t="n">
        <v>46147</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51071-2022</t>
        </is>
      </c>
      <c r="B555" s="1" t="n">
        <v>44868.36924768519</v>
      </c>
      <c r="C555" s="1" t="n">
        <v>46147</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60926-2024</t>
        </is>
      </c>
      <c r="B556" s="1" t="n">
        <v>45645</v>
      </c>
      <c r="C556" s="1" t="n">
        <v>46147</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1383-2025</t>
        </is>
      </c>
      <c r="B557" s="1" t="n">
        <v>45667</v>
      </c>
      <c r="C557" s="1" t="n">
        <v>46147</v>
      </c>
      <c r="D557" t="inlineStr">
        <is>
          <t>ÖREBRO LÄN</t>
        </is>
      </c>
      <c r="E557" t="inlineStr">
        <is>
          <t>LINDESBERG</t>
        </is>
      </c>
      <c r="G557" t="n">
        <v>5</v>
      </c>
      <c r="H557" t="n">
        <v>0</v>
      </c>
      <c r="I557" t="n">
        <v>0</v>
      </c>
      <c r="J557" t="n">
        <v>0</v>
      </c>
      <c r="K557" t="n">
        <v>0</v>
      </c>
      <c r="L557" t="n">
        <v>0</v>
      </c>
      <c r="M557" t="n">
        <v>0</v>
      </c>
      <c r="N557" t="n">
        <v>0</v>
      </c>
      <c r="O557" t="n">
        <v>0</v>
      </c>
      <c r="P557" t="n">
        <v>0</v>
      </c>
      <c r="Q557" t="n">
        <v>0</v>
      </c>
      <c r="R557" s="2" t="inlineStr"/>
    </row>
    <row r="558" ht="15" customHeight="1">
      <c r="A558" t="inlineStr">
        <is>
          <t>A 35229-2024</t>
        </is>
      </c>
      <c r="B558" s="1" t="n">
        <v>45530</v>
      </c>
      <c r="C558" s="1" t="n">
        <v>46147</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50285-2022</t>
        </is>
      </c>
      <c r="B559" s="1" t="n">
        <v>44865.87770833333</v>
      </c>
      <c r="C559" s="1" t="n">
        <v>46147</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52102-2025</t>
        </is>
      </c>
      <c r="B560" s="1" t="n">
        <v>45952.68358796297</v>
      </c>
      <c r="C560" s="1" t="n">
        <v>46147</v>
      </c>
      <c r="D560" t="inlineStr">
        <is>
          <t>ÖREBRO LÄN</t>
        </is>
      </c>
      <c r="E560" t="inlineStr">
        <is>
          <t>LINDESBERG</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10822-2023</t>
        </is>
      </c>
      <c r="B561" s="1" t="n">
        <v>44990</v>
      </c>
      <c r="C561" s="1" t="n">
        <v>46147</v>
      </c>
      <c r="D561" t="inlineStr">
        <is>
          <t>ÖREBRO LÄN</t>
        </is>
      </c>
      <c r="E561" t="inlineStr">
        <is>
          <t>LINDESBERG</t>
        </is>
      </c>
      <c r="G561" t="n">
        <v>1.3</v>
      </c>
      <c r="H561" t="n">
        <v>0</v>
      </c>
      <c r="I561" t="n">
        <v>0</v>
      </c>
      <c r="J561" t="n">
        <v>0</v>
      </c>
      <c r="K561" t="n">
        <v>0</v>
      </c>
      <c r="L561" t="n">
        <v>0</v>
      </c>
      <c r="M561" t="n">
        <v>0</v>
      </c>
      <c r="N561" t="n">
        <v>0</v>
      </c>
      <c r="O561" t="n">
        <v>0</v>
      </c>
      <c r="P561" t="n">
        <v>0</v>
      </c>
      <c r="Q561" t="n">
        <v>0</v>
      </c>
      <c r="R561" s="2" t="inlineStr"/>
    </row>
    <row r="562" ht="15" customHeight="1">
      <c r="A562" t="inlineStr">
        <is>
          <t>A 52117-2025</t>
        </is>
      </c>
      <c r="B562" s="1" t="n">
        <v>45952.70765046297</v>
      </c>
      <c r="C562" s="1" t="n">
        <v>46147</v>
      </c>
      <c r="D562" t="inlineStr">
        <is>
          <t>ÖREBRO LÄN</t>
        </is>
      </c>
      <c r="E562" t="inlineStr">
        <is>
          <t>LINDESBERG</t>
        </is>
      </c>
      <c r="G562" t="n">
        <v>4.6</v>
      </c>
      <c r="H562" t="n">
        <v>0</v>
      </c>
      <c r="I562" t="n">
        <v>0</v>
      </c>
      <c r="J562" t="n">
        <v>0</v>
      </c>
      <c r="K562" t="n">
        <v>0</v>
      </c>
      <c r="L562" t="n">
        <v>0</v>
      </c>
      <c r="M562" t="n">
        <v>0</v>
      </c>
      <c r="N562" t="n">
        <v>0</v>
      </c>
      <c r="O562" t="n">
        <v>0</v>
      </c>
      <c r="P562" t="n">
        <v>0</v>
      </c>
      <c r="Q562" t="n">
        <v>0</v>
      </c>
      <c r="R562" s="2" t="inlineStr"/>
    </row>
    <row r="563" ht="15" customHeight="1">
      <c r="A563" t="inlineStr">
        <is>
          <t>A 52098-2025</t>
        </is>
      </c>
      <c r="B563" s="1" t="n">
        <v>45952.68001157408</v>
      </c>
      <c r="C563" s="1" t="n">
        <v>46147</v>
      </c>
      <c r="D563" t="inlineStr">
        <is>
          <t>ÖREBRO LÄN</t>
        </is>
      </c>
      <c r="E563" t="inlineStr">
        <is>
          <t>LINDESBERG</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52103-2025</t>
        </is>
      </c>
      <c r="B564" s="1" t="n">
        <v>45952.68439814815</v>
      </c>
      <c r="C564" s="1" t="n">
        <v>46147</v>
      </c>
      <c r="D564" t="inlineStr">
        <is>
          <t>ÖREBRO LÄN</t>
        </is>
      </c>
      <c r="E564" t="inlineStr">
        <is>
          <t>LINDESBERG</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3233-2023</t>
        </is>
      </c>
      <c r="B565" s="1" t="n">
        <v>44946</v>
      </c>
      <c r="C565" s="1" t="n">
        <v>46147</v>
      </c>
      <c r="D565" t="inlineStr">
        <is>
          <t>ÖREBRO LÄN</t>
        </is>
      </c>
      <c r="E565" t="inlineStr">
        <is>
          <t>LINDESBERG</t>
        </is>
      </c>
      <c r="G565" t="n">
        <v>3</v>
      </c>
      <c r="H565" t="n">
        <v>0</v>
      </c>
      <c r="I565" t="n">
        <v>0</v>
      </c>
      <c r="J565" t="n">
        <v>0</v>
      </c>
      <c r="K565" t="n">
        <v>0</v>
      </c>
      <c r="L565" t="n">
        <v>0</v>
      </c>
      <c r="M565" t="n">
        <v>0</v>
      </c>
      <c r="N565" t="n">
        <v>0</v>
      </c>
      <c r="O565" t="n">
        <v>0</v>
      </c>
      <c r="P565" t="n">
        <v>0</v>
      </c>
      <c r="Q565" t="n">
        <v>0</v>
      </c>
      <c r="R565" s="2" t="inlineStr"/>
    </row>
    <row r="566" ht="15" customHeight="1">
      <c r="A566" t="inlineStr">
        <is>
          <t>A 15325-2024</t>
        </is>
      </c>
      <c r="B566" s="1" t="n">
        <v>45400.6709837963</v>
      </c>
      <c r="C566" s="1" t="n">
        <v>46147</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40970-2023</t>
        </is>
      </c>
      <c r="B567" s="1" t="n">
        <v>45173</v>
      </c>
      <c r="C567" s="1" t="n">
        <v>46147</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52101-2025</t>
        </is>
      </c>
      <c r="B568" s="1" t="n">
        <v>45952.68271990741</v>
      </c>
      <c r="C568" s="1" t="n">
        <v>46147</v>
      </c>
      <c r="D568" t="inlineStr">
        <is>
          <t>ÖREBRO LÄN</t>
        </is>
      </c>
      <c r="E568" t="inlineStr">
        <is>
          <t>LINDESBERG</t>
        </is>
      </c>
      <c r="F568" t="inlineStr">
        <is>
          <t>Sveaskog</t>
        </is>
      </c>
      <c r="G568" t="n">
        <v>10.9</v>
      </c>
      <c r="H568" t="n">
        <v>0</v>
      </c>
      <c r="I568" t="n">
        <v>0</v>
      </c>
      <c r="J568" t="n">
        <v>0</v>
      </c>
      <c r="K568" t="n">
        <v>0</v>
      </c>
      <c r="L568" t="n">
        <v>0</v>
      </c>
      <c r="M568" t="n">
        <v>0</v>
      </c>
      <c r="N568" t="n">
        <v>0</v>
      </c>
      <c r="O568" t="n">
        <v>0</v>
      </c>
      <c r="P568" t="n">
        <v>0</v>
      </c>
      <c r="Q568" t="n">
        <v>0</v>
      </c>
      <c r="R568" s="2" t="inlineStr"/>
    </row>
    <row r="569" ht="15" customHeight="1">
      <c r="A569" t="inlineStr">
        <is>
          <t>A 52104-2025</t>
        </is>
      </c>
      <c r="B569" s="1" t="n">
        <v>45952.68524305556</v>
      </c>
      <c r="C569" s="1" t="n">
        <v>46147</v>
      </c>
      <c r="D569" t="inlineStr">
        <is>
          <t>ÖREBRO LÄN</t>
        </is>
      </c>
      <c r="E569" t="inlineStr">
        <is>
          <t>LINDESBERG</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52298-2025</t>
        </is>
      </c>
      <c r="B570" s="1" t="n">
        <v>45953.61387731481</v>
      </c>
      <c r="C570" s="1" t="n">
        <v>46147</v>
      </c>
      <c r="D570" t="inlineStr">
        <is>
          <t>ÖREBRO LÄN</t>
        </is>
      </c>
      <c r="E570" t="inlineStr">
        <is>
          <t>LINDESBERG</t>
        </is>
      </c>
      <c r="G570" t="n">
        <v>18.2</v>
      </c>
      <c r="H570" t="n">
        <v>0</v>
      </c>
      <c r="I570" t="n">
        <v>0</v>
      </c>
      <c r="J570" t="n">
        <v>0</v>
      </c>
      <c r="K570" t="n">
        <v>0</v>
      </c>
      <c r="L570" t="n">
        <v>0</v>
      </c>
      <c r="M570" t="n">
        <v>0</v>
      </c>
      <c r="N570" t="n">
        <v>0</v>
      </c>
      <c r="O570" t="n">
        <v>0</v>
      </c>
      <c r="P570" t="n">
        <v>0</v>
      </c>
      <c r="Q570" t="n">
        <v>0</v>
      </c>
      <c r="R570" s="2" t="inlineStr"/>
    </row>
    <row r="571" ht="15" customHeight="1">
      <c r="A571" t="inlineStr">
        <is>
          <t>A 34093-2022</t>
        </is>
      </c>
      <c r="B571" s="1" t="n">
        <v>44791</v>
      </c>
      <c r="C571" s="1" t="n">
        <v>46147</v>
      </c>
      <c r="D571" t="inlineStr">
        <is>
          <t>ÖREBRO LÄN</t>
        </is>
      </c>
      <c r="E571" t="inlineStr">
        <is>
          <t>LINDESBERG</t>
        </is>
      </c>
      <c r="G571" t="n">
        <v>3.3</v>
      </c>
      <c r="H571" t="n">
        <v>0</v>
      </c>
      <c r="I571" t="n">
        <v>0</v>
      </c>
      <c r="J571" t="n">
        <v>0</v>
      </c>
      <c r="K571" t="n">
        <v>0</v>
      </c>
      <c r="L571" t="n">
        <v>0</v>
      </c>
      <c r="M571" t="n">
        <v>0</v>
      </c>
      <c r="N571" t="n">
        <v>0</v>
      </c>
      <c r="O571" t="n">
        <v>0</v>
      </c>
      <c r="P571" t="n">
        <v>0</v>
      </c>
      <c r="Q571" t="n">
        <v>0</v>
      </c>
      <c r="R571" s="2" t="inlineStr"/>
    </row>
    <row r="572" ht="15" customHeight="1">
      <c r="A572" t="inlineStr">
        <is>
          <t>A 58662-2022</t>
        </is>
      </c>
      <c r="B572" s="1" t="n">
        <v>44902</v>
      </c>
      <c r="C572" s="1" t="n">
        <v>46147</v>
      </c>
      <c r="D572" t="inlineStr">
        <is>
          <t>ÖREBRO LÄN</t>
        </is>
      </c>
      <c r="E572" t="inlineStr">
        <is>
          <t>LINDESBERG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52730-2025</t>
        </is>
      </c>
      <c r="B573" s="1" t="n">
        <v>45957.36386574074</v>
      </c>
      <c r="C573" s="1" t="n">
        <v>46147</v>
      </c>
      <c r="D573" t="inlineStr">
        <is>
          <t>ÖREBRO LÄN</t>
        </is>
      </c>
      <c r="E573" t="inlineStr">
        <is>
          <t>LINDESBERG</t>
        </is>
      </c>
      <c r="F573" t="inlineStr">
        <is>
          <t>Sveaskog</t>
        </is>
      </c>
      <c r="G573" t="n">
        <v>5</v>
      </c>
      <c r="H573" t="n">
        <v>0</v>
      </c>
      <c r="I573" t="n">
        <v>0</v>
      </c>
      <c r="J573" t="n">
        <v>0</v>
      </c>
      <c r="K573" t="n">
        <v>0</v>
      </c>
      <c r="L573" t="n">
        <v>0</v>
      </c>
      <c r="M573" t="n">
        <v>0</v>
      </c>
      <c r="N573" t="n">
        <v>0</v>
      </c>
      <c r="O573" t="n">
        <v>0</v>
      </c>
      <c r="P573" t="n">
        <v>0</v>
      </c>
      <c r="Q573" t="n">
        <v>0</v>
      </c>
      <c r="R573" s="2" t="inlineStr"/>
    </row>
    <row r="574" ht="15" customHeight="1">
      <c r="A574" t="inlineStr">
        <is>
          <t>A 38534-2025</t>
        </is>
      </c>
      <c r="B574" s="1" t="n">
        <v>45884</v>
      </c>
      <c r="C574" s="1" t="n">
        <v>46147</v>
      </c>
      <c r="D574" t="inlineStr">
        <is>
          <t>ÖREBRO LÄN</t>
        </is>
      </c>
      <c r="E574" t="inlineStr">
        <is>
          <t>LINDESBERG</t>
        </is>
      </c>
      <c r="G574" t="n">
        <v>4.9</v>
      </c>
      <c r="H574" t="n">
        <v>0</v>
      </c>
      <c r="I574" t="n">
        <v>0</v>
      </c>
      <c r="J574" t="n">
        <v>0</v>
      </c>
      <c r="K574" t="n">
        <v>0</v>
      </c>
      <c r="L574" t="n">
        <v>0</v>
      </c>
      <c r="M574" t="n">
        <v>0</v>
      </c>
      <c r="N574" t="n">
        <v>0</v>
      </c>
      <c r="O574" t="n">
        <v>0</v>
      </c>
      <c r="P574" t="n">
        <v>0</v>
      </c>
      <c r="Q574" t="n">
        <v>0</v>
      </c>
      <c r="R574" s="2" t="inlineStr"/>
    </row>
    <row r="575" ht="15" customHeight="1">
      <c r="A575" t="inlineStr">
        <is>
          <t>A 16103-2026</t>
        </is>
      </c>
      <c r="B575" s="1" t="n">
        <v>46108.59048611111</v>
      </c>
      <c r="C575" s="1" t="n">
        <v>46147</v>
      </c>
      <c r="D575" t="inlineStr">
        <is>
          <t>ÖREBRO LÄN</t>
        </is>
      </c>
      <c r="E575" t="inlineStr">
        <is>
          <t>LINDESBERG</t>
        </is>
      </c>
      <c r="G575" t="n">
        <v>5.5</v>
      </c>
      <c r="H575" t="n">
        <v>0</v>
      </c>
      <c r="I575" t="n">
        <v>0</v>
      </c>
      <c r="J575" t="n">
        <v>0</v>
      </c>
      <c r="K575" t="n">
        <v>0</v>
      </c>
      <c r="L575" t="n">
        <v>0</v>
      </c>
      <c r="M575" t="n">
        <v>0</v>
      </c>
      <c r="N575" t="n">
        <v>0</v>
      </c>
      <c r="O575" t="n">
        <v>0</v>
      </c>
      <c r="P575" t="n">
        <v>0</v>
      </c>
      <c r="Q575" t="n">
        <v>0</v>
      </c>
      <c r="R575" s="2" t="inlineStr"/>
    </row>
    <row r="576" ht="15" customHeight="1">
      <c r="A576" t="inlineStr">
        <is>
          <t>A 52401-2025</t>
        </is>
      </c>
      <c r="B576" s="1" t="n">
        <v>45954.35075231481</v>
      </c>
      <c r="C576" s="1" t="n">
        <v>46147</v>
      </c>
      <c r="D576" t="inlineStr">
        <is>
          <t>ÖREBRO LÄN</t>
        </is>
      </c>
      <c r="E576" t="inlineStr">
        <is>
          <t>LINDESBERG</t>
        </is>
      </c>
      <c r="F576" t="inlineStr">
        <is>
          <t>Sveaskog</t>
        </is>
      </c>
      <c r="G576" t="n">
        <v>1.3</v>
      </c>
      <c r="H576" t="n">
        <v>0</v>
      </c>
      <c r="I576" t="n">
        <v>0</v>
      </c>
      <c r="J576" t="n">
        <v>0</v>
      </c>
      <c r="K576" t="n">
        <v>0</v>
      </c>
      <c r="L576" t="n">
        <v>0</v>
      </c>
      <c r="M576" t="n">
        <v>0</v>
      </c>
      <c r="N576" t="n">
        <v>0</v>
      </c>
      <c r="O576" t="n">
        <v>0</v>
      </c>
      <c r="P576" t="n">
        <v>0</v>
      </c>
      <c r="Q576" t="n">
        <v>0</v>
      </c>
      <c r="R576" s="2" t="inlineStr"/>
    </row>
    <row r="577" ht="15" customHeight="1">
      <c r="A577" t="inlineStr">
        <is>
          <t>A 52402-2025</t>
        </is>
      </c>
      <c r="B577" s="1" t="n">
        <v>45954.35387731482</v>
      </c>
      <c r="C577" s="1" t="n">
        <v>46147</v>
      </c>
      <c r="D577" t="inlineStr">
        <is>
          <t>ÖREBRO LÄN</t>
        </is>
      </c>
      <c r="E577" t="inlineStr">
        <is>
          <t>LINDESBERG</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15060-2024</t>
        </is>
      </c>
      <c r="B578" s="1" t="n">
        <v>45399.56596064815</v>
      </c>
      <c r="C578" s="1" t="n">
        <v>46147</v>
      </c>
      <c r="D578" t="inlineStr">
        <is>
          <t>ÖREBRO LÄN</t>
        </is>
      </c>
      <c r="E578" t="inlineStr">
        <is>
          <t>LINDESBERG</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53288-2025</t>
        </is>
      </c>
      <c r="B579" s="1" t="n">
        <v>45958.79287037037</v>
      </c>
      <c r="C579" s="1" t="n">
        <v>46147</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28031-2023</t>
        </is>
      </c>
      <c r="B580" s="1" t="n">
        <v>45099.27354166667</v>
      </c>
      <c r="C580" s="1" t="n">
        <v>46147</v>
      </c>
      <c r="D580" t="inlineStr">
        <is>
          <t>ÖREBRO LÄN</t>
        </is>
      </c>
      <c r="E580" t="inlineStr">
        <is>
          <t>LINDESBERG</t>
        </is>
      </c>
      <c r="F580" t="inlineStr">
        <is>
          <t>Kyrkan</t>
        </is>
      </c>
      <c r="G580" t="n">
        <v>1.2</v>
      </c>
      <c r="H580" t="n">
        <v>0</v>
      </c>
      <c r="I580" t="n">
        <v>0</v>
      </c>
      <c r="J580" t="n">
        <v>0</v>
      </c>
      <c r="K580" t="n">
        <v>0</v>
      </c>
      <c r="L580" t="n">
        <v>0</v>
      </c>
      <c r="M580" t="n">
        <v>0</v>
      </c>
      <c r="N580" t="n">
        <v>0</v>
      </c>
      <c r="O580" t="n">
        <v>0</v>
      </c>
      <c r="P580" t="n">
        <v>0</v>
      </c>
      <c r="Q580" t="n">
        <v>0</v>
      </c>
      <c r="R580" s="2" t="inlineStr"/>
    </row>
    <row r="581" ht="15" customHeight="1">
      <c r="A581" t="inlineStr">
        <is>
          <t>A 53187-2025</t>
        </is>
      </c>
      <c r="B581" s="1" t="n">
        <v>45958.55577546296</v>
      </c>
      <c r="C581" s="1" t="n">
        <v>46147</v>
      </c>
      <c r="D581" t="inlineStr">
        <is>
          <t>ÖREBRO LÄN</t>
        </is>
      </c>
      <c r="E581" t="inlineStr">
        <is>
          <t>LINDESBERG</t>
        </is>
      </c>
      <c r="F581" t="inlineStr">
        <is>
          <t>Kommuner</t>
        </is>
      </c>
      <c r="G581" t="n">
        <v>2.7</v>
      </c>
      <c r="H581" t="n">
        <v>0</v>
      </c>
      <c r="I581" t="n">
        <v>0</v>
      </c>
      <c r="J581" t="n">
        <v>0</v>
      </c>
      <c r="K581" t="n">
        <v>0</v>
      </c>
      <c r="L581" t="n">
        <v>0</v>
      </c>
      <c r="M581" t="n">
        <v>0</v>
      </c>
      <c r="N581" t="n">
        <v>0</v>
      </c>
      <c r="O581" t="n">
        <v>0</v>
      </c>
      <c r="P581" t="n">
        <v>0</v>
      </c>
      <c r="Q581" t="n">
        <v>0</v>
      </c>
      <c r="R581" s="2" t="inlineStr"/>
    </row>
    <row r="582" ht="15" customHeight="1">
      <c r="A582" t="inlineStr">
        <is>
          <t>A 4310-2025</t>
        </is>
      </c>
      <c r="B582" s="1" t="n">
        <v>45685</v>
      </c>
      <c r="C582" s="1" t="n">
        <v>46147</v>
      </c>
      <c r="D582" t="inlineStr">
        <is>
          <t>ÖREBRO LÄN</t>
        </is>
      </c>
      <c r="E582" t="inlineStr">
        <is>
          <t>LINDESBERG</t>
        </is>
      </c>
      <c r="G582" t="n">
        <v>1.2</v>
      </c>
      <c r="H582" t="n">
        <v>0</v>
      </c>
      <c r="I582" t="n">
        <v>0</v>
      </c>
      <c r="J582" t="n">
        <v>0</v>
      </c>
      <c r="K582" t="n">
        <v>0</v>
      </c>
      <c r="L582" t="n">
        <v>0</v>
      </c>
      <c r="M582" t="n">
        <v>0</v>
      </c>
      <c r="N582" t="n">
        <v>0</v>
      </c>
      <c r="O582" t="n">
        <v>0</v>
      </c>
      <c r="P582" t="n">
        <v>0</v>
      </c>
      <c r="Q582" t="n">
        <v>0</v>
      </c>
      <c r="R582" s="2" t="inlineStr"/>
    </row>
    <row r="583" ht="15" customHeight="1">
      <c r="A583" t="inlineStr">
        <is>
          <t>A 38509-2025</t>
        </is>
      </c>
      <c r="B583" s="1" t="n">
        <v>45884.38858796296</v>
      </c>
      <c r="C583" s="1" t="n">
        <v>46147</v>
      </c>
      <c r="D583" t="inlineStr">
        <is>
          <t>ÖREBRO LÄN</t>
        </is>
      </c>
      <c r="E583" t="inlineStr">
        <is>
          <t>LINDESBERG</t>
        </is>
      </c>
      <c r="G583" t="n">
        <v>14.9</v>
      </c>
      <c r="H583" t="n">
        <v>0</v>
      </c>
      <c r="I583" t="n">
        <v>0</v>
      </c>
      <c r="J583" t="n">
        <v>0</v>
      </c>
      <c r="K583" t="n">
        <v>0</v>
      </c>
      <c r="L583" t="n">
        <v>0</v>
      </c>
      <c r="M583" t="n">
        <v>0</v>
      </c>
      <c r="N583" t="n">
        <v>0</v>
      </c>
      <c r="O583" t="n">
        <v>0</v>
      </c>
      <c r="P583" t="n">
        <v>0</v>
      </c>
      <c r="Q583" t="n">
        <v>0</v>
      </c>
      <c r="R583" s="2" t="inlineStr"/>
    </row>
    <row r="584" ht="15" customHeight="1">
      <c r="A584" t="inlineStr">
        <is>
          <t>A 16092-2026</t>
        </is>
      </c>
      <c r="B584" s="1" t="n">
        <v>46108</v>
      </c>
      <c r="C584" s="1" t="n">
        <v>46147</v>
      </c>
      <c r="D584" t="inlineStr">
        <is>
          <t>ÖREBRO LÄN</t>
        </is>
      </c>
      <c r="E584" t="inlineStr">
        <is>
          <t>LINDESBERG</t>
        </is>
      </c>
      <c r="G584" t="n">
        <v>2.3</v>
      </c>
      <c r="H584" t="n">
        <v>0</v>
      </c>
      <c r="I584" t="n">
        <v>0</v>
      </c>
      <c r="J584" t="n">
        <v>0</v>
      </c>
      <c r="K584" t="n">
        <v>0</v>
      </c>
      <c r="L584" t="n">
        <v>0</v>
      </c>
      <c r="M584" t="n">
        <v>0</v>
      </c>
      <c r="N584" t="n">
        <v>0</v>
      </c>
      <c r="O584" t="n">
        <v>0</v>
      </c>
      <c r="P584" t="n">
        <v>0</v>
      </c>
      <c r="Q584" t="n">
        <v>0</v>
      </c>
      <c r="R584" s="2" t="inlineStr"/>
    </row>
    <row r="585" ht="15" customHeight="1">
      <c r="A585" t="inlineStr">
        <is>
          <t>A 16094-2026</t>
        </is>
      </c>
      <c r="B585" s="1" t="n">
        <v>46108</v>
      </c>
      <c r="C585" s="1" t="n">
        <v>46147</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47110-2024</t>
        </is>
      </c>
      <c r="B586" s="1" t="n">
        <v>45586.55451388889</v>
      </c>
      <c r="C586" s="1" t="n">
        <v>46147</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27440-2023</t>
        </is>
      </c>
      <c r="B587" s="1" t="n">
        <v>45097.39893518519</v>
      </c>
      <c r="C587" s="1" t="n">
        <v>46147</v>
      </c>
      <c r="D587" t="inlineStr">
        <is>
          <t>ÖREBRO LÄN</t>
        </is>
      </c>
      <c r="E587" t="inlineStr">
        <is>
          <t>LINDESBERG</t>
        </is>
      </c>
      <c r="G587" t="n">
        <v>6.6</v>
      </c>
      <c r="H587" t="n">
        <v>0</v>
      </c>
      <c r="I587" t="n">
        <v>0</v>
      </c>
      <c r="J587" t="n">
        <v>0</v>
      </c>
      <c r="K587" t="n">
        <v>0</v>
      </c>
      <c r="L587" t="n">
        <v>0</v>
      </c>
      <c r="M587" t="n">
        <v>0</v>
      </c>
      <c r="N587" t="n">
        <v>0</v>
      </c>
      <c r="O587" t="n">
        <v>0</v>
      </c>
      <c r="P587" t="n">
        <v>0</v>
      </c>
      <c r="Q587" t="n">
        <v>0</v>
      </c>
      <c r="R587" s="2" t="inlineStr"/>
    </row>
    <row r="588" ht="15" customHeight="1">
      <c r="A588" t="inlineStr">
        <is>
          <t>A 53721-2025</t>
        </is>
      </c>
      <c r="B588" s="1" t="n">
        <v>45960</v>
      </c>
      <c r="C588" s="1" t="n">
        <v>46147</v>
      </c>
      <c r="D588" t="inlineStr">
        <is>
          <t>ÖREBRO LÄN</t>
        </is>
      </c>
      <c r="E588" t="inlineStr">
        <is>
          <t>LINDESBERG</t>
        </is>
      </c>
      <c r="G588" t="n">
        <v>3.3</v>
      </c>
      <c r="H588" t="n">
        <v>0</v>
      </c>
      <c r="I588" t="n">
        <v>0</v>
      </c>
      <c r="J588" t="n">
        <v>0</v>
      </c>
      <c r="K588" t="n">
        <v>0</v>
      </c>
      <c r="L588" t="n">
        <v>0</v>
      </c>
      <c r="M588" t="n">
        <v>0</v>
      </c>
      <c r="N588" t="n">
        <v>0</v>
      </c>
      <c r="O588" t="n">
        <v>0</v>
      </c>
      <c r="P588" t="n">
        <v>0</v>
      </c>
      <c r="Q588" t="n">
        <v>0</v>
      </c>
      <c r="R588" s="2" t="inlineStr"/>
    </row>
    <row r="589" ht="15" customHeight="1">
      <c r="A589" t="inlineStr">
        <is>
          <t>A 53723-2025</t>
        </is>
      </c>
      <c r="B589" s="1" t="n">
        <v>45960.62986111111</v>
      </c>
      <c r="C589" s="1" t="n">
        <v>46147</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39137-2024</t>
        </is>
      </c>
      <c r="B590" s="1" t="n">
        <v>45548</v>
      </c>
      <c r="C590" s="1" t="n">
        <v>46147</v>
      </c>
      <c r="D590" t="inlineStr">
        <is>
          <t>ÖREBRO LÄN</t>
        </is>
      </c>
      <c r="E590" t="inlineStr">
        <is>
          <t>LINDESBERG</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39152-2024</t>
        </is>
      </c>
      <c r="B591" s="1" t="n">
        <v>45548</v>
      </c>
      <c r="C591" s="1" t="n">
        <v>46147</v>
      </c>
      <c r="D591" t="inlineStr">
        <is>
          <t>ÖREBRO LÄN</t>
        </is>
      </c>
      <c r="E591" t="inlineStr">
        <is>
          <t>LINDESBERG</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16090-2026</t>
        </is>
      </c>
      <c r="B592" s="1" t="n">
        <v>46108</v>
      </c>
      <c r="C592" s="1" t="n">
        <v>46147</v>
      </c>
      <c r="D592" t="inlineStr">
        <is>
          <t>ÖREBRO LÄN</t>
        </is>
      </c>
      <c r="E592" t="inlineStr">
        <is>
          <t>LINDESBERG</t>
        </is>
      </c>
      <c r="G592" t="n">
        <v>4</v>
      </c>
      <c r="H592" t="n">
        <v>0</v>
      </c>
      <c r="I592" t="n">
        <v>0</v>
      </c>
      <c r="J592" t="n">
        <v>0</v>
      </c>
      <c r="K592" t="n">
        <v>0</v>
      </c>
      <c r="L592" t="n">
        <v>0</v>
      </c>
      <c r="M592" t="n">
        <v>0</v>
      </c>
      <c r="N592" t="n">
        <v>0</v>
      </c>
      <c r="O592" t="n">
        <v>0</v>
      </c>
      <c r="P592" t="n">
        <v>0</v>
      </c>
      <c r="Q592" t="n">
        <v>0</v>
      </c>
      <c r="R592" s="2" t="inlineStr"/>
    </row>
    <row r="593" ht="15" customHeight="1">
      <c r="A593" t="inlineStr">
        <is>
          <t>A 21245-2024</t>
        </is>
      </c>
      <c r="B593" s="1" t="n">
        <v>45440</v>
      </c>
      <c r="C593" s="1" t="n">
        <v>46147</v>
      </c>
      <c r="D593" t="inlineStr">
        <is>
          <t>ÖREBRO LÄN</t>
        </is>
      </c>
      <c r="E593" t="inlineStr">
        <is>
          <t>LINDESBERG</t>
        </is>
      </c>
      <c r="G593" t="n">
        <v>2</v>
      </c>
      <c r="H593" t="n">
        <v>0</v>
      </c>
      <c r="I593" t="n">
        <v>0</v>
      </c>
      <c r="J593" t="n">
        <v>0</v>
      </c>
      <c r="K593" t="n">
        <v>0</v>
      </c>
      <c r="L593" t="n">
        <v>0</v>
      </c>
      <c r="M593" t="n">
        <v>0</v>
      </c>
      <c r="N593" t="n">
        <v>0</v>
      </c>
      <c r="O593" t="n">
        <v>0</v>
      </c>
      <c r="P593" t="n">
        <v>0</v>
      </c>
      <c r="Q593" t="n">
        <v>0</v>
      </c>
      <c r="R593" s="2" t="inlineStr"/>
    </row>
    <row r="594" ht="15" customHeight="1">
      <c r="A594" t="inlineStr">
        <is>
          <t>A 16812-2026</t>
        </is>
      </c>
      <c r="B594" s="1" t="n">
        <v>46113.49563657407</v>
      </c>
      <c r="C594" s="1" t="n">
        <v>46147</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15126-2026</t>
        </is>
      </c>
      <c r="B595" s="1" t="n">
        <v>46105.37195601852</v>
      </c>
      <c r="C595" s="1" t="n">
        <v>46147</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9432-2026</t>
        </is>
      </c>
      <c r="B596" s="1" t="n">
        <v>46071.45568287037</v>
      </c>
      <c r="C596" s="1" t="n">
        <v>46147</v>
      </c>
      <c r="D596" t="inlineStr">
        <is>
          <t>ÖREBRO LÄN</t>
        </is>
      </c>
      <c r="E596" t="inlineStr">
        <is>
          <t>LINDESBERG</t>
        </is>
      </c>
      <c r="G596" t="n">
        <v>1.6</v>
      </c>
      <c r="H596" t="n">
        <v>0</v>
      </c>
      <c r="I596" t="n">
        <v>0</v>
      </c>
      <c r="J596" t="n">
        <v>0</v>
      </c>
      <c r="K596" t="n">
        <v>0</v>
      </c>
      <c r="L596" t="n">
        <v>0</v>
      </c>
      <c r="M596" t="n">
        <v>0</v>
      </c>
      <c r="N596" t="n">
        <v>0</v>
      </c>
      <c r="O596" t="n">
        <v>0</v>
      </c>
      <c r="P596" t="n">
        <v>0</v>
      </c>
      <c r="Q596" t="n">
        <v>0</v>
      </c>
      <c r="R596" s="2" t="inlineStr"/>
    </row>
    <row r="597" ht="15" customHeight="1">
      <c r="A597" t="inlineStr">
        <is>
          <t>A 4603-2024</t>
        </is>
      </c>
      <c r="B597" s="1" t="n">
        <v>45328</v>
      </c>
      <c r="C597" s="1" t="n">
        <v>46147</v>
      </c>
      <c r="D597" t="inlineStr">
        <is>
          <t>ÖREBRO LÄN</t>
        </is>
      </c>
      <c r="E597" t="inlineStr">
        <is>
          <t>LINDESBERG</t>
        </is>
      </c>
      <c r="F597" t="inlineStr">
        <is>
          <t>BillerudKorsnäs AB</t>
        </is>
      </c>
      <c r="G597" t="n">
        <v>4.3</v>
      </c>
      <c r="H597" t="n">
        <v>0</v>
      </c>
      <c r="I597" t="n">
        <v>0</v>
      </c>
      <c r="J597" t="n">
        <v>0</v>
      </c>
      <c r="K597" t="n">
        <v>0</v>
      </c>
      <c r="L597" t="n">
        <v>0</v>
      </c>
      <c r="M597" t="n">
        <v>0</v>
      </c>
      <c r="N597" t="n">
        <v>0</v>
      </c>
      <c r="O597" t="n">
        <v>0</v>
      </c>
      <c r="P597" t="n">
        <v>0</v>
      </c>
      <c r="Q597" t="n">
        <v>0</v>
      </c>
      <c r="R597" s="2" t="inlineStr"/>
    </row>
    <row r="598" ht="15" customHeight="1">
      <c r="A598" t="inlineStr">
        <is>
          <t>A 61601-2024</t>
        </is>
      </c>
      <c r="B598" s="1" t="n">
        <v>45646.63839120371</v>
      </c>
      <c r="C598" s="1" t="n">
        <v>46147</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6604-2024</t>
        </is>
      </c>
      <c r="B599" s="1" t="n">
        <v>45341.56577546296</v>
      </c>
      <c r="C599" s="1" t="n">
        <v>46147</v>
      </c>
      <c r="D599" t="inlineStr">
        <is>
          <t>ÖREBRO LÄN</t>
        </is>
      </c>
      <c r="E599" t="inlineStr">
        <is>
          <t>LINDESBERG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54249-2025</t>
        </is>
      </c>
      <c r="B600" s="1" t="n">
        <v>45964.64599537037</v>
      </c>
      <c r="C600" s="1" t="n">
        <v>46147</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54070-2025</t>
        </is>
      </c>
      <c r="B601" s="1" t="n">
        <v>45964.34680555556</v>
      </c>
      <c r="C601" s="1" t="n">
        <v>46147</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16692-2026</t>
        </is>
      </c>
      <c r="B602" s="1" t="n">
        <v>46112.82201388889</v>
      </c>
      <c r="C602" s="1" t="n">
        <v>46147</v>
      </c>
      <c r="D602" t="inlineStr">
        <is>
          <t>ÖREBRO LÄN</t>
        </is>
      </c>
      <c r="E602" t="inlineStr">
        <is>
          <t>LINDESBERG</t>
        </is>
      </c>
      <c r="G602" t="n">
        <v>4.9</v>
      </c>
      <c r="H602" t="n">
        <v>0</v>
      </c>
      <c r="I602" t="n">
        <v>0</v>
      </c>
      <c r="J602" t="n">
        <v>0</v>
      </c>
      <c r="K602" t="n">
        <v>0</v>
      </c>
      <c r="L602" t="n">
        <v>0</v>
      </c>
      <c r="M602" t="n">
        <v>0</v>
      </c>
      <c r="N602" t="n">
        <v>0</v>
      </c>
      <c r="O602" t="n">
        <v>0</v>
      </c>
      <c r="P602" t="n">
        <v>0</v>
      </c>
      <c r="Q602" t="n">
        <v>0</v>
      </c>
      <c r="R602" s="2" t="inlineStr"/>
    </row>
    <row r="603" ht="15" customHeight="1">
      <c r="A603" t="inlineStr">
        <is>
          <t>A 42410-2024</t>
        </is>
      </c>
      <c r="B603" s="1" t="n">
        <v>45565</v>
      </c>
      <c r="C603" s="1" t="n">
        <v>46147</v>
      </c>
      <c r="D603" t="inlineStr">
        <is>
          <t>ÖREBRO LÄN</t>
        </is>
      </c>
      <c r="E603" t="inlineStr">
        <is>
          <t>LINDESBERG</t>
        </is>
      </c>
      <c r="G603" t="n">
        <v>1.1</v>
      </c>
      <c r="H603" t="n">
        <v>0</v>
      </c>
      <c r="I603" t="n">
        <v>0</v>
      </c>
      <c r="J603" t="n">
        <v>0</v>
      </c>
      <c r="K603" t="n">
        <v>0</v>
      </c>
      <c r="L603" t="n">
        <v>0</v>
      </c>
      <c r="M603" t="n">
        <v>0</v>
      </c>
      <c r="N603" t="n">
        <v>0</v>
      </c>
      <c r="O603" t="n">
        <v>0</v>
      </c>
      <c r="P603" t="n">
        <v>0</v>
      </c>
      <c r="Q603" t="n">
        <v>0</v>
      </c>
      <c r="R603" s="2" t="inlineStr"/>
    </row>
    <row r="604" ht="15" customHeight="1">
      <c r="A604" t="inlineStr">
        <is>
          <t>A 54072-2025</t>
        </is>
      </c>
      <c r="B604" s="1" t="n">
        <v>45964.3550925926</v>
      </c>
      <c r="C604" s="1" t="n">
        <v>46147</v>
      </c>
      <c r="D604" t="inlineStr">
        <is>
          <t>ÖREBRO LÄN</t>
        </is>
      </c>
      <c r="E604" t="inlineStr">
        <is>
          <t>LINDESBERG</t>
        </is>
      </c>
      <c r="G604" t="n">
        <v>1.3</v>
      </c>
      <c r="H604" t="n">
        <v>0</v>
      </c>
      <c r="I604" t="n">
        <v>0</v>
      </c>
      <c r="J604" t="n">
        <v>0</v>
      </c>
      <c r="K604" t="n">
        <v>0</v>
      </c>
      <c r="L604" t="n">
        <v>0</v>
      </c>
      <c r="M604" t="n">
        <v>0</v>
      </c>
      <c r="N604" t="n">
        <v>0</v>
      </c>
      <c r="O604" t="n">
        <v>0</v>
      </c>
      <c r="P604" t="n">
        <v>0</v>
      </c>
      <c r="Q604" t="n">
        <v>0</v>
      </c>
      <c r="R604" s="2" t="inlineStr"/>
    </row>
    <row r="605" ht="15" customHeight="1">
      <c r="A605" t="inlineStr">
        <is>
          <t>A 54250-2025</t>
        </is>
      </c>
      <c r="B605" s="1" t="n">
        <v>45964.64709490741</v>
      </c>
      <c r="C605" s="1" t="n">
        <v>46147</v>
      </c>
      <c r="D605" t="inlineStr">
        <is>
          <t>ÖREBRO LÄN</t>
        </is>
      </c>
      <c r="E605" t="inlineStr">
        <is>
          <t>LINDESBERG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54251-2025</t>
        </is>
      </c>
      <c r="B606" s="1" t="n">
        <v>45964.64778935185</v>
      </c>
      <c r="C606" s="1" t="n">
        <v>46147</v>
      </c>
      <c r="D606" t="inlineStr">
        <is>
          <t>ÖREBRO LÄN</t>
        </is>
      </c>
      <c r="E606" t="inlineStr">
        <is>
          <t>LINDESBERG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9140-2025</t>
        </is>
      </c>
      <c r="B607" s="1" t="n">
        <v>45714.31533564815</v>
      </c>
      <c r="C607" s="1" t="n">
        <v>46147</v>
      </c>
      <c r="D607" t="inlineStr">
        <is>
          <t>ÖREBRO LÄN</t>
        </is>
      </c>
      <c r="E607" t="inlineStr">
        <is>
          <t>LINDESBERG</t>
        </is>
      </c>
      <c r="G607" t="n">
        <v>0.8</v>
      </c>
      <c r="H607" t="n">
        <v>0</v>
      </c>
      <c r="I607" t="n">
        <v>0</v>
      </c>
      <c r="J607" t="n">
        <v>0</v>
      </c>
      <c r="K607" t="n">
        <v>0</v>
      </c>
      <c r="L607" t="n">
        <v>0</v>
      </c>
      <c r="M607" t="n">
        <v>0</v>
      </c>
      <c r="N607" t="n">
        <v>0</v>
      </c>
      <c r="O607" t="n">
        <v>0</v>
      </c>
      <c r="P607" t="n">
        <v>0</v>
      </c>
      <c r="Q607" t="n">
        <v>0</v>
      </c>
      <c r="R607" s="2" t="inlineStr"/>
    </row>
    <row r="608" ht="15" customHeight="1">
      <c r="A608" t="inlineStr">
        <is>
          <t>A 54240-2025</t>
        </is>
      </c>
      <c r="B608" s="1" t="n">
        <v>45964.62796296296</v>
      </c>
      <c r="C608" s="1" t="n">
        <v>46147</v>
      </c>
      <c r="D608" t="inlineStr">
        <is>
          <t>ÖREBRO LÄN</t>
        </is>
      </c>
      <c r="E608" t="inlineStr">
        <is>
          <t>LINDESBERG</t>
        </is>
      </c>
      <c r="G608" t="n">
        <v>3.9</v>
      </c>
      <c r="H608" t="n">
        <v>0</v>
      </c>
      <c r="I608" t="n">
        <v>0</v>
      </c>
      <c r="J608" t="n">
        <v>0</v>
      </c>
      <c r="K608" t="n">
        <v>0</v>
      </c>
      <c r="L608" t="n">
        <v>0</v>
      </c>
      <c r="M608" t="n">
        <v>0</v>
      </c>
      <c r="N608" t="n">
        <v>0</v>
      </c>
      <c r="O608" t="n">
        <v>0</v>
      </c>
      <c r="P608" t="n">
        <v>0</v>
      </c>
      <c r="Q608" t="n">
        <v>0</v>
      </c>
      <c r="R608" s="2" t="inlineStr"/>
    </row>
    <row r="609" ht="15" customHeight="1">
      <c r="A609" t="inlineStr">
        <is>
          <t>A 16693-2026</t>
        </is>
      </c>
      <c r="B609" s="1" t="n">
        <v>46112.83422453704</v>
      </c>
      <c r="C609" s="1" t="n">
        <v>46147</v>
      </c>
      <c r="D609" t="inlineStr">
        <is>
          <t>ÖREBRO LÄN</t>
        </is>
      </c>
      <c r="E609" t="inlineStr">
        <is>
          <t>LINDESBERG</t>
        </is>
      </c>
      <c r="G609" t="n">
        <v>2.1</v>
      </c>
      <c r="H609" t="n">
        <v>0</v>
      </c>
      <c r="I609" t="n">
        <v>0</v>
      </c>
      <c r="J609" t="n">
        <v>0</v>
      </c>
      <c r="K609" t="n">
        <v>0</v>
      </c>
      <c r="L609" t="n">
        <v>0</v>
      </c>
      <c r="M609" t="n">
        <v>0</v>
      </c>
      <c r="N609" t="n">
        <v>0</v>
      </c>
      <c r="O609" t="n">
        <v>0</v>
      </c>
      <c r="P609" t="n">
        <v>0</v>
      </c>
      <c r="Q609" t="n">
        <v>0</v>
      </c>
      <c r="R609" s="2" t="inlineStr"/>
    </row>
    <row r="610" ht="15" customHeight="1">
      <c r="A610" t="inlineStr">
        <is>
          <t>A 8139-2023</t>
        </is>
      </c>
      <c r="B610" s="1" t="n">
        <v>44970</v>
      </c>
      <c r="C610" s="1" t="n">
        <v>46147</v>
      </c>
      <c r="D610" t="inlineStr">
        <is>
          <t>ÖREBRO LÄN</t>
        </is>
      </c>
      <c r="E610" t="inlineStr">
        <is>
          <t>LINDESBERG</t>
        </is>
      </c>
      <c r="G610" t="n">
        <v>3.6</v>
      </c>
      <c r="H610" t="n">
        <v>0</v>
      </c>
      <c r="I610" t="n">
        <v>0</v>
      </c>
      <c r="J610" t="n">
        <v>0</v>
      </c>
      <c r="K610" t="n">
        <v>0</v>
      </c>
      <c r="L610" t="n">
        <v>0</v>
      </c>
      <c r="M610" t="n">
        <v>0</v>
      </c>
      <c r="N610" t="n">
        <v>0</v>
      </c>
      <c r="O610" t="n">
        <v>0</v>
      </c>
      <c r="P610" t="n">
        <v>0</v>
      </c>
      <c r="Q610" t="n">
        <v>0</v>
      </c>
      <c r="R610" s="2" t="inlineStr"/>
    </row>
    <row r="611" ht="15" customHeight="1">
      <c r="A611" t="inlineStr">
        <is>
          <t>A 53168-2023</t>
        </is>
      </c>
      <c r="B611" s="1" t="n">
        <v>45229</v>
      </c>
      <c r="C611" s="1" t="n">
        <v>46147</v>
      </c>
      <c r="D611" t="inlineStr">
        <is>
          <t>ÖREBRO LÄN</t>
        </is>
      </c>
      <c r="E611" t="inlineStr">
        <is>
          <t>LINDESBERG</t>
        </is>
      </c>
      <c r="G611" t="n">
        <v>1.5</v>
      </c>
      <c r="H611" t="n">
        <v>0</v>
      </c>
      <c r="I611" t="n">
        <v>0</v>
      </c>
      <c r="J611" t="n">
        <v>0</v>
      </c>
      <c r="K611" t="n">
        <v>0</v>
      </c>
      <c r="L611" t="n">
        <v>0</v>
      </c>
      <c r="M611" t="n">
        <v>0</v>
      </c>
      <c r="N611" t="n">
        <v>0</v>
      </c>
      <c r="O611" t="n">
        <v>0</v>
      </c>
      <c r="P611" t="n">
        <v>0</v>
      </c>
      <c r="Q611" t="n">
        <v>0</v>
      </c>
      <c r="R611" s="2" t="inlineStr"/>
    </row>
    <row r="612" ht="15" customHeight="1">
      <c r="A612" t="inlineStr">
        <is>
          <t>A 55065-2025</t>
        </is>
      </c>
      <c r="B612" s="1" t="n">
        <v>45967.7096875</v>
      </c>
      <c r="C612" s="1" t="n">
        <v>46147</v>
      </c>
      <c r="D612" t="inlineStr">
        <is>
          <t>ÖREBRO LÄN</t>
        </is>
      </c>
      <c r="E612" t="inlineStr">
        <is>
          <t>LINDESBERG</t>
        </is>
      </c>
      <c r="G612" t="n">
        <v>3.5</v>
      </c>
      <c r="H612" t="n">
        <v>0</v>
      </c>
      <c r="I612" t="n">
        <v>0</v>
      </c>
      <c r="J612" t="n">
        <v>0</v>
      </c>
      <c r="K612" t="n">
        <v>0</v>
      </c>
      <c r="L612" t="n">
        <v>0</v>
      </c>
      <c r="M612" t="n">
        <v>0</v>
      </c>
      <c r="N612" t="n">
        <v>0</v>
      </c>
      <c r="O612" t="n">
        <v>0</v>
      </c>
      <c r="P612" t="n">
        <v>0</v>
      </c>
      <c r="Q612" t="n">
        <v>0</v>
      </c>
      <c r="R612" s="2" t="inlineStr"/>
    </row>
    <row r="613" ht="15" customHeight="1">
      <c r="A613" t="inlineStr">
        <is>
          <t>A 36748-2024</t>
        </is>
      </c>
      <c r="B613" s="1" t="n">
        <v>45538.34460648148</v>
      </c>
      <c r="C613" s="1" t="n">
        <v>46147</v>
      </c>
      <c r="D613" t="inlineStr">
        <is>
          <t>ÖREBRO LÄN</t>
        </is>
      </c>
      <c r="E613" t="inlineStr">
        <is>
          <t>LINDESBERG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9577-2026</t>
        </is>
      </c>
      <c r="B614" s="1" t="n">
        <v>46071.67334490741</v>
      </c>
      <c r="C614" s="1" t="n">
        <v>46147</v>
      </c>
      <c r="D614" t="inlineStr">
        <is>
          <t>ÖREBRO LÄN</t>
        </is>
      </c>
      <c r="E614" t="inlineStr">
        <is>
          <t>LINDESBERG</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55255-2025</t>
        </is>
      </c>
      <c r="B615" s="1" t="n">
        <v>45968.63695601852</v>
      </c>
      <c r="C615" s="1" t="n">
        <v>46147</v>
      </c>
      <c r="D615" t="inlineStr">
        <is>
          <t>ÖREBRO LÄN</t>
        </is>
      </c>
      <c r="E615" t="inlineStr">
        <is>
          <t>LINDESBERG</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28082-2021</t>
        </is>
      </c>
      <c r="B616" s="1" t="n">
        <v>44355</v>
      </c>
      <c r="C616" s="1" t="n">
        <v>46147</v>
      </c>
      <c r="D616" t="inlineStr">
        <is>
          <t>ÖREBRO LÄN</t>
        </is>
      </c>
      <c r="E616" t="inlineStr">
        <is>
          <t>LINDESBERG</t>
        </is>
      </c>
      <c r="F616" t="inlineStr">
        <is>
          <t>Sveaskog</t>
        </is>
      </c>
      <c r="G616" t="n">
        <v>9.9</v>
      </c>
      <c r="H616" t="n">
        <v>0</v>
      </c>
      <c r="I616" t="n">
        <v>0</v>
      </c>
      <c r="J616" t="n">
        <v>0</v>
      </c>
      <c r="K616" t="n">
        <v>0</v>
      </c>
      <c r="L616" t="n">
        <v>0</v>
      </c>
      <c r="M616" t="n">
        <v>0</v>
      </c>
      <c r="N616" t="n">
        <v>0</v>
      </c>
      <c r="O616" t="n">
        <v>0</v>
      </c>
      <c r="P616" t="n">
        <v>0</v>
      </c>
      <c r="Q616" t="n">
        <v>0</v>
      </c>
      <c r="R616" s="2" t="inlineStr"/>
    </row>
    <row r="617" ht="15" customHeight="1">
      <c r="A617" t="inlineStr">
        <is>
          <t>A 55477-2025</t>
        </is>
      </c>
      <c r="B617" s="1" t="n">
        <v>45971.56197916667</v>
      </c>
      <c r="C617" s="1" t="n">
        <v>46147</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55490-2025</t>
        </is>
      </c>
      <c r="B618" s="1" t="n">
        <v>45971.57659722222</v>
      </c>
      <c r="C618" s="1" t="n">
        <v>46147</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17162-2026</t>
        </is>
      </c>
      <c r="B619" s="1" t="n">
        <v>46115.60453703703</v>
      </c>
      <c r="C619" s="1" t="n">
        <v>46147</v>
      </c>
      <c r="D619" t="inlineStr">
        <is>
          <t>ÖREBRO LÄN</t>
        </is>
      </c>
      <c r="E619" t="inlineStr">
        <is>
          <t>LINDESBERG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64427-2021</t>
        </is>
      </c>
      <c r="B620" s="1" t="n">
        <v>44511</v>
      </c>
      <c r="C620" s="1" t="n">
        <v>46147</v>
      </c>
      <c r="D620" t="inlineStr">
        <is>
          <t>ÖREBRO LÄN</t>
        </is>
      </c>
      <c r="E620" t="inlineStr">
        <is>
          <t>LINDESBERG</t>
        </is>
      </c>
      <c r="G620" t="n">
        <v>2.2</v>
      </c>
      <c r="H620" t="n">
        <v>0</v>
      </c>
      <c r="I620" t="n">
        <v>0</v>
      </c>
      <c r="J620" t="n">
        <v>0</v>
      </c>
      <c r="K620" t="n">
        <v>0</v>
      </c>
      <c r="L620" t="n">
        <v>0</v>
      </c>
      <c r="M620" t="n">
        <v>0</v>
      </c>
      <c r="N620" t="n">
        <v>0</v>
      </c>
      <c r="O620" t="n">
        <v>0</v>
      </c>
      <c r="P620" t="n">
        <v>0</v>
      </c>
      <c r="Q620" t="n">
        <v>0</v>
      </c>
      <c r="R620" s="2" t="inlineStr"/>
    </row>
    <row r="621" ht="15" customHeight="1">
      <c r="A621" t="inlineStr">
        <is>
          <t>A 17154-2026</t>
        </is>
      </c>
      <c r="B621" s="1" t="n">
        <v>46115.49298611111</v>
      </c>
      <c r="C621" s="1" t="n">
        <v>46147</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17157-2026</t>
        </is>
      </c>
      <c r="B622" s="1" t="n">
        <v>46115.52068287037</v>
      </c>
      <c r="C622" s="1" t="n">
        <v>46147</v>
      </c>
      <c r="D622" t="inlineStr">
        <is>
          <t>ÖREBRO LÄN</t>
        </is>
      </c>
      <c r="E622" t="inlineStr">
        <is>
          <t>LINDESBERG</t>
        </is>
      </c>
      <c r="G622" t="n">
        <v>1.2</v>
      </c>
      <c r="H622" t="n">
        <v>0</v>
      </c>
      <c r="I622" t="n">
        <v>0</v>
      </c>
      <c r="J622" t="n">
        <v>0</v>
      </c>
      <c r="K622" t="n">
        <v>0</v>
      </c>
      <c r="L622" t="n">
        <v>0</v>
      </c>
      <c r="M622" t="n">
        <v>0</v>
      </c>
      <c r="N622" t="n">
        <v>0</v>
      </c>
      <c r="O622" t="n">
        <v>0</v>
      </c>
      <c r="P622" t="n">
        <v>0</v>
      </c>
      <c r="Q622" t="n">
        <v>0</v>
      </c>
      <c r="R622" s="2" t="inlineStr"/>
    </row>
    <row r="623" ht="15" customHeight="1">
      <c r="A623" t="inlineStr">
        <is>
          <t>A 17159-2026</t>
        </is>
      </c>
      <c r="B623" s="1" t="n">
        <v>46115.57298611111</v>
      </c>
      <c r="C623" s="1" t="n">
        <v>46147</v>
      </c>
      <c r="D623" t="inlineStr">
        <is>
          <t>ÖREBRO LÄN</t>
        </is>
      </c>
      <c r="E623" t="inlineStr">
        <is>
          <t>LINDESBERG</t>
        </is>
      </c>
      <c r="G623" t="n">
        <v>1.5</v>
      </c>
      <c r="H623" t="n">
        <v>0</v>
      </c>
      <c r="I623" t="n">
        <v>0</v>
      </c>
      <c r="J623" t="n">
        <v>0</v>
      </c>
      <c r="K623" t="n">
        <v>0</v>
      </c>
      <c r="L623" t="n">
        <v>0</v>
      </c>
      <c r="M623" t="n">
        <v>0</v>
      </c>
      <c r="N623" t="n">
        <v>0</v>
      </c>
      <c r="O623" t="n">
        <v>0</v>
      </c>
      <c r="P623" t="n">
        <v>0</v>
      </c>
      <c r="Q623" t="n">
        <v>0</v>
      </c>
      <c r="R623" s="2" t="inlineStr"/>
    </row>
    <row r="624" ht="15" customHeight="1">
      <c r="A624" t="inlineStr">
        <is>
          <t>A 17010-2026</t>
        </is>
      </c>
      <c r="B624" s="1" t="n">
        <v>46114</v>
      </c>
      <c r="C624" s="1" t="n">
        <v>46147</v>
      </c>
      <c r="D624" t="inlineStr">
        <is>
          <t>ÖREBRO LÄN</t>
        </is>
      </c>
      <c r="E624" t="inlineStr">
        <is>
          <t>LINDESBERG</t>
        </is>
      </c>
      <c r="G624" t="n">
        <v>3.7</v>
      </c>
      <c r="H624" t="n">
        <v>0</v>
      </c>
      <c r="I624" t="n">
        <v>0</v>
      </c>
      <c r="J624" t="n">
        <v>0</v>
      </c>
      <c r="K624" t="n">
        <v>0</v>
      </c>
      <c r="L624" t="n">
        <v>0</v>
      </c>
      <c r="M624" t="n">
        <v>0</v>
      </c>
      <c r="N624" t="n">
        <v>0</v>
      </c>
      <c r="O624" t="n">
        <v>0</v>
      </c>
      <c r="P624" t="n">
        <v>0</v>
      </c>
      <c r="Q624" t="n">
        <v>0</v>
      </c>
      <c r="R624" s="2" t="inlineStr"/>
    </row>
    <row r="625" ht="15" customHeight="1">
      <c r="A625" t="inlineStr">
        <is>
          <t>A 17153-2026</t>
        </is>
      </c>
      <c r="B625" s="1" t="n">
        <v>46115.4727199074</v>
      </c>
      <c r="C625" s="1" t="n">
        <v>46147</v>
      </c>
      <c r="D625" t="inlineStr">
        <is>
          <t>ÖREBRO LÄN</t>
        </is>
      </c>
      <c r="E625" t="inlineStr">
        <is>
          <t>LINDESBERG</t>
        </is>
      </c>
      <c r="G625" t="n">
        <v>5.6</v>
      </c>
      <c r="H625" t="n">
        <v>0</v>
      </c>
      <c r="I625" t="n">
        <v>0</v>
      </c>
      <c r="J625" t="n">
        <v>0</v>
      </c>
      <c r="K625" t="n">
        <v>0</v>
      </c>
      <c r="L625" t="n">
        <v>0</v>
      </c>
      <c r="M625" t="n">
        <v>0</v>
      </c>
      <c r="N625" t="n">
        <v>0</v>
      </c>
      <c r="O625" t="n">
        <v>0</v>
      </c>
      <c r="P625" t="n">
        <v>0</v>
      </c>
      <c r="Q625" t="n">
        <v>0</v>
      </c>
      <c r="R625" s="2" t="inlineStr"/>
    </row>
    <row r="626" ht="15" customHeight="1">
      <c r="A626" t="inlineStr">
        <is>
          <t>A 17156-2026</t>
        </is>
      </c>
      <c r="B626" s="1" t="n">
        <v>46115.51194444444</v>
      </c>
      <c r="C626" s="1" t="n">
        <v>46147</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17161-2026</t>
        </is>
      </c>
      <c r="B627" s="1" t="n">
        <v>46115.59534722222</v>
      </c>
      <c r="C627" s="1" t="n">
        <v>46147</v>
      </c>
      <c r="D627" t="inlineStr">
        <is>
          <t>ÖREBRO LÄN</t>
        </is>
      </c>
      <c r="E627" t="inlineStr">
        <is>
          <t>LINDESBERG</t>
        </is>
      </c>
      <c r="G627" t="n">
        <v>3.3</v>
      </c>
      <c r="H627" t="n">
        <v>0</v>
      </c>
      <c r="I627" t="n">
        <v>0</v>
      </c>
      <c r="J627" t="n">
        <v>0</v>
      </c>
      <c r="K627" t="n">
        <v>0</v>
      </c>
      <c r="L627" t="n">
        <v>0</v>
      </c>
      <c r="M627" t="n">
        <v>0</v>
      </c>
      <c r="N627" t="n">
        <v>0</v>
      </c>
      <c r="O627" t="n">
        <v>0</v>
      </c>
      <c r="P627" t="n">
        <v>0</v>
      </c>
      <c r="Q627" t="n">
        <v>0</v>
      </c>
      <c r="R627" s="2" t="inlineStr"/>
    </row>
    <row r="628" ht="15" customHeight="1">
      <c r="A628" t="inlineStr">
        <is>
          <t>A 17155-2026</t>
        </is>
      </c>
      <c r="B628" s="1" t="n">
        <v>46115.50295138889</v>
      </c>
      <c r="C628" s="1" t="n">
        <v>46147</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17158-2026</t>
        </is>
      </c>
      <c r="B629" s="1" t="n">
        <v>46115.55826388889</v>
      </c>
      <c r="C629" s="1" t="n">
        <v>46147</v>
      </c>
      <c r="D629" t="inlineStr">
        <is>
          <t>ÖREBRO LÄN</t>
        </is>
      </c>
      <c r="E629" t="inlineStr">
        <is>
          <t>LINDESBERG</t>
        </is>
      </c>
      <c r="G629" t="n">
        <v>7.8</v>
      </c>
      <c r="H629" t="n">
        <v>0</v>
      </c>
      <c r="I629" t="n">
        <v>0</v>
      </c>
      <c r="J629" t="n">
        <v>0</v>
      </c>
      <c r="K629" t="n">
        <v>0</v>
      </c>
      <c r="L629" t="n">
        <v>0</v>
      </c>
      <c r="M629" t="n">
        <v>0</v>
      </c>
      <c r="N629" t="n">
        <v>0</v>
      </c>
      <c r="O629" t="n">
        <v>0</v>
      </c>
      <c r="P629" t="n">
        <v>0</v>
      </c>
      <c r="Q629" t="n">
        <v>0</v>
      </c>
      <c r="R629" s="2" t="inlineStr"/>
    </row>
    <row r="630" ht="15" customHeight="1">
      <c r="A630" t="inlineStr">
        <is>
          <t>A 47620-2023</t>
        </is>
      </c>
      <c r="B630" s="1" t="n">
        <v>45203.510625</v>
      </c>
      <c r="C630" s="1" t="n">
        <v>46147</v>
      </c>
      <c r="D630" t="inlineStr">
        <is>
          <t>ÖREBRO LÄN</t>
        </is>
      </c>
      <c r="E630" t="inlineStr">
        <is>
          <t>LINDESBERG</t>
        </is>
      </c>
      <c r="G630" t="n">
        <v>2.7</v>
      </c>
      <c r="H630" t="n">
        <v>0</v>
      </c>
      <c r="I630" t="n">
        <v>0</v>
      </c>
      <c r="J630" t="n">
        <v>0</v>
      </c>
      <c r="K630" t="n">
        <v>0</v>
      </c>
      <c r="L630" t="n">
        <v>0</v>
      </c>
      <c r="M630" t="n">
        <v>0</v>
      </c>
      <c r="N630" t="n">
        <v>0</v>
      </c>
      <c r="O630" t="n">
        <v>0</v>
      </c>
      <c r="P630" t="n">
        <v>0</v>
      </c>
      <c r="Q630" t="n">
        <v>0</v>
      </c>
      <c r="R630" s="2" t="inlineStr"/>
    </row>
    <row r="631" ht="15" customHeight="1">
      <c r="A631" t="inlineStr">
        <is>
          <t>A 53352-2023</t>
        </is>
      </c>
      <c r="B631" s="1" t="n">
        <v>45229.66262731481</v>
      </c>
      <c r="C631" s="1" t="n">
        <v>46147</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17013-2026</t>
        </is>
      </c>
      <c r="B632" s="1" t="n">
        <v>46114</v>
      </c>
      <c r="C632" s="1" t="n">
        <v>46147</v>
      </c>
      <c r="D632" t="inlineStr">
        <is>
          <t>ÖREBRO LÄN</t>
        </is>
      </c>
      <c r="E632" t="inlineStr">
        <is>
          <t>LINDESBERG</t>
        </is>
      </c>
      <c r="G632" t="n">
        <v>1.3</v>
      </c>
      <c r="H632" t="n">
        <v>0</v>
      </c>
      <c r="I632" t="n">
        <v>0</v>
      </c>
      <c r="J632" t="n">
        <v>0</v>
      </c>
      <c r="K632" t="n">
        <v>0</v>
      </c>
      <c r="L632" t="n">
        <v>0</v>
      </c>
      <c r="M632" t="n">
        <v>0</v>
      </c>
      <c r="N632" t="n">
        <v>0</v>
      </c>
      <c r="O632" t="n">
        <v>0</v>
      </c>
      <c r="P632" t="n">
        <v>0</v>
      </c>
      <c r="Q632" t="n">
        <v>0</v>
      </c>
      <c r="R632" s="2" t="inlineStr"/>
    </row>
    <row r="633" ht="15" customHeight="1">
      <c r="A633" t="inlineStr">
        <is>
          <t>A 6727-2022</t>
        </is>
      </c>
      <c r="B633" s="1" t="n">
        <v>44602.45490740741</v>
      </c>
      <c r="C633" s="1" t="n">
        <v>46147</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56306-2025</t>
        </is>
      </c>
      <c r="B634" s="1" t="n">
        <v>45974.61217592593</v>
      </c>
      <c r="C634" s="1" t="n">
        <v>46147</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56308-2025</t>
        </is>
      </c>
      <c r="B635" s="1" t="n">
        <v>45974.61344907407</v>
      </c>
      <c r="C635" s="1" t="n">
        <v>46147</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56232-2025</t>
        </is>
      </c>
      <c r="B636" s="1" t="n">
        <v>45974.53239583333</v>
      </c>
      <c r="C636" s="1" t="n">
        <v>46147</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44803-2024</t>
        </is>
      </c>
      <c r="B637" s="1" t="n">
        <v>45574.65087962963</v>
      </c>
      <c r="C637" s="1" t="n">
        <v>46147</v>
      </c>
      <c r="D637" t="inlineStr">
        <is>
          <t>ÖREBRO LÄN</t>
        </is>
      </c>
      <c r="E637" t="inlineStr">
        <is>
          <t>LINDESBERG</t>
        </is>
      </c>
      <c r="F637" t="inlineStr">
        <is>
          <t>Sveaskog</t>
        </is>
      </c>
      <c r="G637" t="n">
        <v>6.8</v>
      </c>
      <c r="H637" t="n">
        <v>0</v>
      </c>
      <c r="I637" t="n">
        <v>0</v>
      </c>
      <c r="J637" t="n">
        <v>0</v>
      </c>
      <c r="K637" t="n">
        <v>0</v>
      </c>
      <c r="L637" t="n">
        <v>0</v>
      </c>
      <c r="M637" t="n">
        <v>0</v>
      </c>
      <c r="N637" t="n">
        <v>0</v>
      </c>
      <c r="O637" t="n">
        <v>0</v>
      </c>
      <c r="P637" t="n">
        <v>0</v>
      </c>
      <c r="Q637" t="n">
        <v>0</v>
      </c>
      <c r="R637" s="2" t="inlineStr"/>
    </row>
    <row r="638" ht="15" customHeight="1">
      <c r="A638" t="inlineStr">
        <is>
          <t>A 25012-2023</t>
        </is>
      </c>
      <c r="B638" s="1" t="n">
        <v>45085</v>
      </c>
      <c r="C638" s="1" t="n">
        <v>46147</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56226-2025</t>
        </is>
      </c>
      <c r="B639" s="1" t="n">
        <v>45974.51283564815</v>
      </c>
      <c r="C639" s="1" t="n">
        <v>46147</v>
      </c>
      <c r="D639" t="inlineStr">
        <is>
          <t>ÖREBRO LÄN</t>
        </is>
      </c>
      <c r="E639" t="inlineStr">
        <is>
          <t>LINDESBERG</t>
        </is>
      </c>
      <c r="G639" t="n">
        <v>1.8</v>
      </c>
      <c r="H639" t="n">
        <v>0</v>
      </c>
      <c r="I639" t="n">
        <v>0</v>
      </c>
      <c r="J639" t="n">
        <v>0</v>
      </c>
      <c r="K639" t="n">
        <v>0</v>
      </c>
      <c r="L639" t="n">
        <v>0</v>
      </c>
      <c r="M639" t="n">
        <v>0</v>
      </c>
      <c r="N639" t="n">
        <v>0</v>
      </c>
      <c r="O639" t="n">
        <v>0</v>
      </c>
      <c r="P639" t="n">
        <v>0</v>
      </c>
      <c r="Q639" t="n">
        <v>0</v>
      </c>
      <c r="R639" s="2" t="inlineStr"/>
    </row>
    <row r="640" ht="15" customHeight="1">
      <c r="A640" t="inlineStr">
        <is>
          <t>A 13969-2025</t>
        </is>
      </c>
      <c r="B640" s="1" t="n">
        <v>45738.43714120371</v>
      </c>
      <c r="C640" s="1" t="n">
        <v>46147</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56982-2025</t>
        </is>
      </c>
      <c r="B641" s="1" t="n">
        <v>45978.71075231482</v>
      </c>
      <c r="C641" s="1" t="n">
        <v>46147</v>
      </c>
      <c r="D641" t="inlineStr">
        <is>
          <t>ÖREBRO LÄN</t>
        </is>
      </c>
      <c r="E641" t="inlineStr">
        <is>
          <t>LINDESBERG</t>
        </is>
      </c>
      <c r="G641" t="n">
        <v>4.3</v>
      </c>
      <c r="H641" t="n">
        <v>0</v>
      </c>
      <c r="I641" t="n">
        <v>0</v>
      </c>
      <c r="J641" t="n">
        <v>0</v>
      </c>
      <c r="K641" t="n">
        <v>0</v>
      </c>
      <c r="L641" t="n">
        <v>0</v>
      </c>
      <c r="M641" t="n">
        <v>0</v>
      </c>
      <c r="N641" t="n">
        <v>0</v>
      </c>
      <c r="O641" t="n">
        <v>0</v>
      </c>
      <c r="P641" t="n">
        <v>0</v>
      </c>
      <c r="Q641" t="n">
        <v>0</v>
      </c>
      <c r="R641" s="2" t="inlineStr"/>
    </row>
    <row r="642" ht="15" customHeight="1">
      <c r="A642" t="inlineStr">
        <is>
          <t>A 17663-2026</t>
        </is>
      </c>
      <c r="B642" s="1" t="n">
        <v>46121.57420138889</v>
      </c>
      <c r="C642" s="1" t="n">
        <v>46147</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53366-2023</t>
        </is>
      </c>
      <c r="B643" s="1" t="n">
        <v>45229</v>
      </c>
      <c r="C643" s="1" t="n">
        <v>46147</v>
      </c>
      <c r="D643" t="inlineStr">
        <is>
          <t>ÖREBRO LÄN</t>
        </is>
      </c>
      <c r="E643" t="inlineStr">
        <is>
          <t>LINDESBERG</t>
        </is>
      </c>
      <c r="G643" t="n">
        <v>1.9</v>
      </c>
      <c r="H643" t="n">
        <v>0</v>
      </c>
      <c r="I643" t="n">
        <v>0</v>
      </c>
      <c r="J643" t="n">
        <v>0</v>
      </c>
      <c r="K643" t="n">
        <v>0</v>
      </c>
      <c r="L643" t="n">
        <v>0</v>
      </c>
      <c r="M643" t="n">
        <v>0</v>
      </c>
      <c r="N643" t="n">
        <v>0</v>
      </c>
      <c r="O643" t="n">
        <v>0</v>
      </c>
      <c r="P643" t="n">
        <v>0</v>
      </c>
      <c r="Q643" t="n">
        <v>0</v>
      </c>
      <c r="R643" s="2" t="inlineStr"/>
    </row>
    <row r="644" ht="15" customHeight="1">
      <c r="A644" t="inlineStr">
        <is>
          <t>A 57299-2025</t>
        </is>
      </c>
      <c r="B644" s="1" t="n">
        <v>45979.81347222222</v>
      </c>
      <c r="C644" s="1" t="n">
        <v>46147</v>
      </c>
      <c r="D644" t="inlineStr">
        <is>
          <t>ÖREBRO LÄN</t>
        </is>
      </c>
      <c r="E644" t="inlineStr">
        <is>
          <t>LINDESBERG</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57317-2025</t>
        </is>
      </c>
      <c r="B645" s="1" t="n">
        <v>45980.01226851852</v>
      </c>
      <c r="C645" s="1" t="n">
        <v>46147</v>
      </c>
      <c r="D645" t="inlineStr">
        <is>
          <t>ÖREBRO LÄN</t>
        </is>
      </c>
      <c r="E645" t="inlineStr">
        <is>
          <t>LINDESBERG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42430-2024</t>
        </is>
      </c>
      <c r="B646" s="1" t="n">
        <v>45565.40700231482</v>
      </c>
      <c r="C646" s="1" t="n">
        <v>46147</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57300-2025</t>
        </is>
      </c>
      <c r="B647" s="1" t="n">
        <v>45979.81403935186</v>
      </c>
      <c r="C647" s="1" t="n">
        <v>46147</v>
      </c>
      <c r="D647" t="inlineStr">
        <is>
          <t>ÖREBRO LÄN</t>
        </is>
      </c>
      <c r="E647" t="inlineStr">
        <is>
          <t>LINDESBERG</t>
        </is>
      </c>
      <c r="F647" t="inlineStr">
        <is>
          <t>Sveaskog</t>
        </is>
      </c>
      <c r="G647" t="n">
        <v>4.9</v>
      </c>
      <c r="H647" t="n">
        <v>0</v>
      </c>
      <c r="I647" t="n">
        <v>0</v>
      </c>
      <c r="J647" t="n">
        <v>0</v>
      </c>
      <c r="K647" t="n">
        <v>0</v>
      </c>
      <c r="L647" t="n">
        <v>0</v>
      </c>
      <c r="M647" t="n">
        <v>0</v>
      </c>
      <c r="N647" t="n">
        <v>0</v>
      </c>
      <c r="O647" t="n">
        <v>0</v>
      </c>
      <c r="P647" t="n">
        <v>0</v>
      </c>
      <c r="Q647" t="n">
        <v>0</v>
      </c>
      <c r="R647" s="2" t="inlineStr"/>
    </row>
    <row r="648" ht="15" customHeight="1">
      <c r="A648" t="inlineStr">
        <is>
          <t>A 57359-2025</t>
        </is>
      </c>
      <c r="B648" s="1" t="n">
        <v>45980.36866898148</v>
      </c>
      <c r="C648" s="1" t="n">
        <v>46147</v>
      </c>
      <c r="D648" t="inlineStr">
        <is>
          <t>ÖREBRO LÄN</t>
        </is>
      </c>
      <c r="E648" t="inlineStr">
        <is>
          <t>LINDESBERG</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57361-2025</t>
        </is>
      </c>
      <c r="B649" s="1" t="n">
        <v>45980.36988425926</v>
      </c>
      <c r="C649" s="1" t="n">
        <v>46147</v>
      </c>
      <c r="D649" t="inlineStr">
        <is>
          <t>ÖREBRO LÄN</t>
        </is>
      </c>
      <c r="E649" t="inlineStr">
        <is>
          <t>LINDESBERG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36754-2024</t>
        </is>
      </c>
      <c r="B650" s="1" t="n">
        <v>45538.34796296297</v>
      </c>
      <c r="C650" s="1" t="n">
        <v>46147</v>
      </c>
      <c r="D650" t="inlineStr">
        <is>
          <t>ÖREBRO LÄN</t>
        </is>
      </c>
      <c r="E650" t="inlineStr">
        <is>
          <t>LINDESBERG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57313-2025</t>
        </is>
      </c>
      <c r="B651" s="1" t="n">
        <v>45979.97458333334</v>
      </c>
      <c r="C651" s="1" t="n">
        <v>46147</v>
      </c>
      <c r="D651" t="inlineStr">
        <is>
          <t>ÖREBRO LÄN</t>
        </is>
      </c>
      <c r="E651" t="inlineStr">
        <is>
          <t>LINDESBERG</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57314-2025</t>
        </is>
      </c>
      <c r="B652" s="1" t="n">
        <v>45980.00710648148</v>
      </c>
      <c r="C652" s="1" t="n">
        <v>46147</v>
      </c>
      <c r="D652" t="inlineStr">
        <is>
          <t>ÖREBRO LÄN</t>
        </is>
      </c>
      <c r="E652" t="inlineStr">
        <is>
          <t>LINDESBERG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57315-2025</t>
        </is>
      </c>
      <c r="B653" s="1" t="n">
        <v>45980.00753472222</v>
      </c>
      <c r="C653" s="1" t="n">
        <v>46147</v>
      </c>
      <c r="D653" t="inlineStr">
        <is>
          <t>ÖREBRO LÄN</t>
        </is>
      </c>
      <c r="E653" t="inlineStr">
        <is>
          <t>LINDESBERG</t>
        </is>
      </c>
      <c r="F653" t="inlineStr">
        <is>
          <t>Sveaskog</t>
        </is>
      </c>
      <c r="G653" t="n">
        <v>2.5</v>
      </c>
      <c r="H653" t="n">
        <v>0</v>
      </c>
      <c r="I653" t="n">
        <v>0</v>
      </c>
      <c r="J653" t="n">
        <v>0</v>
      </c>
      <c r="K653" t="n">
        <v>0</v>
      </c>
      <c r="L653" t="n">
        <v>0</v>
      </c>
      <c r="M653" t="n">
        <v>0</v>
      </c>
      <c r="N653" t="n">
        <v>0</v>
      </c>
      <c r="O653" t="n">
        <v>0</v>
      </c>
      <c r="P653" t="n">
        <v>0</v>
      </c>
      <c r="Q653" t="n">
        <v>0</v>
      </c>
      <c r="R653" s="2" t="inlineStr"/>
    </row>
    <row r="654" ht="15" customHeight="1">
      <c r="A654" t="inlineStr">
        <is>
          <t>A 57316-2025</t>
        </is>
      </c>
      <c r="B654" s="1" t="n">
        <v>45980.0115625</v>
      </c>
      <c r="C654" s="1" t="n">
        <v>46147</v>
      </c>
      <c r="D654" t="inlineStr">
        <is>
          <t>ÖREBRO LÄN</t>
        </is>
      </c>
      <c r="E654" t="inlineStr">
        <is>
          <t>LINDESBERG</t>
        </is>
      </c>
      <c r="F654" t="inlineStr">
        <is>
          <t>Sveaskog</t>
        </is>
      </c>
      <c r="G654" t="n">
        <v>6.5</v>
      </c>
      <c r="H654" t="n">
        <v>0</v>
      </c>
      <c r="I654" t="n">
        <v>0</v>
      </c>
      <c r="J654" t="n">
        <v>0</v>
      </c>
      <c r="K654" t="n">
        <v>0</v>
      </c>
      <c r="L654" t="n">
        <v>0</v>
      </c>
      <c r="M654" t="n">
        <v>0</v>
      </c>
      <c r="N654" t="n">
        <v>0</v>
      </c>
      <c r="O654" t="n">
        <v>0</v>
      </c>
      <c r="P654" t="n">
        <v>0</v>
      </c>
      <c r="Q654" t="n">
        <v>0</v>
      </c>
      <c r="R654" s="2" t="inlineStr"/>
    </row>
    <row r="655" ht="15" customHeight="1">
      <c r="A655" t="inlineStr">
        <is>
          <t>A 57320-2025</t>
        </is>
      </c>
      <c r="B655" s="1" t="n">
        <v>45980.01553240741</v>
      </c>
      <c r="C655" s="1" t="n">
        <v>46147</v>
      </c>
      <c r="D655" t="inlineStr">
        <is>
          <t>ÖREBRO LÄN</t>
        </is>
      </c>
      <c r="E655" t="inlineStr">
        <is>
          <t>LINDESBERG</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57363-2025</t>
        </is>
      </c>
      <c r="B656" s="1" t="n">
        <v>45980.3716087963</v>
      </c>
      <c r="C656" s="1" t="n">
        <v>46147</v>
      </c>
      <c r="D656" t="inlineStr">
        <is>
          <t>ÖREBRO LÄN</t>
        </is>
      </c>
      <c r="E656" t="inlineStr">
        <is>
          <t>LINDESBERG</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57356-2025</t>
        </is>
      </c>
      <c r="B657" s="1" t="n">
        <v>45980.36633101852</v>
      </c>
      <c r="C657" s="1" t="n">
        <v>46147</v>
      </c>
      <c r="D657" t="inlineStr">
        <is>
          <t>ÖREBRO LÄN</t>
        </is>
      </c>
      <c r="E657" t="inlineStr">
        <is>
          <t>LINDESBERG</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57358-2025</t>
        </is>
      </c>
      <c r="B658" s="1" t="n">
        <v>45980.36679398148</v>
      </c>
      <c r="C658" s="1" t="n">
        <v>46147</v>
      </c>
      <c r="D658" t="inlineStr">
        <is>
          <t>ÖREBRO LÄN</t>
        </is>
      </c>
      <c r="E658" t="inlineStr">
        <is>
          <t>LINDESBERG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1354-2024</t>
        </is>
      </c>
      <c r="B659" s="1" t="n">
        <v>45303</v>
      </c>
      <c r="C659" s="1" t="n">
        <v>46147</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27001-2024</t>
        </is>
      </c>
      <c r="B660" s="1" t="n">
        <v>45471.38995370371</v>
      </c>
      <c r="C660" s="1" t="n">
        <v>46147</v>
      </c>
      <c r="D660" t="inlineStr">
        <is>
          <t>ÖREBRO LÄN</t>
        </is>
      </c>
      <c r="E660" t="inlineStr">
        <is>
          <t>LINDESBERG</t>
        </is>
      </c>
      <c r="G660" t="n">
        <v>2.8</v>
      </c>
      <c r="H660" t="n">
        <v>0</v>
      </c>
      <c r="I660" t="n">
        <v>0</v>
      </c>
      <c r="J660" t="n">
        <v>0</v>
      </c>
      <c r="K660" t="n">
        <v>0</v>
      </c>
      <c r="L660" t="n">
        <v>0</v>
      </c>
      <c r="M660" t="n">
        <v>0</v>
      </c>
      <c r="N660" t="n">
        <v>0</v>
      </c>
      <c r="O660" t="n">
        <v>0</v>
      </c>
      <c r="P660" t="n">
        <v>0</v>
      </c>
      <c r="Q660" t="n">
        <v>0</v>
      </c>
      <c r="R660" s="2" t="inlineStr"/>
    </row>
    <row r="661" ht="15" customHeight="1">
      <c r="A661" t="inlineStr">
        <is>
          <t>A 26067-2022</t>
        </is>
      </c>
      <c r="B661" s="1" t="n">
        <v>44734.64337962963</v>
      </c>
      <c r="C661" s="1" t="n">
        <v>46147</v>
      </c>
      <c r="D661" t="inlineStr">
        <is>
          <t>ÖREBRO LÄN</t>
        </is>
      </c>
      <c r="E661" t="inlineStr">
        <is>
          <t>LINDESBERG</t>
        </is>
      </c>
      <c r="G661" t="n">
        <v>3.1</v>
      </c>
      <c r="H661" t="n">
        <v>0</v>
      </c>
      <c r="I661" t="n">
        <v>0</v>
      </c>
      <c r="J661" t="n">
        <v>0</v>
      </c>
      <c r="K661" t="n">
        <v>0</v>
      </c>
      <c r="L661" t="n">
        <v>0</v>
      </c>
      <c r="M661" t="n">
        <v>0</v>
      </c>
      <c r="N661" t="n">
        <v>0</v>
      </c>
      <c r="O661" t="n">
        <v>0</v>
      </c>
      <c r="P661" t="n">
        <v>0</v>
      </c>
      <c r="Q661" t="n">
        <v>0</v>
      </c>
      <c r="R661" s="2" t="inlineStr"/>
    </row>
    <row r="662" ht="15" customHeight="1">
      <c r="A662" t="inlineStr">
        <is>
          <t>A 59395-2022</t>
        </is>
      </c>
      <c r="B662" s="1" t="n">
        <v>44906.73321759259</v>
      </c>
      <c r="C662" s="1" t="n">
        <v>46147</v>
      </c>
      <c r="D662" t="inlineStr">
        <is>
          <t>ÖREBRO LÄN</t>
        </is>
      </c>
      <c r="E662" t="inlineStr">
        <is>
          <t>LINDESBERG</t>
        </is>
      </c>
      <c r="G662" t="n">
        <v>4.3</v>
      </c>
      <c r="H662" t="n">
        <v>0</v>
      </c>
      <c r="I662" t="n">
        <v>0</v>
      </c>
      <c r="J662" t="n">
        <v>0</v>
      </c>
      <c r="K662" t="n">
        <v>0</v>
      </c>
      <c r="L662" t="n">
        <v>0</v>
      </c>
      <c r="M662" t="n">
        <v>0</v>
      </c>
      <c r="N662" t="n">
        <v>0</v>
      </c>
      <c r="O662" t="n">
        <v>0</v>
      </c>
      <c r="P662" t="n">
        <v>0</v>
      </c>
      <c r="Q662" t="n">
        <v>0</v>
      </c>
      <c r="R662" s="2" t="inlineStr"/>
    </row>
    <row r="663" ht="15" customHeight="1">
      <c r="A663" t="inlineStr">
        <is>
          <t>A 58166-2025</t>
        </is>
      </c>
      <c r="B663" s="1" t="n">
        <v>45982.71017361111</v>
      </c>
      <c r="C663" s="1" t="n">
        <v>46147</v>
      </c>
      <c r="D663" t="inlineStr">
        <is>
          <t>ÖREBRO LÄN</t>
        </is>
      </c>
      <c r="E663" t="inlineStr">
        <is>
          <t>LINDESBERG</t>
        </is>
      </c>
      <c r="G663" t="n">
        <v>2.5</v>
      </c>
      <c r="H663" t="n">
        <v>0</v>
      </c>
      <c r="I663" t="n">
        <v>0</v>
      </c>
      <c r="J663" t="n">
        <v>0</v>
      </c>
      <c r="K663" t="n">
        <v>0</v>
      </c>
      <c r="L663" t="n">
        <v>0</v>
      </c>
      <c r="M663" t="n">
        <v>0</v>
      </c>
      <c r="N663" t="n">
        <v>0</v>
      </c>
      <c r="O663" t="n">
        <v>0</v>
      </c>
      <c r="P663" t="n">
        <v>0</v>
      </c>
      <c r="Q663" t="n">
        <v>0</v>
      </c>
      <c r="R663" s="2" t="inlineStr"/>
    </row>
    <row r="664" ht="15" customHeight="1">
      <c r="A664" t="inlineStr">
        <is>
          <t>A 19043-2023</t>
        </is>
      </c>
      <c r="B664" s="1" t="n">
        <v>45047.7181712963</v>
      </c>
      <c r="C664" s="1" t="n">
        <v>46147</v>
      </c>
      <c r="D664" t="inlineStr">
        <is>
          <t>ÖREBRO LÄN</t>
        </is>
      </c>
      <c r="E664" t="inlineStr">
        <is>
          <t>LINDESBERG</t>
        </is>
      </c>
      <c r="G664" t="n">
        <v>2.6</v>
      </c>
      <c r="H664" t="n">
        <v>0</v>
      </c>
      <c r="I664" t="n">
        <v>0</v>
      </c>
      <c r="J664" t="n">
        <v>0</v>
      </c>
      <c r="K664" t="n">
        <v>0</v>
      </c>
      <c r="L664" t="n">
        <v>0</v>
      </c>
      <c r="M664" t="n">
        <v>0</v>
      </c>
      <c r="N664" t="n">
        <v>0</v>
      </c>
      <c r="O664" t="n">
        <v>0</v>
      </c>
      <c r="P664" t="n">
        <v>0</v>
      </c>
      <c r="Q664" t="n">
        <v>0</v>
      </c>
      <c r="R664" s="2" t="inlineStr"/>
    </row>
    <row r="665" ht="15" customHeight="1">
      <c r="A665" t="inlineStr">
        <is>
          <t>A 41343-2021</t>
        </is>
      </c>
      <c r="B665" s="1" t="n">
        <v>44424.61709490741</v>
      </c>
      <c r="C665" s="1" t="n">
        <v>46147</v>
      </c>
      <c r="D665" t="inlineStr">
        <is>
          <t>ÖREBRO LÄN</t>
        </is>
      </c>
      <c r="E665" t="inlineStr">
        <is>
          <t>LINDESBERG</t>
        </is>
      </c>
      <c r="G665" t="n">
        <v>8.9</v>
      </c>
      <c r="H665" t="n">
        <v>0</v>
      </c>
      <c r="I665" t="n">
        <v>0</v>
      </c>
      <c r="J665" t="n">
        <v>0</v>
      </c>
      <c r="K665" t="n">
        <v>0</v>
      </c>
      <c r="L665" t="n">
        <v>0</v>
      </c>
      <c r="M665" t="n">
        <v>0</v>
      </c>
      <c r="N665" t="n">
        <v>0</v>
      </c>
      <c r="O665" t="n">
        <v>0</v>
      </c>
      <c r="P665" t="n">
        <v>0</v>
      </c>
      <c r="Q665" t="n">
        <v>0</v>
      </c>
      <c r="R665" s="2" t="inlineStr"/>
    </row>
    <row r="666" ht="15" customHeight="1">
      <c r="A666" t="inlineStr">
        <is>
          <t>A 58963-2025</t>
        </is>
      </c>
      <c r="B666" s="1" t="n">
        <v>45987.60012731481</v>
      </c>
      <c r="C666" s="1" t="n">
        <v>46147</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43416-2024</t>
        </is>
      </c>
      <c r="B667" s="1" t="n">
        <v>45568.62625</v>
      </c>
      <c r="C667" s="1" t="n">
        <v>46147</v>
      </c>
      <c r="D667" t="inlineStr">
        <is>
          <t>ÖREBRO LÄN</t>
        </is>
      </c>
      <c r="E667" t="inlineStr">
        <is>
          <t>LINDESBERG</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10654-2023</t>
        </is>
      </c>
      <c r="B668" s="1" t="n">
        <v>44984</v>
      </c>
      <c r="C668" s="1" t="n">
        <v>46147</v>
      </c>
      <c r="D668" t="inlineStr">
        <is>
          <t>ÖREBRO LÄN</t>
        </is>
      </c>
      <c r="E668" t="inlineStr">
        <is>
          <t>LINDESBERG</t>
        </is>
      </c>
      <c r="G668" t="n">
        <v>1.2</v>
      </c>
      <c r="H668" t="n">
        <v>0</v>
      </c>
      <c r="I668" t="n">
        <v>0</v>
      </c>
      <c r="J668" t="n">
        <v>0</v>
      </c>
      <c r="K668" t="n">
        <v>0</v>
      </c>
      <c r="L668" t="n">
        <v>0</v>
      </c>
      <c r="M668" t="n">
        <v>0</v>
      </c>
      <c r="N668" t="n">
        <v>0</v>
      </c>
      <c r="O668" t="n">
        <v>0</v>
      </c>
      <c r="P668" t="n">
        <v>0</v>
      </c>
      <c r="Q668" t="n">
        <v>0</v>
      </c>
      <c r="R668" s="2" t="inlineStr"/>
    </row>
    <row r="669" ht="15" customHeight="1">
      <c r="A669" t="inlineStr">
        <is>
          <t>A 63125-2023</t>
        </is>
      </c>
      <c r="B669" s="1" t="n">
        <v>45273</v>
      </c>
      <c r="C669" s="1" t="n">
        <v>46147</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18220-2026</t>
        </is>
      </c>
      <c r="B670" s="1" t="n">
        <v>46126.30818287037</v>
      </c>
      <c r="C670" s="1" t="n">
        <v>46147</v>
      </c>
      <c r="D670" t="inlineStr">
        <is>
          <t>ÖREBRO LÄN</t>
        </is>
      </c>
      <c r="E670" t="inlineStr">
        <is>
          <t>LINDESBERG</t>
        </is>
      </c>
      <c r="G670" t="n">
        <v>5.7</v>
      </c>
      <c r="H670" t="n">
        <v>0</v>
      </c>
      <c r="I670" t="n">
        <v>0</v>
      </c>
      <c r="J670" t="n">
        <v>0</v>
      </c>
      <c r="K670" t="n">
        <v>0</v>
      </c>
      <c r="L670" t="n">
        <v>0</v>
      </c>
      <c r="M670" t="n">
        <v>0</v>
      </c>
      <c r="N670" t="n">
        <v>0</v>
      </c>
      <c r="O670" t="n">
        <v>0</v>
      </c>
      <c r="P670" t="n">
        <v>0</v>
      </c>
      <c r="Q670" t="n">
        <v>0</v>
      </c>
      <c r="R670" s="2" t="inlineStr"/>
    </row>
    <row r="671" ht="15" customHeight="1">
      <c r="A671" t="inlineStr">
        <is>
          <t>A 14454-2024</t>
        </is>
      </c>
      <c r="B671" s="1" t="n">
        <v>45394.51289351852</v>
      </c>
      <c r="C671" s="1" t="n">
        <v>46147</v>
      </c>
      <c r="D671" t="inlineStr">
        <is>
          <t>ÖREBRO LÄN</t>
        </is>
      </c>
      <c r="E671" t="inlineStr">
        <is>
          <t>LINDESBERG</t>
        </is>
      </c>
      <c r="G671" t="n">
        <v>1.9</v>
      </c>
      <c r="H671" t="n">
        <v>0</v>
      </c>
      <c r="I671" t="n">
        <v>0</v>
      </c>
      <c r="J671" t="n">
        <v>0</v>
      </c>
      <c r="K671" t="n">
        <v>0</v>
      </c>
      <c r="L671" t="n">
        <v>0</v>
      </c>
      <c r="M671" t="n">
        <v>0</v>
      </c>
      <c r="N671" t="n">
        <v>0</v>
      </c>
      <c r="O671" t="n">
        <v>0</v>
      </c>
      <c r="P671" t="n">
        <v>0</v>
      </c>
      <c r="Q671" t="n">
        <v>0</v>
      </c>
      <c r="R671" s="2" t="inlineStr"/>
    </row>
    <row r="672" ht="15" customHeight="1">
      <c r="A672" t="inlineStr">
        <is>
          <t>A 18061-2026</t>
        </is>
      </c>
      <c r="B672" s="1" t="n">
        <v>46125.46030092592</v>
      </c>
      <c r="C672" s="1" t="n">
        <v>46147</v>
      </c>
      <c r="D672" t="inlineStr">
        <is>
          <t>ÖREBRO LÄN</t>
        </is>
      </c>
      <c r="E672" t="inlineStr">
        <is>
          <t>LINDESBERG</t>
        </is>
      </c>
      <c r="G672" t="n">
        <v>0.7</v>
      </c>
      <c r="H672" t="n">
        <v>0</v>
      </c>
      <c r="I672" t="n">
        <v>0</v>
      </c>
      <c r="J672" t="n">
        <v>0</v>
      </c>
      <c r="K672" t="n">
        <v>0</v>
      </c>
      <c r="L672" t="n">
        <v>0</v>
      </c>
      <c r="M672" t="n">
        <v>0</v>
      </c>
      <c r="N672" t="n">
        <v>0</v>
      </c>
      <c r="O672" t="n">
        <v>0</v>
      </c>
      <c r="P672" t="n">
        <v>0</v>
      </c>
      <c r="Q672" t="n">
        <v>0</v>
      </c>
      <c r="R672" s="2" t="inlineStr"/>
    </row>
    <row r="673" ht="15" customHeight="1">
      <c r="A673" t="inlineStr">
        <is>
          <t>A 18640-2026</t>
        </is>
      </c>
      <c r="B673" s="1" t="n">
        <v>46128.32461805556</v>
      </c>
      <c r="C673" s="1" t="n">
        <v>46147</v>
      </c>
      <c r="D673" t="inlineStr">
        <is>
          <t>ÖREBRO LÄN</t>
        </is>
      </c>
      <c r="E673" t="inlineStr">
        <is>
          <t>LINDESBERG</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61960-2024</t>
        </is>
      </c>
      <c r="B674" s="1" t="n">
        <v>45653.53664351852</v>
      </c>
      <c r="C674" s="1" t="n">
        <v>46147</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34436-2023</t>
        </is>
      </c>
      <c r="B675" s="1" t="n">
        <v>45139.64328703703</v>
      </c>
      <c r="C675" s="1" t="n">
        <v>46147</v>
      </c>
      <c r="D675" t="inlineStr">
        <is>
          <t>ÖREBRO LÄN</t>
        </is>
      </c>
      <c r="E675" t="inlineStr">
        <is>
          <t>LINDESBERG</t>
        </is>
      </c>
      <c r="F675" t="inlineStr">
        <is>
          <t>Kyrkan</t>
        </is>
      </c>
      <c r="G675" t="n">
        <v>5.8</v>
      </c>
      <c r="H675" t="n">
        <v>0</v>
      </c>
      <c r="I675" t="n">
        <v>0</v>
      </c>
      <c r="J675" t="n">
        <v>0</v>
      </c>
      <c r="K675" t="n">
        <v>0</v>
      </c>
      <c r="L675" t="n">
        <v>0</v>
      </c>
      <c r="M675" t="n">
        <v>0</v>
      </c>
      <c r="N675" t="n">
        <v>0</v>
      </c>
      <c r="O675" t="n">
        <v>0</v>
      </c>
      <c r="P675" t="n">
        <v>0</v>
      </c>
      <c r="Q675" t="n">
        <v>0</v>
      </c>
      <c r="R675" s="2" t="inlineStr"/>
    </row>
    <row r="676" ht="15" customHeight="1">
      <c r="A676" t="inlineStr">
        <is>
          <t>A 54860-2024</t>
        </is>
      </c>
      <c r="B676" s="1" t="n">
        <v>45618.59219907408</v>
      </c>
      <c r="C676" s="1" t="n">
        <v>46147</v>
      </c>
      <c r="D676" t="inlineStr">
        <is>
          <t>ÖREBRO LÄN</t>
        </is>
      </c>
      <c r="E676" t="inlineStr">
        <is>
          <t>LINDESBERG</t>
        </is>
      </c>
      <c r="F676" t="inlineStr">
        <is>
          <t>Sveaskog</t>
        </is>
      </c>
      <c r="G676" t="n">
        <v>0.3</v>
      </c>
      <c r="H676" t="n">
        <v>0</v>
      </c>
      <c r="I676" t="n">
        <v>0</v>
      </c>
      <c r="J676" t="n">
        <v>0</v>
      </c>
      <c r="K676" t="n">
        <v>0</v>
      </c>
      <c r="L676" t="n">
        <v>0</v>
      </c>
      <c r="M676" t="n">
        <v>0</v>
      </c>
      <c r="N676" t="n">
        <v>0</v>
      </c>
      <c r="O676" t="n">
        <v>0</v>
      </c>
      <c r="P676" t="n">
        <v>0</v>
      </c>
      <c r="Q676" t="n">
        <v>0</v>
      </c>
      <c r="R676" s="2" t="inlineStr"/>
    </row>
    <row r="677" ht="15" customHeight="1">
      <c r="A677" t="inlineStr">
        <is>
          <t>A 18634-2026</t>
        </is>
      </c>
      <c r="B677" s="1" t="n">
        <v>46128.31271990741</v>
      </c>
      <c r="C677" s="1" t="n">
        <v>46147</v>
      </c>
      <c r="D677" t="inlineStr">
        <is>
          <t>ÖREBRO LÄN</t>
        </is>
      </c>
      <c r="E677" t="inlineStr">
        <is>
          <t>LINDESBERG</t>
        </is>
      </c>
      <c r="F677" t="inlineStr">
        <is>
          <t>Sveaskog</t>
        </is>
      </c>
      <c r="G677" t="n">
        <v>11.7</v>
      </c>
      <c r="H677" t="n">
        <v>0</v>
      </c>
      <c r="I677" t="n">
        <v>0</v>
      </c>
      <c r="J677" t="n">
        <v>0</v>
      </c>
      <c r="K677" t="n">
        <v>0</v>
      </c>
      <c r="L677" t="n">
        <v>0</v>
      </c>
      <c r="M677" t="n">
        <v>0</v>
      </c>
      <c r="N677" t="n">
        <v>0</v>
      </c>
      <c r="O677" t="n">
        <v>0</v>
      </c>
      <c r="P677" t="n">
        <v>0</v>
      </c>
      <c r="Q677" t="n">
        <v>0</v>
      </c>
      <c r="R677" s="2" t="inlineStr"/>
    </row>
    <row r="678" ht="15" customHeight="1">
      <c r="A678" t="inlineStr">
        <is>
          <t>A 18637-2026</t>
        </is>
      </c>
      <c r="B678" s="1" t="n">
        <v>46128.31604166667</v>
      </c>
      <c r="C678" s="1" t="n">
        <v>46147</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6181-2025</t>
        </is>
      </c>
      <c r="B679" s="1" t="n">
        <v>45698</v>
      </c>
      <c r="C679" s="1" t="n">
        <v>46147</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60400-2025</t>
        </is>
      </c>
      <c r="B680" s="1" t="n">
        <v>45995</v>
      </c>
      <c r="C680" s="1" t="n">
        <v>46147</v>
      </c>
      <c r="D680" t="inlineStr">
        <is>
          <t>ÖREBRO LÄN</t>
        </is>
      </c>
      <c r="E680" t="inlineStr">
        <is>
          <t>LINDESBERG</t>
        </is>
      </c>
      <c r="G680" t="n">
        <v>11.2</v>
      </c>
      <c r="H680" t="n">
        <v>0</v>
      </c>
      <c r="I680" t="n">
        <v>0</v>
      </c>
      <c r="J680" t="n">
        <v>0</v>
      </c>
      <c r="K680" t="n">
        <v>0</v>
      </c>
      <c r="L680" t="n">
        <v>0</v>
      </c>
      <c r="M680" t="n">
        <v>0</v>
      </c>
      <c r="N680" t="n">
        <v>0</v>
      </c>
      <c r="O680" t="n">
        <v>0</v>
      </c>
      <c r="P680" t="n">
        <v>0</v>
      </c>
      <c r="Q680" t="n">
        <v>0</v>
      </c>
      <c r="R680" s="2" t="inlineStr"/>
    </row>
    <row r="681" ht="15" customHeight="1">
      <c r="A681" t="inlineStr">
        <is>
          <t>A 60450-2025</t>
        </is>
      </c>
      <c r="B681" s="1" t="n">
        <v>45995</v>
      </c>
      <c r="C681" s="1" t="n">
        <v>46147</v>
      </c>
      <c r="D681" t="inlineStr">
        <is>
          <t>ÖREBRO LÄN</t>
        </is>
      </c>
      <c r="E681" t="inlineStr">
        <is>
          <t>LINDESBERG</t>
        </is>
      </c>
      <c r="G681" t="n">
        <v>4.1</v>
      </c>
      <c r="H681" t="n">
        <v>0</v>
      </c>
      <c r="I681" t="n">
        <v>0</v>
      </c>
      <c r="J681" t="n">
        <v>0</v>
      </c>
      <c r="K681" t="n">
        <v>0</v>
      </c>
      <c r="L681" t="n">
        <v>0</v>
      </c>
      <c r="M681" t="n">
        <v>0</v>
      </c>
      <c r="N681" t="n">
        <v>0</v>
      </c>
      <c r="O681" t="n">
        <v>0</v>
      </c>
      <c r="P681" t="n">
        <v>0</v>
      </c>
      <c r="Q681" t="n">
        <v>0</v>
      </c>
      <c r="R681" s="2" t="inlineStr"/>
    </row>
    <row r="682" ht="15" customHeight="1">
      <c r="A682" t="inlineStr">
        <is>
          <t>A 8612-2024</t>
        </is>
      </c>
      <c r="B682" s="1" t="n">
        <v>45355.70009259259</v>
      </c>
      <c r="C682" s="1" t="n">
        <v>46147</v>
      </c>
      <c r="D682" t="inlineStr">
        <is>
          <t>ÖREBRO LÄN</t>
        </is>
      </c>
      <c r="E682" t="inlineStr">
        <is>
          <t>LINDESBERG</t>
        </is>
      </c>
      <c r="G682" t="n">
        <v>4.5</v>
      </c>
      <c r="H682" t="n">
        <v>0</v>
      </c>
      <c r="I682" t="n">
        <v>0</v>
      </c>
      <c r="J682" t="n">
        <v>0</v>
      </c>
      <c r="K682" t="n">
        <v>0</v>
      </c>
      <c r="L682" t="n">
        <v>0</v>
      </c>
      <c r="M682" t="n">
        <v>0</v>
      </c>
      <c r="N682" t="n">
        <v>0</v>
      </c>
      <c r="O682" t="n">
        <v>0</v>
      </c>
      <c r="P682" t="n">
        <v>0</v>
      </c>
      <c r="Q682" t="n">
        <v>0</v>
      </c>
      <c r="R682" s="2" t="inlineStr"/>
    </row>
    <row r="683" ht="15" customHeight="1">
      <c r="A683" t="inlineStr">
        <is>
          <t>A 7126-2025</t>
        </is>
      </c>
      <c r="B683" s="1" t="n">
        <v>45702</v>
      </c>
      <c r="C683" s="1" t="n">
        <v>46147</v>
      </c>
      <c r="D683" t="inlineStr">
        <is>
          <t>ÖREBRO LÄN</t>
        </is>
      </c>
      <c r="E683" t="inlineStr">
        <is>
          <t>LINDESBERG</t>
        </is>
      </c>
      <c r="G683" t="n">
        <v>1.3</v>
      </c>
      <c r="H683" t="n">
        <v>0</v>
      </c>
      <c r="I683" t="n">
        <v>0</v>
      </c>
      <c r="J683" t="n">
        <v>0</v>
      </c>
      <c r="K683" t="n">
        <v>0</v>
      </c>
      <c r="L683" t="n">
        <v>0</v>
      </c>
      <c r="M683" t="n">
        <v>0</v>
      </c>
      <c r="N683" t="n">
        <v>0</v>
      </c>
      <c r="O683" t="n">
        <v>0</v>
      </c>
      <c r="P683" t="n">
        <v>0</v>
      </c>
      <c r="Q683" t="n">
        <v>0</v>
      </c>
      <c r="R683" s="2" t="inlineStr"/>
    </row>
    <row r="684" ht="15" customHeight="1">
      <c r="A684" t="inlineStr">
        <is>
          <t>A 60806-2025</t>
        </is>
      </c>
      <c r="B684" s="1" t="n">
        <v>45999.43730324074</v>
      </c>
      <c r="C684" s="1" t="n">
        <v>46147</v>
      </c>
      <c r="D684" t="inlineStr">
        <is>
          <t>ÖREBRO LÄN</t>
        </is>
      </c>
      <c r="E684" t="inlineStr">
        <is>
          <t>LINDESBERG</t>
        </is>
      </c>
      <c r="G684" t="n">
        <v>7.9</v>
      </c>
      <c r="H684" t="n">
        <v>0</v>
      </c>
      <c r="I684" t="n">
        <v>0</v>
      </c>
      <c r="J684" t="n">
        <v>0</v>
      </c>
      <c r="K684" t="n">
        <v>0</v>
      </c>
      <c r="L684" t="n">
        <v>0</v>
      </c>
      <c r="M684" t="n">
        <v>0</v>
      </c>
      <c r="N684" t="n">
        <v>0</v>
      </c>
      <c r="O684" t="n">
        <v>0</v>
      </c>
      <c r="P684" t="n">
        <v>0</v>
      </c>
      <c r="Q684" t="n">
        <v>0</v>
      </c>
      <c r="R684" s="2" t="inlineStr"/>
    </row>
    <row r="685" ht="15" customHeight="1">
      <c r="A685" t="inlineStr">
        <is>
          <t>A 18636-2026</t>
        </is>
      </c>
      <c r="B685" s="1" t="n">
        <v>46128.31521990741</v>
      </c>
      <c r="C685" s="1" t="n">
        <v>46147</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9961-2023</t>
        </is>
      </c>
      <c r="B686" s="1" t="n">
        <v>44979</v>
      </c>
      <c r="C686" s="1" t="n">
        <v>46147</v>
      </c>
      <c r="D686" t="inlineStr">
        <is>
          <t>ÖREBRO LÄN</t>
        </is>
      </c>
      <c r="E686" t="inlineStr">
        <is>
          <t>LINDESBERG</t>
        </is>
      </c>
      <c r="G686" t="n">
        <v>4.8</v>
      </c>
      <c r="H686" t="n">
        <v>0</v>
      </c>
      <c r="I686" t="n">
        <v>0</v>
      </c>
      <c r="J686" t="n">
        <v>0</v>
      </c>
      <c r="K686" t="n">
        <v>0</v>
      </c>
      <c r="L686" t="n">
        <v>0</v>
      </c>
      <c r="M686" t="n">
        <v>0</v>
      </c>
      <c r="N686" t="n">
        <v>0</v>
      </c>
      <c r="O686" t="n">
        <v>0</v>
      </c>
      <c r="P686" t="n">
        <v>0</v>
      </c>
      <c r="Q686" t="n">
        <v>0</v>
      </c>
      <c r="R686" s="2" t="inlineStr"/>
    </row>
    <row r="687" ht="15" customHeight="1">
      <c r="A687" t="inlineStr">
        <is>
          <t>A 19260-2026</t>
        </is>
      </c>
      <c r="B687" s="1" t="n">
        <v>46132.70711805556</v>
      </c>
      <c r="C687" s="1" t="n">
        <v>46147</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5047-2023</t>
        </is>
      </c>
      <c r="B688" s="1" t="n">
        <v>44958.58982638889</v>
      </c>
      <c r="C688" s="1" t="n">
        <v>46147</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18590-2023</t>
        </is>
      </c>
      <c r="B689" s="1" t="n">
        <v>45043.40300925926</v>
      </c>
      <c r="C689" s="1" t="n">
        <v>46147</v>
      </c>
      <c r="D689" t="inlineStr">
        <is>
          <t>ÖREBRO LÄN</t>
        </is>
      </c>
      <c r="E689" t="inlineStr">
        <is>
          <t>LINDESBERG</t>
        </is>
      </c>
      <c r="G689" t="n">
        <v>2.4</v>
      </c>
      <c r="H689" t="n">
        <v>0</v>
      </c>
      <c r="I689" t="n">
        <v>0</v>
      </c>
      <c r="J689" t="n">
        <v>0</v>
      </c>
      <c r="K689" t="n">
        <v>0</v>
      </c>
      <c r="L689" t="n">
        <v>0</v>
      </c>
      <c r="M689" t="n">
        <v>0</v>
      </c>
      <c r="N689" t="n">
        <v>0</v>
      </c>
      <c r="O689" t="n">
        <v>0</v>
      </c>
      <c r="P689" t="n">
        <v>0</v>
      </c>
      <c r="Q689" t="n">
        <v>0</v>
      </c>
      <c r="R689" s="2" t="inlineStr"/>
    </row>
    <row r="690" ht="15" customHeight="1">
      <c r="A690" t="inlineStr">
        <is>
          <t>A 61761-2025</t>
        </is>
      </c>
      <c r="B690" s="1" t="n">
        <v>46002.62465277778</v>
      </c>
      <c r="C690" s="1" t="n">
        <v>46147</v>
      </c>
      <c r="D690" t="inlineStr">
        <is>
          <t>ÖREBRO LÄN</t>
        </is>
      </c>
      <c r="E690" t="inlineStr">
        <is>
          <t>LINDESBERG</t>
        </is>
      </c>
      <c r="G690" t="n">
        <v>3.8</v>
      </c>
      <c r="H690" t="n">
        <v>0</v>
      </c>
      <c r="I690" t="n">
        <v>0</v>
      </c>
      <c r="J690" t="n">
        <v>0</v>
      </c>
      <c r="K690" t="n">
        <v>0</v>
      </c>
      <c r="L690" t="n">
        <v>0</v>
      </c>
      <c r="M690" t="n">
        <v>0</v>
      </c>
      <c r="N690" t="n">
        <v>0</v>
      </c>
      <c r="O690" t="n">
        <v>0</v>
      </c>
      <c r="P690" t="n">
        <v>0</v>
      </c>
      <c r="Q690" t="n">
        <v>0</v>
      </c>
      <c r="R690" s="2" t="inlineStr"/>
    </row>
    <row r="691" ht="15" customHeight="1">
      <c r="A691" t="inlineStr">
        <is>
          <t>A 5784-2025</t>
        </is>
      </c>
      <c r="B691" s="1" t="n">
        <v>45694</v>
      </c>
      <c r="C691" s="1" t="n">
        <v>46147</v>
      </c>
      <c r="D691" t="inlineStr">
        <is>
          <t>ÖREBRO LÄN</t>
        </is>
      </c>
      <c r="E691" t="inlineStr">
        <is>
          <t>LINDESBERG</t>
        </is>
      </c>
      <c r="F691" t="inlineStr">
        <is>
          <t>Allmännings- och besparingsskogar</t>
        </is>
      </c>
      <c r="G691" t="n">
        <v>1.6</v>
      </c>
      <c r="H691" t="n">
        <v>0</v>
      </c>
      <c r="I691" t="n">
        <v>0</v>
      </c>
      <c r="J691" t="n">
        <v>0</v>
      </c>
      <c r="K691" t="n">
        <v>0</v>
      </c>
      <c r="L691" t="n">
        <v>0</v>
      </c>
      <c r="M691" t="n">
        <v>0</v>
      </c>
      <c r="N691" t="n">
        <v>0</v>
      </c>
      <c r="O691" t="n">
        <v>0</v>
      </c>
      <c r="P691" t="n">
        <v>0</v>
      </c>
      <c r="Q691" t="n">
        <v>0</v>
      </c>
      <c r="R691" s="2" t="inlineStr"/>
    </row>
    <row r="692" ht="15" customHeight="1">
      <c r="A692" t="inlineStr">
        <is>
          <t>A 61745-2025</t>
        </is>
      </c>
      <c r="B692" s="1" t="n">
        <v>46002.60324074074</v>
      </c>
      <c r="C692" s="1" t="n">
        <v>46147</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61758-2025</t>
        </is>
      </c>
      <c r="B693" s="1" t="n">
        <v>46002.61762731482</v>
      </c>
      <c r="C693" s="1" t="n">
        <v>46147</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16448-2025</t>
        </is>
      </c>
      <c r="B694" s="1" t="n">
        <v>45751.5056712963</v>
      </c>
      <c r="C694" s="1" t="n">
        <v>46147</v>
      </c>
      <c r="D694" t="inlineStr">
        <is>
          <t>ÖREBRO LÄN</t>
        </is>
      </c>
      <c r="E694" t="inlineStr">
        <is>
          <t>LINDESBERG</t>
        </is>
      </c>
      <c r="G694" t="n">
        <v>20.1</v>
      </c>
      <c r="H694" t="n">
        <v>0</v>
      </c>
      <c r="I694" t="n">
        <v>0</v>
      </c>
      <c r="J694" t="n">
        <v>0</v>
      </c>
      <c r="K694" t="n">
        <v>0</v>
      </c>
      <c r="L694" t="n">
        <v>0</v>
      </c>
      <c r="M694" t="n">
        <v>0</v>
      </c>
      <c r="N694" t="n">
        <v>0</v>
      </c>
      <c r="O694" t="n">
        <v>0</v>
      </c>
      <c r="P694" t="n">
        <v>0</v>
      </c>
      <c r="Q694" t="n">
        <v>0</v>
      </c>
      <c r="R694" s="2" t="inlineStr"/>
    </row>
    <row r="695" ht="15" customHeight="1">
      <c r="A695" t="inlineStr">
        <is>
          <t>A 54432-2023</t>
        </is>
      </c>
      <c r="B695" s="1" t="n">
        <v>45233.42121527778</v>
      </c>
      <c r="C695" s="1" t="n">
        <v>46147</v>
      </c>
      <c r="D695" t="inlineStr">
        <is>
          <t>ÖREBRO LÄN</t>
        </is>
      </c>
      <c r="E695" t="inlineStr">
        <is>
          <t>LINDESBERG</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58050-2025</t>
        </is>
      </c>
      <c r="B696" s="1" t="n">
        <v>45982</v>
      </c>
      <c r="C696" s="1" t="n">
        <v>46147</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58056-2025</t>
        </is>
      </c>
      <c r="B697" s="1" t="n">
        <v>45982</v>
      </c>
      <c r="C697" s="1" t="n">
        <v>46147</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62383-2025</t>
        </is>
      </c>
      <c r="B698" s="1" t="n">
        <v>46007.3708449074</v>
      </c>
      <c r="C698" s="1" t="n">
        <v>46147</v>
      </c>
      <c r="D698" t="inlineStr">
        <is>
          <t>ÖREBRO LÄN</t>
        </is>
      </c>
      <c r="E698" t="inlineStr">
        <is>
          <t>LINDESBERG</t>
        </is>
      </c>
      <c r="G698" t="n">
        <v>3.5</v>
      </c>
      <c r="H698" t="n">
        <v>0</v>
      </c>
      <c r="I698" t="n">
        <v>0</v>
      </c>
      <c r="J698" t="n">
        <v>0</v>
      </c>
      <c r="K698" t="n">
        <v>0</v>
      </c>
      <c r="L698" t="n">
        <v>0</v>
      </c>
      <c r="M698" t="n">
        <v>0</v>
      </c>
      <c r="N698" t="n">
        <v>0</v>
      </c>
      <c r="O698" t="n">
        <v>0</v>
      </c>
      <c r="P698" t="n">
        <v>0</v>
      </c>
      <c r="Q698" t="n">
        <v>0</v>
      </c>
      <c r="R698" s="2" t="inlineStr"/>
    </row>
    <row r="699" ht="15" customHeight="1">
      <c r="A699" t="inlineStr">
        <is>
          <t>A 9436-2023</t>
        </is>
      </c>
      <c r="B699" s="1" t="n">
        <v>44981</v>
      </c>
      <c r="C699" s="1" t="n">
        <v>46147</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60200-2024</t>
        </is>
      </c>
      <c r="B700" s="1" t="n">
        <v>45642.66184027777</v>
      </c>
      <c r="C700" s="1" t="n">
        <v>46147</v>
      </c>
      <c r="D700" t="inlineStr">
        <is>
          <t>ÖREBRO LÄN</t>
        </is>
      </c>
      <c r="E700" t="inlineStr">
        <is>
          <t>LINDESBERG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62246-2025</t>
        </is>
      </c>
      <c r="B701" s="1" t="n">
        <v>46006.60633101852</v>
      </c>
      <c r="C701" s="1" t="n">
        <v>46147</v>
      </c>
      <c r="D701" t="inlineStr">
        <is>
          <t>ÖREBRO LÄN</t>
        </is>
      </c>
      <c r="E701" t="inlineStr">
        <is>
          <t>LINDESBERG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36747-2024</t>
        </is>
      </c>
      <c r="B702" s="1" t="n">
        <v>45538.34193287037</v>
      </c>
      <c r="C702" s="1" t="n">
        <v>46147</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13305-2023</t>
        </is>
      </c>
      <c r="B703" s="1" t="n">
        <v>45005.35967592592</v>
      </c>
      <c r="C703" s="1" t="n">
        <v>46147</v>
      </c>
      <c r="D703" t="inlineStr">
        <is>
          <t>ÖREBRO LÄN</t>
        </is>
      </c>
      <c r="E703" t="inlineStr">
        <is>
          <t>LINDESBERG</t>
        </is>
      </c>
      <c r="G703" t="n">
        <v>5.5</v>
      </c>
      <c r="H703" t="n">
        <v>0</v>
      </c>
      <c r="I703" t="n">
        <v>0</v>
      </c>
      <c r="J703" t="n">
        <v>0</v>
      </c>
      <c r="K703" t="n">
        <v>0</v>
      </c>
      <c r="L703" t="n">
        <v>0</v>
      </c>
      <c r="M703" t="n">
        <v>0</v>
      </c>
      <c r="N703" t="n">
        <v>0</v>
      </c>
      <c r="O703" t="n">
        <v>0</v>
      </c>
      <c r="P703" t="n">
        <v>0</v>
      </c>
      <c r="Q703" t="n">
        <v>0</v>
      </c>
      <c r="R703" s="2" t="inlineStr"/>
    </row>
    <row r="704" ht="15" customHeight="1">
      <c r="A704" t="inlineStr">
        <is>
          <t>A 13368-2023</t>
        </is>
      </c>
      <c r="B704" s="1" t="n">
        <v>45005.47820601852</v>
      </c>
      <c r="C704" s="1" t="n">
        <v>46147</v>
      </c>
      <c r="D704" t="inlineStr">
        <is>
          <t>ÖREBRO LÄN</t>
        </is>
      </c>
      <c r="E704" t="inlineStr">
        <is>
          <t>LINDESBERG</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63083-2025</t>
        </is>
      </c>
      <c r="B705" s="1" t="n">
        <v>46009.67175925926</v>
      </c>
      <c r="C705" s="1" t="n">
        <v>46147</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56912-2024</t>
        </is>
      </c>
      <c r="B706" s="1" t="n">
        <v>45628.59233796296</v>
      </c>
      <c r="C706" s="1" t="n">
        <v>46147</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63078-2025</t>
        </is>
      </c>
      <c r="B707" s="1" t="n">
        <v>46009</v>
      </c>
      <c r="C707" s="1" t="n">
        <v>46147</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15745-2024</t>
        </is>
      </c>
      <c r="B708" s="1" t="n">
        <v>45404.55239583334</v>
      </c>
      <c r="C708" s="1" t="n">
        <v>46147</v>
      </c>
      <c r="D708" t="inlineStr">
        <is>
          <t>ÖREBRO LÄN</t>
        </is>
      </c>
      <c r="E708" t="inlineStr">
        <is>
          <t>LINDESBERG</t>
        </is>
      </c>
      <c r="F708" t="inlineStr">
        <is>
          <t>Sveaskog</t>
        </is>
      </c>
      <c r="G708" t="n">
        <v>6.2</v>
      </c>
      <c r="H708" t="n">
        <v>0</v>
      </c>
      <c r="I708" t="n">
        <v>0</v>
      </c>
      <c r="J708" t="n">
        <v>0</v>
      </c>
      <c r="K708" t="n">
        <v>0</v>
      </c>
      <c r="L708" t="n">
        <v>0</v>
      </c>
      <c r="M708" t="n">
        <v>0</v>
      </c>
      <c r="N708" t="n">
        <v>0</v>
      </c>
      <c r="O708" t="n">
        <v>0</v>
      </c>
      <c r="P708" t="n">
        <v>0</v>
      </c>
      <c r="Q708" t="n">
        <v>0</v>
      </c>
      <c r="R708" s="2" t="inlineStr"/>
    </row>
    <row r="709" ht="15" customHeight="1">
      <c r="A709" t="inlineStr">
        <is>
          <t>A 15750-2024</t>
        </is>
      </c>
      <c r="B709" s="1" t="n">
        <v>45404.55601851852</v>
      </c>
      <c r="C709" s="1" t="n">
        <v>46147</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72698-2021</t>
        </is>
      </c>
      <c r="B710" s="1" t="n">
        <v>44546.6679050926</v>
      </c>
      <c r="C710" s="1" t="n">
        <v>46147</v>
      </c>
      <c r="D710" t="inlineStr">
        <is>
          <t>ÖREBRO LÄN</t>
        </is>
      </c>
      <c r="E710" t="inlineStr">
        <is>
          <t>LINDESBERG</t>
        </is>
      </c>
      <c r="G710" t="n">
        <v>1.6</v>
      </c>
      <c r="H710" t="n">
        <v>0</v>
      </c>
      <c r="I710" t="n">
        <v>0</v>
      </c>
      <c r="J710" t="n">
        <v>0</v>
      </c>
      <c r="K710" t="n">
        <v>0</v>
      </c>
      <c r="L710" t="n">
        <v>0</v>
      </c>
      <c r="M710" t="n">
        <v>0</v>
      </c>
      <c r="N710" t="n">
        <v>0</v>
      </c>
      <c r="O710" t="n">
        <v>0</v>
      </c>
      <c r="P710" t="n">
        <v>0</v>
      </c>
      <c r="Q710" t="n">
        <v>0</v>
      </c>
      <c r="R710" s="2" t="inlineStr"/>
    </row>
    <row r="711" ht="15" customHeight="1">
      <c r="A711" t="inlineStr">
        <is>
          <t>A 19110-2025</t>
        </is>
      </c>
      <c r="B711" s="1" t="n">
        <v>45768.49947916667</v>
      </c>
      <c r="C711" s="1" t="n">
        <v>46147</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62603-2025</t>
        </is>
      </c>
      <c r="B712" s="1" t="n">
        <v>46008.25765046296</v>
      </c>
      <c r="C712" s="1" t="n">
        <v>46147</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62604-2025</t>
        </is>
      </c>
      <c r="B713" s="1" t="n">
        <v>46008.26085648148</v>
      </c>
      <c r="C713" s="1" t="n">
        <v>46147</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46678-2023</t>
        </is>
      </c>
      <c r="B714" s="1" t="n">
        <v>45194</v>
      </c>
      <c r="C714" s="1" t="n">
        <v>46147</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23579-2022</t>
        </is>
      </c>
      <c r="B715" s="1" t="n">
        <v>44721.52627314815</v>
      </c>
      <c r="C715" s="1" t="n">
        <v>46147</v>
      </c>
      <c r="D715" t="inlineStr">
        <is>
          <t>ÖREBRO LÄN</t>
        </is>
      </c>
      <c r="E715" t="inlineStr">
        <is>
          <t>LINDESBERG</t>
        </is>
      </c>
      <c r="G715" t="n">
        <v>0.7</v>
      </c>
      <c r="H715" t="n">
        <v>0</v>
      </c>
      <c r="I715" t="n">
        <v>0</v>
      </c>
      <c r="J715" t="n">
        <v>0</v>
      </c>
      <c r="K715" t="n">
        <v>0</v>
      </c>
      <c r="L715" t="n">
        <v>0</v>
      </c>
      <c r="M715" t="n">
        <v>0</v>
      </c>
      <c r="N715" t="n">
        <v>0</v>
      </c>
      <c r="O715" t="n">
        <v>0</v>
      </c>
      <c r="P715" t="n">
        <v>0</v>
      </c>
      <c r="Q715" t="n">
        <v>0</v>
      </c>
      <c r="R715" s="2" t="inlineStr"/>
    </row>
    <row r="716" ht="15" customHeight="1">
      <c r="A716" t="inlineStr">
        <is>
          <t>A 53054-2022</t>
        </is>
      </c>
      <c r="B716" s="1" t="n">
        <v>44876.35706018518</v>
      </c>
      <c r="C716" s="1" t="n">
        <v>46147</v>
      </c>
      <c r="D716" t="inlineStr">
        <is>
          <t>ÖREBRO LÄN</t>
        </is>
      </c>
      <c r="E716" t="inlineStr">
        <is>
          <t>LINDESBERG</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3026-2026</t>
        </is>
      </c>
      <c r="B717" s="1" t="n">
        <v>46038</v>
      </c>
      <c r="C717" s="1" t="n">
        <v>46147</v>
      </c>
      <c r="D717" t="inlineStr">
        <is>
          <t>ÖREBRO LÄN</t>
        </is>
      </c>
      <c r="E717" t="inlineStr">
        <is>
          <t>LINDESBERG</t>
        </is>
      </c>
      <c r="G717" t="n">
        <v>10.3</v>
      </c>
      <c r="H717" t="n">
        <v>0</v>
      </c>
      <c r="I717" t="n">
        <v>0</v>
      </c>
      <c r="J717" t="n">
        <v>0</v>
      </c>
      <c r="K717" t="n">
        <v>0</v>
      </c>
      <c r="L717" t="n">
        <v>0</v>
      </c>
      <c r="M717" t="n">
        <v>0</v>
      </c>
      <c r="N717" t="n">
        <v>0</v>
      </c>
      <c r="O717" t="n">
        <v>0</v>
      </c>
      <c r="P717" t="n">
        <v>0</v>
      </c>
      <c r="Q717" t="n">
        <v>0</v>
      </c>
      <c r="R717" s="2" t="inlineStr"/>
    </row>
    <row r="718" ht="15" customHeight="1">
      <c r="A718" t="inlineStr">
        <is>
          <t>A 63526-2025</t>
        </is>
      </c>
      <c r="B718" s="1" t="n">
        <v>46013</v>
      </c>
      <c r="C718" s="1" t="n">
        <v>46147</v>
      </c>
      <c r="D718" t="inlineStr">
        <is>
          <t>ÖREBRO LÄN</t>
        </is>
      </c>
      <c r="E718" t="inlineStr">
        <is>
          <t>LINDESBERG</t>
        </is>
      </c>
      <c r="G718" t="n">
        <v>1.7</v>
      </c>
      <c r="H718" t="n">
        <v>0</v>
      </c>
      <c r="I718" t="n">
        <v>0</v>
      </c>
      <c r="J718" t="n">
        <v>0</v>
      </c>
      <c r="K718" t="n">
        <v>0</v>
      </c>
      <c r="L718" t="n">
        <v>0</v>
      </c>
      <c r="M718" t="n">
        <v>0</v>
      </c>
      <c r="N718" t="n">
        <v>0</v>
      </c>
      <c r="O718" t="n">
        <v>0</v>
      </c>
      <c r="P718" t="n">
        <v>0</v>
      </c>
      <c r="Q718" t="n">
        <v>0</v>
      </c>
      <c r="R718" s="2" t="inlineStr"/>
    </row>
    <row r="719" ht="15" customHeight="1">
      <c r="A719" t="inlineStr">
        <is>
          <t>A 20467-2023</t>
        </is>
      </c>
      <c r="B719" s="1" t="n">
        <v>45057</v>
      </c>
      <c r="C719" s="1" t="n">
        <v>46147</v>
      </c>
      <c r="D719" t="inlineStr">
        <is>
          <t>ÖREBRO LÄN</t>
        </is>
      </c>
      <c r="E719" t="inlineStr">
        <is>
          <t>LINDESBERG</t>
        </is>
      </c>
      <c r="G719" t="n">
        <v>2.1</v>
      </c>
      <c r="H719" t="n">
        <v>0</v>
      </c>
      <c r="I719" t="n">
        <v>0</v>
      </c>
      <c r="J719" t="n">
        <v>0</v>
      </c>
      <c r="K719" t="n">
        <v>0</v>
      </c>
      <c r="L719" t="n">
        <v>0</v>
      </c>
      <c r="M719" t="n">
        <v>0</v>
      </c>
      <c r="N719" t="n">
        <v>0</v>
      </c>
      <c r="O719" t="n">
        <v>0</v>
      </c>
      <c r="P719" t="n">
        <v>0</v>
      </c>
      <c r="Q719" t="n">
        <v>0</v>
      </c>
      <c r="R719" s="2" t="inlineStr"/>
    </row>
    <row r="720" ht="15" customHeight="1">
      <c r="A720" t="inlineStr">
        <is>
          <t>A 61736-2025</t>
        </is>
      </c>
      <c r="B720" s="1" t="n">
        <v>46002</v>
      </c>
      <c r="C720" s="1" t="n">
        <v>46147</v>
      </c>
      <c r="D720" t="inlineStr">
        <is>
          <t>ÖREBRO LÄN</t>
        </is>
      </c>
      <c r="E720" t="inlineStr">
        <is>
          <t>LINDESBERG</t>
        </is>
      </c>
      <c r="G720" t="n">
        <v>4.5</v>
      </c>
      <c r="H720" t="n">
        <v>0</v>
      </c>
      <c r="I720" t="n">
        <v>0</v>
      </c>
      <c r="J720" t="n">
        <v>0</v>
      </c>
      <c r="K720" t="n">
        <v>0</v>
      </c>
      <c r="L720" t="n">
        <v>0</v>
      </c>
      <c r="M720" t="n">
        <v>0</v>
      </c>
      <c r="N720" t="n">
        <v>0</v>
      </c>
      <c r="O720" t="n">
        <v>0</v>
      </c>
      <c r="P720" t="n">
        <v>0</v>
      </c>
      <c r="Q720" t="n">
        <v>0</v>
      </c>
      <c r="R720" s="2" t="inlineStr"/>
    </row>
    <row r="721" ht="15" customHeight="1">
      <c r="A721" t="inlineStr">
        <is>
          <t>A 35140-2023</t>
        </is>
      </c>
      <c r="B721" s="1" t="n">
        <v>45145</v>
      </c>
      <c r="C721" s="1" t="n">
        <v>46147</v>
      </c>
      <c r="D721" t="inlineStr">
        <is>
          <t>ÖREBRO LÄN</t>
        </is>
      </c>
      <c r="E721" t="inlineStr">
        <is>
          <t>LINDESBERG</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61739-2025</t>
        </is>
      </c>
      <c r="B722" s="1" t="n">
        <v>46002</v>
      </c>
      <c r="C722" s="1" t="n">
        <v>46147</v>
      </c>
      <c r="D722" t="inlineStr">
        <is>
          <t>ÖREBRO LÄN</t>
        </is>
      </c>
      <c r="E722" t="inlineStr">
        <is>
          <t>LINDESBERG</t>
        </is>
      </c>
      <c r="G722" t="n">
        <v>5.3</v>
      </c>
      <c r="H722" t="n">
        <v>0</v>
      </c>
      <c r="I722" t="n">
        <v>0</v>
      </c>
      <c r="J722" t="n">
        <v>0</v>
      </c>
      <c r="K722" t="n">
        <v>0</v>
      </c>
      <c r="L722" t="n">
        <v>0</v>
      </c>
      <c r="M722" t="n">
        <v>0</v>
      </c>
      <c r="N722" t="n">
        <v>0</v>
      </c>
      <c r="O722" t="n">
        <v>0</v>
      </c>
      <c r="P722" t="n">
        <v>0</v>
      </c>
      <c r="Q722" t="n">
        <v>0</v>
      </c>
      <c r="R722" s="2" t="inlineStr"/>
    </row>
    <row r="723" ht="15" customHeight="1">
      <c r="A723" t="inlineStr">
        <is>
          <t>A 19292-2026</t>
        </is>
      </c>
      <c r="B723" s="1" t="n">
        <v>46133.32493055556</v>
      </c>
      <c r="C723" s="1" t="n">
        <v>46147</v>
      </c>
      <c r="D723" t="inlineStr">
        <is>
          <t>ÖREBRO LÄN</t>
        </is>
      </c>
      <c r="E723" t="inlineStr">
        <is>
          <t>LINDESBERG</t>
        </is>
      </c>
      <c r="G723" t="n">
        <v>0.4</v>
      </c>
      <c r="H723" t="n">
        <v>0</v>
      </c>
      <c r="I723" t="n">
        <v>0</v>
      </c>
      <c r="J723" t="n">
        <v>0</v>
      </c>
      <c r="K723" t="n">
        <v>0</v>
      </c>
      <c r="L723" t="n">
        <v>0</v>
      </c>
      <c r="M723" t="n">
        <v>0</v>
      </c>
      <c r="N723" t="n">
        <v>0</v>
      </c>
      <c r="O723" t="n">
        <v>0</v>
      </c>
      <c r="P723" t="n">
        <v>0</v>
      </c>
      <c r="Q723" t="n">
        <v>0</v>
      </c>
      <c r="R723" s="2" t="inlineStr"/>
    </row>
    <row r="724" ht="15" customHeight="1">
      <c r="A724" t="inlineStr">
        <is>
          <t>A 38762-2021</t>
        </is>
      </c>
      <c r="B724" s="1" t="n">
        <v>44410.61837962963</v>
      </c>
      <c r="C724" s="1" t="n">
        <v>46147</v>
      </c>
      <c r="D724" t="inlineStr">
        <is>
          <t>ÖREBRO LÄN</t>
        </is>
      </c>
      <c r="E724" t="inlineStr">
        <is>
          <t>LINDESBERG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39419-2023</t>
        </is>
      </c>
      <c r="B725" s="1" t="n">
        <v>45166.68493055556</v>
      </c>
      <c r="C725" s="1" t="n">
        <v>46147</v>
      </c>
      <c r="D725" t="inlineStr">
        <is>
          <t>ÖREBRO LÄN</t>
        </is>
      </c>
      <c r="E725" t="inlineStr">
        <is>
          <t>LINDESBERG</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6470-2024</t>
        </is>
      </c>
      <c r="B726" s="1" t="n">
        <v>45338</v>
      </c>
      <c r="C726" s="1" t="n">
        <v>46147</v>
      </c>
      <c r="D726" t="inlineStr">
        <is>
          <t>ÖREBRO LÄN</t>
        </is>
      </c>
      <c r="E726" t="inlineStr">
        <is>
          <t>LINDESBERG</t>
        </is>
      </c>
      <c r="G726" t="n">
        <v>1.2</v>
      </c>
      <c r="H726" t="n">
        <v>0</v>
      </c>
      <c r="I726" t="n">
        <v>0</v>
      </c>
      <c r="J726" t="n">
        <v>0</v>
      </c>
      <c r="K726" t="n">
        <v>0</v>
      </c>
      <c r="L726" t="n">
        <v>0</v>
      </c>
      <c r="M726" t="n">
        <v>0</v>
      </c>
      <c r="N726" t="n">
        <v>0</v>
      </c>
      <c r="O726" t="n">
        <v>0</v>
      </c>
      <c r="P726" t="n">
        <v>0</v>
      </c>
      <c r="Q726" t="n">
        <v>0</v>
      </c>
      <c r="R726" s="2" t="inlineStr"/>
    </row>
    <row r="727" ht="15" customHeight="1">
      <c r="A727" t="inlineStr">
        <is>
          <t>A 58697-2024</t>
        </is>
      </c>
      <c r="B727" s="1" t="n">
        <v>45635.63706018519</v>
      </c>
      <c r="C727" s="1" t="n">
        <v>46147</v>
      </c>
      <c r="D727" t="inlineStr">
        <is>
          <t>ÖREBRO LÄN</t>
        </is>
      </c>
      <c r="E727" t="inlineStr">
        <is>
          <t>LINDESBERG</t>
        </is>
      </c>
      <c r="G727" t="n">
        <v>25.1</v>
      </c>
      <c r="H727" t="n">
        <v>0</v>
      </c>
      <c r="I727" t="n">
        <v>0</v>
      </c>
      <c r="J727" t="n">
        <v>0</v>
      </c>
      <c r="K727" t="n">
        <v>0</v>
      </c>
      <c r="L727" t="n">
        <v>0</v>
      </c>
      <c r="M727" t="n">
        <v>0</v>
      </c>
      <c r="N727" t="n">
        <v>0</v>
      </c>
      <c r="O727" t="n">
        <v>0</v>
      </c>
      <c r="P727" t="n">
        <v>0</v>
      </c>
      <c r="Q727" t="n">
        <v>0</v>
      </c>
      <c r="R727" s="2" t="inlineStr"/>
    </row>
    <row r="728" ht="15" customHeight="1">
      <c r="A728" t="inlineStr">
        <is>
          <t>A 45978-2021</t>
        </is>
      </c>
      <c r="B728" s="1" t="n">
        <v>44441.70047453704</v>
      </c>
      <c r="C728" s="1" t="n">
        <v>46147</v>
      </c>
      <c r="D728" t="inlineStr">
        <is>
          <t>ÖREBRO LÄN</t>
        </is>
      </c>
      <c r="E728" t="inlineStr">
        <is>
          <t>LINDESBERG</t>
        </is>
      </c>
      <c r="G728" t="n">
        <v>4.4</v>
      </c>
      <c r="H728" t="n">
        <v>0</v>
      </c>
      <c r="I728" t="n">
        <v>0</v>
      </c>
      <c r="J728" t="n">
        <v>0</v>
      </c>
      <c r="K728" t="n">
        <v>0</v>
      </c>
      <c r="L728" t="n">
        <v>0</v>
      </c>
      <c r="M728" t="n">
        <v>0</v>
      </c>
      <c r="N728" t="n">
        <v>0</v>
      </c>
      <c r="O728" t="n">
        <v>0</v>
      </c>
      <c r="P728" t="n">
        <v>0</v>
      </c>
      <c r="Q728" t="n">
        <v>0</v>
      </c>
      <c r="R728" s="2" t="inlineStr"/>
    </row>
    <row r="729" ht="15" customHeight="1">
      <c r="A729" t="inlineStr">
        <is>
          <t>A 11218-2025</t>
        </is>
      </c>
      <c r="B729" s="1" t="n">
        <v>45726.33763888889</v>
      </c>
      <c r="C729" s="1" t="n">
        <v>46147</v>
      </c>
      <c r="D729" t="inlineStr">
        <is>
          <t>ÖREBRO LÄN</t>
        </is>
      </c>
      <c r="E729" t="inlineStr">
        <is>
          <t>LINDESBERG</t>
        </is>
      </c>
      <c r="G729" t="n">
        <v>0.4</v>
      </c>
      <c r="H729" t="n">
        <v>0</v>
      </c>
      <c r="I729" t="n">
        <v>0</v>
      </c>
      <c r="J729" t="n">
        <v>0</v>
      </c>
      <c r="K729" t="n">
        <v>0</v>
      </c>
      <c r="L729" t="n">
        <v>0</v>
      </c>
      <c r="M729" t="n">
        <v>0</v>
      </c>
      <c r="N729" t="n">
        <v>0</v>
      </c>
      <c r="O729" t="n">
        <v>0</v>
      </c>
      <c r="P729" t="n">
        <v>0</v>
      </c>
      <c r="Q729" t="n">
        <v>0</v>
      </c>
      <c r="R729" s="2" t="inlineStr"/>
    </row>
    <row r="730" ht="15" customHeight="1">
      <c r="A730" t="inlineStr">
        <is>
          <t>A 11220-2025</t>
        </is>
      </c>
      <c r="B730" s="1" t="n">
        <v>45726.34090277777</v>
      </c>
      <c r="C730" s="1" t="n">
        <v>46147</v>
      </c>
      <c r="D730" t="inlineStr">
        <is>
          <t>ÖREBRO LÄN</t>
        </is>
      </c>
      <c r="E730" t="inlineStr">
        <is>
          <t>LINDESBERG</t>
        </is>
      </c>
      <c r="G730" t="n">
        <v>1</v>
      </c>
      <c r="H730" t="n">
        <v>0</v>
      </c>
      <c r="I730" t="n">
        <v>0</v>
      </c>
      <c r="J730" t="n">
        <v>0</v>
      </c>
      <c r="K730" t="n">
        <v>0</v>
      </c>
      <c r="L730" t="n">
        <v>0</v>
      </c>
      <c r="M730" t="n">
        <v>0</v>
      </c>
      <c r="N730" t="n">
        <v>0</v>
      </c>
      <c r="O730" t="n">
        <v>0</v>
      </c>
      <c r="P730" t="n">
        <v>0</v>
      </c>
      <c r="Q730" t="n">
        <v>0</v>
      </c>
      <c r="R730" s="2" t="inlineStr"/>
    </row>
    <row r="731" ht="15" customHeight="1">
      <c r="A731" t="inlineStr">
        <is>
          <t>A 37616-2023</t>
        </is>
      </c>
      <c r="B731" s="1" t="n">
        <v>45159.44525462963</v>
      </c>
      <c r="C731" s="1" t="n">
        <v>46147</v>
      </c>
      <c r="D731" t="inlineStr">
        <is>
          <t>ÖREBRO LÄN</t>
        </is>
      </c>
      <c r="E731" t="inlineStr">
        <is>
          <t>LINDESBERG</t>
        </is>
      </c>
      <c r="G731" t="n">
        <v>5.3</v>
      </c>
      <c r="H731" t="n">
        <v>0</v>
      </c>
      <c r="I731" t="n">
        <v>0</v>
      </c>
      <c r="J731" t="n">
        <v>0</v>
      </c>
      <c r="K731" t="n">
        <v>0</v>
      </c>
      <c r="L731" t="n">
        <v>0</v>
      </c>
      <c r="M731" t="n">
        <v>0</v>
      </c>
      <c r="N731" t="n">
        <v>0</v>
      </c>
      <c r="O731" t="n">
        <v>0</v>
      </c>
      <c r="P731" t="n">
        <v>0</v>
      </c>
      <c r="Q731" t="n">
        <v>0</v>
      </c>
      <c r="R731" s="2" t="inlineStr"/>
    </row>
    <row r="732" ht="15" customHeight="1">
      <c r="A732" t="inlineStr">
        <is>
          <t>A 28562-2023</t>
        </is>
      </c>
      <c r="B732" s="1" t="n">
        <v>45103.53614583334</v>
      </c>
      <c r="C732" s="1" t="n">
        <v>46147</v>
      </c>
      <c r="D732" t="inlineStr">
        <is>
          <t>ÖREBRO LÄN</t>
        </is>
      </c>
      <c r="E732" t="inlineStr">
        <is>
          <t>LINDESBERG</t>
        </is>
      </c>
      <c r="G732" t="n">
        <v>2</v>
      </c>
      <c r="H732" t="n">
        <v>0</v>
      </c>
      <c r="I732" t="n">
        <v>0</v>
      </c>
      <c r="J732" t="n">
        <v>0</v>
      </c>
      <c r="K732" t="n">
        <v>0</v>
      </c>
      <c r="L732" t="n">
        <v>0</v>
      </c>
      <c r="M732" t="n">
        <v>0</v>
      </c>
      <c r="N732" t="n">
        <v>0</v>
      </c>
      <c r="O732" t="n">
        <v>0</v>
      </c>
      <c r="P732" t="n">
        <v>0</v>
      </c>
      <c r="Q732" t="n">
        <v>0</v>
      </c>
      <c r="R732" s="2" t="inlineStr"/>
    </row>
    <row r="733" ht="15" customHeight="1">
      <c r="A733" t="inlineStr">
        <is>
          <t>A 21016-2023</t>
        </is>
      </c>
      <c r="B733" s="1" t="n">
        <v>45061.53414351852</v>
      </c>
      <c r="C733" s="1" t="n">
        <v>46147</v>
      </c>
      <c r="D733" t="inlineStr">
        <is>
          <t>ÖREBRO LÄN</t>
        </is>
      </c>
      <c r="E733" t="inlineStr">
        <is>
          <t>LINDESBERG</t>
        </is>
      </c>
      <c r="G733" t="n">
        <v>8.1</v>
      </c>
      <c r="H733" t="n">
        <v>0</v>
      </c>
      <c r="I733" t="n">
        <v>0</v>
      </c>
      <c r="J733" t="n">
        <v>0</v>
      </c>
      <c r="K733" t="n">
        <v>0</v>
      </c>
      <c r="L733" t="n">
        <v>0</v>
      </c>
      <c r="M733" t="n">
        <v>0</v>
      </c>
      <c r="N733" t="n">
        <v>0</v>
      </c>
      <c r="O733" t="n">
        <v>0</v>
      </c>
      <c r="P733" t="n">
        <v>0</v>
      </c>
      <c r="Q733" t="n">
        <v>0</v>
      </c>
      <c r="R733" s="2" t="inlineStr"/>
    </row>
    <row r="734" ht="15" customHeight="1">
      <c r="A734" t="inlineStr">
        <is>
          <t>A 64084-2023</t>
        </is>
      </c>
      <c r="B734" s="1" t="n">
        <v>45279</v>
      </c>
      <c r="C734" s="1" t="n">
        <v>46147</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33886-2024</t>
        </is>
      </c>
      <c r="B735" s="1" t="n">
        <v>45523.31621527778</v>
      </c>
      <c r="C735" s="1" t="n">
        <v>46147</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43046-2022</t>
        </is>
      </c>
      <c r="B736" s="1" t="n">
        <v>44833</v>
      </c>
      <c r="C736" s="1" t="n">
        <v>46147</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610-2026</t>
        </is>
      </c>
      <c r="B737" s="1" t="n">
        <v>46029</v>
      </c>
      <c r="C737" s="1" t="n">
        <v>46147</v>
      </c>
      <c r="D737" t="inlineStr">
        <is>
          <t>ÖREBRO LÄN</t>
        </is>
      </c>
      <c r="E737" t="inlineStr">
        <is>
          <t>LINDESBERG</t>
        </is>
      </c>
      <c r="G737" t="n">
        <v>0.8</v>
      </c>
      <c r="H737" t="n">
        <v>0</v>
      </c>
      <c r="I737" t="n">
        <v>0</v>
      </c>
      <c r="J737" t="n">
        <v>0</v>
      </c>
      <c r="K737" t="n">
        <v>0</v>
      </c>
      <c r="L737" t="n">
        <v>0</v>
      </c>
      <c r="M737" t="n">
        <v>0</v>
      </c>
      <c r="N737" t="n">
        <v>0</v>
      </c>
      <c r="O737" t="n">
        <v>0</v>
      </c>
      <c r="P737" t="n">
        <v>0</v>
      </c>
      <c r="Q737" t="n">
        <v>0</v>
      </c>
      <c r="R737" s="2" t="inlineStr"/>
    </row>
    <row r="738" ht="15" customHeight="1">
      <c r="A738" t="inlineStr">
        <is>
          <t>A 62866-2023</t>
        </is>
      </c>
      <c r="B738" s="1" t="n">
        <v>45272.36168981482</v>
      </c>
      <c r="C738" s="1" t="n">
        <v>46147</v>
      </c>
      <c r="D738" t="inlineStr">
        <is>
          <t>ÖREBRO LÄN</t>
        </is>
      </c>
      <c r="E738" t="inlineStr">
        <is>
          <t>LINDESBERG</t>
        </is>
      </c>
      <c r="G738" t="n">
        <v>14.5</v>
      </c>
      <c r="H738" t="n">
        <v>0</v>
      </c>
      <c r="I738" t="n">
        <v>0</v>
      </c>
      <c r="J738" t="n">
        <v>0</v>
      </c>
      <c r="K738" t="n">
        <v>0</v>
      </c>
      <c r="L738" t="n">
        <v>0</v>
      </c>
      <c r="M738" t="n">
        <v>0</v>
      </c>
      <c r="N738" t="n">
        <v>0</v>
      </c>
      <c r="O738" t="n">
        <v>0</v>
      </c>
      <c r="P738" t="n">
        <v>0</v>
      </c>
      <c r="Q738" t="n">
        <v>0</v>
      </c>
      <c r="R738" s="2" t="inlineStr"/>
    </row>
    <row r="739" ht="15" customHeight="1">
      <c r="A739" t="inlineStr">
        <is>
          <t>A 6-2023</t>
        </is>
      </c>
      <c r="B739" s="1" t="n">
        <v>44927.72487268518</v>
      </c>
      <c r="C739" s="1" t="n">
        <v>46147</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13729-2025</t>
        </is>
      </c>
      <c r="B740" s="1" t="n">
        <v>45737.3846412037</v>
      </c>
      <c r="C740" s="1" t="n">
        <v>46147</v>
      </c>
      <c r="D740" t="inlineStr">
        <is>
          <t>ÖREBRO LÄN</t>
        </is>
      </c>
      <c r="E740" t="inlineStr">
        <is>
          <t>LINDESBERG</t>
        </is>
      </c>
      <c r="F740" t="inlineStr">
        <is>
          <t>Sveaskog</t>
        </is>
      </c>
      <c r="G740" t="n">
        <v>5.4</v>
      </c>
      <c r="H740" t="n">
        <v>0</v>
      </c>
      <c r="I740" t="n">
        <v>0</v>
      </c>
      <c r="J740" t="n">
        <v>0</v>
      </c>
      <c r="K740" t="n">
        <v>0</v>
      </c>
      <c r="L740" t="n">
        <v>0</v>
      </c>
      <c r="M740" t="n">
        <v>0</v>
      </c>
      <c r="N740" t="n">
        <v>0</v>
      </c>
      <c r="O740" t="n">
        <v>0</v>
      </c>
      <c r="P740" t="n">
        <v>0</v>
      </c>
      <c r="Q740" t="n">
        <v>0</v>
      </c>
      <c r="R740" s="2" t="inlineStr"/>
    </row>
    <row r="741" ht="15" customHeight="1">
      <c r="A741" t="inlineStr">
        <is>
          <t>A 41353-2024</t>
        </is>
      </c>
      <c r="B741" s="1" t="n">
        <v>45559</v>
      </c>
      <c r="C741" s="1" t="n">
        <v>46147</v>
      </c>
      <c r="D741" t="inlineStr">
        <is>
          <t>ÖREBRO LÄN</t>
        </is>
      </c>
      <c r="E741" t="inlineStr">
        <is>
          <t>LINDESBERG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63508-2023</t>
        </is>
      </c>
      <c r="B742" s="1" t="n">
        <v>45274</v>
      </c>
      <c r="C742" s="1" t="n">
        <v>46147</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36136-2023</t>
        </is>
      </c>
      <c r="B743" s="1" t="n">
        <v>45149</v>
      </c>
      <c r="C743" s="1" t="n">
        <v>46147</v>
      </c>
      <c r="D743" t="inlineStr">
        <is>
          <t>ÖREBRO LÄN</t>
        </is>
      </c>
      <c r="E743" t="inlineStr">
        <is>
          <t>LINDESBERG</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911-2026</t>
        </is>
      </c>
      <c r="B744" s="1" t="n">
        <v>46030.47725694445</v>
      </c>
      <c r="C744" s="1" t="n">
        <v>46147</v>
      </c>
      <c r="D744" t="inlineStr">
        <is>
          <t>ÖREBRO LÄN</t>
        </is>
      </c>
      <c r="E744" t="inlineStr">
        <is>
          <t>LINDESBERG</t>
        </is>
      </c>
      <c r="G744" t="n">
        <v>1.6</v>
      </c>
      <c r="H744" t="n">
        <v>0</v>
      </c>
      <c r="I744" t="n">
        <v>0</v>
      </c>
      <c r="J744" t="n">
        <v>0</v>
      </c>
      <c r="K744" t="n">
        <v>0</v>
      </c>
      <c r="L744" t="n">
        <v>0</v>
      </c>
      <c r="M744" t="n">
        <v>0</v>
      </c>
      <c r="N744" t="n">
        <v>0</v>
      </c>
      <c r="O744" t="n">
        <v>0</v>
      </c>
      <c r="P744" t="n">
        <v>0</v>
      </c>
      <c r="Q744" t="n">
        <v>0</v>
      </c>
      <c r="R744" s="2" t="inlineStr"/>
    </row>
    <row r="745" ht="15" customHeight="1">
      <c r="A745" t="inlineStr">
        <is>
          <t>A 1160-2026</t>
        </is>
      </c>
      <c r="B745" s="1" t="n">
        <v>46031</v>
      </c>
      <c r="C745" s="1" t="n">
        <v>46147</v>
      </c>
      <c r="D745" t="inlineStr">
        <is>
          <t>ÖREBRO LÄN</t>
        </is>
      </c>
      <c r="E745" t="inlineStr">
        <is>
          <t>LINDESBERG</t>
        </is>
      </c>
      <c r="G745" t="n">
        <v>12.2</v>
      </c>
      <c r="H745" t="n">
        <v>0</v>
      </c>
      <c r="I745" t="n">
        <v>0</v>
      </c>
      <c r="J745" t="n">
        <v>0</v>
      </c>
      <c r="K745" t="n">
        <v>0</v>
      </c>
      <c r="L745" t="n">
        <v>0</v>
      </c>
      <c r="M745" t="n">
        <v>0</v>
      </c>
      <c r="N745" t="n">
        <v>0</v>
      </c>
      <c r="O745" t="n">
        <v>0</v>
      </c>
      <c r="P745" t="n">
        <v>0</v>
      </c>
      <c r="Q745" t="n">
        <v>0</v>
      </c>
      <c r="R745" s="2" t="inlineStr"/>
    </row>
    <row r="746" ht="15" customHeight="1">
      <c r="A746" t="inlineStr">
        <is>
          <t>A 34025-2024</t>
        </is>
      </c>
      <c r="B746" s="1" t="n">
        <v>45523.58565972222</v>
      </c>
      <c r="C746" s="1" t="n">
        <v>46147</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19077-2025</t>
        </is>
      </c>
      <c r="B747" s="1" t="n">
        <v>45766.33309027777</v>
      </c>
      <c r="C747" s="1" t="n">
        <v>46147</v>
      </c>
      <c r="D747" t="inlineStr">
        <is>
          <t>ÖREBRO LÄN</t>
        </is>
      </c>
      <c r="E747" t="inlineStr">
        <is>
          <t>LINDESBERG</t>
        </is>
      </c>
      <c r="G747" t="n">
        <v>0</v>
      </c>
      <c r="H747" t="n">
        <v>0</v>
      </c>
      <c r="I747" t="n">
        <v>0</v>
      </c>
      <c r="J747" t="n">
        <v>0</v>
      </c>
      <c r="K747" t="n">
        <v>0</v>
      </c>
      <c r="L747" t="n">
        <v>0</v>
      </c>
      <c r="M747" t="n">
        <v>0</v>
      </c>
      <c r="N747" t="n">
        <v>0</v>
      </c>
      <c r="O747" t="n">
        <v>0</v>
      </c>
      <c r="P747" t="n">
        <v>0</v>
      </c>
      <c r="Q747" t="n">
        <v>0</v>
      </c>
      <c r="R747" s="2" t="inlineStr"/>
    </row>
    <row r="748" ht="15" customHeight="1">
      <c r="A748" t="inlineStr">
        <is>
          <t>A 878-2026</t>
        </is>
      </c>
      <c r="B748" s="1" t="n">
        <v>46030.44277777777</v>
      </c>
      <c r="C748" s="1" t="n">
        <v>46147</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2556-2026</t>
        </is>
      </c>
      <c r="B749" s="1" t="n">
        <v>46035</v>
      </c>
      <c r="C749" s="1" t="n">
        <v>46147</v>
      </c>
      <c r="D749" t="inlineStr">
        <is>
          <t>ÖREBRO LÄN</t>
        </is>
      </c>
      <c r="E749" t="inlineStr">
        <is>
          <t>LINDESBERG</t>
        </is>
      </c>
      <c r="G749" t="n">
        <v>3.4</v>
      </c>
      <c r="H749" t="n">
        <v>0</v>
      </c>
      <c r="I749" t="n">
        <v>0</v>
      </c>
      <c r="J749" t="n">
        <v>0</v>
      </c>
      <c r="K749" t="n">
        <v>0</v>
      </c>
      <c r="L749" t="n">
        <v>0</v>
      </c>
      <c r="M749" t="n">
        <v>0</v>
      </c>
      <c r="N749" t="n">
        <v>0</v>
      </c>
      <c r="O749" t="n">
        <v>0</v>
      </c>
      <c r="P749" t="n">
        <v>0</v>
      </c>
      <c r="Q749" t="n">
        <v>0</v>
      </c>
      <c r="R749" s="2" t="inlineStr"/>
    </row>
    <row r="750" ht="15" customHeight="1">
      <c r="A750" t="inlineStr">
        <is>
          <t>A 13884-2023</t>
        </is>
      </c>
      <c r="B750" s="1" t="n">
        <v>45007</v>
      </c>
      <c r="C750" s="1" t="n">
        <v>46147</v>
      </c>
      <c r="D750" t="inlineStr">
        <is>
          <t>ÖREBRO LÄN</t>
        </is>
      </c>
      <c r="E750" t="inlineStr">
        <is>
          <t>LINDESBERG</t>
        </is>
      </c>
      <c r="F750" t="inlineStr">
        <is>
          <t>Kommuner</t>
        </is>
      </c>
      <c r="G750" t="n">
        <v>7.7</v>
      </c>
      <c r="H750" t="n">
        <v>0</v>
      </c>
      <c r="I750" t="n">
        <v>0</v>
      </c>
      <c r="J750" t="n">
        <v>0</v>
      </c>
      <c r="K750" t="n">
        <v>0</v>
      </c>
      <c r="L750" t="n">
        <v>0</v>
      </c>
      <c r="M750" t="n">
        <v>0</v>
      </c>
      <c r="N750" t="n">
        <v>0</v>
      </c>
      <c r="O750" t="n">
        <v>0</v>
      </c>
      <c r="P750" t="n">
        <v>0</v>
      </c>
      <c r="Q750" t="n">
        <v>0</v>
      </c>
      <c r="R750" s="2" t="inlineStr"/>
    </row>
    <row r="751" ht="15" customHeight="1">
      <c r="A751" t="inlineStr">
        <is>
          <t>A 50275-2024</t>
        </is>
      </c>
      <c r="B751" s="1" t="n">
        <v>45600.60071759259</v>
      </c>
      <c r="C751" s="1" t="n">
        <v>46147</v>
      </c>
      <c r="D751" t="inlineStr">
        <is>
          <t>ÖREBRO LÄN</t>
        </is>
      </c>
      <c r="E751" t="inlineStr">
        <is>
          <t>LINDESBERG</t>
        </is>
      </c>
      <c r="G751" t="n">
        <v>4.3</v>
      </c>
      <c r="H751" t="n">
        <v>0</v>
      </c>
      <c r="I751" t="n">
        <v>0</v>
      </c>
      <c r="J751" t="n">
        <v>0</v>
      </c>
      <c r="K751" t="n">
        <v>0</v>
      </c>
      <c r="L751" t="n">
        <v>0</v>
      </c>
      <c r="M751" t="n">
        <v>0</v>
      </c>
      <c r="N751" t="n">
        <v>0</v>
      </c>
      <c r="O751" t="n">
        <v>0</v>
      </c>
      <c r="P751" t="n">
        <v>0</v>
      </c>
      <c r="Q751" t="n">
        <v>0</v>
      </c>
      <c r="R751" s="2" t="inlineStr"/>
    </row>
    <row r="752" ht="15" customHeight="1">
      <c r="A752" t="inlineStr">
        <is>
          <t>A 17463-2023</t>
        </is>
      </c>
      <c r="B752" s="1" t="n">
        <v>45036</v>
      </c>
      <c r="C752" s="1" t="n">
        <v>46147</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1749-2026</t>
        </is>
      </c>
      <c r="B753" s="1" t="n">
        <v>46034.65601851852</v>
      </c>
      <c r="C753" s="1" t="n">
        <v>46147</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14522-2025</t>
        </is>
      </c>
      <c r="B754" s="1" t="n">
        <v>45741.64491898148</v>
      </c>
      <c r="C754" s="1" t="n">
        <v>46147</v>
      </c>
      <c r="D754" t="inlineStr">
        <is>
          <t>ÖREBRO LÄN</t>
        </is>
      </c>
      <c r="E754" t="inlineStr">
        <is>
          <t>LINDESBERG</t>
        </is>
      </c>
      <c r="G754" t="n">
        <v>4.5</v>
      </c>
      <c r="H754" t="n">
        <v>0</v>
      </c>
      <c r="I754" t="n">
        <v>0</v>
      </c>
      <c r="J754" t="n">
        <v>0</v>
      </c>
      <c r="K754" t="n">
        <v>0</v>
      </c>
      <c r="L754" t="n">
        <v>0</v>
      </c>
      <c r="M754" t="n">
        <v>0</v>
      </c>
      <c r="N754" t="n">
        <v>0</v>
      </c>
      <c r="O754" t="n">
        <v>0</v>
      </c>
      <c r="P754" t="n">
        <v>0</v>
      </c>
      <c r="Q754" t="n">
        <v>0</v>
      </c>
      <c r="R754" s="2" t="inlineStr"/>
    </row>
    <row r="755" ht="15" customHeight="1">
      <c r="A755" t="inlineStr">
        <is>
          <t>A 36001-2021</t>
        </is>
      </c>
      <c r="B755" s="1" t="n">
        <v>44389</v>
      </c>
      <c r="C755" s="1" t="n">
        <v>46147</v>
      </c>
      <c r="D755" t="inlineStr">
        <is>
          <t>ÖREBRO LÄN</t>
        </is>
      </c>
      <c r="E755" t="inlineStr">
        <is>
          <t>LINDESBERG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33280-2024</t>
        </is>
      </c>
      <c r="B756" s="1" t="n">
        <v>45518.71048611111</v>
      </c>
      <c r="C756" s="1" t="n">
        <v>46147</v>
      </c>
      <c r="D756" t="inlineStr">
        <is>
          <t>ÖREBRO LÄN</t>
        </is>
      </c>
      <c r="E756" t="inlineStr">
        <is>
          <t>LINDESBERG</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33281-2024</t>
        </is>
      </c>
      <c r="B757" s="1" t="n">
        <v>45518.71202546296</v>
      </c>
      <c r="C757" s="1" t="n">
        <v>46147</v>
      </c>
      <c r="D757" t="inlineStr">
        <is>
          <t>ÖREBRO LÄN</t>
        </is>
      </c>
      <c r="E757" t="inlineStr">
        <is>
          <t>LINDESBERG</t>
        </is>
      </c>
      <c r="G757" t="n">
        <v>2</v>
      </c>
      <c r="H757" t="n">
        <v>0</v>
      </c>
      <c r="I757" t="n">
        <v>0</v>
      </c>
      <c r="J757" t="n">
        <v>0</v>
      </c>
      <c r="K757" t="n">
        <v>0</v>
      </c>
      <c r="L757" t="n">
        <v>0</v>
      </c>
      <c r="M757" t="n">
        <v>0</v>
      </c>
      <c r="N757" t="n">
        <v>0</v>
      </c>
      <c r="O757" t="n">
        <v>0</v>
      </c>
      <c r="P757" t="n">
        <v>0</v>
      </c>
      <c r="Q757" t="n">
        <v>0</v>
      </c>
      <c r="R757" s="2" t="inlineStr"/>
    </row>
    <row r="758" ht="15" customHeight="1">
      <c r="A758" t="inlineStr">
        <is>
          <t>A 33283-2024</t>
        </is>
      </c>
      <c r="B758" s="1" t="n">
        <v>45518.71591435185</v>
      </c>
      <c r="C758" s="1" t="n">
        <v>46147</v>
      </c>
      <c r="D758" t="inlineStr">
        <is>
          <t>ÖREBRO LÄN</t>
        </is>
      </c>
      <c r="E758" t="inlineStr">
        <is>
          <t>LINDESBERG</t>
        </is>
      </c>
      <c r="G758" t="n">
        <v>3.9</v>
      </c>
      <c r="H758" t="n">
        <v>0</v>
      </c>
      <c r="I758" t="n">
        <v>0</v>
      </c>
      <c r="J758" t="n">
        <v>0</v>
      </c>
      <c r="K758" t="n">
        <v>0</v>
      </c>
      <c r="L758" t="n">
        <v>0</v>
      </c>
      <c r="M758" t="n">
        <v>0</v>
      </c>
      <c r="N758" t="n">
        <v>0</v>
      </c>
      <c r="O758" t="n">
        <v>0</v>
      </c>
      <c r="P758" t="n">
        <v>0</v>
      </c>
      <c r="Q758" t="n">
        <v>0</v>
      </c>
      <c r="R758" s="2" t="inlineStr"/>
    </row>
    <row r="759" ht="15" customHeight="1">
      <c r="A759" t="inlineStr">
        <is>
          <t>A 39140-2024</t>
        </is>
      </c>
      <c r="B759" s="1" t="n">
        <v>45548</v>
      </c>
      <c r="C759" s="1" t="n">
        <v>46147</v>
      </c>
      <c r="D759" t="inlineStr">
        <is>
          <t>ÖREBRO LÄN</t>
        </is>
      </c>
      <c r="E759" t="inlineStr">
        <is>
          <t>LINDESBERG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20387-2026</t>
        </is>
      </c>
      <c r="B760" s="1" t="n">
        <v>46139.71047453704</v>
      </c>
      <c r="C760" s="1" t="n">
        <v>46147</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32928-2023</t>
        </is>
      </c>
      <c r="B761" s="1" t="n">
        <v>45125.41458333333</v>
      </c>
      <c r="C761" s="1" t="n">
        <v>46147</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20364-2026</t>
        </is>
      </c>
      <c r="B762" s="1" t="n">
        <v>46139.67759259259</v>
      </c>
      <c r="C762" s="1" t="n">
        <v>46147</v>
      </c>
      <c r="D762" t="inlineStr">
        <is>
          <t>ÖREBRO LÄN</t>
        </is>
      </c>
      <c r="E762" t="inlineStr">
        <is>
          <t>LINDESBERG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32994-2023</t>
        </is>
      </c>
      <c r="B763" s="1" t="n">
        <v>45113</v>
      </c>
      <c r="C763" s="1" t="n">
        <v>46147</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45062-2022</t>
        </is>
      </c>
      <c r="B764" s="1" t="n">
        <v>44841</v>
      </c>
      <c r="C764" s="1" t="n">
        <v>46147</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21012-2023</t>
        </is>
      </c>
      <c r="B765" s="1" t="n">
        <v>45061.52474537037</v>
      </c>
      <c r="C765" s="1" t="n">
        <v>46147</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40456-2023</t>
        </is>
      </c>
      <c r="B766" s="1" t="n">
        <v>45170</v>
      </c>
      <c r="C766" s="1" t="n">
        <v>46147</v>
      </c>
      <c r="D766" t="inlineStr">
        <is>
          <t>ÖREBRO LÄN</t>
        </is>
      </c>
      <c r="E766" t="inlineStr">
        <is>
          <t>LINDESBERG</t>
        </is>
      </c>
      <c r="F766" t="inlineStr">
        <is>
          <t>Kyrkan</t>
        </is>
      </c>
      <c r="G766" t="n">
        <v>0.6</v>
      </c>
      <c r="H766" t="n">
        <v>0</v>
      </c>
      <c r="I766" t="n">
        <v>0</v>
      </c>
      <c r="J766" t="n">
        <v>0</v>
      </c>
      <c r="K766" t="n">
        <v>0</v>
      </c>
      <c r="L766" t="n">
        <v>0</v>
      </c>
      <c r="M766" t="n">
        <v>0</v>
      </c>
      <c r="N766" t="n">
        <v>0</v>
      </c>
      <c r="O766" t="n">
        <v>0</v>
      </c>
      <c r="P766" t="n">
        <v>0</v>
      </c>
      <c r="Q766" t="n">
        <v>0</v>
      </c>
      <c r="R766" s="2" t="inlineStr"/>
    </row>
    <row r="767" ht="15" customHeight="1">
      <c r="A767" t="inlineStr">
        <is>
          <t>A 42282-2024</t>
        </is>
      </c>
      <c r="B767" s="1" t="n">
        <v>45562.61158564815</v>
      </c>
      <c r="C767" s="1" t="n">
        <v>46147</v>
      </c>
      <c r="D767" t="inlineStr">
        <is>
          <t>ÖREBRO LÄN</t>
        </is>
      </c>
      <c r="E767" t="inlineStr">
        <is>
          <t>LINDESBERG</t>
        </is>
      </c>
      <c r="G767" t="n">
        <v>0.8</v>
      </c>
      <c r="H767" t="n">
        <v>0</v>
      </c>
      <c r="I767" t="n">
        <v>0</v>
      </c>
      <c r="J767" t="n">
        <v>0</v>
      </c>
      <c r="K767" t="n">
        <v>0</v>
      </c>
      <c r="L767" t="n">
        <v>0</v>
      </c>
      <c r="M767" t="n">
        <v>0</v>
      </c>
      <c r="N767" t="n">
        <v>0</v>
      </c>
      <c r="O767" t="n">
        <v>0</v>
      </c>
      <c r="P767" t="n">
        <v>0</v>
      </c>
      <c r="Q767" t="n">
        <v>0</v>
      </c>
      <c r="R767" s="2" t="inlineStr"/>
    </row>
    <row r="768" ht="15" customHeight="1">
      <c r="A768" t="inlineStr">
        <is>
          <t>A 32262-2021</t>
        </is>
      </c>
      <c r="B768" s="1" t="n">
        <v>44371.47609953704</v>
      </c>
      <c r="C768" s="1" t="n">
        <v>46147</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27576-2024</t>
        </is>
      </c>
      <c r="B769" s="1" t="n">
        <v>45474.65005787037</v>
      </c>
      <c r="C769" s="1" t="n">
        <v>46147</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32099-2024</t>
        </is>
      </c>
      <c r="B770" s="1" t="n">
        <v>45511.40297453704</v>
      </c>
      <c r="C770" s="1" t="n">
        <v>46147</v>
      </c>
      <c r="D770" t="inlineStr">
        <is>
          <t>ÖREBRO LÄN</t>
        </is>
      </c>
      <c r="E770" t="inlineStr">
        <is>
          <t>LINDESBERG</t>
        </is>
      </c>
      <c r="G770" t="n">
        <v>2.3</v>
      </c>
      <c r="H770" t="n">
        <v>0</v>
      </c>
      <c r="I770" t="n">
        <v>0</v>
      </c>
      <c r="J770" t="n">
        <v>0</v>
      </c>
      <c r="K770" t="n">
        <v>0</v>
      </c>
      <c r="L770" t="n">
        <v>0</v>
      </c>
      <c r="M770" t="n">
        <v>0</v>
      </c>
      <c r="N770" t="n">
        <v>0</v>
      </c>
      <c r="O770" t="n">
        <v>0</v>
      </c>
      <c r="P770" t="n">
        <v>0</v>
      </c>
      <c r="Q770" t="n">
        <v>0</v>
      </c>
      <c r="R770" s="2" t="inlineStr"/>
    </row>
    <row r="771" ht="15" customHeight="1">
      <c r="A771" t="inlineStr">
        <is>
          <t>A 8836-2023</t>
        </is>
      </c>
      <c r="B771" s="1" t="n">
        <v>44978</v>
      </c>
      <c r="C771" s="1" t="n">
        <v>46147</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20970-2026</t>
        </is>
      </c>
      <c r="B772" s="1" t="n">
        <v>46142.56342592592</v>
      </c>
      <c r="C772" s="1" t="n">
        <v>46147</v>
      </c>
      <c r="D772" t="inlineStr">
        <is>
          <t>ÖREBRO LÄN</t>
        </is>
      </c>
      <c r="E772" t="inlineStr">
        <is>
          <t>LINDESBERG</t>
        </is>
      </c>
      <c r="F772" t="inlineStr">
        <is>
          <t>Naturvårdsverket</t>
        </is>
      </c>
      <c r="G772" t="n">
        <v>5</v>
      </c>
      <c r="H772" t="n">
        <v>0</v>
      </c>
      <c r="I772" t="n">
        <v>0</v>
      </c>
      <c r="J772" t="n">
        <v>0</v>
      </c>
      <c r="K772" t="n">
        <v>0</v>
      </c>
      <c r="L772" t="n">
        <v>0</v>
      </c>
      <c r="M772" t="n">
        <v>0</v>
      </c>
      <c r="N772" t="n">
        <v>0</v>
      </c>
      <c r="O772" t="n">
        <v>0</v>
      </c>
      <c r="P772" t="n">
        <v>0</v>
      </c>
      <c r="Q772" t="n">
        <v>0</v>
      </c>
      <c r="R772" s="2" t="inlineStr"/>
    </row>
    <row r="773" ht="15" customHeight="1">
      <c r="A773" t="inlineStr">
        <is>
          <t>A 14034-2026</t>
        </is>
      </c>
      <c r="B773" s="1" t="n">
        <v>46098.79559027778</v>
      </c>
      <c r="C773" s="1" t="n">
        <v>46147</v>
      </c>
      <c r="D773" t="inlineStr">
        <is>
          <t>ÖREBRO LÄN</t>
        </is>
      </c>
      <c r="E773" t="inlineStr">
        <is>
          <t>LINDESBERG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20971-2026</t>
        </is>
      </c>
      <c r="B774" s="1" t="n">
        <v>46142.56399305556</v>
      </c>
      <c r="C774" s="1" t="n">
        <v>46147</v>
      </c>
      <c r="D774" t="inlineStr">
        <is>
          <t>ÖREBRO LÄN</t>
        </is>
      </c>
      <c r="E774" t="inlineStr">
        <is>
          <t>LINDESBERG</t>
        </is>
      </c>
      <c r="F774" t="inlineStr">
        <is>
          <t>Naturvårdsverket</t>
        </is>
      </c>
      <c r="G774" t="n">
        <v>4.5</v>
      </c>
      <c r="H774" t="n">
        <v>0</v>
      </c>
      <c r="I774" t="n">
        <v>0</v>
      </c>
      <c r="J774" t="n">
        <v>0</v>
      </c>
      <c r="K774" t="n">
        <v>0</v>
      </c>
      <c r="L774" t="n">
        <v>0</v>
      </c>
      <c r="M774" t="n">
        <v>0</v>
      </c>
      <c r="N774" t="n">
        <v>0</v>
      </c>
      <c r="O774" t="n">
        <v>0</v>
      </c>
      <c r="P774" t="n">
        <v>0</v>
      </c>
      <c r="Q774" t="n">
        <v>0</v>
      </c>
      <c r="R774" s="2" t="inlineStr"/>
    </row>
    <row r="775" ht="15" customHeight="1">
      <c r="A775" t="inlineStr">
        <is>
          <t>A 5772-2023</t>
        </is>
      </c>
      <c r="B775" s="1" t="n">
        <v>44963.37709490741</v>
      </c>
      <c r="C775" s="1" t="n">
        <v>46147</v>
      </c>
      <c r="D775" t="inlineStr">
        <is>
          <t>ÖREBRO LÄN</t>
        </is>
      </c>
      <c r="E775" t="inlineStr">
        <is>
          <t>LINDESBERG</t>
        </is>
      </c>
      <c r="G775" t="n">
        <v>3</v>
      </c>
      <c r="H775" t="n">
        <v>0</v>
      </c>
      <c r="I775" t="n">
        <v>0</v>
      </c>
      <c r="J775" t="n">
        <v>0</v>
      </c>
      <c r="K775" t="n">
        <v>0</v>
      </c>
      <c r="L775" t="n">
        <v>0</v>
      </c>
      <c r="M775" t="n">
        <v>0</v>
      </c>
      <c r="N775" t="n">
        <v>0</v>
      </c>
      <c r="O775" t="n">
        <v>0</v>
      </c>
      <c r="P775" t="n">
        <v>0</v>
      </c>
      <c r="Q775" t="n">
        <v>0</v>
      </c>
      <c r="R775" s="2" t="inlineStr"/>
    </row>
    <row r="776" ht="15" customHeight="1">
      <c r="A776" t="inlineStr">
        <is>
          <t>A 36024-2021</t>
        </is>
      </c>
      <c r="B776" s="1" t="n">
        <v>44389</v>
      </c>
      <c r="C776" s="1" t="n">
        <v>46147</v>
      </c>
      <c r="D776" t="inlineStr">
        <is>
          <t>ÖREBRO LÄN</t>
        </is>
      </c>
      <c r="E776" t="inlineStr">
        <is>
          <t>LINDESBERG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15050-2026</t>
        </is>
      </c>
      <c r="B777" s="1" t="n">
        <v>46104.67331018519</v>
      </c>
      <c r="C777" s="1" t="n">
        <v>46147</v>
      </c>
      <c r="D777" t="inlineStr">
        <is>
          <t>ÖREBRO LÄN</t>
        </is>
      </c>
      <c r="E777" t="inlineStr">
        <is>
          <t>LINDESBERG</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14680-2026</t>
        </is>
      </c>
      <c r="B778" s="1" t="n">
        <v>46101.48212962963</v>
      </c>
      <c r="C778" s="1" t="n">
        <v>46147</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11559-2024</t>
        </is>
      </c>
      <c r="B779" s="1" t="n">
        <v>45373.30434027778</v>
      </c>
      <c r="C779" s="1" t="n">
        <v>46147</v>
      </c>
      <c r="D779" t="inlineStr">
        <is>
          <t>ÖREBRO LÄN</t>
        </is>
      </c>
      <c r="E779" t="inlineStr">
        <is>
          <t>LINDESBERG</t>
        </is>
      </c>
      <c r="F779" t="inlineStr">
        <is>
          <t>BillerudKorsnäs AB</t>
        </is>
      </c>
      <c r="G779" t="n">
        <v>1.9</v>
      </c>
      <c r="H779" t="n">
        <v>0</v>
      </c>
      <c r="I779" t="n">
        <v>0</v>
      </c>
      <c r="J779" t="n">
        <v>0</v>
      </c>
      <c r="K779" t="n">
        <v>0</v>
      </c>
      <c r="L779" t="n">
        <v>0</v>
      </c>
      <c r="M779" t="n">
        <v>0</v>
      </c>
      <c r="N779" t="n">
        <v>0</v>
      </c>
      <c r="O779" t="n">
        <v>0</v>
      </c>
      <c r="P779" t="n">
        <v>0</v>
      </c>
      <c r="Q779" t="n">
        <v>0</v>
      </c>
      <c r="R779" s="2" t="inlineStr"/>
    </row>
    <row r="780" ht="15" customHeight="1">
      <c r="A780" t="inlineStr">
        <is>
          <t>A 21084-2026</t>
        </is>
      </c>
      <c r="B780" s="1" t="n">
        <v>46146.43534722222</v>
      </c>
      <c r="C780" s="1" t="n">
        <v>46147</v>
      </c>
      <c r="D780" t="inlineStr">
        <is>
          <t>ÖREBRO LÄN</t>
        </is>
      </c>
      <c r="E780" t="inlineStr">
        <is>
          <t>LINDESBERG</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13472-2023</t>
        </is>
      </c>
      <c r="B781" s="1" t="n">
        <v>45005</v>
      </c>
      <c r="C781" s="1" t="n">
        <v>46147</v>
      </c>
      <c r="D781" t="inlineStr">
        <is>
          <t>ÖREBRO LÄN</t>
        </is>
      </c>
      <c r="E781" t="inlineStr">
        <is>
          <t>LINDESBERG</t>
        </is>
      </c>
      <c r="G781" t="n">
        <v>2.5</v>
      </c>
      <c r="H781" t="n">
        <v>0</v>
      </c>
      <c r="I781" t="n">
        <v>0</v>
      </c>
      <c r="J781" t="n">
        <v>0</v>
      </c>
      <c r="K781" t="n">
        <v>0</v>
      </c>
      <c r="L781" t="n">
        <v>0</v>
      </c>
      <c r="M781" t="n">
        <v>0</v>
      </c>
      <c r="N781" t="n">
        <v>0</v>
      </c>
      <c r="O781" t="n">
        <v>0</v>
      </c>
      <c r="P781" t="n">
        <v>0</v>
      </c>
      <c r="Q781" t="n">
        <v>0</v>
      </c>
      <c r="R781" s="2" t="inlineStr"/>
    </row>
    <row r="782" ht="15" customHeight="1">
      <c r="A782" t="inlineStr">
        <is>
          <t>A 17087-2023</t>
        </is>
      </c>
      <c r="B782" s="1" t="n">
        <v>45034.5174537037</v>
      </c>
      <c r="C782" s="1" t="n">
        <v>46147</v>
      </c>
      <c r="D782" t="inlineStr">
        <is>
          <t>ÖREBRO LÄN</t>
        </is>
      </c>
      <c r="E782" t="inlineStr">
        <is>
          <t>LINDESBERG</t>
        </is>
      </c>
      <c r="G782" t="n">
        <v>2.7</v>
      </c>
      <c r="H782" t="n">
        <v>0</v>
      </c>
      <c r="I782" t="n">
        <v>0</v>
      </c>
      <c r="J782" t="n">
        <v>0</v>
      </c>
      <c r="K782" t="n">
        <v>0</v>
      </c>
      <c r="L782" t="n">
        <v>0</v>
      </c>
      <c r="M782" t="n">
        <v>0</v>
      </c>
      <c r="N782" t="n">
        <v>0</v>
      </c>
      <c r="O782" t="n">
        <v>0</v>
      </c>
      <c r="P782" t="n">
        <v>0</v>
      </c>
      <c r="Q782" t="n">
        <v>0</v>
      </c>
      <c r="R782" s="2" t="inlineStr"/>
    </row>
    <row r="783" ht="15" customHeight="1">
      <c r="A783" t="inlineStr">
        <is>
          <t>A 61222-2022</t>
        </is>
      </c>
      <c r="B783" s="1" t="n">
        <v>44909</v>
      </c>
      <c r="C783" s="1" t="n">
        <v>46147</v>
      </c>
      <c r="D783" t="inlineStr">
        <is>
          <t>ÖREBRO LÄN</t>
        </is>
      </c>
      <c r="E783" t="inlineStr">
        <is>
          <t>LINDESBERG</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46484-2024</t>
        </is>
      </c>
      <c r="B784" s="1" t="n">
        <v>45582.57542824074</v>
      </c>
      <c r="C784" s="1" t="n">
        <v>46147</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41576-2021</t>
        </is>
      </c>
      <c r="B785" s="1" t="n">
        <v>44425</v>
      </c>
      <c r="C785" s="1" t="n">
        <v>46147</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58741-2024</t>
        </is>
      </c>
      <c r="B786" s="1" t="n">
        <v>45635.69581018519</v>
      </c>
      <c r="C786" s="1" t="n">
        <v>46147</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26967-2022</t>
        </is>
      </c>
      <c r="B787" s="1" t="n">
        <v>44740.66997685185</v>
      </c>
      <c r="C787" s="1" t="n">
        <v>46147</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43066-2021</t>
        </is>
      </c>
      <c r="B788" s="1" t="n">
        <v>44431</v>
      </c>
      <c r="C788" s="1" t="n">
        <v>46147</v>
      </c>
      <c r="D788" t="inlineStr">
        <is>
          <t>ÖREBRO LÄN</t>
        </is>
      </c>
      <c r="E788" t="inlineStr">
        <is>
          <t>LINDESBERG</t>
        </is>
      </c>
      <c r="G788" t="n">
        <v>0.6</v>
      </c>
      <c r="H788" t="n">
        <v>0</v>
      </c>
      <c r="I788" t="n">
        <v>0</v>
      </c>
      <c r="J788" t="n">
        <v>0</v>
      </c>
      <c r="K788" t="n">
        <v>0</v>
      </c>
      <c r="L788" t="n">
        <v>0</v>
      </c>
      <c r="M788" t="n">
        <v>0</v>
      </c>
      <c r="N788" t="n">
        <v>0</v>
      </c>
      <c r="O788" t="n">
        <v>0</v>
      </c>
      <c r="P788" t="n">
        <v>0</v>
      </c>
      <c r="Q788" t="n">
        <v>0</v>
      </c>
      <c r="R788" s="2" t="inlineStr"/>
    </row>
    <row r="789" ht="15" customHeight="1">
      <c r="A789" t="inlineStr">
        <is>
          <t>A 45428-2023</t>
        </is>
      </c>
      <c r="B789" s="1" t="n">
        <v>45194</v>
      </c>
      <c r="C789" s="1" t="n">
        <v>46147</v>
      </c>
      <c r="D789" t="inlineStr">
        <is>
          <t>ÖREBRO LÄN</t>
        </is>
      </c>
      <c r="E789" t="inlineStr">
        <is>
          <t>LINDESBERG</t>
        </is>
      </c>
      <c r="G789" t="n">
        <v>7.7</v>
      </c>
      <c r="H789" t="n">
        <v>0</v>
      </c>
      <c r="I789" t="n">
        <v>0</v>
      </c>
      <c r="J789" t="n">
        <v>0</v>
      </c>
      <c r="K789" t="n">
        <v>0</v>
      </c>
      <c r="L789" t="n">
        <v>0</v>
      </c>
      <c r="M789" t="n">
        <v>0</v>
      </c>
      <c r="N789" t="n">
        <v>0</v>
      </c>
      <c r="O789" t="n">
        <v>0</v>
      </c>
      <c r="P789" t="n">
        <v>0</v>
      </c>
      <c r="Q789" t="n">
        <v>0</v>
      </c>
      <c r="R789" s="2" t="inlineStr"/>
    </row>
    <row r="790" ht="15" customHeight="1">
      <c r="A790" t="inlineStr">
        <is>
          <t>A 53897-2024</t>
        </is>
      </c>
      <c r="B790" s="1" t="n">
        <v>45615.69570601852</v>
      </c>
      <c r="C790" s="1" t="n">
        <v>46147</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56907-2024</t>
        </is>
      </c>
      <c r="B791" s="1" t="n">
        <v>45628.58975694444</v>
      </c>
      <c r="C791" s="1" t="n">
        <v>46147</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7992-2025</t>
        </is>
      </c>
      <c r="B792" s="1" t="n">
        <v>45707</v>
      </c>
      <c r="C792" s="1" t="n">
        <v>46147</v>
      </c>
      <c r="D792" t="inlineStr">
        <is>
          <t>ÖREBRO LÄN</t>
        </is>
      </c>
      <c r="E792" t="inlineStr">
        <is>
          <t>LINDESBERG</t>
        </is>
      </c>
      <c r="G792" t="n">
        <v>4.8</v>
      </c>
      <c r="H792" t="n">
        <v>0</v>
      </c>
      <c r="I792" t="n">
        <v>0</v>
      </c>
      <c r="J792" t="n">
        <v>0</v>
      </c>
      <c r="K792" t="n">
        <v>0</v>
      </c>
      <c r="L792" t="n">
        <v>0</v>
      </c>
      <c r="M792" t="n">
        <v>0</v>
      </c>
      <c r="N792" t="n">
        <v>0</v>
      </c>
      <c r="O792" t="n">
        <v>0</v>
      </c>
      <c r="P792" t="n">
        <v>0</v>
      </c>
      <c r="Q792" t="n">
        <v>0</v>
      </c>
      <c r="R792" s="2" t="inlineStr"/>
    </row>
    <row r="793" ht="15" customHeight="1">
      <c r="A793" t="inlineStr">
        <is>
          <t>A 17242-2025</t>
        </is>
      </c>
      <c r="B793" s="1" t="n">
        <v>45756.49009259259</v>
      </c>
      <c r="C793" s="1" t="n">
        <v>46147</v>
      </c>
      <c r="D793" t="inlineStr">
        <is>
          <t>ÖREBRO LÄN</t>
        </is>
      </c>
      <c r="E793" t="inlineStr">
        <is>
          <t>LINDESBERG</t>
        </is>
      </c>
      <c r="G793" t="n">
        <v>7.3</v>
      </c>
      <c r="H793" t="n">
        <v>0</v>
      </c>
      <c r="I793" t="n">
        <v>0</v>
      </c>
      <c r="J793" t="n">
        <v>0</v>
      </c>
      <c r="K793" t="n">
        <v>0</v>
      </c>
      <c r="L793" t="n">
        <v>0</v>
      </c>
      <c r="M793" t="n">
        <v>0</v>
      </c>
      <c r="N793" t="n">
        <v>0</v>
      </c>
      <c r="O793" t="n">
        <v>0</v>
      </c>
      <c r="P793" t="n">
        <v>0</v>
      </c>
      <c r="Q793" t="n">
        <v>0</v>
      </c>
      <c r="R793" s="2" t="inlineStr"/>
    </row>
    <row r="794" ht="15" customHeight="1">
      <c r="A794" t="inlineStr">
        <is>
          <t>A 7119-2025</t>
        </is>
      </c>
      <c r="B794" s="1" t="n">
        <v>45702</v>
      </c>
      <c r="C794" s="1" t="n">
        <v>46147</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45060-2024</t>
        </is>
      </c>
      <c r="B795" s="1" t="n">
        <v>45575.55570601852</v>
      </c>
      <c r="C795" s="1" t="n">
        <v>46147</v>
      </c>
      <c r="D795" t="inlineStr">
        <is>
          <t>ÖREBRO LÄN</t>
        </is>
      </c>
      <c r="E795" t="inlineStr">
        <is>
          <t>LINDESBERG</t>
        </is>
      </c>
      <c r="F795" t="inlineStr">
        <is>
          <t>Sveaskog</t>
        </is>
      </c>
      <c r="G795" t="n">
        <v>4.6</v>
      </c>
      <c r="H795" t="n">
        <v>0</v>
      </c>
      <c r="I795" t="n">
        <v>0</v>
      </c>
      <c r="J795" t="n">
        <v>0</v>
      </c>
      <c r="K795" t="n">
        <v>0</v>
      </c>
      <c r="L795" t="n">
        <v>0</v>
      </c>
      <c r="M795" t="n">
        <v>0</v>
      </c>
      <c r="N795" t="n">
        <v>0</v>
      </c>
      <c r="O795" t="n">
        <v>0</v>
      </c>
      <c r="P795" t="n">
        <v>0</v>
      </c>
      <c r="Q795" t="n">
        <v>0</v>
      </c>
      <c r="R795" s="2" t="inlineStr"/>
    </row>
    <row r="796" ht="15" customHeight="1">
      <c r="A796" t="inlineStr">
        <is>
          <t>A 50972-2023</t>
        </is>
      </c>
      <c r="B796" s="1" t="n">
        <v>45218</v>
      </c>
      <c r="C796" s="1" t="n">
        <v>46147</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50225-2021</t>
        </is>
      </c>
      <c r="B797" s="1" t="n">
        <v>44457</v>
      </c>
      <c r="C797" s="1" t="n">
        <v>46147</v>
      </c>
      <c r="D797" t="inlineStr">
        <is>
          <t>ÖREBRO LÄN</t>
        </is>
      </c>
      <c r="E797" t="inlineStr">
        <is>
          <t>LINDESBERG</t>
        </is>
      </c>
      <c r="G797" t="n">
        <v>2.5</v>
      </c>
      <c r="H797" t="n">
        <v>0</v>
      </c>
      <c r="I797" t="n">
        <v>0</v>
      </c>
      <c r="J797" t="n">
        <v>0</v>
      </c>
      <c r="K797" t="n">
        <v>0</v>
      </c>
      <c r="L797" t="n">
        <v>0</v>
      </c>
      <c r="M797" t="n">
        <v>0</v>
      </c>
      <c r="N797" t="n">
        <v>0</v>
      </c>
      <c r="O797" t="n">
        <v>0</v>
      </c>
      <c r="P797" t="n">
        <v>0</v>
      </c>
      <c r="Q797" t="n">
        <v>0</v>
      </c>
      <c r="R797" s="2" t="inlineStr"/>
    </row>
    <row r="798" ht="15" customHeight="1">
      <c r="A798" t="inlineStr">
        <is>
          <t>A 48244-2024</t>
        </is>
      </c>
      <c r="B798" s="1" t="n">
        <v>45590.39471064815</v>
      </c>
      <c r="C798" s="1" t="n">
        <v>46147</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20210-2024</t>
        </is>
      </c>
      <c r="B799" s="1" t="n">
        <v>45434.65854166666</v>
      </c>
      <c r="C799" s="1" t="n">
        <v>46147</v>
      </c>
      <c r="D799" t="inlineStr">
        <is>
          <t>ÖREBRO LÄN</t>
        </is>
      </c>
      <c r="E799" t="inlineStr">
        <is>
          <t>LINDESBERG</t>
        </is>
      </c>
      <c r="G799" t="n">
        <v>5.5</v>
      </c>
      <c r="H799" t="n">
        <v>0</v>
      </c>
      <c r="I799" t="n">
        <v>0</v>
      </c>
      <c r="J799" t="n">
        <v>0</v>
      </c>
      <c r="K799" t="n">
        <v>0</v>
      </c>
      <c r="L799" t="n">
        <v>0</v>
      </c>
      <c r="M799" t="n">
        <v>0</v>
      </c>
      <c r="N799" t="n">
        <v>0</v>
      </c>
      <c r="O799" t="n">
        <v>0</v>
      </c>
      <c r="P799" t="n">
        <v>0</v>
      </c>
      <c r="Q799" t="n">
        <v>0</v>
      </c>
      <c r="R799" s="2" t="inlineStr"/>
    </row>
    <row r="800" ht="15" customHeight="1">
      <c r="A800" t="inlineStr">
        <is>
          <t>A 24352-2023</t>
        </is>
      </c>
      <c r="B800" s="1" t="n">
        <v>45082.31421296296</v>
      </c>
      <c r="C800" s="1" t="n">
        <v>46147</v>
      </c>
      <c r="D800" t="inlineStr">
        <is>
          <t>ÖREBRO LÄN</t>
        </is>
      </c>
      <c r="E800" t="inlineStr">
        <is>
          <t>LINDESBERG</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22824-2023</t>
        </is>
      </c>
      <c r="B801" s="1" t="n">
        <v>45072</v>
      </c>
      <c r="C801" s="1" t="n">
        <v>46147</v>
      </c>
      <c r="D801" t="inlineStr">
        <is>
          <t>ÖREBRO LÄN</t>
        </is>
      </c>
      <c r="E801" t="inlineStr">
        <is>
          <t>LINDESBERG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36509-2024</t>
        </is>
      </c>
      <c r="B802" s="1" t="n">
        <v>45537.42240740741</v>
      </c>
      <c r="C802" s="1" t="n">
        <v>46147</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33428-2024</t>
        </is>
      </c>
      <c r="B803" s="1" t="n">
        <v>45519.52319444445</v>
      </c>
      <c r="C803" s="1" t="n">
        <v>46147</v>
      </c>
      <c r="D803" t="inlineStr">
        <is>
          <t>ÖREBRO LÄN</t>
        </is>
      </c>
      <c r="E803" t="inlineStr">
        <is>
          <t>LINDESBERG</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17104-2024</t>
        </is>
      </c>
      <c r="B804" s="1" t="n">
        <v>45412.54541666667</v>
      </c>
      <c r="C804" s="1" t="n">
        <v>46147</v>
      </c>
      <c r="D804" t="inlineStr">
        <is>
          <t>ÖREBRO LÄN</t>
        </is>
      </c>
      <c r="E804" t="inlineStr">
        <is>
          <t>LINDESBERG</t>
        </is>
      </c>
      <c r="G804" t="n">
        <v>2.2</v>
      </c>
      <c r="H804" t="n">
        <v>0</v>
      </c>
      <c r="I804" t="n">
        <v>0</v>
      </c>
      <c r="J804" t="n">
        <v>0</v>
      </c>
      <c r="K804" t="n">
        <v>0</v>
      </c>
      <c r="L804" t="n">
        <v>0</v>
      </c>
      <c r="M804" t="n">
        <v>0</v>
      </c>
      <c r="N804" t="n">
        <v>0</v>
      </c>
      <c r="O804" t="n">
        <v>0</v>
      </c>
      <c r="P804" t="n">
        <v>0</v>
      </c>
      <c r="Q804" t="n">
        <v>0</v>
      </c>
      <c r="R804" s="2" t="inlineStr"/>
    </row>
    <row r="805" ht="15" customHeight="1">
      <c r="A805" t="inlineStr">
        <is>
          <t>A 13350-2024</t>
        </is>
      </c>
      <c r="B805" s="1" t="n">
        <v>45387.24732638889</v>
      </c>
      <c r="C805" s="1" t="n">
        <v>46147</v>
      </c>
      <c r="D805" t="inlineStr">
        <is>
          <t>ÖREBRO LÄN</t>
        </is>
      </c>
      <c r="E805" t="inlineStr">
        <is>
          <t>LINDESBERG</t>
        </is>
      </c>
      <c r="G805" t="n">
        <v>4.1</v>
      </c>
      <c r="H805" t="n">
        <v>0</v>
      </c>
      <c r="I805" t="n">
        <v>0</v>
      </c>
      <c r="J805" t="n">
        <v>0</v>
      </c>
      <c r="K805" t="n">
        <v>0</v>
      </c>
      <c r="L805" t="n">
        <v>0</v>
      </c>
      <c r="M805" t="n">
        <v>0</v>
      </c>
      <c r="N805" t="n">
        <v>0</v>
      </c>
      <c r="O805" t="n">
        <v>0</v>
      </c>
      <c r="P805" t="n">
        <v>0</v>
      </c>
      <c r="Q805" t="n">
        <v>0</v>
      </c>
      <c r="R805" s="2" t="inlineStr"/>
    </row>
    <row r="806" ht="15" customHeight="1">
      <c r="A806" t="inlineStr">
        <is>
          <t>A 13351-2024</t>
        </is>
      </c>
      <c r="B806" s="1" t="n">
        <v>45387.2521875</v>
      </c>
      <c r="C806" s="1" t="n">
        <v>46147</v>
      </c>
      <c r="D806" t="inlineStr">
        <is>
          <t>ÖREBRO LÄN</t>
        </is>
      </c>
      <c r="E806" t="inlineStr">
        <is>
          <t>LINDESBERG</t>
        </is>
      </c>
      <c r="G806" t="n">
        <v>1.7</v>
      </c>
      <c r="H806" t="n">
        <v>0</v>
      </c>
      <c r="I806" t="n">
        <v>0</v>
      </c>
      <c r="J806" t="n">
        <v>0</v>
      </c>
      <c r="K806" t="n">
        <v>0</v>
      </c>
      <c r="L806" t="n">
        <v>0</v>
      </c>
      <c r="M806" t="n">
        <v>0</v>
      </c>
      <c r="N806" t="n">
        <v>0</v>
      </c>
      <c r="O806" t="n">
        <v>0</v>
      </c>
      <c r="P806" t="n">
        <v>0</v>
      </c>
      <c r="Q806" t="n">
        <v>0</v>
      </c>
      <c r="R806" s="2" t="inlineStr"/>
    </row>
    <row r="807" ht="15" customHeight="1">
      <c r="A807" t="inlineStr">
        <is>
          <t>A 40303-2024</t>
        </is>
      </c>
      <c r="B807" s="1" t="n">
        <v>45554.7158912037</v>
      </c>
      <c r="C807" s="1" t="n">
        <v>46147</v>
      </c>
      <c r="D807" t="inlineStr">
        <is>
          <t>ÖREBRO LÄN</t>
        </is>
      </c>
      <c r="E807" t="inlineStr">
        <is>
          <t>LINDESBERG</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34838-2023</t>
        </is>
      </c>
      <c r="B808" s="1" t="n">
        <v>45141.76530092592</v>
      </c>
      <c r="C808" s="1" t="n">
        <v>46147</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15324-2024</t>
        </is>
      </c>
      <c r="B809" s="1" t="n">
        <v>45400.66995370371</v>
      </c>
      <c r="C809" s="1" t="n">
        <v>46147</v>
      </c>
      <c r="D809" t="inlineStr">
        <is>
          <t>ÖREBRO LÄN</t>
        </is>
      </c>
      <c r="E809" t="inlineStr">
        <is>
          <t>LINDESBERG</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36170-2021</t>
        </is>
      </c>
      <c r="B810" s="1" t="n">
        <v>44389</v>
      </c>
      <c r="C810" s="1" t="n">
        <v>46147</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7180-2023</t>
        </is>
      </c>
      <c r="B811" s="1" t="n">
        <v>44970.51849537037</v>
      </c>
      <c r="C811" s="1" t="n">
        <v>46147</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46675-2023</t>
        </is>
      </c>
      <c r="B812" s="1" t="n">
        <v>45194</v>
      </c>
      <c r="C812" s="1" t="n">
        <v>46147</v>
      </c>
      <c r="D812" t="inlineStr">
        <is>
          <t>ÖREBRO LÄN</t>
        </is>
      </c>
      <c r="E812" t="inlineStr">
        <is>
          <t>LINDESBERG</t>
        </is>
      </c>
      <c r="G812" t="n">
        <v>3.8</v>
      </c>
      <c r="H812" t="n">
        <v>0</v>
      </c>
      <c r="I812" t="n">
        <v>0</v>
      </c>
      <c r="J812" t="n">
        <v>0</v>
      </c>
      <c r="K812" t="n">
        <v>0</v>
      </c>
      <c r="L812" t="n">
        <v>0</v>
      </c>
      <c r="M812" t="n">
        <v>0</v>
      </c>
      <c r="N812" t="n">
        <v>0</v>
      </c>
      <c r="O812" t="n">
        <v>0</v>
      </c>
      <c r="P812" t="n">
        <v>0</v>
      </c>
      <c r="Q812" t="n">
        <v>0</v>
      </c>
      <c r="R812" s="2" t="inlineStr"/>
    </row>
    <row r="813" ht="15" customHeight="1">
      <c r="A813" t="inlineStr">
        <is>
          <t>A 50964-2023</t>
        </is>
      </c>
      <c r="B813" s="1" t="n">
        <v>45218.488125</v>
      </c>
      <c r="C813" s="1" t="n">
        <v>46147</v>
      </c>
      <c r="D813" t="inlineStr">
        <is>
          <t>ÖREBRO LÄN</t>
        </is>
      </c>
      <c r="E813" t="inlineStr">
        <is>
          <t>LINDESBERG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50619-2022</t>
        </is>
      </c>
      <c r="B814" s="1" t="n">
        <v>44866.79668981482</v>
      </c>
      <c r="C814" s="1" t="n">
        <v>46147</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36893-2024</t>
        </is>
      </c>
      <c r="B815" s="1" t="n">
        <v>45538</v>
      </c>
      <c r="C815" s="1" t="n">
        <v>46147</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47155-2024</t>
        </is>
      </c>
      <c r="B816" s="1" t="n">
        <v>45586</v>
      </c>
      <c r="C816" s="1" t="n">
        <v>46147</v>
      </c>
      <c r="D816" t="inlineStr">
        <is>
          <t>ÖREBRO LÄN</t>
        </is>
      </c>
      <c r="E816" t="inlineStr">
        <is>
          <t>LINDESBERG</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10111-2022</t>
        </is>
      </c>
      <c r="B817" s="1" t="n">
        <v>44621.85737268518</v>
      </c>
      <c r="C817" s="1" t="n">
        <v>46147</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14231-2023</t>
        </is>
      </c>
      <c r="B818" s="1" t="n">
        <v>45009.64217592592</v>
      </c>
      <c r="C818" s="1" t="n">
        <v>46147</v>
      </c>
      <c r="D818" t="inlineStr">
        <is>
          <t>ÖREBRO LÄN</t>
        </is>
      </c>
      <c r="E818" t="inlineStr">
        <is>
          <t>LINDESBERG</t>
        </is>
      </c>
      <c r="G818" t="n">
        <v>4.3</v>
      </c>
      <c r="H818" t="n">
        <v>0</v>
      </c>
      <c r="I818" t="n">
        <v>0</v>
      </c>
      <c r="J818" t="n">
        <v>0</v>
      </c>
      <c r="K818" t="n">
        <v>0</v>
      </c>
      <c r="L818" t="n">
        <v>0</v>
      </c>
      <c r="M818" t="n">
        <v>0</v>
      </c>
      <c r="N818" t="n">
        <v>0</v>
      </c>
      <c r="O818" t="n">
        <v>0</v>
      </c>
      <c r="P818" t="n">
        <v>0</v>
      </c>
      <c r="Q818" t="n">
        <v>0</v>
      </c>
      <c r="R818" s="2" t="inlineStr"/>
    </row>
    <row r="819" ht="15" customHeight="1">
      <c r="A819" t="inlineStr">
        <is>
          <t>A 484-2022</t>
        </is>
      </c>
      <c r="B819" s="1" t="n">
        <v>44566</v>
      </c>
      <c r="C819" s="1" t="n">
        <v>46147</v>
      </c>
      <c r="D819" t="inlineStr">
        <is>
          <t>ÖREBRO LÄN</t>
        </is>
      </c>
      <c r="E819" t="inlineStr">
        <is>
          <t>LINDESBERG</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1395-2025</t>
        </is>
      </c>
      <c r="B820" s="1" t="n">
        <v>45667</v>
      </c>
      <c r="C820" s="1" t="n">
        <v>46147</v>
      </c>
      <c r="D820" t="inlineStr">
        <is>
          <t>ÖREBRO LÄN</t>
        </is>
      </c>
      <c r="E820" t="inlineStr">
        <is>
          <t>LINDESBERG</t>
        </is>
      </c>
      <c r="G820" t="n">
        <v>4.6</v>
      </c>
      <c r="H820" t="n">
        <v>0</v>
      </c>
      <c r="I820" t="n">
        <v>0</v>
      </c>
      <c r="J820" t="n">
        <v>0</v>
      </c>
      <c r="K820" t="n">
        <v>0</v>
      </c>
      <c r="L820" t="n">
        <v>0</v>
      </c>
      <c r="M820" t="n">
        <v>0</v>
      </c>
      <c r="N820" t="n">
        <v>0</v>
      </c>
      <c r="O820" t="n">
        <v>0</v>
      </c>
      <c r="P820" t="n">
        <v>0</v>
      </c>
      <c r="Q820" t="n">
        <v>0</v>
      </c>
      <c r="R820" s="2" t="inlineStr"/>
    </row>
    <row r="821" ht="15" customHeight="1">
      <c r="A821" t="inlineStr">
        <is>
          <t>A 1405-2025</t>
        </is>
      </c>
      <c r="B821" s="1" t="n">
        <v>45667</v>
      </c>
      <c r="C821" s="1" t="n">
        <v>46147</v>
      </c>
      <c r="D821" t="inlineStr">
        <is>
          <t>ÖREBRO LÄN</t>
        </is>
      </c>
      <c r="E821" t="inlineStr">
        <is>
          <t>LINDESBERG</t>
        </is>
      </c>
      <c r="F821" t="inlineStr">
        <is>
          <t>Allmännings- och besparingsskogar</t>
        </is>
      </c>
      <c r="G821" t="n">
        <v>3.1</v>
      </c>
      <c r="H821" t="n">
        <v>0</v>
      </c>
      <c r="I821" t="n">
        <v>0</v>
      </c>
      <c r="J821" t="n">
        <v>0</v>
      </c>
      <c r="K821" t="n">
        <v>0</v>
      </c>
      <c r="L821" t="n">
        <v>0</v>
      </c>
      <c r="M821" t="n">
        <v>0</v>
      </c>
      <c r="N821" t="n">
        <v>0</v>
      </c>
      <c r="O821" t="n">
        <v>0</v>
      </c>
      <c r="P821" t="n">
        <v>0</v>
      </c>
      <c r="Q821" t="n">
        <v>0</v>
      </c>
      <c r="R821" s="2" t="inlineStr"/>
    </row>
    <row r="822" ht="15" customHeight="1">
      <c r="A822" t="inlineStr">
        <is>
          <t>A 34434-2023</t>
        </is>
      </c>
      <c r="B822" s="1" t="n">
        <v>45139.63480324074</v>
      </c>
      <c r="C822" s="1" t="n">
        <v>46147</v>
      </c>
      <c r="D822" t="inlineStr">
        <is>
          <t>ÖREBRO LÄN</t>
        </is>
      </c>
      <c r="E822" t="inlineStr">
        <is>
          <t>LINDESBERG</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45078-2024</t>
        </is>
      </c>
      <c r="B823" s="1" t="n">
        <v>45575.57104166667</v>
      </c>
      <c r="C823" s="1" t="n">
        <v>46147</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6723-2022</t>
        </is>
      </c>
      <c r="B824" s="1" t="n">
        <v>44602.45162037037</v>
      </c>
      <c r="C824" s="1" t="n">
        <v>46147</v>
      </c>
      <c r="D824" t="inlineStr">
        <is>
          <t>ÖREBRO LÄN</t>
        </is>
      </c>
      <c r="E824" t="inlineStr">
        <is>
          <t>LINDESBERG</t>
        </is>
      </c>
      <c r="G824" t="n">
        <v>4.2</v>
      </c>
      <c r="H824" t="n">
        <v>0</v>
      </c>
      <c r="I824" t="n">
        <v>0</v>
      </c>
      <c r="J824" t="n">
        <v>0</v>
      </c>
      <c r="K824" t="n">
        <v>0</v>
      </c>
      <c r="L824" t="n">
        <v>0</v>
      </c>
      <c r="M824" t="n">
        <v>0</v>
      </c>
      <c r="N824" t="n">
        <v>0</v>
      </c>
      <c r="O824" t="n">
        <v>0</v>
      </c>
      <c r="P824" t="n">
        <v>0</v>
      </c>
      <c r="Q824" t="n">
        <v>0</v>
      </c>
      <c r="R824" s="2" t="inlineStr"/>
    </row>
    <row r="825" ht="15" customHeight="1">
      <c r="A825" t="inlineStr">
        <is>
          <t>A 28470-2023</t>
        </is>
      </c>
      <c r="B825" s="1" t="n">
        <v>45103</v>
      </c>
      <c r="C825" s="1" t="n">
        <v>46147</v>
      </c>
      <c r="D825" t="inlineStr">
        <is>
          <t>ÖREBRO LÄN</t>
        </is>
      </c>
      <c r="E825" t="inlineStr">
        <is>
          <t>LINDESBERG</t>
        </is>
      </c>
      <c r="G825" t="n">
        <v>6.7</v>
      </c>
      <c r="H825" t="n">
        <v>0</v>
      </c>
      <c r="I825" t="n">
        <v>0</v>
      </c>
      <c r="J825" t="n">
        <v>0</v>
      </c>
      <c r="K825" t="n">
        <v>0</v>
      </c>
      <c r="L825" t="n">
        <v>0</v>
      </c>
      <c r="M825" t="n">
        <v>0</v>
      </c>
      <c r="N825" t="n">
        <v>0</v>
      </c>
      <c r="O825" t="n">
        <v>0</v>
      </c>
      <c r="P825" t="n">
        <v>0</v>
      </c>
      <c r="Q825" t="n">
        <v>0</v>
      </c>
      <c r="R825" s="2" t="inlineStr"/>
    </row>
    <row r="826" ht="15" customHeight="1">
      <c r="A826" t="inlineStr">
        <is>
          <t>A 32097-2024</t>
        </is>
      </c>
      <c r="B826" s="1" t="n">
        <v>45511.39445601852</v>
      </c>
      <c r="C826" s="1" t="n">
        <v>46147</v>
      </c>
      <c r="D826" t="inlineStr">
        <is>
          <t>ÖREBRO LÄN</t>
        </is>
      </c>
      <c r="E826" t="inlineStr">
        <is>
          <t>LINDESBERG</t>
        </is>
      </c>
      <c r="G826" t="n">
        <v>1.7</v>
      </c>
      <c r="H826" t="n">
        <v>0</v>
      </c>
      <c r="I826" t="n">
        <v>0</v>
      </c>
      <c r="J826" t="n">
        <v>0</v>
      </c>
      <c r="K826" t="n">
        <v>0</v>
      </c>
      <c r="L826" t="n">
        <v>0</v>
      </c>
      <c r="M826" t="n">
        <v>0</v>
      </c>
      <c r="N826" t="n">
        <v>0</v>
      </c>
      <c r="O826" t="n">
        <v>0</v>
      </c>
      <c r="P826" t="n">
        <v>0</v>
      </c>
      <c r="Q826" t="n">
        <v>0</v>
      </c>
      <c r="R826" s="2" t="inlineStr"/>
    </row>
    <row r="827" ht="15" customHeight="1">
      <c r="A827" t="inlineStr">
        <is>
          <t>A 26340-2022</t>
        </is>
      </c>
      <c r="B827" s="1" t="n">
        <v>44735.62539351852</v>
      </c>
      <c r="C827" s="1" t="n">
        <v>46147</v>
      </c>
      <c r="D827" t="inlineStr">
        <is>
          <t>ÖREBRO LÄN</t>
        </is>
      </c>
      <c r="E827" t="inlineStr">
        <is>
          <t>LINDESBERG</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30534-2023</t>
        </is>
      </c>
      <c r="B828" s="1" t="n">
        <v>45111</v>
      </c>
      <c r="C828" s="1" t="n">
        <v>46147</v>
      </c>
      <c r="D828" t="inlineStr">
        <is>
          <t>ÖREBRO LÄN</t>
        </is>
      </c>
      <c r="E828" t="inlineStr">
        <is>
          <t>LINDESBERG</t>
        </is>
      </c>
      <c r="G828" t="n">
        <v>0.7</v>
      </c>
      <c r="H828" t="n">
        <v>0</v>
      </c>
      <c r="I828" t="n">
        <v>0</v>
      </c>
      <c r="J828" t="n">
        <v>0</v>
      </c>
      <c r="K828" t="n">
        <v>0</v>
      </c>
      <c r="L828" t="n">
        <v>0</v>
      </c>
      <c r="M828" t="n">
        <v>0</v>
      </c>
      <c r="N828" t="n">
        <v>0</v>
      </c>
      <c r="O828" t="n">
        <v>0</v>
      </c>
      <c r="P828" t="n">
        <v>0</v>
      </c>
      <c r="Q828" t="n">
        <v>0</v>
      </c>
      <c r="R828" s="2" t="inlineStr"/>
    </row>
    <row r="829" ht="15" customHeight="1">
      <c r="A829" t="inlineStr">
        <is>
          <t>A 3994-2023</t>
        </is>
      </c>
      <c r="B829" s="1" t="n">
        <v>44950</v>
      </c>
      <c r="C829" s="1" t="n">
        <v>46147</v>
      </c>
      <c r="D829" t="inlineStr">
        <is>
          <t>ÖREBRO LÄN</t>
        </is>
      </c>
      <c r="E829" t="inlineStr">
        <is>
          <t>LINDESBERG</t>
        </is>
      </c>
      <c r="G829" t="n">
        <v>4.8</v>
      </c>
      <c r="H829" t="n">
        <v>0</v>
      </c>
      <c r="I829" t="n">
        <v>0</v>
      </c>
      <c r="J829" t="n">
        <v>0</v>
      </c>
      <c r="K829" t="n">
        <v>0</v>
      </c>
      <c r="L829" t="n">
        <v>0</v>
      </c>
      <c r="M829" t="n">
        <v>0</v>
      </c>
      <c r="N829" t="n">
        <v>0</v>
      </c>
      <c r="O829" t="n">
        <v>0</v>
      </c>
      <c r="P829" t="n">
        <v>0</v>
      </c>
      <c r="Q829" t="n">
        <v>0</v>
      </c>
      <c r="R829" s="2" t="inlineStr"/>
    </row>
    <row r="830" ht="15" customHeight="1">
      <c r="A830" t="inlineStr">
        <is>
          <t>A 54705-2022</t>
        </is>
      </c>
      <c r="B830" s="1" t="n">
        <v>44883</v>
      </c>
      <c r="C830" s="1" t="n">
        <v>46147</v>
      </c>
      <c r="D830" t="inlineStr">
        <is>
          <t>ÖREBRO LÄN</t>
        </is>
      </c>
      <c r="E830" t="inlineStr">
        <is>
          <t>LINDESBERG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59631-2023</t>
        </is>
      </c>
      <c r="B831" s="1" t="n">
        <v>45254.68105324074</v>
      </c>
      <c r="C831" s="1" t="n">
        <v>46147</v>
      </c>
      <c r="D831" t="inlineStr">
        <is>
          <t>ÖREBRO LÄN</t>
        </is>
      </c>
      <c r="E831" t="inlineStr">
        <is>
          <t>LINDESBERG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34539-2024</t>
        </is>
      </c>
      <c r="B832" s="1" t="n">
        <v>45525.7374537037</v>
      </c>
      <c r="C832" s="1" t="n">
        <v>46147</v>
      </c>
      <c r="D832" t="inlineStr">
        <is>
          <t>ÖREBRO LÄN</t>
        </is>
      </c>
      <c r="E832" t="inlineStr">
        <is>
          <t>LINDESBERG</t>
        </is>
      </c>
      <c r="G832" t="n">
        <v>5.4</v>
      </c>
      <c r="H832" t="n">
        <v>0</v>
      </c>
      <c r="I832" t="n">
        <v>0</v>
      </c>
      <c r="J832" t="n">
        <v>0</v>
      </c>
      <c r="K832" t="n">
        <v>0</v>
      </c>
      <c r="L832" t="n">
        <v>0</v>
      </c>
      <c r="M832" t="n">
        <v>0</v>
      </c>
      <c r="N832" t="n">
        <v>0</v>
      </c>
      <c r="O832" t="n">
        <v>0</v>
      </c>
      <c r="P832" t="n">
        <v>0</v>
      </c>
      <c r="Q832" t="n">
        <v>0</v>
      </c>
      <c r="R832" s="2" t="inlineStr"/>
    </row>
    <row r="833" ht="15" customHeight="1">
      <c r="A833" t="inlineStr">
        <is>
          <t>A 41951-2023</t>
        </is>
      </c>
      <c r="B833" s="1" t="n">
        <v>45177.33991898148</v>
      </c>
      <c r="C833" s="1" t="n">
        <v>46147</v>
      </c>
      <c r="D833" t="inlineStr">
        <is>
          <t>ÖREBRO LÄN</t>
        </is>
      </c>
      <c r="E833" t="inlineStr">
        <is>
          <t>LINDESBERG</t>
        </is>
      </c>
      <c r="F833" t="inlineStr">
        <is>
          <t>Kyrkan</t>
        </is>
      </c>
      <c r="G833" t="n">
        <v>3.3</v>
      </c>
      <c r="H833" t="n">
        <v>0</v>
      </c>
      <c r="I833" t="n">
        <v>0</v>
      </c>
      <c r="J833" t="n">
        <v>0</v>
      </c>
      <c r="K833" t="n">
        <v>0</v>
      </c>
      <c r="L833" t="n">
        <v>0</v>
      </c>
      <c r="M833" t="n">
        <v>0</v>
      </c>
      <c r="N833" t="n">
        <v>0</v>
      </c>
      <c r="O833" t="n">
        <v>0</v>
      </c>
      <c r="P833" t="n">
        <v>0</v>
      </c>
      <c r="Q833" t="n">
        <v>0</v>
      </c>
      <c r="R833" s="2" t="inlineStr"/>
    </row>
    <row r="834" ht="15" customHeight="1">
      <c r="A834" t="inlineStr">
        <is>
          <t>A 58603-2023</t>
        </is>
      </c>
      <c r="B834" s="1" t="n">
        <v>45251</v>
      </c>
      <c r="C834" s="1" t="n">
        <v>46147</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14187-2024</t>
        </is>
      </c>
      <c r="B835" s="1" t="n">
        <v>45393.35787037037</v>
      </c>
      <c r="C835" s="1" t="n">
        <v>46147</v>
      </c>
      <c r="D835" t="inlineStr">
        <is>
          <t>ÖREBRO LÄN</t>
        </is>
      </c>
      <c r="E835" t="inlineStr">
        <is>
          <t>LINDESBERG</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18418-2025</t>
        </is>
      </c>
      <c r="B836" s="1" t="n">
        <v>45762.61817129629</v>
      </c>
      <c r="C836" s="1" t="n">
        <v>46147</v>
      </c>
      <c r="D836" t="inlineStr">
        <is>
          <t>ÖREBRO LÄN</t>
        </is>
      </c>
      <c r="E836" t="inlineStr">
        <is>
          <t>LINDESBERG</t>
        </is>
      </c>
      <c r="G836" t="n">
        <v>2.3</v>
      </c>
      <c r="H836" t="n">
        <v>0</v>
      </c>
      <c r="I836" t="n">
        <v>0</v>
      </c>
      <c r="J836" t="n">
        <v>0</v>
      </c>
      <c r="K836" t="n">
        <v>0</v>
      </c>
      <c r="L836" t="n">
        <v>0</v>
      </c>
      <c r="M836" t="n">
        <v>0</v>
      </c>
      <c r="N836" t="n">
        <v>0</v>
      </c>
      <c r="O836" t="n">
        <v>0</v>
      </c>
      <c r="P836" t="n">
        <v>0</v>
      </c>
      <c r="Q836" t="n">
        <v>0</v>
      </c>
      <c r="R836" s="2" t="inlineStr"/>
    </row>
    <row r="837" ht="15" customHeight="1">
      <c r="A837" t="inlineStr">
        <is>
          <t>A 29849-2023</t>
        </is>
      </c>
      <c r="B837" s="1" t="n">
        <v>45107</v>
      </c>
      <c r="C837" s="1" t="n">
        <v>46147</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60105-2022</t>
        </is>
      </c>
      <c r="B838" s="1" t="n">
        <v>44902</v>
      </c>
      <c r="C838" s="1" t="n">
        <v>46147</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15094-2025</t>
        </is>
      </c>
      <c r="B839" s="1" t="n">
        <v>45744.32981481482</v>
      </c>
      <c r="C839" s="1" t="n">
        <v>46147</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33427-2024</t>
        </is>
      </c>
      <c r="B840" s="1" t="n">
        <v>45519.52232638889</v>
      </c>
      <c r="C840" s="1" t="n">
        <v>46147</v>
      </c>
      <c r="D840" t="inlineStr">
        <is>
          <t>ÖREBRO LÄN</t>
        </is>
      </c>
      <c r="E840" t="inlineStr">
        <is>
          <t>LINDESBERG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29894-2023</t>
        </is>
      </c>
      <c r="B841" s="1" t="n">
        <v>45107</v>
      </c>
      <c r="C841" s="1" t="n">
        <v>46147</v>
      </c>
      <c r="D841" t="inlineStr">
        <is>
          <t>ÖREBRO LÄN</t>
        </is>
      </c>
      <c r="E841" t="inlineStr">
        <is>
          <t>LINDESBERG</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40306-2022</t>
        </is>
      </c>
      <c r="B842" s="1" t="n">
        <v>44822</v>
      </c>
      <c r="C842" s="1" t="n">
        <v>46147</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63668-2023</t>
        </is>
      </c>
      <c r="B843" s="1" t="n">
        <v>45274</v>
      </c>
      <c r="C843" s="1" t="n">
        <v>46147</v>
      </c>
      <c r="D843" t="inlineStr">
        <is>
          <t>ÖREBRO LÄN</t>
        </is>
      </c>
      <c r="E843" t="inlineStr">
        <is>
          <t>LINDESBERG</t>
        </is>
      </c>
      <c r="G843" t="n">
        <v>0.7</v>
      </c>
      <c r="H843" t="n">
        <v>0</v>
      </c>
      <c r="I843" t="n">
        <v>0</v>
      </c>
      <c r="J843" t="n">
        <v>0</v>
      </c>
      <c r="K843" t="n">
        <v>0</v>
      </c>
      <c r="L843" t="n">
        <v>0</v>
      </c>
      <c r="M843" t="n">
        <v>0</v>
      </c>
      <c r="N843" t="n">
        <v>0</v>
      </c>
      <c r="O843" t="n">
        <v>0</v>
      </c>
      <c r="P843" t="n">
        <v>0</v>
      </c>
      <c r="Q843" t="n">
        <v>0</v>
      </c>
      <c r="R843" s="2" t="inlineStr"/>
    </row>
    <row r="844" ht="15" customHeight="1">
      <c r="A844" t="inlineStr">
        <is>
          <t>A 4539-2025</t>
        </is>
      </c>
      <c r="B844" s="1" t="n">
        <v>45687</v>
      </c>
      <c r="C844" s="1" t="n">
        <v>46147</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44675-2021</t>
        </is>
      </c>
      <c r="B845" s="1" t="n">
        <v>44438</v>
      </c>
      <c r="C845" s="1" t="n">
        <v>46147</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59633-2023</t>
        </is>
      </c>
      <c r="B846" s="1" t="n">
        <v>45254</v>
      </c>
      <c r="C846" s="1" t="n">
        <v>46147</v>
      </c>
      <c r="D846" t="inlineStr">
        <is>
          <t>ÖREBRO LÄN</t>
        </is>
      </c>
      <c r="E846" t="inlineStr">
        <is>
          <t>LINDESBERG</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13416-2025</t>
        </is>
      </c>
      <c r="B847" s="1" t="n">
        <v>45736.308125</v>
      </c>
      <c r="C847" s="1" t="n">
        <v>46147</v>
      </c>
      <c r="D847" t="inlineStr">
        <is>
          <t>ÖREBRO LÄN</t>
        </is>
      </c>
      <c r="E847" t="inlineStr">
        <is>
          <t>LINDESBERG</t>
        </is>
      </c>
      <c r="G847" t="n">
        <v>2.2</v>
      </c>
      <c r="H847" t="n">
        <v>0</v>
      </c>
      <c r="I847" t="n">
        <v>0</v>
      </c>
      <c r="J847" t="n">
        <v>0</v>
      </c>
      <c r="K847" t="n">
        <v>0</v>
      </c>
      <c r="L847" t="n">
        <v>0</v>
      </c>
      <c r="M847" t="n">
        <v>0</v>
      </c>
      <c r="N847" t="n">
        <v>0</v>
      </c>
      <c r="O847" t="n">
        <v>0</v>
      </c>
      <c r="P847" t="n">
        <v>0</v>
      </c>
      <c r="Q847" t="n">
        <v>0</v>
      </c>
      <c r="R847" s="2" t="inlineStr"/>
    </row>
    <row r="848" ht="15" customHeight="1">
      <c r="A848" t="inlineStr">
        <is>
          <t>A 27051-2023</t>
        </is>
      </c>
      <c r="B848" s="1" t="n">
        <v>45095</v>
      </c>
      <c r="C848" s="1" t="n">
        <v>46147</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43801-2024</t>
        </is>
      </c>
      <c r="B849" s="1" t="n">
        <v>45571.71736111111</v>
      </c>
      <c r="C849" s="1" t="n">
        <v>46147</v>
      </c>
      <c r="D849" t="inlineStr">
        <is>
          <t>ÖREBRO LÄN</t>
        </is>
      </c>
      <c r="E849" t="inlineStr">
        <is>
          <t>LINDESBERG</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45072-2024</t>
        </is>
      </c>
      <c r="B850" s="1" t="n">
        <v>45575.56686342593</v>
      </c>
      <c r="C850" s="1" t="n">
        <v>46147</v>
      </c>
      <c r="D850" t="inlineStr">
        <is>
          <t>ÖREBRO LÄN</t>
        </is>
      </c>
      <c r="E850" t="inlineStr">
        <is>
          <t>LINDESBERG</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45075-2024</t>
        </is>
      </c>
      <c r="B851" s="1" t="n">
        <v>45575.56820601852</v>
      </c>
      <c r="C851" s="1" t="n">
        <v>46147</v>
      </c>
      <c r="D851" t="inlineStr">
        <is>
          <t>ÖREBRO LÄN</t>
        </is>
      </c>
      <c r="E851" t="inlineStr">
        <is>
          <t>LINDESBERG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61405-2022</t>
        </is>
      </c>
      <c r="B852" s="1" t="n">
        <v>44916</v>
      </c>
      <c r="C852" s="1" t="n">
        <v>46147</v>
      </c>
      <c r="D852" t="inlineStr">
        <is>
          <t>ÖREBRO LÄN</t>
        </is>
      </c>
      <c r="E852" t="inlineStr">
        <is>
          <t>LINDESBERG</t>
        </is>
      </c>
      <c r="G852" t="n">
        <v>4.4</v>
      </c>
      <c r="H852" t="n">
        <v>0</v>
      </c>
      <c r="I852" t="n">
        <v>0</v>
      </c>
      <c r="J852" t="n">
        <v>0</v>
      </c>
      <c r="K852" t="n">
        <v>0</v>
      </c>
      <c r="L852" t="n">
        <v>0</v>
      </c>
      <c r="M852" t="n">
        <v>0</v>
      </c>
      <c r="N852" t="n">
        <v>0</v>
      </c>
      <c r="O852" t="n">
        <v>0</v>
      </c>
      <c r="P852" t="n">
        <v>0</v>
      </c>
      <c r="Q852" t="n">
        <v>0</v>
      </c>
      <c r="R852" s="2" t="inlineStr"/>
    </row>
    <row r="853" ht="15" customHeight="1">
      <c r="A853" t="inlineStr">
        <is>
          <t>A 40563-2023</t>
        </is>
      </c>
      <c r="B853" s="1" t="n">
        <v>45170.45921296296</v>
      </c>
      <c r="C853" s="1" t="n">
        <v>46147</v>
      </c>
      <c r="D853" t="inlineStr">
        <is>
          <t>ÖREBRO LÄN</t>
        </is>
      </c>
      <c r="E853" t="inlineStr">
        <is>
          <t>LINDESBERG</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38613-2024</t>
        </is>
      </c>
      <c r="B854" s="1" t="n">
        <v>45546.68743055555</v>
      </c>
      <c r="C854" s="1" t="n">
        <v>46147</v>
      </c>
      <c r="D854" t="inlineStr">
        <is>
          <t>ÖREBRO LÄN</t>
        </is>
      </c>
      <c r="E854" t="inlineStr">
        <is>
          <t>LINDESBERG</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49358-2023</t>
        </is>
      </c>
      <c r="B855" s="1" t="n">
        <v>45211</v>
      </c>
      <c r="C855" s="1" t="n">
        <v>46147</v>
      </c>
      <c r="D855" t="inlineStr">
        <is>
          <t>ÖREBRO LÄN</t>
        </is>
      </c>
      <c r="E855" t="inlineStr">
        <is>
          <t>LINDESBERG</t>
        </is>
      </c>
      <c r="F855" t="inlineStr">
        <is>
          <t>Sveaskog</t>
        </is>
      </c>
      <c r="G855" t="n">
        <v>4.7</v>
      </c>
      <c r="H855" t="n">
        <v>0</v>
      </c>
      <c r="I855" t="n">
        <v>0</v>
      </c>
      <c r="J855" t="n">
        <v>0</v>
      </c>
      <c r="K855" t="n">
        <v>0</v>
      </c>
      <c r="L855" t="n">
        <v>0</v>
      </c>
      <c r="M855" t="n">
        <v>0</v>
      </c>
      <c r="N855" t="n">
        <v>0</v>
      </c>
      <c r="O855" t="n">
        <v>0</v>
      </c>
      <c r="P855" t="n">
        <v>0</v>
      </c>
      <c r="Q855" t="n">
        <v>0</v>
      </c>
      <c r="R855" s="2" t="inlineStr"/>
    </row>
    <row r="856" ht="15" customHeight="1">
      <c r="A856" t="inlineStr">
        <is>
          <t>A 72331-2021</t>
        </is>
      </c>
      <c r="B856" s="1" t="n">
        <v>44544</v>
      </c>
      <c r="C856" s="1" t="n">
        <v>46147</v>
      </c>
      <c r="D856" t="inlineStr">
        <is>
          <t>ÖREBRO LÄN</t>
        </is>
      </c>
      <c r="E856" t="inlineStr">
        <is>
          <t>LINDESBERG</t>
        </is>
      </c>
      <c r="G856" t="n">
        <v>1.5</v>
      </c>
      <c r="H856" t="n">
        <v>0</v>
      </c>
      <c r="I856" t="n">
        <v>0</v>
      </c>
      <c r="J856" t="n">
        <v>0</v>
      </c>
      <c r="K856" t="n">
        <v>0</v>
      </c>
      <c r="L856" t="n">
        <v>0</v>
      </c>
      <c r="M856" t="n">
        <v>0</v>
      </c>
      <c r="N856" t="n">
        <v>0</v>
      </c>
      <c r="O856" t="n">
        <v>0</v>
      </c>
      <c r="P856" t="n">
        <v>0</v>
      </c>
      <c r="Q856" t="n">
        <v>0</v>
      </c>
      <c r="R856" s="2" t="inlineStr"/>
    </row>
    <row r="857" ht="15" customHeight="1">
      <c r="A857" t="inlineStr">
        <is>
          <t>A 54663-2021</t>
        </is>
      </c>
      <c r="B857" s="1" t="n">
        <v>44473.6343287037</v>
      </c>
      <c r="C857" s="1" t="n">
        <v>46147</v>
      </c>
      <c r="D857" t="inlineStr">
        <is>
          <t>ÖREBRO LÄN</t>
        </is>
      </c>
      <c r="E857" t="inlineStr">
        <is>
          <t>LINDESBERG</t>
        </is>
      </c>
      <c r="G857" t="n">
        <v>1.2</v>
      </c>
      <c r="H857" t="n">
        <v>0</v>
      </c>
      <c r="I857" t="n">
        <v>0</v>
      </c>
      <c r="J857" t="n">
        <v>0</v>
      </c>
      <c r="K857" t="n">
        <v>0</v>
      </c>
      <c r="L857" t="n">
        <v>0</v>
      </c>
      <c r="M857" t="n">
        <v>0</v>
      </c>
      <c r="N857" t="n">
        <v>0</v>
      </c>
      <c r="O857" t="n">
        <v>0</v>
      </c>
      <c r="P857" t="n">
        <v>0</v>
      </c>
      <c r="Q857" t="n">
        <v>0</v>
      </c>
      <c r="R857" s="2" t="inlineStr"/>
    </row>
    <row r="858" ht="15" customHeight="1">
      <c r="A858" t="inlineStr">
        <is>
          <t>A 57795-2021</t>
        </is>
      </c>
      <c r="B858" s="1" t="n">
        <v>44484</v>
      </c>
      <c r="C858" s="1" t="n">
        <v>46147</v>
      </c>
      <c r="D858" t="inlineStr">
        <is>
          <t>ÖREBRO LÄN</t>
        </is>
      </c>
      <c r="E858" t="inlineStr">
        <is>
          <t>LINDESBERG</t>
        </is>
      </c>
      <c r="G858" t="n">
        <v>39.4</v>
      </c>
      <c r="H858" t="n">
        <v>0</v>
      </c>
      <c r="I858" t="n">
        <v>0</v>
      </c>
      <c r="J858" t="n">
        <v>0</v>
      </c>
      <c r="K858" t="n">
        <v>0</v>
      </c>
      <c r="L858" t="n">
        <v>0</v>
      </c>
      <c r="M858" t="n">
        <v>0</v>
      </c>
      <c r="N858" t="n">
        <v>0</v>
      </c>
      <c r="O858" t="n">
        <v>0</v>
      </c>
      <c r="P858" t="n">
        <v>0</v>
      </c>
      <c r="Q858" t="n">
        <v>0</v>
      </c>
      <c r="R858" s="2" t="inlineStr"/>
    </row>
    <row r="859" ht="15" customHeight="1">
      <c r="A859" t="inlineStr">
        <is>
          <t>A 27031-2024</t>
        </is>
      </c>
      <c r="B859" s="1" t="n">
        <v>45471.42659722222</v>
      </c>
      <c r="C859" s="1" t="n">
        <v>46147</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27130-2024</t>
        </is>
      </c>
      <c r="B860" s="1" t="n">
        <v>45471.52072916667</v>
      </c>
      <c r="C860" s="1" t="n">
        <v>46147</v>
      </c>
      <c r="D860" t="inlineStr">
        <is>
          <t>ÖREBRO LÄN</t>
        </is>
      </c>
      <c r="E860" t="inlineStr">
        <is>
          <t>LINDESBERG</t>
        </is>
      </c>
      <c r="G860" t="n">
        <v>2</v>
      </c>
      <c r="H860" t="n">
        <v>0</v>
      </c>
      <c r="I860" t="n">
        <v>0</v>
      </c>
      <c r="J860" t="n">
        <v>0</v>
      </c>
      <c r="K860" t="n">
        <v>0</v>
      </c>
      <c r="L860" t="n">
        <v>0</v>
      </c>
      <c r="M860" t="n">
        <v>0</v>
      </c>
      <c r="N860" t="n">
        <v>0</v>
      </c>
      <c r="O860" t="n">
        <v>0</v>
      </c>
      <c r="P860" t="n">
        <v>0</v>
      </c>
      <c r="Q860" t="n">
        <v>0</v>
      </c>
      <c r="R860" s="2" t="inlineStr"/>
    </row>
    <row r="861" ht="15" customHeight="1">
      <c r="A861" t="inlineStr">
        <is>
          <t>A 6161-2025</t>
        </is>
      </c>
      <c r="B861" s="1" t="n">
        <v>45698</v>
      </c>
      <c r="C861" s="1" t="n">
        <v>46147</v>
      </c>
      <c r="D861" t="inlineStr">
        <is>
          <t>ÖREBRO LÄN</t>
        </is>
      </c>
      <c r="E861" t="inlineStr">
        <is>
          <t>LINDESBERG</t>
        </is>
      </c>
      <c r="F861" t="inlineStr">
        <is>
          <t>Sveaskog</t>
        </is>
      </c>
      <c r="G861" t="n">
        <v>3.7</v>
      </c>
      <c r="H861" t="n">
        <v>0</v>
      </c>
      <c r="I861" t="n">
        <v>0</v>
      </c>
      <c r="J861" t="n">
        <v>0</v>
      </c>
      <c r="K861" t="n">
        <v>0</v>
      </c>
      <c r="L861" t="n">
        <v>0</v>
      </c>
      <c r="M861" t="n">
        <v>0</v>
      </c>
      <c r="N861" t="n">
        <v>0</v>
      </c>
      <c r="O861" t="n">
        <v>0</v>
      </c>
      <c r="P861" t="n">
        <v>0</v>
      </c>
      <c r="Q861" t="n">
        <v>0</v>
      </c>
      <c r="R861" s="2" t="inlineStr"/>
    </row>
    <row r="862" ht="15" customHeight="1">
      <c r="A862" t="inlineStr">
        <is>
          <t>A 6165-2025</t>
        </is>
      </c>
      <c r="B862" s="1" t="n">
        <v>45698</v>
      </c>
      <c r="C862" s="1" t="n">
        <v>46147</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44664-2023</t>
        </is>
      </c>
      <c r="B863" s="1" t="n">
        <v>45189</v>
      </c>
      <c r="C863" s="1" t="n">
        <v>46147</v>
      </c>
      <c r="D863" t="inlineStr">
        <is>
          <t>ÖREBRO LÄN</t>
        </is>
      </c>
      <c r="E863" t="inlineStr">
        <is>
          <t>LINDESBERG</t>
        </is>
      </c>
      <c r="G863" t="n">
        <v>2.1</v>
      </c>
      <c r="H863" t="n">
        <v>0</v>
      </c>
      <c r="I863" t="n">
        <v>0</v>
      </c>
      <c r="J863" t="n">
        <v>0</v>
      </c>
      <c r="K863" t="n">
        <v>0</v>
      </c>
      <c r="L863" t="n">
        <v>0</v>
      </c>
      <c r="M863" t="n">
        <v>0</v>
      </c>
      <c r="N863" t="n">
        <v>0</v>
      </c>
      <c r="O863" t="n">
        <v>0</v>
      </c>
      <c r="P863" t="n">
        <v>0</v>
      </c>
      <c r="Q863" t="n">
        <v>0</v>
      </c>
      <c r="R863" s="2" t="inlineStr"/>
    </row>
    <row r="864" ht="15" customHeight="1">
      <c r="A864" t="inlineStr">
        <is>
          <t>A 11366-2024</t>
        </is>
      </c>
      <c r="B864" s="1" t="n">
        <v>45372.40246527778</v>
      </c>
      <c r="C864" s="1" t="n">
        <v>46147</v>
      </c>
      <c r="D864" t="inlineStr">
        <is>
          <t>ÖREBRO LÄN</t>
        </is>
      </c>
      <c r="E864" t="inlineStr">
        <is>
          <t>LINDESBERG</t>
        </is>
      </c>
      <c r="G864" t="n">
        <v>4.4</v>
      </c>
      <c r="H864" t="n">
        <v>0</v>
      </c>
      <c r="I864" t="n">
        <v>0</v>
      </c>
      <c r="J864" t="n">
        <v>0</v>
      </c>
      <c r="K864" t="n">
        <v>0</v>
      </c>
      <c r="L864" t="n">
        <v>0</v>
      </c>
      <c r="M864" t="n">
        <v>0</v>
      </c>
      <c r="N864" t="n">
        <v>0</v>
      </c>
      <c r="O864" t="n">
        <v>0</v>
      </c>
      <c r="P864" t="n">
        <v>0</v>
      </c>
      <c r="Q864" t="n">
        <v>0</v>
      </c>
      <c r="R864" s="2" t="inlineStr"/>
    </row>
    <row r="865" ht="15" customHeight="1">
      <c r="A865" t="inlineStr">
        <is>
          <t>A 24270-2023</t>
        </is>
      </c>
      <c r="B865" s="1" t="n">
        <v>45079</v>
      </c>
      <c r="C865" s="1" t="n">
        <v>46147</v>
      </c>
      <c r="D865" t="inlineStr">
        <is>
          <t>ÖREBRO LÄN</t>
        </is>
      </c>
      <c r="E865" t="inlineStr">
        <is>
          <t>LINDESBERG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24271-2023</t>
        </is>
      </c>
      <c r="B866" s="1" t="n">
        <v>45079</v>
      </c>
      <c r="C866" s="1" t="n">
        <v>46147</v>
      </c>
      <c r="D866" t="inlineStr">
        <is>
          <t>ÖREBRO LÄN</t>
        </is>
      </c>
      <c r="E866" t="inlineStr">
        <is>
          <t>LINDESBERG</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25046-2024</t>
        </is>
      </c>
      <c r="B867" s="1" t="n">
        <v>45462</v>
      </c>
      <c r="C867" s="1" t="n">
        <v>46147</v>
      </c>
      <c r="D867" t="inlineStr">
        <is>
          <t>ÖREBRO LÄN</t>
        </is>
      </c>
      <c r="E867" t="inlineStr">
        <is>
          <t>LINDESBERG</t>
        </is>
      </c>
      <c r="G867" t="n">
        <v>4.1</v>
      </c>
      <c r="H867" t="n">
        <v>0</v>
      </c>
      <c r="I867" t="n">
        <v>0</v>
      </c>
      <c r="J867" t="n">
        <v>0</v>
      </c>
      <c r="K867" t="n">
        <v>0</v>
      </c>
      <c r="L867" t="n">
        <v>0</v>
      </c>
      <c r="M867" t="n">
        <v>0</v>
      </c>
      <c r="N867" t="n">
        <v>0</v>
      </c>
      <c r="O867" t="n">
        <v>0</v>
      </c>
      <c r="P867" t="n">
        <v>0</v>
      </c>
      <c r="Q867" t="n">
        <v>0</v>
      </c>
      <c r="R867" s="2" t="inlineStr"/>
    </row>
    <row r="868" ht="15" customHeight="1">
      <c r="A868" t="inlineStr">
        <is>
          <t>A 45038-2024</t>
        </is>
      </c>
      <c r="B868" s="1" t="n">
        <v>45575.53331018519</v>
      </c>
      <c r="C868" s="1" t="n">
        <v>46147</v>
      </c>
      <c r="D868" t="inlineStr">
        <is>
          <t>ÖREBRO LÄN</t>
        </is>
      </c>
      <c r="E868" t="inlineStr">
        <is>
          <t>LINDESBERG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45046-2024</t>
        </is>
      </c>
      <c r="B869" s="1" t="n">
        <v>45575.54489583334</v>
      </c>
      <c r="C869" s="1" t="n">
        <v>46147</v>
      </c>
      <c r="D869" t="inlineStr">
        <is>
          <t>ÖREBRO LÄN</t>
        </is>
      </c>
      <c r="E869" t="inlineStr">
        <is>
          <t>LINDESBERG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21468-2024</t>
        </is>
      </c>
      <c r="B870" s="1" t="n">
        <v>45441.48670138889</v>
      </c>
      <c r="C870" s="1" t="n">
        <v>46147</v>
      </c>
      <c r="D870" t="inlineStr">
        <is>
          <t>ÖREBRO LÄN</t>
        </is>
      </c>
      <c r="E870" t="inlineStr">
        <is>
          <t>LINDESBERG</t>
        </is>
      </c>
      <c r="G870" t="n">
        <v>1</v>
      </c>
      <c r="H870" t="n">
        <v>0</v>
      </c>
      <c r="I870" t="n">
        <v>0</v>
      </c>
      <c r="J870" t="n">
        <v>0</v>
      </c>
      <c r="K870" t="n">
        <v>0</v>
      </c>
      <c r="L870" t="n">
        <v>0</v>
      </c>
      <c r="M870" t="n">
        <v>0</v>
      </c>
      <c r="N870" t="n">
        <v>0</v>
      </c>
      <c r="O870" t="n">
        <v>0</v>
      </c>
      <c r="P870" t="n">
        <v>0</v>
      </c>
      <c r="Q870" t="n">
        <v>0</v>
      </c>
      <c r="R870" s="2" t="inlineStr"/>
    </row>
    <row r="871" ht="15" customHeight="1">
      <c r="A871" t="inlineStr">
        <is>
          <t>A 40038-2024</t>
        </is>
      </c>
      <c r="B871" s="1" t="n">
        <v>45553</v>
      </c>
      <c r="C871" s="1" t="n">
        <v>46147</v>
      </c>
      <c r="D871" t="inlineStr">
        <is>
          <t>ÖREBRO LÄN</t>
        </is>
      </c>
      <c r="E871" t="inlineStr">
        <is>
          <t>LINDESBERG</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61360-2024</t>
        </is>
      </c>
      <c r="B872" s="1" t="n">
        <v>45646</v>
      </c>
      <c r="C872" s="1" t="n">
        <v>46147</v>
      </c>
      <c r="D872" t="inlineStr">
        <is>
          <t>ÖREBRO LÄN</t>
        </is>
      </c>
      <c r="E872" t="inlineStr">
        <is>
          <t>LINDESBERG</t>
        </is>
      </c>
      <c r="F872" t="inlineStr">
        <is>
          <t>Sveaskog</t>
        </is>
      </c>
      <c r="G872" t="n">
        <v>6.5</v>
      </c>
      <c r="H872" t="n">
        <v>0</v>
      </c>
      <c r="I872" t="n">
        <v>0</v>
      </c>
      <c r="J872" t="n">
        <v>0</v>
      </c>
      <c r="K872" t="n">
        <v>0</v>
      </c>
      <c r="L872" t="n">
        <v>0</v>
      </c>
      <c r="M872" t="n">
        <v>0</v>
      </c>
      <c r="N872" t="n">
        <v>0</v>
      </c>
      <c r="O872" t="n">
        <v>0</v>
      </c>
      <c r="P872" t="n">
        <v>0</v>
      </c>
      <c r="Q872" t="n">
        <v>0</v>
      </c>
      <c r="R872" s="2" t="inlineStr"/>
    </row>
    <row r="873" ht="15" customHeight="1">
      <c r="A873" t="inlineStr">
        <is>
          <t>A 12276-2025</t>
        </is>
      </c>
      <c r="B873" s="1" t="n">
        <v>45729.65061342593</v>
      </c>
      <c r="C873" s="1" t="n">
        <v>46147</v>
      </c>
      <c r="D873" t="inlineStr">
        <is>
          <t>ÖREBRO LÄN</t>
        </is>
      </c>
      <c r="E873" t="inlineStr">
        <is>
          <t>LINDESBERG</t>
        </is>
      </c>
      <c r="G873" t="n">
        <v>7.6</v>
      </c>
      <c r="H873" t="n">
        <v>0</v>
      </c>
      <c r="I873" t="n">
        <v>0</v>
      </c>
      <c r="J873" t="n">
        <v>0</v>
      </c>
      <c r="K873" t="n">
        <v>0</v>
      </c>
      <c r="L873" t="n">
        <v>0</v>
      </c>
      <c r="M873" t="n">
        <v>0</v>
      </c>
      <c r="N873" t="n">
        <v>0</v>
      </c>
      <c r="O873" t="n">
        <v>0</v>
      </c>
      <c r="P873" t="n">
        <v>0</v>
      </c>
      <c r="Q873" t="n">
        <v>0</v>
      </c>
      <c r="R873" s="2" t="inlineStr"/>
    </row>
    <row r="874" ht="15" customHeight="1">
      <c r="A874" t="inlineStr">
        <is>
          <t>A 14028-2023</t>
        </is>
      </c>
      <c r="B874" s="1" t="n">
        <v>45008</v>
      </c>
      <c r="C874" s="1" t="n">
        <v>46147</v>
      </c>
      <c r="D874" t="inlineStr">
        <is>
          <t>ÖREBRO LÄN</t>
        </is>
      </c>
      <c r="E874" t="inlineStr">
        <is>
          <t>LINDESBERG</t>
        </is>
      </c>
      <c r="F874" t="inlineStr">
        <is>
          <t>Kyrkan</t>
        </is>
      </c>
      <c r="G874" t="n">
        <v>1.1</v>
      </c>
      <c r="H874" t="n">
        <v>0</v>
      </c>
      <c r="I874" t="n">
        <v>0</v>
      </c>
      <c r="J874" t="n">
        <v>0</v>
      </c>
      <c r="K874" t="n">
        <v>0</v>
      </c>
      <c r="L874" t="n">
        <v>0</v>
      </c>
      <c r="M874" t="n">
        <v>0</v>
      </c>
      <c r="N874" t="n">
        <v>0</v>
      </c>
      <c r="O874" t="n">
        <v>0</v>
      </c>
      <c r="P874" t="n">
        <v>0</v>
      </c>
      <c r="Q874" t="n">
        <v>0</v>
      </c>
      <c r="R874" s="2" t="inlineStr"/>
    </row>
    <row r="875" ht="15" customHeight="1">
      <c r="A875" t="inlineStr">
        <is>
          <t>A 31024-2023</t>
        </is>
      </c>
      <c r="B875" s="1" t="n">
        <v>45113</v>
      </c>
      <c r="C875" s="1" t="n">
        <v>46147</v>
      </c>
      <c r="D875" t="inlineStr">
        <is>
          <t>ÖREBRO LÄN</t>
        </is>
      </c>
      <c r="E875" t="inlineStr">
        <is>
          <t>LINDESBERG</t>
        </is>
      </c>
      <c r="G875" t="n">
        <v>5.1</v>
      </c>
      <c r="H875" t="n">
        <v>0</v>
      </c>
      <c r="I875" t="n">
        <v>0</v>
      </c>
      <c r="J875" t="n">
        <v>0</v>
      </c>
      <c r="K875" t="n">
        <v>0</v>
      </c>
      <c r="L875" t="n">
        <v>0</v>
      </c>
      <c r="M875" t="n">
        <v>0</v>
      </c>
      <c r="N875" t="n">
        <v>0</v>
      </c>
      <c r="O875" t="n">
        <v>0</v>
      </c>
      <c r="P875" t="n">
        <v>0</v>
      </c>
      <c r="Q875" t="n">
        <v>0</v>
      </c>
      <c r="R875" s="2" t="inlineStr"/>
    </row>
    <row r="876" ht="15" customHeight="1">
      <c r="A876" t="inlineStr">
        <is>
          <t>A 27052-2023</t>
        </is>
      </c>
      <c r="B876" s="1" t="n">
        <v>45095</v>
      </c>
      <c r="C876" s="1" t="n">
        <v>46147</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12053-2024</t>
        </is>
      </c>
      <c r="B877" s="1" t="n">
        <v>45377.48265046296</v>
      </c>
      <c r="C877" s="1" t="n">
        <v>46147</v>
      </c>
      <c r="D877" t="inlineStr">
        <is>
          <t>ÖREBRO LÄN</t>
        </is>
      </c>
      <c r="E877" t="inlineStr">
        <is>
          <t>LINDESBERG</t>
        </is>
      </c>
      <c r="G877" t="n">
        <v>1.7</v>
      </c>
      <c r="H877" t="n">
        <v>0</v>
      </c>
      <c r="I877" t="n">
        <v>0</v>
      </c>
      <c r="J877" t="n">
        <v>0</v>
      </c>
      <c r="K877" t="n">
        <v>0</v>
      </c>
      <c r="L877" t="n">
        <v>0</v>
      </c>
      <c r="M877" t="n">
        <v>0</v>
      </c>
      <c r="N877" t="n">
        <v>0</v>
      </c>
      <c r="O877" t="n">
        <v>0</v>
      </c>
      <c r="P877" t="n">
        <v>0</v>
      </c>
      <c r="Q877" t="n">
        <v>0</v>
      </c>
      <c r="R877" s="2" t="inlineStr"/>
    </row>
    <row r="878" ht="15" customHeight="1">
      <c r="A878" t="inlineStr">
        <is>
          <t>A 25229-2021</t>
        </is>
      </c>
      <c r="B878" s="1" t="n">
        <v>44342.39703703704</v>
      </c>
      <c r="C878" s="1" t="n">
        <v>46147</v>
      </c>
      <c r="D878" t="inlineStr">
        <is>
          <t>ÖREBRO LÄN</t>
        </is>
      </c>
      <c r="E878" t="inlineStr">
        <is>
          <t>LINDESBERG</t>
        </is>
      </c>
      <c r="F878" t="inlineStr">
        <is>
          <t>Kyrkan</t>
        </is>
      </c>
      <c r="G878" t="n">
        <v>1.5</v>
      </c>
      <c r="H878" t="n">
        <v>0</v>
      </c>
      <c r="I878" t="n">
        <v>0</v>
      </c>
      <c r="J878" t="n">
        <v>0</v>
      </c>
      <c r="K878" t="n">
        <v>0</v>
      </c>
      <c r="L878" t="n">
        <v>0</v>
      </c>
      <c r="M878" t="n">
        <v>0</v>
      </c>
      <c r="N878" t="n">
        <v>0</v>
      </c>
      <c r="O878" t="n">
        <v>0</v>
      </c>
      <c r="P878" t="n">
        <v>0</v>
      </c>
      <c r="Q878" t="n">
        <v>0</v>
      </c>
      <c r="R878" s="2" t="inlineStr"/>
    </row>
    <row r="879" ht="15" customHeight="1">
      <c r="A879" t="inlineStr">
        <is>
          <t>A 626-2025</t>
        </is>
      </c>
      <c r="B879" s="1" t="n">
        <v>45664</v>
      </c>
      <c r="C879" s="1" t="n">
        <v>46147</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13573-2025</t>
        </is>
      </c>
      <c r="B880" s="1" t="n">
        <v>45736</v>
      </c>
      <c r="C880" s="1" t="n">
        <v>46147</v>
      </c>
      <c r="D880" t="inlineStr">
        <is>
          <t>ÖREBRO LÄN</t>
        </is>
      </c>
      <c r="E880" t="inlineStr">
        <is>
          <t>LINDESBERG</t>
        </is>
      </c>
      <c r="G880" t="n">
        <v>11.7</v>
      </c>
      <c r="H880" t="n">
        <v>0</v>
      </c>
      <c r="I880" t="n">
        <v>0</v>
      </c>
      <c r="J880" t="n">
        <v>0</v>
      </c>
      <c r="K880" t="n">
        <v>0</v>
      </c>
      <c r="L880" t="n">
        <v>0</v>
      </c>
      <c r="M880" t="n">
        <v>0</v>
      </c>
      <c r="N880" t="n">
        <v>0</v>
      </c>
      <c r="O880" t="n">
        <v>0</v>
      </c>
      <c r="P880" t="n">
        <v>0</v>
      </c>
      <c r="Q880" t="n">
        <v>0</v>
      </c>
      <c r="R880" s="2" t="inlineStr"/>
    </row>
    <row r="881" ht="15" customHeight="1">
      <c r="A881" t="inlineStr">
        <is>
          <t>A 63686-2023</t>
        </is>
      </c>
      <c r="B881" s="1" t="n">
        <v>45274</v>
      </c>
      <c r="C881" s="1" t="n">
        <v>46147</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64365-2023</t>
        </is>
      </c>
      <c r="B882" s="1" t="n">
        <v>45280</v>
      </c>
      <c r="C882" s="1" t="n">
        <v>46147</v>
      </c>
      <c r="D882" t="inlineStr">
        <is>
          <t>ÖREBRO LÄN</t>
        </is>
      </c>
      <c r="E882" t="inlineStr">
        <is>
          <t>LINDESBERG</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56217-2022</t>
        </is>
      </c>
      <c r="B883" s="1" t="n">
        <v>44890.46174768519</v>
      </c>
      <c r="C883" s="1" t="n">
        <v>46147</v>
      </c>
      <c r="D883" t="inlineStr">
        <is>
          <t>ÖREBRO LÄN</t>
        </is>
      </c>
      <c r="E883" t="inlineStr">
        <is>
          <t>LINDESBERG</t>
        </is>
      </c>
      <c r="G883" t="n">
        <v>6.9</v>
      </c>
      <c r="H883" t="n">
        <v>0</v>
      </c>
      <c r="I883" t="n">
        <v>0</v>
      </c>
      <c r="J883" t="n">
        <v>0</v>
      </c>
      <c r="K883" t="n">
        <v>0</v>
      </c>
      <c r="L883" t="n">
        <v>0</v>
      </c>
      <c r="M883" t="n">
        <v>0</v>
      </c>
      <c r="N883" t="n">
        <v>0</v>
      </c>
      <c r="O883" t="n">
        <v>0</v>
      </c>
      <c r="P883" t="n">
        <v>0</v>
      </c>
      <c r="Q883" t="n">
        <v>0</v>
      </c>
      <c r="R883" s="2" t="inlineStr"/>
    </row>
    <row r="884" ht="15" customHeight="1">
      <c r="A884" t="inlineStr">
        <is>
          <t>A 5550-2024</t>
        </is>
      </c>
      <c r="B884" s="1" t="n">
        <v>45334</v>
      </c>
      <c r="C884" s="1" t="n">
        <v>46147</v>
      </c>
      <c r="D884" t="inlineStr">
        <is>
          <t>ÖREBRO LÄN</t>
        </is>
      </c>
      <c r="E884" t="inlineStr">
        <is>
          <t>LINDESBERG</t>
        </is>
      </c>
      <c r="G884" t="n">
        <v>0.6</v>
      </c>
      <c r="H884" t="n">
        <v>0</v>
      </c>
      <c r="I884" t="n">
        <v>0</v>
      </c>
      <c r="J884" t="n">
        <v>0</v>
      </c>
      <c r="K884" t="n">
        <v>0</v>
      </c>
      <c r="L884" t="n">
        <v>0</v>
      </c>
      <c r="M884" t="n">
        <v>0</v>
      </c>
      <c r="N884" t="n">
        <v>0</v>
      </c>
      <c r="O884" t="n">
        <v>0</v>
      </c>
      <c r="P884" t="n">
        <v>0</v>
      </c>
      <c r="Q884" t="n">
        <v>0</v>
      </c>
      <c r="R884" s="2" t="inlineStr"/>
    </row>
    <row r="885" ht="15" customHeight="1">
      <c r="A885" t="inlineStr">
        <is>
          <t>A 32829-2024</t>
        </is>
      </c>
      <c r="B885" s="1" t="n">
        <v>45516.59447916667</v>
      </c>
      <c r="C885" s="1" t="n">
        <v>46147</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29350-2022</t>
        </is>
      </c>
      <c r="B886" s="1" t="n">
        <v>44753</v>
      </c>
      <c r="C886" s="1" t="n">
        <v>46147</v>
      </c>
      <c r="D886" t="inlineStr">
        <is>
          <t>ÖREBRO LÄN</t>
        </is>
      </c>
      <c r="E886" t="inlineStr">
        <is>
          <t>LINDESBERG</t>
        </is>
      </c>
      <c r="G886" t="n">
        <v>7.7</v>
      </c>
      <c r="H886" t="n">
        <v>0</v>
      </c>
      <c r="I886" t="n">
        <v>0</v>
      </c>
      <c r="J886" t="n">
        <v>0</v>
      </c>
      <c r="K886" t="n">
        <v>0</v>
      </c>
      <c r="L886" t="n">
        <v>0</v>
      </c>
      <c r="M886" t="n">
        <v>0</v>
      </c>
      <c r="N886" t="n">
        <v>0</v>
      </c>
      <c r="O886" t="n">
        <v>0</v>
      </c>
      <c r="P886" t="n">
        <v>0</v>
      </c>
      <c r="Q886" t="n">
        <v>0</v>
      </c>
      <c r="R886" s="2" t="inlineStr"/>
    </row>
    <row r="887" ht="15" customHeight="1">
      <c r="A887" t="inlineStr">
        <is>
          <t>A 53510-2024</t>
        </is>
      </c>
      <c r="B887" s="1" t="n">
        <v>45614.5968287037</v>
      </c>
      <c r="C887" s="1" t="n">
        <v>46147</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58710-2023</t>
        </is>
      </c>
      <c r="B888" s="1" t="n">
        <v>45251.696875</v>
      </c>
      <c r="C888" s="1" t="n">
        <v>46147</v>
      </c>
      <c r="D888" t="inlineStr">
        <is>
          <t>ÖREBRO LÄN</t>
        </is>
      </c>
      <c r="E888" t="inlineStr">
        <is>
          <t>LINDESBERG</t>
        </is>
      </c>
      <c r="G888" t="n">
        <v>6.3</v>
      </c>
      <c r="H888" t="n">
        <v>0</v>
      </c>
      <c r="I888" t="n">
        <v>0</v>
      </c>
      <c r="J888" t="n">
        <v>0</v>
      </c>
      <c r="K888" t="n">
        <v>0</v>
      </c>
      <c r="L888" t="n">
        <v>0</v>
      </c>
      <c r="M888" t="n">
        <v>0</v>
      </c>
      <c r="N888" t="n">
        <v>0</v>
      </c>
      <c r="O888" t="n">
        <v>0</v>
      </c>
      <c r="P888" t="n">
        <v>0</v>
      </c>
      <c r="Q888" t="n">
        <v>0</v>
      </c>
      <c r="R888" s="2" t="inlineStr"/>
    </row>
    <row r="889" ht="15" customHeight="1">
      <c r="A889" t="inlineStr">
        <is>
          <t>A 60449-2024</t>
        </is>
      </c>
      <c r="B889" s="1" t="n">
        <v>45643</v>
      </c>
      <c r="C889" s="1" t="n">
        <v>46147</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15894-2025</t>
        </is>
      </c>
      <c r="B890" s="1" t="n">
        <v>45749</v>
      </c>
      <c r="C890" s="1" t="n">
        <v>46147</v>
      </c>
      <c r="D890" t="inlineStr">
        <is>
          <t>ÖREBRO LÄN</t>
        </is>
      </c>
      <c r="E890" t="inlineStr">
        <is>
          <t>LINDESBERG</t>
        </is>
      </c>
      <c r="G890" t="n">
        <v>1.5</v>
      </c>
      <c r="H890" t="n">
        <v>0</v>
      </c>
      <c r="I890" t="n">
        <v>0</v>
      </c>
      <c r="J890" t="n">
        <v>0</v>
      </c>
      <c r="K890" t="n">
        <v>0</v>
      </c>
      <c r="L890" t="n">
        <v>0</v>
      </c>
      <c r="M890" t="n">
        <v>0</v>
      </c>
      <c r="N890" t="n">
        <v>0</v>
      </c>
      <c r="O890" t="n">
        <v>0</v>
      </c>
      <c r="P890" t="n">
        <v>0</v>
      </c>
      <c r="Q890" t="n">
        <v>0</v>
      </c>
      <c r="R890" s="2" t="inlineStr"/>
    </row>
    <row r="891" ht="15" customHeight="1">
      <c r="A891" t="inlineStr">
        <is>
          <t>A 43529-2024</t>
        </is>
      </c>
      <c r="B891" s="1" t="n">
        <v>45569.35209490741</v>
      </c>
      <c r="C891" s="1" t="n">
        <v>46147</v>
      </c>
      <c r="D891" t="inlineStr">
        <is>
          <t>ÖREBRO LÄN</t>
        </is>
      </c>
      <c r="E891" t="inlineStr">
        <is>
          <t>LINDESBERG</t>
        </is>
      </c>
      <c r="G891" t="n">
        <v>2.8</v>
      </c>
      <c r="H891" t="n">
        <v>0</v>
      </c>
      <c r="I891" t="n">
        <v>0</v>
      </c>
      <c r="J891" t="n">
        <v>0</v>
      </c>
      <c r="K891" t="n">
        <v>0</v>
      </c>
      <c r="L891" t="n">
        <v>0</v>
      </c>
      <c r="M891" t="n">
        <v>0</v>
      </c>
      <c r="N891" t="n">
        <v>0</v>
      </c>
      <c r="O891" t="n">
        <v>0</v>
      </c>
      <c r="P891" t="n">
        <v>0</v>
      </c>
      <c r="Q891" t="n">
        <v>0</v>
      </c>
      <c r="R891" s="2" t="inlineStr"/>
    </row>
    <row r="892" ht="15" customHeight="1">
      <c r="A892" t="inlineStr">
        <is>
          <t>A 54864-2024</t>
        </is>
      </c>
      <c r="B892" s="1" t="n">
        <v>45618.59456018519</v>
      </c>
      <c r="C892" s="1" t="n">
        <v>46147</v>
      </c>
      <c r="D892" t="inlineStr">
        <is>
          <t>ÖREBRO LÄN</t>
        </is>
      </c>
      <c r="E892" t="inlineStr">
        <is>
          <t>LINDESBERG</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32009-2023</t>
        </is>
      </c>
      <c r="B893" s="1" t="n">
        <v>45119</v>
      </c>
      <c r="C893" s="1" t="n">
        <v>46147</v>
      </c>
      <c r="D893" t="inlineStr">
        <is>
          <t>ÖREBRO LÄN</t>
        </is>
      </c>
      <c r="E893" t="inlineStr">
        <is>
          <t>LINDESBERG</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3148-2023</t>
        </is>
      </c>
      <c r="B894" s="1" t="n">
        <v>44946.54424768518</v>
      </c>
      <c r="C894" s="1" t="n">
        <v>46147</v>
      </c>
      <c r="D894" t="inlineStr">
        <is>
          <t>ÖREBRO LÄN</t>
        </is>
      </c>
      <c r="E894" t="inlineStr">
        <is>
          <t>LINDESBERG</t>
        </is>
      </c>
      <c r="G894" t="n">
        <v>5.5</v>
      </c>
      <c r="H894" t="n">
        <v>0</v>
      </c>
      <c r="I894" t="n">
        <v>0</v>
      </c>
      <c r="J894" t="n">
        <v>0</v>
      </c>
      <c r="K894" t="n">
        <v>0</v>
      </c>
      <c r="L894" t="n">
        <v>0</v>
      </c>
      <c r="M894" t="n">
        <v>0</v>
      </c>
      <c r="N894" t="n">
        <v>0</v>
      </c>
      <c r="O894" t="n">
        <v>0</v>
      </c>
      <c r="P894" t="n">
        <v>0</v>
      </c>
      <c r="Q894" t="n">
        <v>0</v>
      </c>
      <c r="R894" s="2" t="inlineStr"/>
    </row>
    <row r="895" ht="15" customHeight="1">
      <c r="A895" t="inlineStr">
        <is>
          <t>A 54855-2024</t>
        </is>
      </c>
      <c r="B895" s="1" t="n">
        <v>45618.58622685185</v>
      </c>
      <c r="C895" s="1" t="n">
        <v>46147</v>
      </c>
      <c r="D895" t="inlineStr">
        <is>
          <t>ÖREBRO LÄN</t>
        </is>
      </c>
      <c r="E895" t="inlineStr">
        <is>
          <t>LINDESBERG</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37432-2022</t>
        </is>
      </c>
      <c r="B896" s="1" t="n">
        <v>44809</v>
      </c>
      <c r="C896" s="1" t="n">
        <v>46147</v>
      </c>
      <c r="D896" t="inlineStr">
        <is>
          <t>ÖREBRO LÄN</t>
        </is>
      </c>
      <c r="E896" t="inlineStr">
        <is>
          <t>LINDESBERG</t>
        </is>
      </c>
      <c r="G896" t="n">
        <v>3.6</v>
      </c>
      <c r="H896" t="n">
        <v>0</v>
      </c>
      <c r="I896" t="n">
        <v>0</v>
      </c>
      <c r="J896" t="n">
        <v>0</v>
      </c>
      <c r="K896" t="n">
        <v>0</v>
      </c>
      <c r="L896" t="n">
        <v>0</v>
      </c>
      <c r="M896" t="n">
        <v>0</v>
      </c>
      <c r="N896" t="n">
        <v>0</v>
      </c>
      <c r="O896" t="n">
        <v>0</v>
      </c>
      <c r="P896" t="n">
        <v>0</v>
      </c>
      <c r="Q896" t="n">
        <v>0</v>
      </c>
      <c r="R896" s="2" t="inlineStr"/>
    </row>
    <row r="897" ht="15" customHeight="1">
      <c r="A897" t="inlineStr">
        <is>
          <t>A 61202-2023</t>
        </is>
      </c>
      <c r="B897" s="1" t="n">
        <v>45264.38084490741</v>
      </c>
      <c r="C897" s="1" t="n">
        <v>46147</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7120-2025</t>
        </is>
      </c>
      <c r="B898" s="1" t="n">
        <v>45702</v>
      </c>
      <c r="C898" s="1" t="n">
        <v>46147</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195-2022</t>
        </is>
      </c>
      <c r="B899" s="1" t="n">
        <v>44564</v>
      </c>
      <c r="C899" s="1" t="n">
        <v>46147</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51379-2023</t>
        </is>
      </c>
      <c r="B900" s="1" t="n">
        <v>45219</v>
      </c>
      <c r="C900" s="1" t="n">
        <v>46147</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16054-2022</t>
        </is>
      </c>
      <c r="B901" s="1" t="n">
        <v>44665</v>
      </c>
      <c r="C901" s="1" t="n">
        <v>46147</v>
      </c>
      <c r="D901" t="inlineStr">
        <is>
          <t>ÖREBRO LÄN</t>
        </is>
      </c>
      <c r="E901" t="inlineStr">
        <is>
          <t>LINDESBERG</t>
        </is>
      </c>
      <c r="G901" t="n">
        <v>6.9</v>
      </c>
      <c r="H901" t="n">
        <v>0</v>
      </c>
      <c r="I901" t="n">
        <v>0</v>
      </c>
      <c r="J901" t="n">
        <v>0</v>
      </c>
      <c r="K901" t="n">
        <v>0</v>
      </c>
      <c r="L901" t="n">
        <v>0</v>
      </c>
      <c r="M901" t="n">
        <v>0</v>
      </c>
      <c r="N901" t="n">
        <v>0</v>
      </c>
      <c r="O901" t="n">
        <v>0</v>
      </c>
      <c r="P901" t="n">
        <v>0</v>
      </c>
      <c r="Q901" t="n">
        <v>0</v>
      </c>
      <c r="R901" s="2" t="inlineStr"/>
    </row>
    <row r="902" ht="15" customHeight="1">
      <c r="A902" t="inlineStr">
        <is>
          <t>A 49544-2023</t>
        </is>
      </c>
      <c r="B902" s="1" t="n">
        <v>45211</v>
      </c>
      <c r="C902" s="1" t="n">
        <v>46147</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48756-2024</t>
        </is>
      </c>
      <c r="B903" s="1" t="n">
        <v>45593.59681712963</v>
      </c>
      <c r="C903" s="1" t="n">
        <v>46147</v>
      </c>
      <c r="D903" t="inlineStr">
        <is>
          <t>ÖREBRO LÄN</t>
        </is>
      </c>
      <c r="E903" t="inlineStr">
        <is>
          <t>LINDESBERG</t>
        </is>
      </c>
      <c r="G903" t="n">
        <v>1.6</v>
      </c>
      <c r="H903" t="n">
        <v>0</v>
      </c>
      <c r="I903" t="n">
        <v>0</v>
      </c>
      <c r="J903" t="n">
        <v>0</v>
      </c>
      <c r="K903" t="n">
        <v>0</v>
      </c>
      <c r="L903" t="n">
        <v>0</v>
      </c>
      <c r="M903" t="n">
        <v>0</v>
      </c>
      <c r="N903" t="n">
        <v>0</v>
      </c>
      <c r="O903" t="n">
        <v>0</v>
      </c>
      <c r="P903" t="n">
        <v>0</v>
      </c>
      <c r="Q903" t="n">
        <v>0</v>
      </c>
      <c r="R903" s="2" t="inlineStr"/>
    </row>
    <row r="904" ht="15" customHeight="1">
      <c r="A904" t="inlineStr">
        <is>
          <t>A 15892-2025</t>
        </is>
      </c>
      <c r="B904" s="1" t="n">
        <v>45749</v>
      </c>
      <c r="C904" s="1" t="n">
        <v>46147</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23260-2024</t>
        </is>
      </c>
      <c r="B905" s="1" t="n">
        <v>45453.36664351852</v>
      </c>
      <c r="C905" s="1" t="n">
        <v>46147</v>
      </c>
      <c r="D905" t="inlineStr">
        <is>
          <t>ÖREBRO LÄN</t>
        </is>
      </c>
      <c r="E905" t="inlineStr">
        <is>
          <t>LINDESBERG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46607-2021</t>
        </is>
      </c>
      <c r="B906" s="1" t="n">
        <v>44445.55690972223</v>
      </c>
      <c r="C906" s="1" t="n">
        <v>46147</v>
      </c>
      <c r="D906" t="inlineStr">
        <is>
          <t>ÖREBRO LÄN</t>
        </is>
      </c>
      <c r="E906" t="inlineStr">
        <is>
          <t>LINDESBERG</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20930-2025</t>
        </is>
      </c>
      <c r="B907" s="1" t="n">
        <v>45777.42628472222</v>
      </c>
      <c r="C907" s="1" t="n">
        <v>46147</v>
      </c>
      <c r="D907" t="inlineStr">
        <is>
          <t>ÖREBRO LÄN</t>
        </is>
      </c>
      <c r="E907" t="inlineStr">
        <is>
          <t>LINDESBERG</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20923-2025</t>
        </is>
      </c>
      <c r="B908" s="1" t="n">
        <v>45777.41673611111</v>
      </c>
      <c r="C908" s="1" t="n">
        <v>46147</v>
      </c>
      <c r="D908" t="inlineStr">
        <is>
          <t>ÖREBRO LÄN</t>
        </is>
      </c>
      <c r="E908" t="inlineStr">
        <is>
          <t>LINDESBERG</t>
        </is>
      </c>
      <c r="F908" t="inlineStr">
        <is>
          <t>Sveaskog</t>
        </is>
      </c>
      <c r="G908" t="n">
        <v>10.3</v>
      </c>
      <c r="H908" t="n">
        <v>0</v>
      </c>
      <c r="I908" t="n">
        <v>0</v>
      </c>
      <c r="J908" t="n">
        <v>0</v>
      </c>
      <c r="K908" t="n">
        <v>0</v>
      </c>
      <c r="L908" t="n">
        <v>0</v>
      </c>
      <c r="M908" t="n">
        <v>0</v>
      </c>
      <c r="N908" t="n">
        <v>0</v>
      </c>
      <c r="O908" t="n">
        <v>0</v>
      </c>
      <c r="P908" t="n">
        <v>0</v>
      </c>
      <c r="Q908" t="n">
        <v>0</v>
      </c>
      <c r="R908" s="2" t="inlineStr"/>
    </row>
    <row r="909" ht="15" customHeight="1">
      <c r="A909" t="inlineStr">
        <is>
          <t>A 12795-2025</t>
        </is>
      </c>
      <c r="B909" s="1" t="n">
        <v>45733.60959490741</v>
      </c>
      <c r="C909" s="1" t="n">
        <v>46147</v>
      </c>
      <c r="D909" t="inlineStr">
        <is>
          <t>ÖREBRO LÄN</t>
        </is>
      </c>
      <c r="E909" t="inlineStr">
        <is>
          <t>LINDESBERG</t>
        </is>
      </c>
      <c r="G909" t="n">
        <v>10.8</v>
      </c>
      <c r="H909" t="n">
        <v>0</v>
      </c>
      <c r="I909" t="n">
        <v>0</v>
      </c>
      <c r="J909" t="n">
        <v>0</v>
      </c>
      <c r="K909" t="n">
        <v>0</v>
      </c>
      <c r="L909" t="n">
        <v>0</v>
      </c>
      <c r="M909" t="n">
        <v>0</v>
      </c>
      <c r="N909" t="n">
        <v>0</v>
      </c>
      <c r="O909" t="n">
        <v>0</v>
      </c>
      <c r="P909" t="n">
        <v>0</v>
      </c>
      <c r="Q909" t="n">
        <v>0</v>
      </c>
      <c r="R909" s="2" t="inlineStr"/>
    </row>
    <row r="910" ht="15" customHeight="1">
      <c r="A910" t="inlineStr">
        <is>
          <t>A 20944-2025</t>
        </is>
      </c>
      <c r="B910" s="1" t="n">
        <v>45777</v>
      </c>
      <c r="C910" s="1" t="n">
        <v>46147</v>
      </c>
      <c r="D910" t="inlineStr">
        <is>
          <t>ÖREBRO LÄN</t>
        </is>
      </c>
      <c r="E910" t="inlineStr">
        <is>
          <t>LINDESBERG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20950-2025</t>
        </is>
      </c>
      <c r="B911" s="1" t="n">
        <v>45777.43878472222</v>
      </c>
      <c r="C911" s="1" t="n">
        <v>46147</v>
      </c>
      <c r="D911" t="inlineStr">
        <is>
          <t>ÖREBRO LÄN</t>
        </is>
      </c>
      <c r="E911" t="inlineStr">
        <is>
          <t>LINDESBERG</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46147</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21812-2025</t>
        </is>
      </c>
      <c r="B913" s="1" t="n">
        <v>45783.71833333333</v>
      </c>
      <c r="C913" s="1" t="n">
        <v>46147</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43195-2024</t>
        </is>
      </c>
      <c r="B914" s="1" t="n">
        <v>45567.68003472222</v>
      </c>
      <c r="C914" s="1" t="n">
        <v>46147</v>
      </c>
      <c r="D914" t="inlineStr">
        <is>
          <t>ÖREBRO LÄN</t>
        </is>
      </c>
      <c r="E914" t="inlineStr">
        <is>
          <t>LINDESBERG</t>
        </is>
      </c>
      <c r="G914" t="n">
        <v>27.8</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46147</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24583-2024</t>
        </is>
      </c>
      <c r="B916" s="1" t="n">
        <v>45460.46358796296</v>
      </c>
      <c r="C916" s="1" t="n">
        <v>46147</v>
      </c>
      <c r="D916" t="inlineStr">
        <is>
          <t>ÖREBRO LÄN</t>
        </is>
      </c>
      <c r="E916" t="inlineStr">
        <is>
          <t>LINDESBERG</t>
        </is>
      </c>
      <c r="G916" t="n">
        <v>13.7</v>
      </c>
      <c r="H916" t="n">
        <v>0</v>
      </c>
      <c r="I916" t="n">
        <v>0</v>
      </c>
      <c r="J916" t="n">
        <v>0</v>
      </c>
      <c r="K916" t="n">
        <v>0</v>
      </c>
      <c r="L916" t="n">
        <v>0</v>
      </c>
      <c r="M916" t="n">
        <v>0</v>
      </c>
      <c r="N916" t="n">
        <v>0</v>
      </c>
      <c r="O916" t="n">
        <v>0</v>
      </c>
      <c r="P916" t="n">
        <v>0</v>
      </c>
      <c r="Q916" t="n">
        <v>0</v>
      </c>
      <c r="R916" s="2" t="inlineStr"/>
    </row>
    <row r="917" ht="15" customHeight="1">
      <c r="A917" t="inlineStr">
        <is>
          <t>A 43532-2024</t>
        </is>
      </c>
      <c r="B917" s="1" t="n">
        <v>45569.3533912037</v>
      </c>
      <c r="C917" s="1" t="n">
        <v>46147</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59282-2023</t>
        </is>
      </c>
      <c r="B918" s="1" t="n">
        <v>45253</v>
      </c>
      <c r="C918" s="1" t="n">
        <v>46147</v>
      </c>
      <c r="D918" t="inlineStr">
        <is>
          <t>ÖREBRO LÄN</t>
        </is>
      </c>
      <c r="E918" t="inlineStr">
        <is>
          <t>LINDESBERG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47601-2023</t>
        </is>
      </c>
      <c r="B919" s="1" t="n">
        <v>45203.45681712963</v>
      </c>
      <c r="C919" s="1" t="n">
        <v>46147</v>
      </c>
      <c r="D919" t="inlineStr">
        <is>
          <t>ÖREBRO LÄN</t>
        </is>
      </c>
      <c r="E919" t="inlineStr">
        <is>
          <t>LINDESBERG</t>
        </is>
      </c>
      <c r="G919" t="n">
        <v>37.6</v>
      </c>
      <c r="H919" t="n">
        <v>0</v>
      </c>
      <c r="I919" t="n">
        <v>0</v>
      </c>
      <c r="J919" t="n">
        <v>0</v>
      </c>
      <c r="K919" t="n">
        <v>0</v>
      </c>
      <c r="L919" t="n">
        <v>0</v>
      </c>
      <c r="M919" t="n">
        <v>0</v>
      </c>
      <c r="N919" t="n">
        <v>0</v>
      </c>
      <c r="O919" t="n">
        <v>0</v>
      </c>
      <c r="P919" t="n">
        <v>0</v>
      </c>
      <c r="Q919" t="n">
        <v>0</v>
      </c>
      <c r="R919" s="2" t="inlineStr"/>
    </row>
    <row r="920" ht="15" customHeight="1">
      <c r="A920" t="inlineStr">
        <is>
          <t>A 22078-2025</t>
        </is>
      </c>
      <c r="B920" s="1" t="n">
        <v>45785.4253125</v>
      </c>
      <c r="C920" s="1" t="n">
        <v>46147</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53355-2023</t>
        </is>
      </c>
      <c r="B921" s="1" t="n">
        <v>45229.66430555555</v>
      </c>
      <c r="C921" s="1" t="n">
        <v>46147</v>
      </c>
      <c r="D921" t="inlineStr">
        <is>
          <t>ÖREBRO LÄN</t>
        </is>
      </c>
      <c r="E921" t="inlineStr">
        <is>
          <t>LINDESBERG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62308-2023</t>
        </is>
      </c>
      <c r="B922" s="1" t="n">
        <v>45267.69052083333</v>
      </c>
      <c r="C922" s="1" t="n">
        <v>46147</v>
      </c>
      <c r="D922" t="inlineStr">
        <is>
          <t>ÖREBRO LÄN</t>
        </is>
      </c>
      <c r="E922" t="inlineStr">
        <is>
          <t>LINDESBERG</t>
        </is>
      </c>
      <c r="F922" t="inlineStr">
        <is>
          <t>Naturvårdsverket</t>
        </is>
      </c>
      <c r="G922" t="n">
        <v>3.1</v>
      </c>
      <c r="H922" t="n">
        <v>0</v>
      </c>
      <c r="I922" t="n">
        <v>0</v>
      </c>
      <c r="J922" t="n">
        <v>0</v>
      </c>
      <c r="K922" t="n">
        <v>0</v>
      </c>
      <c r="L922" t="n">
        <v>0</v>
      </c>
      <c r="M922" t="n">
        <v>0</v>
      </c>
      <c r="N922" t="n">
        <v>0</v>
      </c>
      <c r="O922" t="n">
        <v>0</v>
      </c>
      <c r="P922" t="n">
        <v>0</v>
      </c>
      <c r="Q922" t="n">
        <v>0</v>
      </c>
      <c r="R922" s="2" t="inlineStr"/>
    </row>
    <row r="923" ht="15" customHeight="1">
      <c r="A923" t="inlineStr">
        <is>
          <t>A 36680-2024</t>
        </is>
      </c>
      <c r="B923" s="1" t="n">
        <v>45537.65305555556</v>
      </c>
      <c r="C923" s="1" t="n">
        <v>46147</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22543-2025</t>
        </is>
      </c>
      <c r="B924" s="1" t="n">
        <v>45788.42467592593</v>
      </c>
      <c r="C924" s="1" t="n">
        <v>46147</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46147</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45104.34107638889</v>
      </c>
      <c r="C926" s="1" t="n">
        <v>46147</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22438-2025</t>
        </is>
      </c>
      <c r="B927" s="1" t="n">
        <v>45786</v>
      </c>
      <c r="C927" s="1" t="n">
        <v>46147</v>
      </c>
      <c r="D927" t="inlineStr">
        <is>
          <t>ÖREBRO LÄN</t>
        </is>
      </c>
      <c r="E927" t="inlineStr">
        <is>
          <t>LINDESBERG</t>
        </is>
      </c>
      <c r="F927" t="inlineStr">
        <is>
          <t>Sveaskog</t>
        </is>
      </c>
      <c r="G927" t="n">
        <v>6.1</v>
      </c>
      <c r="H927" t="n">
        <v>0</v>
      </c>
      <c r="I927" t="n">
        <v>0</v>
      </c>
      <c r="J927" t="n">
        <v>0</v>
      </c>
      <c r="K927" t="n">
        <v>0</v>
      </c>
      <c r="L927" t="n">
        <v>0</v>
      </c>
      <c r="M927" t="n">
        <v>0</v>
      </c>
      <c r="N927" t="n">
        <v>0</v>
      </c>
      <c r="O927" t="n">
        <v>0</v>
      </c>
      <c r="P927" t="n">
        <v>0</v>
      </c>
      <c r="Q927" t="n">
        <v>0</v>
      </c>
      <c r="R927" s="2" t="inlineStr"/>
    </row>
    <row r="928" ht="15" customHeight="1">
      <c r="A928" t="inlineStr">
        <is>
          <t>A 59641-2024</t>
        </is>
      </c>
      <c r="B928" s="1" t="n">
        <v>45639.30934027778</v>
      </c>
      <c r="C928" s="1" t="n">
        <v>46147</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23245-2025</t>
        </is>
      </c>
      <c r="B929" s="1" t="n">
        <v>45791.50862268519</v>
      </c>
      <c r="C929" s="1" t="n">
        <v>46147</v>
      </c>
      <c r="D929" t="inlineStr">
        <is>
          <t>ÖREBRO LÄN</t>
        </is>
      </c>
      <c r="E929" t="inlineStr">
        <is>
          <t>LINDESBERG</t>
        </is>
      </c>
      <c r="G929" t="n">
        <v>6.8</v>
      </c>
      <c r="H929" t="n">
        <v>0</v>
      </c>
      <c r="I929" t="n">
        <v>0</v>
      </c>
      <c r="J929" t="n">
        <v>0</v>
      </c>
      <c r="K929" t="n">
        <v>0</v>
      </c>
      <c r="L929" t="n">
        <v>0</v>
      </c>
      <c r="M929" t="n">
        <v>0</v>
      </c>
      <c r="N929" t="n">
        <v>0</v>
      </c>
      <c r="O929" t="n">
        <v>0</v>
      </c>
      <c r="P929" t="n">
        <v>0</v>
      </c>
      <c r="Q929" t="n">
        <v>0</v>
      </c>
      <c r="R929" s="2" t="inlineStr"/>
    </row>
    <row r="930" ht="15" customHeight="1">
      <c r="A930" t="inlineStr">
        <is>
          <t>A 42707-2023</t>
        </is>
      </c>
      <c r="B930" s="1" t="n">
        <v>45181</v>
      </c>
      <c r="C930" s="1" t="n">
        <v>46147</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17779-2024</t>
        </is>
      </c>
      <c r="B931" s="1" t="n">
        <v>45418.66800925926</v>
      </c>
      <c r="C931" s="1" t="n">
        <v>46147</v>
      </c>
      <c r="D931" t="inlineStr">
        <is>
          <t>ÖREBRO LÄN</t>
        </is>
      </c>
      <c r="E931" t="inlineStr">
        <is>
          <t>LINDESBERG</t>
        </is>
      </c>
      <c r="G931" t="n">
        <v>3.7</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46147</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1400-2025</t>
        </is>
      </c>
      <c r="B933" s="1" t="n">
        <v>45667</v>
      </c>
      <c r="C933" s="1" t="n">
        <v>46147</v>
      </c>
      <c r="D933" t="inlineStr">
        <is>
          <t>ÖREBRO LÄN</t>
        </is>
      </c>
      <c r="E933" t="inlineStr">
        <is>
          <t>LINDESBERG</t>
        </is>
      </c>
      <c r="F933" t="inlineStr">
        <is>
          <t>Allmännings- och besparingsskogar</t>
        </is>
      </c>
      <c r="G933" t="n">
        <v>11.3</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46147</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ht="15" customHeight="1">
      <c r="A935" t="inlineStr">
        <is>
          <t>A 23835-2025</t>
        </is>
      </c>
      <c r="B935" s="1" t="n">
        <v>45793.61047453704</v>
      </c>
      <c r="C935" s="1" t="n">
        <v>46147</v>
      </c>
      <c r="D935" t="inlineStr">
        <is>
          <t>ÖREBRO LÄN</t>
        </is>
      </c>
      <c r="E935" t="inlineStr">
        <is>
          <t>LINDESBERG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23844-2025</t>
        </is>
      </c>
      <c r="B936" s="1" t="n">
        <v>45793.62422453704</v>
      </c>
      <c r="C936" s="1" t="n">
        <v>46147</v>
      </c>
      <c r="D936" t="inlineStr">
        <is>
          <t>ÖREBRO LÄN</t>
        </is>
      </c>
      <c r="E936" t="inlineStr">
        <is>
          <t>LINDESBERG</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24186-2024</t>
        </is>
      </c>
      <c r="B937" s="1" t="n">
        <v>45456.90869212963</v>
      </c>
      <c r="C937" s="1" t="n">
        <v>46147</v>
      </c>
      <c r="D937" t="inlineStr">
        <is>
          <t>ÖREBRO LÄN</t>
        </is>
      </c>
      <c r="E937" t="inlineStr">
        <is>
          <t>LINDESBERG</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23933-2025</t>
        </is>
      </c>
      <c r="B938" s="1" t="n">
        <v>45795.71300925926</v>
      </c>
      <c r="C938" s="1" t="n">
        <v>46147</v>
      </c>
      <c r="D938" t="inlineStr">
        <is>
          <t>ÖREBRO LÄN</t>
        </is>
      </c>
      <c r="E938" t="inlineStr">
        <is>
          <t>LINDESBERG</t>
        </is>
      </c>
      <c r="G938" t="n">
        <v>2.2</v>
      </c>
      <c r="H938" t="n">
        <v>0</v>
      </c>
      <c r="I938" t="n">
        <v>0</v>
      </c>
      <c r="J938" t="n">
        <v>0</v>
      </c>
      <c r="K938" t="n">
        <v>0</v>
      </c>
      <c r="L938" t="n">
        <v>0</v>
      </c>
      <c r="M938" t="n">
        <v>0</v>
      </c>
      <c r="N938" t="n">
        <v>0</v>
      </c>
      <c r="O938" t="n">
        <v>0</v>
      </c>
      <c r="P938" t="n">
        <v>0</v>
      </c>
      <c r="Q938" t="n">
        <v>0</v>
      </c>
      <c r="R938" s="2" t="inlineStr"/>
    </row>
    <row r="939" ht="15" customHeight="1">
      <c r="A939" t="inlineStr">
        <is>
          <t>A 23932-2025</t>
        </is>
      </c>
      <c r="B939" s="1" t="n">
        <v>45795.70912037037</v>
      </c>
      <c r="C939" s="1" t="n">
        <v>46147</v>
      </c>
      <c r="D939" t="inlineStr">
        <is>
          <t>ÖREBRO LÄN</t>
        </is>
      </c>
      <c r="E939" t="inlineStr">
        <is>
          <t>LINDESBERG</t>
        </is>
      </c>
      <c r="G939" t="n">
        <v>2</v>
      </c>
      <c r="H939" t="n">
        <v>0</v>
      </c>
      <c r="I939" t="n">
        <v>0</v>
      </c>
      <c r="J939" t="n">
        <v>0</v>
      </c>
      <c r="K939" t="n">
        <v>0</v>
      </c>
      <c r="L939" t="n">
        <v>0</v>
      </c>
      <c r="M939" t="n">
        <v>0</v>
      </c>
      <c r="N939" t="n">
        <v>0</v>
      </c>
      <c r="O939" t="n">
        <v>0</v>
      </c>
      <c r="P939" t="n">
        <v>0</v>
      </c>
      <c r="Q939" t="n">
        <v>0</v>
      </c>
      <c r="R939" s="2" t="inlineStr"/>
    </row>
    <row r="940" ht="15" customHeight="1">
      <c r="A940" t="inlineStr">
        <is>
          <t>A 37125-2023</t>
        </is>
      </c>
      <c r="B940" s="1" t="n">
        <v>45155.5653125</v>
      </c>
      <c r="C940" s="1" t="n">
        <v>46147</v>
      </c>
      <c r="D940" t="inlineStr">
        <is>
          <t>ÖREBRO LÄN</t>
        </is>
      </c>
      <c r="E940" t="inlineStr">
        <is>
          <t>LINDESBERG</t>
        </is>
      </c>
      <c r="G940" t="n">
        <v>2</v>
      </c>
      <c r="H940" t="n">
        <v>0</v>
      </c>
      <c r="I940" t="n">
        <v>0</v>
      </c>
      <c r="J940" t="n">
        <v>0</v>
      </c>
      <c r="K940" t="n">
        <v>0</v>
      </c>
      <c r="L940" t="n">
        <v>0</v>
      </c>
      <c r="M940" t="n">
        <v>0</v>
      </c>
      <c r="N940" t="n">
        <v>0</v>
      </c>
      <c r="O940" t="n">
        <v>0</v>
      </c>
      <c r="P940" t="n">
        <v>0</v>
      </c>
      <c r="Q940" t="n">
        <v>0</v>
      </c>
      <c r="R940" s="2" t="inlineStr"/>
    </row>
    <row r="941" ht="15" customHeight="1">
      <c r="A941" t="inlineStr">
        <is>
          <t>A 57944-2023</t>
        </is>
      </c>
      <c r="B941" s="1" t="n">
        <v>45244</v>
      </c>
      <c r="C941" s="1" t="n">
        <v>46147</v>
      </c>
      <c r="D941" t="inlineStr">
        <is>
          <t>ÖREBRO LÄN</t>
        </is>
      </c>
      <c r="E941" t="inlineStr">
        <is>
          <t>LINDESBERG</t>
        </is>
      </c>
      <c r="G941" t="n">
        <v>2.4</v>
      </c>
      <c r="H941" t="n">
        <v>0</v>
      </c>
      <c r="I941" t="n">
        <v>0</v>
      </c>
      <c r="J941" t="n">
        <v>0</v>
      </c>
      <c r="K941" t="n">
        <v>0</v>
      </c>
      <c r="L941" t="n">
        <v>0</v>
      </c>
      <c r="M941" t="n">
        <v>0</v>
      </c>
      <c r="N941" t="n">
        <v>0</v>
      </c>
      <c r="O941" t="n">
        <v>0</v>
      </c>
      <c r="P941" t="n">
        <v>0</v>
      </c>
      <c r="Q941" t="n">
        <v>0</v>
      </c>
      <c r="R941" s="2" t="inlineStr"/>
    </row>
    <row r="942" ht="15" customHeight="1">
      <c r="A942" t="inlineStr">
        <is>
          <t>A 24017-2025</t>
        </is>
      </c>
      <c r="B942" s="1" t="n">
        <v>45796.44885416667</v>
      </c>
      <c r="C942" s="1" t="n">
        <v>46147</v>
      </c>
      <c r="D942" t="inlineStr">
        <is>
          <t>ÖREBRO LÄN</t>
        </is>
      </c>
      <c r="E942" t="inlineStr">
        <is>
          <t>LINDESBERG</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23897-2025</t>
        </is>
      </c>
      <c r="B943" s="1" t="n">
        <v>45794.33498842592</v>
      </c>
      <c r="C943" s="1" t="n">
        <v>46147</v>
      </c>
      <c r="D943" t="inlineStr">
        <is>
          <t>ÖREBRO LÄN</t>
        </is>
      </c>
      <c r="E943" t="inlineStr">
        <is>
          <t>LINDESBERG</t>
        </is>
      </c>
      <c r="G943" t="n">
        <v>5.6</v>
      </c>
      <c r="H943" t="n">
        <v>0</v>
      </c>
      <c r="I943" t="n">
        <v>0</v>
      </c>
      <c r="J943" t="n">
        <v>0</v>
      </c>
      <c r="K943" t="n">
        <v>0</v>
      </c>
      <c r="L943" t="n">
        <v>0</v>
      </c>
      <c r="M943" t="n">
        <v>0</v>
      </c>
      <c r="N943" t="n">
        <v>0</v>
      </c>
      <c r="O943" t="n">
        <v>0</v>
      </c>
      <c r="P943" t="n">
        <v>0</v>
      </c>
      <c r="Q943" t="n">
        <v>0</v>
      </c>
      <c r="R943" s="2" t="inlineStr"/>
    </row>
    <row r="944" ht="15" customHeight="1">
      <c r="A944" t="inlineStr">
        <is>
          <t>A 24107-2025</t>
        </is>
      </c>
      <c r="B944" s="1" t="n">
        <v>45796</v>
      </c>
      <c r="C944" s="1" t="n">
        <v>46147</v>
      </c>
      <c r="D944" t="inlineStr">
        <is>
          <t>ÖREBRO LÄN</t>
        </is>
      </c>
      <c r="E944" t="inlineStr">
        <is>
          <t>LINDESBERG</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23898-2025</t>
        </is>
      </c>
      <c r="B945" s="1" t="n">
        <v>45794.3419212963</v>
      </c>
      <c r="C945" s="1" t="n">
        <v>46147</v>
      </c>
      <c r="D945" t="inlineStr">
        <is>
          <t>ÖREBRO LÄN</t>
        </is>
      </c>
      <c r="E945" t="inlineStr">
        <is>
          <t>LINDESBERG</t>
        </is>
      </c>
      <c r="G945" t="n">
        <v>1</v>
      </c>
      <c r="H945" t="n">
        <v>0</v>
      </c>
      <c r="I945" t="n">
        <v>0</v>
      </c>
      <c r="J945" t="n">
        <v>0</v>
      </c>
      <c r="K945" t="n">
        <v>0</v>
      </c>
      <c r="L945" t="n">
        <v>0</v>
      </c>
      <c r="M945" t="n">
        <v>0</v>
      </c>
      <c r="N945" t="n">
        <v>0</v>
      </c>
      <c r="O945" t="n">
        <v>0</v>
      </c>
      <c r="P945" t="n">
        <v>0</v>
      </c>
      <c r="Q945" t="n">
        <v>0</v>
      </c>
      <c r="R945" s="2" t="inlineStr"/>
    </row>
    <row r="946" ht="15" customHeight="1">
      <c r="A946" t="inlineStr">
        <is>
          <t>A 24011-2025</t>
        </is>
      </c>
      <c r="B946" s="1" t="n">
        <v>45796</v>
      </c>
      <c r="C946" s="1" t="n">
        <v>46147</v>
      </c>
      <c r="D946" t="inlineStr">
        <is>
          <t>ÖREBRO LÄN</t>
        </is>
      </c>
      <c r="E946" t="inlineStr">
        <is>
          <t>LINDESBERG</t>
        </is>
      </c>
      <c r="F946" t="inlineStr">
        <is>
          <t>Sveaskog</t>
        </is>
      </c>
      <c r="G946" t="n">
        <v>4.2</v>
      </c>
      <c r="H946" t="n">
        <v>0</v>
      </c>
      <c r="I946" t="n">
        <v>0</v>
      </c>
      <c r="J946" t="n">
        <v>0</v>
      </c>
      <c r="K946" t="n">
        <v>0</v>
      </c>
      <c r="L946" t="n">
        <v>0</v>
      </c>
      <c r="M946" t="n">
        <v>0</v>
      </c>
      <c r="N946" t="n">
        <v>0</v>
      </c>
      <c r="O946" t="n">
        <v>0</v>
      </c>
      <c r="P946" t="n">
        <v>0</v>
      </c>
      <c r="Q946" t="n">
        <v>0</v>
      </c>
      <c r="R946" s="2" t="inlineStr"/>
    </row>
    <row r="947" ht="15" customHeight="1">
      <c r="A947" t="inlineStr">
        <is>
          <t>A 24020-2025</t>
        </is>
      </c>
      <c r="B947" s="1" t="n">
        <v>45796.45054398148</v>
      </c>
      <c r="C947" s="1" t="n">
        <v>46147</v>
      </c>
      <c r="D947" t="inlineStr">
        <is>
          <t>ÖREBRO LÄN</t>
        </is>
      </c>
      <c r="E947" t="inlineStr">
        <is>
          <t>LINDESBERG</t>
        </is>
      </c>
      <c r="F947" t="inlineStr">
        <is>
          <t>Sveaskog</t>
        </is>
      </c>
      <c r="G947" t="n">
        <v>3.1</v>
      </c>
      <c r="H947" t="n">
        <v>0</v>
      </c>
      <c r="I947" t="n">
        <v>0</v>
      </c>
      <c r="J947" t="n">
        <v>0</v>
      </c>
      <c r="K947" t="n">
        <v>0</v>
      </c>
      <c r="L947" t="n">
        <v>0</v>
      </c>
      <c r="M947" t="n">
        <v>0</v>
      </c>
      <c r="N947" t="n">
        <v>0</v>
      </c>
      <c r="O947" t="n">
        <v>0</v>
      </c>
      <c r="P947" t="n">
        <v>0</v>
      </c>
      <c r="Q947" t="n">
        <v>0</v>
      </c>
      <c r="R947" s="2" t="inlineStr"/>
    </row>
    <row r="948" ht="15" customHeight="1">
      <c r="A948" t="inlineStr">
        <is>
          <t>A 23934-2025</t>
        </is>
      </c>
      <c r="B948" s="1" t="n">
        <v>45795.71547453704</v>
      </c>
      <c r="C948" s="1" t="n">
        <v>46147</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24043-2024</t>
        </is>
      </c>
      <c r="B949" s="1" t="n">
        <v>45456.48927083334</v>
      </c>
      <c r="C949" s="1" t="n">
        <v>46147</v>
      </c>
      <c r="D949" t="inlineStr">
        <is>
          <t>ÖREBRO LÄN</t>
        </is>
      </c>
      <c r="E949" t="inlineStr">
        <is>
          <t>LINDESBERG</t>
        </is>
      </c>
      <c r="G949" t="n">
        <v>6.2</v>
      </c>
      <c r="H949" t="n">
        <v>0</v>
      </c>
      <c r="I949" t="n">
        <v>0</v>
      </c>
      <c r="J949" t="n">
        <v>0</v>
      </c>
      <c r="K949" t="n">
        <v>0</v>
      </c>
      <c r="L949" t="n">
        <v>0</v>
      </c>
      <c r="M949" t="n">
        <v>0</v>
      </c>
      <c r="N949" t="n">
        <v>0</v>
      </c>
      <c r="O949" t="n">
        <v>0</v>
      </c>
      <c r="P949" t="n">
        <v>0</v>
      </c>
      <c r="Q949" t="n">
        <v>0</v>
      </c>
      <c r="R949" s="2" t="inlineStr"/>
    </row>
    <row r="950" ht="15" customHeight="1">
      <c r="A950" t="inlineStr">
        <is>
          <t>A 12250-2025</t>
        </is>
      </c>
      <c r="B950" s="1" t="n">
        <v>45729.60775462963</v>
      </c>
      <c r="C950" s="1" t="n">
        <v>46147</v>
      </c>
      <c r="D950" t="inlineStr">
        <is>
          <t>ÖREBRO LÄN</t>
        </is>
      </c>
      <c r="E950" t="inlineStr">
        <is>
          <t>LINDESBERG</t>
        </is>
      </c>
      <c r="G950" t="n">
        <v>3.4</v>
      </c>
      <c r="H950" t="n">
        <v>0</v>
      </c>
      <c r="I950" t="n">
        <v>0</v>
      </c>
      <c r="J950" t="n">
        <v>0</v>
      </c>
      <c r="K950" t="n">
        <v>0</v>
      </c>
      <c r="L950" t="n">
        <v>0</v>
      </c>
      <c r="M950" t="n">
        <v>0</v>
      </c>
      <c r="N950" t="n">
        <v>0</v>
      </c>
      <c r="O950" t="n">
        <v>0</v>
      </c>
      <c r="P950" t="n">
        <v>0</v>
      </c>
      <c r="Q950" t="n">
        <v>0</v>
      </c>
      <c r="R950" s="2" t="inlineStr"/>
    </row>
    <row r="951" ht="15" customHeight="1">
      <c r="A951" t="inlineStr">
        <is>
          <t>A 48231-2024</t>
        </is>
      </c>
      <c r="B951" s="1" t="n">
        <v>45590.37590277778</v>
      </c>
      <c r="C951" s="1" t="n">
        <v>46147</v>
      </c>
      <c r="D951" t="inlineStr">
        <is>
          <t>ÖREBRO LÄN</t>
        </is>
      </c>
      <c r="E951" t="inlineStr">
        <is>
          <t>LINDESBERG</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25643-2025</t>
        </is>
      </c>
      <c r="B952" s="1" t="n">
        <v>45803</v>
      </c>
      <c r="C952" s="1" t="n">
        <v>46147</v>
      </c>
      <c r="D952" t="inlineStr">
        <is>
          <t>ÖREBRO LÄN</t>
        </is>
      </c>
      <c r="E952" t="inlineStr">
        <is>
          <t>LINDESBERG</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25842-2025</t>
        </is>
      </c>
      <c r="B953" s="1" t="n">
        <v>45804.45474537037</v>
      </c>
      <c r="C953" s="1" t="n">
        <v>46147</v>
      </c>
      <c r="D953" t="inlineStr">
        <is>
          <t>ÖREBRO LÄN</t>
        </is>
      </c>
      <c r="E953" t="inlineStr">
        <is>
          <t>LINDESBERG</t>
        </is>
      </c>
      <c r="G953" t="n">
        <v>1.7</v>
      </c>
      <c r="H953" t="n">
        <v>0</v>
      </c>
      <c r="I953" t="n">
        <v>0</v>
      </c>
      <c r="J953" t="n">
        <v>0</v>
      </c>
      <c r="K953" t="n">
        <v>0</v>
      </c>
      <c r="L953" t="n">
        <v>0</v>
      </c>
      <c r="M953" t="n">
        <v>0</v>
      </c>
      <c r="N953" t="n">
        <v>0</v>
      </c>
      <c r="O953" t="n">
        <v>0</v>
      </c>
      <c r="P953" t="n">
        <v>0</v>
      </c>
      <c r="Q953" t="n">
        <v>0</v>
      </c>
      <c r="R953" s="2" t="inlineStr"/>
    </row>
    <row r="954" ht="15" customHeight="1">
      <c r="A954" t="inlineStr">
        <is>
          <t>A 26016-2025</t>
        </is>
      </c>
      <c r="B954" s="1" t="n">
        <v>45804.67795138889</v>
      </c>
      <c r="C954" s="1" t="n">
        <v>46147</v>
      </c>
      <c r="D954" t="inlineStr">
        <is>
          <t>ÖREBRO LÄN</t>
        </is>
      </c>
      <c r="E954" t="inlineStr">
        <is>
          <t>LINDESBERG</t>
        </is>
      </c>
      <c r="G954" t="n">
        <v>10</v>
      </c>
      <c r="H954" t="n">
        <v>0</v>
      </c>
      <c r="I954" t="n">
        <v>0</v>
      </c>
      <c r="J954" t="n">
        <v>0</v>
      </c>
      <c r="K954" t="n">
        <v>0</v>
      </c>
      <c r="L954" t="n">
        <v>0</v>
      </c>
      <c r="M954" t="n">
        <v>0</v>
      </c>
      <c r="N954" t="n">
        <v>0</v>
      </c>
      <c r="O954" t="n">
        <v>0</v>
      </c>
      <c r="P954" t="n">
        <v>0</v>
      </c>
      <c r="Q954" t="n">
        <v>0</v>
      </c>
      <c r="R954" s="2" t="inlineStr"/>
    </row>
    <row r="955">
      <c r="A955" t="inlineStr">
        <is>
          <t>A 25843-2025</t>
        </is>
      </c>
      <c r="B955" s="1" t="n">
        <v>45804.45584490741</v>
      </c>
      <c r="C955" s="1" t="n">
        <v>46147</v>
      </c>
      <c r="D955" t="inlineStr">
        <is>
          <t>ÖREBRO LÄN</t>
        </is>
      </c>
      <c r="E955" t="inlineStr">
        <is>
          <t>LINDESBERG</t>
        </is>
      </c>
      <c r="G955" t="n">
        <v>4.6</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2026-05-05T11:01:44Z</dcterms:created>
  <dcterms:modified xmlns:dcterms="http://purl.org/dc/terms/" xmlns:xsi="http://www.w3.org/2001/XMLSchema-instance" xsi:type="dcterms:W3CDTF">2026-05-05T11:01:44Z</dcterms:modified>
</cp:coreProperties>
</file>