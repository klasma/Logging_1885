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46105</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46105</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46105</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46105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46105</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46105</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46105</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46105</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46105</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46105</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46105</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46105</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46105</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46105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46105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46105</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51851-2025</t>
        </is>
      </c>
      <c r="B30" s="1" t="n">
        <v>45952.35611111111</v>
      </c>
      <c r="C30" s="1" t="n">
        <v>46105</v>
      </c>
      <c r="D30" t="inlineStr">
        <is>
          <t>ÖREBRO LÄN</t>
        </is>
      </c>
      <c r="E30" t="inlineStr">
        <is>
          <t>LINDESBERG</t>
        </is>
      </c>
      <c r="G30" t="n">
        <v>6.9</v>
      </c>
      <c r="H30" t="n">
        <v>0</v>
      </c>
      <c r="I30" t="n">
        <v>0</v>
      </c>
      <c r="J30" t="n">
        <v>2</v>
      </c>
      <c r="K30" t="n">
        <v>0</v>
      </c>
      <c r="L30" t="n">
        <v>0</v>
      </c>
      <c r="M30" t="n">
        <v>0</v>
      </c>
      <c r="N30" t="n">
        <v>0</v>
      </c>
      <c r="O30" t="n">
        <v>2</v>
      </c>
      <c r="P30" t="n">
        <v>0</v>
      </c>
      <c r="Q30" t="n">
        <v>2</v>
      </c>
      <c r="R30" s="2" t="inlineStr">
        <is>
          <t>Garnlav
Motaggsvamp</t>
        </is>
      </c>
      <c r="S30">
        <f>HYPERLINK("https://klasma.github.io/Logging_1885/artfynd/A 51851-2025 artfynd.xlsx", "A 51851-2025")</f>
        <v/>
      </c>
      <c r="T30">
        <f>HYPERLINK("https://klasma.github.io/Logging_1885/kartor/A 51851-2025 karta.png", "A 51851-2025")</f>
        <v/>
      </c>
      <c r="V30">
        <f>HYPERLINK("https://klasma.github.io/Logging_1885/klagomål/A 51851-2025 FSC-klagomål.docx", "A 51851-2025")</f>
        <v/>
      </c>
      <c r="W30">
        <f>HYPERLINK("https://klasma.github.io/Logging_1885/klagomålsmail/A 51851-2025 FSC-klagomål mail.docx", "A 51851-2025")</f>
        <v/>
      </c>
      <c r="X30">
        <f>HYPERLINK("https://klasma.github.io/Logging_1885/tillsyn/A 51851-2025 tillsynsbegäran.docx", "A 51851-2025")</f>
        <v/>
      </c>
      <c r="Y30">
        <f>HYPERLINK("https://klasma.github.io/Logging_1885/tillsynsmail/A 51851-2025 tillsynsbegäran mail.docx", "A 51851-2025")</f>
        <v/>
      </c>
    </row>
    <row r="31" ht="15" customHeight="1">
      <c r="A31" t="inlineStr">
        <is>
          <t>A 54239-2025</t>
        </is>
      </c>
      <c r="B31" s="1" t="n">
        <v>45964.62771990741</v>
      </c>
      <c r="C31" s="1" t="n">
        <v>46105</v>
      </c>
      <c r="D31" t="inlineStr">
        <is>
          <t>ÖREBRO LÄN</t>
        </is>
      </c>
      <c r="E31" t="inlineStr">
        <is>
          <t>LINDESBERG</t>
        </is>
      </c>
      <c r="G31" t="n">
        <v>4.9</v>
      </c>
      <c r="H31" t="n">
        <v>1</v>
      </c>
      <c r="I31" t="n">
        <v>0</v>
      </c>
      <c r="J31" t="n">
        <v>1</v>
      </c>
      <c r="K31" t="n">
        <v>1</v>
      </c>
      <c r="L31" t="n">
        <v>0</v>
      </c>
      <c r="M31" t="n">
        <v>0</v>
      </c>
      <c r="N31" t="n">
        <v>0</v>
      </c>
      <c r="O31" t="n">
        <v>2</v>
      </c>
      <c r="P31" t="n">
        <v>1</v>
      </c>
      <c r="Q31" t="n">
        <v>2</v>
      </c>
      <c r="R31" s="2" t="inlineStr">
        <is>
          <t>Rynkskinn
Spillkråka</t>
        </is>
      </c>
      <c r="S31">
        <f>HYPERLINK("https://klasma.github.io/Logging_1885/artfynd/A 54239-2025 artfynd.xlsx", "A 54239-2025")</f>
        <v/>
      </c>
      <c r="T31">
        <f>HYPERLINK("https://klasma.github.io/Logging_1885/kartor/A 54239-2025 karta.png", "A 54239-2025")</f>
        <v/>
      </c>
      <c r="V31">
        <f>HYPERLINK("https://klasma.github.io/Logging_1885/klagomål/A 54239-2025 FSC-klagomål.docx", "A 54239-2025")</f>
        <v/>
      </c>
      <c r="W31">
        <f>HYPERLINK("https://klasma.github.io/Logging_1885/klagomålsmail/A 54239-2025 FSC-klagomål mail.docx", "A 54239-2025")</f>
        <v/>
      </c>
      <c r="X31">
        <f>HYPERLINK("https://klasma.github.io/Logging_1885/tillsyn/A 54239-2025 tillsynsbegäran.docx", "A 54239-2025")</f>
        <v/>
      </c>
      <c r="Y31">
        <f>HYPERLINK("https://klasma.github.io/Logging_1885/tillsynsmail/A 54239-2025 tillsynsbegäran mail.docx", "A 54239-2025")</f>
        <v/>
      </c>
      <c r="Z31">
        <f>HYPERLINK("https://klasma.github.io/Logging_1885/fåglar/A 54239-2025 prioriterade fågelarter.docx", "A 54239-2025")</f>
        <v/>
      </c>
    </row>
    <row r="32" ht="15" customHeight="1">
      <c r="A32" t="inlineStr">
        <is>
          <t>A 54093-2025</t>
        </is>
      </c>
      <c r="B32" s="1" t="n">
        <v>45964.40112268519</v>
      </c>
      <c r="C32" s="1" t="n">
        <v>46105</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57319-2025</t>
        </is>
      </c>
      <c r="B33" s="1" t="n">
        <v>45980.01497685185</v>
      </c>
      <c r="C33" s="1" t="n">
        <v>46105</v>
      </c>
      <c r="D33" t="inlineStr">
        <is>
          <t>ÖREBRO LÄN</t>
        </is>
      </c>
      <c r="E33" t="inlineStr">
        <is>
          <t>LINDESBERG</t>
        </is>
      </c>
      <c r="F33" t="inlineStr">
        <is>
          <t>Sveaskog</t>
        </is>
      </c>
      <c r="G33" t="n">
        <v>15.3</v>
      </c>
      <c r="H33" t="n">
        <v>1</v>
      </c>
      <c r="I33" t="n">
        <v>2</v>
      </c>
      <c r="J33" t="n">
        <v>0</v>
      </c>
      <c r="K33" t="n">
        <v>0</v>
      </c>
      <c r="L33" t="n">
        <v>0</v>
      </c>
      <c r="M33" t="n">
        <v>0</v>
      </c>
      <c r="N33" t="n">
        <v>0</v>
      </c>
      <c r="O33" t="n">
        <v>0</v>
      </c>
      <c r="P33" t="n">
        <v>0</v>
      </c>
      <c r="Q33" t="n">
        <v>2</v>
      </c>
      <c r="R33" s="2" t="inlineStr">
        <is>
          <t>Dropptaggsvamp
Plattlummer</t>
        </is>
      </c>
      <c r="S33">
        <f>HYPERLINK("https://klasma.github.io/Logging_1885/artfynd/A 57319-2025 artfynd.xlsx", "A 57319-2025")</f>
        <v/>
      </c>
      <c r="T33">
        <f>HYPERLINK("https://klasma.github.io/Logging_1885/kartor/A 57319-2025 karta.png", "A 57319-2025")</f>
        <v/>
      </c>
      <c r="V33">
        <f>HYPERLINK("https://klasma.github.io/Logging_1885/klagomål/A 57319-2025 FSC-klagomål.docx", "A 57319-2025")</f>
        <v/>
      </c>
      <c r="W33">
        <f>HYPERLINK("https://klasma.github.io/Logging_1885/klagomålsmail/A 57319-2025 FSC-klagomål mail.docx", "A 57319-2025")</f>
        <v/>
      </c>
      <c r="X33">
        <f>HYPERLINK("https://klasma.github.io/Logging_1885/tillsyn/A 57319-2025 tillsynsbegäran.docx", "A 57319-2025")</f>
        <v/>
      </c>
      <c r="Y33">
        <f>HYPERLINK("https://klasma.github.io/Logging_1885/tillsynsmail/A 57319-2025 tillsynsbegäran mail.docx", "A 57319-2025")</f>
        <v/>
      </c>
    </row>
    <row r="34" ht="15" customHeight="1">
      <c r="A34" t="inlineStr">
        <is>
          <t>A 1475-2025</t>
        </is>
      </c>
      <c r="B34" s="1" t="n">
        <v>45670</v>
      </c>
      <c r="C34" s="1" t="n">
        <v>46105</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8178-2026</t>
        </is>
      </c>
      <c r="B35" s="1" t="n">
        <v>46064.41263888889</v>
      </c>
      <c r="C35" s="1" t="n">
        <v>46105</v>
      </c>
      <c r="D35" t="inlineStr">
        <is>
          <t>ÖREBRO LÄN</t>
        </is>
      </c>
      <c r="E35" t="inlineStr">
        <is>
          <t>LINDESBERG</t>
        </is>
      </c>
      <c r="G35" t="n">
        <v>2.4</v>
      </c>
      <c r="H35" t="n">
        <v>1</v>
      </c>
      <c r="I35" t="n">
        <v>0</v>
      </c>
      <c r="J35" t="n">
        <v>1</v>
      </c>
      <c r="K35" t="n">
        <v>0</v>
      </c>
      <c r="L35" t="n">
        <v>1</v>
      </c>
      <c r="M35" t="n">
        <v>0</v>
      </c>
      <c r="N35" t="n">
        <v>0</v>
      </c>
      <c r="O35" t="n">
        <v>2</v>
      </c>
      <c r="P35" t="n">
        <v>1</v>
      </c>
      <c r="Q35" t="n">
        <v>2</v>
      </c>
      <c r="R35" s="2" t="inlineStr">
        <is>
          <t>Asknätfjäril
Gul taggsvamp</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row>
    <row r="36" ht="15" customHeight="1">
      <c r="A36" t="inlineStr">
        <is>
          <t>A 53686-2024</t>
        </is>
      </c>
      <c r="B36" s="1" t="n">
        <v>45615</v>
      </c>
      <c r="C36" s="1" t="n">
        <v>46105</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14807-2021</t>
        </is>
      </c>
      <c r="B37" s="1" t="n">
        <v>44280</v>
      </c>
      <c r="C37" s="1" t="n">
        <v>46105</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46105</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46105</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38380-2024</t>
        </is>
      </c>
      <c r="B40" s="1" t="n">
        <v>45546.28121527778</v>
      </c>
      <c r="C40" s="1" t="n">
        <v>46105</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46105</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46105</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46105</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46105</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46105</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46105</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46105</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46105</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30347-2025</t>
        </is>
      </c>
      <c r="B49" s="1" t="n">
        <v>45827.53077546296</v>
      </c>
      <c r="C49" s="1" t="n">
        <v>46105</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46105</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45467-2025</t>
        </is>
      </c>
      <c r="B51" s="1" t="n">
        <v>45922.49990740741</v>
      </c>
      <c r="C51" s="1" t="n">
        <v>46105</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36669-2024</t>
        </is>
      </c>
      <c r="B52" s="1" t="n">
        <v>45537.64484953704</v>
      </c>
      <c r="C52" s="1" t="n">
        <v>46105</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48956-2025</t>
        </is>
      </c>
      <c r="B53" s="1" t="n">
        <v>45937.54982638889</v>
      </c>
      <c r="C53" s="1" t="n">
        <v>46105</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37834-2025</t>
        </is>
      </c>
      <c r="B54" s="1" t="n">
        <v>45881.42446759259</v>
      </c>
      <c r="C54" s="1" t="n">
        <v>46105</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 agg.</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3729-2023</t>
        </is>
      </c>
      <c r="B55" s="1" t="n">
        <v>44949</v>
      </c>
      <c r="C55" s="1" t="n">
        <v>46105</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50766-2025</t>
        </is>
      </c>
      <c r="B56" s="1" t="n">
        <v>45946.44423611111</v>
      </c>
      <c r="C56" s="1" t="n">
        <v>46105</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46105</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46105</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46105</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46105</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46105</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57362-2025</t>
        </is>
      </c>
      <c r="B62" s="1" t="n">
        <v>45980.37108796297</v>
      </c>
      <c r="C62" s="1" t="n">
        <v>46105</v>
      </c>
      <c r="D62" t="inlineStr">
        <is>
          <t>ÖREBRO LÄN</t>
        </is>
      </c>
      <c r="E62" t="inlineStr">
        <is>
          <t>LINDESBERG</t>
        </is>
      </c>
      <c r="F62" t="inlineStr">
        <is>
          <t>Sveaskog</t>
        </is>
      </c>
      <c r="G62" t="n">
        <v>1.2</v>
      </c>
      <c r="H62" t="n">
        <v>0</v>
      </c>
      <c r="I62" t="n">
        <v>1</v>
      </c>
      <c r="J62" t="n">
        <v>0</v>
      </c>
      <c r="K62" t="n">
        <v>0</v>
      </c>
      <c r="L62" t="n">
        <v>0</v>
      </c>
      <c r="M62" t="n">
        <v>0</v>
      </c>
      <c r="N62" t="n">
        <v>0</v>
      </c>
      <c r="O62" t="n">
        <v>0</v>
      </c>
      <c r="P62" t="n">
        <v>0</v>
      </c>
      <c r="Q62" t="n">
        <v>1</v>
      </c>
      <c r="R62" s="2" t="inlineStr">
        <is>
          <t>Svart trolldruva</t>
        </is>
      </c>
      <c r="S62">
        <f>HYPERLINK("https://klasma.github.io/Logging_1885/artfynd/A 57362-2025 artfynd.xlsx", "A 57362-2025")</f>
        <v/>
      </c>
      <c r="T62">
        <f>HYPERLINK("https://klasma.github.io/Logging_1885/kartor/A 57362-2025 karta.png", "A 57362-2025")</f>
        <v/>
      </c>
      <c r="V62">
        <f>HYPERLINK("https://klasma.github.io/Logging_1885/klagomål/A 57362-2025 FSC-klagomål.docx", "A 57362-2025")</f>
        <v/>
      </c>
      <c r="W62">
        <f>HYPERLINK("https://klasma.github.io/Logging_1885/klagomålsmail/A 57362-2025 FSC-klagomål mail.docx", "A 57362-2025")</f>
        <v/>
      </c>
      <c r="X62">
        <f>HYPERLINK("https://klasma.github.io/Logging_1885/tillsyn/A 57362-2025 tillsynsbegäran.docx", "A 57362-2025")</f>
        <v/>
      </c>
      <c r="Y62">
        <f>HYPERLINK("https://klasma.github.io/Logging_1885/tillsynsmail/A 57362-2025 tillsynsbegäran mail.docx", "A 57362-2025")</f>
        <v/>
      </c>
    </row>
    <row r="63" ht="15" customHeight="1">
      <c r="A63" t="inlineStr">
        <is>
          <t>A 57355-2025</t>
        </is>
      </c>
      <c r="B63" s="1" t="n">
        <v>45980.3659375</v>
      </c>
      <c r="C63" s="1" t="n">
        <v>46105</v>
      </c>
      <c r="D63" t="inlineStr">
        <is>
          <t>ÖREBRO LÄN</t>
        </is>
      </c>
      <c r="E63" t="inlineStr">
        <is>
          <t>LINDESBERG</t>
        </is>
      </c>
      <c r="F63" t="inlineStr">
        <is>
          <t>Sveaskog</t>
        </is>
      </c>
      <c r="G63" t="n">
        <v>2.7</v>
      </c>
      <c r="H63" t="n">
        <v>0</v>
      </c>
      <c r="I63" t="n">
        <v>0</v>
      </c>
      <c r="J63" t="n">
        <v>1</v>
      </c>
      <c r="K63" t="n">
        <v>0</v>
      </c>
      <c r="L63" t="n">
        <v>0</v>
      </c>
      <c r="M63" t="n">
        <v>0</v>
      </c>
      <c r="N63" t="n">
        <v>0</v>
      </c>
      <c r="O63" t="n">
        <v>1</v>
      </c>
      <c r="P63" t="n">
        <v>0</v>
      </c>
      <c r="Q63" t="n">
        <v>1</v>
      </c>
      <c r="R63" s="2" t="inlineStr">
        <is>
          <t>Orange taggsvamp</t>
        </is>
      </c>
      <c r="S63">
        <f>HYPERLINK("https://klasma.github.io/Logging_1885/artfynd/A 57355-2025 artfynd.xlsx", "A 57355-2025")</f>
        <v/>
      </c>
      <c r="T63">
        <f>HYPERLINK("https://klasma.github.io/Logging_1885/kartor/A 57355-2025 karta.png", "A 57355-2025")</f>
        <v/>
      </c>
      <c r="V63">
        <f>HYPERLINK("https://klasma.github.io/Logging_1885/klagomål/A 57355-2025 FSC-klagomål.docx", "A 57355-2025")</f>
        <v/>
      </c>
      <c r="W63">
        <f>HYPERLINK("https://klasma.github.io/Logging_1885/klagomålsmail/A 57355-2025 FSC-klagomål mail.docx", "A 57355-2025")</f>
        <v/>
      </c>
      <c r="X63">
        <f>HYPERLINK("https://klasma.github.io/Logging_1885/tillsyn/A 57355-2025 tillsynsbegäran.docx", "A 57355-2025")</f>
        <v/>
      </c>
      <c r="Y63">
        <f>HYPERLINK("https://klasma.github.io/Logging_1885/tillsynsmail/A 57355-2025 tillsynsbegäran mail.docx", "A 57355-2025")</f>
        <v/>
      </c>
    </row>
    <row r="64" ht="15" customHeight="1">
      <c r="A64" t="inlineStr">
        <is>
          <t>A 8196-2026</t>
        </is>
      </c>
      <c r="B64" s="1" t="n">
        <v>46064.4325</v>
      </c>
      <c r="C64" s="1" t="n">
        <v>46105</v>
      </c>
      <c r="D64" t="inlineStr">
        <is>
          <t>ÖREBRO LÄN</t>
        </is>
      </c>
      <c r="E64" t="inlineStr">
        <is>
          <t>LINDESBERG</t>
        </is>
      </c>
      <c r="G64" t="n">
        <v>1.3</v>
      </c>
      <c r="H64" t="n">
        <v>0</v>
      </c>
      <c r="I64" t="n">
        <v>1</v>
      </c>
      <c r="J64" t="n">
        <v>0</v>
      </c>
      <c r="K64" t="n">
        <v>0</v>
      </c>
      <c r="L64" t="n">
        <v>0</v>
      </c>
      <c r="M64" t="n">
        <v>0</v>
      </c>
      <c r="N64" t="n">
        <v>0</v>
      </c>
      <c r="O64" t="n">
        <v>0</v>
      </c>
      <c r="P64" t="n">
        <v>0</v>
      </c>
      <c r="Q64" t="n">
        <v>1</v>
      </c>
      <c r="R64" s="2" t="inlineStr">
        <is>
          <t>Västlig hakmossa</t>
        </is>
      </c>
      <c r="S64">
        <f>HYPERLINK("https://klasma.github.io/Logging_1885/artfynd/A 8196-2026 artfynd.xlsx", "A 8196-2026")</f>
        <v/>
      </c>
      <c r="T64">
        <f>HYPERLINK("https://klasma.github.io/Logging_1885/kartor/A 8196-2026 karta.png", "A 8196-2026")</f>
        <v/>
      </c>
      <c r="V64">
        <f>HYPERLINK("https://klasma.github.io/Logging_1885/klagomål/A 8196-2026 FSC-klagomål.docx", "A 8196-2026")</f>
        <v/>
      </c>
      <c r="W64">
        <f>HYPERLINK("https://klasma.github.io/Logging_1885/klagomålsmail/A 8196-2026 FSC-klagomål mail.docx", "A 8196-2026")</f>
        <v/>
      </c>
      <c r="X64">
        <f>HYPERLINK("https://klasma.github.io/Logging_1885/tillsyn/A 8196-2026 tillsynsbegäran.docx", "A 8196-2026")</f>
        <v/>
      </c>
      <c r="Y64">
        <f>HYPERLINK("https://klasma.github.io/Logging_1885/tillsynsmail/A 8196-2026 tillsynsbegäran mail.docx", "A 8196-2026")</f>
        <v/>
      </c>
    </row>
    <row r="65" ht="15" customHeight="1">
      <c r="A65" t="inlineStr">
        <is>
          <t>A 8175-2026</t>
        </is>
      </c>
      <c r="B65" s="1" t="n">
        <v>46064</v>
      </c>
      <c r="C65" s="1" t="n">
        <v>46105</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Svart trolldruva</t>
        </is>
      </c>
      <c r="S65">
        <f>HYPERLINK("https://klasma.github.io/Logging_1885/artfynd/A 8175-2026 artfynd.xlsx", "A 8175-2026")</f>
        <v/>
      </c>
      <c r="T65">
        <f>HYPERLINK("https://klasma.github.io/Logging_1885/kartor/A 8175-2026 karta.png", "A 8175-2026")</f>
        <v/>
      </c>
      <c r="V65">
        <f>HYPERLINK("https://klasma.github.io/Logging_1885/klagomål/A 8175-2026 FSC-klagomål.docx", "A 8175-2026")</f>
        <v/>
      </c>
      <c r="W65">
        <f>HYPERLINK("https://klasma.github.io/Logging_1885/klagomålsmail/A 8175-2026 FSC-klagomål mail.docx", "A 8175-2026")</f>
        <v/>
      </c>
      <c r="X65">
        <f>HYPERLINK("https://klasma.github.io/Logging_1885/tillsyn/A 8175-2026 tillsynsbegäran.docx", "A 8175-2026")</f>
        <v/>
      </c>
      <c r="Y65">
        <f>HYPERLINK("https://klasma.github.io/Logging_1885/tillsynsmail/A 8175-2026 tillsynsbegäran mail.docx", "A 8175-2026")</f>
        <v/>
      </c>
    </row>
    <row r="66" ht="15" customHeight="1">
      <c r="A66" t="inlineStr">
        <is>
          <t>A 8172-2026</t>
        </is>
      </c>
      <c r="B66" s="1" t="n">
        <v>46064</v>
      </c>
      <c r="C66" s="1" t="n">
        <v>46105</v>
      </c>
      <c r="D66" t="inlineStr">
        <is>
          <t>ÖREBRO LÄN</t>
        </is>
      </c>
      <c r="E66" t="inlineStr">
        <is>
          <t>LINDESBERG</t>
        </is>
      </c>
      <c r="G66" t="n">
        <v>2.9</v>
      </c>
      <c r="H66" t="n">
        <v>0</v>
      </c>
      <c r="I66" t="n">
        <v>0</v>
      </c>
      <c r="J66" t="n">
        <v>0</v>
      </c>
      <c r="K66" t="n">
        <v>0</v>
      </c>
      <c r="L66" t="n">
        <v>1</v>
      </c>
      <c r="M66" t="n">
        <v>0</v>
      </c>
      <c r="N66" t="n">
        <v>0</v>
      </c>
      <c r="O66" t="n">
        <v>1</v>
      </c>
      <c r="P66" t="n">
        <v>1</v>
      </c>
      <c r="Q66" t="n">
        <v>1</v>
      </c>
      <c r="R66" s="2" t="inlineStr">
        <is>
          <t>Bågtuss</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8195-2026</t>
        </is>
      </c>
      <c r="B67" s="1" t="n">
        <v>46064.43017361111</v>
      </c>
      <c r="C67" s="1" t="n">
        <v>46105</v>
      </c>
      <c r="D67" t="inlineStr">
        <is>
          <t>ÖREBRO LÄN</t>
        </is>
      </c>
      <c r="E67" t="inlineStr">
        <is>
          <t>LINDESBERG</t>
        </is>
      </c>
      <c r="G67" t="n">
        <v>2.3</v>
      </c>
      <c r="H67" t="n">
        <v>0</v>
      </c>
      <c r="I67" t="n">
        <v>1</v>
      </c>
      <c r="J67" t="n">
        <v>0</v>
      </c>
      <c r="K67" t="n">
        <v>0</v>
      </c>
      <c r="L67" t="n">
        <v>0</v>
      </c>
      <c r="M67" t="n">
        <v>0</v>
      </c>
      <c r="N67" t="n">
        <v>0</v>
      </c>
      <c r="O67" t="n">
        <v>0</v>
      </c>
      <c r="P67" t="n">
        <v>0</v>
      </c>
      <c r="Q67" t="n">
        <v>1</v>
      </c>
      <c r="R67" s="2" t="inlineStr">
        <is>
          <t>Rödgul trumpetsvamp</t>
        </is>
      </c>
      <c r="S67">
        <f>HYPERLINK("https://klasma.github.io/Logging_1885/artfynd/A 8195-2026 artfynd.xlsx", "A 8195-2026")</f>
        <v/>
      </c>
      <c r="T67">
        <f>HYPERLINK("https://klasma.github.io/Logging_1885/kartor/A 8195-2026 karta.png", "A 8195-2026")</f>
        <v/>
      </c>
      <c r="V67">
        <f>HYPERLINK("https://klasma.github.io/Logging_1885/klagomål/A 8195-2026 FSC-klagomål.docx", "A 8195-2026")</f>
        <v/>
      </c>
      <c r="W67">
        <f>HYPERLINK("https://klasma.github.io/Logging_1885/klagomålsmail/A 8195-2026 FSC-klagomål mail.docx", "A 8195-2026")</f>
        <v/>
      </c>
      <c r="X67">
        <f>HYPERLINK("https://klasma.github.io/Logging_1885/tillsyn/A 8195-2026 tillsynsbegäran.docx", "A 8195-2026")</f>
        <v/>
      </c>
      <c r="Y67">
        <f>HYPERLINK("https://klasma.github.io/Logging_1885/tillsynsmail/A 8195-2026 tillsynsbegäran mail.docx", "A 8195-2026")</f>
        <v/>
      </c>
    </row>
    <row r="68" ht="15" customHeight="1">
      <c r="A68" t="inlineStr">
        <is>
          <t>A 8186-2026</t>
        </is>
      </c>
      <c r="B68" s="1" t="n">
        <v>46064.42189814815</v>
      </c>
      <c r="C68" s="1" t="n">
        <v>46105</v>
      </c>
      <c r="D68" t="inlineStr">
        <is>
          <t>ÖREBRO LÄN</t>
        </is>
      </c>
      <c r="E68" t="inlineStr">
        <is>
          <t>LINDESBERG</t>
        </is>
      </c>
      <c r="G68" t="n">
        <v>2.4</v>
      </c>
      <c r="H68" t="n">
        <v>1</v>
      </c>
      <c r="I68" t="n">
        <v>0</v>
      </c>
      <c r="J68" t="n">
        <v>0</v>
      </c>
      <c r="K68" t="n">
        <v>0</v>
      </c>
      <c r="L68" t="n">
        <v>1</v>
      </c>
      <c r="M68" t="n">
        <v>0</v>
      </c>
      <c r="N68" t="n">
        <v>0</v>
      </c>
      <c r="O68" t="n">
        <v>1</v>
      </c>
      <c r="P68" t="n">
        <v>1</v>
      </c>
      <c r="Q68" t="n">
        <v>1</v>
      </c>
      <c r="R68" s="2" t="inlineStr">
        <is>
          <t>Asknätfjäril</t>
        </is>
      </c>
      <c r="S68">
        <f>HYPERLINK("https://klasma.github.io/Logging_1885/artfynd/A 8186-2026 artfynd.xlsx", "A 8186-2026")</f>
        <v/>
      </c>
      <c r="T68">
        <f>HYPERLINK("https://klasma.github.io/Logging_1885/kartor/A 8186-2026 karta.png", "A 8186-2026")</f>
        <v/>
      </c>
      <c r="V68">
        <f>HYPERLINK("https://klasma.github.io/Logging_1885/klagomål/A 8186-2026 FSC-klagomål.docx", "A 8186-2026")</f>
        <v/>
      </c>
      <c r="W68">
        <f>HYPERLINK("https://klasma.github.io/Logging_1885/klagomålsmail/A 8186-2026 FSC-klagomål mail.docx", "A 8186-2026")</f>
        <v/>
      </c>
      <c r="X68">
        <f>HYPERLINK("https://klasma.github.io/Logging_1885/tillsyn/A 8186-2026 tillsynsbegäran.docx", "A 8186-2026")</f>
        <v/>
      </c>
      <c r="Y68">
        <f>HYPERLINK("https://klasma.github.io/Logging_1885/tillsynsmail/A 8186-2026 tillsynsbegäran mail.docx", "A 8186-2026")</f>
        <v/>
      </c>
    </row>
    <row r="69" ht="15" customHeight="1">
      <c r="A69" t="inlineStr">
        <is>
          <t>A 2829-2026</t>
        </is>
      </c>
      <c r="B69" s="1" t="n">
        <v>46038.45296296296</v>
      </c>
      <c r="C69" s="1" t="n">
        <v>46105</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28787-2023</t>
        </is>
      </c>
      <c r="B70" s="1" t="n">
        <v>45104.3483912037</v>
      </c>
      <c r="C70" s="1" t="n">
        <v>46105</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46105</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46105</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46105</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46105</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45051-2024</t>
        </is>
      </c>
      <c r="B75" s="1" t="n">
        <v>45575.54934027778</v>
      </c>
      <c r="C75" s="1" t="n">
        <v>46105</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46105</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46105</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46105</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46105</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46105</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46105</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46105</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46105</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46105</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46105</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46105</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46105</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46105</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46105</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46105</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46105</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46105</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46105</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46105</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46105</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46105</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46105</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46105</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46105</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46105</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46105</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46105</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46105</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46105</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46105</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46105</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46105</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46105</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46105</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46105</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46105</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46105</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46105</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46105</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46105</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46105</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46105</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46105</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46105</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46105</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46105</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46105</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46105</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46105</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46105</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46105</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46105</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46105</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46105</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46105</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46105</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46105</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46105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46105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46105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46105</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46105</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46105</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46105</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46105</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46105</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46105</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46105</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46105</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46105</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46105</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46105</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46105</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46105</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46105</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46105</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46105</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46105</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46105</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46105</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46105</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46105</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46105</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46105</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46105</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46105</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46105</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46105</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46105</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46105</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46105</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46105</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46105</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46105</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46105</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46105</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46105</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46105</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46105</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46105</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46105</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46105</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46105</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46105</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46105</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46105</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46105</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46105</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46105</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46105</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46105</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46105</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46105</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46105</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46105</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46105</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46105</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46105</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46105</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46105</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46105</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46105</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46105</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46105</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46105</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46105</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46105</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44479.58512731481</v>
      </c>
      <c r="C206" s="1" t="n">
        <v>46105</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46105</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46105</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46105</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46105</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46105</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46105</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46105</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6470-2024</t>
        </is>
      </c>
      <c r="B214" s="1" t="n">
        <v>45338</v>
      </c>
      <c r="C214" s="1" t="n">
        <v>46105</v>
      </c>
      <c r="D214" t="inlineStr">
        <is>
          <t>ÖREBRO LÄN</t>
        </is>
      </c>
      <c r="E214" t="inlineStr">
        <is>
          <t>LINDESBERG</t>
        </is>
      </c>
      <c r="G214" t="n">
        <v>1.2</v>
      </c>
      <c r="H214" t="n">
        <v>0</v>
      </c>
      <c r="I214" t="n">
        <v>0</v>
      </c>
      <c r="J214" t="n">
        <v>0</v>
      </c>
      <c r="K214" t="n">
        <v>0</v>
      </c>
      <c r="L214" t="n">
        <v>0</v>
      </c>
      <c r="M214" t="n">
        <v>0</v>
      </c>
      <c r="N214" t="n">
        <v>0</v>
      </c>
      <c r="O214" t="n">
        <v>0</v>
      </c>
      <c r="P214" t="n">
        <v>0</v>
      </c>
      <c r="Q214" t="n">
        <v>0</v>
      </c>
      <c r="R214" s="2" t="inlineStr"/>
    </row>
    <row r="215" ht="15" customHeight="1">
      <c r="A215" t="inlineStr">
        <is>
          <t>A 45481-2023</t>
        </is>
      </c>
      <c r="B215" s="1" t="n">
        <v>45194</v>
      </c>
      <c r="C215" s="1" t="n">
        <v>46105</v>
      </c>
      <c r="D215" t="inlineStr">
        <is>
          <t>ÖREBRO LÄN</t>
        </is>
      </c>
      <c r="E215" t="inlineStr">
        <is>
          <t>LINDESBERG</t>
        </is>
      </c>
      <c r="G215" t="n">
        <v>2.1</v>
      </c>
      <c r="H215" t="n">
        <v>0</v>
      </c>
      <c r="I215" t="n">
        <v>0</v>
      </c>
      <c r="J215" t="n">
        <v>0</v>
      </c>
      <c r="K215" t="n">
        <v>0</v>
      </c>
      <c r="L215" t="n">
        <v>0</v>
      </c>
      <c r="M215" t="n">
        <v>0</v>
      </c>
      <c r="N215" t="n">
        <v>0</v>
      </c>
      <c r="O215" t="n">
        <v>0</v>
      </c>
      <c r="P215" t="n">
        <v>0</v>
      </c>
      <c r="Q215" t="n">
        <v>0</v>
      </c>
      <c r="R215" s="2" t="inlineStr"/>
    </row>
    <row r="216" ht="15" customHeight="1">
      <c r="A216" t="inlineStr">
        <is>
          <t>A 33707-2021</t>
        </is>
      </c>
      <c r="B216" s="1" t="n">
        <v>44378.46403935185</v>
      </c>
      <c r="C216" s="1" t="n">
        <v>46105</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46105</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63686-2023</t>
        </is>
      </c>
      <c r="B218" s="1" t="n">
        <v>45274</v>
      </c>
      <c r="C218" s="1" t="n">
        <v>46105</v>
      </c>
      <c r="D218" t="inlineStr">
        <is>
          <t>ÖREBRO LÄN</t>
        </is>
      </c>
      <c r="E218" t="inlineStr">
        <is>
          <t>LINDESBERG</t>
        </is>
      </c>
      <c r="G218" t="n">
        <v>0.9</v>
      </c>
      <c r="H218" t="n">
        <v>0</v>
      </c>
      <c r="I218" t="n">
        <v>0</v>
      </c>
      <c r="J218" t="n">
        <v>0</v>
      </c>
      <c r="K218" t="n">
        <v>0</v>
      </c>
      <c r="L218" t="n">
        <v>0</v>
      </c>
      <c r="M218" t="n">
        <v>0</v>
      </c>
      <c r="N218" t="n">
        <v>0</v>
      </c>
      <c r="O218" t="n">
        <v>0</v>
      </c>
      <c r="P218" t="n">
        <v>0</v>
      </c>
      <c r="Q218" t="n">
        <v>0</v>
      </c>
      <c r="R218" s="2" t="inlineStr"/>
    </row>
    <row r="219" ht="15" customHeight="1">
      <c r="A219" t="inlineStr">
        <is>
          <t>A 17104-2024</t>
        </is>
      </c>
      <c r="B219" s="1" t="n">
        <v>45412.54541666667</v>
      </c>
      <c r="C219" s="1" t="n">
        <v>46105</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21084-2021</t>
        </is>
      </c>
      <c r="B220" s="1" t="n">
        <v>44319</v>
      </c>
      <c r="C220" s="1" t="n">
        <v>46105</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6161-2025</t>
        </is>
      </c>
      <c r="B221" s="1" t="n">
        <v>45698</v>
      </c>
      <c r="C221" s="1" t="n">
        <v>46105</v>
      </c>
      <c r="D221" t="inlineStr">
        <is>
          <t>ÖREBRO LÄN</t>
        </is>
      </c>
      <c r="E221" t="inlineStr">
        <is>
          <t>LINDESBERG</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6165-2025</t>
        </is>
      </c>
      <c r="B222" s="1" t="n">
        <v>45698</v>
      </c>
      <c r="C222" s="1" t="n">
        <v>46105</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6181-2025</t>
        </is>
      </c>
      <c r="B223" s="1" t="n">
        <v>45698</v>
      </c>
      <c r="C223" s="1" t="n">
        <v>46105</v>
      </c>
      <c r="D223" t="inlineStr">
        <is>
          <t>ÖREBRO LÄN</t>
        </is>
      </c>
      <c r="E223" t="inlineStr">
        <is>
          <t>LINDESBERG</t>
        </is>
      </c>
      <c r="G223" t="n">
        <v>2.8</v>
      </c>
      <c r="H223" t="n">
        <v>0</v>
      </c>
      <c r="I223" t="n">
        <v>0</v>
      </c>
      <c r="J223" t="n">
        <v>0</v>
      </c>
      <c r="K223" t="n">
        <v>0</v>
      </c>
      <c r="L223" t="n">
        <v>0</v>
      </c>
      <c r="M223" t="n">
        <v>0</v>
      </c>
      <c r="N223" t="n">
        <v>0</v>
      </c>
      <c r="O223" t="n">
        <v>0</v>
      </c>
      <c r="P223" t="n">
        <v>0</v>
      </c>
      <c r="Q223" t="n">
        <v>0</v>
      </c>
      <c r="R223" s="2" t="inlineStr"/>
    </row>
    <row r="224" ht="15" customHeight="1">
      <c r="A224" t="inlineStr">
        <is>
          <t>A 26093-2023</t>
        </is>
      </c>
      <c r="B224" s="1" t="n">
        <v>45091.39362268519</v>
      </c>
      <c r="C224" s="1" t="n">
        <v>46105</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17823-2021</t>
        </is>
      </c>
      <c r="B225" s="1" t="n">
        <v>44300</v>
      </c>
      <c r="C225" s="1" t="n">
        <v>46105</v>
      </c>
      <c r="D225" t="inlineStr">
        <is>
          <t>ÖREBRO LÄN</t>
        </is>
      </c>
      <c r="E225" t="inlineStr">
        <is>
          <t>LINDESBERG</t>
        </is>
      </c>
      <c r="G225" t="n">
        <v>3.9</v>
      </c>
      <c r="H225" t="n">
        <v>0</v>
      </c>
      <c r="I225" t="n">
        <v>0</v>
      </c>
      <c r="J225" t="n">
        <v>0</v>
      </c>
      <c r="K225" t="n">
        <v>0</v>
      </c>
      <c r="L225" t="n">
        <v>0</v>
      </c>
      <c r="M225" t="n">
        <v>0</v>
      </c>
      <c r="N225" t="n">
        <v>0</v>
      </c>
      <c r="O225" t="n">
        <v>0</v>
      </c>
      <c r="P225" t="n">
        <v>0</v>
      </c>
      <c r="Q225" t="n">
        <v>0</v>
      </c>
      <c r="R225" s="2" t="inlineStr"/>
    </row>
    <row r="226" ht="15" customHeight="1">
      <c r="A226" t="inlineStr">
        <is>
          <t>A 56217-2022</t>
        </is>
      </c>
      <c r="B226" s="1" t="n">
        <v>44890.46174768519</v>
      </c>
      <c r="C226" s="1" t="n">
        <v>46105</v>
      </c>
      <c r="D226" t="inlineStr">
        <is>
          <t>ÖREBRO LÄN</t>
        </is>
      </c>
      <c r="E226" t="inlineStr">
        <is>
          <t>LINDESBERG</t>
        </is>
      </c>
      <c r="G226" t="n">
        <v>6.9</v>
      </c>
      <c r="H226" t="n">
        <v>0</v>
      </c>
      <c r="I226" t="n">
        <v>0</v>
      </c>
      <c r="J226" t="n">
        <v>0</v>
      </c>
      <c r="K226" t="n">
        <v>0</v>
      </c>
      <c r="L226" t="n">
        <v>0</v>
      </c>
      <c r="M226" t="n">
        <v>0</v>
      </c>
      <c r="N226" t="n">
        <v>0</v>
      </c>
      <c r="O226" t="n">
        <v>0</v>
      </c>
      <c r="P226" t="n">
        <v>0</v>
      </c>
      <c r="Q226" t="n">
        <v>0</v>
      </c>
      <c r="R226" s="2" t="inlineStr"/>
    </row>
    <row r="227" ht="15" customHeight="1">
      <c r="A227" t="inlineStr">
        <is>
          <t>A 51656-2023</t>
        </is>
      </c>
      <c r="B227" s="1" t="n">
        <v>45222</v>
      </c>
      <c r="C227" s="1" t="n">
        <v>46105</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19914-2024</t>
        </is>
      </c>
      <c r="B228" s="1" t="n">
        <v>45433.58099537037</v>
      </c>
      <c r="C228" s="1" t="n">
        <v>46105</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12739-2024</t>
        </is>
      </c>
      <c r="B229" s="1" t="n">
        <v>45384</v>
      </c>
      <c r="C229" s="1" t="n">
        <v>46105</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27134-2024</t>
        </is>
      </c>
      <c r="B230" s="1" t="n">
        <v>45471.52878472222</v>
      </c>
      <c r="C230" s="1" t="n">
        <v>46105</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40305-2024</t>
        </is>
      </c>
      <c r="B231" s="1" t="n">
        <v>45554.71863425926</v>
      </c>
      <c r="C231" s="1" t="n">
        <v>46105</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56561-2023</t>
        </is>
      </c>
      <c r="B232" s="1" t="n">
        <v>45243</v>
      </c>
      <c r="C232" s="1" t="n">
        <v>46105</v>
      </c>
      <c r="D232" t="inlineStr">
        <is>
          <t>ÖREBRO LÄN</t>
        </is>
      </c>
      <c r="E232" t="inlineStr">
        <is>
          <t>LINDESBERG</t>
        </is>
      </c>
      <c r="G232" t="n">
        <v>1.9</v>
      </c>
      <c r="H232" t="n">
        <v>0</v>
      </c>
      <c r="I232" t="n">
        <v>0</v>
      </c>
      <c r="J232" t="n">
        <v>0</v>
      </c>
      <c r="K232" t="n">
        <v>0</v>
      </c>
      <c r="L232" t="n">
        <v>0</v>
      </c>
      <c r="M232" t="n">
        <v>0</v>
      </c>
      <c r="N232" t="n">
        <v>0</v>
      </c>
      <c r="O232" t="n">
        <v>0</v>
      </c>
      <c r="P232" t="n">
        <v>0</v>
      </c>
      <c r="Q232" t="n">
        <v>0</v>
      </c>
      <c r="R232" s="2" t="inlineStr"/>
    </row>
    <row r="233" ht="15" customHeight="1">
      <c r="A233" t="inlineStr">
        <is>
          <t>A 56579-2023</t>
        </is>
      </c>
      <c r="B233" s="1" t="n">
        <v>45243.62420138889</v>
      </c>
      <c r="C233" s="1" t="n">
        <v>46105</v>
      </c>
      <c r="D233" t="inlineStr">
        <is>
          <t>ÖREBRO LÄN</t>
        </is>
      </c>
      <c r="E233" t="inlineStr">
        <is>
          <t>LINDESBERG</t>
        </is>
      </c>
      <c r="F233" t="inlineStr">
        <is>
          <t>Naturvårdsverket</t>
        </is>
      </c>
      <c r="G233" t="n">
        <v>1.6</v>
      </c>
      <c r="H233" t="n">
        <v>0</v>
      </c>
      <c r="I233" t="n">
        <v>0</v>
      </c>
      <c r="J233" t="n">
        <v>0</v>
      </c>
      <c r="K233" t="n">
        <v>0</v>
      </c>
      <c r="L233" t="n">
        <v>0</v>
      </c>
      <c r="M233" t="n">
        <v>0</v>
      </c>
      <c r="N233" t="n">
        <v>0</v>
      </c>
      <c r="O233" t="n">
        <v>0</v>
      </c>
      <c r="P233" t="n">
        <v>0</v>
      </c>
      <c r="Q233" t="n">
        <v>0</v>
      </c>
      <c r="R233" s="2" t="inlineStr"/>
    </row>
    <row r="234" ht="15" customHeight="1">
      <c r="A234" t="inlineStr">
        <is>
          <t>A 56582-2023</t>
        </is>
      </c>
      <c r="B234" s="1" t="n">
        <v>45243</v>
      </c>
      <c r="C234" s="1" t="n">
        <v>46105</v>
      </c>
      <c r="D234" t="inlineStr">
        <is>
          <t>ÖREBRO LÄN</t>
        </is>
      </c>
      <c r="E234" t="inlineStr">
        <is>
          <t>LINDESBERG</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21012-2023</t>
        </is>
      </c>
      <c r="B235" s="1" t="n">
        <v>45061.52474537037</v>
      </c>
      <c r="C235" s="1" t="n">
        <v>46105</v>
      </c>
      <c r="D235" t="inlineStr">
        <is>
          <t>ÖREBRO LÄN</t>
        </is>
      </c>
      <c r="E235" t="inlineStr">
        <is>
          <t>LINDESBERG</t>
        </is>
      </c>
      <c r="G235" t="n">
        <v>0.5</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46105</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37432-2022</t>
        </is>
      </c>
      <c r="B237" s="1" t="n">
        <v>44809</v>
      </c>
      <c r="C237" s="1" t="n">
        <v>46105</v>
      </c>
      <c r="D237" t="inlineStr">
        <is>
          <t>ÖREBRO LÄN</t>
        </is>
      </c>
      <c r="E237" t="inlineStr">
        <is>
          <t>LINDESBERG</t>
        </is>
      </c>
      <c r="G237" t="n">
        <v>3.6</v>
      </c>
      <c r="H237" t="n">
        <v>0</v>
      </c>
      <c r="I237" t="n">
        <v>0</v>
      </c>
      <c r="J237" t="n">
        <v>0</v>
      </c>
      <c r="K237" t="n">
        <v>0</v>
      </c>
      <c r="L237" t="n">
        <v>0</v>
      </c>
      <c r="M237" t="n">
        <v>0</v>
      </c>
      <c r="N237" t="n">
        <v>0</v>
      </c>
      <c r="O237" t="n">
        <v>0</v>
      </c>
      <c r="P237" t="n">
        <v>0</v>
      </c>
      <c r="Q237" t="n">
        <v>0</v>
      </c>
      <c r="R237" s="2" t="inlineStr"/>
    </row>
    <row r="238" ht="15" customHeight="1">
      <c r="A238" t="inlineStr">
        <is>
          <t>A 53054-2022</t>
        </is>
      </c>
      <c r="B238" s="1" t="n">
        <v>44876.35706018518</v>
      </c>
      <c r="C238" s="1" t="n">
        <v>46105</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24944-2024</t>
        </is>
      </c>
      <c r="B239" s="1" t="n">
        <v>45461.62924768519</v>
      </c>
      <c r="C239" s="1" t="n">
        <v>46105</v>
      </c>
      <c r="D239" t="inlineStr">
        <is>
          <t>ÖREBRO LÄN</t>
        </is>
      </c>
      <c r="E239" t="inlineStr">
        <is>
          <t>LINDESBERG</t>
        </is>
      </c>
      <c r="F239" t="inlineStr">
        <is>
          <t>Kyrkan</t>
        </is>
      </c>
      <c r="G239" t="n">
        <v>13.7</v>
      </c>
      <c r="H239" t="n">
        <v>0</v>
      </c>
      <c r="I239" t="n">
        <v>0</v>
      </c>
      <c r="J239" t="n">
        <v>0</v>
      </c>
      <c r="K239" t="n">
        <v>0</v>
      </c>
      <c r="L239" t="n">
        <v>0</v>
      </c>
      <c r="M239" t="n">
        <v>0</v>
      </c>
      <c r="N239" t="n">
        <v>0</v>
      </c>
      <c r="O239" t="n">
        <v>0</v>
      </c>
      <c r="P239" t="n">
        <v>0</v>
      </c>
      <c r="Q239" t="n">
        <v>0</v>
      </c>
      <c r="R239" s="2" t="inlineStr"/>
    </row>
    <row r="240" ht="15" customHeight="1">
      <c r="A240" t="inlineStr">
        <is>
          <t>A 17995-2021</t>
        </is>
      </c>
      <c r="B240" s="1" t="n">
        <v>44301</v>
      </c>
      <c r="C240" s="1" t="n">
        <v>46105</v>
      </c>
      <c r="D240" t="inlineStr">
        <is>
          <t>ÖREBRO LÄN</t>
        </is>
      </c>
      <c r="E240" t="inlineStr">
        <is>
          <t>LINDESBERG</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50619-2022</t>
        </is>
      </c>
      <c r="B241" s="1" t="n">
        <v>44866.79668981482</v>
      </c>
      <c r="C241" s="1" t="n">
        <v>46105</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46603-2021</t>
        </is>
      </c>
      <c r="B242" s="1" t="n">
        <v>44445</v>
      </c>
      <c r="C242" s="1" t="n">
        <v>46105</v>
      </c>
      <c r="D242" t="inlineStr">
        <is>
          <t>ÖREBRO LÄN</t>
        </is>
      </c>
      <c r="E242" t="inlineStr">
        <is>
          <t>LINDESBERG</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23641-2024</t>
        </is>
      </c>
      <c r="B243" s="1" t="n">
        <v>45454.49679398148</v>
      </c>
      <c r="C243" s="1" t="n">
        <v>46105</v>
      </c>
      <c r="D243" t="inlineStr">
        <is>
          <t>ÖREBRO LÄN</t>
        </is>
      </c>
      <c r="E243" t="inlineStr">
        <is>
          <t>LINDESBERG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41343-2021</t>
        </is>
      </c>
      <c r="B244" s="1" t="n">
        <v>44424.61709490741</v>
      </c>
      <c r="C244" s="1" t="n">
        <v>46105</v>
      </c>
      <c r="D244" t="inlineStr">
        <is>
          <t>ÖREBRO LÄN</t>
        </is>
      </c>
      <c r="E244" t="inlineStr">
        <is>
          <t>LINDESBERG</t>
        </is>
      </c>
      <c r="G244" t="n">
        <v>8.9</v>
      </c>
      <c r="H244" t="n">
        <v>0</v>
      </c>
      <c r="I244" t="n">
        <v>0</v>
      </c>
      <c r="J244" t="n">
        <v>0</v>
      </c>
      <c r="K244" t="n">
        <v>0</v>
      </c>
      <c r="L244" t="n">
        <v>0</v>
      </c>
      <c r="M244" t="n">
        <v>0</v>
      </c>
      <c r="N244" t="n">
        <v>0</v>
      </c>
      <c r="O244" t="n">
        <v>0</v>
      </c>
      <c r="P244" t="n">
        <v>0</v>
      </c>
      <c r="Q244" t="n">
        <v>0</v>
      </c>
      <c r="R244" s="2" t="inlineStr"/>
    </row>
    <row r="245" ht="15" customHeight="1">
      <c r="A245" t="inlineStr">
        <is>
          <t>A 4067-2024</t>
        </is>
      </c>
      <c r="B245" s="1" t="n">
        <v>45323</v>
      </c>
      <c r="C245" s="1" t="n">
        <v>46105</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58662-2022</t>
        </is>
      </c>
      <c r="B246" s="1" t="n">
        <v>44902</v>
      </c>
      <c r="C246" s="1" t="n">
        <v>46105</v>
      </c>
      <c r="D246" t="inlineStr">
        <is>
          <t>ÖREBRO LÄN</t>
        </is>
      </c>
      <c r="E246" t="inlineStr">
        <is>
          <t>LINDESBERG</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28032-2023</t>
        </is>
      </c>
      <c r="B247" s="1" t="n">
        <v>45099</v>
      </c>
      <c r="C247" s="1" t="n">
        <v>46105</v>
      </c>
      <c r="D247" t="inlineStr">
        <is>
          <t>ÖREBRO LÄN</t>
        </is>
      </c>
      <c r="E247" t="inlineStr">
        <is>
          <t>LINDESBERG</t>
        </is>
      </c>
      <c r="F247" t="inlineStr">
        <is>
          <t>Kyrkan</t>
        </is>
      </c>
      <c r="G247" t="n">
        <v>0.7</v>
      </c>
      <c r="H247" t="n">
        <v>0</v>
      </c>
      <c r="I247" t="n">
        <v>0</v>
      </c>
      <c r="J247" t="n">
        <v>0</v>
      </c>
      <c r="K247" t="n">
        <v>0</v>
      </c>
      <c r="L247" t="n">
        <v>0</v>
      </c>
      <c r="M247" t="n">
        <v>0</v>
      </c>
      <c r="N247" t="n">
        <v>0</v>
      </c>
      <c r="O247" t="n">
        <v>0</v>
      </c>
      <c r="P247" t="n">
        <v>0</v>
      </c>
      <c r="Q247" t="n">
        <v>0</v>
      </c>
      <c r="R247" s="2" t="inlineStr"/>
    </row>
    <row r="248" ht="15" customHeight="1">
      <c r="A248" t="inlineStr">
        <is>
          <t>A 38762-2021</t>
        </is>
      </c>
      <c r="B248" s="1" t="n">
        <v>44410.61837962963</v>
      </c>
      <c r="C248" s="1" t="n">
        <v>46105</v>
      </c>
      <c r="D248" t="inlineStr">
        <is>
          <t>ÖREBRO LÄN</t>
        </is>
      </c>
      <c r="E248" t="inlineStr">
        <is>
          <t>LINDESBERG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30767-2023</t>
        </is>
      </c>
      <c r="B249" s="1" t="n">
        <v>45112.67952546296</v>
      </c>
      <c r="C249" s="1" t="n">
        <v>46105</v>
      </c>
      <c r="D249" t="inlineStr">
        <is>
          <t>ÖREBRO LÄN</t>
        </is>
      </c>
      <c r="E249" t="inlineStr">
        <is>
          <t>LINDESBERG</t>
        </is>
      </c>
      <c r="G249" t="n">
        <v>3.9</v>
      </c>
      <c r="H249" t="n">
        <v>0</v>
      </c>
      <c r="I249" t="n">
        <v>0</v>
      </c>
      <c r="J249" t="n">
        <v>0</v>
      </c>
      <c r="K249" t="n">
        <v>0</v>
      </c>
      <c r="L249" t="n">
        <v>0</v>
      </c>
      <c r="M249" t="n">
        <v>0</v>
      </c>
      <c r="N249" t="n">
        <v>0</v>
      </c>
      <c r="O249" t="n">
        <v>0</v>
      </c>
      <c r="P249" t="n">
        <v>0</v>
      </c>
      <c r="Q249" t="n">
        <v>0</v>
      </c>
      <c r="R249" s="2" t="inlineStr"/>
    </row>
    <row r="250" ht="15" customHeight="1">
      <c r="A250" t="inlineStr">
        <is>
          <t>A 63508-2023</t>
        </is>
      </c>
      <c r="B250" s="1" t="n">
        <v>45274</v>
      </c>
      <c r="C250" s="1" t="n">
        <v>46105</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54705-2022</t>
        </is>
      </c>
      <c r="B251" s="1" t="n">
        <v>44883</v>
      </c>
      <c r="C251" s="1" t="n">
        <v>46105</v>
      </c>
      <c r="D251" t="inlineStr">
        <is>
          <t>ÖREBRO LÄN</t>
        </is>
      </c>
      <c r="E251" t="inlineStr">
        <is>
          <t>LINDESBERG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36280-2023</t>
        </is>
      </c>
      <c r="B252" s="1" t="n">
        <v>45152.34586805556</v>
      </c>
      <c r="C252" s="1" t="n">
        <v>46105</v>
      </c>
      <c r="D252" t="inlineStr">
        <is>
          <t>ÖREBRO LÄN</t>
        </is>
      </c>
      <c r="E252" t="inlineStr">
        <is>
          <t>LINDESBERG</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33284-2024</t>
        </is>
      </c>
      <c r="B253" s="1" t="n">
        <v>45518.71721064814</v>
      </c>
      <c r="C253" s="1" t="n">
        <v>46105</v>
      </c>
      <c r="D253" t="inlineStr">
        <is>
          <t>ÖREBRO LÄN</t>
        </is>
      </c>
      <c r="E253" t="inlineStr">
        <is>
          <t>LINDESBERG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33978-2023</t>
        </is>
      </c>
      <c r="B254" s="1" t="n">
        <v>45134.68158564815</v>
      </c>
      <c r="C254" s="1" t="n">
        <v>46105</v>
      </c>
      <c r="D254" t="inlineStr">
        <is>
          <t>ÖREBRO LÄN</t>
        </is>
      </c>
      <c r="E254" t="inlineStr">
        <is>
          <t>LINDESBERG</t>
        </is>
      </c>
      <c r="G254" t="n">
        <v>4.1</v>
      </c>
      <c r="H254" t="n">
        <v>0</v>
      </c>
      <c r="I254" t="n">
        <v>0</v>
      </c>
      <c r="J254" t="n">
        <v>0</v>
      </c>
      <c r="K254" t="n">
        <v>0</v>
      </c>
      <c r="L254" t="n">
        <v>0</v>
      </c>
      <c r="M254" t="n">
        <v>0</v>
      </c>
      <c r="N254" t="n">
        <v>0</v>
      </c>
      <c r="O254" t="n">
        <v>0</v>
      </c>
      <c r="P254" t="n">
        <v>0</v>
      </c>
      <c r="Q254" t="n">
        <v>0</v>
      </c>
      <c r="R254" s="2" t="inlineStr"/>
    </row>
    <row r="255" ht="15" customHeight="1">
      <c r="A255" t="inlineStr">
        <is>
          <t>A 36015-2021</t>
        </is>
      </c>
      <c r="B255" s="1" t="n">
        <v>44389</v>
      </c>
      <c r="C255" s="1" t="n">
        <v>46105</v>
      </c>
      <c r="D255" t="inlineStr">
        <is>
          <t>ÖREBRO LÄN</t>
        </is>
      </c>
      <c r="E255" t="inlineStr">
        <is>
          <t>LINDESBERG</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36748-2024</t>
        </is>
      </c>
      <c r="B256" s="1" t="n">
        <v>45538.34460648148</v>
      </c>
      <c r="C256" s="1" t="n">
        <v>46105</v>
      </c>
      <c r="D256" t="inlineStr">
        <is>
          <t>ÖREBRO LÄN</t>
        </is>
      </c>
      <c r="E256" t="inlineStr">
        <is>
          <t>LINDESBERG</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21390-2024</t>
        </is>
      </c>
      <c r="B257" s="1" t="n">
        <v>45441.30899305556</v>
      </c>
      <c r="C257" s="1" t="n">
        <v>46105</v>
      </c>
      <c r="D257" t="inlineStr">
        <is>
          <t>ÖREBRO LÄN</t>
        </is>
      </c>
      <c r="E257" t="inlineStr">
        <is>
          <t>LINDESBERG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21392-2024</t>
        </is>
      </c>
      <c r="B258" s="1" t="n">
        <v>45441.30998842593</v>
      </c>
      <c r="C258" s="1" t="n">
        <v>46105</v>
      </c>
      <c r="D258" t="inlineStr">
        <is>
          <t>ÖREBRO LÄN</t>
        </is>
      </c>
      <c r="E258" t="inlineStr">
        <is>
          <t>LINDESBERG</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29942-2024</t>
        </is>
      </c>
      <c r="B259" s="1" t="n">
        <v>45488.42258101852</v>
      </c>
      <c r="C259" s="1" t="n">
        <v>46105</v>
      </c>
      <c r="D259" t="inlineStr">
        <is>
          <t>ÖREBRO LÄN</t>
        </is>
      </c>
      <c r="E259" t="inlineStr">
        <is>
          <t>LINDESBERG</t>
        </is>
      </c>
      <c r="G259" t="n">
        <v>2.4</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45005.35967592592</v>
      </c>
      <c r="C260" s="1" t="n">
        <v>46105</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45005.47820601852</v>
      </c>
      <c r="C261" s="1" t="n">
        <v>46105</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46105</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8834-2023</t>
        </is>
      </c>
      <c r="B263" s="1" t="n">
        <v>44978</v>
      </c>
      <c r="C263" s="1" t="n">
        <v>46105</v>
      </c>
      <c r="D263" t="inlineStr">
        <is>
          <t>ÖREBRO LÄN</t>
        </is>
      </c>
      <c r="E263" t="inlineStr">
        <is>
          <t>LINDESBERG</t>
        </is>
      </c>
      <c r="G263" t="n">
        <v>0.5</v>
      </c>
      <c r="H263" t="n">
        <v>0</v>
      </c>
      <c r="I263" t="n">
        <v>0</v>
      </c>
      <c r="J263" t="n">
        <v>0</v>
      </c>
      <c r="K263" t="n">
        <v>0</v>
      </c>
      <c r="L263" t="n">
        <v>0</v>
      </c>
      <c r="M263" t="n">
        <v>0</v>
      </c>
      <c r="N263" t="n">
        <v>0</v>
      </c>
      <c r="O263" t="n">
        <v>0</v>
      </c>
      <c r="P263" t="n">
        <v>0</v>
      </c>
      <c r="Q263" t="n">
        <v>0</v>
      </c>
      <c r="R263" s="2" t="inlineStr"/>
    </row>
    <row r="264" ht="15" customHeight="1">
      <c r="A264" t="inlineStr">
        <is>
          <t>A 47110-2024</t>
        </is>
      </c>
      <c r="B264" s="1" t="n">
        <v>45586.55451388889</v>
      </c>
      <c r="C264" s="1" t="n">
        <v>46105</v>
      </c>
      <c r="D264" t="inlineStr">
        <is>
          <t>ÖREBRO LÄN</t>
        </is>
      </c>
      <c r="E264" t="inlineStr">
        <is>
          <t>LINDESBERG</t>
        </is>
      </c>
      <c r="G264" t="n">
        <v>0.6</v>
      </c>
      <c r="H264" t="n">
        <v>0</v>
      </c>
      <c r="I264" t="n">
        <v>0</v>
      </c>
      <c r="J264" t="n">
        <v>0</v>
      </c>
      <c r="K264" t="n">
        <v>0</v>
      </c>
      <c r="L264" t="n">
        <v>0</v>
      </c>
      <c r="M264" t="n">
        <v>0</v>
      </c>
      <c r="N264" t="n">
        <v>0</v>
      </c>
      <c r="O264" t="n">
        <v>0</v>
      </c>
      <c r="P264" t="n">
        <v>0</v>
      </c>
      <c r="Q264" t="n">
        <v>0</v>
      </c>
      <c r="R264" s="2" t="inlineStr"/>
    </row>
    <row r="265" ht="15" customHeight="1">
      <c r="A265" t="inlineStr">
        <is>
          <t>A 54855-2024</t>
        </is>
      </c>
      <c r="B265" s="1" t="n">
        <v>45618.58622685185</v>
      </c>
      <c r="C265" s="1" t="n">
        <v>46105</v>
      </c>
      <c r="D265" t="inlineStr">
        <is>
          <t>ÖREBRO LÄN</t>
        </is>
      </c>
      <c r="E265" t="inlineStr">
        <is>
          <t>LINDESBERG</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6727-2022</t>
        </is>
      </c>
      <c r="B266" s="1" t="n">
        <v>44602.45490740741</v>
      </c>
      <c r="C266" s="1" t="n">
        <v>46105</v>
      </c>
      <c r="D266" t="inlineStr">
        <is>
          <t>ÖREBRO LÄN</t>
        </is>
      </c>
      <c r="E266" t="inlineStr">
        <is>
          <t>LINDESBERG</t>
        </is>
      </c>
      <c r="G266" t="n">
        <v>0.8</v>
      </c>
      <c r="H266" t="n">
        <v>0</v>
      </c>
      <c r="I266" t="n">
        <v>0</v>
      </c>
      <c r="J266" t="n">
        <v>0</v>
      </c>
      <c r="K266" t="n">
        <v>0</v>
      </c>
      <c r="L266" t="n">
        <v>0</v>
      </c>
      <c r="M266" t="n">
        <v>0</v>
      </c>
      <c r="N266" t="n">
        <v>0</v>
      </c>
      <c r="O266" t="n">
        <v>0</v>
      </c>
      <c r="P266" t="n">
        <v>0</v>
      </c>
      <c r="Q266" t="n">
        <v>0</v>
      </c>
      <c r="R266" s="2" t="inlineStr"/>
    </row>
    <row r="267" ht="15" customHeight="1">
      <c r="A267" t="inlineStr">
        <is>
          <t>A 6723-2022</t>
        </is>
      </c>
      <c r="B267" s="1" t="n">
        <v>44602.45162037037</v>
      </c>
      <c r="C267" s="1" t="n">
        <v>46105</v>
      </c>
      <c r="D267" t="inlineStr">
        <is>
          <t>ÖREBRO LÄN</t>
        </is>
      </c>
      <c r="E267" t="inlineStr">
        <is>
          <t>LINDESBERG</t>
        </is>
      </c>
      <c r="G267" t="n">
        <v>4.2</v>
      </c>
      <c r="H267" t="n">
        <v>0</v>
      </c>
      <c r="I267" t="n">
        <v>0</v>
      </c>
      <c r="J267" t="n">
        <v>0</v>
      </c>
      <c r="K267" t="n">
        <v>0</v>
      </c>
      <c r="L267" t="n">
        <v>0</v>
      </c>
      <c r="M267" t="n">
        <v>0</v>
      </c>
      <c r="N267" t="n">
        <v>0</v>
      </c>
      <c r="O267" t="n">
        <v>0</v>
      </c>
      <c r="P267" t="n">
        <v>0</v>
      </c>
      <c r="Q267" t="n">
        <v>0</v>
      </c>
      <c r="R267" s="2" t="inlineStr"/>
    </row>
    <row r="268" ht="15" customHeight="1">
      <c r="A268" t="inlineStr">
        <is>
          <t>A 36893-2024</t>
        </is>
      </c>
      <c r="B268" s="1" t="n">
        <v>45538</v>
      </c>
      <c r="C268" s="1" t="n">
        <v>46105</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11581-2024</t>
        </is>
      </c>
      <c r="B269" s="1" t="n">
        <v>45373.34383101852</v>
      </c>
      <c r="C269" s="1" t="n">
        <v>46105</v>
      </c>
      <c r="D269" t="inlineStr">
        <is>
          <t>ÖREBRO LÄN</t>
        </is>
      </c>
      <c r="E269" t="inlineStr">
        <is>
          <t>LINDESBERG</t>
        </is>
      </c>
      <c r="F269" t="inlineStr">
        <is>
          <t>BillerudKorsnäs AB</t>
        </is>
      </c>
      <c r="G269" t="n">
        <v>3.9</v>
      </c>
      <c r="H269" t="n">
        <v>0</v>
      </c>
      <c r="I269" t="n">
        <v>0</v>
      </c>
      <c r="J269" t="n">
        <v>0</v>
      </c>
      <c r="K269" t="n">
        <v>0</v>
      </c>
      <c r="L269" t="n">
        <v>0</v>
      </c>
      <c r="M269" t="n">
        <v>0</v>
      </c>
      <c r="N269" t="n">
        <v>0</v>
      </c>
      <c r="O269" t="n">
        <v>0</v>
      </c>
      <c r="P269" t="n">
        <v>0</v>
      </c>
      <c r="Q269" t="n">
        <v>0</v>
      </c>
      <c r="R269" s="2" t="inlineStr"/>
    </row>
    <row r="270" ht="15" customHeight="1">
      <c r="A270" t="inlineStr">
        <is>
          <t>A 4997-2024</t>
        </is>
      </c>
      <c r="B270" s="1" t="n">
        <v>45329</v>
      </c>
      <c r="C270" s="1" t="n">
        <v>46105</v>
      </c>
      <c r="D270" t="inlineStr">
        <is>
          <t>ÖREBRO LÄN</t>
        </is>
      </c>
      <c r="E270" t="inlineStr">
        <is>
          <t>LINDESBERG</t>
        </is>
      </c>
      <c r="F270" t="inlineStr">
        <is>
          <t>BillerudKorsnäs AB</t>
        </is>
      </c>
      <c r="G270" t="n">
        <v>3</v>
      </c>
      <c r="H270" t="n">
        <v>0</v>
      </c>
      <c r="I270" t="n">
        <v>0</v>
      </c>
      <c r="J270" t="n">
        <v>0</v>
      </c>
      <c r="K270" t="n">
        <v>0</v>
      </c>
      <c r="L270" t="n">
        <v>0</v>
      </c>
      <c r="M270" t="n">
        <v>0</v>
      </c>
      <c r="N270" t="n">
        <v>0</v>
      </c>
      <c r="O270" t="n">
        <v>0</v>
      </c>
      <c r="P270" t="n">
        <v>0</v>
      </c>
      <c r="Q270" t="n">
        <v>0</v>
      </c>
      <c r="R270" s="2" t="inlineStr"/>
    </row>
    <row r="271" ht="15" customHeight="1">
      <c r="A271" t="inlineStr">
        <is>
          <t>A 10564-2023</t>
        </is>
      </c>
      <c r="B271" s="1" t="n">
        <v>44988</v>
      </c>
      <c r="C271" s="1" t="n">
        <v>46105</v>
      </c>
      <c r="D271" t="inlineStr">
        <is>
          <t>ÖREBRO LÄN</t>
        </is>
      </c>
      <c r="E271" t="inlineStr">
        <is>
          <t>LINDESBERG</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13968-2025</t>
        </is>
      </c>
      <c r="B272" s="1" t="n">
        <v>45738.42981481482</v>
      </c>
      <c r="C272" s="1" t="n">
        <v>46105</v>
      </c>
      <c r="D272" t="inlineStr">
        <is>
          <t>ÖREBRO LÄN</t>
        </is>
      </c>
      <c r="E272" t="inlineStr">
        <is>
          <t>LINDESBERG</t>
        </is>
      </c>
      <c r="G272" t="n">
        <v>1.5</v>
      </c>
      <c r="H272" t="n">
        <v>0</v>
      </c>
      <c r="I272" t="n">
        <v>0</v>
      </c>
      <c r="J272" t="n">
        <v>0</v>
      </c>
      <c r="K272" t="n">
        <v>0</v>
      </c>
      <c r="L272" t="n">
        <v>0</v>
      </c>
      <c r="M272" t="n">
        <v>0</v>
      </c>
      <c r="N272" t="n">
        <v>0</v>
      </c>
      <c r="O272" t="n">
        <v>0</v>
      </c>
      <c r="P272" t="n">
        <v>0</v>
      </c>
      <c r="Q272" t="n">
        <v>0</v>
      </c>
      <c r="R272" s="2" t="inlineStr"/>
    </row>
    <row r="273" ht="15" customHeight="1">
      <c r="A273" t="inlineStr">
        <is>
          <t>A 61222-2022</t>
        </is>
      </c>
      <c r="B273" s="1" t="n">
        <v>44909</v>
      </c>
      <c r="C273" s="1" t="n">
        <v>46105</v>
      </c>
      <c r="D273" t="inlineStr">
        <is>
          <t>ÖREBRO LÄN</t>
        </is>
      </c>
      <c r="E273" t="inlineStr">
        <is>
          <t>LINDESBERG</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14185-2024</t>
        </is>
      </c>
      <c r="B274" s="1" t="n">
        <v>45393.3562962963</v>
      </c>
      <c r="C274" s="1" t="n">
        <v>46105</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72331-2021</t>
        </is>
      </c>
      <c r="B275" s="1" t="n">
        <v>44544</v>
      </c>
      <c r="C275" s="1" t="n">
        <v>46105</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11218-2025</t>
        </is>
      </c>
      <c r="B276" s="1" t="n">
        <v>45726.33763888889</v>
      </c>
      <c r="C276" s="1" t="n">
        <v>46105</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11220-2025</t>
        </is>
      </c>
      <c r="B277" s="1" t="n">
        <v>45726.34090277777</v>
      </c>
      <c r="C277" s="1" t="n">
        <v>46105</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26016-2025</t>
        </is>
      </c>
      <c r="B278" s="1" t="n">
        <v>45804.67795138889</v>
      </c>
      <c r="C278" s="1" t="n">
        <v>46105</v>
      </c>
      <c r="D278" t="inlineStr">
        <is>
          <t>ÖREBRO LÄN</t>
        </is>
      </c>
      <c r="E278" t="inlineStr">
        <is>
          <t>LINDESBERG</t>
        </is>
      </c>
      <c r="G278" t="n">
        <v>10</v>
      </c>
      <c r="H278" t="n">
        <v>0</v>
      </c>
      <c r="I278" t="n">
        <v>0</v>
      </c>
      <c r="J278" t="n">
        <v>0</v>
      </c>
      <c r="K278" t="n">
        <v>0</v>
      </c>
      <c r="L278" t="n">
        <v>0</v>
      </c>
      <c r="M278" t="n">
        <v>0</v>
      </c>
      <c r="N278" t="n">
        <v>0</v>
      </c>
      <c r="O278" t="n">
        <v>0</v>
      </c>
      <c r="P278" t="n">
        <v>0</v>
      </c>
      <c r="Q278" t="n">
        <v>0</v>
      </c>
      <c r="R278" s="2" t="inlineStr"/>
    </row>
    <row r="279" ht="15" customHeight="1">
      <c r="A279" t="inlineStr">
        <is>
          <t>A 43801-2024</t>
        </is>
      </c>
      <c r="B279" s="1" t="n">
        <v>45571.71736111111</v>
      </c>
      <c r="C279" s="1" t="n">
        <v>46105</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45062-2022</t>
        </is>
      </c>
      <c r="B280" s="1" t="n">
        <v>44841</v>
      </c>
      <c r="C280" s="1" t="n">
        <v>46105</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36754-2024</t>
        </is>
      </c>
      <c r="B281" s="1" t="n">
        <v>45538.34796296297</v>
      </c>
      <c r="C281" s="1" t="n">
        <v>46105</v>
      </c>
      <c r="D281" t="inlineStr">
        <is>
          <t>ÖREBRO LÄN</t>
        </is>
      </c>
      <c r="E281" t="inlineStr">
        <is>
          <t>LINDESBERG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2969-2026</t>
        </is>
      </c>
      <c r="B282" s="1" t="n">
        <v>46038.61912037037</v>
      </c>
      <c r="C282" s="1" t="n">
        <v>46105</v>
      </c>
      <c r="D282" t="inlineStr">
        <is>
          <t>ÖREBRO LÄN</t>
        </is>
      </c>
      <c r="E282" t="inlineStr">
        <is>
          <t>LINDESBERG</t>
        </is>
      </c>
      <c r="G282" t="n">
        <v>2.6</v>
      </c>
      <c r="H282" t="n">
        <v>0</v>
      </c>
      <c r="I282" t="n">
        <v>0</v>
      </c>
      <c r="J282" t="n">
        <v>0</v>
      </c>
      <c r="K282" t="n">
        <v>0</v>
      </c>
      <c r="L282" t="n">
        <v>0</v>
      </c>
      <c r="M282" t="n">
        <v>0</v>
      </c>
      <c r="N282" t="n">
        <v>0</v>
      </c>
      <c r="O282" t="n">
        <v>0</v>
      </c>
      <c r="P282" t="n">
        <v>0</v>
      </c>
      <c r="Q282" t="n">
        <v>0</v>
      </c>
      <c r="R282" s="2" t="inlineStr"/>
    </row>
    <row r="283" ht="15" customHeight="1">
      <c r="A283" t="inlineStr">
        <is>
          <t>A 50964-2023</t>
        </is>
      </c>
      <c r="B283" s="1" t="n">
        <v>45218.488125</v>
      </c>
      <c r="C283" s="1" t="n">
        <v>46105</v>
      </c>
      <c r="D283" t="inlineStr">
        <is>
          <t>ÖREBRO LÄN</t>
        </is>
      </c>
      <c r="E283" t="inlineStr">
        <is>
          <t>LINDESBERG</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3227-2026</t>
        </is>
      </c>
      <c r="B284" s="1" t="n">
        <v>46041.54181712963</v>
      </c>
      <c r="C284" s="1" t="n">
        <v>46105</v>
      </c>
      <c r="D284" t="inlineStr">
        <is>
          <t>ÖREBRO LÄN</t>
        </is>
      </c>
      <c r="E284" t="inlineStr">
        <is>
          <t>LINDESBERG</t>
        </is>
      </c>
      <c r="G284" t="n">
        <v>4.4</v>
      </c>
      <c r="H284" t="n">
        <v>0</v>
      </c>
      <c r="I284" t="n">
        <v>0</v>
      </c>
      <c r="J284" t="n">
        <v>0</v>
      </c>
      <c r="K284" t="n">
        <v>0</v>
      </c>
      <c r="L284" t="n">
        <v>0</v>
      </c>
      <c r="M284" t="n">
        <v>0</v>
      </c>
      <c r="N284" t="n">
        <v>0</v>
      </c>
      <c r="O284" t="n">
        <v>0</v>
      </c>
      <c r="P284" t="n">
        <v>0</v>
      </c>
      <c r="Q284" t="n">
        <v>0</v>
      </c>
      <c r="R284" s="2" t="inlineStr"/>
    </row>
    <row r="285" ht="15" customHeight="1">
      <c r="A285" t="inlineStr">
        <is>
          <t>A 60941-2024</t>
        </is>
      </c>
      <c r="B285" s="1" t="n">
        <v>45645.3712037037</v>
      </c>
      <c r="C285" s="1" t="n">
        <v>46105</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38534-2025</t>
        </is>
      </c>
      <c r="B286" s="1" t="n">
        <v>45884</v>
      </c>
      <c r="C286" s="1" t="n">
        <v>46105</v>
      </c>
      <c r="D286" t="inlineStr">
        <is>
          <t>ÖREBRO LÄN</t>
        </is>
      </c>
      <c r="E286" t="inlineStr">
        <is>
          <t>LINDESBERG</t>
        </is>
      </c>
      <c r="G286" t="n">
        <v>4.9</v>
      </c>
      <c r="H286" t="n">
        <v>0</v>
      </c>
      <c r="I286" t="n">
        <v>0</v>
      </c>
      <c r="J286" t="n">
        <v>0</v>
      </c>
      <c r="K286" t="n">
        <v>0</v>
      </c>
      <c r="L286" t="n">
        <v>0</v>
      </c>
      <c r="M286" t="n">
        <v>0</v>
      </c>
      <c r="N286" t="n">
        <v>0</v>
      </c>
      <c r="O286" t="n">
        <v>0</v>
      </c>
      <c r="P286" t="n">
        <v>0</v>
      </c>
      <c r="Q286" t="n">
        <v>0</v>
      </c>
      <c r="R286" s="2" t="inlineStr"/>
    </row>
    <row r="287" ht="15" customHeight="1">
      <c r="A287" t="inlineStr">
        <is>
          <t>A 3315-2026</t>
        </is>
      </c>
      <c r="B287" s="1" t="n">
        <v>46041.68443287037</v>
      </c>
      <c r="C287" s="1" t="n">
        <v>46105</v>
      </c>
      <c r="D287" t="inlineStr">
        <is>
          <t>ÖREBRO LÄN</t>
        </is>
      </c>
      <c r="E287" t="inlineStr">
        <is>
          <t>LINDESBERG</t>
        </is>
      </c>
      <c r="G287" t="n">
        <v>7.6</v>
      </c>
      <c r="H287" t="n">
        <v>0</v>
      </c>
      <c r="I287" t="n">
        <v>0</v>
      </c>
      <c r="J287" t="n">
        <v>0</v>
      </c>
      <c r="K287" t="n">
        <v>0</v>
      </c>
      <c r="L287" t="n">
        <v>0</v>
      </c>
      <c r="M287" t="n">
        <v>0</v>
      </c>
      <c r="N287" t="n">
        <v>0</v>
      </c>
      <c r="O287" t="n">
        <v>0</v>
      </c>
      <c r="P287" t="n">
        <v>0</v>
      </c>
      <c r="Q287" t="n">
        <v>0</v>
      </c>
      <c r="R287" s="2" t="inlineStr"/>
    </row>
    <row r="288" ht="15" customHeight="1">
      <c r="A288" t="inlineStr">
        <is>
          <t>A 64365-2023</t>
        </is>
      </c>
      <c r="B288" s="1" t="n">
        <v>45280</v>
      </c>
      <c r="C288" s="1" t="n">
        <v>46105</v>
      </c>
      <c r="D288" t="inlineStr">
        <is>
          <t>ÖREBRO LÄN</t>
        </is>
      </c>
      <c r="E288" t="inlineStr">
        <is>
          <t>LINDESBERG</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3026-2026</t>
        </is>
      </c>
      <c r="B289" s="1" t="n">
        <v>46038</v>
      </c>
      <c r="C289" s="1" t="n">
        <v>46105</v>
      </c>
      <c r="D289" t="inlineStr">
        <is>
          <t>ÖREBRO LÄN</t>
        </is>
      </c>
      <c r="E289" t="inlineStr">
        <is>
          <t>LINDESBERG</t>
        </is>
      </c>
      <c r="G289" t="n">
        <v>10.3</v>
      </c>
      <c r="H289" t="n">
        <v>0</v>
      </c>
      <c r="I289" t="n">
        <v>0</v>
      </c>
      <c r="J289" t="n">
        <v>0</v>
      </c>
      <c r="K289" t="n">
        <v>0</v>
      </c>
      <c r="L289" t="n">
        <v>0</v>
      </c>
      <c r="M289" t="n">
        <v>0</v>
      </c>
      <c r="N289" t="n">
        <v>0</v>
      </c>
      <c r="O289" t="n">
        <v>0</v>
      </c>
      <c r="P289" t="n">
        <v>0</v>
      </c>
      <c r="Q289" t="n">
        <v>0</v>
      </c>
      <c r="R289" s="2" t="inlineStr"/>
    </row>
    <row r="290" ht="15" customHeight="1">
      <c r="A290" t="inlineStr">
        <is>
          <t>A 37738-2024</t>
        </is>
      </c>
      <c r="B290" s="1" t="n">
        <v>45541.66916666667</v>
      </c>
      <c r="C290" s="1" t="n">
        <v>46105</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38861-2025</t>
        </is>
      </c>
      <c r="B291" s="1" t="n">
        <v>45887.56101851852</v>
      </c>
      <c r="C291" s="1" t="n">
        <v>46105</v>
      </c>
      <c r="D291" t="inlineStr">
        <is>
          <t>ÖREBRO LÄN</t>
        </is>
      </c>
      <c r="E291" t="inlineStr">
        <is>
          <t>LINDESBERG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27309-2025</t>
        </is>
      </c>
      <c r="B292" s="1" t="n">
        <v>45812.57452546297</v>
      </c>
      <c r="C292" s="1" t="n">
        <v>46105</v>
      </c>
      <c r="D292" t="inlineStr">
        <is>
          <t>ÖREBRO LÄN</t>
        </is>
      </c>
      <c r="E292" t="inlineStr">
        <is>
          <t>LINDESBERG</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27311-2025</t>
        </is>
      </c>
      <c r="B293" s="1" t="n">
        <v>45812.57604166667</v>
      </c>
      <c r="C293" s="1" t="n">
        <v>46105</v>
      </c>
      <c r="D293" t="inlineStr">
        <is>
          <t>ÖREBRO LÄN</t>
        </is>
      </c>
      <c r="E293" t="inlineStr">
        <is>
          <t>LINDESBERG</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27300-2025</t>
        </is>
      </c>
      <c r="B294" s="1" t="n">
        <v>45812.57143518519</v>
      </c>
      <c r="C294" s="1" t="n">
        <v>46105</v>
      </c>
      <c r="D294" t="inlineStr">
        <is>
          <t>ÖREBRO LÄN</t>
        </is>
      </c>
      <c r="E294" t="inlineStr">
        <is>
          <t>LINDESBERG</t>
        </is>
      </c>
      <c r="F294" t="inlineStr">
        <is>
          <t>Sveaskog</t>
        </is>
      </c>
      <c r="G294" t="n">
        <v>19.7</v>
      </c>
      <c r="H294" t="n">
        <v>0</v>
      </c>
      <c r="I294" t="n">
        <v>0</v>
      </c>
      <c r="J294" t="n">
        <v>0</v>
      </c>
      <c r="K294" t="n">
        <v>0</v>
      </c>
      <c r="L294" t="n">
        <v>0</v>
      </c>
      <c r="M294" t="n">
        <v>0</v>
      </c>
      <c r="N294" t="n">
        <v>0</v>
      </c>
      <c r="O294" t="n">
        <v>0</v>
      </c>
      <c r="P294" t="n">
        <v>0</v>
      </c>
      <c r="Q294" t="n">
        <v>0</v>
      </c>
      <c r="R294" s="2" t="inlineStr"/>
    </row>
    <row r="295" ht="15" customHeight="1">
      <c r="A295" t="inlineStr">
        <is>
          <t>A 3660-2026</t>
        </is>
      </c>
      <c r="B295" s="1" t="n">
        <v>46043.38744212963</v>
      </c>
      <c r="C295" s="1" t="n">
        <v>46105</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27296-2025</t>
        </is>
      </c>
      <c r="B296" s="1" t="n">
        <v>45812.56952546296</v>
      </c>
      <c r="C296" s="1" t="n">
        <v>46105</v>
      </c>
      <c r="D296" t="inlineStr">
        <is>
          <t>ÖREBRO LÄN</t>
        </is>
      </c>
      <c r="E296" t="inlineStr">
        <is>
          <t>LINDESBERG</t>
        </is>
      </c>
      <c r="F296" t="inlineStr">
        <is>
          <t>Sveaskog</t>
        </is>
      </c>
      <c r="G296" t="n">
        <v>4.5</v>
      </c>
      <c r="H296" t="n">
        <v>0</v>
      </c>
      <c r="I296" t="n">
        <v>0</v>
      </c>
      <c r="J296" t="n">
        <v>0</v>
      </c>
      <c r="K296" t="n">
        <v>0</v>
      </c>
      <c r="L296" t="n">
        <v>0</v>
      </c>
      <c r="M296" t="n">
        <v>0</v>
      </c>
      <c r="N296" t="n">
        <v>0</v>
      </c>
      <c r="O296" t="n">
        <v>0</v>
      </c>
      <c r="P296" t="n">
        <v>0</v>
      </c>
      <c r="Q296" t="n">
        <v>0</v>
      </c>
      <c r="R296" s="2" t="inlineStr"/>
    </row>
    <row r="297" ht="15" customHeight="1">
      <c r="A297" t="inlineStr">
        <is>
          <t>A 33428-2024</t>
        </is>
      </c>
      <c r="B297" s="1" t="n">
        <v>45519.52319444445</v>
      </c>
      <c r="C297" s="1" t="n">
        <v>46105</v>
      </c>
      <c r="D297" t="inlineStr">
        <is>
          <t>ÖREBRO LÄN</t>
        </is>
      </c>
      <c r="E297" t="inlineStr">
        <is>
          <t>LINDESBERG</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3659-2026</t>
        </is>
      </c>
      <c r="B298" s="1" t="n">
        <v>46043</v>
      </c>
      <c r="C298" s="1" t="n">
        <v>46105</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3951-2026</t>
        </is>
      </c>
      <c r="B299" s="1" t="n">
        <v>46044</v>
      </c>
      <c r="C299" s="1" t="n">
        <v>46105</v>
      </c>
      <c r="D299" t="inlineStr">
        <is>
          <t>ÖREBRO LÄN</t>
        </is>
      </c>
      <c r="E299" t="inlineStr">
        <is>
          <t>LINDESBERG</t>
        </is>
      </c>
      <c r="G299" t="n">
        <v>0.6</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46105</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39429-2025</t>
        </is>
      </c>
      <c r="B301" s="1" t="n">
        <v>45889.67577546297</v>
      </c>
      <c r="C301" s="1" t="n">
        <v>46105</v>
      </c>
      <c r="D301" t="inlineStr">
        <is>
          <t>ÖREBRO LÄN</t>
        </is>
      </c>
      <c r="E301" t="inlineStr">
        <is>
          <t>LINDESBERG</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39421-2025</t>
        </is>
      </c>
      <c r="B302" s="1" t="n">
        <v>45889.66935185185</v>
      </c>
      <c r="C302" s="1" t="n">
        <v>46105</v>
      </c>
      <c r="D302" t="inlineStr">
        <is>
          <t>ÖREBRO LÄN</t>
        </is>
      </c>
      <c r="E302" t="inlineStr">
        <is>
          <t>LINDESBERG</t>
        </is>
      </c>
      <c r="F302" t="inlineStr">
        <is>
          <t>Sveaskog</t>
        </is>
      </c>
      <c r="G302" t="n">
        <v>2</v>
      </c>
      <c r="H302" t="n">
        <v>0</v>
      </c>
      <c r="I302" t="n">
        <v>0</v>
      </c>
      <c r="J302" t="n">
        <v>0</v>
      </c>
      <c r="K302" t="n">
        <v>0</v>
      </c>
      <c r="L302" t="n">
        <v>0</v>
      </c>
      <c r="M302" t="n">
        <v>0</v>
      </c>
      <c r="N302" t="n">
        <v>0</v>
      </c>
      <c r="O302" t="n">
        <v>0</v>
      </c>
      <c r="P302" t="n">
        <v>0</v>
      </c>
      <c r="Q302" t="n">
        <v>0</v>
      </c>
      <c r="R302" s="2" t="inlineStr"/>
    </row>
    <row r="303" ht="15" customHeight="1">
      <c r="A303" t="inlineStr">
        <is>
          <t>A 28040-2025</t>
        </is>
      </c>
      <c r="B303" s="1" t="n">
        <v>45817.6455324074</v>
      </c>
      <c r="C303" s="1" t="n">
        <v>46105</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28877-2025</t>
        </is>
      </c>
      <c r="B304" s="1" t="n">
        <v>45820.61684027778</v>
      </c>
      <c r="C304" s="1" t="n">
        <v>46105</v>
      </c>
      <c r="D304" t="inlineStr">
        <is>
          <t>ÖREBRO LÄN</t>
        </is>
      </c>
      <c r="E304" t="inlineStr">
        <is>
          <t>LINDESBERG</t>
        </is>
      </c>
      <c r="G304" t="n">
        <v>4.4</v>
      </c>
      <c r="H304" t="n">
        <v>0</v>
      </c>
      <c r="I304" t="n">
        <v>0</v>
      </c>
      <c r="J304" t="n">
        <v>0</v>
      </c>
      <c r="K304" t="n">
        <v>0</v>
      </c>
      <c r="L304" t="n">
        <v>0</v>
      </c>
      <c r="M304" t="n">
        <v>0</v>
      </c>
      <c r="N304" t="n">
        <v>0</v>
      </c>
      <c r="O304" t="n">
        <v>0</v>
      </c>
      <c r="P304" t="n">
        <v>0</v>
      </c>
      <c r="Q304" t="n">
        <v>0</v>
      </c>
      <c r="R304" s="2" t="inlineStr"/>
    </row>
    <row r="305" ht="15" customHeight="1">
      <c r="A305" t="inlineStr">
        <is>
          <t>A 40366-2025</t>
        </is>
      </c>
      <c r="B305" s="1" t="n">
        <v>45895.49994212963</v>
      </c>
      <c r="C305" s="1" t="n">
        <v>46105</v>
      </c>
      <c r="D305" t="inlineStr">
        <is>
          <t>ÖREBRO LÄN</t>
        </is>
      </c>
      <c r="E305" t="inlineStr">
        <is>
          <t>LINDESBERG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40357-2025</t>
        </is>
      </c>
      <c r="B306" s="1" t="n">
        <v>45895.48927083334</v>
      </c>
      <c r="C306" s="1" t="n">
        <v>46105</v>
      </c>
      <c r="D306" t="inlineStr">
        <is>
          <t>ÖREBRO LÄN</t>
        </is>
      </c>
      <c r="E306" t="inlineStr">
        <is>
          <t>LINDESBERG</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40351-2025</t>
        </is>
      </c>
      <c r="B307" s="1" t="n">
        <v>45895.48394675926</v>
      </c>
      <c r="C307" s="1" t="n">
        <v>46105</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40347-2025</t>
        </is>
      </c>
      <c r="B308" s="1" t="n">
        <v>45895.4790625</v>
      </c>
      <c r="C308" s="1" t="n">
        <v>46105</v>
      </c>
      <c r="D308" t="inlineStr">
        <is>
          <t>ÖREBRO LÄN</t>
        </is>
      </c>
      <c r="E308" t="inlineStr">
        <is>
          <t>LINDESBERG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40346-2025</t>
        </is>
      </c>
      <c r="B309" s="1" t="n">
        <v>45895.47704861111</v>
      </c>
      <c r="C309" s="1" t="n">
        <v>46105</v>
      </c>
      <c r="D309" t="inlineStr">
        <is>
          <t>ÖREBRO LÄN</t>
        </is>
      </c>
      <c r="E309" t="inlineStr">
        <is>
          <t>LINDESBERG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28991-2025</t>
        </is>
      </c>
      <c r="B310" s="1" t="n">
        <v>45821.37199074074</v>
      </c>
      <c r="C310" s="1" t="n">
        <v>46105</v>
      </c>
      <c r="D310" t="inlineStr">
        <is>
          <t>ÖREBRO LÄN</t>
        </is>
      </c>
      <c r="E310" t="inlineStr">
        <is>
          <t>LINDESBERG</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29037-2025</t>
        </is>
      </c>
      <c r="B311" s="1" t="n">
        <v>45821.44521990741</v>
      </c>
      <c r="C311" s="1" t="n">
        <v>46105</v>
      </c>
      <c r="D311" t="inlineStr">
        <is>
          <t>ÖREBRO LÄN</t>
        </is>
      </c>
      <c r="E311" t="inlineStr">
        <is>
          <t>LINDESBERG</t>
        </is>
      </c>
      <c r="F311" t="inlineStr">
        <is>
          <t>Sveaskog</t>
        </is>
      </c>
      <c r="G311" t="n">
        <v>3.6</v>
      </c>
      <c r="H311" t="n">
        <v>0</v>
      </c>
      <c r="I311" t="n">
        <v>0</v>
      </c>
      <c r="J311" t="n">
        <v>0</v>
      </c>
      <c r="K311" t="n">
        <v>0</v>
      </c>
      <c r="L311" t="n">
        <v>0</v>
      </c>
      <c r="M311" t="n">
        <v>0</v>
      </c>
      <c r="N311" t="n">
        <v>0</v>
      </c>
      <c r="O311" t="n">
        <v>0</v>
      </c>
      <c r="P311" t="n">
        <v>0</v>
      </c>
      <c r="Q311" t="n">
        <v>0</v>
      </c>
      <c r="R311" s="2" t="inlineStr"/>
    </row>
    <row r="312" ht="15" customHeight="1">
      <c r="A312" t="inlineStr">
        <is>
          <t>A 29051-2025</t>
        </is>
      </c>
      <c r="B312" s="1" t="n">
        <v>45821.46486111111</v>
      </c>
      <c r="C312" s="1" t="n">
        <v>46105</v>
      </c>
      <c r="D312" t="inlineStr">
        <is>
          <t>ÖREBRO LÄN</t>
        </is>
      </c>
      <c r="E312" t="inlineStr">
        <is>
          <t>LINDESBERG</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29049-2025</t>
        </is>
      </c>
      <c r="B313" s="1" t="n">
        <v>45821.46135416667</v>
      </c>
      <c r="C313" s="1" t="n">
        <v>46105</v>
      </c>
      <c r="D313" t="inlineStr">
        <is>
          <t>ÖREBRO LÄN</t>
        </is>
      </c>
      <c r="E313" t="inlineStr">
        <is>
          <t>LINDESBERG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59766-2022</t>
        </is>
      </c>
      <c r="B314" s="1" t="n">
        <v>44908.49152777778</v>
      </c>
      <c r="C314" s="1" t="n">
        <v>46105</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5235-2026</t>
        </is>
      </c>
      <c r="B315" s="1" t="n">
        <v>46049.84017361111</v>
      </c>
      <c r="C315" s="1" t="n">
        <v>46105</v>
      </c>
      <c r="D315" t="inlineStr">
        <is>
          <t>ÖREBRO LÄN</t>
        </is>
      </c>
      <c r="E315" t="inlineStr">
        <is>
          <t>LINDESBERG</t>
        </is>
      </c>
      <c r="G315" t="n">
        <v>4.8</v>
      </c>
      <c r="H315" t="n">
        <v>0</v>
      </c>
      <c r="I315" t="n">
        <v>0</v>
      </c>
      <c r="J315" t="n">
        <v>0</v>
      </c>
      <c r="K315" t="n">
        <v>0</v>
      </c>
      <c r="L315" t="n">
        <v>0</v>
      </c>
      <c r="M315" t="n">
        <v>0</v>
      </c>
      <c r="N315" t="n">
        <v>0</v>
      </c>
      <c r="O315" t="n">
        <v>0</v>
      </c>
      <c r="P315" t="n">
        <v>0</v>
      </c>
      <c r="Q315" t="n">
        <v>0</v>
      </c>
      <c r="R315" s="2" t="inlineStr"/>
    </row>
    <row r="316" ht="15" customHeight="1">
      <c r="A316" t="inlineStr">
        <is>
          <t>A 41027-2025</t>
        </is>
      </c>
      <c r="B316" s="1" t="n">
        <v>45898.37138888889</v>
      </c>
      <c r="C316" s="1" t="n">
        <v>46105</v>
      </c>
      <c r="D316" t="inlineStr">
        <is>
          <t>ÖREBRO LÄN</t>
        </is>
      </c>
      <c r="E316" t="inlineStr">
        <is>
          <t>LINDESBERG</t>
        </is>
      </c>
      <c r="G316" t="n">
        <v>4.7</v>
      </c>
      <c r="H316" t="n">
        <v>0</v>
      </c>
      <c r="I316" t="n">
        <v>0</v>
      </c>
      <c r="J316" t="n">
        <v>0</v>
      </c>
      <c r="K316" t="n">
        <v>0</v>
      </c>
      <c r="L316" t="n">
        <v>0</v>
      </c>
      <c r="M316" t="n">
        <v>0</v>
      </c>
      <c r="N316" t="n">
        <v>0</v>
      </c>
      <c r="O316" t="n">
        <v>0</v>
      </c>
      <c r="P316" t="n">
        <v>0</v>
      </c>
      <c r="Q316" t="n">
        <v>0</v>
      </c>
      <c r="R316" s="2" t="inlineStr"/>
    </row>
    <row r="317" ht="15" customHeight="1">
      <c r="A317" t="inlineStr">
        <is>
          <t>A 30000-2025</t>
        </is>
      </c>
      <c r="B317" s="1" t="n">
        <v>45826.52024305556</v>
      </c>
      <c r="C317" s="1" t="n">
        <v>46105</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33282-2024</t>
        </is>
      </c>
      <c r="B318" s="1" t="n">
        <v>45518.71482638889</v>
      </c>
      <c r="C318" s="1" t="n">
        <v>46105</v>
      </c>
      <c r="D318" t="inlineStr">
        <is>
          <t>ÖREBRO LÄN</t>
        </is>
      </c>
      <c r="E318" t="inlineStr">
        <is>
          <t>LINDESBERG</t>
        </is>
      </c>
      <c r="G318" t="n">
        <v>7.5</v>
      </c>
      <c r="H318" t="n">
        <v>0</v>
      </c>
      <c r="I318" t="n">
        <v>0</v>
      </c>
      <c r="J318" t="n">
        <v>0</v>
      </c>
      <c r="K318" t="n">
        <v>0</v>
      </c>
      <c r="L318" t="n">
        <v>0</v>
      </c>
      <c r="M318" t="n">
        <v>0</v>
      </c>
      <c r="N318" t="n">
        <v>0</v>
      </c>
      <c r="O318" t="n">
        <v>0</v>
      </c>
      <c r="P318" t="n">
        <v>0</v>
      </c>
      <c r="Q318" t="n">
        <v>0</v>
      </c>
      <c r="R318" s="2" t="inlineStr"/>
    </row>
    <row r="319" ht="15" customHeight="1">
      <c r="A319" t="inlineStr">
        <is>
          <t>A 41653-2025</t>
        </is>
      </c>
      <c r="B319" s="1" t="n">
        <v>45902.3406712963</v>
      </c>
      <c r="C319" s="1" t="n">
        <v>46105</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41340-2025</t>
        </is>
      </c>
      <c r="B320" s="1" t="n">
        <v>45899.38057870371</v>
      </c>
      <c r="C320" s="1" t="n">
        <v>46105</v>
      </c>
      <c r="D320" t="inlineStr">
        <is>
          <t>ÖREBRO LÄN</t>
        </is>
      </c>
      <c r="E320" t="inlineStr">
        <is>
          <t>LINDESBERG</t>
        </is>
      </c>
      <c r="G320" t="n">
        <v>16.5</v>
      </c>
      <c r="H320" t="n">
        <v>0</v>
      </c>
      <c r="I320" t="n">
        <v>0</v>
      </c>
      <c r="J320" t="n">
        <v>0</v>
      </c>
      <c r="K320" t="n">
        <v>0</v>
      </c>
      <c r="L320" t="n">
        <v>0</v>
      </c>
      <c r="M320" t="n">
        <v>0</v>
      </c>
      <c r="N320" t="n">
        <v>0</v>
      </c>
      <c r="O320" t="n">
        <v>0</v>
      </c>
      <c r="P320" t="n">
        <v>0</v>
      </c>
      <c r="Q320" t="n">
        <v>0</v>
      </c>
      <c r="R320" s="2" t="inlineStr"/>
    </row>
    <row r="321" ht="15" customHeight="1">
      <c r="A321" t="inlineStr">
        <is>
          <t>A 30341-2025</t>
        </is>
      </c>
      <c r="B321" s="1" t="n">
        <v>45827.51862268519</v>
      </c>
      <c r="C321" s="1" t="n">
        <v>46105</v>
      </c>
      <c r="D321" t="inlineStr">
        <is>
          <t>ÖREBRO LÄN</t>
        </is>
      </c>
      <c r="E321" t="inlineStr">
        <is>
          <t>LINDESBERG</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15895-2025</t>
        </is>
      </c>
      <c r="B322" s="1" t="n">
        <v>45749</v>
      </c>
      <c r="C322" s="1" t="n">
        <v>46105</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15941-2025</t>
        </is>
      </c>
      <c r="B323" s="1" t="n">
        <v>45749</v>
      </c>
      <c r="C323" s="1" t="n">
        <v>46105</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30340-2025</t>
        </is>
      </c>
      <c r="B324" s="1" t="n">
        <v>45827.51753472222</v>
      </c>
      <c r="C324" s="1" t="n">
        <v>46105</v>
      </c>
      <c r="D324" t="inlineStr">
        <is>
          <t>ÖREBRO LÄN</t>
        </is>
      </c>
      <c r="E324" t="inlineStr">
        <is>
          <t>LINDESBERG</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30342-2025</t>
        </is>
      </c>
      <c r="B325" s="1" t="n">
        <v>45827.51956018519</v>
      </c>
      <c r="C325" s="1" t="n">
        <v>46105</v>
      </c>
      <c r="D325" t="inlineStr">
        <is>
          <t>ÖREBRO LÄN</t>
        </is>
      </c>
      <c r="E325" t="inlineStr">
        <is>
          <t>LINDESBERG</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30381-2025</t>
        </is>
      </c>
      <c r="B326" s="1" t="n">
        <v>45827.56939814815</v>
      </c>
      <c r="C326" s="1" t="n">
        <v>46105</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30339-2025</t>
        </is>
      </c>
      <c r="B327" s="1" t="n">
        <v>45827.51628472222</v>
      </c>
      <c r="C327" s="1" t="n">
        <v>46105</v>
      </c>
      <c r="D327" t="inlineStr">
        <is>
          <t>ÖREBRO LÄN</t>
        </is>
      </c>
      <c r="E327" t="inlineStr">
        <is>
          <t>LINDESBERG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31215-2025</t>
        </is>
      </c>
      <c r="B328" s="1" t="n">
        <v>45832.74418981482</v>
      </c>
      <c r="C328" s="1" t="n">
        <v>46105</v>
      </c>
      <c r="D328" t="inlineStr">
        <is>
          <t>ÖREBRO LÄN</t>
        </is>
      </c>
      <c r="E328" t="inlineStr">
        <is>
          <t>LINDESBERG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54862-2024</t>
        </is>
      </c>
      <c r="B329" s="1" t="n">
        <v>45618</v>
      </c>
      <c r="C329" s="1" t="n">
        <v>46105</v>
      </c>
      <c r="D329" t="inlineStr">
        <is>
          <t>ÖREBRO LÄN</t>
        </is>
      </c>
      <c r="E329" t="inlineStr">
        <is>
          <t>LINDESBERG</t>
        </is>
      </c>
      <c r="F329" t="inlineStr">
        <is>
          <t>Sveaskog</t>
        </is>
      </c>
      <c r="G329" t="n">
        <v>12.2</v>
      </c>
      <c r="H329" t="n">
        <v>0</v>
      </c>
      <c r="I329" t="n">
        <v>0</v>
      </c>
      <c r="J329" t="n">
        <v>0</v>
      </c>
      <c r="K329" t="n">
        <v>0</v>
      </c>
      <c r="L329" t="n">
        <v>0</v>
      </c>
      <c r="M329" t="n">
        <v>0</v>
      </c>
      <c r="N329" t="n">
        <v>0</v>
      </c>
      <c r="O329" t="n">
        <v>0</v>
      </c>
      <c r="P329" t="n">
        <v>0</v>
      </c>
      <c r="Q329" t="n">
        <v>0</v>
      </c>
      <c r="R329" s="2" t="inlineStr"/>
    </row>
    <row r="330" ht="15" customHeight="1">
      <c r="A330" t="inlineStr">
        <is>
          <t>A 5715-2026</t>
        </is>
      </c>
      <c r="B330" s="1" t="n">
        <v>46051.53563657407</v>
      </c>
      <c r="C330" s="1" t="n">
        <v>46105</v>
      </c>
      <c r="D330" t="inlineStr">
        <is>
          <t>ÖREBRO LÄN</t>
        </is>
      </c>
      <c r="E330" t="inlineStr">
        <is>
          <t>LINDESBERG</t>
        </is>
      </c>
      <c r="G330" t="n">
        <v>0.7</v>
      </c>
      <c r="H330" t="n">
        <v>0</v>
      </c>
      <c r="I330" t="n">
        <v>0</v>
      </c>
      <c r="J330" t="n">
        <v>0</v>
      </c>
      <c r="K330" t="n">
        <v>0</v>
      </c>
      <c r="L330" t="n">
        <v>0</v>
      </c>
      <c r="M330" t="n">
        <v>0</v>
      </c>
      <c r="N330" t="n">
        <v>0</v>
      </c>
      <c r="O330" t="n">
        <v>0</v>
      </c>
      <c r="P330" t="n">
        <v>0</v>
      </c>
      <c r="Q330" t="n">
        <v>0</v>
      </c>
      <c r="R330" s="2" t="inlineStr"/>
    </row>
    <row r="331" ht="15" customHeight="1">
      <c r="A331" t="inlineStr">
        <is>
          <t>A 34029-2024</t>
        </is>
      </c>
      <c r="B331" s="1" t="n">
        <v>45523</v>
      </c>
      <c r="C331" s="1" t="n">
        <v>46105</v>
      </c>
      <c r="D331" t="inlineStr">
        <is>
          <t>ÖREBRO LÄN</t>
        </is>
      </c>
      <c r="E331" t="inlineStr">
        <is>
          <t>LINDESBERG</t>
        </is>
      </c>
      <c r="G331" t="n">
        <v>1.9</v>
      </c>
      <c r="H331" t="n">
        <v>0</v>
      </c>
      <c r="I331" t="n">
        <v>0</v>
      </c>
      <c r="J331" t="n">
        <v>0</v>
      </c>
      <c r="K331" t="n">
        <v>0</v>
      </c>
      <c r="L331" t="n">
        <v>0</v>
      </c>
      <c r="M331" t="n">
        <v>0</v>
      </c>
      <c r="N331" t="n">
        <v>0</v>
      </c>
      <c r="O331" t="n">
        <v>0</v>
      </c>
      <c r="P331" t="n">
        <v>0</v>
      </c>
      <c r="Q331" t="n">
        <v>0</v>
      </c>
      <c r="R331" s="2" t="inlineStr"/>
    </row>
    <row r="332" ht="15" customHeight="1">
      <c r="A332" t="inlineStr">
        <is>
          <t>A 31014-2025</t>
        </is>
      </c>
      <c r="B332" s="1" t="n">
        <v>45832.51028935185</v>
      </c>
      <c r="C332" s="1" t="n">
        <v>46105</v>
      </c>
      <c r="D332" t="inlineStr">
        <is>
          <t>ÖREBRO LÄN</t>
        </is>
      </c>
      <c r="E332" t="inlineStr">
        <is>
          <t>LINDESBERG</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31049-2025</t>
        </is>
      </c>
      <c r="B333" s="1" t="n">
        <v>45832.55810185185</v>
      </c>
      <c r="C333" s="1" t="n">
        <v>46105</v>
      </c>
      <c r="D333" t="inlineStr">
        <is>
          <t>ÖREBRO LÄN</t>
        </is>
      </c>
      <c r="E333" t="inlineStr">
        <is>
          <t>LINDESBERG</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46105</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31000-2025</t>
        </is>
      </c>
      <c r="B335" s="1" t="n">
        <v>45832.49325231482</v>
      </c>
      <c r="C335" s="1" t="n">
        <v>46105</v>
      </c>
      <c r="D335" t="inlineStr">
        <is>
          <t>ÖREBRO LÄN</t>
        </is>
      </c>
      <c r="E335" t="inlineStr">
        <is>
          <t>LINDESBERG</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31018-2025</t>
        </is>
      </c>
      <c r="B336" s="1" t="n">
        <v>45832.51255787037</v>
      </c>
      <c r="C336" s="1" t="n">
        <v>46105</v>
      </c>
      <c r="D336" t="inlineStr">
        <is>
          <t>ÖREBRO LÄN</t>
        </is>
      </c>
      <c r="E336" t="inlineStr">
        <is>
          <t>LINDESBERG</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5928-2026</t>
        </is>
      </c>
      <c r="B337" s="1" t="n">
        <v>46052.46519675926</v>
      </c>
      <c r="C337" s="1" t="n">
        <v>46105</v>
      </c>
      <c r="D337" t="inlineStr">
        <is>
          <t>ÖREBRO LÄN</t>
        </is>
      </c>
      <c r="E337" t="inlineStr">
        <is>
          <t>LINDESBERG</t>
        </is>
      </c>
      <c r="G337" t="n">
        <v>2.1</v>
      </c>
      <c r="H337" t="n">
        <v>0</v>
      </c>
      <c r="I337" t="n">
        <v>0</v>
      </c>
      <c r="J337" t="n">
        <v>0</v>
      </c>
      <c r="K337" t="n">
        <v>0</v>
      </c>
      <c r="L337" t="n">
        <v>0</v>
      </c>
      <c r="M337" t="n">
        <v>0</v>
      </c>
      <c r="N337" t="n">
        <v>0</v>
      </c>
      <c r="O337" t="n">
        <v>0</v>
      </c>
      <c r="P337" t="n">
        <v>0</v>
      </c>
      <c r="Q337" t="n">
        <v>0</v>
      </c>
      <c r="R337" s="2" t="inlineStr"/>
    </row>
    <row r="338" ht="15" customHeight="1">
      <c r="A338" t="inlineStr">
        <is>
          <t>A 31003-2025</t>
        </is>
      </c>
      <c r="B338" s="1" t="n">
        <v>45832.49579861111</v>
      </c>
      <c r="C338" s="1" t="n">
        <v>46105</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5717-2026</t>
        </is>
      </c>
      <c r="B339" s="1" t="n">
        <v>46051.53689814815</v>
      </c>
      <c r="C339" s="1" t="n">
        <v>46105</v>
      </c>
      <c r="D339" t="inlineStr">
        <is>
          <t>ÖREBRO LÄN</t>
        </is>
      </c>
      <c r="E339" t="inlineStr">
        <is>
          <t>LINDESBERG</t>
        </is>
      </c>
      <c r="G339" t="n">
        <v>6</v>
      </c>
      <c r="H339" t="n">
        <v>0</v>
      </c>
      <c r="I339" t="n">
        <v>0</v>
      </c>
      <c r="J339" t="n">
        <v>0</v>
      </c>
      <c r="K339" t="n">
        <v>0</v>
      </c>
      <c r="L339" t="n">
        <v>0</v>
      </c>
      <c r="M339" t="n">
        <v>0</v>
      </c>
      <c r="N339" t="n">
        <v>0</v>
      </c>
      <c r="O339" t="n">
        <v>0</v>
      </c>
      <c r="P339" t="n">
        <v>0</v>
      </c>
      <c r="Q339" t="n">
        <v>0</v>
      </c>
      <c r="R339" s="2" t="inlineStr"/>
    </row>
    <row r="340" ht="15" customHeight="1">
      <c r="A340" t="inlineStr">
        <is>
          <t>A 31085-2025</t>
        </is>
      </c>
      <c r="B340" s="1" t="n">
        <v>45832.5902662037</v>
      </c>
      <c r="C340" s="1" t="n">
        <v>46105</v>
      </c>
      <c r="D340" t="inlineStr">
        <is>
          <t>ÖREBRO LÄN</t>
        </is>
      </c>
      <c r="E340" t="inlineStr">
        <is>
          <t>LINDESBERG</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31213-2025</t>
        </is>
      </c>
      <c r="B341" s="1" t="n">
        <v>45832.72778935185</v>
      </c>
      <c r="C341" s="1" t="n">
        <v>46105</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42630-2025</t>
        </is>
      </c>
      <c r="B342" s="1" t="n">
        <v>45905.89143518519</v>
      </c>
      <c r="C342" s="1" t="n">
        <v>46105</v>
      </c>
      <c r="D342" t="inlineStr">
        <is>
          <t>ÖREBRO LÄN</t>
        </is>
      </c>
      <c r="E342" t="inlineStr">
        <is>
          <t>LINDESBERG</t>
        </is>
      </c>
      <c r="F342" t="inlineStr">
        <is>
          <t>Sveaskog</t>
        </is>
      </c>
      <c r="G342" t="n">
        <v>9.9</v>
      </c>
      <c r="H342" t="n">
        <v>0</v>
      </c>
      <c r="I342" t="n">
        <v>0</v>
      </c>
      <c r="J342" t="n">
        <v>0</v>
      </c>
      <c r="K342" t="n">
        <v>0</v>
      </c>
      <c r="L342" t="n">
        <v>0</v>
      </c>
      <c r="M342" t="n">
        <v>0</v>
      </c>
      <c r="N342" t="n">
        <v>0</v>
      </c>
      <c r="O342" t="n">
        <v>0</v>
      </c>
      <c r="P342" t="n">
        <v>0</v>
      </c>
      <c r="Q342" t="n">
        <v>0</v>
      </c>
      <c r="R342" s="2" t="inlineStr"/>
    </row>
    <row r="343" ht="15" customHeight="1">
      <c r="A343" t="inlineStr">
        <is>
          <t>A 31221-2025</t>
        </is>
      </c>
      <c r="B343" s="1" t="n">
        <v>45832.76491898148</v>
      </c>
      <c r="C343" s="1" t="n">
        <v>46105</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42631-2025</t>
        </is>
      </c>
      <c r="B344" s="1" t="n">
        <v>45905.89236111111</v>
      </c>
      <c r="C344" s="1" t="n">
        <v>46105</v>
      </c>
      <c r="D344" t="inlineStr">
        <is>
          <t>ÖREBRO LÄN</t>
        </is>
      </c>
      <c r="E344" t="inlineStr">
        <is>
          <t>LINDESBERG</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42632-2025</t>
        </is>
      </c>
      <c r="B345" s="1" t="n">
        <v>45905.89329861111</v>
      </c>
      <c r="C345" s="1" t="n">
        <v>46105</v>
      </c>
      <c r="D345" t="inlineStr">
        <is>
          <t>ÖREBRO LÄN</t>
        </is>
      </c>
      <c r="E345" t="inlineStr">
        <is>
          <t>LINDESBERG</t>
        </is>
      </c>
      <c r="F345" t="inlineStr">
        <is>
          <t>Sveaskog</t>
        </is>
      </c>
      <c r="G345" t="n">
        <v>6.7</v>
      </c>
      <c r="H345" t="n">
        <v>0</v>
      </c>
      <c r="I345" t="n">
        <v>0</v>
      </c>
      <c r="J345" t="n">
        <v>0</v>
      </c>
      <c r="K345" t="n">
        <v>0</v>
      </c>
      <c r="L345" t="n">
        <v>0</v>
      </c>
      <c r="M345" t="n">
        <v>0</v>
      </c>
      <c r="N345" t="n">
        <v>0</v>
      </c>
      <c r="O345" t="n">
        <v>0</v>
      </c>
      <c r="P345" t="n">
        <v>0</v>
      </c>
      <c r="Q345" t="n">
        <v>0</v>
      </c>
      <c r="R345" s="2" t="inlineStr"/>
    </row>
    <row r="346" ht="15" customHeight="1">
      <c r="A346" t="inlineStr">
        <is>
          <t>A 31220-2025</t>
        </is>
      </c>
      <c r="B346" s="1" t="n">
        <v>45832.76100694444</v>
      </c>
      <c r="C346" s="1" t="n">
        <v>46105</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1742-2022</t>
        </is>
      </c>
      <c r="B347" s="1" t="n">
        <v>44574.50425925926</v>
      </c>
      <c r="C347" s="1" t="n">
        <v>46105</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14034-2026</t>
        </is>
      </c>
      <c r="B348" s="1" t="n">
        <v>46098.79559027778</v>
      </c>
      <c r="C348" s="1" t="n">
        <v>46105</v>
      </c>
      <c r="D348" t="inlineStr">
        <is>
          <t>ÖREBRO LÄN</t>
        </is>
      </c>
      <c r="E348" t="inlineStr">
        <is>
          <t>LINDESBERG</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14522-2025</t>
        </is>
      </c>
      <c r="B349" s="1" t="n">
        <v>45741.64491898148</v>
      </c>
      <c r="C349" s="1" t="n">
        <v>46105</v>
      </c>
      <c r="D349" t="inlineStr">
        <is>
          <t>ÖREBRO LÄN</t>
        </is>
      </c>
      <c r="E349" t="inlineStr">
        <is>
          <t>LINDESBERG</t>
        </is>
      </c>
      <c r="G349" t="n">
        <v>4.5</v>
      </c>
      <c r="H349" t="n">
        <v>0</v>
      </c>
      <c r="I349" t="n">
        <v>0</v>
      </c>
      <c r="J349" t="n">
        <v>0</v>
      </c>
      <c r="K349" t="n">
        <v>0</v>
      </c>
      <c r="L349" t="n">
        <v>0</v>
      </c>
      <c r="M349" t="n">
        <v>0</v>
      </c>
      <c r="N349" t="n">
        <v>0</v>
      </c>
      <c r="O349" t="n">
        <v>0</v>
      </c>
      <c r="P349" t="n">
        <v>0</v>
      </c>
      <c r="Q349" t="n">
        <v>0</v>
      </c>
      <c r="R349" s="2" t="inlineStr"/>
    </row>
    <row r="350" ht="15" customHeight="1">
      <c r="A350" t="inlineStr">
        <is>
          <t>A 32504-2025</t>
        </is>
      </c>
      <c r="B350" s="1" t="n">
        <v>45838.46456018519</v>
      </c>
      <c r="C350" s="1" t="n">
        <v>46105</v>
      </c>
      <c r="D350" t="inlineStr">
        <is>
          <t>ÖREBRO LÄN</t>
        </is>
      </c>
      <c r="E350" t="inlineStr">
        <is>
          <t>LINDESBERG</t>
        </is>
      </c>
      <c r="F350" t="inlineStr">
        <is>
          <t>Sveaskog</t>
        </is>
      </c>
      <c r="G350" t="n">
        <v>16.9</v>
      </c>
      <c r="H350" t="n">
        <v>0</v>
      </c>
      <c r="I350" t="n">
        <v>0</v>
      </c>
      <c r="J350" t="n">
        <v>0</v>
      </c>
      <c r="K350" t="n">
        <v>0</v>
      </c>
      <c r="L350" t="n">
        <v>0</v>
      </c>
      <c r="M350" t="n">
        <v>0</v>
      </c>
      <c r="N350" t="n">
        <v>0</v>
      </c>
      <c r="O350" t="n">
        <v>0</v>
      </c>
      <c r="P350" t="n">
        <v>0</v>
      </c>
      <c r="Q350" t="n">
        <v>0</v>
      </c>
      <c r="R350" s="2" t="inlineStr"/>
    </row>
    <row r="351" ht="15" customHeight="1">
      <c r="A351" t="inlineStr">
        <is>
          <t>A 6520-2026</t>
        </is>
      </c>
      <c r="B351" s="1" t="n">
        <v>46056.40149305556</v>
      </c>
      <c r="C351" s="1" t="n">
        <v>46105</v>
      </c>
      <c r="D351" t="inlineStr">
        <is>
          <t>ÖREBRO LÄN</t>
        </is>
      </c>
      <c r="E351" t="inlineStr">
        <is>
          <t>LINDESBERG</t>
        </is>
      </c>
      <c r="G351" t="n">
        <v>2.2</v>
      </c>
      <c r="H351" t="n">
        <v>0</v>
      </c>
      <c r="I351" t="n">
        <v>0</v>
      </c>
      <c r="J351" t="n">
        <v>0</v>
      </c>
      <c r="K351" t="n">
        <v>0</v>
      </c>
      <c r="L351" t="n">
        <v>0</v>
      </c>
      <c r="M351" t="n">
        <v>0</v>
      </c>
      <c r="N351" t="n">
        <v>0</v>
      </c>
      <c r="O351" t="n">
        <v>0</v>
      </c>
      <c r="P351" t="n">
        <v>0</v>
      </c>
      <c r="Q351" t="n">
        <v>0</v>
      </c>
      <c r="R351" s="2" t="inlineStr"/>
    </row>
    <row r="352" ht="15" customHeight="1">
      <c r="A352" t="inlineStr">
        <is>
          <t>A 6524-2026</t>
        </is>
      </c>
      <c r="B352" s="1" t="n">
        <v>46056.40425925926</v>
      </c>
      <c r="C352" s="1" t="n">
        <v>46105</v>
      </c>
      <c r="D352" t="inlineStr">
        <is>
          <t>ÖREBRO LÄN</t>
        </is>
      </c>
      <c r="E352" t="inlineStr">
        <is>
          <t>LINDESBERG</t>
        </is>
      </c>
      <c r="G352" t="n">
        <v>0.6</v>
      </c>
      <c r="H352" t="n">
        <v>0</v>
      </c>
      <c r="I352" t="n">
        <v>0</v>
      </c>
      <c r="J352" t="n">
        <v>0</v>
      </c>
      <c r="K352" t="n">
        <v>0</v>
      </c>
      <c r="L352" t="n">
        <v>0</v>
      </c>
      <c r="M352" t="n">
        <v>0</v>
      </c>
      <c r="N352" t="n">
        <v>0</v>
      </c>
      <c r="O352" t="n">
        <v>0</v>
      </c>
      <c r="P352" t="n">
        <v>0</v>
      </c>
      <c r="Q352" t="n">
        <v>0</v>
      </c>
      <c r="R352" s="2" t="inlineStr"/>
    </row>
    <row r="353" ht="15" customHeight="1">
      <c r="A353" t="inlineStr">
        <is>
          <t>A 37843-2025</t>
        </is>
      </c>
      <c r="B353" s="1" t="n">
        <v>45881.43759259259</v>
      </c>
      <c r="C353" s="1" t="n">
        <v>46105</v>
      </c>
      <c r="D353" t="inlineStr">
        <is>
          <t>ÖREBRO LÄN</t>
        </is>
      </c>
      <c r="E353" t="inlineStr">
        <is>
          <t>LINDESBERG</t>
        </is>
      </c>
      <c r="G353" t="n">
        <v>5.2</v>
      </c>
      <c r="H353" t="n">
        <v>0</v>
      </c>
      <c r="I353" t="n">
        <v>0</v>
      </c>
      <c r="J353" t="n">
        <v>0</v>
      </c>
      <c r="K353" t="n">
        <v>0</v>
      </c>
      <c r="L353" t="n">
        <v>0</v>
      </c>
      <c r="M353" t="n">
        <v>0</v>
      </c>
      <c r="N353" t="n">
        <v>0</v>
      </c>
      <c r="O353" t="n">
        <v>0</v>
      </c>
      <c r="P353" t="n">
        <v>0</v>
      </c>
      <c r="Q353" t="n">
        <v>0</v>
      </c>
      <c r="R353" s="2" t="inlineStr"/>
    </row>
    <row r="354" ht="15" customHeight="1">
      <c r="A354" t="inlineStr">
        <is>
          <t>A 32284-2025</t>
        </is>
      </c>
      <c r="B354" s="1" t="n">
        <v>45835.68443287037</v>
      </c>
      <c r="C354" s="1" t="n">
        <v>46105</v>
      </c>
      <c r="D354" t="inlineStr">
        <is>
          <t>ÖREBRO LÄN</t>
        </is>
      </c>
      <c r="E354" t="inlineStr">
        <is>
          <t>LINDESBERG</t>
        </is>
      </c>
      <c r="G354" t="n">
        <v>1.1</v>
      </c>
      <c r="H354" t="n">
        <v>0</v>
      </c>
      <c r="I354" t="n">
        <v>0</v>
      </c>
      <c r="J354" t="n">
        <v>0</v>
      </c>
      <c r="K354" t="n">
        <v>0</v>
      </c>
      <c r="L354" t="n">
        <v>0</v>
      </c>
      <c r="M354" t="n">
        <v>0</v>
      </c>
      <c r="N354" t="n">
        <v>0</v>
      </c>
      <c r="O354" t="n">
        <v>0</v>
      </c>
      <c r="P354" t="n">
        <v>0</v>
      </c>
      <c r="Q354" t="n">
        <v>0</v>
      </c>
      <c r="R354" s="2" t="inlineStr"/>
    </row>
    <row r="355" ht="15" customHeight="1">
      <c r="A355" t="inlineStr">
        <is>
          <t>A 32502-2025</t>
        </is>
      </c>
      <c r="B355" s="1" t="n">
        <v>45838.46408564815</v>
      </c>
      <c r="C355" s="1" t="n">
        <v>46105</v>
      </c>
      <c r="D355" t="inlineStr">
        <is>
          <t>ÖREBRO LÄN</t>
        </is>
      </c>
      <c r="E355" t="inlineStr">
        <is>
          <t>LINDESBERG</t>
        </is>
      </c>
      <c r="F355" t="inlineStr">
        <is>
          <t>Sveaskog</t>
        </is>
      </c>
      <c r="G355" t="n">
        <v>17.7</v>
      </c>
      <c r="H355" t="n">
        <v>0</v>
      </c>
      <c r="I355" t="n">
        <v>0</v>
      </c>
      <c r="J355" t="n">
        <v>0</v>
      </c>
      <c r="K355" t="n">
        <v>0</v>
      </c>
      <c r="L355" t="n">
        <v>0</v>
      </c>
      <c r="M355" t="n">
        <v>0</v>
      </c>
      <c r="N355" t="n">
        <v>0</v>
      </c>
      <c r="O355" t="n">
        <v>0</v>
      </c>
      <c r="P355" t="n">
        <v>0</v>
      </c>
      <c r="Q355" t="n">
        <v>0</v>
      </c>
      <c r="R355" s="2" t="inlineStr"/>
    </row>
    <row r="356" ht="15" customHeight="1">
      <c r="A356" t="inlineStr">
        <is>
          <t>A 6616-2026</t>
        </is>
      </c>
      <c r="B356" s="1" t="n">
        <v>46056.49075231481</v>
      </c>
      <c r="C356" s="1" t="n">
        <v>46105</v>
      </c>
      <c r="D356" t="inlineStr">
        <is>
          <t>ÖREBRO LÄN</t>
        </is>
      </c>
      <c r="E356" t="inlineStr">
        <is>
          <t>LINDESBERG</t>
        </is>
      </c>
      <c r="G356" t="n">
        <v>9</v>
      </c>
      <c r="H356" t="n">
        <v>0</v>
      </c>
      <c r="I356" t="n">
        <v>0</v>
      </c>
      <c r="J356" t="n">
        <v>0</v>
      </c>
      <c r="K356" t="n">
        <v>0</v>
      </c>
      <c r="L356" t="n">
        <v>0</v>
      </c>
      <c r="M356" t="n">
        <v>0</v>
      </c>
      <c r="N356" t="n">
        <v>0</v>
      </c>
      <c r="O356" t="n">
        <v>0</v>
      </c>
      <c r="P356" t="n">
        <v>0</v>
      </c>
      <c r="Q356" t="n">
        <v>0</v>
      </c>
      <c r="R356" s="2" t="inlineStr"/>
    </row>
    <row r="357" ht="15" customHeight="1">
      <c r="A357" t="inlineStr">
        <is>
          <t>A 33046-2025</t>
        </is>
      </c>
      <c r="B357" s="1" t="n">
        <v>45840</v>
      </c>
      <c r="C357" s="1" t="n">
        <v>46105</v>
      </c>
      <c r="D357" t="inlineStr">
        <is>
          <t>ÖREBRO LÄN</t>
        </is>
      </c>
      <c r="E357" t="inlineStr">
        <is>
          <t>LINDESBERG</t>
        </is>
      </c>
      <c r="G357" t="n">
        <v>6.1</v>
      </c>
      <c r="H357" t="n">
        <v>0</v>
      </c>
      <c r="I357" t="n">
        <v>0</v>
      </c>
      <c r="J357" t="n">
        <v>0</v>
      </c>
      <c r="K357" t="n">
        <v>0</v>
      </c>
      <c r="L357" t="n">
        <v>0</v>
      </c>
      <c r="M357" t="n">
        <v>0</v>
      </c>
      <c r="N357" t="n">
        <v>0</v>
      </c>
      <c r="O357" t="n">
        <v>0</v>
      </c>
      <c r="P357" t="n">
        <v>0</v>
      </c>
      <c r="Q357" t="n">
        <v>0</v>
      </c>
      <c r="R357" s="2" t="inlineStr"/>
    </row>
    <row r="358" ht="15" customHeight="1">
      <c r="A358" t="inlineStr">
        <is>
          <t>A 32727-2024</t>
        </is>
      </c>
      <c r="B358" s="1" t="n">
        <v>45516.4221412037</v>
      </c>
      <c r="C358" s="1" t="n">
        <v>46105</v>
      </c>
      <c r="D358" t="inlineStr">
        <is>
          <t>ÖREBRO LÄN</t>
        </is>
      </c>
      <c r="E358" t="inlineStr">
        <is>
          <t>LINDESBERG</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43837-2025</t>
        </is>
      </c>
      <c r="B359" s="1" t="n">
        <v>45912.63451388889</v>
      </c>
      <c r="C359" s="1" t="n">
        <v>46105</v>
      </c>
      <c r="D359" t="inlineStr">
        <is>
          <t>ÖREBRO LÄN</t>
        </is>
      </c>
      <c r="E359" t="inlineStr">
        <is>
          <t>LINDESBERG</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43847-2025</t>
        </is>
      </c>
      <c r="B360" s="1" t="n">
        <v>45912.63751157407</v>
      </c>
      <c r="C360" s="1" t="n">
        <v>46105</v>
      </c>
      <c r="D360" t="inlineStr">
        <is>
          <t>ÖREBRO LÄN</t>
        </is>
      </c>
      <c r="E360" t="inlineStr">
        <is>
          <t>LINDESBERG</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43836-2025</t>
        </is>
      </c>
      <c r="B361" s="1" t="n">
        <v>45912.63359953704</v>
      </c>
      <c r="C361" s="1" t="n">
        <v>46105</v>
      </c>
      <c r="D361" t="inlineStr">
        <is>
          <t>ÖREBRO LÄN</t>
        </is>
      </c>
      <c r="E361" t="inlineStr">
        <is>
          <t>LINDESBERG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73860-2021</t>
        </is>
      </c>
      <c r="B362" s="1" t="n">
        <v>44553.35407407407</v>
      </c>
      <c r="C362" s="1" t="n">
        <v>46105</v>
      </c>
      <c r="D362" t="inlineStr">
        <is>
          <t>ÖREBRO LÄN</t>
        </is>
      </c>
      <c r="E362" t="inlineStr">
        <is>
          <t>LINDESBERG</t>
        </is>
      </c>
      <c r="G362" t="n">
        <v>12.7</v>
      </c>
      <c r="H362" t="n">
        <v>0</v>
      </c>
      <c r="I362" t="n">
        <v>0</v>
      </c>
      <c r="J362" t="n">
        <v>0</v>
      </c>
      <c r="K362" t="n">
        <v>0</v>
      </c>
      <c r="L362" t="n">
        <v>0</v>
      </c>
      <c r="M362" t="n">
        <v>0</v>
      </c>
      <c r="N362" t="n">
        <v>0</v>
      </c>
      <c r="O362" t="n">
        <v>0</v>
      </c>
      <c r="P362" t="n">
        <v>0</v>
      </c>
      <c r="Q362" t="n">
        <v>0</v>
      </c>
      <c r="R362" s="2" t="inlineStr"/>
    </row>
    <row r="363" ht="15" customHeight="1">
      <c r="A363" t="inlineStr">
        <is>
          <t>A 44041-2025</t>
        </is>
      </c>
      <c r="B363" s="1" t="n">
        <v>45915.49238425926</v>
      </c>
      <c r="C363" s="1" t="n">
        <v>46105</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7069-2026</t>
        </is>
      </c>
      <c r="B364" s="1" t="n">
        <v>46058.30956018518</v>
      </c>
      <c r="C364" s="1" t="n">
        <v>46105</v>
      </c>
      <c r="D364" t="inlineStr">
        <is>
          <t>ÖREBRO LÄN</t>
        </is>
      </c>
      <c r="E364" t="inlineStr">
        <is>
          <t>LINDESBERG</t>
        </is>
      </c>
      <c r="G364" t="n">
        <v>0.9</v>
      </c>
      <c r="H364" t="n">
        <v>0</v>
      </c>
      <c r="I364" t="n">
        <v>0</v>
      </c>
      <c r="J364" t="n">
        <v>0</v>
      </c>
      <c r="K364" t="n">
        <v>0</v>
      </c>
      <c r="L364" t="n">
        <v>0</v>
      </c>
      <c r="M364" t="n">
        <v>0</v>
      </c>
      <c r="N364" t="n">
        <v>0</v>
      </c>
      <c r="O364" t="n">
        <v>0</v>
      </c>
      <c r="P364" t="n">
        <v>0</v>
      </c>
      <c r="Q364" t="n">
        <v>0</v>
      </c>
      <c r="R364" s="2" t="inlineStr"/>
    </row>
    <row r="365" ht="15" customHeight="1">
      <c r="A365" t="inlineStr">
        <is>
          <t>A 44077-2025</t>
        </is>
      </c>
      <c r="B365" s="1" t="n">
        <v>45915.54983796296</v>
      </c>
      <c r="C365" s="1" t="n">
        <v>46105</v>
      </c>
      <c r="D365" t="inlineStr">
        <is>
          <t>ÖREBRO LÄN</t>
        </is>
      </c>
      <c r="E365" t="inlineStr">
        <is>
          <t>LINDESBERG</t>
        </is>
      </c>
      <c r="G365" t="n">
        <v>4.2</v>
      </c>
      <c r="H365" t="n">
        <v>0</v>
      </c>
      <c r="I365" t="n">
        <v>0</v>
      </c>
      <c r="J365" t="n">
        <v>0</v>
      </c>
      <c r="K365" t="n">
        <v>0</v>
      </c>
      <c r="L365" t="n">
        <v>0</v>
      </c>
      <c r="M365" t="n">
        <v>0</v>
      </c>
      <c r="N365" t="n">
        <v>0</v>
      </c>
      <c r="O365" t="n">
        <v>0</v>
      </c>
      <c r="P365" t="n">
        <v>0</v>
      </c>
      <c r="Q365" t="n">
        <v>0</v>
      </c>
      <c r="R365" s="2" t="inlineStr"/>
    </row>
    <row r="366" ht="15" customHeight="1">
      <c r="A366" t="inlineStr">
        <is>
          <t>A 7098-2026</t>
        </is>
      </c>
      <c r="B366" s="1" t="n">
        <v>46058.35196759259</v>
      </c>
      <c r="C366" s="1" t="n">
        <v>46105</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3756-2026</t>
        </is>
      </c>
      <c r="B367" s="1" t="n">
        <v>46043</v>
      </c>
      <c r="C367" s="1" t="n">
        <v>46105</v>
      </c>
      <c r="D367" t="inlineStr">
        <is>
          <t>ÖREBRO LÄN</t>
        </is>
      </c>
      <c r="E367" t="inlineStr">
        <is>
          <t>LINDESBERG</t>
        </is>
      </c>
      <c r="G367" t="n">
        <v>6.3</v>
      </c>
      <c r="H367" t="n">
        <v>0</v>
      </c>
      <c r="I367" t="n">
        <v>0</v>
      </c>
      <c r="J367" t="n">
        <v>0</v>
      </c>
      <c r="K367" t="n">
        <v>0</v>
      </c>
      <c r="L367" t="n">
        <v>0</v>
      </c>
      <c r="M367" t="n">
        <v>0</v>
      </c>
      <c r="N367" t="n">
        <v>0</v>
      </c>
      <c r="O367" t="n">
        <v>0</v>
      </c>
      <c r="P367" t="n">
        <v>0</v>
      </c>
      <c r="Q367" t="n">
        <v>0</v>
      </c>
      <c r="R367" s="2" t="inlineStr"/>
    </row>
    <row r="368" ht="15" customHeight="1">
      <c r="A368" t="inlineStr">
        <is>
          <t>A 7202-2026</t>
        </is>
      </c>
      <c r="B368" s="1" t="n">
        <v>46058.52864583334</v>
      </c>
      <c r="C368" s="1" t="n">
        <v>46105</v>
      </c>
      <c r="D368" t="inlineStr">
        <is>
          <t>ÖREBRO LÄN</t>
        </is>
      </c>
      <c r="E368" t="inlineStr">
        <is>
          <t>LINDESBERG</t>
        </is>
      </c>
      <c r="G368" t="n">
        <v>2.8</v>
      </c>
      <c r="H368" t="n">
        <v>0</v>
      </c>
      <c r="I368" t="n">
        <v>0</v>
      </c>
      <c r="J368" t="n">
        <v>0</v>
      </c>
      <c r="K368" t="n">
        <v>0</v>
      </c>
      <c r="L368" t="n">
        <v>0</v>
      </c>
      <c r="M368" t="n">
        <v>0</v>
      </c>
      <c r="N368" t="n">
        <v>0</v>
      </c>
      <c r="O368" t="n">
        <v>0</v>
      </c>
      <c r="P368" t="n">
        <v>0</v>
      </c>
      <c r="Q368" t="n">
        <v>0</v>
      </c>
      <c r="R368" s="2" t="inlineStr"/>
    </row>
    <row r="369" ht="15" customHeight="1">
      <c r="A369" t="inlineStr">
        <is>
          <t>A 44067-2025</t>
        </is>
      </c>
      <c r="B369" s="1" t="n">
        <v>45915.54439814815</v>
      </c>
      <c r="C369" s="1" t="n">
        <v>46105</v>
      </c>
      <c r="D369" t="inlineStr">
        <is>
          <t>ÖREBRO LÄN</t>
        </is>
      </c>
      <c r="E369" t="inlineStr">
        <is>
          <t>LINDESBERG</t>
        </is>
      </c>
      <c r="G369" t="n">
        <v>2.8</v>
      </c>
      <c r="H369" t="n">
        <v>0</v>
      </c>
      <c r="I369" t="n">
        <v>0</v>
      </c>
      <c r="J369" t="n">
        <v>0</v>
      </c>
      <c r="K369" t="n">
        <v>0</v>
      </c>
      <c r="L369" t="n">
        <v>0</v>
      </c>
      <c r="M369" t="n">
        <v>0</v>
      </c>
      <c r="N369" t="n">
        <v>0</v>
      </c>
      <c r="O369" t="n">
        <v>0</v>
      </c>
      <c r="P369" t="n">
        <v>0</v>
      </c>
      <c r="Q369" t="n">
        <v>0</v>
      </c>
      <c r="R369" s="2" t="inlineStr"/>
    </row>
    <row r="370" ht="15" customHeight="1">
      <c r="A370" t="inlineStr">
        <is>
          <t>A 5358-2022</t>
        </is>
      </c>
      <c r="B370" s="1" t="n">
        <v>44594.84091435185</v>
      </c>
      <c r="C370" s="1" t="n">
        <v>46105</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33574-2024</t>
        </is>
      </c>
      <c r="B371" s="1" t="n">
        <v>45520.32887731482</v>
      </c>
      <c r="C371" s="1" t="n">
        <v>46105</v>
      </c>
      <c r="D371" t="inlineStr">
        <is>
          <t>ÖREBRO LÄN</t>
        </is>
      </c>
      <c r="E371" t="inlineStr">
        <is>
          <t>LINDESBERG</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34264-2025</t>
        </is>
      </c>
      <c r="B372" s="1" t="n">
        <v>45845.75200231482</v>
      </c>
      <c r="C372" s="1" t="n">
        <v>46105</v>
      </c>
      <c r="D372" t="inlineStr">
        <is>
          <t>ÖREBRO LÄN</t>
        </is>
      </c>
      <c r="E372" t="inlineStr">
        <is>
          <t>LINDESBERG</t>
        </is>
      </c>
      <c r="G372" t="n">
        <v>3.9</v>
      </c>
      <c r="H372" t="n">
        <v>0</v>
      </c>
      <c r="I372" t="n">
        <v>0</v>
      </c>
      <c r="J372" t="n">
        <v>0</v>
      </c>
      <c r="K372" t="n">
        <v>0</v>
      </c>
      <c r="L372" t="n">
        <v>0</v>
      </c>
      <c r="M372" t="n">
        <v>0</v>
      </c>
      <c r="N372" t="n">
        <v>0</v>
      </c>
      <c r="O372" t="n">
        <v>0</v>
      </c>
      <c r="P372" t="n">
        <v>0</v>
      </c>
      <c r="Q372" t="n">
        <v>0</v>
      </c>
      <c r="R372" s="2" t="inlineStr"/>
    </row>
    <row r="373" ht="15" customHeight="1">
      <c r="A373" t="inlineStr">
        <is>
          <t>A 13884-2023</t>
        </is>
      </c>
      <c r="B373" s="1" t="n">
        <v>45007</v>
      </c>
      <c r="C373" s="1" t="n">
        <v>46105</v>
      </c>
      <c r="D373" t="inlineStr">
        <is>
          <t>ÖREBRO LÄN</t>
        </is>
      </c>
      <c r="E373" t="inlineStr">
        <is>
          <t>LINDESBERG</t>
        </is>
      </c>
      <c r="F373" t="inlineStr">
        <is>
          <t>Kommuner</t>
        </is>
      </c>
      <c r="G373" t="n">
        <v>7.7</v>
      </c>
      <c r="H373" t="n">
        <v>0</v>
      </c>
      <c r="I373" t="n">
        <v>0</v>
      </c>
      <c r="J373" t="n">
        <v>0</v>
      </c>
      <c r="K373" t="n">
        <v>0</v>
      </c>
      <c r="L373" t="n">
        <v>0</v>
      </c>
      <c r="M373" t="n">
        <v>0</v>
      </c>
      <c r="N373" t="n">
        <v>0</v>
      </c>
      <c r="O373" t="n">
        <v>0</v>
      </c>
      <c r="P373" t="n">
        <v>0</v>
      </c>
      <c r="Q373" t="n">
        <v>0</v>
      </c>
      <c r="R373" s="2" t="inlineStr"/>
    </row>
    <row r="374" ht="15" customHeight="1">
      <c r="A374" t="inlineStr">
        <is>
          <t>A 34003-2025</t>
        </is>
      </c>
      <c r="B374" s="1" t="n">
        <v>45844.57527777777</v>
      </c>
      <c r="C374" s="1" t="n">
        <v>46105</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34097-2025</t>
        </is>
      </c>
      <c r="B375" s="1" t="n">
        <v>45845.4855787037</v>
      </c>
      <c r="C375" s="1" t="n">
        <v>46105</v>
      </c>
      <c r="D375" t="inlineStr">
        <is>
          <t>ÖREBRO LÄN</t>
        </is>
      </c>
      <c r="E375" t="inlineStr">
        <is>
          <t>LINDESBERG</t>
        </is>
      </c>
      <c r="G375" t="n">
        <v>1.2</v>
      </c>
      <c r="H375" t="n">
        <v>0</v>
      </c>
      <c r="I375" t="n">
        <v>0</v>
      </c>
      <c r="J375" t="n">
        <v>0</v>
      </c>
      <c r="K375" t="n">
        <v>0</v>
      </c>
      <c r="L375" t="n">
        <v>0</v>
      </c>
      <c r="M375" t="n">
        <v>0</v>
      </c>
      <c r="N375" t="n">
        <v>0</v>
      </c>
      <c r="O375" t="n">
        <v>0</v>
      </c>
      <c r="P375" t="n">
        <v>0</v>
      </c>
      <c r="Q375" t="n">
        <v>0</v>
      </c>
      <c r="R375" s="2" t="inlineStr"/>
    </row>
    <row r="376" ht="15" customHeight="1">
      <c r="A376" t="inlineStr">
        <is>
          <t>A 34104-2025</t>
        </is>
      </c>
      <c r="B376" s="1" t="n">
        <v>45845.49216435185</v>
      </c>
      <c r="C376" s="1" t="n">
        <v>46105</v>
      </c>
      <c r="D376" t="inlineStr">
        <is>
          <t>ÖREBRO LÄN</t>
        </is>
      </c>
      <c r="E376" t="inlineStr">
        <is>
          <t>LINDESBERG</t>
        </is>
      </c>
      <c r="G376" t="n">
        <v>1</v>
      </c>
      <c r="H376" t="n">
        <v>0</v>
      </c>
      <c r="I376" t="n">
        <v>0</v>
      </c>
      <c r="J376" t="n">
        <v>0</v>
      </c>
      <c r="K376" t="n">
        <v>0</v>
      </c>
      <c r="L376" t="n">
        <v>0</v>
      </c>
      <c r="M376" t="n">
        <v>0</v>
      </c>
      <c r="N376" t="n">
        <v>0</v>
      </c>
      <c r="O376" t="n">
        <v>0</v>
      </c>
      <c r="P376" t="n">
        <v>0</v>
      </c>
      <c r="Q376" t="n">
        <v>0</v>
      </c>
      <c r="R376" s="2" t="inlineStr"/>
    </row>
    <row r="377" ht="15" customHeight="1">
      <c r="A377" t="inlineStr">
        <is>
          <t>A 44545-2025</t>
        </is>
      </c>
      <c r="B377" s="1" t="n">
        <v>45917.31780092593</v>
      </c>
      <c r="C377" s="1" t="n">
        <v>46105</v>
      </c>
      <c r="D377" t="inlineStr">
        <is>
          <t>ÖREBRO LÄN</t>
        </is>
      </c>
      <c r="E377" t="inlineStr">
        <is>
          <t>LINDESBERG</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34004-2025</t>
        </is>
      </c>
      <c r="B378" s="1" t="n">
        <v>45844.5775</v>
      </c>
      <c r="C378" s="1" t="n">
        <v>46105</v>
      </c>
      <c r="D378" t="inlineStr">
        <is>
          <t>ÖREBRO LÄN</t>
        </is>
      </c>
      <c r="E378" t="inlineStr">
        <is>
          <t>LINDESBERG</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34267-2025</t>
        </is>
      </c>
      <c r="B379" s="1" t="n">
        <v>45845.76005787037</v>
      </c>
      <c r="C379" s="1" t="n">
        <v>46105</v>
      </c>
      <c r="D379" t="inlineStr">
        <is>
          <t>ÖREBRO LÄN</t>
        </is>
      </c>
      <c r="E379" t="inlineStr">
        <is>
          <t>LINDESBERG</t>
        </is>
      </c>
      <c r="G379" t="n">
        <v>4.6</v>
      </c>
      <c r="H379" t="n">
        <v>0</v>
      </c>
      <c r="I379" t="n">
        <v>0</v>
      </c>
      <c r="J379" t="n">
        <v>0</v>
      </c>
      <c r="K379" t="n">
        <v>0</v>
      </c>
      <c r="L379" t="n">
        <v>0</v>
      </c>
      <c r="M379" t="n">
        <v>0</v>
      </c>
      <c r="N379" t="n">
        <v>0</v>
      </c>
      <c r="O379" t="n">
        <v>0</v>
      </c>
      <c r="P379" t="n">
        <v>0</v>
      </c>
      <c r="Q379" t="n">
        <v>0</v>
      </c>
      <c r="R379" s="2" t="inlineStr"/>
    </row>
    <row r="380" ht="15" customHeight="1">
      <c r="A380" t="inlineStr">
        <is>
          <t>A 6989-2026</t>
        </is>
      </c>
      <c r="B380" s="1" t="n">
        <v>46057.60342592592</v>
      </c>
      <c r="C380" s="1" t="n">
        <v>46105</v>
      </c>
      <c r="D380" t="inlineStr">
        <is>
          <t>ÖREBRO LÄN</t>
        </is>
      </c>
      <c r="E380" t="inlineStr">
        <is>
          <t>LINDESBERG</t>
        </is>
      </c>
      <c r="G380" t="n">
        <v>2</v>
      </c>
      <c r="H380" t="n">
        <v>0</v>
      </c>
      <c r="I380" t="n">
        <v>0</v>
      </c>
      <c r="J380" t="n">
        <v>0</v>
      </c>
      <c r="K380" t="n">
        <v>0</v>
      </c>
      <c r="L380" t="n">
        <v>0</v>
      </c>
      <c r="M380" t="n">
        <v>0</v>
      </c>
      <c r="N380" t="n">
        <v>0</v>
      </c>
      <c r="O380" t="n">
        <v>0</v>
      </c>
      <c r="P380" t="n">
        <v>0</v>
      </c>
      <c r="Q380" t="n">
        <v>0</v>
      </c>
      <c r="R380" s="2" t="inlineStr"/>
    </row>
    <row r="381" ht="15" customHeight="1">
      <c r="A381" t="inlineStr">
        <is>
          <t>A 7121-2026</t>
        </is>
      </c>
      <c r="B381" s="1" t="n">
        <v>46058.38300925926</v>
      </c>
      <c r="C381" s="1" t="n">
        <v>46105</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34002-2025</t>
        </is>
      </c>
      <c r="B382" s="1" t="n">
        <v>45844.57328703703</v>
      </c>
      <c r="C382" s="1" t="n">
        <v>46105</v>
      </c>
      <c r="D382" t="inlineStr">
        <is>
          <t>ÖREBRO LÄN</t>
        </is>
      </c>
      <c r="E382" t="inlineStr">
        <is>
          <t>LINDESBERG</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15324-2024</t>
        </is>
      </c>
      <c r="B383" s="1" t="n">
        <v>45400.66995370371</v>
      </c>
      <c r="C383" s="1" t="n">
        <v>46105</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5677-2025</t>
        </is>
      </c>
      <c r="B384" s="1" t="n">
        <v>45694</v>
      </c>
      <c r="C384" s="1" t="n">
        <v>46105</v>
      </c>
      <c r="D384" t="inlineStr">
        <is>
          <t>ÖREBRO LÄN</t>
        </is>
      </c>
      <c r="E384" t="inlineStr">
        <is>
          <t>LINDESBERG</t>
        </is>
      </c>
      <c r="G384" t="n">
        <v>1.6</v>
      </c>
      <c r="H384" t="n">
        <v>0</v>
      </c>
      <c r="I384" t="n">
        <v>0</v>
      </c>
      <c r="J384" t="n">
        <v>0</v>
      </c>
      <c r="K384" t="n">
        <v>0</v>
      </c>
      <c r="L384" t="n">
        <v>0</v>
      </c>
      <c r="M384" t="n">
        <v>0</v>
      </c>
      <c r="N384" t="n">
        <v>0</v>
      </c>
      <c r="O384" t="n">
        <v>0</v>
      </c>
      <c r="P384" t="n">
        <v>0</v>
      </c>
      <c r="Q384" t="n">
        <v>0</v>
      </c>
      <c r="R384" s="2" t="inlineStr"/>
    </row>
    <row r="385" ht="15" customHeight="1">
      <c r="A385" t="inlineStr">
        <is>
          <t>A 24916-2022</t>
        </is>
      </c>
      <c r="B385" s="1" t="n">
        <v>44728</v>
      </c>
      <c r="C385" s="1" t="n">
        <v>46105</v>
      </c>
      <c r="D385" t="inlineStr">
        <is>
          <t>ÖREBRO LÄN</t>
        </is>
      </c>
      <c r="E385" t="inlineStr">
        <is>
          <t>LINDESBERG</t>
        </is>
      </c>
      <c r="G385" t="n">
        <v>8.1</v>
      </c>
      <c r="H385" t="n">
        <v>0</v>
      </c>
      <c r="I385" t="n">
        <v>0</v>
      </c>
      <c r="J385" t="n">
        <v>0</v>
      </c>
      <c r="K385" t="n">
        <v>0</v>
      </c>
      <c r="L385" t="n">
        <v>0</v>
      </c>
      <c r="M385" t="n">
        <v>0</v>
      </c>
      <c r="N385" t="n">
        <v>0</v>
      </c>
      <c r="O385" t="n">
        <v>0</v>
      </c>
      <c r="P385" t="n">
        <v>0</v>
      </c>
      <c r="Q385" t="n">
        <v>0</v>
      </c>
      <c r="R385" s="2" t="inlineStr"/>
    </row>
    <row r="386" ht="15" customHeight="1">
      <c r="A386" t="inlineStr">
        <is>
          <t>A 1681-2025</t>
        </is>
      </c>
      <c r="B386" s="1" t="n">
        <v>45670.69458333333</v>
      </c>
      <c r="C386" s="1" t="n">
        <v>46105</v>
      </c>
      <c r="D386" t="inlineStr">
        <is>
          <t>ÖREBRO LÄN</t>
        </is>
      </c>
      <c r="E386" t="inlineStr">
        <is>
          <t>LINDESBERG</t>
        </is>
      </c>
      <c r="G386" t="n">
        <v>1.9</v>
      </c>
      <c r="H386" t="n">
        <v>0</v>
      </c>
      <c r="I386" t="n">
        <v>0</v>
      </c>
      <c r="J386" t="n">
        <v>0</v>
      </c>
      <c r="K386" t="n">
        <v>0</v>
      </c>
      <c r="L386" t="n">
        <v>0</v>
      </c>
      <c r="M386" t="n">
        <v>0</v>
      </c>
      <c r="N386" t="n">
        <v>0</v>
      </c>
      <c r="O386" t="n">
        <v>0</v>
      </c>
      <c r="P386" t="n">
        <v>0</v>
      </c>
      <c r="Q386" t="n">
        <v>0</v>
      </c>
      <c r="R386" s="2" t="inlineStr"/>
    </row>
    <row r="387" ht="15" customHeight="1">
      <c r="A387" t="inlineStr">
        <is>
          <t>A 36670-2024</t>
        </is>
      </c>
      <c r="B387" s="1" t="n">
        <v>45537.64621527777</v>
      </c>
      <c r="C387" s="1" t="n">
        <v>46105</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35292-2025</t>
        </is>
      </c>
      <c r="B388" s="1" t="n">
        <v>45854</v>
      </c>
      <c r="C388" s="1" t="n">
        <v>46105</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15050-2026</t>
        </is>
      </c>
      <c r="B389" s="1" t="n">
        <v>46104.67331018519</v>
      </c>
      <c r="C389" s="1" t="n">
        <v>46105</v>
      </c>
      <c r="D389" t="inlineStr">
        <is>
          <t>ÖREBRO LÄN</t>
        </is>
      </c>
      <c r="E389" t="inlineStr">
        <is>
          <t>LINDESBERG</t>
        </is>
      </c>
      <c r="F389" t="inlineStr">
        <is>
          <t>Sveaskog</t>
        </is>
      </c>
      <c r="G389" t="n">
        <v>2.9</v>
      </c>
      <c r="H389" t="n">
        <v>0</v>
      </c>
      <c r="I389" t="n">
        <v>0</v>
      </c>
      <c r="J389" t="n">
        <v>0</v>
      </c>
      <c r="K389" t="n">
        <v>0</v>
      </c>
      <c r="L389" t="n">
        <v>0</v>
      </c>
      <c r="M389" t="n">
        <v>0</v>
      </c>
      <c r="N389" t="n">
        <v>0</v>
      </c>
      <c r="O389" t="n">
        <v>0</v>
      </c>
      <c r="P389" t="n">
        <v>0</v>
      </c>
      <c r="Q389" t="n">
        <v>0</v>
      </c>
      <c r="R389" s="2" t="inlineStr"/>
    </row>
    <row r="390" ht="15" customHeight="1">
      <c r="A390" t="inlineStr">
        <is>
          <t>A 35366-2025</t>
        </is>
      </c>
      <c r="B390" s="1" t="n">
        <v>45854</v>
      </c>
      <c r="C390" s="1" t="n">
        <v>46105</v>
      </c>
      <c r="D390" t="inlineStr">
        <is>
          <t>ÖREBRO LÄN</t>
        </is>
      </c>
      <c r="E390" t="inlineStr">
        <is>
          <t>LINDESBERG</t>
        </is>
      </c>
      <c r="G390" t="n">
        <v>5.5</v>
      </c>
      <c r="H390" t="n">
        <v>0</v>
      </c>
      <c r="I390" t="n">
        <v>0</v>
      </c>
      <c r="J390" t="n">
        <v>0</v>
      </c>
      <c r="K390" t="n">
        <v>0</v>
      </c>
      <c r="L390" t="n">
        <v>0</v>
      </c>
      <c r="M390" t="n">
        <v>0</v>
      </c>
      <c r="N390" t="n">
        <v>0</v>
      </c>
      <c r="O390" t="n">
        <v>0</v>
      </c>
      <c r="P390" t="n">
        <v>0</v>
      </c>
      <c r="Q390" t="n">
        <v>0</v>
      </c>
      <c r="R390" s="2" t="inlineStr"/>
    </row>
    <row r="391" ht="15" customHeight="1">
      <c r="A391" t="inlineStr">
        <is>
          <t>A 46757-2025</t>
        </is>
      </c>
      <c r="B391" s="1" t="n">
        <v>45926.62039351852</v>
      </c>
      <c r="C391" s="1" t="n">
        <v>46105</v>
      </c>
      <c r="D391" t="inlineStr">
        <is>
          <t>ÖREBRO LÄN</t>
        </is>
      </c>
      <c r="E391" t="inlineStr">
        <is>
          <t>LINDESBERG</t>
        </is>
      </c>
      <c r="G391" t="n">
        <v>7.9</v>
      </c>
      <c r="H391" t="n">
        <v>0</v>
      </c>
      <c r="I391" t="n">
        <v>0</v>
      </c>
      <c r="J391" t="n">
        <v>0</v>
      </c>
      <c r="K391" t="n">
        <v>0</v>
      </c>
      <c r="L391" t="n">
        <v>0</v>
      </c>
      <c r="M391" t="n">
        <v>0</v>
      </c>
      <c r="N391" t="n">
        <v>0</v>
      </c>
      <c r="O391" t="n">
        <v>0</v>
      </c>
      <c r="P391" t="n">
        <v>0</v>
      </c>
      <c r="Q391" t="n">
        <v>0</v>
      </c>
      <c r="R391" s="2" t="inlineStr"/>
    </row>
    <row r="392" ht="15" customHeight="1">
      <c r="A392" t="inlineStr">
        <is>
          <t>A 46484-2025</t>
        </is>
      </c>
      <c r="B392" s="1" t="n">
        <v>45925.70290509259</v>
      </c>
      <c r="C392" s="1" t="n">
        <v>46105</v>
      </c>
      <c r="D392" t="inlineStr">
        <is>
          <t>ÖREBRO LÄN</t>
        </is>
      </c>
      <c r="E392" t="inlineStr">
        <is>
          <t>LINDESBERG</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46404-2025</t>
        </is>
      </c>
      <c r="B393" s="1" t="n">
        <v>45925.56173611111</v>
      </c>
      <c r="C393" s="1" t="n">
        <v>46105</v>
      </c>
      <c r="D393" t="inlineStr">
        <is>
          <t>ÖREBRO LÄN</t>
        </is>
      </c>
      <c r="E393" t="inlineStr">
        <is>
          <t>LINDESBERG</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35702-2025</t>
        </is>
      </c>
      <c r="B394" s="1" t="n">
        <v>45860.36222222223</v>
      </c>
      <c r="C394" s="1" t="n">
        <v>46105</v>
      </c>
      <c r="D394" t="inlineStr">
        <is>
          <t>ÖREBRO LÄN</t>
        </is>
      </c>
      <c r="E394" t="inlineStr">
        <is>
          <t>LINDESBERG</t>
        </is>
      </c>
      <c r="G394" t="n">
        <v>5.3</v>
      </c>
      <c r="H394" t="n">
        <v>0</v>
      </c>
      <c r="I394" t="n">
        <v>0</v>
      </c>
      <c r="J394" t="n">
        <v>0</v>
      </c>
      <c r="K394" t="n">
        <v>0</v>
      </c>
      <c r="L394" t="n">
        <v>0</v>
      </c>
      <c r="M394" t="n">
        <v>0</v>
      </c>
      <c r="N394" t="n">
        <v>0</v>
      </c>
      <c r="O394" t="n">
        <v>0</v>
      </c>
      <c r="P394" t="n">
        <v>0</v>
      </c>
      <c r="Q394" t="n">
        <v>0</v>
      </c>
      <c r="R394" s="2" t="inlineStr"/>
    </row>
    <row r="395" ht="15" customHeight="1">
      <c r="A395" t="inlineStr">
        <is>
          <t>A 35710-2025</t>
        </is>
      </c>
      <c r="B395" s="1" t="n">
        <v>45860.3857175926</v>
      </c>
      <c r="C395" s="1" t="n">
        <v>46105</v>
      </c>
      <c r="D395" t="inlineStr">
        <is>
          <t>ÖREBRO LÄN</t>
        </is>
      </c>
      <c r="E395" t="inlineStr">
        <is>
          <t>LINDESBERG</t>
        </is>
      </c>
      <c r="G395" t="n">
        <v>3.2</v>
      </c>
      <c r="H395" t="n">
        <v>0</v>
      </c>
      <c r="I395" t="n">
        <v>0</v>
      </c>
      <c r="J395" t="n">
        <v>0</v>
      </c>
      <c r="K395" t="n">
        <v>0</v>
      </c>
      <c r="L395" t="n">
        <v>0</v>
      </c>
      <c r="M395" t="n">
        <v>0</v>
      </c>
      <c r="N395" t="n">
        <v>0</v>
      </c>
      <c r="O395" t="n">
        <v>0</v>
      </c>
      <c r="P395" t="n">
        <v>0</v>
      </c>
      <c r="Q395" t="n">
        <v>0</v>
      </c>
      <c r="R395" s="2" t="inlineStr"/>
    </row>
    <row r="396" ht="15" customHeight="1">
      <c r="A396" t="inlineStr">
        <is>
          <t>A 14680-2026</t>
        </is>
      </c>
      <c r="B396" s="1" t="n">
        <v>46101.48212962963</v>
      </c>
      <c r="C396" s="1" t="n">
        <v>46105</v>
      </c>
      <c r="D396" t="inlineStr">
        <is>
          <t>ÖREBRO LÄN</t>
        </is>
      </c>
      <c r="E396" t="inlineStr">
        <is>
          <t>LINDESBERG</t>
        </is>
      </c>
      <c r="G396" t="n">
        <v>1</v>
      </c>
      <c r="H396" t="n">
        <v>0</v>
      </c>
      <c r="I396" t="n">
        <v>0</v>
      </c>
      <c r="J396" t="n">
        <v>0</v>
      </c>
      <c r="K396" t="n">
        <v>0</v>
      </c>
      <c r="L396" t="n">
        <v>0</v>
      </c>
      <c r="M396" t="n">
        <v>0</v>
      </c>
      <c r="N396" t="n">
        <v>0</v>
      </c>
      <c r="O396" t="n">
        <v>0</v>
      </c>
      <c r="P396" t="n">
        <v>0</v>
      </c>
      <c r="Q396" t="n">
        <v>0</v>
      </c>
      <c r="R396" s="2" t="inlineStr"/>
    </row>
    <row r="397" ht="15" customHeight="1">
      <c r="A397" t="inlineStr">
        <is>
          <t>A 47304-2024</t>
        </is>
      </c>
      <c r="B397" s="1" t="n">
        <v>45587</v>
      </c>
      <c r="C397" s="1" t="n">
        <v>46105</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4539-2025</t>
        </is>
      </c>
      <c r="B398" s="1" t="n">
        <v>45687</v>
      </c>
      <c r="C398" s="1" t="n">
        <v>46105</v>
      </c>
      <c r="D398" t="inlineStr">
        <is>
          <t>ÖREBRO LÄN</t>
        </is>
      </c>
      <c r="E398" t="inlineStr">
        <is>
          <t>LINDESBERG</t>
        </is>
      </c>
      <c r="G398" t="n">
        <v>2.2</v>
      </c>
      <c r="H398" t="n">
        <v>0</v>
      </c>
      <c r="I398" t="n">
        <v>0</v>
      </c>
      <c r="J398" t="n">
        <v>0</v>
      </c>
      <c r="K398" t="n">
        <v>0</v>
      </c>
      <c r="L398" t="n">
        <v>0</v>
      </c>
      <c r="M398" t="n">
        <v>0</v>
      </c>
      <c r="N398" t="n">
        <v>0</v>
      </c>
      <c r="O398" t="n">
        <v>0</v>
      </c>
      <c r="P398" t="n">
        <v>0</v>
      </c>
      <c r="Q398" t="n">
        <v>0</v>
      </c>
      <c r="R398" s="2" t="inlineStr"/>
    </row>
    <row r="399" ht="15" customHeight="1">
      <c r="A399" t="inlineStr">
        <is>
          <t>A 45173-2024</t>
        </is>
      </c>
      <c r="B399" s="1" t="n">
        <v>45575.65721064815</v>
      </c>
      <c r="C399" s="1" t="n">
        <v>46105</v>
      </c>
      <c r="D399" t="inlineStr">
        <is>
          <t>ÖREBRO LÄN</t>
        </is>
      </c>
      <c r="E399" t="inlineStr">
        <is>
          <t>LINDESBERG</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44804-2024</t>
        </is>
      </c>
      <c r="B400" s="1" t="n">
        <v>45574.65189814815</v>
      </c>
      <c r="C400" s="1" t="n">
        <v>46105</v>
      </c>
      <c r="D400" t="inlineStr">
        <is>
          <t>ÖREBRO LÄN</t>
        </is>
      </c>
      <c r="E400" t="inlineStr">
        <is>
          <t>LINDESBERG</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30514-2025</t>
        </is>
      </c>
      <c r="B401" s="1" t="n">
        <v>45831</v>
      </c>
      <c r="C401" s="1" t="n">
        <v>46105</v>
      </c>
      <c r="D401" t="inlineStr">
        <is>
          <t>ÖREBRO LÄN</t>
        </is>
      </c>
      <c r="E401" t="inlineStr">
        <is>
          <t>LINDESBERG</t>
        </is>
      </c>
      <c r="G401" t="n">
        <v>1.6</v>
      </c>
      <c r="H401" t="n">
        <v>0</v>
      </c>
      <c r="I401" t="n">
        <v>0</v>
      </c>
      <c r="J401" t="n">
        <v>0</v>
      </c>
      <c r="K401" t="n">
        <v>0</v>
      </c>
      <c r="L401" t="n">
        <v>0</v>
      </c>
      <c r="M401" t="n">
        <v>0</v>
      </c>
      <c r="N401" t="n">
        <v>0</v>
      </c>
      <c r="O401" t="n">
        <v>0</v>
      </c>
      <c r="P401" t="n">
        <v>0</v>
      </c>
      <c r="Q401" t="n">
        <v>0</v>
      </c>
      <c r="R401" s="2" t="inlineStr"/>
    </row>
    <row r="402" ht="15" customHeight="1">
      <c r="A402" t="inlineStr">
        <is>
          <t>A 36253-2024</t>
        </is>
      </c>
      <c r="B402" s="1" t="n">
        <v>45534.54032407407</v>
      </c>
      <c r="C402" s="1" t="n">
        <v>46105</v>
      </c>
      <c r="D402" t="inlineStr">
        <is>
          <t>ÖREBRO LÄN</t>
        </is>
      </c>
      <c r="E402" t="inlineStr">
        <is>
          <t>LINDESBERG</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30512-2025</t>
        </is>
      </c>
      <c r="B403" s="1" t="n">
        <v>45831</v>
      </c>
      <c r="C403" s="1" t="n">
        <v>46105</v>
      </c>
      <c r="D403" t="inlineStr">
        <is>
          <t>ÖREBRO LÄN</t>
        </is>
      </c>
      <c r="E403" t="inlineStr">
        <is>
          <t>LINDESBERG</t>
        </is>
      </c>
      <c r="G403" t="n">
        <v>4.5</v>
      </c>
      <c r="H403" t="n">
        <v>0</v>
      </c>
      <c r="I403" t="n">
        <v>0</v>
      </c>
      <c r="J403" t="n">
        <v>0</v>
      </c>
      <c r="K403" t="n">
        <v>0</v>
      </c>
      <c r="L403" t="n">
        <v>0</v>
      </c>
      <c r="M403" t="n">
        <v>0</v>
      </c>
      <c r="N403" t="n">
        <v>0</v>
      </c>
      <c r="O403" t="n">
        <v>0</v>
      </c>
      <c r="P403" t="n">
        <v>0</v>
      </c>
      <c r="Q403" t="n">
        <v>0</v>
      </c>
      <c r="R403" s="2" t="inlineStr"/>
    </row>
    <row r="404" ht="15" customHeight="1">
      <c r="A404" t="inlineStr">
        <is>
          <t>A 36572-2025</t>
        </is>
      </c>
      <c r="B404" s="1" t="n">
        <v>45870</v>
      </c>
      <c r="C404" s="1" t="n">
        <v>46105</v>
      </c>
      <c r="D404" t="inlineStr">
        <is>
          <t>ÖREBRO LÄN</t>
        </is>
      </c>
      <c r="E404" t="inlineStr">
        <is>
          <t>LINDESBERG</t>
        </is>
      </c>
      <c r="G404" t="n">
        <v>11.9</v>
      </c>
      <c r="H404" t="n">
        <v>0</v>
      </c>
      <c r="I404" t="n">
        <v>0</v>
      </c>
      <c r="J404" t="n">
        <v>0</v>
      </c>
      <c r="K404" t="n">
        <v>0</v>
      </c>
      <c r="L404" t="n">
        <v>0</v>
      </c>
      <c r="M404" t="n">
        <v>0</v>
      </c>
      <c r="N404" t="n">
        <v>0</v>
      </c>
      <c r="O404" t="n">
        <v>0</v>
      </c>
      <c r="P404" t="n">
        <v>0</v>
      </c>
      <c r="Q404" t="n">
        <v>0</v>
      </c>
      <c r="R404" s="2" t="inlineStr"/>
    </row>
    <row r="405" ht="15" customHeight="1">
      <c r="A405" t="inlineStr">
        <is>
          <t>A 48061-2025</t>
        </is>
      </c>
      <c r="B405" s="1" t="n">
        <v>45932.68006944445</v>
      </c>
      <c r="C405" s="1" t="n">
        <v>46105</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36577-2025</t>
        </is>
      </c>
      <c r="B406" s="1" t="n">
        <v>45870</v>
      </c>
      <c r="C406" s="1" t="n">
        <v>46105</v>
      </c>
      <c r="D406" t="inlineStr">
        <is>
          <t>ÖREBRO LÄN</t>
        </is>
      </c>
      <c r="E406" t="inlineStr">
        <is>
          <t>LINDESBERG</t>
        </is>
      </c>
      <c r="G406" t="n">
        <v>3.7</v>
      </c>
      <c r="H406" t="n">
        <v>0</v>
      </c>
      <c r="I406" t="n">
        <v>0</v>
      </c>
      <c r="J406" t="n">
        <v>0</v>
      </c>
      <c r="K406" t="n">
        <v>0</v>
      </c>
      <c r="L406" t="n">
        <v>0</v>
      </c>
      <c r="M406" t="n">
        <v>0</v>
      </c>
      <c r="N406" t="n">
        <v>0</v>
      </c>
      <c r="O406" t="n">
        <v>0</v>
      </c>
      <c r="P406" t="n">
        <v>0</v>
      </c>
      <c r="Q406" t="n">
        <v>0</v>
      </c>
      <c r="R406" s="2" t="inlineStr"/>
    </row>
    <row r="407" ht="15" customHeight="1">
      <c r="A407" t="inlineStr">
        <is>
          <t>A 47678-2025</t>
        </is>
      </c>
      <c r="B407" s="1" t="n">
        <v>45931.57967592592</v>
      </c>
      <c r="C407" s="1" t="n">
        <v>46105</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36574-2025</t>
        </is>
      </c>
      <c r="B408" s="1" t="n">
        <v>45870</v>
      </c>
      <c r="C408" s="1" t="n">
        <v>46105</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36579-2025</t>
        </is>
      </c>
      <c r="B409" s="1" t="n">
        <v>45870</v>
      </c>
      <c r="C409" s="1" t="n">
        <v>46105</v>
      </c>
      <c r="D409" t="inlineStr">
        <is>
          <t>ÖREBRO LÄN</t>
        </is>
      </c>
      <c r="E409" t="inlineStr">
        <is>
          <t>LINDESBERG</t>
        </is>
      </c>
      <c r="G409" t="n">
        <v>6</v>
      </c>
      <c r="H409" t="n">
        <v>0</v>
      </c>
      <c r="I409" t="n">
        <v>0</v>
      </c>
      <c r="J409" t="n">
        <v>0</v>
      </c>
      <c r="K409" t="n">
        <v>0</v>
      </c>
      <c r="L409" t="n">
        <v>0</v>
      </c>
      <c r="M409" t="n">
        <v>0</v>
      </c>
      <c r="N409" t="n">
        <v>0</v>
      </c>
      <c r="O409" t="n">
        <v>0</v>
      </c>
      <c r="P409" t="n">
        <v>0</v>
      </c>
      <c r="Q409" t="n">
        <v>0</v>
      </c>
      <c r="R409" s="2" t="inlineStr"/>
    </row>
    <row r="410" ht="15" customHeight="1">
      <c r="A410" t="inlineStr">
        <is>
          <t>A 47676-2025</t>
        </is>
      </c>
      <c r="B410" s="1" t="n">
        <v>45931.57756944445</v>
      </c>
      <c r="C410" s="1" t="n">
        <v>46105</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47066-2023</t>
        </is>
      </c>
      <c r="B411" s="1" t="n">
        <v>45201</v>
      </c>
      <c r="C411" s="1" t="n">
        <v>46105</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42410-2024</t>
        </is>
      </c>
      <c r="B412" s="1" t="n">
        <v>45565</v>
      </c>
      <c r="C412" s="1" t="n">
        <v>46105</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48489-2025</t>
        </is>
      </c>
      <c r="B413" s="1" t="n">
        <v>45936.36637731481</v>
      </c>
      <c r="C413" s="1" t="n">
        <v>46105</v>
      </c>
      <c r="D413" t="inlineStr">
        <is>
          <t>ÖREBRO LÄN</t>
        </is>
      </c>
      <c r="E413" t="inlineStr">
        <is>
          <t>LINDESBERG</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48750-2025</t>
        </is>
      </c>
      <c r="B414" s="1" t="n">
        <v>45936.68452546297</v>
      </c>
      <c r="C414" s="1" t="n">
        <v>46105</v>
      </c>
      <c r="D414" t="inlineStr">
        <is>
          <t>ÖREBRO LÄN</t>
        </is>
      </c>
      <c r="E414" t="inlineStr">
        <is>
          <t>LINDESBERG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48495-2025</t>
        </is>
      </c>
      <c r="B415" s="1" t="n">
        <v>45936.37237268518</v>
      </c>
      <c r="C415" s="1" t="n">
        <v>46105</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48618-2025</t>
        </is>
      </c>
      <c r="B416" s="1" t="n">
        <v>45936.49026620371</v>
      </c>
      <c r="C416" s="1" t="n">
        <v>46105</v>
      </c>
      <c r="D416" t="inlineStr">
        <is>
          <t>ÖREBRO LÄN</t>
        </is>
      </c>
      <c r="E416" t="inlineStr">
        <is>
          <t>LINDESBERG</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55631-2022</t>
        </is>
      </c>
      <c r="B417" s="1" t="n">
        <v>44888.4577662037</v>
      </c>
      <c r="C417" s="1" t="n">
        <v>46105</v>
      </c>
      <c r="D417" t="inlineStr">
        <is>
          <t>ÖREBRO LÄN</t>
        </is>
      </c>
      <c r="E417" t="inlineStr">
        <is>
          <t>LINDESBERG</t>
        </is>
      </c>
      <c r="G417" t="n">
        <v>4.4</v>
      </c>
      <c r="H417" t="n">
        <v>0</v>
      </c>
      <c r="I417" t="n">
        <v>0</v>
      </c>
      <c r="J417" t="n">
        <v>0</v>
      </c>
      <c r="K417" t="n">
        <v>0</v>
      </c>
      <c r="L417" t="n">
        <v>0</v>
      </c>
      <c r="M417" t="n">
        <v>0</v>
      </c>
      <c r="N417" t="n">
        <v>0</v>
      </c>
      <c r="O417" t="n">
        <v>0</v>
      </c>
      <c r="P417" t="n">
        <v>0</v>
      </c>
      <c r="Q417" t="n">
        <v>0</v>
      </c>
      <c r="R417" s="2" t="inlineStr"/>
    </row>
    <row r="418" ht="15" customHeight="1">
      <c r="A418" t="inlineStr">
        <is>
          <t>A 36859-2025</t>
        </is>
      </c>
      <c r="B418" s="1" t="n">
        <v>45874.40503472222</v>
      </c>
      <c r="C418" s="1" t="n">
        <v>46105</v>
      </c>
      <c r="D418" t="inlineStr">
        <is>
          <t>ÖREBRO LÄN</t>
        </is>
      </c>
      <c r="E418" t="inlineStr">
        <is>
          <t>LINDESBERG</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42282-2024</t>
        </is>
      </c>
      <c r="B419" s="1" t="n">
        <v>45562.61158564815</v>
      </c>
      <c r="C419" s="1" t="n">
        <v>46105</v>
      </c>
      <c r="D419" t="inlineStr">
        <is>
          <t>ÖREBRO LÄN</t>
        </is>
      </c>
      <c r="E419" t="inlineStr">
        <is>
          <t>LINDESBERG</t>
        </is>
      </c>
      <c r="G419" t="n">
        <v>0.8</v>
      </c>
      <c r="H419" t="n">
        <v>0</v>
      </c>
      <c r="I419" t="n">
        <v>0</v>
      </c>
      <c r="J419" t="n">
        <v>0</v>
      </c>
      <c r="K419" t="n">
        <v>0</v>
      </c>
      <c r="L419" t="n">
        <v>0</v>
      </c>
      <c r="M419" t="n">
        <v>0</v>
      </c>
      <c r="N419" t="n">
        <v>0</v>
      </c>
      <c r="O419" t="n">
        <v>0</v>
      </c>
      <c r="P419" t="n">
        <v>0</v>
      </c>
      <c r="Q419" t="n">
        <v>0</v>
      </c>
      <c r="R419" s="2" t="inlineStr"/>
    </row>
    <row r="420" ht="15" customHeight="1">
      <c r="A420" t="inlineStr">
        <is>
          <t>A 42430-2024</t>
        </is>
      </c>
      <c r="B420" s="1" t="n">
        <v>45565.40700231482</v>
      </c>
      <c r="C420" s="1" t="n">
        <v>46105</v>
      </c>
      <c r="D420" t="inlineStr">
        <is>
          <t>ÖREBRO LÄN</t>
        </is>
      </c>
      <c r="E420" t="inlineStr">
        <is>
          <t>LINDESBERG</t>
        </is>
      </c>
      <c r="G420" t="n">
        <v>4</v>
      </c>
      <c r="H420" t="n">
        <v>0</v>
      </c>
      <c r="I420" t="n">
        <v>0</v>
      </c>
      <c r="J420" t="n">
        <v>0</v>
      </c>
      <c r="K420" t="n">
        <v>0</v>
      </c>
      <c r="L420" t="n">
        <v>0</v>
      </c>
      <c r="M420" t="n">
        <v>0</v>
      </c>
      <c r="N420" t="n">
        <v>0</v>
      </c>
      <c r="O420" t="n">
        <v>0</v>
      </c>
      <c r="P420" t="n">
        <v>0</v>
      </c>
      <c r="Q420" t="n">
        <v>0</v>
      </c>
      <c r="R420" s="2" t="inlineStr"/>
    </row>
    <row r="421" ht="15" customHeight="1">
      <c r="A421" t="inlineStr">
        <is>
          <t>A 48497-2025</t>
        </is>
      </c>
      <c r="B421" s="1" t="n">
        <v>45936.37523148148</v>
      </c>
      <c r="C421" s="1" t="n">
        <v>46105</v>
      </c>
      <c r="D421" t="inlineStr">
        <is>
          <t>ÖREBRO LÄN</t>
        </is>
      </c>
      <c r="E421" t="inlineStr">
        <is>
          <t>LINDESBERG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48620-2025</t>
        </is>
      </c>
      <c r="B422" s="1" t="n">
        <v>45936.49210648148</v>
      </c>
      <c r="C422" s="1" t="n">
        <v>46105</v>
      </c>
      <c r="D422" t="inlineStr">
        <is>
          <t>ÖREBRO LÄN</t>
        </is>
      </c>
      <c r="E422" t="inlineStr">
        <is>
          <t>LINDESBERG</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15822-2024</t>
        </is>
      </c>
      <c r="B423" s="1" t="n">
        <v>45404.68190972223</v>
      </c>
      <c r="C423" s="1" t="n">
        <v>46105</v>
      </c>
      <c r="D423" t="inlineStr">
        <is>
          <t>ÖREBRO LÄN</t>
        </is>
      </c>
      <c r="E423" t="inlineStr">
        <is>
          <t>LINDESBERG</t>
        </is>
      </c>
      <c r="F423" t="inlineStr">
        <is>
          <t>Sveaskog</t>
        </is>
      </c>
      <c r="G423" t="n">
        <v>6.7</v>
      </c>
      <c r="H423" t="n">
        <v>0</v>
      </c>
      <c r="I423" t="n">
        <v>0</v>
      </c>
      <c r="J423" t="n">
        <v>0</v>
      </c>
      <c r="K423" t="n">
        <v>0</v>
      </c>
      <c r="L423" t="n">
        <v>0</v>
      </c>
      <c r="M423" t="n">
        <v>0</v>
      </c>
      <c r="N423" t="n">
        <v>0</v>
      </c>
      <c r="O423" t="n">
        <v>0</v>
      </c>
      <c r="P423" t="n">
        <v>0</v>
      </c>
      <c r="Q423" t="n">
        <v>0</v>
      </c>
      <c r="R423" s="2" t="inlineStr"/>
    </row>
    <row r="424" ht="15" customHeight="1">
      <c r="A424" t="inlineStr">
        <is>
          <t>A 40038-2024</t>
        </is>
      </c>
      <c r="B424" s="1" t="n">
        <v>45553</v>
      </c>
      <c r="C424" s="1" t="n">
        <v>46105</v>
      </c>
      <c r="D424" t="inlineStr">
        <is>
          <t>ÖREBRO LÄN</t>
        </is>
      </c>
      <c r="E424" t="inlineStr">
        <is>
          <t>LINDESBERG</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37301-2025</t>
        </is>
      </c>
      <c r="B425" s="1" t="n">
        <v>45876.59166666667</v>
      </c>
      <c r="C425" s="1" t="n">
        <v>46105</v>
      </c>
      <c r="D425" t="inlineStr">
        <is>
          <t>ÖREBRO LÄN</t>
        </is>
      </c>
      <c r="E425" t="inlineStr">
        <is>
          <t>LINDESBERG</t>
        </is>
      </c>
      <c r="G425" t="n">
        <v>1.4</v>
      </c>
      <c r="H425" t="n">
        <v>0</v>
      </c>
      <c r="I425" t="n">
        <v>0</v>
      </c>
      <c r="J425" t="n">
        <v>0</v>
      </c>
      <c r="K425" t="n">
        <v>0</v>
      </c>
      <c r="L425" t="n">
        <v>0</v>
      </c>
      <c r="M425" t="n">
        <v>0</v>
      </c>
      <c r="N425" t="n">
        <v>0</v>
      </c>
      <c r="O425" t="n">
        <v>0</v>
      </c>
      <c r="P425" t="n">
        <v>0</v>
      </c>
      <c r="Q425" t="n">
        <v>0</v>
      </c>
      <c r="R425" s="2" t="inlineStr"/>
    </row>
    <row r="426" ht="15" customHeight="1">
      <c r="A426" t="inlineStr">
        <is>
          <t>A 48953-2025</t>
        </is>
      </c>
      <c r="B426" s="1" t="n">
        <v>45937.54697916667</v>
      </c>
      <c r="C426" s="1" t="n">
        <v>46105</v>
      </c>
      <c r="D426" t="inlineStr">
        <is>
          <t>ÖREBRO LÄN</t>
        </is>
      </c>
      <c r="E426" t="inlineStr">
        <is>
          <t>LINDESBERG</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48971-2025</t>
        </is>
      </c>
      <c r="B427" s="1" t="n">
        <v>45937.56420138889</v>
      </c>
      <c r="C427" s="1" t="n">
        <v>46105</v>
      </c>
      <c r="D427" t="inlineStr">
        <is>
          <t>ÖREBRO LÄN</t>
        </is>
      </c>
      <c r="E427" t="inlineStr">
        <is>
          <t>LINDESBERG</t>
        </is>
      </c>
      <c r="F427" t="inlineStr">
        <is>
          <t>Sveaskog</t>
        </is>
      </c>
      <c r="G427" t="n">
        <v>4.1</v>
      </c>
      <c r="H427" t="n">
        <v>0</v>
      </c>
      <c r="I427" t="n">
        <v>0</v>
      </c>
      <c r="J427" t="n">
        <v>0</v>
      </c>
      <c r="K427" t="n">
        <v>0</v>
      </c>
      <c r="L427" t="n">
        <v>0</v>
      </c>
      <c r="M427" t="n">
        <v>0</v>
      </c>
      <c r="N427" t="n">
        <v>0</v>
      </c>
      <c r="O427" t="n">
        <v>0</v>
      </c>
      <c r="P427" t="n">
        <v>0</v>
      </c>
      <c r="Q427" t="n">
        <v>0</v>
      </c>
      <c r="R427" s="2" t="inlineStr"/>
    </row>
    <row r="428" ht="15" customHeight="1">
      <c r="A428" t="inlineStr">
        <is>
          <t>A 48975-2025</t>
        </is>
      </c>
      <c r="B428" s="1" t="n">
        <v>45937.56798611111</v>
      </c>
      <c r="C428" s="1" t="n">
        <v>46105</v>
      </c>
      <c r="D428" t="inlineStr">
        <is>
          <t>ÖREBRO LÄN</t>
        </is>
      </c>
      <c r="E428" t="inlineStr">
        <is>
          <t>LINDESBERG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8213-2023</t>
        </is>
      </c>
      <c r="B429" s="1" t="n">
        <v>44974.55693287037</v>
      </c>
      <c r="C429" s="1" t="n">
        <v>46105</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48993-2025</t>
        </is>
      </c>
      <c r="B430" s="1" t="n">
        <v>45937.58590277778</v>
      </c>
      <c r="C430" s="1" t="n">
        <v>46105</v>
      </c>
      <c r="D430" t="inlineStr">
        <is>
          <t>ÖREBRO LÄN</t>
        </is>
      </c>
      <c r="E430" t="inlineStr">
        <is>
          <t>LINDESBERG</t>
        </is>
      </c>
      <c r="F430" t="inlineStr">
        <is>
          <t>Kyrkan</t>
        </is>
      </c>
      <c r="G430" t="n">
        <v>4</v>
      </c>
      <c r="H430" t="n">
        <v>0</v>
      </c>
      <c r="I430" t="n">
        <v>0</v>
      </c>
      <c r="J430" t="n">
        <v>0</v>
      </c>
      <c r="K430" t="n">
        <v>0</v>
      </c>
      <c r="L430" t="n">
        <v>0</v>
      </c>
      <c r="M430" t="n">
        <v>0</v>
      </c>
      <c r="N430" t="n">
        <v>0</v>
      </c>
      <c r="O430" t="n">
        <v>0</v>
      </c>
      <c r="P430" t="n">
        <v>0</v>
      </c>
      <c r="Q430" t="n">
        <v>0</v>
      </c>
      <c r="R430" s="2" t="inlineStr"/>
    </row>
    <row r="431" ht="15" customHeight="1">
      <c r="A431" t="inlineStr">
        <is>
          <t>A 49183-2025</t>
        </is>
      </c>
      <c r="B431" s="1" t="n">
        <v>45938.39741898148</v>
      </c>
      <c r="C431" s="1" t="n">
        <v>46105</v>
      </c>
      <c r="D431" t="inlineStr">
        <is>
          <t>ÖREBRO LÄN</t>
        </is>
      </c>
      <c r="E431" t="inlineStr">
        <is>
          <t>LINDESBERG</t>
        </is>
      </c>
      <c r="G431" t="n">
        <v>4.4</v>
      </c>
      <c r="H431" t="n">
        <v>0</v>
      </c>
      <c r="I431" t="n">
        <v>0</v>
      </c>
      <c r="J431" t="n">
        <v>0</v>
      </c>
      <c r="K431" t="n">
        <v>0</v>
      </c>
      <c r="L431" t="n">
        <v>0</v>
      </c>
      <c r="M431" t="n">
        <v>0</v>
      </c>
      <c r="N431" t="n">
        <v>0</v>
      </c>
      <c r="O431" t="n">
        <v>0</v>
      </c>
      <c r="P431" t="n">
        <v>0</v>
      </c>
      <c r="Q431" t="n">
        <v>0</v>
      </c>
      <c r="R431" s="2" t="inlineStr"/>
    </row>
    <row r="432" ht="15" customHeight="1">
      <c r="A432" t="inlineStr">
        <is>
          <t>A 49100-2025</t>
        </is>
      </c>
      <c r="B432" s="1" t="n">
        <v>45937.71556712963</v>
      </c>
      <c r="C432" s="1" t="n">
        <v>46105</v>
      </c>
      <c r="D432" t="inlineStr">
        <is>
          <t>ÖREBRO LÄN</t>
        </is>
      </c>
      <c r="E432" t="inlineStr">
        <is>
          <t>LINDESBERG</t>
        </is>
      </c>
      <c r="G432" t="n">
        <v>2.2</v>
      </c>
      <c r="H432" t="n">
        <v>0</v>
      </c>
      <c r="I432" t="n">
        <v>0</v>
      </c>
      <c r="J432" t="n">
        <v>0</v>
      </c>
      <c r="K432" t="n">
        <v>0</v>
      </c>
      <c r="L432" t="n">
        <v>0</v>
      </c>
      <c r="M432" t="n">
        <v>0</v>
      </c>
      <c r="N432" t="n">
        <v>0</v>
      </c>
      <c r="O432" t="n">
        <v>0</v>
      </c>
      <c r="P432" t="n">
        <v>0</v>
      </c>
      <c r="Q432" t="n">
        <v>0</v>
      </c>
      <c r="R432" s="2" t="inlineStr"/>
    </row>
    <row r="433" ht="15" customHeight="1">
      <c r="A433" t="inlineStr">
        <is>
          <t>A 37500-2025</t>
        </is>
      </c>
      <c r="B433" s="1" t="n">
        <v>45877.64776620371</v>
      </c>
      <c r="C433" s="1" t="n">
        <v>46105</v>
      </c>
      <c r="D433" t="inlineStr">
        <is>
          <t>ÖREBRO LÄN</t>
        </is>
      </c>
      <c r="E433" t="inlineStr">
        <is>
          <t>LINDESBERG</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37503-2025</t>
        </is>
      </c>
      <c r="B434" s="1" t="n">
        <v>45877.65075231482</v>
      </c>
      <c r="C434" s="1" t="n">
        <v>46105</v>
      </c>
      <c r="D434" t="inlineStr">
        <is>
          <t>ÖREBRO LÄN</t>
        </is>
      </c>
      <c r="E434" t="inlineStr">
        <is>
          <t>LINDESBERG</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37501-2025</t>
        </is>
      </c>
      <c r="B435" s="1" t="n">
        <v>45877.64847222222</v>
      </c>
      <c r="C435" s="1" t="n">
        <v>46105</v>
      </c>
      <c r="D435" t="inlineStr">
        <is>
          <t>ÖREBRO LÄN</t>
        </is>
      </c>
      <c r="E435" t="inlineStr">
        <is>
          <t>LINDESBERG</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37552-2025</t>
        </is>
      </c>
      <c r="B436" s="1" t="n">
        <v>45880.28673611111</v>
      </c>
      <c r="C436" s="1" t="n">
        <v>46105</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27702-2025</t>
        </is>
      </c>
      <c r="B437" s="1" t="n">
        <v>45813</v>
      </c>
      <c r="C437" s="1" t="n">
        <v>46105</v>
      </c>
      <c r="D437" t="inlineStr">
        <is>
          <t>ÖREBRO LÄN</t>
        </is>
      </c>
      <c r="E437" t="inlineStr">
        <is>
          <t>LINDESBERG</t>
        </is>
      </c>
      <c r="G437" t="n">
        <v>1.4</v>
      </c>
      <c r="H437" t="n">
        <v>0</v>
      </c>
      <c r="I437" t="n">
        <v>0</v>
      </c>
      <c r="J437" t="n">
        <v>0</v>
      </c>
      <c r="K437" t="n">
        <v>0</v>
      </c>
      <c r="L437" t="n">
        <v>0</v>
      </c>
      <c r="M437" t="n">
        <v>0</v>
      </c>
      <c r="N437" t="n">
        <v>0</v>
      </c>
      <c r="O437" t="n">
        <v>0</v>
      </c>
      <c r="P437" t="n">
        <v>0</v>
      </c>
      <c r="Q437" t="n">
        <v>0</v>
      </c>
      <c r="R437" s="2" t="inlineStr"/>
    </row>
    <row r="438" ht="15" customHeight="1">
      <c r="A438" t="inlineStr">
        <is>
          <t>A 48867-2025</t>
        </is>
      </c>
      <c r="B438" s="1" t="n">
        <v>45937.4484837963</v>
      </c>
      <c r="C438" s="1" t="n">
        <v>46105</v>
      </c>
      <c r="D438" t="inlineStr">
        <is>
          <t>ÖREBRO LÄN</t>
        </is>
      </c>
      <c r="E438" t="inlineStr">
        <is>
          <t>LINDESBERG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49133-2025</t>
        </is>
      </c>
      <c r="B439" s="1" t="n">
        <v>45937.92319444445</v>
      </c>
      <c r="C439" s="1" t="n">
        <v>46105</v>
      </c>
      <c r="D439" t="inlineStr">
        <is>
          <t>ÖREBRO LÄN</t>
        </is>
      </c>
      <c r="E439" t="inlineStr">
        <is>
          <t>LINDESBERG</t>
        </is>
      </c>
      <c r="G439" t="n">
        <v>5</v>
      </c>
      <c r="H439" t="n">
        <v>0</v>
      </c>
      <c r="I439" t="n">
        <v>0</v>
      </c>
      <c r="J439" t="n">
        <v>0</v>
      </c>
      <c r="K439" t="n">
        <v>0</v>
      </c>
      <c r="L439" t="n">
        <v>0</v>
      </c>
      <c r="M439" t="n">
        <v>0</v>
      </c>
      <c r="N439" t="n">
        <v>0</v>
      </c>
      <c r="O439" t="n">
        <v>0</v>
      </c>
      <c r="P439" t="n">
        <v>0</v>
      </c>
      <c r="Q439" t="n">
        <v>0</v>
      </c>
      <c r="R439" s="2" t="inlineStr"/>
    </row>
    <row r="440" ht="15" customHeight="1">
      <c r="A440" t="inlineStr">
        <is>
          <t>A 49707-2025</t>
        </is>
      </c>
      <c r="B440" s="1" t="n">
        <v>45939.67951388889</v>
      </c>
      <c r="C440" s="1" t="n">
        <v>46105</v>
      </c>
      <c r="D440" t="inlineStr">
        <is>
          <t>ÖREBRO LÄN</t>
        </is>
      </c>
      <c r="E440" t="inlineStr">
        <is>
          <t>LINDESBERG</t>
        </is>
      </c>
      <c r="F440" t="inlineStr">
        <is>
          <t>Kommuner</t>
        </is>
      </c>
      <c r="G440" t="n">
        <v>0.6</v>
      </c>
      <c r="H440" t="n">
        <v>0</v>
      </c>
      <c r="I440" t="n">
        <v>0</v>
      </c>
      <c r="J440" t="n">
        <v>0</v>
      </c>
      <c r="K440" t="n">
        <v>0</v>
      </c>
      <c r="L440" t="n">
        <v>0</v>
      </c>
      <c r="M440" t="n">
        <v>0</v>
      </c>
      <c r="N440" t="n">
        <v>0</v>
      </c>
      <c r="O440" t="n">
        <v>0</v>
      </c>
      <c r="P440" t="n">
        <v>0</v>
      </c>
      <c r="Q440" t="n">
        <v>0</v>
      </c>
      <c r="R440" s="2" t="inlineStr"/>
    </row>
    <row r="441" ht="15" customHeight="1">
      <c r="A441" t="inlineStr">
        <is>
          <t>A 37491-2025</t>
        </is>
      </c>
      <c r="B441" s="1" t="n">
        <v>45877.64144675926</v>
      </c>
      <c r="C441" s="1" t="n">
        <v>46105</v>
      </c>
      <c r="D441" t="inlineStr">
        <is>
          <t>ÖREBRO LÄN</t>
        </is>
      </c>
      <c r="E441" t="inlineStr">
        <is>
          <t>LINDESBERG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37499-2025</t>
        </is>
      </c>
      <c r="B442" s="1" t="n">
        <v>45877.64605324074</v>
      </c>
      <c r="C442" s="1" t="n">
        <v>46105</v>
      </c>
      <c r="D442" t="inlineStr">
        <is>
          <t>ÖREBRO LÄN</t>
        </is>
      </c>
      <c r="E442" t="inlineStr">
        <is>
          <t>LINDESBERG</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37602-2025</t>
        </is>
      </c>
      <c r="B443" s="1" t="n">
        <v>45880</v>
      </c>
      <c r="C443" s="1" t="n">
        <v>46105</v>
      </c>
      <c r="D443" t="inlineStr">
        <is>
          <t>ÖREBRO LÄN</t>
        </is>
      </c>
      <c r="E443" t="inlineStr">
        <is>
          <t>LINDESBERG</t>
        </is>
      </c>
      <c r="G443" t="n">
        <v>1</v>
      </c>
      <c r="H443" t="n">
        <v>0</v>
      </c>
      <c r="I443" t="n">
        <v>0</v>
      </c>
      <c r="J443" t="n">
        <v>0</v>
      </c>
      <c r="K443" t="n">
        <v>0</v>
      </c>
      <c r="L443" t="n">
        <v>0</v>
      </c>
      <c r="M443" t="n">
        <v>0</v>
      </c>
      <c r="N443" t="n">
        <v>0</v>
      </c>
      <c r="O443" t="n">
        <v>0</v>
      </c>
      <c r="P443" t="n">
        <v>0</v>
      </c>
      <c r="Q443" t="n">
        <v>0</v>
      </c>
      <c r="R443" s="2" t="inlineStr"/>
    </row>
    <row r="444" ht="15" customHeight="1">
      <c r="A444" t="inlineStr">
        <is>
          <t>A 37625-2025</t>
        </is>
      </c>
      <c r="B444" s="1" t="n">
        <v>45880.46056712963</v>
      </c>
      <c r="C444" s="1" t="n">
        <v>46105</v>
      </c>
      <c r="D444" t="inlineStr">
        <is>
          <t>ÖREBRO LÄN</t>
        </is>
      </c>
      <c r="E444" t="inlineStr">
        <is>
          <t>LINDESBERG</t>
        </is>
      </c>
      <c r="G444" t="n">
        <v>12.5</v>
      </c>
      <c r="H444" t="n">
        <v>0</v>
      </c>
      <c r="I444" t="n">
        <v>0</v>
      </c>
      <c r="J444" t="n">
        <v>0</v>
      </c>
      <c r="K444" t="n">
        <v>0</v>
      </c>
      <c r="L444" t="n">
        <v>0</v>
      </c>
      <c r="M444" t="n">
        <v>0</v>
      </c>
      <c r="N444" t="n">
        <v>0</v>
      </c>
      <c r="O444" t="n">
        <v>0</v>
      </c>
      <c r="P444" t="n">
        <v>0</v>
      </c>
      <c r="Q444" t="n">
        <v>0</v>
      </c>
      <c r="R444" s="2" t="inlineStr"/>
    </row>
    <row r="445" ht="15" customHeight="1">
      <c r="A445" t="inlineStr">
        <is>
          <t>A 37553-2025</t>
        </is>
      </c>
      <c r="B445" s="1" t="n">
        <v>45880.3172337963</v>
      </c>
      <c r="C445" s="1" t="n">
        <v>46105</v>
      </c>
      <c r="D445" t="inlineStr">
        <is>
          <t>ÖREBRO LÄN</t>
        </is>
      </c>
      <c r="E445" t="inlineStr">
        <is>
          <t>LINDESBERG</t>
        </is>
      </c>
      <c r="G445" t="n">
        <v>0.6</v>
      </c>
      <c r="H445" t="n">
        <v>0</v>
      </c>
      <c r="I445" t="n">
        <v>0</v>
      </c>
      <c r="J445" t="n">
        <v>0</v>
      </c>
      <c r="K445" t="n">
        <v>0</v>
      </c>
      <c r="L445" t="n">
        <v>0</v>
      </c>
      <c r="M445" t="n">
        <v>0</v>
      </c>
      <c r="N445" t="n">
        <v>0</v>
      </c>
      <c r="O445" t="n">
        <v>0</v>
      </c>
      <c r="P445" t="n">
        <v>0</v>
      </c>
      <c r="Q445" t="n">
        <v>0</v>
      </c>
      <c r="R445" s="2" t="inlineStr"/>
    </row>
    <row r="446" ht="15" customHeight="1">
      <c r="A446" t="inlineStr">
        <is>
          <t>A 37497-2025</t>
        </is>
      </c>
      <c r="B446" s="1" t="n">
        <v>45877.64431712963</v>
      </c>
      <c r="C446" s="1" t="n">
        <v>46105</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37492-2025</t>
        </is>
      </c>
      <c r="B447" s="1" t="n">
        <v>45877.64230324074</v>
      </c>
      <c r="C447" s="1" t="n">
        <v>46105</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37490-2025</t>
        </is>
      </c>
      <c r="B448" s="1" t="n">
        <v>45877.63989583333</v>
      </c>
      <c r="C448" s="1" t="n">
        <v>46105</v>
      </c>
      <c r="D448" t="inlineStr">
        <is>
          <t>ÖREBRO LÄN</t>
        </is>
      </c>
      <c r="E448" t="inlineStr">
        <is>
          <t>LINDESBERG</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49946-2025</t>
        </is>
      </c>
      <c r="B449" s="1" t="n">
        <v>45940.69862268519</v>
      </c>
      <c r="C449" s="1" t="n">
        <v>46105</v>
      </c>
      <c r="D449" t="inlineStr">
        <is>
          <t>ÖREBRO LÄN</t>
        </is>
      </c>
      <c r="E449" t="inlineStr">
        <is>
          <t>LINDESBERG</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3732-2023</t>
        </is>
      </c>
      <c r="B450" s="1" t="n">
        <v>44949</v>
      </c>
      <c r="C450" s="1" t="n">
        <v>46105</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49944-2025</t>
        </is>
      </c>
      <c r="B451" s="1" t="n">
        <v>45940.69643518519</v>
      </c>
      <c r="C451" s="1" t="n">
        <v>46105</v>
      </c>
      <c r="D451" t="inlineStr">
        <is>
          <t>ÖREBRO LÄN</t>
        </is>
      </c>
      <c r="E451" t="inlineStr">
        <is>
          <t>LINDESBERG</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49947-2025</t>
        </is>
      </c>
      <c r="B452" s="1" t="n">
        <v>45940.70018518518</v>
      </c>
      <c r="C452" s="1" t="n">
        <v>46105</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47155-2024</t>
        </is>
      </c>
      <c r="B453" s="1" t="n">
        <v>45586</v>
      </c>
      <c r="C453" s="1" t="n">
        <v>46105</v>
      </c>
      <c r="D453" t="inlineStr">
        <is>
          <t>ÖREBRO LÄN</t>
        </is>
      </c>
      <c r="E453" t="inlineStr">
        <is>
          <t>LINDESBERG</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37935-2025</t>
        </is>
      </c>
      <c r="B454" s="1" t="n">
        <v>45881.59550925926</v>
      </c>
      <c r="C454" s="1" t="n">
        <v>46105</v>
      </c>
      <c r="D454" t="inlineStr">
        <is>
          <t>ÖREBRO LÄN</t>
        </is>
      </c>
      <c r="E454" t="inlineStr">
        <is>
          <t>LINDESBERG</t>
        </is>
      </c>
      <c r="G454" t="n">
        <v>5.1</v>
      </c>
      <c r="H454" t="n">
        <v>0</v>
      </c>
      <c r="I454" t="n">
        <v>0</v>
      </c>
      <c r="J454" t="n">
        <v>0</v>
      </c>
      <c r="K454" t="n">
        <v>0</v>
      </c>
      <c r="L454" t="n">
        <v>0</v>
      </c>
      <c r="M454" t="n">
        <v>0</v>
      </c>
      <c r="N454" t="n">
        <v>0</v>
      </c>
      <c r="O454" t="n">
        <v>0</v>
      </c>
      <c r="P454" t="n">
        <v>0</v>
      </c>
      <c r="Q454" t="n">
        <v>0</v>
      </c>
      <c r="R454" s="2" t="inlineStr"/>
    </row>
    <row r="455" ht="15" customHeight="1">
      <c r="A455" t="inlineStr">
        <is>
          <t>A 49943-2025</t>
        </is>
      </c>
      <c r="B455" s="1" t="n">
        <v>45940.69521990741</v>
      </c>
      <c r="C455" s="1" t="n">
        <v>46105</v>
      </c>
      <c r="D455" t="inlineStr">
        <is>
          <t>ÖREBRO LÄN</t>
        </is>
      </c>
      <c r="E455" t="inlineStr">
        <is>
          <t>LINDESBERG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2569-2023</t>
        </is>
      </c>
      <c r="B456" s="1" t="n">
        <v>44943.73792824074</v>
      </c>
      <c r="C456" s="1" t="n">
        <v>46105</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37837-2025</t>
        </is>
      </c>
      <c r="B457" s="1" t="n">
        <v>45881.42791666667</v>
      </c>
      <c r="C457" s="1" t="n">
        <v>46105</v>
      </c>
      <c r="D457" t="inlineStr">
        <is>
          <t>ÖREBRO LÄN</t>
        </is>
      </c>
      <c r="E457" t="inlineStr">
        <is>
          <t>LINDESBERG</t>
        </is>
      </c>
      <c r="G457" t="n">
        <v>1.3</v>
      </c>
      <c r="H457" t="n">
        <v>0</v>
      </c>
      <c r="I457" t="n">
        <v>0</v>
      </c>
      <c r="J457" t="n">
        <v>0</v>
      </c>
      <c r="K457" t="n">
        <v>0</v>
      </c>
      <c r="L457" t="n">
        <v>0</v>
      </c>
      <c r="M457" t="n">
        <v>0</v>
      </c>
      <c r="N457" t="n">
        <v>0</v>
      </c>
      <c r="O457" t="n">
        <v>0</v>
      </c>
      <c r="P457" t="n">
        <v>0</v>
      </c>
      <c r="Q457" t="n">
        <v>0</v>
      </c>
      <c r="R457" s="2" t="inlineStr"/>
    </row>
    <row r="458" ht="15" customHeight="1">
      <c r="A458" t="inlineStr">
        <is>
          <t>A 9966-2023</t>
        </is>
      </c>
      <c r="B458" s="1" t="n">
        <v>44979</v>
      </c>
      <c r="C458" s="1" t="n">
        <v>46105</v>
      </c>
      <c r="D458" t="inlineStr">
        <is>
          <t>ÖREBRO LÄN</t>
        </is>
      </c>
      <c r="E458" t="inlineStr">
        <is>
          <t>LINDESBERG</t>
        </is>
      </c>
      <c r="G458" t="n">
        <v>4.1</v>
      </c>
      <c r="H458" t="n">
        <v>0</v>
      </c>
      <c r="I458" t="n">
        <v>0</v>
      </c>
      <c r="J458" t="n">
        <v>0</v>
      </c>
      <c r="K458" t="n">
        <v>0</v>
      </c>
      <c r="L458" t="n">
        <v>0</v>
      </c>
      <c r="M458" t="n">
        <v>0</v>
      </c>
      <c r="N458" t="n">
        <v>0</v>
      </c>
      <c r="O458" t="n">
        <v>0</v>
      </c>
      <c r="P458" t="n">
        <v>0</v>
      </c>
      <c r="Q458" t="n">
        <v>0</v>
      </c>
      <c r="R458" s="2" t="inlineStr"/>
    </row>
    <row r="459" ht="15" customHeight="1">
      <c r="A459" t="inlineStr">
        <is>
          <t>A 50072-2025</t>
        </is>
      </c>
      <c r="B459" s="1" t="n">
        <v>45943.45966435185</v>
      </c>
      <c r="C459" s="1" t="n">
        <v>46105</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50086-2025</t>
        </is>
      </c>
      <c r="B460" s="1" t="n">
        <v>45943.47649305555</v>
      </c>
      <c r="C460" s="1" t="n">
        <v>46105</v>
      </c>
      <c r="D460" t="inlineStr">
        <is>
          <t>ÖREBRO LÄN</t>
        </is>
      </c>
      <c r="E460" t="inlineStr">
        <is>
          <t>LINDESBERG</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50073-2025</t>
        </is>
      </c>
      <c r="B461" s="1" t="n">
        <v>45943.4603125</v>
      </c>
      <c r="C461" s="1" t="n">
        <v>46105</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38509-2025</t>
        </is>
      </c>
      <c r="B462" s="1" t="n">
        <v>45884.38858796296</v>
      </c>
      <c r="C462" s="1" t="n">
        <v>46105</v>
      </c>
      <c r="D462" t="inlineStr">
        <is>
          <t>ÖREBRO LÄN</t>
        </is>
      </c>
      <c r="E462" t="inlineStr">
        <is>
          <t>LINDESBERG</t>
        </is>
      </c>
      <c r="G462" t="n">
        <v>14.9</v>
      </c>
      <c r="H462" t="n">
        <v>0</v>
      </c>
      <c r="I462" t="n">
        <v>0</v>
      </c>
      <c r="J462" t="n">
        <v>0</v>
      </c>
      <c r="K462" t="n">
        <v>0</v>
      </c>
      <c r="L462" t="n">
        <v>0</v>
      </c>
      <c r="M462" t="n">
        <v>0</v>
      </c>
      <c r="N462" t="n">
        <v>0</v>
      </c>
      <c r="O462" t="n">
        <v>0</v>
      </c>
      <c r="P462" t="n">
        <v>0</v>
      </c>
      <c r="Q462" t="n">
        <v>0</v>
      </c>
      <c r="R462" s="2" t="inlineStr"/>
    </row>
    <row r="463" ht="15" customHeight="1">
      <c r="A463" t="inlineStr">
        <is>
          <t>A 47069-2023</t>
        </is>
      </c>
      <c r="B463" s="1" t="n">
        <v>45201</v>
      </c>
      <c r="C463" s="1" t="n">
        <v>46105</v>
      </c>
      <c r="D463" t="inlineStr">
        <is>
          <t>ÖREBRO LÄN</t>
        </is>
      </c>
      <c r="E463" t="inlineStr">
        <is>
          <t>LINDESBERG</t>
        </is>
      </c>
      <c r="F463" t="inlineStr">
        <is>
          <t>Sveaskog</t>
        </is>
      </c>
      <c r="G463" t="n">
        <v>9.4</v>
      </c>
      <c r="H463" t="n">
        <v>0</v>
      </c>
      <c r="I463" t="n">
        <v>0</v>
      </c>
      <c r="J463" t="n">
        <v>0</v>
      </c>
      <c r="K463" t="n">
        <v>0</v>
      </c>
      <c r="L463" t="n">
        <v>0</v>
      </c>
      <c r="M463" t="n">
        <v>0</v>
      </c>
      <c r="N463" t="n">
        <v>0</v>
      </c>
      <c r="O463" t="n">
        <v>0</v>
      </c>
      <c r="P463" t="n">
        <v>0</v>
      </c>
      <c r="Q463" t="n">
        <v>0</v>
      </c>
      <c r="R463" s="2" t="inlineStr"/>
    </row>
    <row r="464" ht="15" customHeight="1">
      <c r="A464" t="inlineStr">
        <is>
          <t>A 47074-2023</t>
        </is>
      </c>
      <c r="B464" s="1" t="n">
        <v>45201.60283564815</v>
      </c>
      <c r="C464" s="1" t="n">
        <v>46105</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50936-2025</t>
        </is>
      </c>
      <c r="B465" s="1" t="n">
        <v>45946.69616898148</v>
      </c>
      <c r="C465" s="1" t="n">
        <v>46105</v>
      </c>
      <c r="D465" t="inlineStr">
        <is>
          <t>ÖREBRO LÄN</t>
        </is>
      </c>
      <c r="E465" t="inlineStr">
        <is>
          <t>LINDESBERG</t>
        </is>
      </c>
      <c r="G465" t="n">
        <v>2.9</v>
      </c>
      <c r="H465" t="n">
        <v>0</v>
      </c>
      <c r="I465" t="n">
        <v>0</v>
      </c>
      <c r="J465" t="n">
        <v>0</v>
      </c>
      <c r="K465" t="n">
        <v>0</v>
      </c>
      <c r="L465" t="n">
        <v>0</v>
      </c>
      <c r="M465" t="n">
        <v>0</v>
      </c>
      <c r="N465" t="n">
        <v>0</v>
      </c>
      <c r="O465" t="n">
        <v>0</v>
      </c>
      <c r="P465" t="n">
        <v>0</v>
      </c>
      <c r="Q465" t="n">
        <v>0</v>
      </c>
      <c r="R465" s="2" t="inlineStr"/>
    </row>
    <row r="466" ht="15" customHeight="1">
      <c r="A466" t="inlineStr">
        <is>
          <t>A 50765-2025</t>
        </is>
      </c>
      <c r="B466" s="1" t="n">
        <v>45946.44216435185</v>
      </c>
      <c r="C466" s="1" t="n">
        <v>46105</v>
      </c>
      <c r="D466" t="inlineStr">
        <is>
          <t>ÖREBRO LÄN</t>
        </is>
      </c>
      <c r="E466" t="inlineStr">
        <is>
          <t>LINDESBERG</t>
        </is>
      </c>
      <c r="F466" t="inlineStr">
        <is>
          <t>Sveaskog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50933-2025</t>
        </is>
      </c>
      <c r="B467" s="1" t="n">
        <v>45946.68859953704</v>
      </c>
      <c r="C467" s="1" t="n">
        <v>46105</v>
      </c>
      <c r="D467" t="inlineStr">
        <is>
          <t>ÖREBRO LÄN</t>
        </is>
      </c>
      <c r="E467" t="inlineStr">
        <is>
          <t>LINDESBERG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53352-2023</t>
        </is>
      </c>
      <c r="B468" s="1" t="n">
        <v>45229.66262731481</v>
      </c>
      <c r="C468" s="1" t="n">
        <v>46105</v>
      </c>
      <c r="D468" t="inlineStr">
        <is>
          <t>ÖREBRO LÄN</t>
        </is>
      </c>
      <c r="E468" t="inlineStr">
        <is>
          <t>LINDESBERG</t>
        </is>
      </c>
      <c r="F468" t="inlineStr">
        <is>
          <t>Sveaskog</t>
        </is>
      </c>
      <c r="G468" t="n">
        <v>0.3</v>
      </c>
      <c r="H468" t="n">
        <v>0</v>
      </c>
      <c r="I468" t="n">
        <v>0</v>
      </c>
      <c r="J468" t="n">
        <v>0</v>
      </c>
      <c r="K468" t="n">
        <v>0</v>
      </c>
      <c r="L468" t="n">
        <v>0</v>
      </c>
      <c r="M468" t="n">
        <v>0</v>
      </c>
      <c r="N468" t="n">
        <v>0</v>
      </c>
      <c r="O468" t="n">
        <v>0</v>
      </c>
      <c r="P468" t="n">
        <v>0</v>
      </c>
      <c r="Q468" t="n">
        <v>0</v>
      </c>
      <c r="R468" s="2" t="inlineStr"/>
    </row>
    <row r="469" ht="15" customHeight="1">
      <c r="A469" t="inlineStr">
        <is>
          <t>A 15213-2025</t>
        </is>
      </c>
      <c r="B469" s="1" t="n">
        <v>45744.57851851852</v>
      </c>
      <c r="C469" s="1" t="n">
        <v>46105</v>
      </c>
      <c r="D469" t="inlineStr">
        <is>
          <t>ÖREBRO LÄN</t>
        </is>
      </c>
      <c r="E469" t="inlineStr">
        <is>
          <t>LINDESBERG</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46678-2023</t>
        </is>
      </c>
      <c r="B470" s="1" t="n">
        <v>45194</v>
      </c>
      <c r="C470" s="1" t="n">
        <v>46105</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51030-2025</t>
        </is>
      </c>
      <c r="B471" s="1" t="n">
        <v>45947.40105324074</v>
      </c>
      <c r="C471" s="1" t="n">
        <v>46105</v>
      </c>
      <c r="D471" t="inlineStr">
        <is>
          <t>ÖREBRO LÄN</t>
        </is>
      </c>
      <c r="E471" t="inlineStr">
        <is>
          <t>LINDESBERG</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26967-2022</t>
        </is>
      </c>
      <c r="B472" s="1" t="n">
        <v>44740.66997685185</v>
      </c>
      <c r="C472" s="1" t="n">
        <v>46105</v>
      </c>
      <c r="D472" t="inlineStr">
        <is>
          <t>ÖREBRO LÄN</t>
        </is>
      </c>
      <c r="E472" t="inlineStr">
        <is>
          <t>LINDESBERG</t>
        </is>
      </c>
      <c r="G472" t="n">
        <v>1.6</v>
      </c>
      <c r="H472" t="n">
        <v>0</v>
      </c>
      <c r="I472" t="n">
        <v>0</v>
      </c>
      <c r="J472" t="n">
        <v>0</v>
      </c>
      <c r="K472" t="n">
        <v>0</v>
      </c>
      <c r="L472" t="n">
        <v>0</v>
      </c>
      <c r="M472" t="n">
        <v>0</v>
      </c>
      <c r="N472" t="n">
        <v>0</v>
      </c>
      <c r="O472" t="n">
        <v>0</v>
      </c>
      <c r="P472" t="n">
        <v>0</v>
      </c>
      <c r="Q472" t="n">
        <v>0</v>
      </c>
      <c r="R472" s="2" t="inlineStr"/>
    </row>
    <row r="473" ht="15" customHeight="1">
      <c r="A473" t="inlineStr">
        <is>
          <t>A 45978-2021</t>
        </is>
      </c>
      <c r="B473" s="1" t="n">
        <v>44441.70047453704</v>
      </c>
      <c r="C473" s="1" t="n">
        <v>46105</v>
      </c>
      <c r="D473" t="inlineStr">
        <is>
          <t>ÖREBRO LÄN</t>
        </is>
      </c>
      <c r="E473" t="inlineStr">
        <is>
          <t>LINDESBERG</t>
        </is>
      </c>
      <c r="G473" t="n">
        <v>4.4</v>
      </c>
      <c r="H473" t="n">
        <v>0</v>
      </c>
      <c r="I473" t="n">
        <v>0</v>
      </c>
      <c r="J473" t="n">
        <v>0</v>
      </c>
      <c r="K473" t="n">
        <v>0</v>
      </c>
      <c r="L473" t="n">
        <v>0</v>
      </c>
      <c r="M473" t="n">
        <v>0</v>
      </c>
      <c r="N473" t="n">
        <v>0</v>
      </c>
      <c r="O473" t="n">
        <v>0</v>
      </c>
      <c r="P473" t="n">
        <v>0</v>
      </c>
      <c r="Q473" t="n">
        <v>0</v>
      </c>
      <c r="R473" s="2" t="inlineStr"/>
    </row>
    <row r="474" ht="15" customHeight="1">
      <c r="A474" t="inlineStr">
        <is>
          <t>A 51186-2025</t>
        </is>
      </c>
      <c r="B474" s="1" t="n">
        <v>45947.62353009259</v>
      </c>
      <c r="C474" s="1" t="n">
        <v>46105</v>
      </c>
      <c r="D474" t="inlineStr">
        <is>
          <t>ÖREBRO LÄN</t>
        </is>
      </c>
      <c r="E474" t="inlineStr">
        <is>
          <t>LINDESBERG</t>
        </is>
      </c>
      <c r="G474" t="n">
        <v>1</v>
      </c>
      <c r="H474" t="n">
        <v>0</v>
      </c>
      <c r="I474" t="n">
        <v>0</v>
      </c>
      <c r="J474" t="n">
        <v>0</v>
      </c>
      <c r="K474" t="n">
        <v>0</v>
      </c>
      <c r="L474" t="n">
        <v>0</v>
      </c>
      <c r="M474" t="n">
        <v>0</v>
      </c>
      <c r="N474" t="n">
        <v>0</v>
      </c>
      <c r="O474" t="n">
        <v>0</v>
      </c>
      <c r="P474" t="n">
        <v>0</v>
      </c>
      <c r="Q474" t="n">
        <v>0</v>
      </c>
      <c r="R474" s="2" t="inlineStr"/>
    </row>
    <row r="475" ht="15" customHeight="1">
      <c r="A475" t="inlineStr">
        <is>
          <t>A 14454-2024</t>
        </is>
      </c>
      <c r="B475" s="1" t="n">
        <v>45394.51289351852</v>
      </c>
      <c r="C475" s="1" t="n">
        <v>46105</v>
      </c>
      <c r="D475" t="inlineStr">
        <is>
          <t>ÖREBRO LÄN</t>
        </is>
      </c>
      <c r="E475" t="inlineStr">
        <is>
          <t>LINDESBERG</t>
        </is>
      </c>
      <c r="G475" t="n">
        <v>1.9</v>
      </c>
      <c r="H475" t="n">
        <v>0</v>
      </c>
      <c r="I475" t="n">
        <v>0</v>
      </c>
      <c r="J475" t="n">
        <v>0</v>
      </c>
      <c r="K475" t="n">
        <v>0</v>
      </c>
      <c r="L475" t="n">
        <v>0</v>
      </c>
      <c r="M475" t="n">
        <v>0</v>
      </c>
      <c r="N475" t="n">
        <v>0</v>
      </c>
      <c r="O475" t="n">
        <v>0</v>
      </c>
      <c r="P475" t="n">
        <v>0</v>
      </c>
      <c r="Q475" t="n">
        <v>0</v>
      </c>
      <c r="R475" s="2" t="inlineStr"/>
    </row>
    <row r="476" ht="15" customHeight="1">
      <c r="A476" t="inlineStr">
        <is>
          <t>A 40303-2024</t>
        </is>
      </c>
      <c r="B476" s="1" t="n">
        <v>45554.7158912037</v>
      </c>
      <c r="C476" s="1" t="n">
        <v>46105</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46484-2024</t>
        </is>
      </c>
      <c r="B477" s="1" t="n">
        <v>45582.57542824074</v>
      </c>
      <c r="C477" s="1" t="n">
        <v>46105</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19436-2025</t>
        </is>
      </c>
      <c r="B478" s="1" t="n">
        <v>45769.98449074074</v>
      </c>
      <c r="C478" s="1" t="n">
        <v>46105</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51172-2025</t>
        </is>
      </c>
      <c r="B479" s="1" t="n">
        <v>45947.60508101852</v>
      </c>
      <c r="C479" s="1" t="n">
        <v>46105</v>
      </c>
      <c r="D479" t="inlineStr">
        <is>
          <t>ÖREBRO LÄN</t>
        </is>
      </c>
      <c r="E479" t="inlineStr">
        <is>
          <t>LINDESBERG</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52102-2025</t>
        </is>
      </c>
      <c r="B480" s="1" t="n">
        <v>45952.68358796297</v>
      </c>
      <c r="C480" s="1" t="n">
        <v>46105</v>
      </c>
      <c r="D480" t="inlineStr">
        <is>
          <t>ÖREBRO LÄN</t>
        </is>
      </c>
      <c r="E480" t="inlineStr">
        <is>
          <t>LINDESBERG</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13350-2024</t>
        </is>
      </c>
      <c r="B481" s="1" t="n">
        <v>45387.24732638889</v>
      </c>
      <c r="C481" s="1" t="n">
        <v>46105</v>
      </c>
      <c r="D481" t="inlineStr">
        <is>
          <t>ÖREBRO LÄN</t>
        </is>
      </c>
      <c r="E481" t="inlineStr">
        <is>
          <t>LINDESBERG</t>
        </is>
      </c>
      <c r="G481" t="n">
        <v>4.1</v>
      </c>
      <c r="H481" t="n">
        <v>0</v>
      </c>
      <c r="I481" t="n">
        <v>0</v>
      </c>
      <c r="J481" t="n">
        <v>0</v>
      </c>
      <c r="K481" t="n">
        <v>0</v>
      </c>
      <c r="L481" t="n">
        <v>0</v>
      </c>
      <c r="M481" t="n">
        <v>0</v>
      </c>
      <c r="N481" t="n">
        <v>0</v>
      </c>
      <c r="O481" t="n">
        <v>0</v>
      </c>
      <c r="P481" t="n">
        <v>0</v>
      </c>
      <c r="Q481" t="n">
        <v>0</v>
      </c>
      <c r="R481" s="2" t="inlineStr"/>
    </row>
    <row r="482" ht="15" customHeight="1">
      <c r="A482" t="inlineStr">
        <is>
          <t>A 13351-2024</t>
        </is>
      </c>
      <c r="B482" s="1" t="n">
        <v>45387.2521875</v>
      </c>
      <c r="C482" s="1" t="n">
        <v>46105</v>
      </c>
      <c r="D482" t="inlineStr">
        <is>
          <t>ÖREBRO LÄN</t>
        </is>
      </c>
      <c r="E482" t="inlineStr">
        <is>
          <t>LINDESBERG</t>
        </is>
      </c>
      <c r="G482" t="n">
        <v>1.7</v>
      </c>
      <c r="H482" t="n">
        <v>0</v>
      </c>
      <c r="I482" t="n">
        <v>0</v>
      </c>
      <c r="J482" t="n">
        <v>0</v>
      </c>
      <c r="K482" t="n">
        <v>0</v>
      </c>
      <c r="L482" t="n">
        <v>0</v>
      </c>
      <c r="M482" t="n">
        <v>0</v>
      </c>
      <c r="N482" t="n">
        <v>0</v>
      </c>
      <c r="O482" t="n">
        <v>0</v>
      </c>
      <c r="P482" t="n">
        <v>0</v>
      </c>
      <c r="Q482" t="n">
        <v>0</v>
      </c>
      <c r="R482" s="2" t="inlineStr"/>
    </row>
    <row r="483" ht="15" customHeight="1">
      <c r="A483" t="inlineStr">
        <is>
          <t>A 52117-2025</t>
        </is>
      </c>
      <c r="B483" s="1" t="n">
        <v>45952.70765046297</v>
      </c>
      <c r="C483" s="1" t="n">
        <v>46105</v>
      </c>
      <c r="D483" t="inlineStr">
        <is>
          <t>ÖREBRO LÄN</t>
        </is>
      </c>
      <c r="E483" t="inlineStr">
        <is>
          <t>LINDESBERG</t>
        </is>
      </c>
      <c r="G483" t="n">
        <v>4.6</v>
      </c>
      <c r="H483" t="n">
        <v>0</v>
      </c>
      <c r="I483" t="n">
        <v>0</v>
      </c>
      <c r="J483" t="n">
        <v>0</v>
      </c>
      <c r="K483" t="n">
        <v>0</v>
      </c>
      <c r="L483" t="n">
        <v>0</v>
      </c>
      <c r="M483" t="n">
        <v>0</v>
      </c>
      <c r="N483" t="n">
        <v>0</v>
      </c>
      <c r="O483" t="n">
        <v>0</v>
      </c>
      <c r="P483" t="n">
        <v>0</v>
      </c>
      <c r="Q483" t="n">
        <v>0</v>
      </c>
      <c r="R483" s="2" t="inlineStr"/>
    </row>
    <row r="484" ht="15" customHeight="1">
      <c r="A484" t="inlineStr">
        <is>
          <t>A 52098-2025</t>
        </is>
      </c>
      <c r="B484" s="1" t="n">
        <v>45952.68001157408</v>
      </c>
      <c r="C484" s="1" t="n">
        <v>46105</v>
      </c>
      <c r="D484" t="inlineStr">
        <is>
          <t>ÖREBRO LÄN</t>
        </is>
      </c>
      <c r="E484" t="inlineStr">
        <is>
          <t>LINDESBERG</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52103-2025</t>
        </is>
      </c>
      <c r="B485" s="1" t="n">
        <v>45952.68439814815</v>
      </c>
      <c r="C485" s="1" t="n">
        <v>46105</v>
      </c>
      <c r="D485" t="inlineStr">
        <is>
          <t>ÖREBRO LÄN</t>
        </is>
      </c>
      <c r="E485" t="inlineStr">
        <is>
          <t>LINDESBERG</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52101-2025</t>
        </is>
      </c>
      <c r="B486" s="1" t="n">
        <v>45952.68271990741</v>
      </c>
      <c r="C486" s="1" t="n">
        <v>46105</v>
      </c>
      <c r="D486" t="inlineStr">
        <is>
          <t>ÖREBRO LÄN</t>
        </is>
      </c>
      <c r="E486" t="inlineStr">
        <is>
          <t>LINDESBERG</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52104-2025</t>
        </is>
      </c>
      <c r="B487" s="1" t="n">
        <v>45952.68524305556</v>
      </c>
      <c r="C487" s="1" t="n">
        <v>46105</v>
      </c>
      <c r="D487" t="inlineStr">
        <is>
          <t>ÖREBRO LÄN</t>
        </is>
      </c>
      <c r="E487" t="inlineStr">
        <is>
          <t>LINDESBERG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12053-2024</t>
        </is>
      </c>
      <c r="B488" s="1" t="n">
        <v>45377.48265046296</v>
      </c>
      <c r="C488" s="1" t="n">
        <v>46105</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39137-2024</t>
        </is>
      </c>
      <c r="B489" s="1" t="n">
        <v>45548</v>
      </c>
      <c r="C489" s="1" t="n">
        <v>46105</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39152-2024</t>
        </is>
      </c>
      <c r="B490" s="1" t="n">
        <v>45548</v>
      </c>
      <c r="C490" s="1" t="n">
        <v>46105</v>
      </c>
      <c r="D490" t="inlineStr">
        <is>
          <t>ÖREBRO LÄN</t>
        </is>
      </c>
      <c r="E490" t="inlineStr">
        <is>
          <t>LINDESBERG</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43529-2024</t>
        </is>
      </c>
      <c r="B491" s="1" t="n">
        <v>45569.35209490741</v>
      </c>
      <c r="C491" s="1" t="n">
        <v>46105</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52401-2025</t>
        </is>
      </c>
      <c r="B492" s="1" t="n">
        <v>45954.35075231481</v>
      </c>
      <c r="C492" s="1" t="n">
        <v>46105</v>
      </c>
      <c r="D492" t="inlineStr">
        <is>
          <t>ÖREBRO LÄN</t>
        </is>
      </c>
      <c r="E492" t="inlineStr">
        <is>
          <t>LINDESBERG</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46607-2021</t>
        </is>
      </c>
      <c r="B493" s="1" t="n">
        <v>44445.55690972223</v>
      </c>
      <c r="C493" s="1" t="n">
        <v>46105</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52298-2025</t>
        </is>
      </c>
      <c r="B494" s="1" t="n">
        <v>45953.61387731481</v>
      </c>
      <c r="C494" s="1" t="n">
        <v>46105</v>
      </c>
      <c r="D494" t="inlineStr">
        <is>
          <t>ÖREBRO LÄN</t>
        </is>
      </c>
      <c r="E494" t="inlineStr">
        <is>
          <t>LINDESBERG</t>
        </is>
      </c>
      <c r="G494" t="n">
        <v>18.2</v>
      </c>
      <c r="H494" t="n">
        <v>0</v>
      </c>
      <c r="I494" t="n">
        <v>0</v>
      </c>
      <c r="J494" t="n">
        <v>0</v>
      </c>
      <c r="K494" t="n">
        <v>0</v>
      </c>
      <c r="L494" t="n">
        <v>0</v>
      </c>
      <c r="M494" t="n">
        <v>0</v>
      </c>
      <c r="N494" t="n">
        <v>0</v>
      </c>
      <c r="O494" t="n">
        <v>0</v>
      </c>
      <c r="P494" t="n">
        <v>0</v>
      </c>
      <c r="Q494" t="n">
        <v>0</v>
      </c>
      <c r="R494" s="2" t="inlineStr"/>
    </row>
    <row r="495" ht="15" customHeight="1">
      <c r="A495" t="inlineStr">
        <is>
          <t>A 27051-2023</t>
        </is>
      </c>
      <c r="B495" s="1" t="n">
        <v>45095</v>
      </c>
      <c r="C495" s="1" t="n">
        <v>46105</v>
      </c>
      <c r="D495" t="inlineStr">
        <is>
          <t>ÖREBRO LÄN</t>
        </is>
      </c>
      <c r="E495" t="inlineStr">
        <is>
          <t>LINDESBERG</t>
        </is>
      </c>
      <c r="G495" t="n">
        <v>1.4</v>
      </c>
      <c r="H495" t="n">
        <v>0</v>
      </c>
      <c r="I495" t="n">
        <v>0</v>
      </c>
      <c r="J495" t="n">
        <v>0</v>
      </c>
      <c r="K495" t="n">
        <v>0</v>
      </c>
      <c r="L495" t="n">
        <v>0</v>
      </c>
      <c r="M495" t="n">
        <v>0</v>
      </c>
      <c r="N495" t="n">
        <v>0</v>
      </c>
      <c r="O495" t="n">
        <v>0</v>
      </c>
      <c r="P495" t="n">
        <v>0</v>
      </c>
      <c r="Q495" t="n">
        <v>0</v>
      </c>
      <c r="R495" s="2" t="inlineStr"/>
    </row>
    <row r="496" ht="15" customHeight="1">
      <c r="A496" t="inlineStr">
        <is>
          <t>A 27052-2023</t>
        </is>
      </c>
      <c r="B496" s="1" t="n">
        <v>45095</v>
      </c>
      <c r="C496" s="1" t="n">
        <v>46105</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52730-2025</t>
        </is>
      </c>
      <c r="B497" s="1" t="n">
        <v>45957.36386574074</v>
      </c>
      <c r="C497" s="1" t="n">
        <v>46105</v>
      </c>
      <c r="D497" t="inlineStr">
        <is>
          <t>ÖREBRO LÄN</t>
        </is>
      </c>
      <c r="E497" t="inlineStr">
        <is>
          <t>LINDESBERG</t>
        </is>
      </c>
      <c r="F497" t="inlineStr">
        <is>
          <t>Sveaskog</t>
        </is>
      </c>
      <c r="G497" t="n">
        <v>5</v>
      </c>
      <c r="H497" t="n">
        <v>0</v>
      </c>
      <c r="I497" t="n">
        <v>0</v>
      </c>
      <c r="J497" t="n">
        <v>0</v>
      </c>
      <c r="K497" t="n">
        <v>0</v>
      </c>
      <c r="L497" t="n">
        <v>0</v>
      </c>
      <c r="M497" t="n">
        <v>0</v>
      </c>
      <c r="N497" t="n">
        <v>0</v>
      </c>
      <c r="O497" t="n">
        <v>0</v>
      </c>
      <c r="P497" t="n">
        <v>0</v>
      </c>
      <c r="Q497" t="n">
        <v>0</v>
      </c>
      <c r="R497" s="2" t="inlineStr"/>
    </row>
    <row r="498" ht="15" customHeight="1">
      <c r="A498" t="inlineStr">
        <is>
          <t>A 58710-2023</t>
        </is>
      </c>
      <c r="B498" s="1" t="n">
        <v>45251.696875</v>
      </c>
      <c r="C498" s="1" t="n">
        <v>46105</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5772-2023</t>
        </is>
      </c>
      <c r="B499" s="1" t="n">
        <v>44963.37709490741</v>
      </c>
      <c r="C499" s="1" t="n">
        <v>46105</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53187-2025</t>
        </is>
      </c>
      <c r="B500" s="1" t="n">
        <v>45958.55577546296</v>
      </c>
      <c r="C500" s="1" t="n">
        <v>46105</v>
      </c>
      <c r="D500" t="inlineStr">
        <is>
          <t>ÖREBRO LÄN</t>
        </is>
      </c>
      <c r="E500" t="inlineStr">
        <is>
          <t>LINDESBERG</t>
        </is>
      </c>
      <c r="F500" t="inlineStr">
        <is>
          <t>Kommuner</t>
        </is>
      </c>
      <c r="G500" t="n">
        <v>2.7</v>
      </c>
      <c r="H500" t="n">
        <v>0</v>
      </c>
      <c r="I500" t="n">
        <v>0</v>
      </c>
      <c r="J500" t="n">
        <v>0</v>
      </c>
      <c r="K500" t="n">
        <v>0</v>
      </c>
      <c r="L500" t="n">
        <v>0</v>
      </c>
      <c r="M500" t="n">
        <v>0</v>
      </c>
      <c r="N500" t="n">
        <v>0</v>
      </c>
      <c r="O500" t="n">
        <v>0</v>
      </c>
      <c r="P500" t="n">
        <v>0</v>
      </c>
      <c r="Q500" t="n">
        <v>0</v>
      </c>
      <c r="R500" s="2" t="inlineStr"/>
    </row>
    <row r="501" ht="15" customHeight="1">
      <c r="A501" t="inlineStr">
        <is>
          <t>A 20210-2024</t>
        </is>
      </c>
      <c r="B501" s="1" t="n">
        <v>45434.65854166666</v>
      </c>
      <c r="C501" s="1" t="n">
        <v>46105</v>
      </c>
      <c r="D501" t="inlineStr">
        <is>
          <t>ÖREBRO LÄN</t>
        </is>
      </c>
      <c r="E501" t="inlineStr">
        <is>
          <t>LINDESBERG</t>
        </is>
      </c>
      <c r="G501" t="n">
        <v>5.5</v>
      </c>
      <c r="H501" t="n">
        <v>0</v>
      </c>
      <c r="I501" t="n">
        <v>0</v>
      </c>
      <c r="J501" t="n">
        <v>0</v>
      </c>
      <c r="K501" t="n">
        <v>0</v>
      </c>
      <c r="L501" t="n">
        <v>0</v>
      </c>
      <c r="M501" t="n">
        <v>0</v>
      </c>
      <c r="N501" t="n">
        <v>0</v>
      </c>
      <c r="O501" t="n">
        <v>0</v>
      </c>
      <c r="P501" t="n">
        <v>0</v>
      </c>
      <c r="Q501" t="n">
        <v>0</v>
      </c>
      <c r="R501" s="2" t="inlineStr"/>
    </row>
    <row r="502" ht="15" customHeight="1">
      <c r="A502" t="inlineStr">
        <is>
          <t>A 52402-2025</t>
        </is>
      </c>
      <c r="B502" s="1" t="n">
        <v>45954.35387731482</v>
      </c>
      <c r="C502" s="1" t="n">
        <v>46105</v>
      </c>
      <c r="D502" t="inlineStr">
        <is>
          <t>ÖREBRO LÄN</t>
        </is>
      </c>
      <c r="E502" t="inlineStr">
        <is>
          <t>LINDESBERG</t>
        </is>
      </c>
      <c r="F502" t="inlineStr">
        <is>
          <t>Sveaskog</t>
        </is>
      </c>
      <c r="G502" t="n">
        <v>2.1</v>
      </c>
      <c r="H502" t="n">
        <v>0</v>
      </c>
      <c r="I502" t="n">
        <v>0</v>
      </c>
      <c r="J502" t="n">
        <v>0</v>
      </c>
      <c r="K502" t="n">
        <v>0</v>
      </c>
      <c r="L502" t="n">
        <v>0</v>
      </c>
      <c r="M502" t="n">
        <v>0</v>
      </c>
      <c r="N502" t="n">
        <v>0</v>
      </c>
      <c r="O502" t="n">
        <v>0</v>
      </c>
      <c r="P502" t="n">
        <v>0</v>
      </c>
      <c r="Q502" t="n">
        <v>0</v>
      </c>
      <c r="R502" s="2" t="inlineStr"/>
    </row>
    <row r="503" ht="15" customHeight="1">
      <c r="A503" t="inlineStr">
        <is>
          <t>A 26340-2022</t>
        </is>
      </c>
      <c r="B503" s="1" t="n">
        <v>44735.62539351852</v>
      </c>
      <c r="C503" s="1" t="n">
        <v>46105</v>
      </c>
      <c r="D503" t="inlineStr">
        <is>
          <t>ÖREBRO LÄN</t>
        </is>
      </c>
      <c r="E503" t="inlineStr">
        <is>
          <t>LINDESBERG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23536-2023</t>
        </is>
      </c>
      <c r="B504" s="1" t="n">
        <v>45077</v>
      </c>
      <c r="C504" s="1" t="n">
        <v>46105</v>
      </c>
      <c r="D504" t="inlineStr">
        <is>
          <t>ÖREBRO LÄN</t>
        </is>
      </c>
      <c r="E504" t="inlineStr">
        <is>
          <t>LINDESBERG</t>
        </is>
      </c>
      <c r="F504" t="inlineStr">
        <is>
          <t>Kyrkan</t>
        </is>
      </c>
      <c r="G504" t="n">
        <v>0.5</v>
      </c>
      <c r="H504" t="n">
        <v>0</v>
      </c>
      <c r="I504" t="n">
        <v>0</v>
      </c>
      <c r="J504" t="n">
        <v>0</v>
      </c>
      <c r="K504" t="n">
        <v>0</v>
      </c>
      <c r="L504" t="n">
        <v>0</v>
      </c>
      <c r="M504" t="n">
        <v>0</v>
      </c>
      <c r="N504" t="n">
        <v>0</v>
      </c>
      <c r="O504" t="n">
        <v>0</v>
      </c>
      <c r="P504" t="n">
        <v>0</v>
      </c>
      <c r="Q504" t="n">
        <v>0</v>
      </c>
      <c r="R504" s="2" t="inlineStr"/>
    </row>
    <row r="505" ht="15" customHeight="1">
      <c r="A505" t="inlineStr">
        <is>
          <t>A 61969-2023</t>
        </is>
      </c>
      <c r="B505" s="1" t="n">
        <v>45266.58394675926</v>
      </c>
      <c r="C505" s="1" t="n">
        <v>46105</v>
      </c>
      <c r="D505" t="inlineStr">
        <is>
          <t>ÖREBRO LÄN</t>
        </is>
      </c>
      <c r="E505" t="inlineStr">
        <is>
          <t>LINDESBERG</t>
        </is>
      </c>
      <c r="G505" t="n">
        <v>10.5</v>
      </c>
      <c r="H505" t="n">
        <v>0</v>
      </c>
      <c r="I505" t="n">
        <v>0</v>
      </c>
      <c r="J505" t="n">
        <v>0</v>
      </c>
      <c r="K505" t="n">
        <v>0</v>
      </c>
      <c r="L505" t="n">
        <v>0</v>
      </c>
      <c r="M505" t="n">
        <v>0</v>
      </c>
      <c r="N505" t="n">
        <v>0</v>
      </c>
      <c r="O505" t="n">
        <v>0</v>
      </c>
      <c r="P505" t="n">
        <v>0</v>
      </c>
      <c r="Q505" t="n">
        <v>0</v>
      </c>
      <c r="R505" s="2" t="inlineStr"/>
    </row>
    <row r="506" ht="15" customHeight="1">
      <c r="A506" t="inlineStr">
        <is>
          <t>A 6962-2023</t>
        </is>
      </c>
      <c r="B506" s="1" t="n">
        <v>44967.60165509259</v>
      </c>
      <c r="C506" s="1" t="n">
        <v>46105</v>
      </c>
      <c r="D506" t="inlineStr">
        <is>
          <t>ÖREBRO LÄN</t>
        </is>
      </c>
      <c r="E506" t="inlineStr">
        <is>
          <t>LINDESBERG</t>
        </is>
      </c>
      <c r="G506" t="n">
        <v>11.4</v>
      </c>
      <c r="H506" t="n">
        <v>0</v>
      </c>
      <c r="I506" t="n">
        <v>0</v>
      </c>
      <c r="J506" t="n">
        <v>0</v>
      </c>
      <c r="K506" t="n">
        <v>0</v>
      </c>
      <c r="L506" t="n">
        <v>0</v>
      </c>
      <c r="M506" t="n">
        <v>0</v>
      </c>
      <c r="N506" t="n">
        <v>0</v>
      </c>
      <c r="O506" t="n">
        <v>0</v>
      </c>
      <c r="P506" t="n">
        <v>0</v>
      </c>
      <c r="Q506" t="n">
        <v>0</v>
      </c>
      <c r="R506" s="2" t="inlineStr"/>
    </row>
    <row r="507" ht="15" customHeight="1">
      <c r="A507" t="inlineStr">
        <is>
          <t>A 53723-2025</t>
        </is>
      </c>
      <c r="B507" s="1" t="n">
        <v>45960.62986111111</v>
      </c>
      <c r="C507" s="1" t="n">
        <v>46105</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53288-2025</t>
        </is>
      </c>
      <c r="B508" s="1" t="n">
        <v>45958.79287037037</v>
      </c>
      <c r="C508" s="1" t="n">
        <v>46105</v>
      </c>
      <c r="D508" t="inlineStr">
        <is>
          <t>ÖREBRO LÄN</t>
        </is>
      </c>
      <c r="E508" t="inlineStr">
        <is>
          <t>LINDESBERG</t>
        </is>
      </c>
      <c r="G508" t="n">
        <v>2.3</v>
      </c>
      <c r="H508" t="n">
        <v>0</v>
      </c>
      <c r="I508" t="n">
        <v>0</v>
      </c>
      <c r="J508" t="n">
        <v>0</v>
      </c>
      <c r="K508" t="n">
        <v>0</v>
      </c>
      <c r="L508" t="n">
        <v>0</v>
      </c>
      <c r="M508" t="n">
        <v>0</v>
      </c>
      <c r="N508" t="n">
        <v>0</v>
      </c>
      <c r="O508" t="n">
        <v>0</v>
      </c>
      <c r="P508" t="n">
        <v>0</v>
      </c>
      <c r="Q508" t="n">
        <v>0</v>
      </c>
      <c r="R508" s="2" t="inlineStr"/>
    </row>
    <row r="509" ht="15" customHeight="1">
      <c r="A509" t="inlineStr">
        <is>
          <t>A 53721-2025</t>
        </is>
      </c>
      <c r="B509" s="1" t="n">
        <v>45960</v>
      </c>
      <c r="C509" s="1" t="n">
        <v>46105</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7180-2023</t>
        </is>
      </c>
      <c r="B510" s="1" t="n">
        <v>44970.51849537037</v>
      </c>
      <c r="C510" s="1" t="n">
        <v>46105</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54070-2025</t>
        </is>
      </c>
      <c r="B511" s="1" t="n">
        <v>45964.34680555556</v>
      </c>
      <c r="C511" s="1" t="n">
        <v>46105</v>
      </c>
      <c r="D511" t="inlineStr">
        <is>
          <t>ÖREBRO LÄN</t>
        </is>
      </c>
      <c r="E511" t="inlineStr">
        <is>
          <t>LINDESBERG</t>
        </is>
      </c>
      <c r="G511" t="n">
        <v>0.5</v>
      </c>
      <c r="H511" t="n">
        <v>0</v>
      </c>
      <c r="I511" t="n">
        <v>0</v>
      </c>
      <c r="J511" t="n">
        <v>0</v>
      </c>
      <c r="K511" t="n">
        <v>0</v>
      </c>
      <c r="L511" t="n">
        <v>0</v>
      </c>
      <c r="M511" t="n">
        <v>0</v>
      </c>
      <c r="N511" t="n">
        <v>0</v>
      </c>
      <c r="O511" t="n">
        <v>0</v>
      </c>
      <c r="P511" t="n">
        <v>0</v>
      </c>
      <c r="Q511" t="n">
        <v>0</v>
      </c>
      <c r="R511" s="2" t="inlineStr"/>
    </row>
    <row r="512" ht="15" customHeight="1">
      <c r="A512" t="inlineStr">
        <is>
          <t>A 7661-2024</t>
        </is>
      </c>
      <c r="B512" s="1" t="n">
        <v>45348</v>
      </c>
      <c r="C512" s="1" t="n">
        <v>46105</v>
      </c>
      <c r="D512" t="inlineStr">
        <is>
          <t>ÖREBRO LÄN</t>
        </is>
      </c>
      <c r="E512" t="inlineStr">
        <is>
          <t>LINDESBERG</t>
        </is>
      </c>
      <c r="G512" t="n">
        <v>4.1</v>
      </c>
      <c r="H512" t="n">
        <v>0</v>
      </c>
      <c r="I512" t="n">
        <v>0</v>
      </c>
      <c r="J512" t="n">
        <v>0</v>
      </c>
      <c r="K512" t="n">
        <v>0</v>
      </c>
      <c r="L512" t="n">
        <v>0</v>
      </c>
      <c r="M512" t="n">
        <v>0</v>
      </c>
      <c r="N512" t="n">
        <v>0</v>
      </c>
      <c r="O512" t="n">
        <v>0</v>
      </c>
      <c r="P512" t="n">
        <v>0</v>
      </c>
      <c r="Q512" t="n">
        <v>0</v>
      </c>
      <c r="R512" s="2" t="inlineStr"/>
    </row>
    <row r="513" ht="15" customHeight="1">
      <c r="A513" t="inlineStr">
        <is>
          <t>A 54250-2025</t>
        </is>
      </c>
      <c r="B513" s="1" t="n">
        <v>45964.64709490741</v>
      </c>
      <c r="C513" s="1" t="n">
        <v>46105</v>
      </c>
      <c r="D513" t="inlineStr">
        <is>
          <t>ÖREBRO LÄN</t>
        </is>
      </c>
      <c r="E513" t="inlineStr">
        <is>
          <t>LINDESBERG</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54251-2025</t>
        </is>
      </c>
      <c r="B514" s="1" t="n">
        <v>45964.64778935185</v>
      </c>
      <c r="C514" s="1" t="n">
        <v>46105</v>
      </c>
      <c r="D514" t="inlineStr">
        <is>
          <t>ÖREBRO LÄN</t>
        </is>
      </c>
      <c r="E514" t="inlineStr">
        <is>
          <t>LINDESBERG</t>
        </is>
      </c>
      <c r="F514" t="inlineStr">
        <is>
          <t>Sveaskog</t>
        </is>
      </c>
      <c r="G514" t="n">
        <v>3.2</v>
      </c>
      <c r="H514" t="n">
        <v>0</v>
      </c>
      <c r="I514" t="n">
        <v>0</v>
      </c>
      <c r="J514" t="n">
        <v>0</v>
      </c>
      <c r="K514" t="n">
        <v>0</v>
      </c>
      <c r="L514" t="n">
        <v>0</v>
      </c>
      <c r="M514" t="n">
        <v>0</v>
      </c>
      <c r="N514" t="n">
        <v>0</v>
      </c>
      <c r="O514" t="n">
        <v>0</v>
      </c>
      <c r="P514" t="n">
        <v>0</v>
      </c>
      <c r="Q514" t="n">
        <v>0</v>
      </c>
      <c r="R514" s="2" t="inlineStr"/>
    </row>
    <row r="515" ht="15" customHeight="1">
      <c r="A515" t="inlineStr">
        <is>
          <t>A 54240-2025</t>
        </is>
      </c>
      <c r="B515" s="1" t="n">
        <v>45964.62796296296</v>
      </c>
      <c r="C515" s="1" t="n">
        <v>46105</v>
      </c>
      <c r="D515" t="inlineStr">
        <is>
          <t>ÖREBRO LÄN</t>
        </is>
      </c>
      <c r="E515" t="inlineStr">
        <is>
          <t>LINDESBERG</t>
        </is>
      </c>
      <c r="G515" t="n">
        <v>3.9</v>
      </c>
      <c r="H515" t="n">
        <v>0</v>
      </c>
      <c r="I515" t="n">
        <v>0</v>
      </c>
      <c r="J515" t="n">
        <v>0</v>
      </c>
      <c r="K515" t="n">
        <v>0</v>
      </c>
      <c r="L515" t="n">
        <v>0</v>
      </c>
      <c r="M515" t="n">
        <v>0</v>
      </c>
      <c r="N515" t="n">
        <v>0</v>
      </c>
      <c r="O515" t="n">
        <v>0</v>
      </c>
      <c r="P515" t="n">
        <v>0</v>
      </c>
      <c r="Q515" t="n">
        <v>0</v>
      </c>
      <c r="R515" s="2" t="inlineStr"/>
    </row>
    <row r="516" ht="15" customHeight="1">
      <c r="A516" t="inlineStr">
        <is>
          <t>A 54072-2025</t>
        </is>
      </c>
      <c r="B516" s="1" t="n">
        <v>45964.3550925926</v>
      </c>
      <c r="C516" s="1" t="n">
        <v>46105</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28031-2023</t>
        </is>
      </c>
      <c r="B517" s="1" t="n">
        <v>45099.27354166667</v>
      </c>
      <c r="C517" s="1" t="n">
        <v>46105</v>
      </c>
      <c r="D517" t="inlineStr">
        <is>
          <t>ÖREBRO LÄN</t>
        </is>
      </c>
      <c r="E517" t="inlineStr">
        <is>
          <t>LINDESBERG</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54249-2025</t>
        </is>
      </c>
      <c r="B518" s="1" t="n">
        <v>45964.64599537037</v>
      </c>
      <c r="C518" s="1" t="n">
        <v>46105</v>
      </c>
      <c r="D518" t="inlineStr">
        <is>
          <t>ÖREBRO LÄN</t>
        </is>
      </c>
      <c r="E518" t="inlineStr">
        <is>
          <t>LINDESBERG</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46039-2024</t>
        </is>
      </c>
      <c r="B519" s="1" t="n">
        <v>45580.73525462963</v>
      </c>
      <c r="C519" s="1" t="n">
        <v>46105</v>
      </c>
      <c r="D519" t="inlineStr">
        <is>
          <t>ÖREBRO LÄN</t>
        </is>
      </c>
      <c r="E519" t="inlineStr">
        <is>
          <t>LINDESBERG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58741-2024</t>
        </is>
      </c>
      <c r="B520" s="1" t="n">
        <v>45635.69581018519</v>
      </c>
      <c r="C520" s="1" t="n">
        <v>46105</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3994-2023</t>
        </is>
      </c>
      <c r="B521" s="1" t="n">
        <v>44950</v>
      </c>
      <c r="C521" s="1" t="n">
        <v>46105</v>
      </c>
      <c r="D521" t="inlineStr">
        <is>
          <t>ÖREBRO LÄN</t>
        </is>
      </c>
      <c r="E521" t="inlineStr">
        <is>
          <t>LINDESBERG</t>
        </is>
      </c>
      <c r="G521" t="n">
        <v>4.8</v>
      </c>
      <c r="H521" t="n">
        <v>0</v>
      </c>
      <c r="I521" t="n">
        <v>0</v>
      </c>
      <c r="J521" t="n">
        <v>0</v>
      </c>
      <c r="K521" t="n">
        <v>0</v>
      </c>
      <c r="L521" t="n">
        <v>0</v>
      </c>
      <c r="M521" t="n">
        <v>0</v>
      </c>
      <c r="N521" t="n">
        <v>0</v>
      </c>
      <c r="O521" t="n">
        <v>0</v>
      </c>
      <c r="P521" t="n">
        <v>0</v>
      </c>
      <c r="Q521" t="n">
        <v>0</v>
      </c>
      <c r="R521" s="2" t="inlineStr"/>
    </row>
    <row r="522" ht="15" customHeight="1">
      <c r="A522" t="inlineStr">
        <is>
          <t>A 49094-2024</t>
        </is>
      </c>
      <c r="B522" s="1" t="n">
        <v>45594.63747685185</v>
      </c>
      <c r="C522" s="1" t="n">
        <v>46105</v>
      </c>
      <c r="D522" t="inlineStr">
        <is>
          <t>ÖREBRO LÄN</t>
        </is>
      </c>
      <c r="E522" t="inlineStr">
        <is>
          <t>LINDESBERG</t>
        </is>
      </c>
      <c r="G522" t="n">
        <v>3.8</v>
      </c>
      <c r="H522" t="n">
        <v>0</v>
      </c>
      <c r="I522" t="n">
        <v>0</v>
      </c>
      <c r="J522" t="n">
        <v>0</v>
      </c>
      <c r="K522" t="n">
        <v>0</v>
      </c>
      <c r="L522" t="n">
        <v>0</v>
      </c>
      <c r="M522" t="n">
        <v>0</v>
      </c>
      <c r="N522" t="n">
        <v>0</v>
      </c>
      <c r="O522" t="n">
        <v>0</v>
      </c>
      <c r="P522" t="n">
        <v>0</v>
      </c>
      <c r="Q522" t="n">
        <v>0</v>
      </c>
      <c r="R522" s="2" t="inlineStr"/>
    </row>
    <row r="523" ht="15" customHeight="1">
      <c r="A523" t="inlineStr">
        <is>
          <t>A 55255-2025</t>
        </is>
      </c>
      <c r="B523" s="1" t="n">
        <v>45968.63695601852</v>
      </c>
      <c r="C523" s="1" t="n">
        <v>46105</v>
      </c>
      <c r="D523" t="inlineStr">
        <is>
          <t>ÖREBRO LÄN</t>
        </is>
      </c>
      <c r="E523" t="inlineStr">
        <is>
          <t>LINDESBERG</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56907-2024</t>
        </is>
      </c>
      <c r="B524" s="1" t="n">
        <v>45628.58975694444</v>
      </c>
      <c r="C524" s="1" t="n">
        <v>46105</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7201-2024</t>
        </is>
      </c>
      <c r="B525" s="1" t="n">
        <v>45344.6027662037</v>
      </c>
      <c r="C525" s="1" t="n">
        <v>46105</v>
      </c>
      <c r="D525" t="inlineStr">
        <is>
          <t>ÖREBRO LÄN</t>
        </is>
      </c>
      <c r="E525" t="inlineStr">
        <is>
          <t>LINDESBERG</t>
        </is>
      </c>
      <c r="G525" t="n">
        <v>4.7</v>
      </c>
      <c r="H525" t="n">
        <v>0</v>
      </c>
      <c r="I525" t="n">
        <v>0</v>
      </c>
      <c r="J525" t="n">
        <v>0</v>
      </c>
      <c r="K525" t="n">
        <v>0</v>
      </c>
      <c r="L525" t="n">
        <v>0</v>
      </c>
      <c r="M525" t="n">
        <v>0</v>
      </c>
      <c r="N525" t="n">
        <v>0</v>
      </c>
      <c r="O525" t="n">
        <v>0</v>
      </c>
      <c r="P525" t="n">
        <v>0</v>
      </c>
      <c r="Q525" t="n">
        <v>0</v>
      </c>
      <c r="R525" s="2" t="inlineStr"/>
    </row>
    <row r="526" ht="15" customHeight="1">
      <c r="A526" t="inlineStr">
        <is>
          <t>A 14190-2024</t>
        </is>
      </c>
      <c r="B526" s="1" t="n">
        <v>45393.36060185185</v>
      </c>
      <c r="C526" s="1" t="n">
        <v>46105</v>
      </c>
      <c r="D526" t="inlineStr">
        <is>
          <t>ÖREBRO LÄN</t>
        </is>
      </c>
      <c r="E526" t="inlineStr">
        <is>
          <t>LINDESBERG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55065-2025</t>
        </is>
      </c>
      <c r="B527" s="1" t="n">
        <v>45967.7096875</v>
      </c>
      <c r="C527" s="1" t="n">
        <v>46105</v>
      </c>
      <c r="D527" t="inlineStr">
        <is>
          <t>ÖREBRO LÄN</t>
        </is>
      </c>
      <c r="E527" t="inlineStr">
        <is>
          <t>LINDESBERG</t>
        </is>
      </c>
      <c r="G527" t="n">
        <v>3.5</v>
      </c>
      <c r="H527" t="n">
        <v>0</v>
      </c>
      <c r="I527" t="n">
        <v>0</v>
      </c>
      <c r="J527" t="n">
        <v>0</v>
      </c>
      <c r="K527" t="n">
        <v>0</v>
      </c>
      <c r="L527" t="n">
        <v>0</v>
      </c>
      <c r="M527" t="n">
        <v>0</v>
      </c>
      <c r="N527" t="n">
        <v>0</v>
      </c>
      <c r="O527" t="n">
        <v>0</v>
      </c>
      <c r="P527" t="n">
        <v>0</v>
      </c>
      <c r="Q527" t="n">
        <v>0</v>
      </c>
      <c r="R527" s="2" t="inlineStr"/>
    </row>
    <row r="528" ht="15" customHeight="1">
      <c r="A528" t="inlineStr">
        <is>
          <t>A 55477-2025</t>
        </is>
      </c>
      <c r="B528" s="1" t="n">
        <v>45971.56197916667</v>
      </c>
      <c r="C528" s="1" t="n">
        <v>46105</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17087-2023</t>
        </is>
      </c>
      <c r="B529" s="1" t="n">
        <v>45034.5174537037</v>
      </c>
      <c r="C529" s="1" t="n">
        <v>46105</v>
      </c>
      <c r="D529" t="inlineStr">
        <is>
          <t>ÖREBRO LÄN</t>
        </is>
      </c>
      <c r="E529" t="inlineStr">
        <is>
          <t>LINDESBERG</t>
        </is>
      </c>
      <c r="G529" t="n">
        <v>2.7</v>
      </c>
      <c r="H529" t="n">
        <v>0</v>
      </c>
      <c r="I529" t="n">
        <v>0</v>
      </c>
      <c r="J529" t="n">
        <v>0</v>
      </c>
      <c r="K529" t="n">
        <v>0</v>
      </c>
      <c r="L529" t="n">
        <v>0</v>
      </c>
      <c r="M529" t="n">
        <v>0</v>
      </c>
      <c r="N529" t="n">
        <v>0</v>
      </c>
      <c r="O529" t="n">
        <v>0</v>
      </c>
      <c r="P529" t="n">
        <v>0</v>
      </c>
      <c r="Q529" t="n">
        <v>0</v>
      </c>
      <c r="R529" s="2" t="inlineStr"/>
    </row>
    <row r="530" ht="15" customHeight="1">
      <c r="A530" t="inlineStr">
        <is>
          <t>A 55490-2025</t>
        </is>
      </c>
      <c r="B530" s="1" t="n">
        <v>45971.57659722222</v>
      </c>
      <c r="C530" s="1" t="n">
        <v>46105</v>
      </c>
      <c r="D530" t="inlineStr">
        <is>
          <t>ÖREBRO LÄN</t>
        </is>
      </c>
      <c r="E530" t="inlineStr">
        <is>
          <t>LINDESBERG</t>
        </is>
      </c>
      <c r="G530" t="n">
        <v>1.1</v>
      </c>
      <c r="H530" t="n">
        <v>0</v>
      </c>
      <c r="I530" t="n">
        <v>0</v>
      </c>
      <c r="J530" t="n">
        <v>0</v>
      </c>
      <c r="K530" t="n">
        <v>0</v>
      </c>
      <c r="L530" t="n">
        <v>0</v>
      </c>
      <c r="M530" t="n">
        <v>0</v>
      </c>
      <c r="N530" t="n">
        <v>0</v>
      </c>
      <c r="O530" t="n">
        <v>0</v>
      </c>
      <c r="P530" t="n">
        <v>0</v>
      </c>
      <c r="Q530" t="n">
        <v>0</v>
      </c>
      <c r="R530" s="2" t="inlineStr"/>
    </row>
    <row r="531" ht="15" customHeight="1">
      <c r="A531" t="inlineStr">
        <is>
          <t>A 53189-2023</t>
        </is>
      </c>
      <c r="B531" s="1" t="n">
        <v>45194</v>
      </c>
      <c r="C531" s="1" t="n">
        <v>46105</v>
      </c>
      <c r="D531" t="inlineStr">
        <is>
          <t>ÖREBRO LÄN</t>
        </is>
      </c>
      <c r="E531" t="inlineStr">
        <is>
          <t>LINDESBERG</t>
        </is>
      </c>
      <c r="G531" t="n">
        <v>2</v>
      </c>
      <c r="H531" t="n">
        <v>0</v>
      </c>
      <c r="I531" t="n">
        <v>0</v>
      </c>
      <c r="J531" t="n">
        <v>0</v>
      </c>
      <c r="K531" t="n">
        <v>0</v>
      </c>
      <c r="L531" t="n">
        <v>0</v>
      </c>
      <c r="M531" t="n">
        <v>0</v>
      </c>
      <c r="N531" t="n">
        <v>0</v>
      </c>
      <c r="O531" t="n">
        <v>0</v>
      </c>
      <c r="P531" t="n">
        <v>0</v>
      </c>
      <c r="Q531" t="n">
        <v>0</v>
      </c>
      <c r="R531" s="2" t="inlineStr"/>
    </row>
    <row r="532" ht="15" customHeight="1">
      <c r="A532" t="inlineStr">
        <is>
          <t>A 60926-2024</t>
        </is>
      </c>
      <c r="B532" s="1" t="n">
        <v>45645</v>
      </c>
      <c r="C532" s="1" t="n">
        <v>46105</v>
      </c>
      <c r="D532" t="inlineStr">
        <is>
          <t>ÖREBRO LÄN</t>
        </is>
      </c>
      <c r="E532" t="inlineStr">
        <is>
          <t>LINDESBERG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14231-2023</t>
        </is>
      </c>
      <c r="B533" s="1" t="n">
        <v>45009.64217592592</v>
      </c>
      <c r="C533" s="1" t="n">
        <v>46105</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56232-2025</t>
        </is>
      </c>
      <c r="B534" s="1" t="n">
        <v>45974.53239583333</v>
      </c>
      <c r="C534" s="1" t="n">
        <v>46105</v>
      </c>
      <c r="D534" t="inlineStr">
        <is>
          <t>ÖREBRO LÄN</t>
        </is>
      </c>
      <c r="E534" t="inlineStr">
        <is>
          <t>LINDESBERG</t>
        </is>
      </c>
      <c r="G534" t="n">
        <v>3.2</v>
      </c>
      <c r="H534" t="n">
        <v>0</v>
      </c>
      <c r="I534" t="n">
        <v>0</v>
      </c>
      <c r="J534" t="n">
        <v>0</v>
      </c>
      <c r="K534" t="n">
        <v>0</v>
      </c>
      <c r="L534" t="n">
        <v>0</v>
      </c>
      <c r="M534" t="n">
        <v>0</v>
      </c>
      <c r="N534" t="n">
        <v>0</v>
      </c>
      <c r="O534" t="n">
        <v>0</v>
      </c>
      <c r="P534" t="n">
        <v>0</v>
      </c>
      <c r="Q534" t="n">
        <v>0</v>
      </c>
      <c r="R534" s="2" t="inlineStr"/>
    </row>
    <row r="535" ht="15" customHeight="1">
      <c r="A535" t="inlineStr">
        <is>
          <t>A 62608-2021</t>
        </is>
      </c>
      <c r="B535" s="1" t="n">
        <v>44503</v>
      </c>
      <c r="C535" s="1" t="n">
        <v>46105</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35140-2023</t>
        </is>
      </c>
      <c r="B536" s="1" t="n">
        <v>45145</v>
      </c>
      <c r="C536" s="1" t="n">
        <v>46105</v>
      </c>
      <c r="D536" t="inlineStr">
        <is>
          <t>ÖREBRO LÄN</t>
        </is>
      </c>
      <c r="E536" t="inlineStr">
        <is>
          <t>LINDESBERG</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37616-2023</t>
        </is>
      </c>
      <c r="B537" s="1" t="n">
        <v>45159.44525462963</v>
      </c>
      <c r="C537" s="1" t="n">
        <v>46105</v>
      </c>
      <c r="D537" t="inlineStr">
        <is>
          <t>ÖREBRO LÄN</t>
        </is>
      </c>
      <c r="E537" t="inlineStr">
        <is>
          <t>LINDESBERG</t>
        </is>
      </c>
      <c r="G537" t="n">
        <v>5.3</v>
      </c>
      <c r="H537" t="n">
        <v>0</v>
      </c>
      <c r="I537" t="n">
        <v>0</v>
      </c>
      <c r="J537" t="n">
        <v>0</v>
      </c>
      <c r="K537" t="n">
        <v>0</v>
      </c>
      <c r="L537" t="n">
        <v>0</v>
      </c>
      <c r="M537" t="n">
        <v>0</v>
      </c>
      <c r="N537" t="n">
        <v>0</v>
      </c>
      <c r="O537" t="n">
        <v>0</v>
      </c>
      <c r="P537" t="n">
        <v>0</v>
      </c>
      <c r="Q537" t="n">
        <v>0</v>
      </c>
      <c r="R537" s="2" t="inlineStr"/>
    </row>
    <row r="538" ht="15" customHeight="1">
      <c r="A538" t="inlineStr">
        <is>
          <t>A 56308-2025</t>
        </is>
      </c>
      <c r="B538" s="1" t="n">
        <v>45974.61344907407</v>
      </c>
      <c r="C538" s="1" t="n">
        <v>46105</v>
      </c>
      <c r="D538" t="inlineStr">
        <is>
          <t>ÖREBRO LÄN</t>
        </is>
      </c>
      <c r="E538" t="inlineStr">
        <is>
          <t>LINDESBERG</t>
        </is>
      </c>
      <c r="F538" t="inlineStr">
        <is>
          <t>Sveaskog</t>
        </is>
      </c>
      <c r="G538" t="n">
        <v>2.6</v>
      </c>
      <c r="H538" t="n">
        <v>0</v>
      </c>
      <c r="I538" t="n">
        <v>0</v>
      </c>
      <c r="J538" t="n">
        <v>0</v>
      </c>
      <c r="K538" t="n">
        <v>0</v>
      </c>
      <c r="L538" t="n">
        <v>0</v>
      </c>
      <c r="M538" t="n">
        <v>0</v>
      </c>
      <c r="N538" t="n">
        <v>0</v>
      </c>
      <c r="O538" t="n">
        <v>0</v>
      </c>
      <c r="P538" t="n">
        <v>0</v>
      </c>
      <c r="Q538" t="n">
        <v>0</v>
      </c>
      <c r="R538" s="2" t="inlineStr"/>
    </row>
    <row r="539" ht="15" customHeight="1">
      <c r="A539" t="inlineStr">
        <is>
          <t>A 56226-2025</t>
        </is>
      </c>
      <c r="B539" s="1" t="n">
        <v>45974.51283564815</v>
      </c>
      <c r="C539" s="1" t="n">
        <v>46105</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56306-2025</t>
        </is>
      </c>
      <c r="B540" s="1" t="n">
        <v>45974.61217592593</v>
      </c>
      <c r="C540" s="1" t="n">
        <v>46105</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29938-2024</t>
        </is>
      </c>
      <c r="B541" s="1" t="n">
        <v>45488.41480324074</v>
      </c>
      <c r="C541" s="1" t="n">
        <v>46105</v>
      </c>
      <c r="D541" t="inlineStr">
        <is>
          <t>ÖREBRO LÄN</t>
        </is>
      </c>
      <c r="E541" t="inlineStr">
        <is>
          <t>LINDESBERG</t>
        </is>
      </c>
      <c r="G541" t="n">
        <v>4</v>
      </c>
      <c r="H541" t="n">
        <v>0</v>
      </c>
      <c r="I541" t="n">
        <v>0</v>
      </c>
      <c r="J541" t="n">
        <v>0</v>
      </c>
      <c r="K541" t="n">
        <v>0</v>
      </c>
      <c r="L541" t="n">
        <v>0</v>
      </c>
      <c r="M541" t="n">
        <v>0</v>
      </c>
      <c r="N541" t="n">
        <v>0</v>
      </c>
      <c r="O541" t="n">
        <v>0</v>
      </c>
      <c r="P541" t="n">
        <v>0</v>
      </c>
      <c r="Q541" t="n">
        <v>0</v>
      </c>
      <c r="R541" s="2" t="inlineStr"/>
    </row>
    <row r="542" ht="15" customHeight="1">
      <c r="A542" t="inlineStr">
        <is>
          <t>A 24030-2023</t>
        </is>
      </c>
      <c r="B542" s="1" t="n">
        <v>45078.82620370371</v>
      </c>
      <c r="C542" s="1" t="n">
        <v>46105</v>
      </c>
      <c r="D542" t="inlineStr">
        <is>
          <t>ÖREBRO LÄN</t>
        </is>
      </c>
      <c r="E542" t="inlineStr">
        <is>
          <t>LINDESBERG</t>
        </is>
      </c>
      <c r="G542" t="n">
        <v>1.5</v>
      </c>
      <c r="H542" t="n">
        <v>0</v>
      </c>
      <c r="I542" t="n">
        <v>0</v>
      </c>
      <c r="J542" t="n">
        <v>0</v>
      </c>
      <c r="K542" t="n">
        <v>0</v>
      </c>
      <c r="L542" t="n">
        <v>0</v>
      </c>
      <c r="M542" t="n">
        <v>0</v>
      </c>
      <c r="N542" t="n">
        <v>0</v>
      </c>
      <c r="O542" t="n">
        <v>0</v>
      </c>
      <c r="P542" t="n">
        <v>0</v>
      </c>
      <c r="Q542" t="n">
        <v>0</v>
      </c>
      <c r="R542" s="2" t="inlineStr"/>
    </row>
    <row r="543" ht="15" customHeight="1">
      <c r="A543" t="inlineStr">
        <is>
          <t>A 56982-2025</t>
        </is>
      </c>
      <c r="B543" s="1" t="n">
        <v>45978.71075231482</v>
      </c>
      <c r="C543" s="1" t="n">
        <v>46105</v>
      </c>
      <c r="D543" t="inlineStr">
        <is>
          <t>ÖREBRO LÄN</t>
        </is>
      </c>
      <c r="E543" t="inlineStr">
        <is>
          <t>LINDESBERG</t>
        </is>
      </c>
      <c r="G543" t="n">
        <v>4.3</v>
      </c>
      <c r="H543" t="n">
        <v>0</v>
      </c>
      <c r="I543" t="n">
        <v>0</v>
      </c>
      <c r="J543" t="n">
        <v>0</v>
      </c>
      <c r="K543" t="n">
        <v>0</v>
      </c>
      <c r="L543" t="n">
        <v>0</v>
      </c>
      <c r="M543" t="n">
        <v>0</v>
      </c>
      <c r="N543" t="n">
        <v>0</v>
      </c>
      <c r="O543" t="n">
        <v>0</v>
      </c>
      <c r="P543" t="n">
        <v>0</v>
      </c>
      <c r="Q543" t="n">
        <v>0</v>
      </c>
      <c r="R543" s="2" t="inlineStr"/>
    </row>
    <row r="544" ht="15" customHeight="1">
      <c r="A544" t="inlineStr">
        <is>
          <t>A 36747-2024</t>
        </is>
      </c>
      <c r="B544" s="1" t="n">
        <v>45538.34193287037</v>
      </c>
      <c r="C544" s="1" t="n">
        <v>46105</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32097-2024</t>
        </is>
      </c>
      <c r="B545" s="1" t="n">
        <v>45511.39445601852</v>
      </c>
      <c r="C545" s="1" t="n">
        <v>46105</v>
      </c>
      <c r="D545" t="inlineStr">
        <is>
          <t>ÖREBRO LÄN</t>
        </is>
      </c>
      <c r="E545" t="inlineStr">
        <is>
          <t>LINDESBERG</t>
        </is>
      </c>
      <c r="G545" t="n">
        <v>1.7</v>
      </c>
      <c r="H545" t="n">
        <v>0</v>
      </c>
      <c r="I545" t="n">
        <v>0</v>
      </c>
      <c r="J545" t="n">
        <v>0</v>
      </c>
      <c r="K545" t="n">
        <v>0</v>
      </c>
      <c r="L545" t="n">
        <v>0</v>
      </c>
      <c r="M545" t="n">
        <v>0</v>
      </c>
      <c r="N545" t="n">
        <v>0</v>
      </c>
      <c r="O545" t="n">
        <v>0</v>
      </c>
      <c r="P545" t="n">
        <v>0</v>
      </c>
      <c r="Q545" t="n">
        <v>0</v>
      </c>
      <c r="R545" s="2" t="inlineStr"/>
    </row>
    <row r="546" ht="15" customHeight="1">
      <c r="A546" t="inlineStr">
        <is>
          <t>A 32099-2024</t>
        </is>
      </c>
      <c r="B546" s="1" t="n">
        <v>45511.40297453704</v>
      </c>
      <c r="C546" s="1" t="n">
        <v>46105</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61360-2024</t>
        </is>
      </c>
      <c r="B547" s="1" t="n">
        <v>45646</v>
      </c>
      <c r="C547" s="1" t="n">
        <v>46105</v>
      </c>
      <c r="D547" t="inlineStr">
        <is>
          <t>ÖREBRO LÄN</t>
        </is>
      </c>
      <c r="E547" t="inlineStr">
        <is>
          <t>LINDESBERG</t>
        </is>
      </c>
      <c r="F547" t="inlineStr">
        <is>
          <t>Sveaskog</t>
        </is>
      </c>
      <c r="G547" t="n">
        <v>6.5</v>
      </c>
      <c r="H547" t="n">
        <v>0</v>
      </c>
      <c r="I547" t="n">
        <v>0</v>
      </c>
      <c r="J547" t="n">
        <v>0</v>
      </c>
      <c r="K547" t="n">
        <v>0</v>
      </c>
      <c r="L547" t="n">
        <v>0</v>
      </c>
      <c r="M547" t="n">
        <v>0</v>
      </c>
      <c r="N547" t="n">
        <v>0</v>
      </c>
      <c r="O547" t="n">
        <v>0</v>
      </c>
      <c r="P547" t="n">
        <v>0</v>
      </c>
      <c r="Q547" t="n">
        <v>0</v>
      </c>
      <c r="R547" s="2" t="inlineStr"/>
    </row>
    <row r="548" ht="15" customHeight="1">
      <c r="A548" t="inlineStr">
        <is>
          <t>A 3803-2023</t>
        </is>
      </c>
      <c r="B548" s="1" t="n">
        <v>44951.5830324074</v>
      </c>
      <c r="C548" s="1" t="n">
        <v>46105</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60200-2024</t>
        </is>
      </c>
      <c r="B549" s="1" t="n">
        <v>45642.66184027777</v>
      </c>
      <c r="C549" s="1" t="n">
        <v>46105</v>
      </c>
      <c r="D549" t="inlineStr">
        <is>
          <t>ÖREBRO LÄN</t>
        </is>
      </c>
      <c r="E549" t="inlineStr">
        <is>
          <t>LINDESBERG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57361-2025</t>
        </is>
      </c>
      <c r="B550" s="1" t="n">
        <v>45980.36988425926</v>
      </c>
      <c r="C550" s="1" t="n">
        <v>46105</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57299-2025</t>
        </is>
      </c>
      <c r="B551" s="1" t="n">
        <v>45979.81347222222</v>
      </c>
      <c r="C551" s="1" t="n">
        <v>46105</v>
      </c>
      <c r="D551" t="inlineStr">
        <is>
          <t>ÖREBRO LÄN</t>
        </is>
      </c>
      <c r="E551" t="inlineStr">
        <is>
          <t>LINDESBERG</t>
        </is>
      </c>
      <c r="F551" t="inlineStr">
        <is>
          <t>Sveaskog</t>
        </is>
      </c>
      <c r="G551" t="n">
        <v>4.5</v>
      </c>
      <c r="H551" t="n">
        <v>0</v>
      </c>
      <c r="I551" t="n">
        <v>0</v>
      </c>
      <c r="J551" t="n">
        <v>0</v>
      </c>
      <c r="K551" t="n">
        <v>0</v>
      </c>
      <c r="L551" t="n">
        <v>0</v>
      </c>
      <c r="M551" t="n">
        <v>0</v>
      </c>
      <c r="N551" t="n">
        <v>0</v>
      </c>
      <c r="O551" t="n">
        <v>0</v>
      </c>
      <c r="P551" t="n">
        <v>0</v>
      </c>
      <c r="Q551" t="n">
        <v>0</v>
      </c>
      <c r="R551" s="2" t="inlineStr"/>
    </row>
    <row r="552" ht="15" customHeight="1">
      <c r="A552" t="inlineStr">
        <is>
          <t>A 57359-2025</t>
        </is>
      </c>
      <c r="B552" s="1" t="n">
        <v>45980.36866898148</v>
      </c>
      <c r="C552" s="1" t="n">
        <v>46105</v>
      </c>
      <c r="D552" t="inlineStr">
        <is>
          <t>ÖREBRO LÄN</t>
        </is>
      </c>
      <c r="E552" t="inlineStr">
        <is>
          <t>LINDESBERG</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25229-2021</t>
        </is>
      </c>
      <c r="B553" s="1" t="n">
        <v>44342.39703703704</v>
      </c>
      <c r="C553" s="1" t="n">
        <v>46105</v>
      </c>
      <c r="D553" t="inlineStr">
        <is>
          <t>ÖREBRO LÄN</t>
        </is>
      </c>
      <c r="E553" t="inlineStr">
        <is>
          <t>LINDESBERG</t>
        </is>
      </c>
      <c r="F553" t="inlineStr">
        <is>
          <t>Kyrkan</t>
        </is>
      </c>
      <c r="G553" t="n">
        <v>1.5</v>
      </c>
      <c r="H553" t="n">
        <v>0</v>
      </c>
      <c r="I553" t="n">
        <v>0</v>
      </c>
      <c r="J553" t="n">
        <v>0</v>
      </c>
      <c r="K553" t="n">
        <v>0</v>
      </c>
      <c r="L553" t="n">
        <v>0</v>
      </c>
      <c r="M553" t="n">
        <v>0</v>
      </c>
      <c r="N553" t="n">
        <v>0</v>
      </c>
      <c r="O553" t="n">
        <v>0</v>
      </c>
      <c r="P553" t="n">
        <v>0</v>
      </c>
      <c r="Q553" t="n">
        <v>0</v>
      </c>
      <c r="R553" s="2" t="inlineStr"/>
    </row>
    <row r="554" ht="15" customHeight="1">
      <c r="A554" t="inlineStr">
        <is>
          <t>A 57300-2025</t>
        </is>
      </c>
      <c r="B554" s="1" t="n">
        <v>45979.81403935186</v>
      </c>
      <c r="C554" s="1" t="n">
        <v>46105</v>
      </c>
      <c r="D554" t="inlineStr">
        <is>
          <t>ÖREBRO LÄN</t>
        </is>
      </c>
      <c r="E554" t="inlineStr">
        <is>
          <t>LINDESBERG</t>
        </is>
      </c>
      <c r="F554" t="inlineStr">
        <is>
          <t>Sveaskog</t>
        </is>
      </c>
      <c r="G554" t="n">
        <v>4.9</v>
      </c>
      <c r="H554" t="n">
        <v>0</v>
      </c>
      <c r="I554" t="n">
        <v>0</v>
      </c>
      <c r="J554" t="n">
        <v>0</v>
      </c>
      <c r="K554" t="n">
        <v>0</v>
      </c>
      <c r="L554" t="n">
        <v>0</v>
      </c>
      <c r="M554" t="n">
        <v>0</v>
      </c>
      <c r="N554" t="n">
        <v>0</v>
      </c>
      <c r="O554" t="n">
        <v>0</v>
      </c>
      <c r="P554" t="n">
        <v>0</v>
      </c>
      <c r="Q554" t="n">
        <v>0</v>
      </c>
      <c r="R554" s="2" t="inlineStr"/>
    </row>
    <row r="555" ht="15" customHeight="1">
      <c r="A555" t="inlineStr">
        <is>
          <t>A 57358-2025</t>
        </is>
      </c>
      <c r="B555" s="1" t="n">
        <v>45980.36679398148</v>
      </c>
      <c r="C555" s="1" t="n">
        <v>46105</v>
      </c>
      <c r="D555" t="inlineStr">
        <is>
          <t>ÖREBRO LÄN</t>
        </is>
      </c>
      <c r="E555" t="inlineStr">
        <is>
          <t>LINDESBERG</t>
        </is>
      </c>
      <c r="F555" t="inlineStr">
        <is>
          <t>Sveaskog</t>
        </is>
      </c>
      <c r="G555" t="n">
        <v>4.2</v>
      </c>
      <c r="H555" t="n">
        <v>0</v>
      </c>
      <c r="I555" t="n">
        <v>0</v>
      </c>
      <c r="J555" t="n">
        <v>0</v>
      </c>
      <c r="K555" t="n">
        <v>0</v>
      </c>
      <c r="L555" t="n">
        <v>0</v>
      </c>
      <c r="M555" t="n">
        <v>0</v>
      </c>
      <c r="N555" t="n">
        <v>0</v>
      </c>
      <c r="O555" t="n">
        <v>0</v>
      </c>
      <c r="P555" t="n">
        <v>0</v>
      </c>
      <c r="Q555" t="n">
        <v>0</v>
      </c>
      <c r="R555" s="2" t="inlineStr"/>
    </row>
    <row r="556" ht="15" customHeight="1">
      <c r="A556" t="inlineStr">
        <is>
          <t>A 34093-2022</t>
        </is>
      </c>
      <c r="B556" s="1" t="n">
        <v>44791</v>
      </c>
      <c r="C556" s="1" t="n">
        <v>46105</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57313-2025</t>
        </is>
      </c>
      <c r="B557" s="1" t="n">
        <v>45979.97458333334</v>
      </c>
      <c r="C557" s="1" t="n">
        <v>46105</v>
      </c>
      <c r="D557" t="inlineStr">
        <is>
          <t>ÖREBRO LÄN</t>
        </is>
      </c>
      <c r="E557" t="inlineStr">
        <is>
          <t>LINDESBERG</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57314-2025</t>
        </is>
      </c>
      <c r="B558" s="1" t="n">
        <v>45980.00710648148</v>
      </c>
      <c r="C558" s="1" t="n">
        <v>46105</v>
      </c>
      <c r="D558" t="inlineStr">
        <is>
          <t>ÖREBRO LÄN</t>
        </is>
      </c>
      <c r="E558" t="inlineStr">
        <is>
          <t>LINDESBERG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57315-2025</t>
        </is>
      </c>
      <c r="B559" s="1" t="n">
        <v>45980.00753472222</v>
      </c>
      <c r="C559" s="1" t="n">
        <v>46105</v>
      </c>
      <c r="D559" t="inlineStr">
        <is>
          <t>ÖREBRO LÄN</t>
        </is>
      </c>
      <c r="E559" t="inlineStr">
        <is>
          <t>LINDESBERG</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57316-2025</t>
        </is>
      </c>
      <c r="B560" s="1" t="n">
        <v>45980.0115625</v>
      </c>
      <c r="C560" s="1" t="n">
        <v>46105</v>
      </c>
      <c r="D560" t="inlineStr">
        <is>
          <t>ÖREBRO LÄN</t>
        </is>
      </c>
      <c r="E560" t="inlineStr">
        <is>
          <t>LINDESBERG</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57320-2025</t>
        </is>
      </c>
      <c r="B561" s="1" t="n">
        <v>45980.01553240741</v>
      </c>
      <c r="C561" s="1" t="n">
        <v>46105</v>
      </c>
      <c r="D561" t="inlineStr">
        <is>
          <t>ÖREBRO LÄN</t>
        </is>
      </c>
      <c r="E561" t="inlineStr">
        <is>
          <t>LINDESBERG</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57363-2025</t>
        </is>
      </c>
      <c r="B562" s="1" t="n">
        <v>45980.3716087963</v>
      </c>
      <c r="C562" s="1" t="n">
        <v>46105</v>
      </c>
      <c r="D562" t="inlineStr">
        <is>
          <t>ÖREBRO LÄN</t>
        </is>
      </c>
      <c r="E562" t="inlineStr">
        <is>
          <t>LINDESBERG</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57317-2025</t>
        </is>
      </c>
      <c r="B563" s="1" t="n">
        <v>45980.01226851852</v>
      </c>
      <c r="C563" s="1" t="n">
        <v>46105</v>
      </c>
      <c r="D563" t="inlineStr">
        <is>
          <t>ÖREBRO LÄN</t>
        </is>
      </c>
      <c r="E563" t="inlineStr">
        <is>
          <t>LINDESBERG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57356-2025</t>
        </is>
      </c>
      <c r="B564" s="1" t="n">
        <v>45980.36633101852</v>
      </c>
      <c r="C564" s="1" t="n">
        <v>46105</v>
      </c>
      <c r="D564" t="inlineStr">
        <is>
          <t>ÖREBRO LÄN</t>
        </is>
      </c>
      <c r="E564" t="inlineStr">
        <is>
          <t>LINDESBERG</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58166-2025</t>
        </is>
      </c>
      <c r="B565" s="1" t="n">
        <v>45982.71017361111</v>
      </c>
      <c r="C565" s="1" t="n">
        <v>46105</v>
      </c>
      <c r="D565" t="inlineStr">
        <is>
          <t>ÖREBRO LÄN</t>
        </is>
      </c>
      <c r="E565" t="inlineStr">
        <is>
          <t>LINDESBERG</t>
        </is>
      </c>
      <c r="G565" t="n">
        <v>2.5</v>
      </c>
      <c r="H565" t="n">
        <v>0</v>
      </c>
      <c r="I565" t="n">
        <v>0</v>
      </c>
      <c r="J565" t="n">
        <v>0</v>
      </c>
      <c r="K565" t="n">
        <v>0</v>
      </c>
      <c r="L565" t="n">
        <v>0</v>
      </c>
      <c r="M565" t="n">
        <v>0</v>
      </c>
      <c r="N565" t="n">
        <v>0</v>
      </c>
      <c r="O565" t="n">
        <v>0</v>
      </c>
      <c r="P565" t="n">
        <v>0</v>
      </c>
      <c r="Q565" t="n">
        <v>0</v>
      </c>
      <c r="R565" s="2" t="inlineStr"/>
    </row>
    <row r="566" ht="15" customHeight="1">
      <c r="A566" t="inlineStr">
        <is>
          <t>A 58697-2024</t>
        </is>
      </c>
      <c r="B566" s="1" t="n">
        <v>45635.63706018519</v>
      </c>
      <c r="C566" s="1" t="n">
        <v>46105</v>
      </c>
      <c r="D566" t="inlineStr">
        <is>
          <t>ÖREBRO LÄN</t>
        </is>
      </c>
      <c r="E566" t="inlineStr">
        <is>
          <t>LINDESBERG</t>
        </is>
      </c>
      <c r="G566" t="n">
        <v>25.1</v>
      </c>
      <c r="H566" t="n">
        <v>0</v>
      </c>
      <c r="I566" t="n">
        <v>0</v>
      </c>
      <c r="J566" t="n">
        <v>0</v>
      </c>
      <c r="K566" t="n">
        <v>0</v>
      </c>
      <c r="L566" t="n">
        <v>0</v>
      </c>
      <c r="M566" t="n">
        <v>0</v>
      </c>
      <c r="N566" t="n">
        <v>0</v>
      </c>
      <c r="O566" t="n">
        <v>0</v>
      </c>
      <c r="P566" t="n">
        <v>0</v>
      </c>
      <c r="Q566" t="n">
        <v>0</v>
      </c>
      <c r="R566" s="2" t="inlineStr"/>
    </row>
    <row r="567" ht="15" customHeight="1">
      <c r="A567" t="inlineStr">
        <is>
          <t>A 17115-2025</t>
        </is>
      </c>
      <c r="B567" s="1" t="n">
        <v>45755.68247685185</v>
      </c>
      <c r="C567" s="1" t="n">
        <v>46105</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16054-2022</t>
        </is>
      </c>
      <c r="B568" s="1" t="n">
        <v>44665</v>
      </c>
      <c r="C568" s="1" t="n">
        <v>46105</v>
      </c>
      <c r="D568" t="inlineStr">
        <is>
          <t>ÖREBRO LÄN</t>
        </is>
      </c>
      <c r="E568" t="inlineStr">
        <is>
          <t>LINDESBERG</t>
        </is>
      </c>
      <c r="G568" t="n">
        <v>6.9</v>
      </c>
      <c r="H568" t="n">
        <v>0</v>
      </c>
      <c r="I568" t="n">
        <v>0</v>
      </c>
      <c r="J568" t="n">
        <v>0</v>
      </c>
      <c r="K568" t="n">
        <v>0</v>
      </c>
      <c r="L568" t="n">
        <v>0</v>
      </c>
      <c r="M568" t="n">
        <v>0</v>
      </c>
      <c r="N568" t="n">
        <v>0</v>
      </c>
      <c r="O568" t="n">
        <v>0</v>
      </c>
      <c r="P568" t="n">
        <v>0</v>
      </c>
      <c r="Q568" t="n">
        <v>0</v>
      </c>
      <c r="R568" s="2" t="inlineStr"/>
    </row>
    <row r="569" ht="15" customHeight="1">
      <c r="A569" t="inlineStr">
        <is>
          <t>A 36136-2023</t>
        </is>
      </c>
      <c r="B569" s="1" t="n">
        <v>45149</v>
      </c>
      <c r="C569" s="1" t="n">
        <v>46105</v>
      </c>
      <c r="D569" t="inlineStr">
        <is>
          <t>ÖREBRO LÄN</t>
        </is>
      </c>
      <c r="E569" t="inlineStr">
        <is>
          <t>LINDESBERG</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13573-2025</t>
        </is>
      </c>
      <c r="B570" s="1" t="n">
        <v>45736</v>
      </c>
      <c r="C570" s="1" t="n">
        <v>46105</v>
      </c>
      <c r="D570" t="inlineStr">
        <is>
          <t>ÖREBRO LÄN</t>
        </is>
      </c>
      <c r="E570" t="inlineStr">
        <is>
          <t>LINDESBERG</t>
        </is>
      </c>
      <c r="G570" t="n">
        <v>11.7</v>
      </c>
      <c r="H570" t="n">
        <v>0</v>
      </c>
      <c r="I570" t="n">
        <v>0</v>
      </c>
      <c r="J570" t="n">
        <v>0</v>
      </c>
      <c r="K570" t="n">
        <v>0</v>
      </c>
      <c r="L570" t="n">
        <v>0</v>
      </c>
      <c r="M570" t="n">
        <v>0</v>
      </c>
      <c r="N570" t="n">
        <v>0</v>
      </c>
      <c r="O570" t="n">
        <v>0</v>
      </c>
      <c r="P570" t="n">
        <v>0</v>
      </c>
      <c r="Q570" t="n">
        <v>0</v>
      </c>
      <c r="R570" s="2" t="inlineStr"/>
    </row>
    <row r="571" ht="15" customHeight="1">
      <c r="A571" t="inlineStr">
        <is>
          <t>A 61601-2024</t>
        </is>
      </c>
      <c r="B571" s="1" t="n">
        <v>45646.63839120371</v>
      </c>
      <c r="C571" s="1" t="n">
        <v>46105</v>
      </c>
      <c r="D571" t="inlineStr">
        <is>
          <t>ÖREBRO LÄN</t>
        </is>
      </c>
      <c r="E571" t="inlineStr">
        <is>
          <t>LINDESBERG</t>
        </is>
      </c>
      <c r="G571" t="n">
        <v>0.5</v>
      </c>
      <c r="H571" t="n">
        <v>0</v>
      </c>
      <c r="I571" t="n">
        <v>0</v>
      </c>
      <c r="J571" t="n">
        <v>0</v>
      </c>
      <c r="K571" t="n">
        <v>0</v>
      </c>
      <c r="L571" t="n">
        <v>0</v>
      </c>
      <c r="M571" t="n">
        <v>0</v>
      </c>
      <c r="N571" t="n">
        <v>0</v>
      </c>
      <c r="O571" t="n">
        <v>0</v>
      </c>
      <c r="P571" t="n">
        <v>0</v>
      </c>
      <c r="Q571" t="n">
        <v>0</v>
      </c>
      <c r="R571" s="2" t="inlineStr"/>
    </row>
    <row r="572" ht="15" customHeight="1">
      <c r="A572" t="inlineStr">
        <is>
          <t>A 40450-2023</t>
        </is>
      </c>
      <c r="B572" s="1" t="n">
        <v>45170</v>
      </c>
      <c r="C572" s="1" t="n">
        <v>46105</v>
      </c>
      <c r="D572" t="inlineStr">
        <is>
          <t>ÖREBRO LÄN</t>
        </is>
      </c>
      <c r="E572" t="inlineStr">
        <is>
          <t>LINDESBERG</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22824-2023</t>
        </is>
      </c>
      <c r="B573" s="1" t="n">
        <v>45072</v>
      </c>
      <c r="C573" s="1" t="n">
        <v>46105</v>
      </c>
      <c r="D573" t="inlineStr">
        <is>
          <t>ÖREBRO LÄN</t>
        </is>
      </c>
      <c r="E573" t="inlineStr">
        <is>
          <t>LINDESBERG</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72698-2021</t>
        </is>
      </c>
      <c r="B574" s="1" t="n">
        <v>44546.6679050926</v>
      </c>
      <c r="C574" s="1" t="n">
        <v>46105</v>
      </c>
      <c r="D574" t="inlineStr">
        <is>
          <t>ÖREBRO LÄN</t>
        </is>
      </c>
      <c r="E574" t="inlineStr">
        <is>
          <t>LINDESBERG</t>
        </is>
      </c>
      <c r="G574" t="n">
        <v>1.6</v>
      </c>
      <c r="H574" t="n">
        <v>0</v>
      </c>
      <c r="I574" t="n">
        <v>0</v>
      </c>
      <c r="J574" t="n">
        <v>0</v>
      </c>
      <c r="K574" t="n">
        <v>0</v>
      </c>
      <c r="L574" t="n">
        <v>0</v>
      </c>
      <c r="M574" t="n">
        <v>0</v>
      </c>
      <c r="N574" t="n">
        <v>0</v>
      </c>
      <c r="O574" t="n">
        <v>0</v>
      </c>
      <c r="P574" t="n">
        <v>0</v>
      </c>
      <c r="Q574" t="n">
        <v>0</v>
      </c>
      <c r="R574" s="2" t="inlineStr"/>
    </row>
    <row r="575" ht="15" customHeight="1">
      <c r="A575" t="inlineStr">
        <is>
          <t>A 34237-2023</t>
        </is>
      </c>
      <c r="B575" s="1" t="n">
        <v>45138</v>
      </c>
      <c r="C575" s="1" t="n">
        <v>46105</v>
      </c>
      <c r="D575" t="inlineStr">
        <is>
          <t>ÖREBRO LÄN</t>
        </is>
      </c>
      <c r="E575" t="inlineStr">
        <is>
          <t>LINDESBERG</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32994-2023</t>
        </is>
      </c>
      <c r="B576" s="1" t="n">
        <v>45113</v>
      </c>
      <c r="C576" s="1" t="n">
        <v>46105</v>
      </c>
      <c r="D576" t="inlineStr">
        <is>
          <t>ÖREBRO LÄN</t>
        </is>
      </c>
      <c r="E576" t="inlineStr">
        <is>
          <t>LINDESBERG</t>
        </is>
      </c>
      <c r="G576" t="n">
        <v>2.3</v>
      </c>
      <c r="H576" t="n">
        <v>0</v>
      </c>
      <c r="I576" t="n">
        <v>0</v>
      </c>
      <c r="J576" t="n">
        <v>0</v>
      </c>
      <c r="K576" t="n">
        <v>0</v>
      </c>
      <c r="L576" t="n">
        <v>0</v>
      </c>
      <c r="M576" t="n">
        <v>0</v>
      </c>
      <c r="N576" t="n">
        <v>0</v>
      </c>
      <c r="O576" t="n">
        <v>0</v>
      </c>
      <c r="P576" t="n">
        <v>0</v>
      </c>
      <c r="Q576" t="n">
        <v>0</v>
      </c>
      <c r="R576" s="2" t="inlineStr"/>
    </row>
    <row r="577" ht="15" customHeight="1">
      <c r="A577" t="inlineStr">
        <is>
          <t>A 36170-2021</t>
        </is>
      </c>
      <c r="B577" s="1" t="n">
        <v>44389</v>
      </c>
      <c r="C577" s="1" t="n">
        <v>46105</v>
      </c>
      <c r="D577" t="inlineStr">
        <is>
          <t>ÖREBRO LÄN</t>
        </is>
      </c>
      <c r="E577" t="inlineStr">
        <is>
          <t>LINDESBERG</t>
        </is>
      </c>
      <c r="G577" t="n">
        <v>0.4</v>
      </c>
      <c r="H577" t="n">
        <v>0</v>
      </c>
      <c r="I577" t="n">
        <v>0</v>
      </c>
      <c r="J577" t="n">
        <v>0</v>
      </c>
      <c r="K577" t="n">
        <v>0</v>
      </c>
      <c r="L577" t="n">
        <v>0</v>
      </c>
      <c r="M577" t="n">
        <v>0</v>
      </c>
      <c r="N577" t="n">
        <v>0</v>
      </c>
      <c r="O577" t="n">
        <v>0</v>
      </c>
      <c r="P577" t="n">
        <v>0</v>
      </c>
      <c r="Q577" t="n">
        <v>0</v>
      </c>
      <c r="R577" s="2" t="inlineStr"/>
    </row>
    <row r="578" ht="15" customHeight="1">
      <c r="A578" t="inlineStr">
        <is>
          <t>A 10822-2023</t>
        </is>
      </c>
      <c r="B578" s="1" t="n">
        <v>44990</v>
      </c>
      <c r="C578" s="1" t="n">
        <v>46105</v>
      </c>
      <c r="D578" t="inlineStr">
        <is>
          <t>ÖREBRO LÄN</t>
        </is>
      </c>
      <c r="E578" t="inlineStr">
        <is>
          <t>LINDESBERG</t>
        </is>
      </c>
      <c r="G578" t="n">
        <v>1.3</v>
      </c>
      <c r="H578" t="n">
        <v>0</v>
      </c>
      <c r="I578" t="n">
        <v>0</v>
      </c>
      <c r="J578" t="n">
        <v>0</v>
      </c>
      <c r="K578" t="n">
        <v>0</v>
      </c>
      <c r="L578" t="n">
        <v>0</v>
      </c>
      <c r="M578" t="n">
        <v>0</v>
      </c>
      <c r="N578" t="n">
        <v>0</v>
      </c>
      <c r="O578" t="n">
        <v>0</v>
      </c>
      <c r="P578" t="n">
        <v>0</v>
      </c>
      <c r="Q578" t="n">
        <v>0</v>
      </c>
      <c r="R578" s="2" t="inlineStr"/>
    </row>
    <row r="579" ht="15" customHeight="1">
      <c r="A579" t="inlineStr">
        <is>
          <t>A 58963-2025</t>
        </is>
      </c>
      <c r="B579" s="1" t="n">
        <v>45987.60012731481</v>
      </c>
      <c r="C579" s="1" t="n">
        <v>46105</v>
      </c>
      <c r="D579" t="inlineStr">
        <is>
          <t>ÖREBRO LÄN</t>
        </is>
      </c>
      <c r="E579" t="inlineStr">
        <is>
          <t>LINDESBERG</t>
        </is>
      </c>
      <c r="G579" t="n">
        <v>0.8</v>
      </c>
      <c r="H579" t="n">
        <v>0</v>
      </c>
      <c r="I579" t="n">
        <v>0</v>
      </c>
      <c r="J579" t="n">
        <v>0</v>
      </c>
      <c r="K579" t="n">
        <v>0</v>
      </c>
      <c r="L579" t="n">
        <v>0</v>
      </c>
      <c r="M579" t="n">
        <v>0</v>
      </c>
      <c r="N579" t="n">
        <v>0</v>
      </c>
      <c r="O579" t="n">
        <v>0</v>
      </c>
      <c r="P579" t="n">
        <v>0</v>
      </c>
      <c r="Q579" t="n">
        <v>0</v>
      </c>
      <c r="R579" s="2" t="inlineStr"/>
    </row>
    <row r="580" ht="15" customHeight="1">
      <c r="A580" t="inlineStr">
        <is>
          <t>A 35230-2024</t>
        </is>
      </c>
      <c r="B580" s="1" t="n">
        <v>45530</v>
      </c>
      <c r="C580" s="1" t="n">
        <v>46105</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9198-2025</t>
        </is>
      </c>
      <c r="B581" s="1" t="n">
        <v>45714</v>
      </c>
      <c r="C581" s="1" t="n">
        <v>46105</v>
      </c>
      <c r="D581" t="inlineStr">
        <is>
          <t>ÖREBRO LÄN</t>
        </is>
      </c>
      <c r="E581" t="inlineStr">
        <is>
          <t>LINDESBERG</t>
        </is>
      </c>
      <c r="G581" t="n">
        <v>3.3</v>
      </c>
      <c r="H581" t="n">
        <v>0</v>
      </c>
      <c r="I581" t="n">
        <v>0</v>
      </c>
      <c r="J581" t="n">
        <v>0</v>
      </c>
      <c r="K581" t="n">
        <v>0</v>
      </c>
      <c r="L581" t="n">
        <v>0</v>
      </c>
      <c r="M581" t="n">
        <v>0</v>
      </c>
      <c r="N581" t="n">
        <v>0</v>
      </c>
      <c r="O581" t="n">
        <v>0</v>
      </c>
      <c r="P581" t="n">
        <v>0</v>
      </c>
      <c r="Q581" t="n">
        <v>0</v>
      </c>
      <c r="R581" s="2" t="inlineStr"/>
    </row>
    <row r="582" ht="15" customHeight="1">
      <c r="A582" t="inlineStr">
        <is>
          <t>A 16618-2023</t>
        </is>
      </c>
      <c r="B582" s="1" t="n">
        <v>45030</v>
      </c>
      <c r="C582" s="1" t="n">
        <v>46105</v>
      </c>
      <c r="D582" t="inlineStr">
        <is>
          <t>ÖREBRO LÄN</t>
        </is>
      </c>
      <c r="E582" t="inlineStr">
        <is>
          <t>LINDESBERG</t>
        </is>
      </c>
      <c r="F582" t="inlineStr">
        <is>
          <t>Kommuner</t>
        </is>
      </c>
      <c r="G582" t="n">
        <v>4.6</v>
      </c>
      <c r="H582" t="n">
        <v>0</v>
      </c>
      <c r="I582" t="n">
        <v>0</v>
      </c>
      <c r="J582" t="n">
        <v>0</v>
      </c>
      <c r="K582" t="n">
        <v>0</v>
      </c>
      <c r="L582" t="n">
        <v>0</v>
      </c>
      <c r="M582" t="n">
        <v>0</v>
      </c>
      <c r="N582" t="n">
        <v>0</v>
      </c>
      <c r="O582" t="n">
        <v>0</v>
      </c>
      <c r="P582" t="n">
        <v>0</v>
      </c>
      <c r="Q582" t="n">
        <v>0</v>
      </c>
      <c r="R582" s="2" t="inlineStr"/>
    </row>
    <row r="583" ht="15" customHeight="1">
      <c r="A583" t="inlineStr">
        <is>
          <t>A 4298-2025</t>
        </is>
      </c>
      <c r="B583" s="1" t="n">
        <v>45685</v>
      </c>
      <c r="C583" s="1" t="n">
        <v>46105</v>
      </c>
      <c r="D583" t="inlineStr">
        <is>
          <t>ÖREBRO LÄN</t>
        </is>
      </c>
      <c r="E583" t="inlineStr">
        <is>
          <t>LINDESBERG</t>
        </is>
      </c>
      <c r="G583" t="n">
        <v>13.5</v>
      </c>
      <c r="H583" t="n">
        <v>0</v>
      </c>
      <c r="I583" t="n">
        <v>0</v>
      </c>
      <c r="J583" t="n">
        <v>0</v>
      </c>
      <c r="K583" t="n">
        <v>0</v>
      </c>
      <c r="L583" t="n">
        <v>0</v>
      </c>
      <c r="M583" t="n">
        <v>0</v>
      </c>
      <c r="N583" t="n">
        <v>0</v>
      </c>
      <c r="O583" t="n">
        <v>0</v>
      </c>
      <c r="P583" t="n">
        <v>0</v>
      </c>
      <c r="Q583" t="n">
        <v>0</v>
      </c>
      <c r="R583" s="2" t="inlineStr"/>
    </row>
    <row r="584" ht="15" customHeight="1">
      <c r="A584" t="inlineStr">
        <is>
          <t>A 4999-2025</t>
        </is>
      </c>
      <c r="B584" s="1" t="n">
        <v>45691.36253472222</v>
      </c>
      <c r="C584" s="1" t="n">
        <v>46105</v>
      </c>
      <c r="D584" t="inlineStr">
        <is>
          <t>ÖREBRO LÄN</t>
        </is>
      </c>
      <c r="E584" t="inlineStr">
        <is>
          <t>LINDESBERG</t>
        </is>
      </c>
      <c r="G584" t="n">
        <v>4.7</v>
      </c>
      <c r="H584" t="n">
        <v>0</v>
      </c>
      <c r="I584" t="n">
        <v>0</v>
      </c>
      <c r="J584" t="n">
        <v>0</v>
      </c>
      <c r="K584" t="n">
        <v>0</v>
      </c>
      <c r="L584" t="n">
        <v>0</v>
      </c>
      <c r="M584" t="n">
        <v>0</v>
      </c>
      <c r="N584" t="n">
        <v>0</v>
      </c>
      <c r="O584" t="n">
        <v>0</v>
      </c>
      <c r="P584" t="n">
        <v>0</v>
      </c>
      <c r="Q584" t="n">
        <v>0</v>
      </c>
      <c r="R584" s="2" t="inlineStr"/>
    </row>
    <row r="585" ht="15" customHeight="1">
      <c r="A585" t="inlineStr">
        <is>
          <t>A 15892-2025</t>
        </is>
      </c>
      <c r="B585" s="1" t="n">
        <v>45749</v>
      </c>
      <c r="C585" s="1" t="n">
        <v>46105</v>
      </c>
      <c r="D585" t="inlineStr">
        <is>
          <t>ÖREBRO LÄN</t>
        </is>
      </c>
      <c r="E585" t="inlineStr">
        <is>
          <t>LINDESBERG</t>
        </is>
      </c>
      <c r="G585" t="n">
        <v>0.8</v>
      </c>
      <c r="H585" t="n">
        <v>0</v>
      </c>
      <c r="I585" t="n">
        <v>0</v>
      </c>
      <c r="J585" t="n">
        <v>0</v>
      </c>
      <c r="K585" t="n">
        <v>0</v>
      </c>
      <c r="L585" t="n">
        <v>0</v>
      </c>
      <c r="M585" t="n">
        <v>0</v>
      </c>
      <c r="N585" t="n">
        <v>0</v>
      </c>
      <c r="O585" t="n">
        <v>0</v>
      </c>
      <c r="P585" t="n">
        <v>0</v>
      </c>
      <c r="Q585" t="n">
        <v>0</v>
      </c>
      <c r="R585" s="2" t="inlineStr"/>
    </row>
    <row r="586" ht="15" customHeight="1">
      <c r="A586" t="inlineStr">
        <is>
          <t>A 45428-2023</t>
        </is>
      </c>
      <c r="B586" s="1" t="n">
        <v>45194</v>
      </c>
      <c r="C586" s="1" t="n">
        <v>46105</v>
      </c>
      <c r="D586" t="inlineStr">
        <is>
          <t>ÖREBRO LÄN</t>
        </is>
      </c>
      <c r="E586" t="inlineStr">
        <is>
          <t>LINDESBERG</t>
        </is>
      </c>
      <c r="G586" t="n">
        <v>7.7</v>
      </c>
      <c r="H586" t="n">
        <v>0</v>
      </c>
      <c r="I586" t="n">
        <v>0</v>
      </c>
      <c r="J586" t="n">
        <v>0</v>
      </c>
      <c r="K586" t="n">
        <v>0</v>
      </c>
      <c r="L586" t="n">
        <v>0</v>
      </c>
      <c r="M586" t="n">
        <v>0</v>
      </c>
      <c r="N586" t="n">
        <v>0</v>
      </c>
      <c r="O586" t="n">
        <v>0</v>
      </c>
      <c r="P586" t="n">
        <v>0</v>
      </c>
      <c r="Q586" t="n">
        <v>0</v>
      </c>
      <c r="R586" s="2" t="inlineStr"/>
    </row>
    <row r="587" ht="15" customHeight="1">
      <c r="A587" t="inlineStr">
        <is>
          <t>A 28082-2021</t>
        </is>
      </c>
      <c r="B587" s="1" t="n">
        <v>44355</v>
      </c>
      <c r="C587" s="1" t="n">
        <v>46105</v>
      </c>
      <c r="D587" t="inlineStr">
        <is>
          <t>ÖREBRO LÄN</t>
        </is>
      </c>
      <c r="E587" t="inlineStr">
        <is>
          <t>LINDESBERG</t>
        </is>
      </c>
      <c r="F587" t="inlineStr">
        <is>
          <t>Sveaskog</t>
        </is>
      </c>
      <c r="G587" t="n">
        <v>9.9</v>
      </c>
      <c r="H587" t="n">
        <v>0</v>
      </c>
      <c r="I587" t="n">
        <v>0</v>
      </c>
      <c r="J587" t="n">
        <v>0</v>
      </c>
      <c r="K587" t="n">
        <v>0</v>
      </c>
      <c r="L587" t="n">
        <v>0</v>
      </c>
      <c r="M587" t="n">
        <v>0</v>
      </c>
      <c r="N587" t="n">
        <v>0</v>
      </c>
      <c r="O587" t="n">
        <v>0</v>
      </c>
      <c r="P587" t="n">
        <v>0</v>
      </c>
      <c r="Q587" t="n">
        <v>0</v>
      </c>
      <c r="R587" s="2" t="inlineStr"/>
    </row>
    <row r="588" ht="15" customHeight="1">
      <c r="A588" t="inlineStr">
        <is>
          <t>A 57911-2022</t>
        </is>
      </c>
      <c r="B588" s="1" t="n">
        <v>44900.36149305556</v>
      </c>
      <c r="C588" s="1" t="n">
        <v>46105</v>
      </c>
      <c r="D588" t="inlineStr">
        <is>
          <t>ÖREBRO LÄN</t>
        </is>
      </c>
      <c r="E588" t="inlineStr">
        <is>
          <t>LINDESBERG</t>
        </is>
      </c>
      <c r="G588" t="n">
        <v>4.9</v>
      </c>
      <c r="H588" t="n">
        <v>0</v>
      </c>
      <c r="I588" t="n">
        <v>0</v>
      </c>
      <c r="J588" t="n">
        <v>0</v>
      </c>
      <c r="K588" t="n">
        <v>0</v>
      </c>
      <c r="L588" t="n">
        <v>0</v>
      </c>
      <c r="M588" t="n">
        <v>0</v>
      </c>
      <c r="N588" t="n">
        <v>0</v>
      </c>
      <c r="O588" t="n">
        <v>0</v>
      </c>
      <c r="P588" t="n">
        <v>0</v>
      </c>
      <c r="Q588" t="n">
        <v>0</v>
      </c>
      <c r="R588" s="2" t="inlineStr"/>
    </row>
    <row r="589" ht="15" customHeight="1">
      <c r="A589" t="inlineStr">
        <is>
          <t>A 60400-2025</t>
        </is>
      </c>
      <c r="B589" s="1" t="n">
        <v>45995</v>
      </c>
      <c r="C589" s="1" t="n">
        <v>46105</v>
      </c>
      <c r="D589" t="inlineStr">
        <is>
          <t>ÖREBRO LÄN</t>
        </is>
      </c>
      <c r="E589" t="inlineStr">
        <is>
          <t>LINDESBERG</t>
        </is>
      </c>
      <c r="G589" t="n">
        <v>11.2</v>
      </c>
      <c r="H589" t="n">
        <v>0</v>
      </c>
      <c r="I589" t="n">
        <v>0</v>
      </c>
      <c r="J589" t="n">
        <v>0</v>
      </c>
      <c r="K589" t="n">
        <v>0</v>
      </c>
      <c r="L589" t="n">
        <v>0</v>
      </c>
      <c r="M589" t="n">
        <v>0</v>
      </c>
      <c r="N589" t="n">
        <v>0</v>
      </c>
      <c r="O589" t="n">
        <v>0</v>
      </c>
      <c r="P589" t="n">
        <v>0</v>
      </c>
      <c r="Q589" t="n">
        <v>0</v>
      </c>
      <c r="R589" s="2" t="inlineStr"/>
    </row>
    <row r="590" ht="15" customHeight="1">
      <c r="A590" t="inlineStr">
        <is>
          <t>A 60450-2025</t>
        </is>
      </c>
      <c r="B590" s="1" t="n">
        <v>45995</v>
      </c>
      <c r="C590" s="1" t="n">
        <v>46105</v>
      </c>
      <c r="D590" t="inlineStr">
        <is>
          <t>ÖREBRO LÄN</t>
        </is>
      </c>
      <c r="E590" t="inlineStr">
        <is>
          <t>LINDESBERG</t>
        </is>
      </c>
      <c r="G590" t="n">
        <v>4.1</v>
      </c>
      <c r="H590" t="n">
        <v>0</v>
      </c>
      <c r="I590" t="n">
        <v>0</v>
      </c>
      <c r="J590" t="n">
        <v>0</v>
      </c>
      <c r="K590" t="n">
        <v>0</v>
      </c>
      <c r="L590" t="n">
        <v>0</v>
      </c>
      <c r="M590" t="n">
        <v>0</v>
      </c>
      <c r="N590" t="n">
        <v>0</v>
      </c>
      <c r="O590" t="n">
        <v>0</v>
      </c>
      <c r="P590" t="n">
        <v>0</v>
      </c>
      <c r="Q590" t="n">
        <v>0</v>
      </c>
      <c r="R590" s="2" t="inlineStr"/>
    </row>
    <row r="591" ht="15" customHeight="1">
      <c r="A591" t="inlineStr">
        <is>
          <t>A 64427-2021</t>
        </is>
      </c>
      <c r="B591" s="1" t="n">
        <v>44511</v>
      </c>
      <c r="C591" s="1" t="n">
        <v>46105</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19077-2025</t>
        </is>
      </c>
      <c r="B592" s="1" t="n">
        <v>45766.33309027777</v>
      </c>
      <c r="C592" s="1" t="n">
        <v>46105</v>
      </c>
      <c r="D592" t="inlineStr">
        <is>
          <t>ÖREBRO LÄN</t>
        </is>
      </c>
      <c r="E592" t="inlineStr">
        <is>
          <t>LINDESBERG</t>
        </is>
      </c>
      <c r="G592" t="n">
        <v>0</v>
      </c>
      <c r="H592" t="n">
        <v>0</v>
      </c>
      <c r="I592" t="n">
        <v>0</v>
      </c>
      <c r="J592" t="n">
        <v>0</v>
      </c>
      <c r="K592" t="n">
        <v>0</v>
      </c>
      <c r="L592" t="n">
        <v>0</v>
      </c>
      <c r="M592" t="n">
        <v>0</v>
      </c>
      <c r="N592" t="n">
        <v>0</v>
      </c>
      <c r="O592" t="n">
        <v>0</v>
      </c>
      <c r="P592" t="n">
        <v>0</v>
      </c>
      <c r="Q592" t="n">
        <v>0</v>
      </c>
      <c r="R592" s="2" t="inlineStr"/>
    </row>
    <row r="593" ht="15" customHeight="1">
      <c r="A593" t="inlineStr">
        <is>
          <t>A 49544-2023</t>
        </is>
      </c>
      <c r="B593" s="1" t="n">
        <v>45211</v>
      </c>
      <c r="C593" s="1" t="n">
        <v>46105</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60806-2025</t>
        </is>
      </c>
      <c r="B594" s="1" t="n">
        <v>45999.43730324074</v>
      </c>
      <c r="C594" s="1" t="n">
        <v>46105</v>
      </c>
      <c r="D594" t="inlineStr">
        <is>
          <t>ÖREBRO LÄN</t>
        </is>
      </c>
      <c r="E594" t="inlineStr">
        <is>
          <t>LINDESBERG</t>
        </is>
      </c>
      <c r="G594" t="n">
        <v>7.9</v>
      </c>
      <c r="H594" t="n">
        <v>0</v>
      </c>
      <c r="I594" t="n">
        <v>0</v>
      </c>
      <c r="J594" t="n">
        <v>0</v>
      </c>
      <c r="K594" t="n">
        <v>0</v>
      </c>
      <c r="L594" t="n">
        <v>0</v>
      </c>
      <c r="M594" t="n">
        <v>0</v>
      </c>
      <c r="N594" t="n">
        <v>0</v>
      </c>
      <c r="O594" t="n">
        <v>0</v>
      </c>
      <c r="P594" t="n">
        <v>0</v>
      </c>
      <c r="Q594" t="n">
        <v>0</v>
      </c>
      <c r="R594" s="2" t="inlineStr"/>
    </row>
    <row r="595" ht="15" customHeight="1">
      <c r="A595" t="inlineStr">
        <is>
          <t>A 15094-2025</t>
        </is>
      </c>
      <c r="B595" s="1" t="n">
        <v>45744.32981481482</v>
      </c>
      <c r="C595" s="1" t="n">
        <v>46105</v>
      </c>
      <c r="D595" t="inlineStr">
        <is>
          <t>ÖREBRO LÄN</t>
        </is>
      </c>
      <c r="E595" t="inlineStr">
        <is>
          <t>LINDESBERG</t>
        </is>
      </c>
      <c r="G595" t="n">
        <v>1.2</v>
      </c>
      <c r="H595" t="n">
        <v>0</v>
      </c>
      <c r="I595" t="n">
        <v>0</v>
      </c>
      <c r="J595" t="n">
        <v>0</v>
      </c>
      <c r="K595" t="n">
        <v>0</v>
      </c>
      <c r="L595" t="n">
        <v>0</v>
      </c>
      <c r="M595" t="n">
        <v>0</v>
      </c>
      <c r="N595" t="n">
        <v>0</v>
      </c>
      <c r="O595" t="n">
        <v>0</v>
      </c>
      <c r="P595" t="n">
        <v>0</v>
      </c>
      <c r="Q595" t="n">
        <v>0</v>
      </c>
      <c r="R595" s="2" t="inlineStr"/>
    </row>
    <row r="596" ht="15" customHeight="1">
      <c r="A596" t="inlineStr">
        <is>
          <t>A 13969-2025</t>
        </is>
      </c>
      <c r="B596" s="1" t="n">
        <v>45738.43714120371</v>
      </c>
      <c r="C596" s="1" t="n">
        <v>46105</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24352-2023</t>
        </is>
      </c>
      <c r="B597" s="1" t="n">
        <v>45082.31421296296</v>
      </c>
      <c r="C597" s="1" t="n">
        <v>46105</v>
      </c>
      <c r="D597" t="inlineStr">
        <is>
          <t>ÖREBRO LÄN</t>
        </is>
      </c>
      <c r="E597" t="inlineStr">
        <is>
          <t>LINDESBERG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484-2022</t>
        </is>
      </c>
      <c r="B598" s="1" t="n">
        <v>44566</v>
      </c>
      <c r="C598" s="1" t="n">
        <v>46105</v>
      </c>
      <c r="D598" t="inlineStr">
        <is>
          <t>ÖREBRO LÄN</t>
        </is>
      </c>
      <c r="E598" t="inlineStr">
        <is>
          <t>LINDESBERG</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61761-2025</t>
        </is>
      </c>
      <c r="B599" s="1" t="n">
        <v>46002.62465277778</v>
      </c>
      <c r="C599" s="1" t="n">
        <v>46105</v>
      </c>
      <c r="D599" t="inlineStr">
        <is>
          <t>ÖREBRO LÄN</t>
        </is>
      </c>
      <c r="E599" t="inlineStr">
        <is>
          <t>LINDESBERG</t>
        </is>
      </c>
      <c r="G599" t="n">
        <v>3.8</v>
      </c>
      <c r="H599" t="n">
        <v>0</v>
      </c>
      <c r="I599" t="n">
        <v>0</v>
      </c>
      <c r="J599" t="n">
        <v>0</v>
      </c>
      <c r="K599" t="n">
        <v>0</v>
      </c>
      <c r="L599" t="n">
        <v>0</v>
      </c>
      <c r="M599" t="n">
        <v>0</v>
      </c>
      <c r="N599" t="n">
        <v>0</v>
      </c>
      <c r="O599" t="n">
        <v>0</v>
      </c>
      <c r="P599" t="n">
        <v>0</v>
      </c>
      <c r="Q599" t="n">
        <v>0</v>
      </c>
      <c r="R599" s="2" t="inlineStr"/>
    </row>
    <row r="600" ht="15" customHeight="1">
      <c r="A600" t="inlineStr">
        <is>
          <t>A 36024-2021</t>
        </is>
      </c>
      <c r="B600" s="1" t="n">
        <v>44389</v>
      </c>
      <c r="C600" s="1" t="n">
        <v>46105</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10823-2023</t>
        </is>
      </c>
      <c r="B601" s="1" t="n">
        <v>44990</v>
      </c>
      <c r="C601" s="1" t="n">
        <v>46105</v>
      </c>
      <c r="D601" t="inlineStr">
        <is>
          <t>ÖREBRO LÄN</t>
        </is>
      </c>
      <c r="E601" t="inlineStr">
        <is>
          <t>LINDESBERG</t>
        </is>
      </c>
      <c r="G601" t="n">
        <v>1.8</v>
      </c>
      <c r="H601" t="n">
        <v>0</v>
      </c>
      <c r="I601" t="n">
        <v>0</v>
      </c>
      <c r="J601" t="n">
        <v>0</v>
      </c>
      <c r="K601" t="n">
        <v>0</v>
      </c>
      <c r="L601" t="n">
        <v>0</v>
      </c>
      <c r="M601" t="n">
        <v>0</v>
      </c>
      <c r="N601" t="n">
        <v>0</v>
      </c>
      <c r="O601" t="n">
        <v>0</v>
      </c>
      <c r="P601" t="n">
        <v>0</v>
      </c>
      <c r="Q601" t="n">
        <v>0</v>
      </c>
      <c r="R601" s="2" t="inlineStr"/>
    </row>
    <row r="602" ht="15" customHeight="1">
      <c r="A602" t="inlineStr">
        <is>
          <t>A 61745-2025</t>
        </is>
      </c>
      <c r="B602" s="1" t="n">
        <v>46002.60324074074</v>
      </c>
      <c r="C602" s="1" t="n">
        <v>46105</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61758-2025</t>
        </is>
      </c>
      <c r="B603" s="1" t="n">
        <v>46002.61762731482</v>
      </c>
      <c r="C603" s="1" t="n">
        <v>46105</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62246-2025</t>
        </is>
      </c>
      <c r="B604" s="1" t="n">
        <v>46006.60633101852</v>
      </c>
      <c r="C604" s="1" t="n">
        <v>46105</v>
      </c>
      <c r="D604" t="inlineStr">
        <is>
          <t>ÖREBRO LÄN</t>
        </is>
      </c>
      <c r="E604" t="inlineStr">
        <is>
          <t>LINDESBERG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58603-2023</t>
        </is>
      </c>
      <c r="B605" s="1" t="n">
        <v>45251</v>
      </c>
      <c r="C605" s="1" t="n">
        <v>46105</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13417-2025</t>
        </is>
      </c>
      <c r="B606" s="1" t="n">
        <v>45736.30940972222</v>
      </c>
      <c r="C606" s="1" t="n">
        <v>46105</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43066-2021</t>
        </is>
      </c>
      <c r="B607" s="1" t="n">
        <v>44431</v>
      </c>
      <c r="C607" s="1" t="n">
        <v>46105</v>
      </c>
      <c r="D607" t="inlineStr">
        <is>
          <t>ÖREBRO LÄN</t>
        </is>
      </c>
      <c r="E607" t="inlineStr">
        <is>
          <t>LINDESBERG</t>
        </is>
      </c>
      <c r="G607" t="n">
        <v>0.6</v>
      </c>
      <c r="H607" t="n">
        <v>0</v>
      </c>
      <c r="I607" t="n">
        <v>0</v>
      </c>
      <c r="J607" t="n">
        <v>0</v>
      </c>
      <c r="K607" t="n">
        <v>0</v>
      </c>
      <c r="L607" t="n">
        <v>0</v>
      </c>
      <c r="M607" t="n">
        <v>0</v>
      </c>
      <c r="N607" t="n">
        <v>0</v>
      </c>
      <c r="O607" t="n">
        <v>0</v>
      </c>
      <c r="P607" t="n">
        <v>0</v>
      </c>
      <c r="Q607" t="n">
        <v>0</v>
      </c>
      <c r="R607" s="2" t="inlineStr"/>
    </row>
    <row r="608" ht="15" customHeight="1">
      <c r="A608" t="inlineStr">
        <is>
          <t>A 23603-2023</t>
        </is>
      </c>
      <c r="B608" s="1" t="n">
        <v>45077</v>
      </c>
      <c r="C608" s="1" t="n">
        <v>46105</v>
      </c>
      <c r="D608" t="inlineStr">
        <is>
          <t>ÖREBRO LÄN</t>
        </is>
      </c>
      <c r="E608" t="inlineStr">
        <is>
          <t>LINDESBERG</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23607-2023</t>
        </is>
      </c>
      <c r="B609" s="1" t="n">
        <v>45077</v>
      </c>
      <c r="C609" s="1" t="n">
        <v>46105</v>
      </c>
      <c r="D609" t="inlineStr">
        <is>
          <t>ÖREBRO LÄN</t>
        </is>
      </c>
      <c r="E609" t="inlineStr">
        <is>
          <t>LINDESBERG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23612-2023</t>
        </is>
      </c>
      <c r="B610" s="1" t="n">
        <v>45077</v>
      </c>
      <c r="C610" s="1" t="n">
        <v>46105</v>
      </c>
      <c r="D610" t="inlineStr">
        <is>
          <t>ÖREBRO LÄN</t>
        </is>
      </c>
      <c r="E610" t="inlineStr">
        <is>
          <t>LINDESBERG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23102-2023</t>
        </is>
      </c>
      <c r="B611" s="1" t="n">
        <v>45075.44152777778</v>
      </c>
      <c r="C611" s="1" t="n">
        <v>46105</v>
      </c>
      <c r="D611" t="inlineStr">
        <is>
          <t>ÖREBRO LÄN</t>
        </is>
      </c>
      <c r="E611" t="inlineStr">
        <is>
          <t>LINDESBERG</t>
        </is>
      </c>
      <c r="F611" t="inlineStr">
        <is>
          <t>Sveaskog</t>
        </is>
      </c>
      <c r="G611" t="n">
        <v>2.7</v>
      </c>
      <c r="H611" t="n">
        <v>0</v>
      </c>
      <c r="I611" t="n">
        <v>0</v>
      </c>
      <c r="J611" t="n">
        <v>0</v>
      </c>
      <c r="K611" t="n">
        <v>0</v>
      </c>
      <c r="L611" t="n">
        <v>0</v>
      </c>
      <c r="M611" t="n">
        <v>0</v>
      </c>
      <c r="N611" t="n">
        <v>0</v>
      </c>
      <c r="O611" t="n">
        <v>0</v>
      </c>
      <c r="P611" t="n">
        <v>0</v>
      </c>
      <c r="Q611" t="n">
        <v>0</v>
      </c>
      <c r="R611" s="2" t="inlineStr"/>
    </row>
    <row r="612" ht="15" customHeight="1">
      <c r="A612" t="inlineStr">
        <is>
          <t>A 58050-2025</t>
        </is>
      </c>
      <c r="B612" s="1" t="n">
        <v>45982</v>
      </c>
      <c r="C612" s="1" t="n">
        <v>46105</v>
      </c>
      <c r="D612" t="inlineStr">
        <is>
          <t>ÖREBRO LÄN</t>
        </is>
      </c>
      <c r="E612" t="inlineStr">
        <is>
          <t>LINDESBERG</t>
        </is>
      </c>
      <c r="G612" t="n">
        <v>0.6</v>
      </c>
      <c r="H612" t="n">
        <v>0</v>
      </c>
      <c r="I612" t="n">
        <v>0</v>
      </c>
      <c r="J612" t="n">
        <v>0</v>
      </c>
      <c r="K612" t="n">
        <v>0</v>
      </c>
      <c r="L612" t="n">
        <v>0</v>
      </c>
      <c r="M612" t="n">
        <v>0</v>
      </c>
      <c r="N612" t="n">
        <v>0</v>
      </c>
      <c r="O612" t="n">
        <v>0</v>
      </c>
      <c r="P612" t="n">
        <v>0</v>
      </c>
      <c r="Q612" t="n">
        <v>0</v>
      </c>
      <c r="R612" s="2" t="inlineStr"/>
    </row>
    <row r="613" ht="15" customHeight="1">
      <c r="A613" t="inlineStr">
        <is>
          <t>A 62383-2025</t>
        </is>
      </c>
      <c r="B613" s="1" t="n">
        <v>46007.3708449074</v>
      </c>
      <c r="C613" s="1" t="n">
        <v>46105</v>
      </c>
      <c r="D613" t="inlineStr">
        <is>
          <t>ÖREBRO LÄN</t>
        </is>
      </c>
      <c r="E613" t="inlineStr">
        <is>
          <t>LINDESBERG</t>
        </is>
      </c>
      <c r="G613" t="n">
        <v>3.5</v>
      </c>
      <c r="H613" t="n">
        <v>0</v>
      </c>
      <c r="I613" t="n">
        <v>0</v>
      </c>
      <c r="J613" t="n">
        <v>0</v>
      </c>
      <c r="K613" t="n">
        <v>0</v>
      </c>
      <c r="L613" t="n">
        <v>0</v>
      </c>
      <c r="M613" t="n">
        <v>0</v>
      </c>
      <c r="N613" t="n">
        <v>0</v>
      </c>
      <c r="O613" t="n">
        <v>0</v>
      </c>
      <c r="P613" t="n">
        <v>0</v>
      </c>
      <c r="Q613" t="n">
        <v>0</v>
      </c>
      <c r="R613" s="2" t="inlineStr"/>
    </row>
    <row r="614" ht="15" customHeight="1">
      <c r="A614" t="inlineStr">
        <is>
          <t>A 15212-2025</t>
        </is>
      </c>
      <c r="B614" s="1" t="n">
        <v>45744.57673611111</v>
      </c>
      <c r="C614" s="1" t="n">
        <v>46105</v>
      </c>
      <c r="D614" t="inlineStr">
        <is>
          <t>ÖREBRO LÄN</t>
        </is>
      </c>
      <c r="E614" t="inlineStr">
        <is>
          <t>LINDESBERG</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62603-2025</t>
        </is>
      </c>
      <c r="B615" s="1" t="n">
        <v>46008.25765046296</v>
      </c>
      <c r="C615" s="1" t="n">
        <v>46105</v>
      </c>
      <c r="D615" t="inlineStr">
        <is>
          <t>ÖREBRO LÄN</t>
        </is>
      </c>
      <c r="E615" t="inlineStr">
        <is>
          <t>LINDESBERG</t>
        </is>
      </c>
      <c r="G615" t="n">
        <v>2.3</v>
      </c>
      <c r="H615" t="n">
        <v>0</v>
      </c>
      <c r="I615" t="n">
        <v>0</v>
      </c>
      <c r="J615" t="n">
        <v>0</v>
      </c>
      <c r="K615" t="n">
        <v>0</v>
      </c>
      <c r="L615" t="n">
        <v>0</v>
      </c>
      <c r="M615" t="n">
        <v>0</v>
      </c>
      <c r="N615" t="n">
        <v>0</v>
      </c>
      <c r="O615" t="n">
        <v>0</v>
      </c>
      <c r="P615" t="n">
        <v>0</v>
      </c>
      <c r="Q615" t="n">
        <v>0</v>
      </c>
      <c r="R615" s="2" t="inlineStr"/>
    </row>
    <row r="616" ht="15" customHeight="1">
      <c r="A616" t="inlineStr">
        <is>
          <t>A 3148-2023</t>
        </is>
      </c>
      <c r="B616" s="1" t="n">
        <v>44946.54424768518</v>
      </c>
      <c r="C616" s="1" t="n">
        <v>46105</v>
      </c>
      <c r="D616" t="inlineStr">
        <is>
          <t>ÖREBRO LÄN</t>
        </is>
      </c>
      <c r="E616" t="inlineStr">
        <is>
          <t>LINDESBERG</t>
        </is>
      </c>
      <c r="G616" t="n">
        <v>5.5</v>
      </c>
      <c r="H616" t="n">
        <v>0</v>
      </c>
      <c r="I616" t="n">
        <v>0</v>
      </c>
      <c r="J616" t="n">
        <v>0</v>
      </c>
      <c r="K616" t="n">
        <v>0</v>
      </c>
      <c r="L616" t="n">
        <v>0</v>
      </c>
      <c r="M616" t="n">
        <v>0</v>
      </c>
      <c r="N616" t="n">
        <v>0</v>
      </c>
      <c r="O616" t="n">
        <v>0</v>
      </c>
      <c r="P616" t="n">
        <v>0</v>
      </c>
      <c r="Q616" t="n">
        <v>0</v>
      </c>
      <c r="R616" s="2" t="inlineStr"/>
    </row>
    <row r="617" ht="15" customHeight="1">
      <c r="A617" t="inlineStr">
        <is>
          <t>A 58056-2025</t>
        </is>
      </c>
      <c r="B617" s="1" t="n">
        <v>45982</v>
      </c>
      <c r="C617" s="1" t="n">
        <v>46105</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62604-2025</t>
        </is>
      </c>
      <c r="B618" s="1" t="n">
        <v>46008.26085648148</v>
      </c>
      <c r="C618" s="1" t="n">
        <v>46105</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63078-2025</t>
        </is>
      </c>
      <c r="B619" s="1" t="n">
        <v>46009</v>
      </c>
      <c r="C619" s="1" t="n">
        <v>46105</v>
      </c>
      <c r="D619" t="inlineStr">
        <is>
          <t>ÖREBRO LÄN</t>
        </is>
      </c>
      <c r="E619" t="inlineStr">
        <is>
          <t>LINDESBERG</t>
        </is>
      </c>
      <c r="G619" t="n">
        <v>0.9</v>
      </c>
      <c r="H619" t="n">
        <v>0</v>
      </c>
      <c r="I619" t="n">
        <v>0</v>
      </c>
      <c r="J619" t="n">
        <v>0</v>
      </c>
      <c r="K619" t="n">
        <v>0</v>
      </c>
      <c r="L619" t="n">
        <v>0</v>
      </c>
      <c r="M619" t="n">
        <v>0</v>
      </c>
      <c r="N619" t="n">
        <v>0</v>
      </c>
      <c r="O619" t="n">
        <v>0</v>
      </c>
      <c r="P619" t="n">
        <v>0</v>
      </c>
      <c r="Q619" t="n">
        <v>0</v>
      </c>
      <c r="R619" s="2" t="inlineStr"/>
    </row>
    <row r="620" ht="15" customHeight="1">
      <c r="A620" t="inlineStr">
        <is>
          <t>A 63083-2025</t>
        </is>
      </c>
      <c r="B620" s="1" t="n">
        <v>46009.67175925926</v>
      </c>
      <c r="C620" s="1" t="n">
        <v>46105</v>
      </c>
      <c r="D620" t="inlineStr">
        <is>
          <t>ÖREBRO LÄN</t>
        </is>
      </c>
      <c r="E620" t="inlineStr">
        <is>
          <t>LINDESBERG</t>
        </is>
      </c>
      <c r="G620" t="n">
        <v>0.7</v>
      </c>
      <c r="H620" t="n">
        <v>0</v>
      </c>
      <c r="I620" t="n">
        <v>0</v>
      </c>
      <c r="J620" t="n">
        <v>0</v>
      </c>
      <c r="K620" t="n">
        <v>0</v>
      </c>
      <c r="L620" t="n">
        <v>0</v>
      </c>
      <c r="M620" t="n">
        <v>0</v>
      </c>
      <c r="N620" t="n">
        <v>0</v>
      </c>
      <c r="O620" t="n">
        <v>0</v>
      </c>
      <c r="P620" t="n">
        <v>0</v>
      </c>
      <c r="Q620" t="n">
        <v>0</v>
      </c>
      <c r="R620" s="2" t="inlineStr"/>
    </row>
    <row r="621" ht="15" customHeight="1">
      <c r="A621" t="inlineStr">
        <is>
          <t>A 50225-2021</t>
        </is>
      </c>
      <c r="B621" s="1" t="n">
        <v>44457</v>
      </c>
      <c r="C621" s="1" t="n">
        <v>46105</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61736-2025</t>
        </is>
      </c>
      <c r="B622" s="1" t="n">
        <v>46002</v>
      </c>
      <c r="C622" s="1" t="n">
        <v>46105</v>
      </c>
      <c r="D622" t="inlineStr">
        <is>
          <t>ÖREBRO LÄN</t>
        </is>
      </c>
      <c r="E622" t="inlineStr">
        <is>
          <t>LINDESBERG</t>
        </is>
      </c>
      <c r="G622" t="n">
        <v>4.5</v>
      </c>
      <c r="H622" t="n">
        <v>0</v>
      </c>
      <c r="I622" t="n">
        <v>0</v>
      </c>
      <c r="J622" t="n">
        <v>0</v>
      </c>
      <c r="K622" t="n">
        <v>0</v>
      </c>
      <c r="L622" t="n">
        <v>0</v>
      </c>
      <c r="M622" t="n">
        <v>0</v>
      </c>
      <c r="N622" t="n">
        <v>0</v>
      </c>
      <c r="O622" t="n">
        <v>0</v>
      </c>
      <c r="P622" t="n">
        <v>0</v>
      </c>
      <c r="Q622" t="n">
        <v>0</v>
      </c>
      <c r="R622" s="2" t="inlineStr"/>
    </row>
    <row r="623" ht="15" customHeight="1">
      <c r="A623" t="inlineStr">
        <is>
          <t>A 61739-2025</t>
        </is>
      </c>
      <c r="B623" s="1" t="n">
        <v>46002</v>
      </c>
      <c r="C623" s="1" t="n">
        <v>46105</v>
      </c>
      <c r="D623" t="inlineStr">
        <is>
          <t>ÖREBRO LÄN</t>
        </is>
      </c>
      <c r="E623" t="inlineStr">
        <is>
          <t>LINDESBERG</t>
        </is>
      </c>
      <c r="G623" t="n">
        <v>5.3</v>
      </c>
      <c r="H623" t="n">
        <v>0</v>
      </c>
      <c r="I623" t="n">
        <v>0</v>
      </c>
      <c r="J623" t="n">
        <v>0</v>
      </c>
      <c r="K623" t="n">
        <v>0</v>
      </c>
      <c r="L623" t="n">
        <v>0</v>
      </c>
      <c r="M623" t="n">
        <v>0</v>
      </c>
      <c r="N623" t="n">
        <v>0</v>
      </c>
      <c r="O623" t="n">
        <v>0</v>
      </c>
      <c r="P623" t="n">
        <v>0</v>
      </c>
      <c r="Q623" t="n">
        <v>0</v>
      </c>
      <c r="R623" s="2" t="inlineStr"/>
    </row>
    <row r="624" ht="15" customHeight="1">
      <c r="A624" t="inlineStr">
        <is>
          <t>A 63526-2025</t>
        </is>
      </c>
      <c r="B624" s="1" t="n">
        <v>46013</v>
      </c>
      <c r="C624" s="1" t="n">
        <v>46105</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61202-2023</t>
        </is>
      </c>
      <c r="B625" s="1" t="n">
        <v>45264.38084490741</v>
      </c>
      <c r="C625" s="1" t="n">
        <v>46105</v>
      </c>
      <c r="D625" t="inlineStr">
        <is>
          <t>ÖREBRO LÄN</t>
        </is>
      </c>
      <c r="E625" t="inlineStr">
        <is>
          <t>LINDESBERG</t>
        </is>
      </c>
      <c r="G625" t="n">
        <v>0.9</v>
      </c>
      <c r="H625" t="n">
        <v>0</v>
      </c>
      <c r="I625" t="n">
        <v>0</v>
      </c>
      <c r="J625" t="n">
        <v>0</v>
      </c>
      <c r="K625" t="n">
        <v>0</v>
      </c>
      <c r="L625" t="n">
        <v>0</v>
      </c>
      <c r="M625" t="n">
        <v>0</v>
      </c>
      <c r="N625" t="n">
        <v>0</v>
      </c>
      <c r="O625" t="n">
        <v>0</v>
      </c>
      <c r="P625" t="n">
        <v>0</v>
      </c>
      <c r="Q625" t="n">
        <v>0</v>
      </c>
      <c r="R625" s="2" t="inlineStr"/>
    </row>
    <row r="626" ht="15" customHeight="1">
      <c r="A626" t="inlineStr">
        <is>
          <t>A 14187-2024</t>
        </is>
      </c>
      <c r="B626" s="1" t="n">
        <v>45393.35787037037</v>
      </c>
      <c r="C626" s="1" t="n">
        <v>46105</v>
      </c>
      <c r="D626" t="inlineStr">
        <is>
          <t>ÖREBRO LÄN</t>
        </is>
      </c>
      <c r="E626" t="inlineStr">
        <is>
          <t>LINDESBERG</t>
        </is>
      </c>
      <c r="F626" t="inlineStr">
        <is>
          <t>Sveaskog</t>
        </is>
      </c>
      <c r="G626" t="n">
        <v>0.3</v>
      </c>
      <c r="H626" t="n">
        <v>0</v>
      </c>
      <c r="I626" t="n">
        <v>0</v>
      </c>
      <c r="J626" t="n">
        <v>0</v>
      </c>
      <c r="K626" t="n">
        <v>0</v>
      </c>
      <c r="L626" t="n">
        <v>0</v>
      </c>
      <c r="M626" t="n">
        <v>0</v>
      </c>
      <c r="N626" t="n">
        <v>0</v>
      </c>
      <c r="O626" t="n">
        <v>0</v>
      </c>
      <c r="P626" t="n">
        <v>0</v>
      </c>
      <c r="Q626" t="n">
        <v>0</v>
      </c>
      <c r="R626" s="2" t="inlineStr"/>
    </row>
    <row r="627" ht="15" customHeight="1">
      <c r="A627" t="inlineStr">
        <is>
          <t>A 195-2022</t>
        </is>
      </c>
      <c r="B627" s="1" t="n">
        <v>44564</v>
      </c>
      <c r="C627" s="1" t="n">
        <v>46105</v>
      </c>
      <c r="D627" t="inlineStr">
        <is>
          <t>ÖREBRO LÄN</t>
        </is>
      </c>
      <c r="E627" t="inlineStr">
        <is>
          <t>LINDESBERG</t>
        </is>
      </c>
      <c r="G627" t="n">
        <v>4.7</v>
      </c>
      <c r="H627" t="n">
        <v>0</v>
      </c>
      <c r="I627" t="n">
        <v>0</v>
      </c>
      <c r="J627" t="n">
        <v>0</v>
      </c>
      <c r="K627" t="n">
        <v>0</v>
      </c>
      <c r="L627" t="n">
        <v>0</v>
      </c>
      <c r="M627" t="n">
        <v>0</v>
      </c>
      <c r="N627" t="n">
        <v>0</v>
      </c>
      <c r="O627" t="n">
        <v>0</v>
      </c>
      <c r="P627" t="n">
        <v>0</v>
      </c>
      <c r="Q627" t="n">
        <v>0</v>
      </c>
      <c r="R627" s="2" t="inlineStr"/>
    </row>
    <row r="628" ht="15" customHeight="1">
      <c r="A628" t="inlineStr">
        <is>
          <t>A 29500-2023</t>
        </is>
      </c>
      <c r="B628" s="1" t="n">
        <v>45106</v>
      </c>
      <c r="C628" s="1" t="n">
        <v>46105</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39140-2024</t>
        </is>
      </c>
      <c r="B629" s="1" t="n">
        <v>45548</v>
      </c>
      <c r="C629" s="1" t="n">
        <v>46105</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265-2023</t>
        </is>
      </c>
      <c r="B630" s="1" t="n">
        <v>44928</v>
      </c>
      <c r="C630" s="1" t="n">
        <v>46105</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41582-2021</t>
        </is>
      </c>
      <c r="B631" s="1" t="n">
        <v>44425.40297453704</v>
      </c>
      <c r="C631" s="1" t="n">
        <v>46105</v>
      </c>
      <c r="D631" t="inlineStr">
        <is>
          <t>ÖREBRO LÄN</t>
        </is>
      </c>
      <c r="E631" t="inlineStr">
        <is>
          <t>LINDESBERG</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19392-2025</t>
        </is>
      </c>
      <c r="B632" s="1" t="n">
        <v>45769.66260416667</v>
      </c>
      <c r="C632" s="1" t="n">
        <v>46105</v>
      </c>
      <c r="D632" t="inlineStr">
        <is>
          <t>ÖREBRO LÄN</t>
        </is>
      </c>
      <c r="E632" t="inlineStr">
        <is>
          <t>LINDESBERG</t>
        </is>
      </c>
      <c r="G632" t="n">
        <v>6.5</v>
      </c>
      <c r="H632" t="n">
        <v>0</v>
      </c>
      <c r="I632" t="n">
        <v>0</v>
      </c>
      <c r="J632" t="n">
        <v>0</v>
      </c>
      <c r="K632" t="n">
        <v>0</v>
      </c>
      <c r="L632" t="n">
        <v>0</v>
      </c>
      <c r="M632" t="n">
        <v>0</v>
      </c>
      <c r="N632" t="n">
        <v>0</v>
      </c>
      <c r="O632" t="n">
        <v>0</v>
      </c>
      <c r="P632" t="n">
        <v>0</v>
      </c>
      <c r="Q632" t="n">
        <v>0</v>
      </c>
      <c r="R632" s="2" t="inlineStr"/>
    </row>
    <row r="633" ht="15" customHeight="1">
      <c r="A633" t="inlineStr">
        <is>
          <t>A 59052-2023</t>
        </is>
      </c>
      <c r="B633" s="1" t="n">
        <v>45252.78021990741</v>
      </c>
      <c r="C633" s="1" t="n">
        <v>46105</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6-2023</t>
        </is>
      </c>
      <c r="B634" s="1" t="n">
        <v>44927.72487268518</v>
      </c>
      <c r="C634" s="1" t="n">
        <v>46105</v>
      </c>
      <c r="D634" t="inlineStr">
        <is>
          <t>ÖREBRO LÄN</t>
        </is>
      </c>
      <c r="E634" t="inlineStr">
        <is>
          <t>LINDESBERG</t>
        </is>
      </c>
      <c r="G634" t="n">
        <v>2.8</v>
      </c>
      <c r="H634" t="n">
        <v>0</v>
      </c>
      <c r="I634" t="n">
        <v>0</v>
      </c>
      <c r="J634" t="n">
        <v>0</v>
      </c>
      <c r="K634" t="n">
        <v>0</v>
      </c>
      <c r="L634" t="n">
        <v>0</v>
      </c>
      <c r="M634" t="n">
        <v>0</v>
      </c>
      <c r="N634" t="n">
        <v>0</v>
      </c>
      <c r="O634" t="n">
        <v>0</v>
      </c>
      <c r="P634" t="n">
        <v>0</v>
      </c>
      <c r="Q634" t="n">
        <v>0</v>
      </c>
      <c r="R634" s="2" t="inlineStr"/>
    </row>
    <row r="635" ht="15" customHeight="1">
      <c r="A635" t="inlineStr">
        <is>
          <t>A 54864-2024</t>
        </is>
      </c>
      <c r="B635" s="1" t="n">
        <v>45618.59456018519</v>
      </c>
      <c r="C635" s="1" t="n">
        <v>46105</v>
      </c>
      <c r="D635" t="inlineStr">
        <is>
          <t>ÖREBRO LÄN</t>
        </is>
      </c>
      <c r="E635" t="inlineStr">
        <is>
          <t>LINDESBERG</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8189-2026</t>
        </is>
      </c>
      <c r="B636" s="1" t="n">
        <v>46064.42460648148</v>
      </c>
      <c r="C636" s="1" t="n">
        <v>46105</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7211-2024</t>
        </is>
      </c>
      <c r="B637" s="1" t="n">
        <v>45344.623125</v>
      </c>
      <c r="C637" s="1" t="n">
        <v>46105</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15899-2025</t>
        </is>
      </c>
      <c r="B638" s="1" t="n">
        <v>45749.42258101852</v>
      </c>
      <c r="C638" s="1" t="n">
        <v>46105</v>
      </c>
      <c r="D638" t="inlineStr">
        <is>
          <t>ÖREBRO LÄN</t>
        </is>
      </c>
      <c r="E638" t="inlineStr">
        <is>
          <t>LINDESBERG</t>
        </is>
      </c>
      <c r="G638" t="n">
        <v>6.6</v>
      </c>
      <c r="H638" t="n">
        <v>0</v>
      </c>
      <c r="I638" t="n">
        <v>0</v>
      </c>
      <c r="J638" t="n">
        <v>0</v>
      </c>
      <c r="K638" t="n">
        <v>0</v>
      </c>
      <c r="L638" t="n">
        <v>0</v>
      </c>
      <c r="M638" t="n">
        <v>0</v>
      </c>
      <c r="N638" t="n">
        <v>0</v>
      </c>
      <c r="O638" t="n">
        <v>0</v>
      </c>
      <c r="P638" t="n">
        <v>0</v>
      </c>
      <c r="Q638" t="n">
        <v>0</v>
      </c>
      <c r="R638" s="2" t="inlineStr"/>
    </row>
    <row r="639" ht="15" customHeight="1">
      <c r="A639" t="inlineStr">
        <is>
          <t>A 50275-2024</t>
        </is>
      </c>
      <c r="B639" s="1" t="n">
        <v>45600.60071759259</v>
      </c>
      <c r="C639" s="1" t="n">
        <v>46105</v>
      </c>
      <c r="D639" t="inlineStr">
        <is>
          <t>ÖREBRO LÄN</t>
        </is>
      </c>
      <c r="E639" t="inlineStr">
        <is>
          <t>LINDESBERG</t>
        </is>
      </c>
      <c r="G639" t="n">
        <v>4.3</v>
      </c>
      <c r="H639" t="n">
        <v>0</v>
      </c>
      <c r="I639" t="n">
        <v>0</v>
      </c>
      <c r="J639" t="n">
        <v>0</v>
      </c>
      <c r="K639" t="n">
        <v>0</v>
      </c>
      <c r="L639" t="n">
        <v>0</v>
      </c>
      <c r="M639" t="n">
        <v>0</v>
      </c>
      <c r="N639" t="n">
        <v>0</v>
      </c>
      <c r="O639" t="n">
        <v>0</v>
      </c>
      <c r="P639" t="n">
        <v>0</v>
      </c>
      <c r="Q639" t="n">
        <v>0</v>
      </c>
      <c r="R639" s="2" t="inlineStr"/>
    </row>
    <row r="640" ht="15" customHeight="1">
      <c r="A640" t="inlineStr">
        <is>
          <t>A 7992-2025</t>
        </is>
      </c>
      <c r="B640" s="1" t="n">
        <v>45707</v>
      </c>
      <c r="C640" s="1" t="n">
        <v>46105</v>
      </c>
      <c r="D640" t="inlineStr">
        <is>
          <t>ÖREBRO LÄN</t>
        </is>
      </c>
      <c r="E640" t="inlineStr">
        <is>
          <t>LINDESBERG</t>
        </is>
      </c>
      <c r="G640" t="n">
        <v>4.8</v>
      </c>
      <c r="H640" t="n">
        <v>0</v>
      </c>
      <c r="I640" t="n">
        <v>0</v>
      </c>
      <c r="J640" t="n">
        <v>0</v>
      </c>
      <c r="K640" t="n">
        <v>0</v>
      </c>
      <c r="L640" t="n">
        <v>0</v>
      </c>
      <c r="M640" t="n">
        <v>0</v>
      </c>
      <c r="N640" t="n">
        <v>0</v>
      </c>
      <c r="O640" t="n">
        <v>0</v>
      </c>
      <c r="P640" t="n">
        <v>0</v>
      </c>
      <c r="Q640" t="n">
        <v>0</v>
      </c>
      <c r="R640" s="2" t="inlineStr"/>
    </row>
    <row r="641" ht="15" customHeight="1">
      <c r="A641" t="inlineStr">
        <is>
          <t>A 9432-2026</t>
        </is>
      </c>
      <c r="B641" s="1" t="n">
        <v>46071.45568287037</v>
      </c>
      <c r="C641" s="1" t="n">
        <v>46105</v>
      </c>
      <c r="D641" t="inlineStr">
        <is>
          <t>ÖREBRO LÄN</t>
        </is>
      </c>
      <c r="E641" t="inlineStr">
        <is>
          <t>LINDESBERG</t>
        </is>
      </c>
      <c r="G641" t="n">
        <v>1.6</v>
      </c>
      <c r="H641" t="n">
        <v>0</v>
      </c>
      <c r="I641" t="n">
        <v>0</v>
      </c>
      <c r="J641" t="n">
        <v>0</v>
      </c>
      <c r="K641" t="n">
        <v>0</v>
      </c>
      <c r="L641" t="n">
        <v>0</v>
      </c>
      <c r="M641" t="n">
        <v>0</v>
      </c>
      <c r="N641" t="n">
        <v>0</v>
      </c>
      <c r="O641" t="n">
        <v>0</v>
      </c>
      <c r="P641" t="n">
        <v>0</v>
      </c>
      <c r="Q641" t="n">
        <v>0</v>
      </c>
      <c r="R641" s="2" t="inlineStr"/>
    </row>
    <row r="642" ht="15" customHeight="1">
      <c r="A642" t="inlineStr">
        <is>
          <t>A 9567-2026</t>
        </is>
      </c>
      <c r="B642" s="1" t="n">
        <v>46071.65692129629</v>
      </c>
      <c r="C642" s="1" t="n">
        <v>46105</v>
      </c>
      <c r="D642" t="inlineStr">
        <is>
          <t>ÖREBRO LÄN</t>
        </is>
      </c>
      <c r="E642" t="inlineStr">
        <is>
          <t>LINDESBERG</t>
        </is>
      </c>
      <c r="F642" t="inlineStr">
        <is>
          <t>Kommuner</t>
        </is>
      </c>
      <c r="G642" t="n">
        <v>1.4</v>
      </c>
      <c r="H642" t="n">
        <v>0</v>
      </c>
      <c r="I642" t="n">
        <v>0</v>
      </c>
      <c r="J642" t="n">
        <v>0</v>
      </c>
      <c r="K642" t="n">
        <v>0</v>
      </c>
      <c r="L642" t="n">
        <v>0</v>
      </c>
      <c r="M642" t="n">
        <v>0</v>
      </c>
      <c r="N642" t="n">
        <v>0</v>
      </c>
      <c r="O642" t="n">
        <v>0</v>
      </c>
      <c r="P642" t="n">
        <v>0</v>
      </c>
      <c r="Q642" t="n">
        <v>0</v>
      </c>
      <c r="R642" s="2" t="inlineStr"/>
    </row>
    <row r="643" ht="15" customHeight="1">
      <c r="A643" t="inlineStr">
        <is>
          <t>A 3294-2024</t>
        </is>
      </c>
      <c r="B643" s="1" t="n">
        <v>45316</v>
      </c>
      <c r="C643" s="1" t="n">
        <v>46105</v>
      </c>
      <c r="D643" t="inlineStr">
        <is>
          <t>ÖREBRO LÄN</t>
        </is>
      </c>
      <c r="E643" t="inlineStr">
        <is>
          <t>LINDESBERG</t>
        </is>
      </c>
      <c r="G643" t="n">
        <v>3</v>
      </c>
      <c r="H643" t="n">
        <v>0</v>
      </c>
      <c r="I643" t="n">
        <v>0</v>
      </c>
      <c r="J643" t="n">
        <v>0</v>
      </c>
      <c r="K643" t="n">
        <v>0</v>
      </c>
      <c r="L643" t="n">
        <v>0</v>
      </c>
      <c r="M643" t="n">
        <v>0</v>
      </c>
      <c r="N643" t="n">
        <v>0</v>
      </c>
      <c r="O643" t="n">
        <v>0</v>
      </c>
      <c r="P643" t="n">
        <v>0</v>
      </c>
      <c r="Q643" t="n">
        <v>0</v>
      </c>
      <c r="R643" s="2" t="inlineStr"/>
    </row>
    <row r="644" ht="15" customHeight="1">
      <c r="A644" t="inlineStr">
        <is>
          <t>A 9577-2026</t>
        </is>
      </c>
      <c r="B644" s="1" t="n">
        <v>46071.67334490741</v>
      </c>
      <c r="C644" s="1" t="n">
        <v>46105</v>
      </c>
      <c r="D644" t="inlineStr">
        <is>
          <t>ÖREBRO LÄN</t>
        </is>
      </c>
      <c r="E644" t="inlineStr">
        <is>
          <t>LINDESBERG</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41947-2023</t>
        </is>
      </c>
      <c r="B645" s="1" t="n">
        <v>45177.31795138889</v>
      </c>
      <c r="C645" s="1" t="n">
        <v>46105</v>
      </c>
      <c r="D645" t="inlineStr">
        <is>
          <t>ÖREBRO LÄN</t>
        </is>
      </c>
      <c r="E645" t="inlineStr">
        <is>
          <t>LINDESBERG</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16447-2025</t>
        </is>
      </c>
      <c r="B646" s="1" t="n">
        <v>45751.50498842593</v>
      </c>
      <c r="C646" s="1" t="n">
        <v>46105</v>
      </c>
      <c r="D646" t="inlineStr">
        <is>
          <t>ÖREBRO LÄN</t>
        </is>
      </c>
      <c r="E646" t="inlineStr">
        <is>
          <t>LINDESBERG</t>
        </is>
      </c>
      <c r="G646" t="n">
        <v>2</v>
      </c>
      <c r="H646" t="n">
        <v>0</v>
      </c>
      <c r="I646" t="n">
        <v>0</v>
      </c>
      <c r="J646" t="n">
        <v>0</v>
      </c>
      <c r="K646" t="n">
        <v>0</v>
      </c>
      <c r="L646" t="n">
        <v>0</v>
      </c>
      <c r="M646" t="n">
        <v>0</v>
      </c>
      <c r="N646" t="n">
        <v>0</v>
      </c>
      <c r="O646" t="n">
        <v>0</v>
      </c>
      <c r="P646" t="n">
        <v>0</v>
      </c>
      <c r="Q646" t="n">
        <v>0</v>
      </c>
      <c r="R646" s="2" t="inlineStr"/>
    </row>
    <row r="647" ht="15" customHeight="1">
      <c r="A647" t="inlineStr">
        <is>
          <t>A 29975-2023</t>
        </is>
      </c>
      <c r="B647" s="1" t="n">
        <v>45108.7553587963</v>
      </c>
      <c r="C647" s="1" t="n">
        <v>46105</v>
      </c>
      <c r="D647" t="inlineStr">
        <is>
          <t>ÖREBRO LÄN</t>
        </is>
      </c>
      <c r="E647" t="inlineStr">
        <is>
          <t>LINDESBERG</t>
        </is>
      </c>
      <c r="G647" t="n">
        <v>6.4</v>
      </c>
      <c r="H647" t="n">
        <v>0</v>
      </c>
      <c r="I647" t="n">
        <v>0</v>
      </c>
      <c r="J647" t="n">
        <v>0</v>
      </c>
      <c r="K647" t="n">
        <v>0</v>
      </c>
      <c r="L647" t="n">
        <v>0</v>
      </c>
      <c r="M647" t="n">
        <v>0</v>
      </c>
      <c r="N647" t="n">
        <v>0</v>
      </c>
      <c r="O647" t="n">
        <v>0</v>
      </c>
      <c r="P647" t="n">
        <v>0</v>
      </c>
      <c r="Q647" t="n">
        <v>0</v>
      </c>
      <c r="R647" s="2" t="inlineStr"/>
    </row>
    <row r="648" ht="15" customHeight="1">
      <c r="A648" t="inlineStr">
        <is>
          <t>A 16448-2025</t>
        </is>
      </c>
      <c r="B648" s="1" t="n">
        <v>45751.5056712963</v>
      </c>
      <c r="C648" s="1" t="n">
        <v>46105</v>
      </c>
      <c r="D648" t="inlineStr">
        <is>
          <t>ÖREBRO LÄN</t>
        </is>
      </c>
      <c r="E648" t="inlineStr">
        <is>
          <t>LINDESBERG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46105</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610-2026</t>
        </is>
      </c>
      <c r="B650" s="1" t="n">
        <v>46029</v>
      </c>
      <c r="C650" s="1" t="n">
        <v>46105</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911-2026</t>
        </is>
      </c>
      <c r="B651" s="1" t="n">
        <v>46030.47725694445</v>
      </c>
      <c r="C651" s="1" t="n">
        <v>46105</v>
      </c>
      <c r="D651" t="inlineStr">
        <is>
          <t>ÖREBRO LÄN</t>
        </is>
      </c>
      <c r="E651" t="inlineStr">
        <is>
          <t>LINDESBERG</t>
        </is>
      </c>
      <c r="G651" t="n">
        <v>1.6</v>
      </c>
      <c r="H651" t="n">
        <v>0</v>
      </c>
      <c r="I651" t="n">
        <v>0</v>
      </c>
      <c r="J651" t="n">
        <v>0</v>
      </c>
      <c r="K651" t="n">
        <v>0</v>
      </c>
      <c r="L651" t="n">
        <v>0</v>
      </c>
      <c r="M651" t="n">
        <v>0</v>
      </c>
      <c r="N651" t="n">
        <v>0</v>
      </c>
      <c r="O651" t="n">
        <v>0</v>
      </c>
      <c r="P651" t="n">
        <v>0</v>
      </c>
      <c r="Q651" t="n">
        <v>0</v>
      </c>
      <c r="R651" s="2" t="inlineStr"/>
    </row>
    <row r="652" ht="15" customHeight="1">
      <c r="A652" t="inlineStr">
        <is>
          <t>A 878-2026</t>
        </is>
      </c>
      <c r="B652" s="1" t="n">
        <v>46030.44277777777</v>
      </c>
      <c r="C652" s="1" t="n">
        <v>46105</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40085-2023</t>
        </is>
      </c>
      <c r="B653" s="1" t="n">
        <v>45168.92155092592</v>
      </c>
      <c r="C653" s="1" t="n">
        <v>46105</v>
      </c>
      <c r="D653" t="inlineStr">
        <is>
          <t>ÖREBRO LÄN</t>
        </is>
      </c>
      <c r="E653" t="inlineStr">
        <is>
          <t>LINDESBERG</t>
        </is>
      </c>
      <c r="G653" t="n">
        <v>6.1</v>
      </c>
      <c r="H653" t="n">
        <v>0</v>
      </c>
      <c r="I653" t="n">
        <v>0</v>
      </c>
      <c r="J653" t="n">
        <v>0</v>
      </c>
      <c r="K653" t="n">
        <v>0</v>
      </c>
      <c r="L653" t="n">
        <v>0</v>
      </c>
      <c r="M653" t="n">
        <v>0</v>
      </c>
      <c r="N653" t="n">
        <v>0</v>
      </c>
      <c r="O653" t="n">
        <v>0</v>
      </c>
      <c r="P653" t="n">
        <v>0</v>
      </c>
      <c r="Q653" t="n">
        <v>0</v>
      </c>
      <c r="R653" s="2" t="inlineStr"/>
    </row>
    <row r="654" ht="15" customHeight="1">
      <c r="A654" t="inlineStr">
        <is>
          <t>A 28470-2023</t>
        </is>
      </c>
      <c r="B654" s="1" t="n">
        <v>45103</v>
      </c>
      <c r="C654" s="1" t="n">
        <v>46105</v>
      </c>
      <c r="D654" t="inlineStr">
        <is>
          <t>ÖREBRO LÄN</t>
        </is>
      </c>
      <c r="E654" t="inlineStr">
        <is>
          <t>LINDESBERG</t>
        </is>
      </c>
      <c r="G654" t="n">
        <v>6.7</v>
      </c>
      <c r="H654" t="n">
        <v>0</v>
      </c>
      <c r="I654" t="n">
        <v>0</v>
      </c>
      <c r="J654" t="n">
        <v>0</v>
      </c>
      <c r="K654" t="n">
        <v>0</v>
      </c>
      <c r="L654" t="n">
        <v>0</v>
      </c>
      <c r="M654" t="n">
        <v>0</v>
      </c>
      <c r="N654" t="n">
        <v>0</v>
      </c>
      <c r="O654" t="n">
        <v>0</v>
      </c>
      <c r="P654" t="n">
        <v>0</v>
      </c>
      <c r="Q654" t="n">
        <v>0</v>
      </c>
      <c r="R654" s="2" t="inlineStr"/>
    </row>
    <row r="655" ht="15" customHeight="1">
      <c r="A655" t="inlineStr">
        <is>
          <t>A 32002-2023</t>
        </is>
      </c>
      <c r="B655" s="1" t="n">
        <v>45119.46452546296</v>
      </c>
      <c r="C655" s="1" t="n">
        <v>46105</v>
      </c>
      <c r="D655" t="inlineStr">
        <is>
          <t>ÖREBRO LÄN</t>
        </is>
      </c>
      <c r="E655" t="inlineStr">
        <is>
          <t>LINDESBERG</t>
        </is>
      </c>
      <c r="F655" t="inlineStr">
        <is>
          <t>Kyrkan</t>
        </is>
      </c>
      <c r="G655" t="n">
        <v>0.6</v>
      </c>
      <c r="H655" t="n">
        <v>0</v>
      </c>
      <c r="I655" t="n">
        <v>0</v>
      </c>
      <c r="J655" t="n">
        <v>0</v>
      </c>
      <c r="K655" t="n">
        <v>0</v>
      </c>
      <c r="L655" t="n">
        <v>0</v>
      </c>
      <c r="M655" t="n">
        <v>0</v>
      </c>
      <c r="N655" t="n">
        <v>0</v>
      </c>
      <c r="O655" t="n">
        <v>0</v>
      </c>
      <c r="P655" t="n">
        <v>0</v>
      </c>
      <c r="Q655" t="n">
        <v>0</v>
      </c>
      <c r="R655" s="2" t="inlineStr"/>
    </row>
    <row r="656" ht="15" customHeight="1">
      <c r="A656" t="inlineStr">
        <is>
          <t>A 29849-2023</t>
        </is>
      </c>
      <c r="B656" s="1" t="n">
        <v>45107</v>
      </c>
      <c r="C656" s="1" t="n">
        <v>46105</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1160-2026</t>
        </is>
      </c>
      <c r="B657" s="1" t="n">
        <v>46031</v>
      </c>
      <c r="C657" s="1" t="n">
        <v>46105</v>
      </c>
      <c r="D657" t="inlineStr">
        <is>
          <t>ÖREBRO LÄN</t>
        </is>
      </c>
      <c r="E657" t="inlineStr">
        <is>
          <t>LINDESBERG</t>
        </is>
      </c>
      <c r="G657" t="n">
        <v>12.2</v>
      </c>
      <c r="H657" t="n">
        <v>0</v>
      </c>
      <c r="I657" t="n">
        <v>0</v>
      </c>
      <c r="J657" t="n">
        <v>0</v>
      </c>
      <c r="K657" t="n">
        <v>0</v>
      </c>
      <c r="L657" t="n">
        <v>0</v>
      </c>
      <c r="M657" t="n">
        <v>0</v>
      </c>
      <c r="N657" t="n">
        <v>0</v>
      </c>
      <c r="O657" t="n">
        <v>0</v>
      </c>
      <c r="P657" t="n">
        <v>0</v>
      </c>
      <c r="Q657" t="n">
        <v>0</v>
      </c>
      <c r="R657" s="2" t="inlineStr"/>
    </row>
    <row r="658" ht="15" customHeight="1">
      <c r="A658" t="inlineStr">
        <is>
          <t>A 1749-2026</t>
        </is>
      </c>
      <c r="B658" s="1" t="n">
        <v>46034.65601851852</v>
      </c>
      <c r="C658" s="1" t="n">
        <v>46105</v>
      </c>
      <c r="D658" t="inlineStr">
        <is>
          <t>ÖREBRO LÄN</t>
        </is>
      </c>
      <c r="E658" t="inlineStr">
        <is>
          <t>LINDESBERG</t>
        </is>
      </c>
      <c r="G658" t="n">
        <v>2.2</v>
      </c>
      <c r="H658" t="n">
        <v>0</v>
      </c>
      <c r="I658" t="n">
        <v>0</v>
      </c>
      <c r="J658" t="n">
        <v>0</v>
      </c>
      <c r="K658" t="n">
        <v>0</v>
      </c>
      <c r="L658" t="n">
        <v>0</v>
      </c>
      <c r="M658" t="n">
        <v>0</v>
      </c>
      <c r="N658" t="n">
        <v>0</v>
      </c>
      <c r="O658" t="n">
        <v>0</v>
      </c>
      <c r="P658" t="n">
        <v>0</v>
      </c>
      <c r="Q658" t="n">
        <v>0</v>
      </c>
      <c r="R658" s="2" t="inlineStr"/>
    </row>
    <row r="659" ht="15" customHeight="1">
      <c r="A659" t="inlineStr">
        <is>
          <t>A 5784-2025</t>
        </is>
      </c>
      <c r="B659" s="1" t="n">
        <v>45694</v>
      </c>
      <c r="C659" s="1" t="n">
        <v>46105</v>
      </c>
      <c r="D659" t="inlineStr">
        <is>
          <t>ÖREBRO LÄN</t>
        </is>
      </c>
      <c r="E659" t="inlineStr">
        <is>
          <t>LINDESBERG</t>
        </is>
      </c>
      <c r="F659" t="inlineStr">
        <is>
          <t>Allmännings- och besparingsskogar</t>
        </is>
      </c>
      <c r="G659" t="n">
        <v>1.6</v>
      </c>
      <c r="H659" t="n">
        <v>0</v>
      </c>
      <c r="I659" t="n">
        <v>0</v>
      </c>
      <c r="J659" t="n">
        <v>0</v>
      </c>
      <c r="K659" t="n">
        <v>0</v>
      </c>
      <c r="L659" t="n">
        <v>0</v>
      </c>
      <c r="M659" t="n">
        <v>0</v>
      </c>
      <c r="N659" t="n">
        <v>0</v>
      </c>
      <c r="O659" t="n">
        <v>0</v>
      </c>
      <c r="P659" t="n">
        <v>0</v>
      </c>
      <c r="Q659" t="n">
        <v>0</v>
      </c>
      <c r="R659" s="2" t="inlineStr"/>
    </row>
    <row r="660" ht="15" customHeight="1">
      <c r="A660" t="inlineStr">
        <is>
          <t>A 2556-2026</t>
        </is>
      </c>
      <c r="B660" s="1" t="n">
        <v>46035</v>
      </c>
      <c r="C660" s="1" t="n">
        <v>46105</v>
      </c>
      <c r="D660" t="inlineStr">
        <is>
          <t>ÖREBRO LÄN</t>
        </is>
      </c>
      <c r="E660" t="inlineStr">
        <is>
          <t>LINDESBERG</t>
        </is>
      </c>
      <c r="G660" t="n">
        <v>3.4</v>
      </c>
      <c r="H660" t="n">
        <v>0</v>
      </c>
      <c r="I660" t="n">
        <v>0</v>
      </c>
      <c r="J660" t="n">
        <v>0</v>
      </c>
      <c r="K660" t="n">
        <v>0</v>
      </c>
      <c r="L660" t="n">
        <v>0</v>
      </c>
      <c r="M660" t="n">
        <v>0</v>
      </c>
      <c r="N660" t="n">
        <v>0</v>
      </c>
      <c r="O660" t="n">
        <v>0</v>
      </c>
      <c r="P660" t="n">
        <v>0</v>
      </c>
      <c r="Q660" t="n">
        <v>0</v>
      </c>
      <c r="R660" s="2" t="inlineStr"/>
    </row>
    <row r="661" ht="15" customHeight="1">
      <c r="A661" t="inlineStr">
        <is>
          <t>A 2958-2026</t>
        </is>
      </c>
      <c r="B661" s="1" t="n">
        <v>46038.61067129629</v>
      </c>
      <c r="C661" s="1" t="n">
        <v>46105</v>
      </c>
      <c r="D661" t="inlineStr">
        <is>
          <t>ÖREBRO LÄN</t>
        </is>
      </c>
      <c r="E661" t="inlineStr">
        <is>
          <t>LINDESBERG</t>
        </is>
      </c>
      <c r="G661" t="n">
        <v>5.8</v>
      </c>
      <c r="H661" t="n">
        <v>0</v>
      </c>
      <c r="I661" t="n">
        <v>0</v>
      </c>
      <c r="J661" t="n">
        <v>0</v>
      </c>
      <c r="K661" t="n">
        <v>0</v>
      </c>
      <c r="L661" t="n">
        <v>0</v>
      </c>
      <c r="M661" t="n">
        <v>0</v>
      </c>
      <c r="N661" t="n">
        <v>0</v>
      </c>
      <c r="O661" t="n">
        <v>0</v>
      </c>
      <c r="P661" t="n">
        <v>0</v>
      </c>
      <c r="Q661" t="n">
        <v>0</v>
      </c>
      <c r="R661" s="2" t="inlineStr"/>
    </row>
    <row r="662" ht="15" customHeight="1">
      <c r="A662" t="inlineStr">
        <is>
          <t>A 69208-2021</t>
        </is>
      </c>
      <c r="B662" s="1" t="n">
        <v>44531.3575</v>
      </c>
      <c r="C662" s="1" t="n">
        <v>46105</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2704-2026</t>
        </is>
      </c>
      <c r="B663" s="1" t="n">
        <v>46037.69133101852</v>
      </c>
      <c r="C663" s="1" t="n">
        <v>46105</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2859-2026</t>
        </is>
      </c>
      <c r="B664" s="1" t="n">
        <v>46038.49269675926</v>
      </c>
      <c r="C664" s="1" t="n">
        <v>46105</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45038-2024</t>
        </is>
      </c>
      <c r="B665" s="1" t="n">
        <v>45575.53331018519</v>
      </c>
      <c r="C665" s="1" t="n">
        <v>46105</v>
      </c>
      <c r="D665" t="inlineStr">
        <is>
          <t>ÖREBRO LÄN</t>
        </is>
      </c>
      <c r="E665" t="inlineStr">
        <is>
          <t>LINDESBERG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45046-2024</t>
        </is>
      </c>
      <c r="B666" s="1" t="n">
        <v>45575.54489583334</v>
      </c>
      <c r="C666" s="1" t="n">
        <v>46105</v>
      </c>
      <c r="D666" t="inlineStr">
        <is>
          <t>ÖREBRO LÄN</t>
        </is>
      </c>
      <c r="E666" t="inlineStr">
        <is>
          <t>LINDESBERG</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2929-2026</t>
        </is>
      </c>
      <c r="B667" s="1" t="n">
        <v>46038.58241898148</v>
      </c>
      <c r="C667" s="1" t="n">
        <v>46105</v>
      </c>
      <c r="D667" t="inlineStr">
        <is>
          <t>ÖREBRO LÄN</t>
        </is>
      </c>
      <c r="E667" t="inlineStr">
        <is>
          <t>LINDESBERG</t>
        </is>
      </c>
      <c r="G667" t="n">
        <v>1.8</v>
      </c>
      <c r="H667" t="n">
        <v>0</v>
      </c>
      <c r="I667" t="n">
        <v>0</v>
      </c>
      <c r="J667" t="n">
        <v>0</v>
      </c>
      <c r="K667" t="n">
        <v>0</v>
      </c>
      <c r="L667" t="n">
        <v>0</v>
      </c>
      <c r="M667" t="n">
        <v>0</v>
      </c>
      <c r="N667" t="n">
        <v>0</v>
      </c>
      <c r="O667" t="n">
        <v>0</v>
      </c>
      <c r="P667" t="n">
        <v>0</v>
      </c>
      <c r="Q667" t="n">
        <v>0</v>
      </c>
      <c r="R667" s="2" t="inlineStr"/>
    </row>
    <row r="668" ht="15" customHeight="1">
      <c r="A668" t="inlineStr">
        <is>
          <t>A 2902-2026</t>
        </is>
      </c>
      <c r="B668" s="1" t="n">
        <v>46038.55849537037</v>
      </c>
      <c r="C668" s="1" t="n">
        <v>46105</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2949-2026</t>
        </is>
      </c>
      <c r="B669" s="1" t="n">
        <v>46038.59640046296</v>
      </c>
      <c r="C669" s="1" t="n">
        <v>46105</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38552-2023</t>
        </is>
      </c>
      <c r="B670" s="1" t="n">
        <v>45162.5978125</v>
      </c>
      <c r="C670" s="1" t="n">
        <v>46105</v>
      </c>
      <c r="D670" t="inlineStr">
        <is>
          <t>ÖREBRO LÄN</t>
        </is>
      </c>
      <c r="E670" t="inlineStr">
        <is>
          <t>LINDESBERG</t>
        </is>
      </c>
      <c r="G670" t="n">
        <v>10.4</v>
      </c>
      <c r="H670" t="n">
        <v>0</v>
      </c>
      <c r="I670" t="n">
        <v>0</v>
      </c>
      <c r="J670" t="n">
        <v>0</v>
      </c>
      <c r="K670" t="n">
        <v>0</v>
      </c>
      <c r="L670" t="n">
        <v>0</v>
      </c>
      <c r="M670" t="n">
        <v>0</v>
      </c>
      <c r="N670" t="n">
        <v>0</v>
      </c>
      <c r="O670" t="n">
        <v>0</v>
      </c>
      <c r="P670" t="n">
        <v>0</v>
      </c>
      <c r="Q670" t="n">
        <v>0</v>
      </c>
      <c r="R670" s="2" t="inlineStr"/>
    </row>
    <row r="671" ht="15" customHeight="1">
      <c r="A671" t="inlineStr">
        <is>
          <t>A 64084-2023</t>
        </is>
      </c>
      <c r="B671" s="1" t="n">
        <v>45279</v>
      </c>
      <c r="C671" s="1" t="n">
        <v>46105</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33424-2024</t>
        </is>
      </c>
      <c r="B672" s="1" t="n">
        <v>45519.51627314815</v>
      </c>
      <c r="C672" s="1" t="n">
        <v>46105</v>
      </c>
      <c r="D672" t="inlineStr">
        <is>
          <t>ÖREBRO LÄN</t>
        </is>
      </c>
      <c r="E672" t="inlineStr">
        <is>
          <t>LINDESBERG</t>
        </is>
      </c>
      <c r="F672" t="inlineStr">
        <is>
          <t>Sveaskog</t>
        </is>
      </c>
      <c r="G672" t="n">
        <v>0.1</v>
      </c>
      <c r="H672" t="n">
        <v>0</v>
      </c>
      <c r="I672" t="n">
        <v>0</v>
      </c>
      <c r="J672" t="n">
        <v>0</v>
      </c>
      <c r="K672" t="n">
        <v>0</v>
      </c>
      <c r="L672" t="n">
        <v>0</v>
      </c>
      <c r="M672" t="n">
        <v>0</v>
      </c>
      <c r="N672" t="n">
        <v>0</v>
      </c>
      <c r="O672" t="n">
        <v>0</v>
      </c>
      <c r="P672" t="n">
        <v>0</v>
      </c>
      <c r="Q672" t="n">
        <v>0</v>
      </c>
      <c r="R672" s="2" t="inlineStr"/>
    </row>
    <row r="673" ht="15" customHeight="1">
      <c r="A673" t="inlineStr">
        <is>
          <t>A 33427-2024</t>
        </is>
      </c>
      <c r="B673" s="1" t="n">
        <v>45519.52232638889</v>
      </c>
      <c r="C673" s="1" t="n">
        <v>46105</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36509-2024</t>
        </is>
      </c>
      <c r="B674" s="1" t="n">
        <v>45537.42240740741</v>
      </c>
      <c r="C674" s="1" t="n">
        <v>46105</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29894-2023</t>
        </is>
      </c>
      <c r="B675" s="1" t="n">
        <v>45107</v>
      </c>
      <c r="C675" s="1" t="n">
        <v>46105</v>
      </c>
      <c r="D675" t="inlineStr">
        <is>
          <t>ÖREBRO LÄN</t>
        </is>
      </c>
      <c r="E675" t="inlineStr">
        <is>
          <t>LINDESBERG</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11559-2024</t>
        </is>
      </c>
      <c r="B676" s="1" t="n">
        <v>45373.30434027778</v>
      </c>
      <c r="C676" s="1" t="n">
        <v>46105</v>
      </c>
      <c r="D676" t="inlineStr">
        <is>
          <t>ÖREBRO LÄN</t>
        </is>
      </c>
      <c r="E676" t="inlineStr">
        <is>
          <t>LINDESBERG</t>
        </is>
      </c>
      <c r="F676" t="inlineStr">
        <is>
          <t>BillerudKorsnäs AB</t>
        </is>
      </c>
      <c r="G676" t="n">
        <v>1.9</v>
      </c>
      <c r="H676" t="n">
        <v>0</v>
      </c>
      <c r="I676" t="n">
        <v>0</v>
      </c>
      <c r="J676" t="n">
        <v>0</v>
      </c>
      <c r="K676" t="n">
        <v>0</v>
      </c>
      <c r="L676" t="n">
        <v>0</v>
      </c>
      <c r="M676" t="n">
        <v>0</v>
      </c>
      <c r="N676" t="n">
        <v>0</v>
      </c>
      <c r="O676" t="n">
        <v>0</v>
      </c>
      <c r="P676" t="n">
        <v>0</v>
      </c>
      <c r="Q676" t="n">
        <v>0</v>
      </c>
      <c r="R676" s="2" t="inlineStr"/>
    </row>
    <row r="677" ht="15" customHeight="1">
      <c r="A677" t="inlineStr">
        <is>
          <t>A 13472-2023</t>
        </is>
      </c>
      <c r="B677" s="1" t="n">
        <v>45005</v>
      </c>
      <c r="C677" s="1" t="n">
        <v>46105</v>
      </c>
      <c r="D677" t="inlineStr">
        <is>
          <t>ÖREBRO LÄN</t>
        </is>
      </c>
      <c r="E677" t="inlineStr">
        <is>
          <t>LINDESBERG</t>
        </is>
      </c>
      <c r="G677" t="n">
        <v>2.5</v>
      </c>
      <c r="H677" t="n">
        <v>0</v>
      </c>
      <c r="I677" t="n">
        <v>0</v>
      </c>
      <c r="J677" t="n">
        <v>0</v>
      </c>
      <c r="K677" t="n">
        <v>0</v>
      </c>
      <c r="L677" t="n">
        <v>0</v>
      </c>
      <c r="M677" t="n">
        <v>0</v>
      </c>
      <c r="N677" t="n">
        <v>0</v>
      </c>
      <c r="O677" t="n">
        <v>0</v>
      </c>
      <c r="P677" t="n">
        <v>0</v>
      </c>
      <c r="Q677" t="n">
        <v>0</v>
      </c>
      <c r="R677" s="2" t="inlineStr"/>
    </row>
    <row r="678" ht="15" customHeight="1">
      <c r="A678" t="inlineStr">
        <is>
          <t>A 52284-2024</t>
        </is>
      </c>
      <c r="B678" s="1" t="n">
        <v>45608</v>
      </c>
      <c r="C678" s="1" t="n">
        <v>46105</v>
      </c>
      <c r="D678" t="inlineStr">
        <is>
          <t>ÖREBRO LÄN</t>
        </is>
      </c>
      <c r="E678" t="inlineStr">
        <is>
          <t>LINDESBERG</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38613-2024</t>
        </is>
      </c>
      <c r="B679" s="1" t="n">
        <v>45546.68743055555</v>
      </c>
      <c r="C679" s="1" t="n">
        <v>46105</v>
      </c>
      <c r="D679" t="inlineStr">
        <is>
          <t>ÖREBRO LÄN</t>
        </is>
      </c>
      <c r="E679" t="inlineStr">
        <is>
          <t>LINDESBERG</t>
        </is>
      </c>
      <c r="F679" t="inlineStr">
        <is>
          <t>Kyrkan</t>
        </is>
      </c>
      <c r="G679" t="n">
        <v>1.6</v>
      </c>
      <c r="H679" t="n">
        <v>0</v>
      </c>
      <c r="I679" t="n">
        <v>0</v>
      </c>
      <c r="J679" t="n">
        <v>0</v>
      </c>
      <c r="K679" t="n">
        <v>0</v>
      </c>
      <c r="L679" t="n">
        <v>0</v>
      </c>
      <c r="M679" t="n">
        <v>0</v>
      </c>
      <c r="N679" t="n">
        <v>0</v>
      </c>
      <c r="O679" t="n">
        <v>0</v>
      </c>
      <c r="P679" t="n">
        <v>0</v>
      </c>
      <c r="Q679" t="n">
        <v>0</v>
      </c>
      <c r="R679" s="2" t="inlineStr"/>
    </row>
    <row r="680" ht="15" customHeight="1">
      <c r="A680" t="inlineStr">
        <is>
          <t>A 73500-2021</t>
        </is>
      </c>
      <c r="B680" s="1" t="n">
        <v>44551</v>
      </c>
      <c r="C680" s="1" t="n">
        <v>46105</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56507-2021</t>
        </is>
      </c>
      <c r="B681" s="1" t="n">
        <v>44480.58034722223</v>
      </c>
      <c r="C681" s="1" t="n">
        <v>46105</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65194-2023</t>
        </is>
      </c>
      <c r="B682" s="1" t="n">
        <v>45289</v>
      </c>
      <c r="C682" s="1" t="n">
        <v>46105</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9436-2023</t>
        </is>
      </c>
      <c r="B683" s="1" t="n">
        <v>44981</v>
      </c>
      <c r="C683" s="1" t="n">
        <v>46105</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36121-2023</t>
        </is>
      </c>
      <c r="B684" s="1" t="n">
        <v>45148</v>
      </c>
      <c r="C684" s="1" t="n">
        <v>46105</v>
      </c>
      <c r="D684" t="inlineStr">
        <is>
          <t>ÖREBRO LÄN</t>
        </is>
      </c>
      <c r="E684" t="inlineStr">
        <is>
          <t>LINDESBERG</t>
        </is>
      </c>
      <c r="G684" t="n">
        <v>7.1</v>
      </c>
      <c r="H684" t="n">
        <v>0</v>
      </c>
      <c r="I684" t="n">
        <v>0</v>
      </c>
      <c r="J684" t="n">
        <v>0</v>
      </c>
      <c r="K684" t="n">
        <v>0</v>
      </c>
      <c r="L684" t="n">
        <v>0</v>
      </c>
      <c r="M684" t="n">
        <v>0</v>
      </c>
      <c r="N684" t="n">
        <v>0</v>
      </c>
      <c r="O684" t="n">
        <v>0</v>
      </c>
      <c r="P684" t="n">
        <v>0</v>
      </c>
      <c r="Q684" t="n">
        <v>0</v>
      </c>
      <c r="R684" s="2" t="inlineStr"/>
    </row>
    <row r="685" ht="15" customHeight="1">
      <c r="A685" t="inlineStr">
        <is>
          <t>A 34838-2023</t>
        </is>
      </c>
      <c r="B685" s="1" t="n">
        <v>45141.76530092592</v>
      </c>
      <c r="C685" s="1" t="n">
        <v>46105</v>
      </c>
      <c r="D685" t="inlineStr">
        <is>
          <t>ÖREBRO LÄN</t>
        </is>
      </c>
      <c r="E685" t="inlineStr">
        <is>
          <t>LINDESBERG</t>
        </is>
      </c>
      <c r="G685" t="n">
        <v>3</v>
      </c>
      <c r="H685" t="n">
        <v>0</v>
      </c>
      <c r="I685" t="n">
        <v>0</v>
      </c>
      <c r="J685" t="n">
        <v>0</v>
      </c>
      <c r="K685" t="n">
        <v>0</v>
      </c>
      <c r="L685" t="n">
        <v>0</v>
      </c>
      <c r="M685" t="n">
        <v>0</v>
      </c>
      <c r="N685" t="n">
        <v>0</v>
      </c>
      <c r="O685" t="n">
        <v>0</v>
      </c>
      <c r="P685" t="n">
        <v>0</v>
      </c>
      <c r="Q685" t="n">
        <v>0</v>
      </c>
      <c r="R685" s="2" t="inlineStr"/>
    </row>
    <row r="686" ht="15" customHeight="1">
      <c r="A686" t="inlineStr">
        <is>
          <t>A 31024-2023</t>
        </is>
      </c>
      <c r="B686" s="1" t="n">
        <v>45113</v>
      </c>
      <c r="C686" s="1" t="n">
        <v>46105</v>
      </c>
      <c r="D686" t="inlineStr">
        <is>
          <t>ÖREBRO LÄN</t>
        </is>
      </c>
      <c r="E686" t="inlineStr">
        <is>
          <t>LINDESBERG</t>
        </is>
      </c>
      <c r="G686" t="n">
        <v>5.1</v>
      </c>
      <c r="H686" t="n">
        <v>0</v>
      </c>
      <c r="I686" t="n">
        <v>0</v>
      </c>
      <c r="J686" t="n">
        <v>0</v>
      </c>
      <c r="K686" t="n">
        <v>0</v>
      </c>
      <c r="L686" t="n">
        <v>0</v>
      </c>
      <c r="M686" t="n">
        <v>0</v>
      </c>
      <c r="N686" t="n">
        <v>0</v>
      </c>
      <c r="O686" t="n">
        <v>0</v>
      </c>
      <c r="P686" t="n">
        <v>0</v>
      </c>
      <c r="Q686" t="n">
        <v>0</v>
      </c>
      <c r="R686" s="2" t="inlineStr"/>
    </row>
    <row r="687" ht="15" customHeight="1">
      <c r="A687" t="inlineStr">
        <is>
          <t>A 33281-2024</t>
        </is>
      </c>
      <c r="B687" s="1" t="n">
        <v>45518.71202546296</v>
      </c>
      <c r="C687" s="1" t="n">
        <v>46105</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33283-2024</t>
        </is>
      </c>
      <c r="B688" s="1" t="n">
        <v>45518.71591435185</v>
      </c>
      <c r="C688" s="1" t="n">
        <v>46105</v>
      </c>
      <c r="D688" t="inlineStr">
        <is>
          <t>ÖREBRO LÄN</t>
        </is>
      </c>
      <c r="E688" t="inlineStr">
        <is>
          <t>LINDESBERG</t>
        </is>
      </c>
      <c r="G688" t="n">
        <v>3.9</v>
      </c>
      <c r="H688" t="n">
        <v>0</v>
      </c>
      <c r="I688" t="n">
        <v>0</v>
      </c>
      <c r="J688" t="n">
        <v>0</v>
      </c>
      <c r="K688" t="n">
        <v>0</v>
      </c>
      <c r="L688" t="n">
        <v>0</v>
      </c>
      <c r="M688" t="n">
        <v>0</v>
      </c>
      <c r="N688" t="n">
        <v>0</v>
      </c>
      <c r="O688" t="n">
        <v>0</v>
      </c>
      <c r="P688" t="n">
        <v>0</v>
      </c>
      <c r="Q688" t="n">
        <v>0</v>
      </c>
      <c r="R688" s="2" t="inlineStr"/>
    </row>
    <row r="689" ht="15" customHeight="1">
      <c r="A689" t="inlineStr">
        <is>
          <t>A 61960-2024</t>
        </is>
      </c>
      <c r="B689" s="1" t="n">
        <v>45653.53664351852</v>
      </c>
      <c r="C689" s="1" t="n">
        <v>46105</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48756-2024</t>
        </is>
      </c>
      <c r="B690" s="1" t="n">
        <v>45593.59681712963</v>
      </c>
      <c r="C690" s="1" t="n">
        <v>46105</v>
      </c>
      <c r="D690" t="inlineStr">
        <is>
          <t>ÖREBRO LÄN</t>
        </is>
      </c>
      <c r="E690" t="inlineStr">
        <is>
          <t>LINDESBERG</t>
        </is>
      </c>
      <c r="G690" t="n">
        <v>1.6</v>
      </c>
      <c r="H690" t="n">
        <v>0</v>
      </c>
      <c r="I690" t="n">
        <v>0</v>
      </c>
      <c r="J690" t="n">
        <v>0</v>
      </c>
      <c r="K690" t="n">
        <v>0</v>
      </c>
      <c r="L690" t="n">
        <v>0</v>
      </c>
      <c r="M690" t="n">
        <v>0</v>
      </c>
      <c r="N690" t="n">
        <v>0</v>
      </c>
      <c r="O690" t="n">
        <v>0</v>
      </c>
      <c r="P690" t="n">
        <v>0</v>
      </c>
      <c r="Q690" t="n">
        <v>0</v>
      </c>
      <c r="R690" s="2" t="inlineStr"/>
    </row>
    <row r="691" ht="15" customHeight="1">
      <c r="A691" t="inlineStr">
        <is>
          <t>A 60449-2024</t>
        </is>
      </c>
      <c r="B691" s="1" t="n">
        <v>45643</v>
      </c>
      <c r="C691" s="1" t="n">
        <v>46105</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15060-2024</t>
        </is>
      </c>
      <c r="B692" s="1" t="n">
        <v>45399.56596064815</v>
      </c>
      <c r="C692" s="1" t="n">
        <v>46105</v>
      </c>
      <c r="D692" t="inlineStr">
        <is>
          <t>ÖREBRO LÄN</t>
        </is>
      </c>
      <c r="E692" t="inlineStr">
        <is>
          <t>LINDESBERG</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53510-2024</t>
        </is>
      </c>
      <c r="B693" s="1" t="n">
        <v>45614.5968287037</v>
      </c>
      <c r="C693" s="1" t="n">
        <v>46105</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34676-2023</t>
        </is>
      </c>
      <c r="B694" s="1" t="n">
        <v>45140</v>
      </c>
      <c r="C694" s="1" t="n">
        <v>46105</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61594-2024</t>
        </is>
      </c>
      <c r="B695" s="1" t="n">
        <v>45646.63482638889</v>
      </c>
      <c r="C695" s="1" t="n">
        <v>46105</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40563-2023</t>
        </is>
      </c>
      <c r="B696" s="1" t="n">
        <v>45170.45921296296</v>
      </c>
      <c r="C696" s="1" t="n">
        <v>46105</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7026-2024</t>
        </is>
      </c>
      <c r="B697" s="1" t="n">
        <v>45343.58587962963</v>
      </c>
      <c r="C697" s="1" t="n">
        <v>46105</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41353-2024</t>
        </is>
      </c>
      <c r="B698" s="1" t="n">
        <v>45559</v>
      </c>
      <c r="C698" s="1" t="n">
        <v>46105</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51379-2023</t>
        </is>
      </c>
      <c r="B699" s="1" t="n">
        <v>45219</v>
      </c>
      <c r="C699" s="1" t="n">
        <v>46105</v>
      </c>
      <c r="D699" t="inlineStr">
        <is>
          <t>ÖREBRO LÄN</t>
        </is>
      </c>
      <c r="E699" t="inlineStr">
        <is>
          <t>LINDESBERG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5080-2024</t>
        </is>
      </c>
      <c r="B700" s="1" t="n">
        <v>45330</v>
      </c>
      <c r="C700" s="1" t="n">
        <v>46105</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12307-2025</t>
        </is>
      </c>
      <c r="B701" s="1" t="n">
        <v>45729.76231481481</v>
      </c>
      <c r="C701" s="1" t="n">
        <v>46105</v>
      </c>
      <c r="D701" t="inlineStr">
        <is>
          <t>ÖREBRO LÄN</t>
        </is>
      </c>
      <c r="E701" t="inlineStr">
        <is>
          <t>LINDESBERG</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45056-2024</t>
        </is>
      </c>
      <c r="B702" s="1" t="n">
        <v>45575.55273148148</v>
      </c>
      <c r="C702" s="1" t="n">
        <v>46105</v>
      </c>
      <c r="D702" t="inlineStr">
        <is>
          <t>ÖREBRO LÄN</t>
        </is>
      </c>
      <c r="E702" t="inlineStr">
        <is>
          <t>LINDESBERG</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45058-2024</t>
        </is>
      </c>
      <c r="B703" s="1" t="n">
        <v>45575.5547337963</v>
      </c>
      <c r="C703" s="1" t="n">
        <v>46105</v>
      </c>
      <c r="D703" t="inlineStr">
        <is>
          <t>ÖREBRO LÄN</t>
        </is>
      </c>
      <c r="E703" t="inlineStr">
        <is>
          <t>LINDESBERG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45063-2024</t>
        </is>
      </c>
      <c r="B704" s="1" t="n">
        <v>45575.55684027778</v>
      </c>
      <c r="C704" s="1" t="n">
        <v>46105</v>
      </c>
      <c r="D704" t="inlineStr">
        <is>
          <t>ÖREBRO LÄN</t>
        </is>
      </c>
      <c r="E704" t="inlineStr">
        <is>
          <t>LINDESBERG</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45072-2024</t>
        </is>
      </c>
      <c r="B705" s="1" t="n">
        <v>45575.56686342593</v>
      </c>
      <c r="C705" s="1" t="n">
        <v>46105</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45075-2024</t>
        </is>
      </c>
      <c r="B706" s="1" t="n">
        <v>45575.56820601852</v>
      </c>
      <c r="C706" s="1" t="n">
        <v>46105</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41948-2023</t>
        </is>
      </c>
      <c r="B707" s="1" t="n">
        <v>45177.33091435185</v>
      </c>
      <c r="C707" s="1" t="n">
        <v>46105</v>
      </c>
      <c r="D707" t="inlineStr">
        <is>
          <t>ÖREBRO LÄN</t>
        </is>
      </c>
      <c r="E707" t="inlineStr">
        <is>
          <t>LINDESBERG</t>
        </is>
      </c>
      <c r="F707" t="inlineStr">
        <is>
          <t>Kyrkan</t>
        </is>
      </c>
      <c r="G707" t="n">
        <v>1.4</v>
      </c>
      <c r="H707" t="n">
        <v>0</v>
      </c>
      <c r="I707" t="n">
        <v>0</v>
      </c>
      <c r="J707" t="n">
        <v>0</v>
      </c>
      <c r="K707" t="n">
        <v>0</v>
      </c>
      <c r="L707" t="n">
        <v>0</v>
      </c>
      <c r="M707" t="n">
        <v>0</v>
      </c>
      <c r="N707" t="n">
        <v>0</v>
      </c>
      <c r="O707" t="n">
        <v>0</v>
      </c>
      <c r="P707" t="n">
        <v>0</v>
      </c>
      <c r="Q707" t="n">
        <v>0</v>
      </c>
      <c r="R707" s="2" t="inlineStr"/>
    </row>
    <row r="708" ht="15" customHeight="1">
      <c r="A708" t="inlineStr">
        <is>
          <t>A 67016-2021</t>
        </is>
      </c>
      <c r="B708" s="1" t="n">
        <v>44522</v>
      </c>
      <c r="C708" s="1" t="n">
        <v>46105</v>
      </c>
      <c r="D708" t="inlineStr">
        <is>
          <t>ÖREBRO LÄN</t>
        </is>
      </c>
      <c r="E708" t="inlineStr">
        <is>
          <t>LINDESBERG</t>
        </is>
      </c>
      <c r="G708" t="n">
        <v>8</v>
      </c>
      <c r="H708" t="n">
        <v>0</v>
      </c>
      <c r="I708" t="n">
        <v>0</v>
      </c>
      <c r="J708" t="n">
        <v>0</v>
      </c>
      <c r="K708" t="n">
        <v>0</v>
      </c>
      <c r="L708" t="n">
        <v>0</v>
      </c>
      <c r="M708" t="n">
        <v>0</v>
      </c>
      <c r="N708" t="n">
        <v>0</v>
      </c>
      <c r="O708" t="n">
        <v>0</v>
      </c>
      <c r="P708" t="n">
        <v>0</v>
      </c>
      <c r="Q708" t="n">
        <v>0</v>
      </c>
      <c r="R708" s="2" t="inlineStr"/>
    </row>
    <row r="709" ht="15" customHeight="1">
      <c r="A709" t="inlineStr">
        <is>
          <t>A 10111-2022</t>
        </is>
      </c>
      <c r="B709" s="1" t="n">
        <v>44621.85737268518</v>
      </c>
      <c r="C709" s="1" t="n">
        <v>46105</v>
      </c>
      <c r="D709" t="inlineStr">
        <is>
          <t>ÖREBRO LÄN</t>
        </is>
      </c>
      <c r="E709" t="inlineStr">
        <is>
          <t>LINDESBERG</t>
        </is>
      </c>
      <c r="G709" t="n">
        <v>2.4</v>
      </c>
      <c r="H709" t="n">
        <v>0</v>
      </c>
      <c r="I709" t="n">
        <v>0</v>
      </c>
      <c r="J709" t="n">
        <v>0</v>
      </c>
      <c r="K709" t="n">
        <v>0</v>
      </c>
      <c r="L709" t="n">
        <v>0</v>
      </c>
      <c r="M709" t="n">
        <v>0</v>
      </c>
      <c r="N709" t="n">
        <v>0</v>
      </c>
      <c r="O709" t="n">
        <v>0</v>
      </c>
      <c r="P709" t="n">
        <v>0</v>
      </c>
      <c r="Q709" t="n">
        <v>0</v>
      </c>
      <c r="R709" s="2" t="inlineStr"/>
    </row>
    <row r="710" ht="15" customHeight="1">
      <c r="A710" t="inlineStr">
        <is>
          <t>A 19960-2023</t>
        </is>
      </c>
      <c r="B710" s="1" t="n">
        <v>45054</v>
      </c>
      <c r="C710" s="1" t="n">
        <v>46105</v>
      </c>
      <c r="D710" t="inlineStr">
        <is>
          <t>ÖREBRO LÄN</t>
        </is>
      </c>
      <c r="E710" t="inlineStr">
        <is>
          <t>LINDESBERG</t>
        </is>
      </c>
      <c r="G710" t="n">
        <v>6.2</v>
      </c>
      <c r="H710" t="n">
        <v>0</v>
      </c>
      <c r="I710" t="n">
        <v>0</v>
      </c>
      <c r="J710" t="n">
        <v>0</v>
      </c>
      <c r="K710" t="n">
        <v>0</v>
      </c>
      <c r="L710" t="n">
        <v>0</v>
      </c>
      <c r="M710" t="n">
        <v>0</v>
      </c>
      <c r="N710" t="n">
        <v>0</v>
      </c>
      <c r="O710" t="n">
        <v>0</v>
      </c>
      <c r="P710" t="n">
        <v>0</v>
      </c>
      <c r="Q710" t="n">
        <v>0</v>
      </c>
      <c r="R710" s="2" t="inlineStr"/>
    </row>
    <row r="711" ht="15" customHeight="1">
      <c r="A711" t="inlineStr">
        <is>
          <t>A 50972-2023</t>
        </is>
      </c>
      <c r="B711" s="1" t="n">
        <v>45218</v>
      </c>
      <c r="C711" s="1" t="n">
        <v>46105</v>
      </c>
      <c r="D711" t="inlineStr">
        <is>
          <t>ÖREBRO LÄN</t>
        </is>
      </c>
      <c r="E711" t="inlineStr">
        <is>
          <t>LINDESBERG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33507-2023</t>
        </is>
      </c>
      <c r="B712" s="1" t="n">
        <v>45131</v>
      </c>
      <c r="C712" s="1" t="n">
        <v>46105</v>
      </c>
      <c r="D712" t="inlineStr">
        <is>
          <t>ÖREBRO LÄN</t>
        </is>
      </c>
      <c r="E712" t="inlineStr">
        <is>
          <t>LINDESBERG</t>
        </is>
      </c>
      <c r="G712" t="n">
        <v>3.2</v>
      </c>
      <c r="H712" t="n">
        <v>0</v>
      </c>
      <c r="I712" t="n">
        <v>0</v>
      </c>
      <c r="J712" t="n">
        <v>0</v>
      </c>
      <c r="K712" t="n">
        <v>0</v>
      </c>
      <c r="L712" t="n">
        <v>0</v>
      </c>
      <c r="M712" t="n">
        <v>0</v>
      </c>
      <c r="N712" t="n">
        <v>0</v>
      </c>
      <c r="O712" t="n">
        <v>0</v>
      </c>
      <c r="P712" t="n">
        <v>0</v>
      </c>
      <c r="Q712" t="n">
        <v>0</v>
      </c>
      <c r="R712" s="2" t="inlineStr"/>
    </row>
    <row r="713" ht="15" customHeight="1">
      <c r="A713" t="inlineStr">
        <is>
          <t>A 2406-2024</t>
        </is>
      </c>
      <c r="B713" s="1" t="n">
        <v>45310</v>
      </c>
      <c r="C713" s="1" t="n">
        <v>46105</v>
      </c>
      <c r="D713" t="inlineStr">
        <is>
          <t>ÖREBRO LÄN</t>
        </is>
      </c>
      <c r="E713" t="inlineStr">
        <is>
          <t>LINDESBERG</t>
        </is>
      </c>
      <c r="G713" t="n">
        <v>16.1</v>
      </c>
      <c r="H713" t="n">
        <v>0</v>
      </c>
      <c r="I713" t="n">
        <v>0</v>
      </c>
      <c r="J713" t="n">
        <v>0</v>
      </c>
      <c r="K713" t="n">
        <v>0</v>
      </c>
      <c r="L713" t="n">
        <v>0</v>
      </c>
      <c r="M713" t="n">
        <v>0</v>
      </c>
      <c r="N713" t="n">
        <v>0</v>
      </c>
      <c r="O713" t="n">
        <v>0</v>
      </c>
      <c r="P713" t="n">
        <v>0</v>
      </c>
      <c r="Q713" t="n">
        <v>0</v>
      </c>
      <c r="R713" s="2" t="inlineStr"/>
    </row>
    <row r="714" ht="15" customHeight="1">
      <c r="A714" t="inlineStr">
        <is>
          <t>A 17895-2022</t>
        </is>
      </c>
      <c r="B714" s="1" t="n">
        <v>44683</v>
      </c>
      <c r="C714" s="1" t="n">
        <v>46105</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1395-2025</t>
        </is>
      </c>
      <c r="B715" s="1" t="n">
        <v>45667</v>
      </c>
      <c r="C715" s="1" t="n">
        <v>46105</v>
      </c>
      <c r="D715" t="inlineStr">
        <is>
          <t>ÖREBRO LÄN</t>
        </is>
      </c>
      <c r="E715" t="inlineStr">
        <is>
          <t>LINDESBERG</t>
        </is>
      </c>
      <c r="G715" t="n">
        <v>4.6</v>
      </c>
      <c r="H715" t="n">
        <v>0</v>
      </c>
      <c r="I715" t="n">
        <v>0</v>
      </c>
      <c r="J715" t="n">
        <v>0</v>
      </c>
      <c r="K715" t="n">
        <v>0</v>
      </c>
      <c r="L715" t="n">
        <v>0</v>
      </c>
      <c r="M715" t="n">
        <v>0</v>
      </c>
      <c r="N715" t="n">
        <v>0</v>
      </c>
      <c r="O715" t="n">
        <v>0</v>
      </c>
      <c r="P715" t="n">
        <v>0</v>
      </c>
      <c r="Q715" t="n">
        <v>0</v>
      </c>
      <c r="R715" s="2" t="inlineStr"/>
    </row>
    <row r="716" ht="15" customHeight="1">
      <c r="A716" t="inlineStr">
        <is>
          <t>A 52928-2024</t>
        </is>
      </c>
      <c r="B716" s="1" t="n">
        <v>45610</v>
      </c>
      <c r="C716" s="1" t="n">
        <v>46105</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33716-2021</t>
        </is>
      </c>
      <c r="B717" s="1" t="n">
        <v>44378.46857638889</v>
      </c>
      <c r="C717" s="1" t="n">
        <v>46105</v>
      </c>
      <c r="D717" t="inlineStr">
        <is>
          <t>ÖREBRO LÄN</t>
        </is>
      </c>
      <c r="E717" t="inlineStr">
        <is>
          <t>LINDESBERG</t>
        </is>
      </c>
      <c r="G717" t="n">
        <v>4.6</v>
      </c>
      <c r="H717" t="n">
        <v>0</v>
      </c>
      <c r="I717" t="n">
        <v>0</v>
      </c>
      <c r="J717" t="n">
        <v>0</v>
      </c>
      <c r="K717" t="n">
        <v>0</v>
      </c>
      <c r="L717" t="n">
        <v>0</v>
      </c>
      <c r="M717" t="n">
        <v>0</v>
      </c>
      <c r="N717" t="n">
        <v>0</v>
      </c>
      <c r="O717" t="n">
        <v>0</v>
      </c>
      <c r="P717" t="n">
        <v>0</v>
      </c>
      <c r="Q717" t="n">
        <v>0</v>
      </c>
      <c r="R717" s="2" t="inlineStr"/>
    </row>
    <row r="718" ht="15" customHeight="1">
      <c r="A718" t="inlineStr">
        <is>
          <t>A 40970-2023</t>
        </is>
      </c>
      <c r="B718" s="1" t="n">
        <v>45173</v>
      </c>
      <c r="C718" s="1" t="n">
        <v>46105</v>
      </c>
      <c r="D718" t="inlineStr">
        <is>
          <t>ÖREBRO LÄN</t>
        </is>
      </c>
      <c r="E718" t="inlineStr">
        <is>
          <t>LINDESBERG</t>
        </is>
      </c>
      <c r="G718" t="n">
        <v>2.1</v>
      </c>
      <c r="H718" t="n">
        <v>0</v>
      </c>
      <c r="I718" t="n">
        <v>0</v>
      </c>
      <c r="J718" t="n">
        <v>0</v>
      </c>
      <c r="K718" t="n">
        <v>0</v>
      </c>
      <c r="L718" t="n">
        <v>0</v>
      </c>
      <c r="M718" t="n">
        <v>0</v>
      </c>
      <c r="N718" t="n">
        <v>0</v>
      </c>
      <c r="O718" t="n">
        <v>0</v>
      </c>
      <c r="P718" t="n">
        <v>0</v>
      </c>
      <c r="Q718" t="n">
        <v>0</v>
      </c>
      <c r="R718" s="2" t="inlineStr"/>
    </row>
    <row r="719" ht="15" customHeight="1">
      <c r="A719" t="inlineStr">
        <is>
          <t>A 13729-2025</t>
        </is>
      </c>
      <c r="B719" s="1" t="n">
        <v>45737.3846412037</v>
      </c>
      <c r="C719" s="1" t="n">
        <v>46105</v>
      </c>
      <c r="D719" t="inlineStr">
        <is>
          <t>ÖREBRO LÄN</t>
        </is>
      </c>
      <c r="E719" t="inlineStr">
        <is>
          <t>LINDESBERG</t>
        </is>
      </c>
      <c r="F719" t="inlineStr">
        <is>
          <t>Sveaskog</t>
        </is>
      </c>
      <c r="G719" t="n">
        <v>5.4</v>
      </c>
      <c r="H719" t="n">
        <v>0</v>
      </c>
      <c r="I719" t="n">
        <v>0</v>
      </c>
      <c r="J719" t="n">
        <v>0</v>
      </c>
      <c r="K719" t="n">
        <v>0</v>
      </c>
      <c r="L719" t="n">
        <v>0</v>
      </c>
      <c r="M719" t="n">
        <v>0</v>
      </c>
      <c r="N719" t="n">
        <v>0</v>
      </c>
      <c r="O719" t="n">
        <v>0</v>
      </c>
      <c r="P719" t="n">
        <v>0</v>
      </c>
      <c r="Q719" t="n">
        <v>0</v>
      </c>
      <c r="R719" s="2" t="inlineStr"/>
    </row>
    <row r="720" ht="15" customHeight="1">
      <c r="A720" t="inlineStr">
        <is>
          <t>A 60492-2024</t>
        </is>
      </c>
      <c r="B720" s="1" t="n">
        <v>45642</v>
      </c>
      <c r="C720" s="1" t="n">
        <v>46105</v>
      </c>
      <c r="D720" t="inlineStr">
        <is>
          <t>ÖREBRO LÄN</t>
        </is>
      </c>
      <c r="E720" t="inlineStr">
        <is>
          <t>LINDESBERG</t>
        </is>
      </c>
      <c r="G720" t="n">
        <v>2.6</v>
      </c>
      <c r="H720" t="n">
        <v>0</v>
      </c>
      <c r="I720" t="n">
        <v>0</v>
      </c>
      <c r="J720" t="n">
        <v>0</v>
      </c>
      <c r="K720" t="n">
        <v>0</v>
      </c>
      <c r="L720" t="n">
        <v>0</v>
      </c>
      <c r="M720" t="n">
        <v>0</v>
      </c>
      <c r="N720" t="n">
        <v>0</v>
      </c>
      <c r="O720" t="n">
        <v>0</v>
      </c>
      <c r="P720" t="n">
        <v>0</v>
      </c>
      <c r="Q720" t="n">
        <v>0</v>
      </c>
      <c r="R720" s="2" t="inlineStr"/>
    </row>
    <row r="721" ht="15" customHeight="1">
      <c r="A721" t="inlineStr">
        <is>
          <t>A 40117-2023</t>
        </is>
      </c>
      <c r="B721" s="1" t="n">
        <v>45168.94197916667</v>
      </c>
      <c r="C721" s="1" t="n">
        <v>46105</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11366-2024</t>
        </is>
      </c>
      <c r="B722" s="1" t="n">
        <v>45372.40246527778</v>
      </c>
      <c r="C722" s="1" t="n">
        <v>46105</v>
      </c>
      <c r="D722" t="inlineStr">
        <is>
          <t>ÖREBRO LÄN</t>
        </is>
      </c>
      <c r="E722" t="inlineStr">
        <is>
          <t>LINDESBERG</t>
        </is>
      </c>
      <c r="G722" t="n">
        <v>4.4</v>
      </c>
      <c r="H722" t="n">
        <v>0</v>
      </c>
      <c r="I722" t="n">
        <v>0</v>
      </c>
      <c r="J722" t="n">
        <v>0</v>
      </c>
      <c r="K722" t="n">
        <v>0</v>
      </c>
      <c r="L722" t="n">
        <v>0</v>
      </c>
      <c r="M722" t="n">
        <v>0</v>
      </c>
      <c r="N722" t="n">
        <v>0</v>
      </c>
      <c r="O722" t="n">
        <v>0</v>
      </c>
      <c r="P722" t="n">
        <v>0</v>
      </c>
      <c r="Q722" t="n">
        <v>0</v>
      </c>
      <c r="R722" s="2" t="inlineStr"/>
    </row>
    <row r="723" ht="15" customHeight="1">
      <c r="A723" t="inlineStr">
        <is>
          <t>A 60943-2024</t>
        </is>
      </c>
      <c r="B723" s="1" t="n">
        <v>45645.3737962963</v>
      </c>
      <c r="C723" s="1" t="n">
        <v>46105</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46105</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47620-2023</t>
        </is>
      </c>
      <c r="B725" s="1" t="n">
        <v>45203.510625</v>
      </c>
      <c r="C725" s="1" t="n">
        <v>46105</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44010-2023</t>
        </is>
      </c>
      <c r="B726" s="1" t="n">
        <v>45188</v>
      </c>
      <c r="C726" s="1" t="n">
        <v>46105</v>
      </c>
      <c r="D726" t="inlineStr">
        <is>
          <t>ÖREBRO LÄN</t>
        </is>
      </c>
      <c r="E726" t="inlineStr">
        <is>
          <t>LINDESBERG</t>
        </is>
      </c>
      <c r="G726" t="n">
        <v>2.3</v>
      </c>
      <c r="H726" t="n">
        <v>0</v>
      </c>
      <c r="I726" t="n">
        <v>0</v>
      </c>
      <c r="J726" t="n">
        <v>0</v>
      </c>
      <c r="K726" t="n">
        <v>0</v>
      </c>
      <c r="L726" t="n">
        <v>0</v>
      </c>
      <c r="M726" t="n">
        <v>0</v>
      </c>
      <c r="N726" t="n">
        <v>0</v>
      </c>
      <c r="O726" t="n">
        <v>0</v>
      </c>
      <c r="P726" t="n">
        <v>0</v>
      </c>
      <c r="Q726" t="n">
        <v>0</v>
      </c>
      <c r="R726" s="2" t="inlineStr"/>
    </row>
    <row r="727" ht="15" customHeight="1">
      <c r="A727" t="inlineStr">
        <is>
          <t>A 2107-2022</t>
        </is>
      </c>
      <c r="B727" s="1" t="n">
        <v>44577.83484953704</v>
      </c>
      <c r="C727" s="1" t="n">
        <v>46105</v>
      </c>
      <c r="D727" t="inlineStr">
        <is>
          <t>ÖREBRO LÄN</t>
        </is>
      </c>
      <c r="E727" t="inlineStr">
        <is>
          <t>LINDESBERG</t>
        </is>
      </c>
      <c r="G727" t="n">
        <v>2.9</v>
      </c>
      <c r="H727" t="n">
        <v>0</v>
      </c>
      <c r="I727" t="n">
        <v>0</v>
      </c>
      <c r="J727" t="n">
        <v>0</v>
      </c>
      <c r="K727" t="n">
        <v>0</v>
      </c>
      <c r="L727" t="n">
        <v>0</v>
      </c>
      <c r="M727" t="n">
        <v>0</v>
      </c>
      <c r="N727" t="n">
        <v>0</v>
      </c>
      <c r="O727" t="n">
        <v>0</v>
      </c>
      <c r="P727" t="n">
        <v>0</v>
      </c>
      <c r="Q727" t="n">
        <v>0</v>
      </c>
      <c r="R727" s="2" t="inlineStr"/>
    </row>
    <row r="728" ht="15" customHeight="1">
      <c r="A728" t="inlineStr">
        <is>
          <t>A 16864-2022</t>
        </is>
      </c>
      <c r="B728" s="1" t="n">
        <v>44675</v>
      </c>
      <c r="C728" s="1" t="n">
        <v>46105</v>
      </c>
      <c r="D728" t="inlineStr">
        <is>
          <t>ÖREBRO LÄN</t>
        </is>
      </c>
      <c r="E728" t="inlineStr">
        <is>
          <t>LINDESBERG</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32928-2023</t>
        </is>
      </c>
      <c r="B729" s="1" t="n">
        <v>45125.41458333333</v>
      </c>
      <c r="C729" s="1" t="n">
        <v>46105</v>
      </c>
      <c r="D729" t="inlineStr">
        <is>
          <t>ÖREBRO LÄN</t>
        </is>
      </c>
      <c r="E729" t="inlineStr">
        <is>
          <t>LINDESBERG</t>
        </is>
      </c>
      <c r="G729" t="n">
        <v>4.8</v>
      </c>
      <c r="H729" t="n">
        <v>0</v>
      </c>
      <c r="I729" t="n">
        <v>0</v>
      </c>
      <c r="J729" t="n">
        <v>0</v>
      </c>
      <c r="K729" t="n">
        <v>0</v>
      </c>
      <c r="L729" t="n">
        <v>0</v>
      </c>
      <c r="M729" t="n">
        <v>0</v>
      </c>
      <c r="N729" t="n">
        <v>0</v>
      </c>
      <c r="O729" t="n">
        <v>0</v>
      </c>
      <c r="P729" t="n">
        <v>0</v>
      </c>
      <c r="Q729" t="n">
        <v>0</v>
      </c>
      <c r="R729" s="2" t="inlineStr"/>
    </row>
    <row r="730" ht="15" customHeight="1">
      <c r="A730" t="inlineStr">
        <is>
          <t>A 21016-2023</t>
        </is>
      </c>
      <c r="B730" s="1" t="n">
        <v>45061.53414351852</v>
      </c>
      <c r="C730" s="1" t="n">
        <v>46105</v>
      </c>
      <c r="D730" t="inlineStr">
        <is>
          <t>ÖREBRO LÄN</t>
        </is>
      </c>
      <c r="E730" t="inlineStr">
        <is>
          <t>LINDESBERG</t>
        </is>
      </c>
      <c r="G730" t="n">
        <v>8.1</v>
      </c>
      <c r="H730" t="n">
        <v>0</v>
      </c>
      <c r="I730" t="n">
        <v>0</v>
      </c>
      <c r="J730" t="n">
        <v>0</v>
      </c>
      <c r="K730" t="n">
        <v>0</v>
      </c>
      <c r="L730" t="n">
        <v>0</v>
      </c>
      <c r="M730" t="n">
        <v>0</v>
      </c>
      <c r="N730" t="n">
        <v>0</v>
      </c>
      <c r="O730" t="n">
        <v>0</v>
      </c>
      <c r="P730" t="n">
        <v>0</v>
      </c>
      <c r="Q730" t="n">
        <v>0</v>
      </c>
      <c r="R730" s="2" t="inlineStr"/>
    </row>
    <row r="731" ht="15" customHeight="1">
      <c r="A731" t="inlineStr">
        <is>
          <t>A 40306-2022</t>
        </is>
      </c>
      <c r="B731" s="1" t="n">
        <v>44822</v>
      </c>
      <c r="C731" s="1" t="n">
        <v>46105</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27440-2023</t>
        </is>
      </c>
      <c r="B732" s="1" t="n">
        <v>45097.39893518519</v>
      </c>
      <c r="C732" s="1" t="n">
        <v>46105</v>
      </c>
      <c r="D732" t="inlineStr">
        <is>
          <t>ÖREBRO LÄN</t>
        </is>
      </c>
      <c r="E732" t="inlineStr">
        <is>
          <t>LINDESBERG</t>
        </is>
      </c>
      <c r="G732" t="n">
        <v>6.6</v>
      </c>
      <c r="H732" t="n">
        <v>0</v>
      </c>
      <c r="I732" t="n">
        <v>0</v>
      </c>
      <c r="J732" t="n">
        <v>0</v>
      </c>
      <c r="K732" t="n">
        <v>0</v>
      </c>
      <c r="L732" t="n">
        <v>0</v>
      </c>
      <c r="M732" t="n">
        <v>0</v>
      </c>
      <c r="N732" t="n">
        <v>0</v>
      </c>
      <c r="O732" t="n">
        <v>0</v>
      </c>
      <c r="P732" t="n">
        <v>0</v>
      </c>
      <c r="Q732" t="n">
        <v>0</v>
      </c>
      <c r="R732" s="2" t="inlineStr"/>
    </row>
    <row r="733" ht="15" customHeight="1">
      <c r="A733" t="inlineStr">
        <is>
          <t>A 40905-2023</t>
        </is>
      </c>
      <c r="B733" s="1" t="n">
        <v>45173.39315972223</v>
      </c>
      <c r="C733" s="1" t="n">
        <v>46105</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41951-2023</t>
        </is>
      </c>
      <c r="B734" s="1" t="n">
        <v>45177.33991898148</v>
      </c>
      <c r="C734" s="1" t="n">
        <v>46105</v>
      </c>
      <c r="D734" t="inlineStr">
        <is>
          <t>ÖREBRO LÄN</t>
        </is>
      </c>
      <c r="E734" t="inlineStr">
        <is>
          <t>LINDESBERG</t>
        </is>
      </c>
      <c r="F734" t="inlineStr">
        <is>
          <t>Kyrkan</t>
        </is>
      </c>
      <c r="G734" t="n">
        <v>3.3</v>
      </c>
      <c r="H734" t="n">
        <v>0</v>
      </c>
      <c r="I734" t="n">
        <v>0</v>
      </c>
      <c r="J734" t="n">
        <v>0</v>
      </c>
      <c r="K734" t="n">
        <v>0</v>
      </c>
      <c r="L734" t="n">
        <v>0</v>
      </c>
      <c r="M734" t="n">
        <v>0</v>
      </c>
      <c r="N734" t="n">
        <v>0</v>
      </c>
      <c r="O734" t="n">
        <v>0</v>
      </c>
      <c r="P734" t="n">
        <v>0</v>
      </c>
      <c r="Q734" t="n">
        <v>0</v>
      </c>
      <c r="R734" s="2" t="inlineStr"/>
    </row>
    <row r="735" ht="15" customHeight="1">
      <c r="A735" t="inlineStr">
        <is>
          <t>A 4310-2025</t>
        </is>
      </c>
      <c r="B735" s="1" t="n">
        <v>45685</v>
      </c>
      <c r="C735" s="1" t="n">
        <v>46105</v>
      </c>
      <c r="D735" t="inlineStr">
        <is>
          <t>ÖREBRO LÄN</t>
        </is>
      </c>
      <c r="E735" t="inlineStr">
        <is>
          <t>LINDESBERG</t>
        </is>
      </c>
      <c r="G735" t="n">
        <v>1.2</v>
      </c>
      <c r="H735" t="n">
        <v>0</v>
      </c>
      <c r="I735" t="n">
        <v>0</v>
      </c>
      <c r="J735" t="n">
        <v>0</v>
      </c>
      <c r="K735" t="n">
        <v>0</v>
      </c>
      <c r="L735" t="n">
        <v>0</v>
      </c>
      <c r="M735" t="n">
        <v>0</v>
      </c>
      <c r="N735" t="n">
        <v>0</v>
      </c>
      <c r="O735" t="n">
        <v>0</v>
      </c>
      <c r="P735" t="n">
        <v>0</v>
      </c>
      <c r="Q735" t="n">
        <v>0</v>
      </c>
      <c r="R735" s="2" t="inlineStr"/>
    </row>
    <row r="736" ht="15" customHeight="1">
      <c r="A736" t="inlineStr">
        <is>
          <t>A 40758-2021</t>
        </is>
      </c>
      <c r="B736" s="1" t="n">
        <v>44420</v>
      </c>
      <c r="C736" s="1" t="n">
        <v>46105</v>
      </c>
      <c r="D736" t="inlineStr">
        <is>
          <t>ÖREBRO LÄN</t>
        </is>
      </c>
      <c r="E736" t="inlineStr">
        <is>
          <t>LINDESBERG</t>
        </is>
      </c>
      <c r="G736" t="n">
        <v>5</v>
      </c>
      <c r="H736" t="n">
        <v>0</v>
      </c>
      <c r="I736" t="n">
        <v>0</v>
      </c>
      <c r="J736" t="n">
        <v>0</v>
      </c>
      <c r="K736" t="n">
        <v>0</v>
      </c>
      <c r="L736" t="n">
        <v>0</v>
      </c>
      <c r="M736" t="n">
        <v>0</v>
      </c>
      <c r="N736" t="n">
        <v>0</v>
      </c>
      <c r="O736" t="n">
        <v>0</v>
      </c>
      <c r="P736" t="n">
        <v>0</v>
      </c>
      <c r="Q736" t="n">
        <v>0</v>
      </c>
      <c r="R736" s="2" t="inlineStr"/>
    </row>
    <row r="737" ht="15" customHeight="1">
      <c r="A737" t="inlineStr">
        <is>
          <t>A 34025-2024</t>
        </is>
      </c>
      <c r="B737" s="1" t="n">
        <v>45523.58565972222</v>
      </c>
      <c r="C737" s="1" t="n">
        <v>46105</v>
      </c>
      <c r="D737" t="inlineStr">
        <is>
          <t>ÖREBRO LÄN</t>
        </is>
      </c>
      <c r="E737" t="inlineStr">
        <is>
          <t>LINDESBERG</t>
        </is>
      </c>
      <c r="G737" t="n">
        <v>1.3</v>
      </c>
      <c r="H737" t="n">
        <v>0</v>
      </c>
      <c r="I737" t="n">
        <v>0</v>
      </c>
      <c r="J737" t="n">
        <v>0</v>
      </c>
      <c r="K737" t="n">
        <v>0</v>
      </c>
      <c r="L737" t="n">
        <v>0</v>
      </c>
      <c r="M737" t="n">
        <v>0</v>
      </c>
      <c r="N737" t="n">
        <v>0</v>
      </c>
      <c r="O737" t="n">
        <v>0</v>
      </c>
      <c r="P737" t="n">
        <v>0</v>
      </c>
      <c r="Q737" t="n">
        <v>0</v>
      </c>
      <c r="R737" s="2" t="inlineStr"/>
    </row>
    <row r="738" ht="15" customHeight="1">
      <c r="A738" t="inlineStr">
        <is>
          <t>A 7990-2025</t>
        </is>
      </c>
      <c r="B738" s="1" t="n">
        <v>45707</v>
      </c>
      <c r="C738" s="1" t="n">
        <v>46105</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61691-2023</t>
        </is>
      </c>
      <c r="B739" s="1" t="n">
        <v>45265.64142361111</v>
      </c>
      <c r="C739" s="1" t="n">
        <v>46105</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37507-2023</t>
        </is>
      </c>
      <c r="B740" s="1" t="n">
        <v>45158.41768518519</v>
      </c>
      <c r="C740" s="1" t="n">
        <v>46105</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41576-2021</t>
        </is>
      </c>
      <c r="B741" s="1" t="n">
        <v>44425</v>
      </c>
      <c r="C741" s="1" t="n">
        <v>46105</v>
      </c>
      <c r="D741" t="inlineStr">
        <is>
          <t>ÖREBRO LÄN</t>
        </is>
      </c>
      <c r="E741" t="inlineStr">
        <is>
          <t>LINDESBERG</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46675-2023</t>
        </is>
      </c>
      <c r="B742" s="1" t="n">
        <v>45194</v>
      </c>
      <c r="C742" s="1" t="n">
        <v>46105</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34434-2023</t>
        </is>
      </c>
      <c r="B743" s="1" t="n">
        <v>45139.63480324074</v>
      </c>
      <c r="C743" s="1" t="n">
        <v>46105</v>
      </c>
      <c r="D743" t="inlineStr">
        <is>
          <t>ÖREBRO LÄN</t>
        </is>
      </c>
      <c r="E743" t="inlineStr">
        <is>
          <t>LINDESBERG</t>
        </is>
      </c>
      <c r="F743" t="inlineStr">
        <is>
          <t>Kyrkan</t>
        </is>
      </c>
      <c r="G743" t="n">
        <v>1.7</v>
      </c>
      <c r="H743" t="n">
        <v>0</v>
      </c>
      <c r="I743" t="n">
        <v>0</v>
      </c>
      <c r="J743" t="n">
        <v>0</v>
      </c>
      <c r="K743" t="n">
        <v>0</v>
      </c>
      <c r="L743" t="n">
        <v>0</v>
      </c>
      <c r="M743" t="n">
        <v>0</v>
      </c>
      <c r="N743" t="n">
        <v>0</v>
      </c>
      <c r="O743" t="n">
        <v>0</v>
      </c>
      <c r="P743" t="n">
        <v>0</v>
      </c>
      <c r="Q743" t="n">
        <v>0</v>
      </c>
      <c r="R743" s="2" t="inlineStr"/>
    </row>
    <row r="744" ht="15" customHeight="1">
      <c r="A744" t="inlineStr">
        <is>
          <t>A 54432-2023</t>
        </is>
      </c>
      <c r="B744" s="1" t="n">
        <v>45233.42121527778</v>
      </c>
      <c r="C744" s="1" t="n">
        <v>46105</v>
      </c>
      <c r="D744" t="inlineStr">
        <is>
          <t>ÖREBRO LÄN</t>
        </is>
      </c>
      <c r="E744" t="inlineStr">
        <is>
          <t>LINDESBERG</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15933-2025</t>
        </is>
      </c>
      <c r="B745" s="1" t="n">
        <v>45749.47251157407</v>
      </c>
      <c r="C745" s="1" t="n">
        <v>46105</v>
      </c>
      <c r="D745" t="inlineStr">
        <is>
          <t>ÖREBRO LÄN</t>
        </is>
      </c>
      <c r="E745" t="inlineStr">
        <is>
          <t>LINDESBERG</t>
        </is>
      </c>
      <c r="G745" t="n">
        <v>6.1</v>
      </c>
      <c r="H745" t="n">
        <v>0</v>
      </c>
      <c r="I745" t="n">
        <v>0</v>
      </c>
      <c r="J745" t="n">
        <v>0</v>
      </c>
      <c r="K745" t="n">
        <v>0</v>
      </c>
      <c r="L745" t="n">
        <v>0</v>
      </c>
      <c r="M745" t="n">
        <v>0</v>
      </c>
      <c r="N745" t="n">
        <v>0</v>
      </c>
      <c r="O745" t="n">
        <v>0</v>
      </c>
      <c r="P745" t="n">
        <v>0</v>
      </c>
      <c r="Q745" t="n">
        <v>0</v>
      </c>
      <c r="R745" s="2" t="inlineStr"/>
    </row>
    <row r="746" ht="15" customHeight="1">
      <c r="A746" t="inlineStr">
        <is>
          <t>A 15936-2025</t>
        </is>
      </c>
      <c r="B746" s="1" t="n">
        <v>45749.4737962963</v>
      </c>
      <c r="C746" s="1" t="n">
        <v>46105</v>
      </c>
      <c r="D746" t="inlineStr">
        <is>
          <t>ÖREBRO LÄN</t>
        </is>
      </c>
      <c r="E746" t="inlineStr">
        <is>
          <t>LINDESBERG</t>
        </is>
      </c>
      <c r="G746" t="n">
        <v>22.3</v>
      </c>
      <c r="H746" t="n">
        <v>0</v>
      </c>
      <c r="I746" t="n">
        <v>0</v>
      </c>
      <c r="J746" t="n">
        <v>0</v>
      </c>
      <c r="K746" t="n">
        <v>0</v>
      </c>
      <c r="L746" t="n">
        <v>0</v>
      </c>
      <c r="M746" t="n">
        <v>0</v>
      </c>
      <c r="N746" t="n">
        <v>0</v>
      </c>
      <c r="O746" t="n">
        <v>0</v>
      </c>
      <c r="P746" t="n">
        <v>0</v>
      </c>
      <c r="Q746" t="n">
        <v>0</v>
      </c>
      <c r="R746" s="2" t="inlineStr"/>
    </row>
    <row r="747" ht="15" customHeight="1">
      <c r="A747" t="inlineStr">
        <is>
          <t>A 1490-2024</t>
        </is>
      </c>
      <c r="B747" s="1" t="n">
        <v>45305</v>
      </c>
      <c r="C747" s="1" t="n">
        <v>46105</v>
      </c>
      <c r="D747" t="inlineStr">
        <is>
          <t>ÖREBRO LÄN</t>
        </is>
      </c>
      <c r="E747" t="inlineStr">
        <is>
          <t>LINDESBERG</t>
        </is>
      </c>
      <c r="G747" t="n">
        <v>17.6</v>
      </c>
      <c r="H747" t="n">
        <v>0</v>
      </c>
      <c r="I747" t="n">
        <v>0</v>
      </c>
      <c r="J747" t="n">
        <v>0</v>
      </c>
      <c r="K747" t="n">
        <v>0</v>
      </c>
      <c r="L747" t="n">
        <v>0</v>
      </c>
      <c r="M747" t="n">
        <v>0</v>
      </c>
      <c r="N747" t="n">
        <v>0</v>
      </c>
      <c r="O747" t="n">
        <v>0</v>
      </c>
      <c r="P747" t="n">
        <v>0</v>
      </c>
      <c r="Q747" t="n">
        <v>0</v>
      </c>
      <c r="R747" s="2" t="inlineStr"/>
    </row>
    <row r="748" ht="15" customHeight="1">
      <c r="A748" t="inlineStr">
        <is>
          <t>A 53168-2023</t>
        </is>
      </c>
      <c r="B748" s="1" t="n">
        <v>45229</v>
      </c>
      <c r="C748" s="1" t="n">
        <v>46105</v>
      </c>
      <c r="D748" t="inlineStr">
        <is>
          <t>ÖREBRO LÄN</t>
        </is>
      </c>
      <c r="E748" t="inlineStr">
        <is>
          <t>LINDESBERG</t>
        </is>
      </c>
      <c r="G748" t="n">
        <v>1.5</v>
      </c>
      <c r="H748" t="n">
        <v>0</v>
      </c>
      <c r="I748" t="n">
        <v>0</v>
      </c>
      <c r="J748" t="n">
        <v>0</v>
      </c>
      <c r="K748" t="n">
        <v>0</v>
      </c>
      <c r="L748" t="n">
        <v>0</v>
      </c>
      <c r="M748" t="n">
        <v>0</v>
      </c>
      <c r="N748" t="n">
        <v>0</v>
      </c>
      <c r="O748" t="n">
        <v>0</v>
      </c>
      <c r="P748" t="n">
        <v>0</v>
      </c>
      <c r="Q748" t="n">
        <v>0</v>
      </c>
      <c r="R748" s="2" t="inlineStr"/>
    </row>
    <row r="749" ht="15" customHeight="1">
      <c r="A749" t="inlineStr">
        <is>
          <t>A 17242-2025</t>
        </is>
      </c>
      <c r="B749" s="1" t="n">
        <v>45756.49009259259</v>
      </c>
      <c r="C749" s="1" t="n">
        <v>46105</v>
      </c>
      <c r="D749" t="inlineStr">
        <is>
          <t>ÖREBRO LÄN</t>
        </is>
      </c>
      <c r="E749" t="inlineStr">
        <is>
          <t>LINDESBERG</t>
        </is>
      </c>
      <c r="G749" t="n">
        <v>7.3</v>
      </c>
      <c r="H749" t="n">
        <v>0</v>
      </c>
      <c r="I749" t="n">
        <v>0</v>
      </c>
      <c r="J749" t="n">
        <v>0</v>
      </c>
      <c r="K749" t="n">
        <v>0</v>
      </c>
      <c r="L749" t="n">
        <v>0</v>
      </c>
      <c r="M749" t="n">
        <v>0</v>
      </c>
      <c r="N749" t="n">
        <v>0</v>
      </c>
      <c r="O749" t="n">
        <v>0</v>
      </c>
      <c r="P749" t="n">
        <v>0</v>
      </c>
      <c r="Q749" t="n">
        <v>0</v>
      </c>
      <c r="R749" s="2" t="inlineStr"/>
    </row>
    <row r="750" ht="15" customHeight="1">
      <c r="A750" t="inlineStr">
        <is>
          <t>A 4603-2024</t>
        </is>
      </c>
      <c r="B750" s="1" t="n">
        <v>45328</v>
      </c>
      <c r="C750" s="1" t="n">
        <v>46105</v>
      </c>
      <c r="D750" t="inlineStr">
        <is>
          <t>ÖREBRO LÄN</t>
        </is>
      </c>
      <c r="E750" t="inlineStr">
        <is>
          <t>LINDESBERG</t>
        </is>
      </c>
      <c r="F750" t="inlineStr">
        <is>
          <t>BillerudKorsnäs AB</t>
        </is>
      </c>
      <c r="G750" t="n">
        <v>4.3</v>
      </c>
      <c r="H750" t="n">
        <v>0</v>
      </c>
      <c r="I750" t="n">
        <v>0</v>
      </c>
      <c r="J750" t="n">
        <v>0</v>
      </c>
      <c r="K750" t="n">
        <v>0</v>
      </c>
      <c r="L750" t="n">
        <v>0</v>
      </c>
      <c r="M750" t="n">
        <v>0</v>
      </c>
      <c r="N750" t="n">
        <v>0</v>
      </c>
      <c r="O750" t="n">
        <v>0</v>
      </c>
      <c r="P750" t="n">
        <v>0</v>
      </c>
      <c r="Q750" t="n">
        <v>0</v>
      </c>
      <c r="R750" s="2" t="inlineStr"/>
    </row>
    <row r="751" ht="15" customHeight="1">
      <c r="A751" t="inlineStr">
        <is>
          <t>A 53062-2023</t>
        </is>
      </c>
      <c r="B751" s="1" t="n">
        <v>45227.31859953704</v>
      </c>
      <c r="C751" s="1" t="n">
        <v>46105</v>
      </c>
      <c r="D751" t="inlineStr">
        <is>
          <t>ÖREBRO LÄN</t>
        </is>
      </c>
      <c r="E751" t="inlineStr">
        <is>
          <t>LINDESBERG</t>
        </is>
      </c>
      <c r="G751" t="n">
        <v>3.1</v>
      </c>
      <c r="H751" t="n">
        <v>0</v>
      </c>
      <c r="I751" t="n">
        <v>0</v>
      </c>
      <c r="J751" t="n">
        <v>0</v>
      </c>
      <c r="K751" t="n">
        <v>0</v>
      </c>
      <c r="L751" t="n">
        <v>0</v>
      </c>
      <c r="M751" t="n">
        <v>0</v>
      </c>
      <c r="N751" t="n">
        <v>0</v>
      </c>
      <c r="O751" t="n">
        <v>0</v>
      </c>
      <c r="P751" t="n">
        <v>0</v>
      </c>
      <c r="Q751" t="n">
        <v>0</v>
      </c>
      <c r="R751" s="2" t="inlineStr"/>
    </row>
    <row r="752" ht="15" customHeight="1">
      <c r="A752" t="inlineStr">
        <is>
          <t>A 8902-2024</t>
        </is>
      </c>
      <c r="B752" s="1" t="n">
        <v>45357.34521990741</v>
      </c>
      <c r="C752" s="1" t="n">
        <v>46105</v>
      </c>
      <c r="D752" t="inlineStr">
        <is>
          <t>ÖREBRO LÄN</t>
        </is>
      </c>
      <c r="E752" t="inlineStr">
        <is>
          <t>LINDESBERG</t>
        </is>
      </c>
      <c r="F752" t="inlineStr">
        <is>
          <t>Kommuner</t>
        </is>
      </c>
      <c r="G752" t="n">
        <v>0.5</v>
      </c>
      <c r="H752" t="n">
        <v>0</v>
      </c>
      <c r="I752" t="n">
        <v>0</v>
      </c>
      <c r="J752" t="n">
        <v>0</v>
      </c>
      <c r="K752" t="n">
        <v>0</v>
      </c>
      <c r="L752" t="n">
        <v>0</v>
      </c>
      <c r="M752" t="n">
        <v>0</v>
      </c>
      <c r="N752" t="n">
        <v>0</v>
      </c>
      <c r="O752" t="n">
        <v>0</v>
      </c>
      <c r="P752" t="n">
        <v>0</v>
      </c>
      <c r="Q752" t="n">
        <v>0</v>
      </c>
      <c r="R752" s="2" t="inlineStr"/>
    </row>
    <row r="753" ht="15" customHeight="1">
      <c r="A753" t="inlineStr">
        <is>
          <t>A 59631-2023</t>
        </is>
      </c>
      <c r="B753" s="1" t="n">
        <v>45254.68105324074</v>
      </c>
      <c r="C753" s="1" t="n">
        <v>46105</v>
      </c>
      <c r="D753" t="inlineStr">
        <is>
          <t>ÖREBRO LÄN</t>
        </is>
      </c>
      <c r="E753" t="inlineStr">
        <is>
          <t>LINDESBERG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19110-2025</t>
        </is>
      </c>
      <c r="B754" s="1" t="n">
        <v>45768.49947916667</v>
      </c>
      <c r="C754" s="1" t="n">
        <v>46105</v>
      </c>
      <c r="D754" t="inlineStr">
        <is>
          <t>ÖREBRO LÄN</t>
        </is>
      </c>
      <c r="E754" t="inlineStr">
        <is>
          <t>LINDESBERG</t>
        </is>
      </c>
      <c r="G754" t="n">
        <v>2.6</v>
      </c>
      <c r="H754" t="n">
        <v>0</v>
      </c>
      <c r="I754" t="n">
        <v>0</v>
      </c>
      <c r="J754" t="n">
        <v>0</v>
      </c>
      <c r="K754" t="n">
        <v>0</v>
      </c>
      <c r="L754" t="n">
        <v>0</v>
      </c>
      <c r="M754" t="n">
        <v>0</v>
      </c>
      <c r="N754" t="n">
        <v>0</v>
      </c>
      <c r="O754" t="n">
        <v>0</v>
      </c>
      <c r="P754" t="n">
        <v>0</v>
      </c>
      <c r="Q754" t="n">
        <v>0</v>
      </c>
      <c r="R754" s="2" t="inlineStr"/>
    </row>
    <row r="755" ht="15" customHeight="1">
      <c r="A755" t="inlineStr">
        <is>
          <t>A 21245-2024</t>
        </is>
      </c>
      <c r="B755" s="1" t="n">
        <v>45440</v>
      </c>
      <c r="C755" s="1" t="n">
        <v>46105</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29350-2022</t>
        </is>
      </c>
      <c r="B756" s="1" t="n">
        <v>44753</v>
      </c>
      <c r="C756" s="1" t="n">
        <v>46105</v>
      </c>
      <c r="D756" t="inlineStr">
        <is>
          <t>ÖREBRO LÄN</t>
        </is>
      </c>
      <c r="E756" t="inlineStr">
        <is>
          <t>LINDESBERG</t>
        </is>
      </c>
      <c r="G756" t="n">
        <v>7.7</v>
      </c>
      <c r="H756" t="n">
        <v>0</v>
      </c>
      <c r="I756" t="n">
        <v>0</v>
      </c>
      <c r="J756" t="n">
        <v>0</v>
      </c>
      <c r="K756" t="n">
        <v>0</v>
      </c>
      <c r="L756" t="n">
        <v>0</v>
      </c>
      <c r="M756" t="n">
        <v>0</v>
      </c>
      <c r="N756" t="n">
        <v>0</v>
      </c>
      <c r="O756" t="n">
        <v>0</v>
      </c>
      <c r="P756" t="n">
        <v>0</v>
      </c>
      <c r="Q756" t="n">
        <v>0</v>
      </c>
      <c r="R756" s="2" t="inlineStr"/>
    </row>
    <row r="757" ht="15" customHeight="1">
      <c r="A757" t="inlineStr">
        <is>
          <t>A 10836-2024</t>
        </is>
      </c>
      <c r="B757" s="1" t="n">
        <v>45369</v>
      </c>
      <c r="C757" s="1" t="n">
        <v>46105</v>
      </c>
      <c r="D757" t="inlineStr">
        <is>
          <t>ÖREBRO LÄN</t>
        </is>
      </c>
      <c r="E757" t="inlineStr">
        <is>
          <t>LINDESBERG</t>
        </is>
      </c>
      <c r="G757" t="n">
        <v>2.8</v>
      </c>
      <c r="H757" t="n">
        <v>0</v>
      </c>
      <c r="I757" t="n">
        <v>0</v>
      </c>
      <c r="J757" t="n">
        <v>0</v>
      </c>
      <c r="K757" t="n">
        <v>0</v>
      </c>
      <c r="L757" t="n">
        <v>0</v>
      </c>
      <c r="M757" t="n">
        <v>0</v>
      </c>
      <c r="N757" t="n">
        <v>0</v>
      </c>
      <c r="O757" t="n">
        <v>0</v>
      </c>
      <c r="P757" t="n">
        <v>0</v>
      </c>
      <c r="Q757" t="n">
        <v>0</v>
      </c>
      <c r="R757" s="2" t="inlineStr"/>
    </row>
    <row r="758" ht="15" customHeight="1">
      <c r="A758" t="inlineStr">
        <is>
          <t>A 2414-2024</t>
        </is>
      </c>
      <c r="B758" s="1" t="n">
        <v>45310.87931712963</v>
      </c>
      <c r="C758" s="1" t="n">
        <v>46105</v>
      </c>
      <c r="D758" t="inlineStr">
        <is>
          <t>ÖREBRO LÄN</t>
        </is>
      </c>
      <c r="E758" t="inlineStr">
        <is>
          <t>LINDESBERG</t>
        </is>
      </c>
      <c r="G758" t="n">
        <v>7.2</v>
      </c>
      <c r="H758" t="n">
        <v>0</v>
      </c>
      <c r="I758" t="n">
        <v>0</v>
      </c>
      <c r="J758" t="n">
        <v>0</v>
      </c>
      <c r="K758" t="n">
        <v>0</v>
      </c>
      <c r="L758" t="n">
        <v>0</v>
      </c>
      <c r="M758" t="n">
        <v>0</v>
      </c>
      <c r="N758" t="n">
        <v>0</v>
      </c>
      <c r="O758" t="n">
        <v>0</v>
      </c>
      <c r="P758" t="n">
        <v>0</v>
      </c>
      <c r="Q758" t="n">
        <v>0</v>
      </c>
      <c r="R758" s="2" t="inlineStr"/>
    </row>
    <row r="759" ht="15" customHeight="1">
      <c r="A759" t="inlineStr">
        <is>
          <t>A 28463-2024</t>
        </is>
      </c>
      <c r="B759" s="1" t="n">
        <v>45477.70315972222</v>
      </c>
      <c r="C759" s="1" t="n">
        <v>46105</v>
      </c>
      <c r="D759" t="inlineStr">
        <is>
          <t>ÖREBRO LÄN</t>
        </is>
      </c>
      <c r="E759" t="inlineStr">
        <is>
          <t>LINDESBERG</t>
        </is>
      </c>
      <c r="G759" t="n">
        <v>6.3</v>
      </c>
      <c r="H759" t="n">
        <v>0</v>
      </c>
      <c r="I759" t="n">
        <v>0</v>
      </c>
      <c r="J759" t="n">
        <v>0</v>
      </c>
      <c r="K759" t="n">
        <v>0</v>
      </c>
      <c r="L759" t="n">
        <v>0</v>
      </c>
      <c r="M759" t="n">
        <v>0</v>
      </c>
      <c r="N759" t="n">
        <v>0</v>
      </c>
      <c r="O759" t="n">
        <v>0</v>
      </c>
      <c r="P759" t="n">
        <v>0</v>
      </c>
      <c r="Q759" t="n">
        <v>0</v>
      </c>
      <c r="R759" s="2" t="inlineStr"/>
    </row>
    <row r="760" ht="15" customHeight="1">
      <c r="A760" t="inlineStr">
        <is>
          <t>A 63668-2023</t>
        </is>
      </c>
      <c r="B760" s="1" t="n">
        <v>45274</v>
      </c>
      <c r="C760" s="1" t="n">
        <v>46105</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8139-2023</t>
        </is>
      </c>
      <c r="B761" s="1" t="n">
        <v>44970</v>
      </c>
      <c r="C761" s="1" t="n">
        <v>46105</v>
      </c>
      <c r="D761" t="inlineStr">
        <is>
          <t>ÖREBRO LÄN</t>
        </is>
      </c>
      <c r="E761" t="inlineStr">
        <is>
          <t>LINDESBERG</t>
        </is>
      </c>
      <c r="G761" t="n">
        <v>3.6</v>
      </c>
      <c r="H761" t="n">
        <v>0</v>
      </c>
      <c r="I761" t="n">
        <v>0</v>
      </c>
      <c r="J761" t="n">
        <v>0</v>
      </c>
      <c r="K761" t="n">
        <v>0</v>
      </c>
      <c r="L761" t="n">
        <v>0</v>
      </c>
      <c r="M761" t="n">
        <v>0</v>
      </c>
      <c r="N761" t="n">
        <v>0</v>
      </c>
      <c r="O761" t="n">
        <v>0</v>
      </c>
      <c r="P761" t="n">
        <v>0</v>
      </c>
      <c r="Q761" t="n">
        <v>0</v>
      </c>
      <c r="R761" s="2" t="inlineStr"/>
    </row>
    <row r="762" ht="15" customHeight="1">
      <c r="A762" t="inlineStr">
        <is>
          <t>A 12276-2025</t>
        </is>
      </c>
      <c r="B762" s="1" t="n">
        <v>45729.65061342593</v>
      </c>
      <c r="C762" s="1" t="n">
        <v>46105</v>
      </c>
      <c r="D762" t="inlineStr">
        <is>
          <t>ÖREBRO LÄN</t>
        </is>
      </c>
      <c r="E762" t="inlineStr">
        <is>
          <t>LINDESBERG</t>
        </is>
      </c>
      <c r="G762" t="n">
        <v>7.6</v>
      </c>
      <c r="H762" t="n">
        <v>0</v>
      </c>
      <c r="I762" t="n">
        <v>0</v>
      </c>
      <c r="J762" t="n">
        <v>0</v>
      </c>
      <c r="K762" t="n">
        <v>0</v>
      </c>
      <c r="L762" t="n">
        <v>0</v>
      </c>
      <c r="M762" t="n">
        <v>0</v>
      </c>
      <c r="N762" t="n">
        <v>0</v>
      </c>
      <c r="O762" t="n">
        <v>0</v>
      </c>
      <c r="P762" t="n">
        <v>0</v>
      </c>
      <c r="Q762" t="n">
        <v>0</v>
      </c>
      <c r="R762" s="2" t="inlineStr"/>
    </row>
    <row r="763" ht="15" customHeight="1">
      <c r="A763" t="inlineStr">
        <is>
          <t>A 36291-2022</t>
        </is>
      </c>
      <c r="B763" s="1" t="n">
        <v>44803.64361111111</v>
      </c>
      <c r="C763" s="1" t="n">
        <v>46105</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61597-2023</t>
        </is>
      </c>
      <c r="B764" s="1" t="n">
        <v>45265.49225694445</v>
      </c>
      <c r="C764" s="1" t="n">
        <v>46105</v>
      </c>
      <c r="D764" t="inlineStr">
        <is>
          <t>ÖREBRO LÄN</t>
        </is>
      </c>
      <c r="E764" t="inlineStr">
        <is>
          <t>LINDESBERG</t>
        </is>
      </c>
      <c r="G764" t="n">
        <v>10.3</v>
      </c>
      <c r="H764" t="n">
        <v>0</v>
      </c>
      <c r="I764" t="n">
        <v>0</v>
      </c>
      <c r="J764" t="n">
        <v>0</v>
      </c>
      <c r="K764" t="n">
        <v>0</v>
      </c>
      <c r="L764" t="n">
        <v>0</v>
      </c>
      <c r="M764" t="n">
        <v>0</v>
      </c>
      <c r="N764" t="n">
        <v>0</v>
      </c>
      <c r="O764" t="n">
        <v>0</v>
      </c>
      <c r="P764" t="n">
        <v>0</v>
      </c>
      <c r="Q764" t="n">
        <v>0</v>
      </c>
      <c r="R764" s="2" t="inlineStr"/>
    </row>
    <row r="765" ht="15" customHeight="1">
      <c r="A765" t="inlineStr">
        <is>
          <t>A 62968-2023</t>
        </is>
      </c>
      <c r="B765" s="1" t="n">
        <v>45272.57385416667</v>
      </c>
      <c r="C765" s="1" t="n">
        <v>46105</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24270-2023</t>
        </is>
      </c>
      <c r="B766" s="1" t="n">
        <v>45079</v>
      </c>
      <c r="C766" s="1" t="n">
        <v>46105</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24271-2023</t>
        </is>
      </c>
      <c r="B767" s="1" t="n">
        <v>45079</v>
      </c>
      <c r="C767" s="1" t="n">
        <v>46105</v>
      </c>
      <c r="D767" t="inlineStr">
        <is>
          <t>ÖREBRO LÄN</t>
        </is>
      </c>
      <c r="E767" t="inlineStr">
        <is>
          <t>LINDESBERG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62866-2023</t>
        </is>
      </c>
      <c r="B768" s="1" t="n">
        <v>45272.36168981482</v>
      </c>
      <c r="C768" s="1" t="n">
        <v>46105</v>
      </c>
      <c r="D768" t="inlineStr">
        <is>
          <t>ÖREBRO LÄN</t>
        </is>
      </c>
      <c r="E768" t="inlineStr">
        <is>
          <t>LINDESBERG</t>
        </is>
      </c>
      <c r="G768" t="n">
        <v>14.5</v>
      </c>
      <c r="H768" t="n">
        <v>0</v>
      </c>
      <c r="I768" t="n">
        <v>0</v>
      </c>
      <c r="J768" t="n">
        <v>0</v>
      </c>
      <c r="K768" t="n">
        <v>0</v>
      </c>
      <c r="L768" t="n">
        <v>0</v>
      </c>
      <c r="M768" t="n">
        <v>0</v>
      </c>
      <c r="N768" t="n">
        <v>0</v>
      </c>
      <c r="O768" t="n">
        <v>0</v>
      </c>
      <c r="P768" t="n">
        <v>0</v>
      </c>
      <c r="Q768" t="n">
        <v>0</v>
      </c>
      <c r="R768" s="2" t="inlineStr"/>
    </row>
    <row r="769" ht="15" customHeight="1">
      <c r="A769" t="inlineStr">
        <is>
          <t>A 13416-2025</t>
        </is>
      </c>
      <c r="B769" s="1" t="n">
        <v>45736.308125</v>
      </c>
      <c r="C769" s="1" t="n">
        <v>46105</v>
      </c>
      <c r="D769" t="inlineStr">
        <is>
          <t>ÖREBRO LÄN</t>
        </is>
      </c>
      <c r="E769" t="inlineStr">
        <is>
          <t>LINDESBERG</t>
        </is>
      </c>
      <c r="G769" t="n">
        <v>2.2</v>
      </c>
      <c r="H769" t="n">
        <v>0</v>
      </c>
      <c r="I769" t="n">
        <v>0</v>
      </c>
      <c r="J769" t="n">
        <v>0</v>
      </c>
      <c r="K769" t="n">
        <v>0</v>
      </c>
      <c r="L769" t="n">
        <v>0</v>
      </c>
      <c r="M769" t="n">
        <v>0</v>
      </c>
      <c r="N769" t="n">
        <v>0</v>
      </c>
      <c r="O769" t="n">
        <v>0</v>
      </c>
      <c r="P769" t="n">
        <v>0</v>
      </c>
      <c r="Q769" t="n">
        <v>0</v>
      </c>
      <c r="R769" s="2" t="inlineStr"/>
    </row>
    <row r="770" ht="15" customHeight="1">
      <c r="A770" t="inlineStr">
        <is>
          <t>A 4013-2025</t>
        </is>
      </c>
      <c r="B770" s="1" t="n">
        <v>45684.5790162037</v>
      </c>
      <c r="C770" s="1" t="n">
        <v>46105</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44803-2024</t>
        </is>
      </c>
      <c r="B771" s="1" t="n">
        <v>45574.65087962963</v>
      </c>
      <c r="C771" s="1" t="n">
        <v>46105</v>
      </c>
      <c r="D771" t="inlineStr">
        <is>
          <t>ÖREBRO LÄN</t>
        </is>
      </c>
      <c r="E771" t="inlineStr">
        <is>
          <t>LINDESBERG</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27130-2024</t>
        </is>
      </c>
      <c r="B772" s="1" t="n">
        <v>45471.52072916667</v>
      </c>
      <c r="C772" s="1" t="n">
        <v>46105</v>
      </c>
      <c r="D772" t="inlineStr">
        <is>
          <t>ÖREBRO LÄN</t>
        </is>
      </c>
      <c r="E772" t="inlineStr">
        <is>
          <t>LINDESBERG</t>
        </is>
      </c>
      <c r="G772" t="n">
        <v>2</v>
      </c>
      <c r="H772" t="n">
        <v>0</v>
      </c>
      <c r="I772" t="n">
        <v>0</v>
      </c>
      <c r="J772" t="n">
        <v>0</v>
      </c>
      <c r="K772" t="n">
        <v>0</v>
      </c>
      <c r="L772" t="n">
        <v>0</v>
      </c>
      <c r="M772" t="n">
        <v>0</v>
      </c>
      <c r="N772" t="n">
        <v>0</v>
      </c>
      <c r="O772" t="n">
        <v>0</v>
      </c>
      <c r="P772" t="n">
        <v>0</v>
      </c>
      <c r="Q772" t="n">
        <v>0</v>
      </c>
      <c r="R772" s="2" t="inlineStr"/>
    </row>
    <row r="773" ht="15" customHeight="1">
      <c r="A773" t="inlineStr">
        <is>
          <t>A 59804-2023</t>
        </is>
      </c>
      <c r="B773" s="1" t="n">
        <v>45257.48188657407</v>
      </c>
      <c r="C773" s="1" t="n">
        <v>46105</v>
      </c>
      <c r="D773" t="inlineStr">
        <is>
          <t>ÖREBRO LÄN</t>
        </is>
      </c>
      <c r="E773" t="inlineStr">
        <is>
          <t>LINDESBERG</t>
        </is>
      </c>
      <c r="G773" t="n">
        <v>1.2</v>
      </c>
      <c r="H773" t="n">
        <v>0</v>
      </c>
      <c r="I773" t="n">
        <v>0</v>
      </c>
      <c r="J773" t="n">
        <v>0</v>
      </c>
      <c r="K773" t="n">
        <v>0</v>
      </c>
      <c r="L773" t="n">
        <v>0</v>
      </c>
      <c r="M773" t="n">
        <v>0</v>
      </c>
      <c r="N773" t="n">
        <v>0</v>
      </c>
      <c r="O773" t="n">
        <v>0</v>
      </c>
      <c r="P773" t="n">
        <v>0</v>
      </c>
      <c r="Q773" t="n">
        <v>0</v>
      </c>
      <c r="R773" s="2" t="inlineStr"/>
    </row>
    <row r="774" ht="15" customHeight="1">
      <c r="A774" t="inlineStr">
        <is>
          <t>A 27434-2023</t>
        </is>
      </c>
      <c r="B774" s="1" t="n">
        <v>45097.38688657407</v>
      </c>
      <c r="C774" s="1" t="n">
        <v>46105</v>
      </c>
      <c r="D774" t="inlineStr">
        <is>
          <t>ÖREBRO LÄN</t>
        </is>
      </c>
      <c r="E774" t="inlineStr">
        <is>
          <t>LINDESBERG</t>
        </is>
      </c>
      <c r="G774" t="n">
        <v>10.7</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46105</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72706-2021</t>
        </is>
      </c>
      <c r="B776" s="1" t="n">
        <v>44546.67222222222</v>
      </c>
      <c r="C776" s="1" t="n">
        <v>46105</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53366-2023</t>
        </is>
      </c>
      <c r="B777" s="1" t="n">
        <v>45229</v>
      </c>
      <c r="C777" s="1" t="n">
        <v>46105</v>
      </c>
      <c r="D777" t="inlineStr">
        <is>
          <t>ÖREBRO LÄN</t>
        </is>
      </c>
      <c r="E777" t="inlineStr">
        <is>
          <t>LINDESBERG</t>
        </is>
      </c>
      <c r="G777" t="n">
        <v>1.9</v>
      </c>
      <c r="H777" t="n">
        <v>0</v>
      </c>
      <c r="I777" t="n">
        <v>0</v>
      </c>
      <c r="J777" t="n">
        <v>0</v>
      </c>
      <c r="K777" t="n">
        <v>0</v>
      </c>
      <c r="L777" t="n">
        <v>0</v>
      </c>
      <c r="M777" t="n">
        <v>0</v>
      </c>
      <c r="N777" t="n">
        <v>0</v>
      </c>
      <c r="O777" t="n">
        <v>0</v>
      </c>
      <c r="P777" t="n">
        <v>0</v>
      </c>
      <c r="Q777" t="n">
        <v>0</v>
      </c>
      <c r="R777" s="2" t="inlineStr"/>
    </row>
    <row r="778" ht="15" customHeight="1">
      <c r="A778" t="inlineStr">
        <is>
          <t>A 19219-2023</t>
        </is>
      </c>
      <c r="B778" s="1" t="n">
        <v>45048</v>
      </c>
      <c r="C778" s="1" t="n">
        <v>46105</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19043-2023</t>
        </is>
      </c>
      <c r="B779" s="1" t="n">
        <v>45047.7181712963</v>
      </c>
      <c r="C779" s="1" t="n">
        <v>46105</v>
      </c>
      <c r="D779" t="inlineStr">
        <is>
          <t>ÖREBRO LÄN</t>
        </is>
      </c>
      <c r="E779" t="inlineStr">
        <is>
          <t>LINDESBERG</t>
        </is>
      </c>
      <c r="G779" t="n">
        <v>2.6</v>
      </c>
      <c r="H779" t="n">
        <v>0</v>
      </c>
      <c r="I779" t="n">
        <v>0</v>
      </c>
      <c r="J779" t="n">
        <v>0</v>
      </c>
      <c r="K779" t="n">
        <v>0</v>
      </c>
      <c r="L779" t="n">
        <v>0</v>
      </c>
      <c r="M779" t="n">
        <v>0</v>
      </c>
      <c r="N779" t="n">
        <v>0</v>
      </c>
      <c r="O779" t="n">
        <v>0</v>
      </c>
      <c r="P779" t="n">
        <v>0</v>
      </c>
      <c r="Q779" t="n">
        <v>0</v>
      </c>
      <c r="R779" s="2" t="inlineStr"/>
    </row>
    <row r="780" ht="15" customHeight="1">
      <c r="A780" t="inlineStr">
        <is>
          <t>A 27031-2024</t>
        </is>
      </c>
      <c r="B780" s="1" t="n">
        <v>45471.42659722222</v>
      </c>
      <c r="C780" s="1" t="n">
        <v>46105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38696-2024</t>
        </is>
      </c>
      <c r="B781" s="1" t="n">
        <v>45547.36590277778</v>
      </c>
      <c r="C781" s="1" t="n">
        <v>46105</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54663-2021</t>
        </is>
      </c>
      <c r="B782" s="1" t="n">
        <v>44473.6343287037</v>
      </c>
      <c r="C782" s="1" t="n">
        <v>46105</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32262-2021</t>
        </is>
      </c>
      <c r="B783" s="1" t="n">
        <v>44371.47609953704</v>
      </c>
      <c r="C783" s="1" t="n">
        <v>46105</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48265-2021</t>
        </is>
      </c>
      <c r="B784" s="1" t="n">
        <v>44449</v>
      </c>
      <c r="C784" s="1" t="n">
        <v>46105</v>
      </c>
      <c r="D784" t="inlineStr">
        <is>
          <t>ÖREBRO LÄN</t>
        </is>
      </c>
      <c r="E784" t="inlineStr">
        <is>
          <t>LINDESBERG</t>
        </is>
      </c>
      <c r="G784" t="n">
        <v>23.7</v>
      </c>
      <c r="H784" t="n">
        <v>0</v>
      </c>
      <c r="I784" t="n">
        <v>0</v>
      </c>
      <c r="J784" t="n">
        <v>0</v>
      </c>
      <c r="K784" t="n">
        <v>0</v>
      </c>
      <c r="L784" t="n">
        <v>0</v>
      </c>
      <c r="M784" t="n">
        <v>0</v>
      </c>
      <c r="N784" t="n">
        <v>0</v>
      </c>
      <c r="O784" t="n">
        <v>0</v>
      </c>
      <c r="P784" t="n">
        <v>0</v>
      </c>
      <c r="Q784" t="n">
        <v>0</v>
      </c>
      <c r="R784" s="2" t="inlineStr"/>
    </row>
    <row r="785" ht="15" customHeight="1">
      <c r="A785" t="inlineStr">
        <is>
          <t>A 14028-2023</t>
        </is>
      </c>
      <c r="B785" s="1" t="n">
        <v>45008</v>
      </c>
      <c r="C785" s="1" t="n">
        <v>46105</v>
      </c>
      <c r="D785" t="inlineStr">
        <is>
          <t>ÖREBRO LÄN</t>
        </is>
      </c>
      <c r="E785" t="inlineStr">
        <is>
          <t>LINDESBERG</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57069-2022</t>
        </is>
      </c>
      <c r="B786" s="1" t="n">
        <v>44895</v>
      </c>
      <c r="C786" s="1" t="n">
        <v>46105</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61405-2022</t>
        </is>
      </c>
      <c r="B787" s="1" t="n">
        <v>44916</v>
      </c>
      <c r="C787" s="1" t="n">
        <v>46105</v>
      </c>
      <c r="D787" t="inlineStr">
        <is>
          <t>ÖREBRO LÄN</t>
        </is>
      </c>
      <c r="E787" t="inlineStr">
        <is>
          <t>LINDESBERG</t>
        </is>
      </c>
      <c r="G787" t="n">
        <v>4.4</v>
      </c>
      <c r="H787" t="n">
        <v>0</v>
      </c>
      <c r="I787" t="n">
        <v>0</v>
      </c>
      <c r="J787" t="n">
        <v>0</v>
      </c>
      <c r="K787" t="n">
        <v>0</v>
      </c>
      <c r="L787" t="n">
        <v>0</v>
      </c>
      <c r="M787" t="n">
        <v>0</v>
      </c>
      <c r="N787" t="n">
        <v>0</v>
      </c>
      <c r="O787" t="n">
        <v>0</v>
      </c>
      <c r="P787" t="n">
        <v>0</v>
      </c>
      <c r="Q787" t="n">
        <v>0</v>
      </c>
      <c r="R787" s="2" t="inlineStr"/>
    </row>
    <row r="788" ht="15" customHeight="1">
      <c r="A788" t="inlineStr">
        <is>
          <t>A 9961-2023</t>
        </is>
      </c>
      <c r="B788" s="1" t="n">
        <v>44979</v>
      </c>
      <c r="C788" s="1" t="n">
        <v>46105</v>
      </c>
      <c r="D788" t="inlineStr">
        <is>
          <t>ÖREBRO LÄN</t>
        </is>
      </c>
      <c r="E788" t="inlineStr">
        <is>
          <t>LINDESBERG</t>
        </is>
      </c>
      <c r="G788" t="n">
        <v>4.8</v>
      </c>
      <c r="H788" t="n">
        <v>0</v>
      </c>
      <c r="I788" t="n">
        <v>0</v>
      </c>
      <c r="J788" t="n">
        <v>0</v>
      </c>
      <c r="K788" t="n">
        <v>0</v>
      </c>
      <c r="L788" t="n">
        <v>0</v>
      </c>
      <c r="M788" t="n">
        <v>0</v>
      </c>
      <c r="N788" t="n">
        <v>0</v>
      </c>
      <c r="O788" t="n">
        <v>0</v>
      </c>
      <c r="P788" t="n">
        <v>0</v>
      </c>
      <c r="Q788" t="n">
        <v>0</v>
      </c>
      <c r="R788" s="2" t="inlineStr"/>
    </row>
    <row r="789" ht="15" customHeight="1">
      <c r="A789" t="inlineStr">
        <is>
          <t>A 45041-2024</t>
        </is>
      </c>
      <c r="B789" s="1" t="n">
        <v>45575.53690972222</v>
      </c>
      <c r="C789" s="1" t="n">
        <v>46105</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45068-2024</t>
        </is>
      </c>
      <c r="B790" s="1" t="n">
        <v>45575.56256944445</v>
      </c>
      <c r="C790" s="1" t="n">
        <v>46105</v>
      </c>
      <c r="D790" t="inlineStr">
        <is>
          <t>ÖREBRO LÄN</t>
        </is>
      </c>
      <c r="E790" t="inlineStr">
        <is>
          <t>LINDESBERG</t>
        </is>
      </c>
      <c r="F790" t="inlineStr">
        <is>
          <t>Sveaskog</t>
        </is>
      </c>
      <c r="G790" t="n">
        <v>16.5</v>
      </c>
      <c r="H790" t="n">
        <v>0</v>
      </c>
      <c r="I790" t="n">
        <v>0</v>
      </c>
      <c r="J790" t="n">
        <v>0</v>
      </c>
      <c r="K790" t="n">
        <v>0</v>
      </c>
      <c r="L790" t="n">
        <v>0</v>
      </c>
      <c r="M790" t="n">
        <v>0</v>
      </c>
      <c r="N790" t="n">
        <v>0</v>
      </c>
      <c r="O790" t="n">
        <v>0</v>
      </c>
      <c r="P790" t="n">
        <v>0</v>
      </c>
      <c r="Q790" t="n">
        <v>0</v>
      </c>
      <c r="R790" s="2" t="inlineStr"/>
    </row>
    <row r="791" ht="15" customHeight="1">
      <c r="A791" t="inlineStr">
        <is>
          <t>A 39419-2023</t>
        </is>
      </c>
      <c r="B791" s="1" t="n">
        <v>45166.68493055556</v>
      </c>
      <c r="C791" s="1" t="n">
        <v>46105</v>
      </c>
      <c r="D791" t="inlineStr">
        <is>
          <t>ÖREBRO LÄN</t>
        </is>
      </c>
      <c r="E791" t="inlineStr">
        <is>
          <t>LINDESBERG</t>
        </is>
      </c>
      <c r="F791" t="inlineStr">
        <is>
          <t>Sveaskog</t>
        </is>
      </c>
      <c r="G791" t="n">
        <v>0.4</v>
      </c>
      <c r="H791" t="n">
        <v>0</v>
      </c>
      <c r="I791" t="n">
        <v>0</v>
      </c>
      <c r="J791" t="n">
        <v>0</v>
      </c>
      <c r="K791" t="n">
        <v>0</v>
      </c>
      <c r="L791" t="n">
        <v>0</v>
      </c>
      <c r="M791" t="n">
        <v>0</v>
      </c>
      <c r="N791" t="n">
        <v>0</v>
      </c>
      <c r="O791" t="n">
        <v>0</v>
      </c>
      <c r="P791" t="n">
        <v>0</v>
      </c>
      <c r="Q791" t="n">
        <v>0</v>
      </c>
      <c r="R791" s="2" t="inlineStr"/>
    </row>
    <row r="792" ht="15" customHeight="1">
      <c r="A792" t="inlineStr">
        <is>
          <t>A 15745-2024</t>
        </is>
      </c>
      <c r="B792" s="1" t="n">
        <v>45404.55239583334</v>
      </c>
      <c r="C792" s="1" t="n">
        <v>46105</v>
      </c>
      <c r="D792" t="inlineStr">
        <is>
          <t>ÖREBRO LÄN</t>
        </is>
      </c>
      <c r="E792" t="inlineStr">
        <is>
          <t>LINDESBERG</t>
        </is>
      </c>
      <c r="F792" t="inlineStr">
        <is>
          <t>Sveaskog</t>
        </is>
      </c>
      <c r="G792" t="n">
        <v>6.2</v>
      </c>
      <c r="H792" t="n">
        <v>0</v>
      </c>
      <c r="I792" t="n">
        <v>0</v>
      </c>
      <c r="J792" t="n">
        <v>0</v>
      </c>
      <c r="K792" t="n">
        <v>0</v>
      </c>
      <c r="L792" t="n">
        <v>0</v>
      </c>
      <c r="M792" t="n">
        <v>0</v>
      </c>
      <c r="N792" t="n">
        <v>0</v>
      </c>
      <c r="O792" t="n">
        <v>0</v>
      </c>
      <c r="P792" t="n">
        <v>0</v>
      </c>
      <c r="Q792" t="n">
        <v>0</v>
      </c>
      <c r="R792" s="2" t="inlineStr"/>
    </row>
    <row r="793" ht="15" customHeight="1">
      <c r="A793" t="inlineStr">
        <is>
          <t>A 15750-2024</t>
        </is>
      </c>
      <c r="B793" s="1" t="n">
        <v>45404.55601851852</v>
      </c>
      <c r="C793" s="1" t="n">
        <v>46105</v>
      </c>
      <c r="D793" t="inlineStr">
        <is>
          <t>ÖREBRO LÄN</t>
        </is>
      </c>
      <c r="E793" t="inlineStr">
        <is>
          <t>LINDESBERG</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60115-2022</t>
        </is>
      </c>
      <c r="B794" s="1" t="n">
        <v>44902</v>
      </c>
      <c r="C794" s="1" t="n">
        <v>46105</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29857-2023</t>
        </is>
      </c>
      <c r="B795" s="1" t="n">
        <v>45107</v>
      </c>
      <c r="C795" s="1" t="n">
        <v>46105</v>
      </c>
      <c r="D795" t="inlineStr">
        <is>
          <t>ÖREBRO LÄN</t>
        </is>
      </c>
      <c r="E795" t="inlineStr">
        <is>
          <t>LINDESBERG</t>
        </is>
      </c>
      <c r="G795" t="n">
        <v>0.6</v>
      </c>
      <c r="H795" t="n">
        <v>0</v>
      </c>
      <c r="I795" t="n">
        <v>0</v>
      </c>
      <c r="J795" t="n">
        <v>0</v>
      </c>
      <c r="K795" t="n">
        <v>0</v>
      </c>
      <c r="L795" t="n">
        <v>0</v>
      </c>
      <c r="M795" t="n">
        <v>0</v>
      </c>
      <c r="N795" t="n">
        <v>0</v>
      </c>
      <c r="O795" t="n">
        <v>0</v>
      </c>
      <c r="P795" t="n">
        <v>0</v>
      </c>
      <c r="Q795" t="n">
        <v>0</v>
      </c>
      <c r="R795" s="2" t="inlineStr"/>
    </row>
    <row r="796" ht="15" customHeight="1">
      <c r="A796" t="inlineStr">
        <is>
          <t>A 44664-2023</t>
        </is>
      </c>
      <c r="B796" s="1" t="n">
        <v>45189</v>
      </c>
      <c r="C796" s="1" t="n">
        <v>46105</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18610-2021</t>
        </is>
      </c>
      <c r="B797" s="1" t="n">
        <v>44306.6371412037</v>
      </c>
      <c r="C797" s="1" t="n">
        <v>46105</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19026-2021</t>
        </is>
      </c>
      <c r="B798" s="1" t="n">
        <v>44308</v>
      </c>
      <c r="C798" s="1" t="n">
        <v>46105</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47535-2022</t>
        </is>
      </c>
      <c r="B799" s="1" t="n">
        <v>44853.79818287037</v>
      </c>
      <c r="C799" s="1" t="n">
        <v>46105</v>
      </c>
      <c r="D799" t="inlineStr">
        <is>
          <t>ÖREBRO LÄN</t>
        </is>
      </c>
      <c r="E799" t="inlineStr">
        <is>
          <t>LINDESBERG</t>
        </is>
      </c>
      <c r="G799" t="n">
        <v>3</v>
      </c>
      <c r="H799" t="n">
        <v>0</v>
      </c>
      <c r="I799" t="n">
        <v>0</v>
      </c>
      <c r="J799" t="n">
        <v>0</v>
      </c>
      <c r="K799" t="n">
        <v>0</v>
      </c>
      <c r="L799" t="n">
        <v>0</v>
      </c>
      <c r="M799" t="n">
        <v>0</v>
      </c>
      <c r="N799" t="n">
        <v>0</v>
      </c>
      <c r="O799" t="n">
        <v>0</v>
      </c>
      <c r="P799" t="n">
        <v>0</v>
      </c>
      <c r="Q799" t="n">
        <v>0</v>
      </c>
      <c r="R799" s="2" t="inlineStr"/>
    </row>
    <row r="800" ht="15" customHeight="1">
      <c r="A800" t="inlineStr">
        <is>
          <t>A 30830-2024</t>
        </is>
      </c>
      <c r="B800" s="1" t="n">
        <v>45497</v>
      </c>
      <c r="C800" s="1" t="n">
        <v>46105</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59395-2022</t>
        </is>
      </c>
      <c r="B801" s="1" t="n">
        <v>44906.73321759259</v>
      </c>
      <c r="C801" s="1" t="n">
        <v>46105</v>
      </c>
      <c r="D801" t="inlineStr">
        <is>
          <t>ÖREBRO LÄN</t>
        </is>
      </c>
      <c r="E801" t="inlineStr">
        <is>
          <t>LINDESBERG</t>
        </is>
      </c>
      <c r="G801" t="n">
        <v>4.3</v>
      </c>
      <c r="H801" t="n">
        <v>0</v>
      </c>
      <c r="I801" t="n">
        <v>0</v>
      </c>
      <c r="J801" t="n">
        <v>0</v>
      </c>
      <c r="K801" t="n">
        <v>0</v>
      </c>
      <c r="L801" t="n">
        <v>0</v>
      </c>
      <c r="M801" t="n">
        <v>0</v>
      </c>
      <c r="N801" t="n">
        <v>0</v>
      </c>
      <c r="O801" t="n">
        <v>0</v>
      </c>
      <c r="P801" t="n">
        <v>0</v>
      </c>
      <c r="Q801" t="n">
        <v>0</v>
      </c>
      <c r="R801" s="2" t="inlineStr"/>
    </row>
    <row r="802" ht="15" customHeight="1">
      <c r="A802" t="inlineStr">
        <is>
          <t>A 55272-2023</t>
        </is>
      </c>
      <c r="B802" s="1" t="n">
        <v>45237.67819444444</v>
      </c>
      <c r="C802" s="1" t="n">
        <v>46105</v>
      </c>
      <c r="D802" t="inlineStr">
        <is>
          <t>ÖREBRO LÄN</t>
        </is>
      </c>
      <c r="E802" t="inlineStr">
        <is>
          <t>LINDESBERG</t>
        </is>
      </c>
      <c r="G802" t="n">
        <v>2.4</v>
      </c>
      <c r="H802" t="n">
        <v>0</v>
      </c>
      <c r="I802" t="n">
        <v>0</v>
      </c>
      <c r="J802" t="n">
        <v>0</v>
      </c>
      <c r="K802" t="n">
        <v>0</v>
      </c>
      <c r="L802" t="n">
        <v>0</v>
      </c>
      <c r="M802" t="n">
        <v>0</v>
      </c>
      <c r="N802" t="n">
        <v>0</v>
      </c>
      <c r="O802" t="n">
        <v>0</v>
      </c>
      <c r="P802" t="n">
        <v>0</v>
      </c>
      <c r="Q802" t="n">
        <v>0</v>
      </c>
      <c r="R802" s="2" t="inlineStr"/>
    </row>
    <row r="803" ht="15" customHeight="1">
      <c r="A803" t="inlineStr">
        <is>
          <t>A 53597-2024</t>
        </is>
      </c>
      <c r="B803" s="1" t="n">
        <v>45614.68083333333</v>
      </c>
      <c r="C803" s="1" t="n">
        <v>46105</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27576-2024</t>
        </is>
      </c>
      <c r="B804" s="1" t="n">
        <v>45474.65005787037</v>
      </c>
      <c r="C804" s="1" t="n">
        <v>46105</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21986-2023</t>
        </is>
      </c>
      <c r="B805" s="1" t="n">
        <v>45068</v>
      </c>
      <c r="C805" s="1" t="n">
        <v>46105</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52930-2024</t>
        </is>
      </c>
      <c r="B806" s="1" t="n">
        <v>45610.7466087963</v>
      </c>
      <c r="C806" s="1" t="n">
        <v>46105</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2103-2022</t>
        </is>
      </c>
      <c r="B807" s="1" t="n">
        <v>44577.81121527778</v>
      </c>
      <c r="C807" s="1" t="n">
        <v>46105</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54860-2024</t>
        </is>
      </c>
      <c r="B808" s="1" t="n">
        <v>45618.59219907408</v>
      </c>
      <c r="C808" s="1" t="n">
        <v>46105</v>
      </c>
      <c r="D808" t="inlineStr">
        <is>
          <t>ÖREBRO LÄN</t>
        </is>
      </c>
      <c r="E808" t="inlineStr">
        <is>
          <t>LINDESBERG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49358-2023</t>
        </is>
      </c>
      <c r="B809" s="1" t="n">
        <v>45211</v>
      </c>
      <c r="C809" s="1" t="n">
        <v>46105</v>
      </c>
      <c r="D809" t="inlineStr">
        <is>
          <t>ÖREBRO LÄN</t>
        </is>
      </c>
      <c r="E809" t="inlineStr">
        <is>
          <t>LINDESBERG</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23579-2022</t>
        </is>
      </c>
      <c r="B810" s="1" t="n">
        <v>44721.52627314815</v>
      </c>
      <c r="C810" s="1" t="n">
        <v>46105</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32009-2023</t>
        </is>
      </c>
      <c r="B811" s="1" t="n">
        <v>45119</v>
      </c>
      <c r="C811" s="1" t="n">
        <v>46105</v>
      </c>
      <c r="D811" t="inlineStr">
        <is>
          <t>ÖREBRO LÄN</t>
        </is>
      </c>
      <c r="E811" t="inlineStr">
        <is>
          <t>LINDESBERG</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46647-2024</t>
        </is>
      </c>
      <c r="B812" s="1" t="n">
        <v>45583</v>
      </c>
      <c r="C812" s="1" t="n">
        <v>46105</v>
      </c>
      <c r="D812" t="inlineStr">
        <is>
          <t>ÖREBRO LÄN</t>
        </is>
      </c>
      <c r="E812" t="inlineStr">
        <is>
          <t>LINDESBERG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23260-2024</t>
        </is>
      </c>
      <c r="B813" s="1" t="n">
        <v>45453.36664351852</v>
      </c>
      <c r="C813" s="1" t="n">
        <v>46105</v>
      </c>
      <c r="D813" t="inlineStr">
        <is>
          <t>ÖREBRO LÄN</t>
        </is>
      </c>
      <c r="E813" t="inlineStr">
        <is>
          <t>LINDESBERG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26067-2022</t>
        </is>
      </c>
      <c r="B814" s="1" t="n">
        <v>44734.64337962963</v>
      </c>
      <c r="C814" s="1" t="n">
        <v>46105</v>
      </c>
      <c r="D814" t="inlineStr">
        <is>
          <t>ÖREBRO LÄN</t>
        </is>
      </c>
      <c r="E814" t="inlineStr">
        <is>
          <t>LINDESBERG</t>
        </is>
      </c>
      <c r="G814" t="n">
        <v>3.1</v>
      </c>
      <c r="H814" t="n">
        <v>0</v>
      </c>
      <c r="I814" t="n">
        <v>0</v>
      </c>
      <c r="J814" t="n">
        <v>0</v>
      </c>
      <c r="K814" t="n">
        <v>0</v>
      </c>
      <c r="L814" t="n">
        <v>0</v>
      </c>
      <c r="M814" t="n">
        <v>0</v>
      </c>
      <c r="N814" t="n">
        <v>0</v>
      </c>
      <c r="O814" t="n">
        <v>0</v>
      </c>
      <c r="P814" t="n">
        <v>0</v>
      </c>
      <c r="Q814" t="n">
        <v>0</v>
      </c>
      <c r="R814" s="2" t="inlineStr"/>
    </row>
    <row r="815" ht="15" customHeight="1">
      <c r="A815" t="inlineStr">
        <is>
          <t>A 3233-2023</t>
        </is>
      </c>
      <c r="B815" s="1" t="n">
        <v>44946</v>
      </c>
      <c r="C815" s="1" t="n">
        <v>46105</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5047-2023</t>
        </is>
      </c>
      <c r="B816" s="1" t="n">
        <v>44958.58982638889</v>
      </c>
      <c r="C816" s="1" t="n">
        <v>46105</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8836-2023</t>
        </is>
      </c>
      <c r="B817" s="1" t="n">
        <v>44978</v>
      </c>
      <c r="C817" s="1" t="n">
        <v>46105</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38460-2024</t>
        </is>
      </c>
      <c r="B818" s="1" t="n">
        <v>45546.46497685185</v>
      </c>
      <c r="C818" s="1" t="n">
        <v>46105</v>
      </c>
      <c r="D818" t="inlineStr">
        <is>
          <t>ÖREBRO LÄN</t>
        </is>
      </c>
      <c r="E818" t="inlineStr">
        <is>
          <t>LINDESBERG</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46219-2022</t>
        </is>
      </c>
      <c r="B819" s="1" t="n">
        <v>44846</v>
      </c>
      <c r="C819" s="1" t="n">
        <v>46105</v>
      </c>
      <c r="D819" t="inlineStr">
        <is>
          <t>ÖREBRO LÄN</t>
        </is>
      </c>
      <c r="E819" t="inlineStr">
        <is>
          <t>LINDESBERG</t>
        </is>
      </c>
      <c r="G819" t="n">
        <v>6</v>
      </c>
      <c r="H819" t="n">
        <v>0</v>
      </c>
      <c r="I819" t="n">
        <v>0</v>
      </c>
      <c r="J819" t="n">
        <v>0</v>
      </c>
      <c r="K819" t="n">
        <v>0</v>
      </c>
      <c r="L819" t="n">
        <v>0</v>
      </c>
      <c r="M819" t="n">
        <v>0</v>
      </c>
      <c r="N819" t="n">
        <v>0</v>
      </c>
      <c r="O819" t="n">
        <v>0</v>
      </c>
      <c r="P819" t="n">
        <v>0</v>
      </c>
      <c r="Q819" t="n">
        <v>0</v>
      </c>
      <c r="R819" s="2" t="inlineStr"/>
    </row>
    <row r="820" ht="15" customHeight="1">
      <c r="A820" t="inlineStr">
        <is>
          <t>A 11953-2024</t>
        </is>
      </c>
      <c r="B820" s="1" t="n">
        <v>45376.70292824074</v>
      </c>
      <c r="C820" s="1" t="n">
        <v>46105</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4440-2024</t>
        </is>
      </c>
      <c r="B821" s="1" t="n">
        <v>45327</v>
      </c>
      <c r="C821" s="1" t="n">
        <v>46105</v>
      </c>
      <c r="D821" t="inlineStr">
        <is>
          <t>ÖREBRO LÄN</t>
        </is>
      </c>
      <c r="E821" t="inlineStr">
        <is>
          <t>LINDESBERG</t>
        </is>
      </c>
      <c r="F821" t="inlineStr">
        <is>
          <t>BillerudKorsnäs AB</t>
        </is>
      </c>
      <c r="G821" t="n">
        <v>2</v>
      </c>
      <c r="H821" t="n">
        <v>0</v>
      </c>
      <c r="I821" t="n">
        <v>0</v>
      </c>
      <c r="J821" t="n">
        <v>0</v>
      </c>
      <c r="K821" t="n">
        <v>0</v>
      </c>
      <c r="L821" t="n">
        <v>0</v>
      </c>
      <c r="M821" t="n">
        <v>0</v>
      </c>
      <c r="N821" t="n">
        <v>0</v>
      </c>
      <c r="O821" t="n">
        <v>0</v>
      </c>
      <c r="P821" t="n">
        <v>0</v>
      </c>
      <c r="Q821" t="n">
        <v>0</v>
      </c>
      <c r="R821" s="2" t="inlineStr"/>
    </row>
    <row r="822" ht="15" customHeight="1">
      <c r="A822" t="inlineStr">
        <is>
          <t>A 48244-2024</t>
        </is>
      </c>
      <c r="B822" s="1" t="n">
        <v>45590.39471064815</v>
      </c>
      <c r="C822" s="1" t="n">
        <v>46105</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59633-2023</t>
        </is>
      </c>
      <c r="B823" s="1" t="n">
        <v>45254</v>
      </c>
      <c r="C823" s="1" t="n">
        <v>46105</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18418-2025</t>
        </is>
      </c>
      <c r="B824" s="1" t="n">
        <v>45762.61817129629</v>
      </c>
      <c r="C824" s="1" t="n">
        <v>46105</v>
      </c>
      <c r="D824" t="inlineStr">
        <is>
          <t>ÖREBRO LÄN</t>
        </is>
      </c>
      <c r="E824" t="inlineStr">
        <is>
          <t>LINDESBERG</t>
        </is>
      </c>
      <c r="G824" t="n">
        <v>2.3</v>
      </c>
      <c r="H824" t="n">
        <v>0</v>
      </c>
      <c r="I824" t="n">
        <v>0</v>
      </c>
      <c r="J824" t="n">
        <v>0</v>
      </c>
      <c r="K824" t="n">
        <v>0</v>
      </c>
      <c r="L824" t="n">
        <v>0</v>
      </c>
      <c r="M824" t="n">
        <v>0</v>
      </c>
      <c r="N824" t="n">
        <v>0</v>
      </c>
      <c r="O824" t="n">
        <v>0</v>
      </c>
      <c r="P824" t="n">
        <v>0</v>
      </c>
      <c r="Q824" t="n">
        <v>0</v>
      </c>
      <c r="R824" s="2" t="inlineStr"/>
    </row>
    <row r="825" ht="15" customHeight="1">
      <c r="A825" t="inlineStr">
        <is>
          <t>A 23649-2023</t>
        </is>
      </c>
      <c r="B825" s="1" t="n">
        <v>45074</v>
      </c>
      <c r="C825" s="1" t="n">
        <v>46105</v>
      </c>
      <c r="D825" t="inlineStr">
        <is>
          <t>ÖREBRO LÄN</t>
        </is>
      </c>
      <c r="E825" t="inlineStr">
        <is>
          <t>LINDESBERG</t>
        </is>
      </c>
      <c r="G825" t="n">
        <v>1.2</v>
      </c>
      <c r="H825" t="n">
        <v>0</v>
      </c>
      <c r="I825" t="n">
        <v>0</v>
      </c>
      <c r="J825" t="n">
        <v>0</v>
      </c>
      <c r="K825" t="n">
        <v>0</v>
      </c>
      <c r="L825" t="n">
        <v>0</v>
      </c>
      <c r="M825" t="n">
        <v>0</v>
      </c>
      <c r="N825" t="n">
        <v>0</v>
      </c>
      <c r="O825" t="n">
        <v>0</v>
      </c>
      <c r="P825" t="n">
        <v>0</v>
      </c>
      <c r="Q825" t="n">
        <v>0</v>
      </c>
      <c r="R825" s="2" t="inlineStr"/>
    </row>
    <row r="826" ht="15" customHeight="1">
      <c r="A826" t="inlineStr">
        <is>
          <t>A 43081-2021</t>
        </is>
      </c>
      <c r="B826" s="1" t="n">
        <v>44431</v>
      </c>
      <c r="C826" s="1" t="n">
        <v>46105</v>
      </c>
      <c r="D826" t="inlineStr">
        <is>
          <t>ÖREBRO LÄN</t>
        </is>
      </c>
      <c r="E826" t="inlineStr">
        <is>
          <t>LINDESBERG</t>
        </is>
      </c>
      <c r="G826" t="n">
        <v>0.5</v>
      </c>
      <c r="H826" t="n">
        <v>0</v>
      </c>
      <c r="I826" t="n">
        <v>0</v>
      </c>
      <c r="J826" t="n">
        <v>0</v>
      </c>
      <c r="K826" t="n">
        <v>0</v>
      </c>
      <c r="L826" t="n">
        <v>0</v>
      </c>
      <c r="M826" t="n">
        <v>0</v>
      </c>
      <c r="N826" t="n">
        <v>0</v>
      </c>
      <c r="O826" t="n">
        <v>0</v>
      </c>
      <c r="P826" t="n">
        <v>0</v>
      </c>
      <c r="Q826" t="n">
        <v>0</v>
      </c>
      <c r="R826" s="2" t="inlineStr"/>
    </row>
    <row r="827" ht="15" customHeight="1">
      <c r="A827" t="inlineStr">
        <is>
          <t>A 51071-2022</t>
        </is>
      </c>
      <c r="B827" s="1" t="n">
        <v>44868.36924768519</v>
      </c>
      <c r="C827" s="1" t="n">
        <v>46105</v>
      </c>
      <c r="D827" t="inlineStr">
        <is>
          <t>ÖREBRO LÄN</t>
        </is>
      </c>
      <c r="E827" t="inlineStr">
        <is>
          <t>LINDESBERG</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44449-2023</t>
        </is>
      </c>
      <c r="B828" s="1" t="n">
        <v>45189.38135416667</v>
      </c>
      <c r="C828" s="1" t="n">
        <v>46105</v>
      </c>
      <c r="D828" t="inlineStr">
        <is>
          <t>ÖREBRO LÄN</t>
        </is>
      </c>
      <c r="E828" t="inlineStr">
        <is>
          <t>LINDESBERG</t>
        </is>
      </c>
      <c r="G828" t="n">
        <v>13.7</v>
      </c>
      <c r="H828" t="n">
        <v>0</v>
      </c>
      <c r="I828" t="n">
        <v>0</v>
      </c>
      <c r="J828" t="n">
        <v>0</v>
      </c>
      <c r="K828" t="n">
        <v>0</v>
      </c>
      <c r="L828" t="n">
        <v>0</v>
      </c>
      <c r="M828" t="n">
        <v>0</v>
      </c>
      <c r="N828" t="n">
        <v>0</v>
      </c>
      <c r="O828" t="n">
        <v>0</v>
      </c>
      <c r="P828" t="n">
        <v>0</v>
      </c>
      <c r="Q828" t="n">
        <v>0</v>
      </c>
      <c r="R828" s="2" t="inlineStr"/>
    </row>
    <row r="829" ht="15" customHeight="1">
      <c r="A829" t="inlineStr">
        <is>
          <t>A 15894-2025</t>
        </is>
      </c>
      <c r="B829" s="1" t="n">
        <v>45749</v>
      </c>
      <c r="C829" s="1" t="n">
        <v>46105</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34436-2023</t>
        </is>
      </c>
      <c r="B830" s="1" t="n">
        <v>45139.64328703703</v>
      </c>
      <c r="C830" s="1" t="n">
        <v>46105</v>
      </c>
      <c r="D830" t="inlineStr">
        <is>
          <t>ÖREBRO LÄN</t>
        </is>
      </c>
      <c r="E830" t="inlineStr">
        <is>
          <t>LINDESBERG</t>
        </is>
      </c>
      <c r="F830" t="inlineStr">
        <is>
          <t>Kyrkan</t>
        </is>
      </c>
      <c r="G830" t="n">
        <v>5.8</v>
      </c>
      <c r="H830" t="n">
        <v>0</v>
      </c>
      <c r="I830" t="n">
        <v>0</v>
      </c>
      <c r="J830" t="n">
        <v>0</v>
      </c>
      <c r="K830" t="n">
        <v>0</v>
      </c>
      <c r="L830" t="n">
        <v>0</v>
      </c>
      <c r="M830" t="n">
        <v>0</v>
      </c>
      <c r="N830" t="n">
        <v>0</v>
      </c>
      <c r="O830" t="n">
        <v>0</v>
      </c>
      <c r="P830" t="n">
        <v>0</v>
      </c>
      <c r="Q830" t="n">
        <v>0</v>
      </c>
      <c r="R830" s="2" t="inlineStr"/>
    </row>
    <row r="831" ht="15" customHeight="1">
      <c r="A831" t="inlineStr">
        <is>
          <t>A 45078-2024</t>
        </is>
      </c>
      <c r="B831" s="1" t="n">
        <v>45575.57104166667</v>
      </c>
      <c r="C831" s="1" t="n">
        <v>46105</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27001-2024</t>
        </is>
      </c>
      <c r="B832" s="1" t="n">
        <v>45471.38995370371</v>
      </c>
      <c r="C832" s="1" t="n">
        <v>46105</v>
      </c>
      <c r="D832" t="inlineStr">
        <is>
          <t>ÖREBRO LÄN</t>
        </is>
      </c>
      <c r="E832" t="inlineStr">
        <is>
          <t>LINDESBERG</t>
        </is>
      </c>
      <c r="G832" t="n">
        <v>2.8</v>
      </c>
      <c r="H832" t="n">
        <v>0</v>
      </c>
      <c r="I832" t="n">
        <v>0</v>
      </c>
      <c r="J832" t="n">
        <v>0</v>
      </c>
      <c r="K832" t="n">
        <v>0</v>
      </c>
      <c r="L832" t="n">
        <v>0</v>
      </c>
      <c r="M832" t="n">
        <v>0</v>
      </c>
      <c r="N832" t="n">
        <v>0</v>
      </c>
      <c r="O832" t="n">
        <v>0</v>
      </c>
      <c r="P832" t="n">
        <v>0</v>
      </c>
      <c r="Q832" t="n">
        <v>0</v>
      </c>
      <c r="R832" s="2" t="inlineStr"/>
    </row>
    <row r="833" ht="15" customHeight="1">
      <c r="A833" t="inlineStr">
        <is>
          <t>A 20467-2023</t>
        </is>
      </c>
      <c r="B833" s="1" t="n">
        <v>45057</v>
      </c>
      <c r="C833" s="1" t="n">
        <v>46105</v>
      </c>
      <c r="D833" t="inlineStr">
        <is>
          <t>ÖREBRO LÄN</t>
        </is>
      </c>
      <c r="E833" t="inlineStr">
        <is>
          <t>LINDESBERG</t>
        </is>
      </c>
      <c r="G833" t="n">
        <v>2.1</v>
      </c>
      <c r="H833" t="n">
        <v>0</v>
      </c>
      <c r="I833" t="n">
        <v>0</v>
      </c>
      <c r="J833" t="n">
        <v>0</v>
      </c>
      <c r="K833" t="n">
        <v>0</v>
      </c>
      <c r="L833" t="n">
        <v>0</v>
      </c>
      <c r="M833" t="n">
        <v>0</v>
      </c>
      <c r="N833" t="n">
        <v>0</v>
      </c>
      <c r="O833" t="n">
        <v>0</v>
      </c>
      <c r="P833" t="n">
        <v>0</v>
      </c>
      <c r="Q833" t="n">
        <v>0</v>
      </c>
      <c r="R833" s="2" t="inlineStr"/>
    </row>
    <row r="834" ht="15" customHeight="1">
      <c r="A834" t="inlineStr">
        <is>
          <t>A 25012-2023</t>
        </is>
      </c>
      <c r="B834" s="1" t="n">
        <v>45085</v>
      </c>
      <c r="C834" s="1" t="n">
        <v>46105</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26778-2023</t>
        </is>
      </c>
      <c r="B835" s="1" t="n">
        <v>45093.48221064815</v>
      </c>
      <c r="C835" s="1" t="n">
        <v>46105</v>
      </c>
      <c r="D835" t="inlineStr">
        <is>
          <t>ÖREBRO LÄN</t>
        </is>
      </c>
      <c r="E835" t="inlineStr">
        <is>
          <t>LINDESBERG</t>
        </is>
      </c>
      <c r="G835" t="n">
        <v>7.5</v>
      </c>
      <c r="H835" t="n">
        <v>0</v>
      </c>
      <c r="I835" t="n">
        <v>0</v>
      </c>
      <c r="J835" t="n">
        <v>0</v>
      </c>
      <c r="K835" t="n">
        <v>0</v>
      </c>
      <c r="L835" t="n">
        <v>0</v>
      </c>
      <c r="M835" t="n">
        <v>0</v>
      </c>
      <c r="N835" t="n">
        <v>0</v>
      </c>
      <c r="O835" t="n">
        <v>0</v>
      </c>
      <c r="P835" t="n">
        <v>0</v>
      </c>
      <c r="Q835" t="n">
        <v>0</v>
      </c>
      <c r="R835" s="2" t="inlineStr"/>
    </row>
    <row r="836" ht="15" customHeight="1">
      <c r="A836" t="inlineStr">
        <is>
          <t>A 50170-2022</t>
        </is>
      </c>
      <c r="B836" s="1" t="n">
        <v>44865.600625</v>
      </c>
      <c r="C836" s="1" t="n">
        <v>46105</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1354-2024</t>
        </is>
      </c>
      <c r="B837" s="1" t="n">
        <v>45303</v>
      </c>
      <c r="C837" s="1" t="n">
        <v>46105</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33886-2024</t>
        </is>
      </c>
      <c r="B838" s="1" t="n">
        <v>45523.31621527778</v>
      </c>
      <c r="C838" s="1" t="n">
        <v>46105</v>
      </c>
      <c r="D838" t="inlineStr">
        <is>
          <t>ÖREBRO LÄN</t>
        </is>
      </c>
      <c r="E838" t="inlineStr">
        <is>
          <t>LINDESBERG</t>
        </is>
      </c>
      <c r="G838" t="n">
        <v>1.3</v>
      </c>
      <c r="H838" t="n">
        <v>0</v>
      </c>
      <c r="I838" t="n">
        <v>0</v>
      </c>
      <c r="J838" t="n">
        <v>0</v>
      </c>
      <c r="K838" t="n">
        <v>0</v>
      </c>
      <c r="L838" t="n">
        <v>0</v>
      </c>
      <c r="M838" t="n">
        <v>0</v>
      </c>
      <c r="N838" t="n">
        <v>0</v>
      </c>
      <c r="O838" t="n">
        <v>0</v>
      </c>
      <c r="P838" t="n">
        <v>0</v>
      </c>
      <c r="Q838" t="n">
        <v>0</v>
      </c>
      <c r="R838" s="2" t="inlineStr"/>
    </row>
    <row r="839" ht="15" customHeight="1">
      <c r="A839" t="inlineStr">
        <is>
          <t>A 50285-2022</t>
        </is>
      </c>
      <c r="B839" s="1" t="n">
        <v>44865.87770833333</v>
      </c>
      <c r="C839" s="1" t="n">
        <v>46105</v>
      </c>
      <c r="D839" t="inlineStr">
        <is>
          <t>ÖREBRO LÄN</t>
        </is>
      </c>
      <c r="E839" t="inlineStr">
        <is>
          <t>LINDESBERG</t>
        </is>
      </c>
      <c r="G839" t="n">
        <v>2.5</v>
      </c>
      <c r="H839" t="n">
        <v>0</v>
      </c>
      <c r="I839" t="n">
        <v>0</v>
      </c>
      <c r="J839" t="n">
        <v>0</v>
      </c>
      <c r="K839" t="n">
        <v>0</v>
      </c>
      <c r="L839" t="n">
        <v>0</v>
      </c>
      <c r="M839" t="n">
        <v>0</v>
      </c>
      <c r="N839" t="n">
        <v>0</v>
      </c>
      <c r="O839" t="n">
        <v>0</v>
      </c>
      <c r="P839" t="n">
        <v>0</v>
      </c>
      <c r="Q839" t="n">
        <v>0</v>
      </c>
      <c r="R839" s="2" t="inlineStr"/>
    </row>
    <row r="840" ht="15" customHeight="1">
      <c r="A840" t="inlineStr">
        <is>
          <t>A 1405-2025</t>
        </is>
      </c>
      <c r="B840" s="1" t="n">
        <v>45667</v>
      </c>
      <c r="C840" s="1" t="n">
        <v>46105</v>
      </c>
      <c r="D840" t="inlineStr">
        <is>
          <t>ÖREBRO LÄN</t>
        </is>
      </c>
      <c r="E840" t="inlineStr">
        <is>
          <t>LINDESBERG</t>
        </is>
      </c>
      <c r="F840" t="inlineStr">
        <is>
          <t>Allmännings- och besparingsskogar</t>
        </is>
      </c>
      <c r="G840" t="n">
        <v>3.1</v>
      </c>
      <c r="H840" t="n">
        <v>0</v>
      </c>
      <c r="I840" t="n">
        <v>0</v>
      </c>
      <c r="J840" t="n">
        <v>0</v>
      </c>
      <c r="K840" t="n">
        <v>0</v>
      </c>
      <c r="L840" t="n">
        <v>0</v>
      </c>
      <c r="M840" t="n">
        <v>0</v>
      </c>
      <c r="N840" t="n">
        <v>0</v>
      </c>
      <c r="O840" t="n">
        <v>0</v>
      </c>
      <c r="P840" t="n">
        <v>0</v>
      </c>
      <c r="Q840" t="n">
        <v>0</v>
      </c>
      <c r="R840" s="2" t="inlineStr"/>
    </row>
    <row r="841" ht="15" customHeight="1">
      <c r="A841" t="inlineStr">
        <is>
          <t>A 40456-2023</t>
        </is>
      </c>
      <c r="B841" s="1" t="n">
        <v>45170</v>
      </c>
      <c r="C841" s="1" t="n">
        <v>46105</v>
      </c>
      <c r="D841" t="inlineStr">
        <is>
          <t>ÖREBRO LÄN</t>
        </is>
      </c>
      <c r="E841" t="inlineStr">
        <is>
          <t>LINDESBERG</t>
        </is>
      </c>
      <c r="F841" t="inlineStr">
        <is>
          <t>Kyrkan</t>
        </is>
      </c>
      <c r="G841" t="n">
        <v>0.6</v>
      </c>
      <c r="H841" t="n">
        <v>0</v>
      </c>
      <c r="I841" t="n">
        <v>0</v>
      </c>
      <c r="J841" t="n">
        <v>0</v>
      </c>
      <c r="K841" t="n">
        <v>0</v>
      </c>
      <c r="L841" t="n">
        <v>0</v>
      </c>
      <c r="M841" t="n">
        <v>0</v>
      </c>
      <c r="N841" t="n">
        <v>0</v>
      </c>
      <c r="O841" t="n">
        <v>0</v>
      </c>
      <c r="P841" t="n">
        <v>0</v>
      </c>
      <c r="Q841" t="n">
        <v>0</v>
      </c>
      <c r="R841" s="2" t="inlineStr"/>
    </row>
    <row r="842" ht="15" customHeight="1">
      <c r="A842" t="inlineStr">
        <is>
          <t>A 28562-2023</t>
        </is>
      </c>
      <c r="B842" s="1" t="n">
        <v>45103.53614583334</v>
      </c>
      <c r="C842" s="1" t="n">
        <v>46105</v>
      </c>
      <c r="D842" t="inlineStr">
        <is>
          <t>ÖREBRO LÄN</t>
        </is>
      </c>
      <c r="E842" t="inlineStr">
        <is>
          <t>LINDESBERG</t>
        </is>
      </c>
      <c r="G842" t="n">
        <v>2</v>
      </c>
      <c r="H842" t="n">
        <v>0</v>
      </c>
      <c r="I842" t="n">
        <v>0</v>
      </c>
      <c r="J842" t="n">
        <v>0</v>
      </c>
      <c r="K842" t="n">
        <v>0</v>
      </c>
      <c r="L842" t="n">
        <v>0</v>
      </c>
      <c r="M842" t="n">
        <v>0</v>
      </c>
      <c r="N842" t="n">
        <v>0</v>
      </c>
      <c r="O842" t="n">
        <v>0</v>
      </c>
      <c r="P842" t="n">
        <v>0</v>
      </c>
      <c r="Q842" t="n">
        <v>0</v>
      </c>
      <c r="R842" s="2" t="inlineStr"/>
    </row>
    <row r="843" ht="15" customHeight="1">
      <c r="A843" t="inlineStr">
        <is>
          <t>A 17463-2023</t>
        </is>
      </c>
      <c r="B843" s="1" t="n">
        <v>45036</v>
      </c>
      <c r="C843" s="1" t="n">
        <v>46105</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6511-2025</t>
        </is>
      </c>
      <c r="B844" s="1" t="n">
        <v>45699.65424768518</v>
      </c>
      <c r="C844" s="1" t="n">
        <v>46105</v>
      </c>
      <c r="D844" t="inlineStr">
        <is>
          <t>ÖREBRO LÄN</t>
        </is>
      </c>
      <c r="E844" t="inlineStr">
        <is>
          <t>LINDESBERG</t>
        </is>
      </c>
      <c r="G844" t="n">
        <v>9.1</v>
      </c>
      <c r="H844" t="n">
        <v>0</v>
      </c>
      <c r="I844" t="n">
        <v>0</v>
      </c>
      <c r="J844" t="n">
        <v>0</v>
      </c>
      <c r="K844" t="n">
        <v>0</v>
      </c>
      <c r="L844" t="n">
        <v>0</v>
      </c>
      <c r="M844" t="n">
        <v>0</v>
      </c>
      <c r="N844" t="n">
        <v>0</v>
      </c>
      <c r="O844" t="n">
        <v>0</v>
      </c>
      <c r="P844" t="n">
        <v>0</v>
      </c>
      <c r="Q844" t="n">
        <v>0</v>
      </c>
      <c r="R844" s="2" t="inlineStr"/>
    </row>
    <row r="845" ht="15" customHeight="1">
      <c r="A845" t="inlineStr">
        <is>
          <t>A 22829-2023</t>
        </is>
      </c>
      <c r="B845" s="1" t="n">
        <v>45072.42776620371</v>
      </c>
      <c r="C845" s="1" t="n">
        <v>46105</v>
      </c>
      <c r="D845" t="inlineStr">
        <is>
          <t>ÖREBRO LÄN</t>
        </is>
      </c>
      <c r="E845" t="inlineStr">
        <is>
          <t>LINDESBERG</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60105-2022</t>
        </is>
      </c>
      <c r="B846" s="1" t="n">
        <v>44902</v>
      </c>
      <c r="C846" s="1" t="n">
        <v>46105</v>
      </c>
      <c r="D846" t="inlineStr">
        <is>
          <t>ÖREBRO LÄN</t>
        </is>
      </c>
      <c r="E846" t="inlineStr">
        <is>
          <t>LINDESBERG</t>
        </is>
      </c>
      <c r="G846" t="n">
        <v>0.5</v>
      </c>
      <c r="H846" t="n">
        <v>0</v>
      </c>
      <c r="I846" t="n">
        <v>0</v>
      </c>
      <c r="J846" t="n">
        <v>0</v>
      </c>
      <c r="K846" t="n">
        <v>0</v>
      </c>
      <c r="L846" t="n">
        <v>0</v>
      </c>
      <c r="M846" t="n">
        <v>0</v>
      </c>
      <c r="N846" t="n">
        <v>0</v>
      </c>
      <c r="O846" t="n">
        <v>0</v>
      </c>
      <c r="P846" t="n">
        <v>0</v>
      </c>
      <c r="Q846" t="n">
        <v>0</v>
      </c>
      <c r="R846" s="2" t="inlineStr"/>
    </row>
    <row r="847" ht="15" customHeight="1">
      <c r="A847" t="inlineStr">
        <is>
          <t>A 53046-2024</t>
        </is>
      </c>
      <c r="B847" s="1" t="n">
        <v>45611.44960648148</v>
      </c>
      <c r="C847" s="1" t="n">
        <v>46105</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18590-2023</t>
        </is>
      </c>
      <c r="B848" s="1" t="n">
        <v>45043.40300925926</v>
      </c>
      <c r="C848" s="1" t="n">
        <v>46105</v>
      </c>
      <c r="D848" t="inlineStr">
        <is>
          <t>ÖREBRO LÄN</t>
        </is>
      </c>
      <c r="E848" t="inlineStr">
        <is>
          <t>LINDESBERG</t>
        </is>
      </c>
      <c r="G848" t="n">
        <v>2.4</v>
      </c>
      <c r="H848" t="n">
        <v>0</v>
      </c>
      <c r="I848" t="n">
        <v>0</v>
      </c>
      <c r="J848" t="n">
        <v>0</v>
      </c>
      <c r="K848" t="n">
        <v>0</v>
      </c>
      <c r="L848" t="n">
        <v>0</v>
      </c>
      <c r="M848" t="n">
        <v>0</v>
      </c>
      <c r="N848" t="n">
        <v>0</v>
      </c>
      <c r="O848" t="n">
        <v>0</v>
      </c>
      <c r="P848" t="n">
        <v>0</v>
      </c>
      <c r="Q848" t="n">
        <v>0</v>
      </c>
      <c r="R848" s="2" t="inlineStr"/>
    </row>
    <row r="849" ht="15" customHeight="1">
      <c r="A849" t="inlineStr">
        <is>
          <t>A 51539-2024</t>
        </is>
      </c>
      <c r="B849" s="1" t="n">
        <v>45604.58837962963</v>
      </c>
      <c r="C849" s="1" t="n">
        <v>46105</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15852-2025</t>
        </is>
      </c>
      <c r="B850" s="1" t="n">
        <v>45749</v>
      </c>
      <c r="C850" s="1" t="n">
        <v>46105</v>
      </c>
      <c r="D850" t="inlineStr">
        <is>
          <t>ÖREBRO LÄN</t>
        </is>
      </c>
      <c r="E850" t="inlineStr">
        <is>
          <t>LINDESBERG</t>
        </is>
      </c>
      <c r="G850" t="n">
        <v>8.9</v>
      </c>
      <c r="H850" t="n">
        <v>0</v>
      </c>
      <c r="I850" t="n">
        <v>0</v>
      </c>
      <c r="J850" t="n">
        <v>0</v>
      </c>
      <c r="K850" t="n">
        <v>0</v>
      </c>
      <c r="L850" t="n">
        <v>0</v>
      </c>
      <c r="M850" t="n">
        <v>0</v>
      </c>
      <c r="N850" t="n">
        <v>0</v>
      </c>
      <c r="O850" t="n">
        <v>0</v>
      </c>
      <c r="P850" t="n">
        <v>0</v>
      </c>
      <c r="Q850" t="n">
        <v>0</v>
      </c>
      <c r="R850" s="2" t="inlineStr"/>
    </row>
    <row r="851" ht="15" customHeight="1">
      <c r="A851" t="inlineStr">
        <is>
          <t>A 34539-2024</t>
        </is>
      </c>
      <c r="B851" s="1" t="n">
        <v>45525.7374537037</v>
      </c>
      <c r="C851" s="1" t="n">
        <v>46105</v>
      </c>
      <c r="D851" t="inlineStr">
        <is>
          <t>ÖREBRO LÄN</t>
        </is>
      </c>
      <c r="E851" t="inlineStr">
        <is>
          <t>LINDESBERG</t>
        </is>
      </c>
      <c r="G851" t="n">
        <v>5.4</v>
      </c>
      <c r="H851" t="n">
        <v>0</v>
      </c>
      <c r="I851" t="n">
        <v>0</v>
      </c>
      <c r="J851" t="n">
        <v>0</v>
      </c>
      <c r="K851" t="n">
        <v>0</v>
      </c>
      <c r="L851" t="n">
        <v>0</v>
      </c>
      <c r="M851" t="n">
        <v>0</v>
      </c>
      <c r="N851" t="n">
        <v>0</v>
      </c>
      <c r="O851" t="n">
        <v>0</v>
      </c>
      <c r="P851" t="n">
        <v>0</v>
      </c>
      <c r="Q851" t="n">
        <v>0</v>
      </c>
      <c r="R851" s="2" t="inlineStr"/>
    </row>
    <row r="852" ht="15" customHeight="1">
      <c r="A852" t="inlineStr">
        <is>
          <t>A 35739-2024</t>
        </is>
      </c>
      <c r="B852" s="1" t="n">
        <v>45532</v>
      </c>
      <c r="C852" s="1" t="n">
        <v>46105</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1383-2025</t>
        </is>
      </c>
      <c r="B853" s="1" t="n">
        <v>45667</v>
      </c>
      <c r="C853" s="1" t="n">
        <v>46105</v>
      </c>
      <c r="D853" t="inlineStr">
        <is>
          <t>ÖREBRO LÄN</t>
        </is>
      </c>
      <c r="E853" t="inlineStr">
        <is>
          <t>LINDESBERG</t>
        </is>
      </c>
      <c r="G853" t="n">
        <v>5</v>
      </c>
      <c r="H853" t="n">
        <v>0</v>
      </c>
      <c r="I853" t="n">
        <v>0</v>
      </c>
      <c r="J853" t="n">
        <v>0</v>
      </c>
      <c r="K853" t="n">
        <v>0</v>
      </c>
      <c r="L853" t="n">
        <v>0</v>
      </c>
      <c r="M853" t="n">
        <v>0</v>
      </c>
      <c r="N853" t="n">
        <v>0</v>
      </c>
      <c r="O853" t="n">
        <v>0</v>
      </c>
      <c r="P853" t="n">
        <v>0</v>
      </c>
      <c r="Q853" t="n">
        <v>0</v>
      </c>
      <c r="R853" s="2" t="inlineStr"/>
    </row>
    <row r="854" ht="15" customHeight="1">
      <c r="A854" t="inlineStr">
        <is>
          <t>A 10057-2025</t>
        </is>
      </c>
      <c r="B854" s="1" t="n">
        <v>45719.52871527777</v>
      </c>
      <c r="C854" s="1" t="n">
        <v>46105</v>
      </c>
      <c r="D854" t="inlineStr">
        <is>
          <t>ÖREBRO LÄN</t>
        </is>
      </c>
      <c r="E854" t="inlineStr">
        <is>
          <t>LINDESBERG</t>
        </is>
      </c>
      <c r="F854" t="inlineStr">
        <is>
          <t>Sveaskog</t>
        </is>
      </c>
      <c r="G854" t="n">
        <v>1.2</v>
      </c>
      <c r="H854" t="n">
        <v>0</v>
      </c>
      <c r="I854" t="n">
        <v>0</v>
      </c>
      <c r="J854" t="n">
        <v>0</v>
      </c>
      <c r="K854" t="n">
        <v>0</v>
      </c>
      <c r="L854" t="n">
        <v>0</v>
      </c>
      <c r="M854" t="n">
        <v>0</v>
      </c>
      <c r="N854" t="n">
        <v>0</v>
      </c>
      <c r="O854" t="n">
        <v>0</v>
      </c>
      <c r="P854" t="n">
        <v>0</v>
      </c>
      <c r="Q854" t="n">
        <v>0</v>
      </c>
      <c r="R854" s="2" t="inlineStr"/>
    </row>
    <row r="855" ht="15" customHeight="1">
      <c r="A855" t="inlineStr">
        <is>
          <t>A 43247-2023</t>
        </is>
      </c>
      <c r="B855" s="1" t="n">
        <v>45183.48666666666</v>
      </c>
      <c r="C855" s="1" t="n">
        <v>46105</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626-2025</t>
        </is>
      </c>
      <c r="B856" s="1" t="n">
        <v>45664</v>
      </c>
      <c r="C856" s="1" t="n">
        <v>46105</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43046-2022</t>
        </is>
      </c>
      <c r="B857" s="1" t="n">
        <v>44833</v>
      </c>
      <c r="C857" s="1" t="n">
        <v>46105</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57795-2021</t>
        </is>
      </c>
      <c r="B858" s="1" t="n">
        <v>44484</v>
      </c>
      <c r="C858" s="1" t="n">
        <v>46105</v>
      </c>
      <c r="D858" t="inlineStr">
        <is>
          <t>ÖREBRO LÄN</t>
        </is>
      </c>
      <c r="E858" t="inlineStr">
        <is>
          <t>LINDESBERG</t>
        </is>
      </c>
      <c r="G858" t="n">
        <v>39.4</v>
      </c>
      <c r="H858" t="n">
        <v>0</v>
      </c>
      <c r="I858" t="n">
        <v>0</v>
      </c>
      <c r="J858" t="n">
        <v>0</v>
      </c>
      <c r="K858" t="n">
        <v>0</v>
      </c>
      <c r="L858" t="n">
        <v>0</v>
      </c>
      <c r="M858" t="n">
        <v>0</v>
      </c>
      <c r="N858" t="n">
        <v>0</v>
      </c>
      <c r="O858" t="n">
        <v>0</v>
      </c>
      <c r="P858" t="n">
        <v>0</v>
      </c>
      <c r="Q858" t="n">
        <v>0</v>
      </c>
      <c r="R858" s="2" t="inlineStr"/>
    </row>
    <row r="859" ht="15" customHeight="1">
      <c r="A859" t="inlineStr">
        <is>
          <t>A 43433-2024</t>
        </is>
      </c>
      <c r="B859" s="1" t="n">
        <v>45568.64523148148</v>
      </c>
      <c r="C859" s="1" t="n">
        <v>46105</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6604-2024</t>
        </is>
      </c>
      <c r="B860" s="1" t="n">
        <v>45341.56577546296</v>
      </c>
      <c r="C860" s="1" t="n">
        <v>46105</v>
      </c>
      <c r="D860" t="inlineStr">
        <is>
          <t>ÖREBRO LÄN</t>
        </is>
      </c>
      <c r="E860" t="inlineStr">
        <is>
          <t>LINDESBERG</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5550-2024</t>
        </is>
      </c>
      <c r="B861" s="1" t="n">
        <v>45334</v>
      </c>
      <c r="C861" s="1" t="n">
        <v>46105</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63125-2023</t>
        </is>
      </c>
      <c r="B862" s="1" t="n">
        <v>45273</v>
      </c>
      <c r="C862" s="1" t="n">
        <v>46105</v>
      </c>
      <c r="D862" t="inlineStr">
        <is>
          <t>ÖREBRO LÄN</t>
        </is>
      </c>
      <c r="E862" t="inlineStr">
        <is>
          <t>LINDESBERG</t>
        </is>
      </c>
      <c r="G862" t="n">
        <v>1.7</v>
      </c>
      <c r="H862" t="n">
        <v>0</v>
      </c>
      <c r="I862" t="n">
        <v>0</v>
      </c>
      <c r="J862" t="n">
        <v>0</v>
      </c>
      <c r="K862" t="n">
        <v>0</v>
      </c>
      <c r="L862" t="n">
        <v>0</v>
      </c>
      <c r="M862" t="n">
        <v>0</v>
      </c>
      <c r="N862" t="n">
        <v>0</v>
      </c>
      <c r="O862" t="n">
        <v>0</v>
      </c>
      <c r="P862" t="n">
        <v>0</v>
      </c>
      <c r="Q862" t="n">
        <v>0</v>
      </c>
      <c r="R862" s="2" t="inlineStr"/>
    </row>
    <row r="863" ht="15" customHeight="1">
      <c r="A863" t="inlineStr">
        <is>
          <t>A 15752-2024</t>
        </is>
      </c>
      <c r="B863" s="1" t="n">
        <v>45404.55681712963</v>
      </c>
      <c r="C863" s="1" t="n">
        <v>46105</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35229-2024</t>
        </is>
      </c>
      <c r="B864" s="1" t="n">
        <v>45530</v>
      </c>
      <c r="C864" s="1" t="n">
        <v>46105</v>
      </c>
      <c r="D864" t="inlineStr">
        <is>
          <t>ÖREBRO LÄN</t>
        </is>
      </c>
      <c r="E864" t="inlineStr">
        <is>
          <t>LINDESBERG</t>
        </is>
      </c>
      <c r="G864" t="n">
        <v>0.8</v>
      </c>
      <c r="H864" t="n">
        <v>0</v>
      </c>
      <c r="I864" t="n">
        <v>0</v>
      </c>
      <c r="J864" t="n">
        <v>0</v>
      </c>
      <c r="K864" t="n">
        <v>0</v>
      </c>
      <c r="L864" t="n">
        <v>0</v>
      </c>
      <c r="M864" t="n">
        <v>0</v>
      </c>
      <c r="N864" t="n">
        <v>0</v>
      </c>
      <c r="O864" t="n">
        <v>0</v>
      </c>
      <c r="P864" t="n">
        <v>0</v>
      </c>
      <c r="Q864" t="n">
        <v>0</v>
      </c>
      <c r="R864" s="2" t="inlineStr"/>
    </row>
    <row r="865" ht="15" customHeight="1">
      <c r="A865" t="inlineStr">
        <is>
          <t>A 50986-2023</t>
        </is>
      </c>
      <c r="B865" s="1" t="n">
        <v>45218</v>
      </c>
      <c r="C865" s="1" t="n">
        <v>46105</v>
      </c>
      <c r="D865" t="inlineStr">
        <is>
          <t>ÖREBRO LÄN</t>
        </is>
      </c>
      <c r="E865" t="inlineStr">
        <is>
          <t>LINDESBERG</t>
        </is>
      </c>
      <c r="F865" t="inlineStr">
        <is>
          <t>Sveaskog</t>
        </is>
      </c>
      <c r="G865" t="n">
        <v>3.1</v>
      </c>
      <c r="H865" t="n">
        <v>0</v>
      </c>
      <c r="I865" t="n">
        <v>0</v>
      </c>
      <c r="J865" t="n">
        <v>0</v>
      </c>
      <c r="K865" t="n">
        <v>0</v>
      </c>
      <c r="L865" t="n">
        <v>0</v>
      </c>
      <c r="M865" t="n">
        <v>0</v>
      </c>
      <c r="N865" t="n">
        <v>0</v>
      </c>
      <c r="O865" t="n">
        <v>0</v>
      </c>
      <c r="P865" t="n">
        <v>0</v>
      </c>
      <c r="Q865" t="n">
        <v>0</v>
      </c>
      <c r="R865" s="2" t="inlineStr"/>
    </row>
    <row r="866" ht="15" customHeight="1">
      <c r="A866" t="inlineStr">
        <is>
          <t>A 25046-2024</t>
        </is>
      </c>
      <c r="B866" s="1" t="n">
        <v>45462</v>
      </c>
      <c r="C866" s="1" t="n">
        <v>46105</v>
      </c>
      <c r="D866" t="inlineStr">
        <is>
          <t>ÖREBRO LÄN</t>
        </is>
      </c>
      <c r="E866" t="inlineStr">
        <is>
          <t>LINDESBERG</t>
        </is>
      </c>
      <c r="G866" t="n">
        <v>4.1</v>
      </c>
      <c r="H866" t="n">
        <v>0</v>
      </c>
      <c r="I866" t="n">
        <v>0</v>
      </c>
      <c r="J866" t="n">
        <v>0</v>
      </c>
      <c r="K866" t="n">
        <v>0</v>
      </c>
      <c r="L866" t="n">
        <v>0</v>
      </c>
      <c r="M866" t="n">
        <v>0</v>
      </c>
      <c r="N866" t="n">
        <v>0</v>
      </c>
      <c r="O866" t="n">
        <v>0</v>
      </c>
      <c r="P866" t="n">
        <v>0</v>
      </c>
      <c r="Q866" t="n">
        <v>0</v>
      </c>
      <c r="R866" s="2" t="inlineStr"/>
    </row>
    <row r="867" ht="15" customHeight="1">
      <c r="A867" t="inlineStr">
        <is>
          <t>A 44675-2021</t>
        </is>
      </c>
      <c r="B867" s="1" t="n">
        <v>44438</v>
      </c>
      <c r="C867" s="1" t="n">
        <v>46105</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32829-2024</t>
        </is>
      </c>
      <c r="B868" s="1" t="n">
        <v>45516.59447916667</v>
      </c>
      <c r="C868" s="1" t="n">
        <v>46105</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43416-2024</t>
        </is>
      </c>
      <c r="B869" s="1" t="n">
        <v>45568.62625</v>
      </c>
      <c r="C869" s="1" t="n">
        <v>46105</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54859-2024</t>
        </is>
      </c>
      <c r="B870" s="1" t="n">
        <v>45618.58962962963</v>
      </c>
      <c r="C870" s="1" t="n">
        <v>46105</v>
      </c>
      <c r="D870" t="inlineStr">
        <is>
          <t>ÖREBRO LÄN</t>
        </is>
      </c>
      <c r="E870" t="inlineStr">
        <is>
          <t>LINDESBERG</t>
        </is>
      </c>
      <c r="F870" t="inlineStr">
        <is>
          <t>Sveaskog</t>
        </is>
      </c>
      <c r="G870" t="n">
        <v>5.3</v>
      </c>
      <c r="H870" t="n">
        <v>0</v>
      </c>
      <c r="I870" t="n">
        <v>0</v>
      </c>
      <c r="J870" t="n">
        <v>0</v>
      </c>
      <c r="K870" t="n">
        <v>0</v>
      </c>
      <c r="L870" t="n">
        <v>0</v>
      </c>
      <c r="M870" t="n">
        <v>0</v>
      </c>
      <c r="N870" t="n">
        <v>0</v>
      </c>
      <c r="O870" t="n">
        <v>0</v>
      </c>
      <c r="P870" t="n">
        <v>0</v>
      </c>
      <c r="Q870" t="n">
        <v>0</v>
      </c>
      <c r="R870" s="2" t="inlineStr"/>
    </row>
    <row r="871" ht="15" customHeight="1">
      <c r="A871" t="inlineStr">
        <is>
          <t>A 10654-2023</t>
        </is>
      </c>
      <c r="B871" s="1" t="n">
        <v>44984</v>
      </c>
      <c r="C871" s="1" t="n">
        <v>46105</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30534-2023</t>
        </is>
      </c>
      <c r="B872" s="1" t="n">
        <v>45111</v>
      </c>
      <c r="C872" s="1" t="n">
        <v>46105</v>
      </c>
      <c r="D872" t="inlineStr">
        <is>
          <t>ÖREBRO LÄN</t>
        </is>
      </c>
      <c r="E872" t="inlineStr">
        <is>
          <t>LINDESBERG</t>
        </is>
      </c>
      <c r="G872" t="n">
        <v>0.7</v>
      </c>
      <c r="H872" t="n">
        <v>0</v>
      </c>
      <c r="I872" t="n">
        <v>0</v>
      </c>
      <c r="J872" t="n">
        <v>0</v>
      </c>
      <c r="K872" t="n">
        <v>0</v>
      </c>
      <c r="L872" t="n">
        <v>0</v>
      </c>
      <c r="M872" t="n">
        <v>0</v>
      </c>
      <c r="N872" t="n">
        <v>0</v>
      </c>
      <c r="O872" t="n">
        <v>0</v>
      </c>
      <c r="P872" t="n">
        <v>0</v>
      </c>
      <c r="Q872" t="n">
        <v>0</v>
      </c>
      <c r="R872" s="2" t="inlineStr"/>
    </row>
    <row r="873" ht="15" customHeight="1">
      <c r="A873" t="inlineStr">
        <is>
          <t>A 27013-2024</t>
        </is>
      </c>
      <c r="B873" s="1" t="n">
        <v>45471.40384259259</v>
      </c>
      <c r="C873" s="1" t="n">
        <v>46105</v>
      </c>
      <c r="D873" t="inlineStr">
        <is>
          <t>ÖREBRO LÄN</t>
        </is>
      </c>
      <c r="E873" t="inlineStr">
        <is>
          <t>LINDESBERG</t>
        </is>
      </c>
      <c r="G873" t="n">
        <v>5.2</v>
      </c>
      <c r="H873" t="n">
        <v>0</v>
      </c>
      <c r="I873" t="n">
        <v>0</v>
      </c>
      <c r="J873" t="n">
        <v>0</v>
      </c>
      <c r="K873" t="n">
        <v>0</v>
      </c>
      <c r="L873" t="n">
        <v>0</v>
      </c>
      <c r="M873" t="n">
        <v>0</v>
      </c>
      <c r="N873" t="n">
        <v>0</v>
      </c>
      <c r="O873" t="n">
        <v>0</v>
      </c>
      <c r="P873" t="n">
        <v>0</v>
      </c>
      <c r="Q873" t="n">
        <v>0</v>
      </c>
      <c r="R873" s="2" t="inlineStr"/>
    </row>
    <row r="874" ht="15" customHeight="1">
      <c r="A874" t="inlineStr">
        <is>
          <t>A 9140-2025</t>
        </is>
      </c>
      <c r="B874" s="1" t="n">
        <v>45714.31533564815</v>
      </c>
      <c r="C874" s="1" t="n">
        <v>46105</v>
      </c>
      <c r="D874" t="inlineStr">
        <is>
          <t>ÖREBRO LÄN</t>
        </is>
      </c>
      <c r="E874" t="inlineStr">
        <is>
          <t>LINDESBERG</t>
        </is>
      </c>
      <c r="G874" t="n">
        <v>0.8</v>
      </c>
      <c r="H874" t="n">
        <v>0</v>
      </c>
      <c r="I874" t="n">
        <v>0</v>
      </c>
      <c r="J874" t="n">
        <v>0</v>
      </c>
      <c r="K874" t="n">
        <v>0</v>
      </c>
      <c r="L874" t="n">
        <v>0</v>
      </c>
      <c r="M874" t="n">
        <v>0</v>
      </c>
      <c r="N874" t="n">
        <v>0</v>
      </c>
      <c r="O874" t="n">
        <v>0</v>
      </c>
      <c r="P874" t="n">
        <v>0</v>
      </c>
      <c r="Q874" t="n">
        <v>0</v>
      </c>
      <c r="R874" s="2" t="inlineStr"/>
    </row>
    <row r="875" ht="15" customHeight="1">
      <c r="A875" t="inlineStr">
        <is>
          <t>A 28469-2023</t>
        </is>
      </c>
      <c r="B875" s="1" t="n">
        <v>45103</v>
      </c>
      <c r="C875" s="1" t="n">
        <v>46105</v>
      </c>
      <c r="D875" t="inlineStr">
        <is>
          <t>ÖREBRO LÄN</t>
        </is>
      </c>
      <c r="E875" t="inlineStr">
        <is>
          <t>LINDESBERG</t>
        </is>
      </c>
      <c r="G875" t="n">
        <v>0.3</v>
      </c>
      <c r="H875" t="n">
        <v>0</v>
      </c>
      <c r="I875" t="n">
        <v>0</v>
      </c>
      <c r="J875" t="n">
        <v>0</v>
      </c>
      <c r="K875" t="n">
        <v>0</v>
      </c>
      <c r="L875" t="n">
        <v>0</v>
      </c>
      <c r="M875" t="n">
        <v>0</v>
      </c>
      <c r="N875" t="n">
        <v>0</v>
      </c>
      <c r="O875" t="n">
        <v>0</v>
      </c>
      <c r="P875" t="n">
        <v>0</v>
      </c>
      <c r="Q875" t="n">
        <v>0</v>
      </c>
      <c r="R875" s="2" t="inlineStr"/>
    </row>
    <row r="876" ht="15" customHeight="1">
      <c r="A876" t="inlineStr">
        <is>
          <t>A 12278-2025</t>
        </is>
      </c>
      <c r="B876" s="1" t="n">
        <v>45729.65171296296</v>
      </c>
      <c r="C876" s="1" t="n">
        <v>46105</v>
      </c>
      <c r="D876" t="inlineStr">
        <is>
          <t>ÖREBRO LÄN</t>
        </is>
      </c>
      <c r="E876" t="inlineStr">
        <is>
          <t>LINDESBERG</t>
        </is>
      </c>
      <c r="G876" t="n">
        <v>3.2</v>
      </c>
      <c r="H876" t="n">
        <v>0</v>
      </c>
      <c r="I876" t="n">
        <v>0</v>
      </c>
      <c r="J876" t="n">
        <v>0</v>
      </c>
      <c r="K876" t="n">
        <v>0</v>
      </c>
      <c r="L876" t="n">
        <v>0</v>
      </c>
      <c r="M876" t="n">
        <v>0</v>
      </c>
      <c r="N876" t="n">
        <v>0</v>
      </c>
      <c r="O876" t="n">
        <v>0</v>
      </c>
      <c r="P876" t="n">
        <v>0</v>
      </c>
      <c r="Q876" t="n">
        <v>0</v>
      </c>
      <c r="R876" s="2" t="inlineStr"/>
    </row>
    <row r="877" ht="15" customHeight="1">
      <c r="A877" t="inlineStr">
        <is>
          <t>A 20954-2024</t>
        </is>
      </c>
      <c r="B877" s="1" t="n">
        <v>45439.56605324074</v>
      </c>
      <c r="C877" s="1" t="n">
        <v>46105</v>
      </c>
      <c r="D877" t="inlineStr">
        <is>
          <t>ÖREBRO LÄN</t>
        </is>
      </c>
      <c r="E877" t="inlineStr">
        <is>
          <t>LINDESBERG</t>
        </is>
      </c>
      <c r="G877" t="n">
        <v>0.9</v>
      </c>
      <c r="H877" t="n">
        <v>0</v>
      </c>
      <c r="I877" t="n">
        <v>0</v>
      </c>
      <c r="J877" t="n">
        <v>0</v>
      </c>
      <c r="K877" t="n">
        <v>0</v>
      </c>
      <c r="L877" t="n">
        <v>0</v>
      </c>
      <c r="M877" t="n">
        <v>0</v>
      </c>
      <c r="N877" t="n">
        <v>0</v>
      </c>
      <c r="O877" t="n">
        <v>0</v>
      </c>
      <c r="P877" t="n">
        <v>0</v>
      </c>
      <c r="Q877" t="n">
        <v>0</v>
      </c>
      <c r="R877" s="2" t="inlineStr"/>
    </row>
    <row r="878" ht="15" customHeight="1">
      <c r="A878" t="inlineStr">
        <is>
          <t>A 7120-2025</t>
        </is>
      </c>
      <c r="B878" s="1" t="n">
        <v>45702</v>
      </c>
      <c r="C878" s="1" t="n">
        <v>46105</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36773-2024</t>
        </is>
      </c>
      <c r="B879" s="1" t="n">
        <v>45538</v>
      </c>
      <c r="C879" s="1" t="n">
        <v>46105</v>
      </c>
      <c r="D879" t="inlineStr">
        <is>
          <t>ÖREBRO LÄN</t>
        </is>
      </c>
      <c r="E879" t="inlineStr">
        <is>
          <t>LINDESBERG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53897-2024</t>
        </is>
      </c>
      <c r="B880" s="1" t="n">
        <v>45615.69570601852</v>
      </c>
      <c r="C880" s="1" t="n">
        <v>46105</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12692-2024</t>
        </is>
      </c>
      <c r="B881" s="1" t="n">
        <v>45384.43418981481</v>
      </c>
      <c r="C881" s="1" t="n">
        <v>46105</v>
      </c>
      <c r="D881" t="inlineStr">
        <is>
          <t>ÖREBRO LÄN</t>
        </is>
      </c>
      <c r="E881" t="inlineStr">
        <is>
          <t>LINDESBERG</t>
        </is>
      </c>
      <c r="G881" t="n">
        <v>5.2</v>
      </c>
      <c r="H881" t="n">
        <v>0</v>
      </c>
      <c r="I881" t="n">
        <v>0</v>
      </c>
      <c r="J881" t="n">
        <v>0</v>
      </c>
      <c r="K881" t="n">
        <v>0</v>
      </c>
      <c r="L881" t="n">
        <v>0</v>
      </c>
      <c r="M881" t="n">
        <v>0</v>
      </c>
      <c r="N881" t="n">
        <v>0</v>
      </c>
      <c r="O881" t="n">
        <v>0</v>
      </c>
      <c r="P881" t="n">
        <v>0</v>
      </c>
      <c r="Q881" t="n">
        <v>0</v>
      </c>
      <c r="R881" s="2" t="inlineStr"/>
    </row>
    <row r="882" ht="15" customHeight="1">
      <c r="A882" t="inlineStr">
        <is>
          <t>A 15325-2024</t>
        </is>
      </c>
      <c r="B882" s="1" t="n">
        <v>45400.6709837963</v>
      </c>
      <c r="C882" s="1" t="n">
        <v>46105</v>
      </c>
      <c r="D882" t="inlineStr">
        <is>
          <t>ÖREBRO LÄN</t>
        </is>
      </c>
      <c r="E882" t="inlineStr">
        <is>
          <t>LINDESBERG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7119-2025</t>
        </is>
      </c>
      <c r="B883" s="1" t="n">
        <v>45702</v>
      </c>
      <c r="C883" s="1" t="n">
        <v>46105</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20804-2025</t>
        </is>
      </c>
      <c r="B884" s="1" t="n">
        <v>45776.65518518518</v>
      </c>
      <c r="C884" s="1" t="n">
        <v>46105</v>
      </c>
      <c r="D884" t="inlineStr">
        <is>
          <t>ÖREBRO LÄN</t>
        </is>
      </c>
      <c r="E884" t="inlineStr">
        <is>
          <t>LINDESBERG</t>
        </is>
      </c>
      <c r="G884" t="n">
        <v>3.2</v>
      </c>
      <c r="H884" t="n">
        <v>0</v>
      </c>
      <c r="I884" t="n">
        <v>0</v>
      </c>
      <c r="J884" t="n">
        <v>0</v>
      </c>
      <c r="K884" t="n">
        <v>0</v>
      </c>
      <c r="L884" t="n">
        <v>0</v>
      </c>
      <c r="M884" t="n">
        <v>0</v>
      </c>
      <c r="N884" t="n">
        <v>0</v>
      </c>
      <c r="O884" t="n">
        <v>0</v>
      </c>
      <c r="P884" t="n">
        <v>0</v>
      </c>
      <c r="Q884" t="n">
        <v>0</v>
      </c>
      <c r="R884" s="2" t="inlineStr"/>
    </row>
    <row r="885" ht="15" customHeight="1">
      <c r="A885" t="inlineStr">
        <is>
          <t>A 20923-2025</t>
        </is>
      </c>
      <c r="B885" s="1" t="n">
        <v>45777.41673611111</v>
      </c>
      <c r="C885" s="1" t="n">
        <v>46105</v>
      </c>
      <c r="D885" t="inlineStr">
        <is>
          <t>ÖREBRO LÄN</t>
        </is>
      </c>
      <c r="E885" t="inlineStr">
        <is>
          <t>LINDESBERG</t>
        </is>
      </c>
      <c r="F885" t="inlineStr">
        <is>
          <t>Sveaskog</t>
        </is>
      </c>
      <c r="G885" t="n">
        <v>10.3</v>
      </c>
      <c r="H885" t="n">
        <v>0</v>
      </c>
      <c r="I885" t="n">
        <v>0</v>
      </c>
      <c r="J885" t="n">
        <v>0</v>
      </c>
      <c r="K885" t="n">
        <v>0</v>
      </c>
      <c r="L885" t="n">
        <v>0</v>
      </c>
      <c r="M885" t="n">
        <v>0</v>
      </c>
      <c r="N885" t="n">
        <v>0</v>
      </c>
      <c r="O885" t="n">
        <v>0</v>
      </c>
      <c r="P885" t="n">
        <v>0</v>
      </c>
      <c r="Q885" t="n">
        <v>0</v>
      </c>
      <c r="R885" s="2" t="inlineStr"/>
    </row>
    <row r="886" ht="15" customHeight="1">
      <c r="A886" t="inlineStr">
        <is>
          <t>A 20950-2025</t>
        </is>
      </c>
      <c r="B886" s="1" t="n">
        <v>45777.43878472222</v>
      </c>
      <c r="C886" s="1" t="n">
        <v>46105</v>
      </c>
      <c r="D886" t="inlineStr">
        <is>
          <t>ÖREBRO LÄN</t>
        </is>
      </c>
      <c r="E886" t="inlineStr">
        <is>
          <t>LINDESBERG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12795-2025</t>
        </is>
      </c>
      <c r="B887" s="1" t="n">
        <v>45733.60959490741</v>
      </c>
      <c r="C887" s="1" t="n">
        <v>46105</v>
      </c>
      <c r="D887" t="inlineStr">
        <is>
          <t>ÖREBRO LÄN</t>
        </is>
      </c>
      <c r="E887" t="inlineStr">
        <is>
          <t>LINDESBERG</t>
        </is>
      </c>
      <c r="G887" t="n">
        <v>10.8</v>
      </c>
      <c r="H887" t="n">
        <v>0</v>
      </c>
      <c r="I887" t="n">
        <v>0</v>
      </c>
      <c r="J887" t="n">
        <v>0</v>
      </c>
      <c r="K887" t="n">
        <v>0</v>
      </c>
      <c r="L887" t="n">
        <v>0</v>
      </c>
      <c r="M887" t="n">
        <v>0</v>
      </c>
      <c r="N887" t="n">
        <v>0</v>
      </c>
      <c r="O887" t="n">
        <v>0</v>
      </c>
      <c r="P887" t="n">
        <v>0</v>
      </c>
      <c r="Q887" t="n">
        <v>0</v>
      </c>
      <c r="R887" s="2" t="inlineStr"/>
    </row>
    <row r="888" ht="15" customHeight="1">
      <c r="A888" t="inlineStr">
        <is>
          <t>A 20930-2025</t>
        </is>
      </c>
      <c r="B888" s="1" t="n">
        <v>45777.42628472222</v>
      </c>
      <c r="C888" s="1" t="n">
        <v>46105</v>
      </c>
      <c r="D888" t="inlineStr">
        <is>
          <t>ÖREBRO LÄN</t>
        </is>
      </c>
      <c r="E888" t="inlineStr">
        <is>
          <t>LINDESBERG</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20944-2025</t>
        </is>
      </c>
      <c r="B889" s="1" t="n">
        <v>45777</v>
      </c>
      <c r="C889" s="1" t="n">
        <v>46105</v>
      </c>
      <c r="D889" t="inlineStr">
        <is>
          <t>ÖREBRO LÄN</t>
        </is>
      </c>
      <c r="E889" t="inlineStr">
        <is>
          <t>LINDESBERG</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21812-2025</t>
        </is>
      </c>
      <c r="B890" s="1" t="n">
        <v>45783.71833333333</v>
      </c>
      <c r="C890" s="1" t="n">
        <v>46105</v>
      </c>
      <c r="D890" t="inlineStr">
        <is>
          <t>ÖREBRO LÄN</t>
        </is>
      </c>
      <c r="E890" t="inlineStr">
        <is>
          <t>LINDESBERG</t>
        </is>
      </c>
      <c r="G890" t="n">
        <v>0.9</v>
      </c>
      <c r="H890" t="n">
        <v>0</v>
      </c>
      <c r="I890" t="n">
        <v>0</v>
      </c>
      <c r="J890" t="n">
        <v>0</v>
      </c>
      <c r="K890" t="n">
        <v>0</v>
      </c>
      <c r="L890" t="n">
        <v>0</v>
      </c>
      <c r="M890" t="n">
        <v>0</v>
      </c>
      <c r="N890" t="n">
        <v>0</v>
      </c>
      <c r="O890" t="n">
        <v>0</v>
      </c>
      <c r="P890" t="n">
        <v>0</v>
      </c>
      <c r="Q890" t="n">
        <v>0</v>
      </c>
      <c r="R890" s="2" t="inlineStr"/>
    </row>
    <row r="891" ht="15" customHeight="1">
      <c r="A891" t="inlineStr">
        <is>
          <t>A 31861-2024</t>
        </is>
      </c>
      <c r="B891" s="1" t="n">
        <v>45509.73383101852</v>
      </c>
      <c r="C891" s="1" t="n">
        <v>46105</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43195-2024</t>
        </is>
      </c>
      <c r="B892" s="1" t="n">
        <v>45567.68003472222</v>
      </c>
      <c r="C892" s="1" t="n">
        <v>46105</v>
      </c>
      <c r="D892" t="inlineStr">
        <is>
          <t>ÖREBRO LÄN</t>
        </is>
      </c>
      <c r="E892" t="inlineStr">
        <is>
          <t>LINDESBERG</t>
        </is>
      </c>
      <c r="G892" t="n">
        <v>27.8</v>
      </c>
      <c r="H892" t="n">
        <v>0</v>
      </c>
      <c r="I892" t="n">
        <v>0</v>
      </c>
      <c r="J892" t="n">
        <v>0</v>
      </c>
      <c r="K892" t="n">
        <v>0</v>
      </c>
      <c r="L892" t="n">
        <v>0</v>
      </c>
      <c r="M892" t="n">
        <v>0</v>
      </c>
      <c r="N892" t="n">
        <v>0</v>
      </c>
      <c r="O892" t="n">
        <v>0</v>
      </c>
      <c r="P892" t="n">
        <v>0</v>
      </c>
      <c r="Q892" t="n">
        <v>0</v>
      </c>
      <c r="R892" s="2" t="inlineStr"/>
    </row>
    <row r="893" ht="15" customHeight="1">
      <c r="A893" t="inlineStr">
        <is>
          <t>A 24583-2024</t>
        </is>
      </c>
      <c r="B893" s="1" t="n">
        <v>45460.46358796296</v>
      </c>
      <c r="C893" s="1" t="n">
        <v>46105</v>
      </c>
      <c r="D893" t="inlineStr">
        <is>
          <t>ÖREBRO LÄN</t>
        </is>
      </c>
      <c r="E893" t="inlineStr">
        <is>
          <t>LINDESBERG</t>
        </is>
      </c>
      <c r="G893" t="n">
        <v>13.7</v>
      </c>
      <c r="H893" t="n">
        <v>0</v>
      </c>
      <c r="I893" t="n">
        <v>0</v>
      </c>
      <c r="J893" t="n">
        <v>0</v>
      </c>
      <c r="K893" t="n">
        <v>0</v>
      </c>
      <c r="L893" t="n">
        <v>0</v>
      </c>
      <c r="M893" t="n">
        <v>0</v>
      </c>
      <c r="N893" t="n">
        <v>0</v>
      </c>
      <c r="O893" t="n">
        <v>0</v>
      </c>
      <c r="P893" t="n">
        <v>0</v>
      </c>
      <c r="Q893" t="n">
        <v>0</v>
      </c>
      <c r="R893" s="2" t="inlineStr"/>
    </row>
    <row r="894" ht="15" customHeight="1">
      <c r="A894" t="inlineStr">
        <is>
          <t>A 28776-2023</t>
        </is>
      </c>
      <c r="B894" s="1" t="n">
        <v>45104.34107638889</v>
      </c>
      <c r="C894" s="1" t="n">
        <v>46105</v>
      </c>
      <c r="D894" t="inlineStr">
        <is>
          <t>ÖREBRO LÄN</t>
        </is>
      </c>
      <c r="E894" t="inlineStr">
        <is>
          <t>LINDESBERG</t>
        </is>
      </c>
      <c r="F894" t="inlineStr">
        <is>
          <t>Sveaskog</t>
        </is>
      </c>
      <c r="G894" t="n">
        <v>4.1</v>
      </c>
      <c r="H894" t="n">
        <v>0</v>
      </c>
      <c r="I894" t="n">
        <v>0</v>
      </c>
      <c r="J894" t="n">
        <v>0</v>
      </c>
      <c r="K894" t="n">
        <v>0</v>
      </c>
      <c r="L894" t="n">
        <v>0</v>
      </c>
      <c r="M894" t="n">
        <v>0</v>
      </c>
      <c r="N894" t="n">
        <v>0</v>
      </c>
      <c r="O894" t="n">
        <v>0</v>
      </c>
      <c r="P894" t="n">
        <v>0</v>
      </c>
      <c r="Q894" t="n">
        <v>0</v>
      </c>
      <c r="R894" s="2" t="inlineStr"/>
    </row>
    <row r="895" ht="15" customHeight="1">
      <c r="A895" t="inlineStr">
        <is>
          <t>A 22438-2025</t>
        </is>
      </c>
      <c r="B895" s="1" t="n">
        <v>45786</v>
      </c>
      <c r="C895" s="1" t="n">
        <v>46105</v>
      </c>
      <c r="D895" t="inlineStr">
        <is>
          <t>ÖREBRO LÄN</t>
        </is>
      </c>
      <c r="E895" t="inlineStr">
        <is>
          <t>LINDESBERG</t>
        </is>
      </c>
      <c r="F895" t="inlineStr">
        <is>
          <t>Sveaskog</t>
        </is>
      </c>
      <c r="G895" t="n">
        <v>6.1</v>
      </c>
      <c r="H895" t="n">
        <v>0</v>
      </c>
      <c r="I895" t="n">
        <v>0</v>
      </c>
      <c r="J895" t="n">
        <v>0</v>
      </c>
      <c r="K895" t="n">
        <v>0</v>
      </c>
      <c r="L895" t="n">
        <v>0</v>
      </c>
      <c r="M895" t="n">
        <v>0</v>
      </c>
      <c r="N895" t="n">
        <v>0</v>
      </c>
      <c r="O895" t="n">
        <v>0</v>
      </c>
      <c r="P895" t="n">
        <v>0</v>
      </c>
      <c r="Q895" t="n">
        <v>0</v>
      </c>
      <c r="R895" s="2" t="inlineStr"/>
    </row>
    <row r="896" ht="15" customHeight="1">
      <c r="A896" t="inlineStr">
        <is>
          <t>A 43532-2024</t>
        </is>
      </c>
      <c r="B896" s="1" t="n">
        <v>45569.3533912037</v>
      </c>
      <c r="C896" s="1" t="n">
        <v>46105</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59282-2023</t>
        </is>
      </c>
      <c r="B897" s="1" t="n">
        <v>45253</v>
      </c>
      <c r="C897" s="1" t="n">
        <v>46105</v>
      </c>
      <c r="D897" t="inlineStr">
        <is>
          <t>ÖREBRO LÄN</t>
        </is>
      </c>
      <c r="E897" t="inlineStr">
        <is>
          <t>LINDESBERG</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47601-2023</t>
        </is>
      </c>
      <c r="B898" s="1" t="n">
        <v>45203.45681712963</v>
      </c>
      <c r="C898" s="1" t="n">
        <v>46105</v>
      </c>
      <c r="D898" t="inlineStr">
        <is>
          <t>ÖREBRO LÄN</t>
        </is>
      </c>
      <c r="E898" t="inlineStr">
        <is>
          <t>LINDESBERG</t>
        </is>
      </c>
      <c r="G898" t="n">
        <v>37.6</v>
      </c>
      <c r="H898" t="n">
        <v>0</v>
      </c>
      <c r="I898" t="n">
        <v>0</v>
      </c>
      <c r="J898" t="n">
        <v>0</v>
      </c>
      <c r="K898" t="n">
        <v>0</v>
      </c>
      <c r="L898" t="n">
        <v>0</v>
      </c>
      <c r="M898" t="n">
        <v>0</v>
      </c>
      <c r="N898" t="n">
        <v>0</v>
      </c>
      <c r="O898" t="n">
        <v>0</v>
      </c>
      <c r="P898" t="n">
        <v>0</v>
      </c>
      <c r="Q898" t="n">
        <v>0</v>
      </c>
      <c r="R898" s="2" t="inlineStr"/>
    </row>
    <row r="899" ht="15" customHeight="1">
      <c r="A899" t="inlineStr">
        <is>
          <t>A 62308-2023</t>
        </is>
      </c>
      <c r="B899" s="1" t="n">
        <v>45267.69052083333</v>
      </c>
      <c r="C899" s="1" t="n">
        <v>46105</v>
      </c>
      <c r="D899" t="inlineStr">
        <is>
          <t>ÖREBRO LÄN</t>
        </is>
      </c>
      <c r="E899" t="inlineStr">
        <is>
          <t>LINDESBERG</t>
        </is>
      </c>
      <c r="F899" t="inlineStr">
        <is>
          <t>Naturvårdsverket</t>
        </is>
      </c>
      <c r="G899" t="n">
        <v>3.1</v>
      </c>
      <c r="H899" t="n">
        <v>0</v>
      </c>
      <c r="I899" t="n">
        <v>0</v>
      </c>
      <c r="J899" t="n">
        <v>0</v>
      </c>
      <c r="K899" t="n">
        <v>0</v>
      </c>
      <c r="L899" t="n">
        <v>0</v>
      </c>
      <c r="M899" t="n">
        <v>0</v>
      </c>
      <c r="N899" t="n">
        <v>0</v>
      </c>
      <c r="O899" t="n">
        <v>0</v>
      </c>
      <c r="P899" t="n">
        <v>0</v>
      </c>
      <c r="Q899" t="n">
        <v>0</v>
      </c>
      <c r="R899" s="2" t="inlineStr"/>
    </row>
    <row r="900" ht="15" customHeight="1">
      <c r="A900" t="inlineStr">
        <is>
          <t>A 22078-2025</t>
        </is>
      </c>
      <c r="B900" s="1" t="n">
        <v>45785.4253125</v>
      </c>
      <c r="C900" s="1" t="n">
        <v>46105</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36686-2024</t>
        </is>
      </c>
      <c r="B901" s="1" t="n">
        <v>45537.665</v>
      </c>
      <c r="C901" s="1" t="n">
        <v>46105</v>
      </c>
      <c r="D901" t="inlineStr">
        <is>
          <t>ÖREBRO LÄN</t>
        </is>
      </c>
      <c r="E901" t="inlineStr">
        <is>
          <t>LINDESBERG</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53355-2023</t>
        </is>
      </c>
      <c r="B902" s="1" t="n">
        <v>45229.66430555555</v>
      </c>
      <c r="C902" s="1" t="n">
        <v>46105</v>
      </c>
      <c r="D902" t="inlineStr">
        <is>
          <t>ÖREBRO LÄN</t>
        </is>
      </c>
      <c r="E902" t="inlineStr">
        <is>
          <t>LINDESBERG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36680-2024</t>
        </is>
      </c>
      <c r="B903" s="1" t="n">
        <v>45537.65305555556</v>
      </c>
      <c r="C903" s="1" t="n">
        <v>46105</v>
      </c>
      <c r="D903" t="inlineStr">
        <is>
          <t>ÖREBRO LÄN</t>
        </is>
      </c>
      <c r="E903" t="inlineStr">
        <is>
          <t>LINDESBERG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54793-2024</t>
        </is>
      </c>
      <c r="B904" s="1" t="n">
        <v>45618</v>
      </c>
      <c r="C904" s="1" t="n">
        <v>46105</v>
      </c>
      <c r="D904" t="inlineStr">
        <is>
          <t>ÖREBRO LÄN</t>
        </is>
      </c>
      <c r="E904" t="inlineStr">
        <is>
          <t>LINDESBERG</t>
        </is>
      </c>
      <c r="G904" t="n">
        <v>3</v>
      </c>
      <c r="H904" t="n">
        <v>0</v>
      </c>
      <c r="I904" t="n">
        <v>0</v>
      </c>
      <c r="J904" t="n">
        <v>0</v>
      </c>
      <c r="K904" t="n">
        <v>0</v>
      </c>
      <c r="L904" t="n">
        <v>0</v>
      </c>
      <c r="M904" t="n">
        <v>0</v>
      </c>
      <c r="N904" t="n">
        <v>0</v>
      </c>
      <c r="O904" t="n">
        <v>0</v>
      </c>
      <c r="P904" t="n">
        <v>0</v>
      </c>
      <c r="Q904" t="n">
        <v>0</v>
      </c>
      <c r="R904" s="2" t="inlineStr"/>
    </row>
    <row r="905" ht="15" customHeight="1">
      <c r="A905" t="inlineStr">
        <is>
          <t>A 22543-2025</t>
        </is>
      </c>
      <c r="B905" s="1" t="n">
        <v>45788.42467592593</v>
      </c>
      <c r="C905" s="1" t="n">
        <v>46105</v>
      </c>
      <c r="D905" t="inlineStr">
        <is>
          <t>ÖREBRO LÄN</t>
        </is>
      </c>
      <c r="E905" t="inlineStr">
        <is>
          <t>LINDESBERG</t>
        </is>
      </c>
      <c r="G905" t="n">
        <v>6.7</v>
      </c>
      <c r="H905" t="n">
        <v>0</v>
      </c>
      <c r="I905" t="n">
        <v>0</v>
      </c>
      <c r="J905" t="n">
        <v>0</v>
      </c>
      <c r="K905" t="n">
        <v>0</v>
      </c>
      <c r="L905" t="n">
        <v>0</v>
      </c>
      <c r="M905" t="n">
        <v>0</v>
      </c>
      <c r="N905" t="n">
        <v>0</v>
      </c>
      <c r="O905" t="n">
        <v>0</v>
      </c>
      <c r="P905" t="n">
        <v>0</v>
      </c>
      <c r="Q905" t="n">
        <v>0</v>
      </c>
      <c r="R905" s="2" t="inlineStr"/>
    </row>
    <row r="906" ht="15" customHeight="1">
      <c r="A906" t="inlineStr">
        <is>
          <t>A 23245-2025</t>
        </is>
      </c>
      <c r="B906" s="1" t="n">
        <v>45791.50862268519</v>
      </c>
      <c r="C906" s="1" t="n">
        <v>46105</v>
      </c>
      <c r="D906" t="inlineStr">
        <is>
          <t>ÖREBRO LÄN</t>
        </is>
      </c>
      <c r="E906" t="inlineStr">
        <is>
          <t>LINDESBERG</t>
        </is>
      </c>
      <c r="G906" t="n">
        <v>6.8</v>
      </c>
      <c r="H906" t="n">
        <v>0</v>
      </c>
      <c r="I906" t="n">
        <v>0</v>
      </c>
      <c r="J906" t="n">
        <v>0</v>
      </c>
      <c r="K906" t="n">
        <v>0</v>
      </c>
      <c r="L906" t="n">
        <v>0</v>
      </c>
      <c r="M906" t="n">
        <v>0</v>
      </c>
      <c r="N906" t="n">
        <v>0</v>
      </c>
      <c r="O906" t="n">
        <v>0</v>
      </c>
      <c r="P906" t="n">
        <v>0</v>
      </c>
      <c r="Q906" t="n">
        <v>0</v>
      </c>
      <c r="R906" s="2" t="inlineStr"/>
    </row>
    <row r="907" ht="15" customHeight="1">
      <c r="A907" t="inlineStr">
        <is>
          <t>A 42707-2023</t>
        </is>
      </c>
      <c r="B907" s="1" t="n">
        <v>45181</v>
      </c>
      <c r="C907" s="1" t="n">
        <v>46105</v>
      </c>
      <c r="D907" t="inlineStr">
        <is>
          <t>ÖREBRO LÄN</t>
        </is>
      </c>
      <c r="E907" t="inlineStr">
        <is>
          <t>LINDESBERG</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59641-2024</t>
        </is>
      </c>
      <c r="B908" s="1" t="n">
        <v>45639.30934027778</v>
      </c>
      <c r="C908" s="1" t="n">
        <v>46105</v>
      </c>
      <c r="D908" t="inlineStr">
        <is>
          <t>ÖREBRO LÄN</t>
        </is>
      </c>
      <c r="E908" t="inlineStr">
        <is>
          <t>LINDESBERG</t>
        </is>
      </c>
      <c r="G908" t="n">
        <v>2.1</v>
      </c>
      <c r="H908" t="n">
        <v>0</v>
      </c>
      <c r="I908" t="n">
        <v>0</v>
      </c>
      <c r="J908" t="n">
        <v>0</v>
      </c>
      <c r="K908" t="n">
        <v>0</v>
      </c>
      <c r="L908" t="n">
        <v>0</v>
      </c>
      <c r="M908" t="n">
        <v>0</v>
      </c>
      <c r="N908" t="n">
        <v>0</v>
      </c>
      <c r="O908" t="n">
        <v>0</v>
      </c>
      <c r="P908" t="n">
        <v>0</v>
      </c>
      <c r="Q908" t="n">
        <v>0</v>
      </c>
      <c r="R908" s="2" t="inlineStr"/>
    </row>
    <row r="909" ht="15" customHeight="1">
      <c r="A909" t="inlineStr">
        <is>
          <t>A 17779-2024</t>
        </is>
      </c>
      <c r="B909" s="1" t="n">
        <v>45418.66800925926</v>
      </c>
      <c r="C909" s="1" t="n">
        <v>46105</v>
      </c>
      <c r="D909" t="inlineStr">
        <is>
          <t>ÖREBRO LÄN</t>
        </is>
      </c>
      <c r="E909" t="inlineStr">
        <is>
          <t>LINDESBERG</t>
        </is>
      </c>
      <c r="G909" t="n">
        <v>3.7</v>
      </c>
      <c r="H909" t="n">
        <v>0</v>
      </c>
      <c r="I909" t="n">
        <v>0</v>
      </c>
      <c r="J909" t="n">
        <v>0</v>
      </c>
      <c r="K909" t="n">
        <v>0</v>
      </c>
      <c r="L909" t="n">
        <v>0</v>
      </c>
      <c r="M909" t="n">
        <v>0</v>
      </c>
      <c r="N909" t="n">
        <v>0</v>
      </c>
      <c r="O909" t="n">
        <v>0</v>
      </c>
      <c r="P909" t="n">
        <v>0</v>
      </c>
      <c r="Q909" t="n">
        <v>0</v>
      </c>
      <c r="R909" s="2" t="inlineStr"/>
    </row>
    <row r="910" ht="15" customHeight="1">
      <c r="A910" t="inlineStr">
        <is>
          <t>A 21202-2024</t>
        </is>
      </c>
      <c r="B910" s="1" t="n">
        <v>45440.5433912037</v>
      </c>
      <c r="C910" s="1" t="n">
        <v>46105</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1400-2025</t>
        </is>
      </c>
      <c r="B911" s="1" t="n">
        <v>45667</v>
      </c>
      <c r="C911" s="1" t="n">
        <v>46105</v>
      </c>
      <c r="D911" t="inlineStr">
        <is>
          <t>ÖREBRO LÄN</t>
        </is>
      </c>
      <c r="E911" t="inlineStr">
        <is>
          <t>LINDESBERG</t>
        </is>
      </c>
      <c r="F911" t="inlineStr">
        <is>
          <t>Allmännings- och besparingsskogar</t>
        </is>
      </c>
      <c r="G911" t="n">
        <v>11.3</v>
      </c>
      <c r="H911" t="n">
        <v>0</v>
      </c>
      <c r="I911" t="n">
        <v>0</v>
      </c>
      <c r="J911" t="n">
        <v>0</v>
      </c>
      <c r="K911" t="n">
        <v>0</v>
      </c>
      <c r="L911" t="n">
        <v>0</v>
      </c>
      <c r="M911" t="n">
        <v>0</v>
      </c>
      <c r="N911" t="n">
        <v>0</v>
      </c>
      <c r="O911" t="n">
        <v>0</v>
      </c>
      <c r="P911" t="n">
        <v>0</v>
      </c>
      <c r="Q911" t="n">
        <v>0</v>
      </c>
      <c r="R911" s="2" t="inlineStr"/>
    </row>
    <row r="912" ht="15" customHeight="1">
      <c r="A912" t="inlineStr">
        <is>
          <t>A 23835-2025</t>
        </is>
      </c>
      <c r="B912" s="1" t="n">
        <v>45793.61047453704</v>
      </c>
      <c r="C912" s="1" t="n">
        <v>46105</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24017-2025</t>
        </is>
      </c>
      <c r="B913" s="1" t="n">
        <v>45796.44885416667</v>
      </c>
      <c r="C913" s="1" t="n">
        <v>46105</v>
      </c>
      <c r="D913" t="inlineStr">
        <is>
          <t>ÖREBRO LÄN</t>
        </is>
      </c>
      <c r="E913" t="inlineStr">
        <is>
          <t>LINDESBERG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24107-2025</t>
        </is>
      </c>
      <c r="B914" s="1" t="n">
        <v>45796</v>
      </c>
      <c r="C914" s="1" t="n">
        <v>46105</v>
      </c>
      <c r="D914" t="inlineStr">
        <is>
          <t>ÖREBRO LÄN</t>
        </is>
      </c>
      <c r="E914" t="inlineStr">
        <is>
          <t>LINDESBERG</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23932-2025</t>
        </is>
      </c>
      <c r="B915" s="1" t="n">
        <v>45795.70912037037</v>
      </c>
      <c r="C915" s="1" t="n">
        <v>46105</v>
      </c>
      <c r="D915" t="inlineStr">
        <is>
          <t>ÖREBRO LÄN</t>
        </is>
      </c>
      <c r="E915" t="inlineStr">
        <is>
          <t>LINDESBERG</t>
        </is>
      </c>
      <c r="G915" t="n">
        <v>2</v>
      </c>
      <c r="H915" t="n">
        <v>0</v>
      </c>
      <c r="I915" t="n">
        <v>0</v>
      </c>
      <c r="J915" t="n">
        <v>0</v>
      </c>
      <c r="K915" t="n">
        <v>0</v>
      </c>
      <c r="L915" t="n">
        <v>0</v>
      </c>
      <c r="M915" t="n">
        <v>0</v>
      </c>
      <c r="N915" t="n">
        <v>0</v>
      </c>
      <c r="O915" t="n">
        <v>0</v>
      </c>
      <c r="P915" t="n">
        <v>0</v>
      </c>
      <c r="Q915" t="n">
        <v>0</v>
      </c>
      <c r="R915" s="2" t="inlineStr"/>
    </row>
    <row r="916" ht="15" customHeight="1">
      <c r="A916" t="inlineStr">
        <is>
          <t>A 24011-2025</t>
        </is>
      </c>
      <c r="B916" s="1" t="n">
        <v>45796</v>
      </c>
      <c r="C916" s="1" t="n">
        <v>46105</v>
      </c>
      <c r="D916" t="inlineStr">
        <is>
          <t>ÖREBRO LÄN</t>
        </is>
      </c>
      <c r="E916" t="inlineStr">
        <is>
          <t>LINDESBERG</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24020-2025</t>
        </is>
      </c>
      <c r="B917" s="1" t="n">
        <v>45796.45054398148</v>
      </c>
      <c r="C917" s="1" t="n">
        <v>46105</v>
      </c>
      <c r="D917" t="inlineStr">
        <is>
          <t>ÖREBRO LÄN</t>
        </is>
      </c>
      <c r="E917" t="inlineStr">
        <is>
          <t>LINDESBERG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23897-2025</t>
        </is>
      </c>
      <c r="B918" s="1" t="n">
        <v>45794.33498842592</v>
      </c>
      <c r="C918" s="1" t="n">
        <v>46105</v>
      </c>
      <c r="D918" t="inlineStr">
        <is>
          <t>ÖREBRO LÄN</t>
        </is>
      </c>
      <c r="E918" t="inlineStr">
        <is>
          <t>LINDESBERG</t>
        </is>
      </c>
      <c r="G918" t="n">
        <v>5.6</v>
      </c>
      <c r="H918" t="n">
        <v>0</v>
      </c>
      <c r="I918" t="n">
        <v>0</v>
      </c>
      <c r="J918" t="n">
        <v>0</v>
      </c>
      <c r="K918" t="n">
        <v>0</v>
      </c>
      <c r="L918" t="n">
        <v>0</v>
      </c>
      <c r="M918" t="n">
        <v>0</v>
      </c>
      <c r="N918" t="n">
        <v>0</v>
      </c>
      <c r="O918" t="n">
        <v>0</v>
      </c>
      <c r="P918" t="n">
        <v>0</v>
      </c>
      <c r="Q918" t="n">
        <v>0</v>
      </c>
      <c r="R918" s="2" t="inlineStr"/>
    </row>
    <row r="919" ht="15" customHeight="1">
      <c r="A919" t="inlineStr">
        <is>
          <t>A 23898-2025</t>
        </is>
      </c>
      <c r="B919" s="1" t="n">
        <v>45794.3419212963</v>
      </c>
      <c r="C919" s="1" t="n">
        <v>46105</v>
      </c>
      <c r="D919" t="inlineStr">
        <is>
          <t>ÖREBRO LÄN</t>
        </is>
      </c>
      <c r="E919" t="inlineStr">
        <is>
          <t>LINDESBERG</t>
        </is>
      </c>
      <c r="G919" t="n">
        <v>1</v>
      </c>
      <c r="H919" t="n">
        <v>0</v>
      </c>
      <c r="I919" t="n">
        <v>0</v>
      </c>
      <c r="J919" t="n">
        <v>0</v>
      </c>
      <c r="K919" t="n">
        <v>0</v>
      </c>
      <c r="L919" t="n">
        <v>0</v>
      </c>
      <c r="M919" t="n">
        <v>0</v>
      </c>
      <c r="N919" t="n">
        <v>0</v>
      </c>
      <c r="O919" t="n">
        <v>0</v>
      </c>
      <c r="P919" t="n">
        <v>0</v>
      </c>
      <c r="Q919" t="n">
        <v>0</v>
      </c>
      <c r="R919" s="2" t="inlineStr"/>
    </row>
    <row r="920" ht="15" customHeight="1">
      <c r="A920" t="inlineStr">
        <is>
          <t>A 23933-2025</t>
        </is>
      </c>
      <c r="B920" s="1" t="n">
        <v>45795.71300925926</v>
      </c>
      <c r="C920" s="1" t="n">
        <v>46105</v>
      </c>
      <c r="D920" t="inlineStr">
        <is>
          <t>ÖREBRO LÄN</t>
        </is>
      </c>
      <c r="E920" t="inlineStr">
        <is>
          <t>LINDESBERG</t>
        </is>
      </c>
      <c r="G920" t="n">
        <v>2.2</v>
      </c>
      <c r="H920" t="n">
        <v>0</v>
      </c>
      <c r="I920" t="n">
        <v>0</v>
      </c>
      <c r="J920" t="n">
        <v>0</v>
      </c>
      <c r="K920" t="n">
        <v>0</v>
      </c>
      <c r="L920" t="n">
        <v>0</v>
      </c>
      <c r="M920" t="n">
        <v>0</v>
      </c>
      <c r="N920" t="n">
        <v>0</v>
      </c>
      <c r="O920" t="n">
        <v>0</v>
      </c>
      <c r="P920" t="n">
        <v>0</v>
      </c>
      <c r="Q920" t="n">
        <v>0</v>
      </c>
      <c r="R920" s="2" t="inlineStr"/>
    </row>
    <row r="921" ht="15" customHeight="1">
      <c r="A921" t="inlineStr">
        <is>
          <t>A 23934-2025</t>
        </is>
      </c>
      <c r="B921" s="1" t="n">
        <v>45795.71547453704</v>
      </c>
      <c r="C921" s="1" t="n">
        <v>46105</v>
      </c>
      <c r="D921" t="inlineStr">
        <is>
          <t>ÖREBRO LÄN</t>
        </is>
      </c>
      <c r="E921" t="inlineStr">
        <is>
          <t>LINDESBERG</t>
        </is>
      </c>
      <c r="G921" t="n">
        <v>1.9</v>
      </c>
      <c r="H921" t="n">
        <v>0</v>
      </c>
      <c r="I921" t="n">
        <v>0</v>
      </c>
      <c r="J921" t="n">
        <v>0</v>
      </c>
      <c r="K921" t="n">
        <v>0</v>
      </c>
      <c r="L921" t="n">
        <v>0</v>
      </c>
      <c r="M921" t="n">
        <v>0</v>
      </c>
      <c r="N921" t="n">
        <v>0</v>
      </c>
      <c r="O921" t="n">
        <v>0</v>
      </c>
      <c r="P921" t="n">
        <v>0</v>
      </c>
      <c r="Q921" t="n">
        <v>0</v>
      </c>
      <c r="R921" s="2" t="inlineStr"/>
    </row>
    <row r="922" ht="15" customHeight="1">
      <c r="A922" t="inlineStr">
        <is>
          <t>A 57944-2023</t>
        </is>
      </c>
      <c r="B922" s="1" t="n">
        <v>45244</v>
      </c>
      <c r="C922" s="1" t="n">
        <v>46105</v>
      </c>
      <c r="D922" t="inlineStr">
        <is>
          <t>ÖREBRO LÄN</t>
        </is>
      </c>
      <c r="E922" t="inlineStr">
        <is>
          <t>LINDESBERG</t>
        </is>
      </c>
      <c r="G922" t="n">
        <v>2.4</v>
      </c>
      <c r="H922" t="n">
        <v>0</v>
      </c>
      <c r="I922" t="n">
        <v>0</v>
      </c>
      <c r="J922" t="n">
        <v>0</v>
      </c>
      <c r="K922" t="n">
        <v>0</v>
      </c>
      <c r="L922" t="n">
        <v>0</v>
      </c>
      <c r="M922" t="n">
        <v>0</v>
      </c>
      <c r="N922" t="n">
        <v>0</v>
      </c>
      <c r="O922" t="n">
        <v>0</v>
      </c>
      <c r="P922" t="n">
        <v>0</v>
      </c>
      <c r="Q922" t="n">
        <v>0</v>
      </c>
      <c r="R922" s="2" t="inlineStr"/>
    </row>
    <row r="923" ht="15" customHeight="1">
      <c r="A923" t="inlineStr">
        <is>
          <t>A 24043-2024</t>
        </is>
      </c>
      <c r="B923" s="1" t="n">
        <v>45456.48927083334</v>
      </c>
      <c r="C923" s="1" t="n">
        <v>46105</v>
      </c>
      <c r="D923" t="inlineStr">
        <is>
          <t>ÖREBRO LÄN</t>
        </is>
      </c>
      <c r="E923" t="inlineStr">
        <is>
          <t>LINDESBERG</t>
        </is>
      </c>
      <c r="G923" t="n">
        <v>6.2</v>
      </c>
      <c r="H923" t="n">
        <v>0</v>
      </c>
      <c r="I923" t="n">
        <v>0</v>
      </c>
      <c r="J923" t="n">
        <v>0</v>
      </c>
      <c r="K923" t="n">
        <v>0</v>
      </c>
      <c r="L923" t="n">
        <v>0</v>
      </c>
      <c r="M923" t="n">
        <v>0</v>
      </c>
      <c r="N923" t="n">
        <v>0</v>
      </c>
      <c r="O923" t="n">
        <v>0</v>
      </c>
      <c r="P923" t="n">
        <v>0</v>
      </c>
      <c r="Q923" t="n">
        <v>0</v>
      </c>
      <c r="R923" s="2" t="inlineStr"/>
    </row>
    <row r="924" ht="15" customHeight="1">
      <c r="A924" t="inlineStr">
        <is>
          <t>A 23844-2025</t>
        </is>
      </c>
      <c r="B924" s="1" t="n">
        <v>45793.62422453704</v>
      </c>
      <c r="C924" s="1" t="n">
        <v>46105</v>
      </c>
      <c r="D924" t="inlineStr">
        <is>
          <t>ÖREBRO LÄN</t>
        </is>
      </c>
      <c r="E924" t="inlineStr">
        <is>
          <t>LINDESBERG</t>
        </is>
      </c>
      <c r="F924" t="inlineStr">
        <is>
          <t>Sveaskog</t>
        </is>
      </c>
      <c r="G924" t="n">
        <v>0.4</v>
      </c>
      <c r="H924" t="n">
        <v>0</v>
      </c>
      <c r="I924" t="n">
        <v>0</v>
      </c>
      <c r="J924" t="n">
        <v>0</v>
      </c>
      <c r="K924" t="n">
        <v>0</v>
      </c>
      <c r="L924" t="n">
        <v>0</v>
      </c>
      <c r="M924" t="n">
        <v>0</v>
      </c>
      <c r="N924" t="n">
        <v>0</v>
      </c>
      <c r="O924" t="n">
        <v>0</v>
      </c>
      <c r="P924" t="n">
        <v>0</v>
      </c>
      <c r="Q924" t="n">
        <v>0</v>
      </c>
      <c r="R924" s="2" t="inlineStr"/>
    </row>
    <row r="925" ht="15" customHeight="1">
      <c r="A925" t="inlineStr">
        <is>
          <t>A 12250-2025</t>
        </is>
      </c>
      <c r="B925" s="1" t="n">
        <v>45729.60775462963</v>
      </c>
      <c r="C925" s="1" t="n">
        <v>46105</v>
      </c>
      <c r="D925" t="inlineStr">
        <is>
          <t>ÖREBRO LÄN</t>
        </is>
      </c>
      <c r="E925" t="inlineStr">
        <is>
          <t>LINDESBERG</t>
        </is>
      </c>
      <c r="G925" t="n">
        <v>3.4</v>
      </c>
      <c r="H925" t="n">
        <v>0</v>
      </c>
      <c r="I925" t="n">
        <v>0</v>
      </c>
      <c r="J925" t="n">
        <v>0</v>
      </c>
      <c r="K925" t="n">
        <v>0</v>
      </c>
      <c r="L925" t="n">
        <v>0</v>
      </c>
      <c r="M925" t="n">
        <v>0</v>
      </c>
      <c r="N925" t="n">
        <v>0</v>
      </c>
      <c r="O925" t="n">
        <v>0</v>
      </c>
      <c r="P925" t="n">
        <v>0</v>
      </c>
      <c r="Q925" t="n">
        <v>0</v>
      </c>
      <c r="R925" s="2" t="inlineStr"/>
    </row>
    <row r="926" ht="15" customHeight="1">
      <c r="A926" t="inlineStr">
        <is>
          <t>A 48231-2024</t>
        </is>
      </c>
      <c r="B926" s="1" t="n">
        <v>45590.37590277778</v>
      </c>
      <c r="C926" s="1" t="n">
        <v>46105</v>
      </c>
      <c r="D926" t="inlineStr">
        <is>
          <t>ÖREBRO LÄN</t>
        </is>
      </c>
      <c r="E926" t="inlineStr">
        <is>
          <t>LINDESBERG</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37125-2023</t>
        </is>
      </c>
      <c r="B927" s="1" t="n">
        <v>45155.5653125</v>
      </c>
      <c r="C927" s="1" t="n">
        <v>46105</v>
      </c>
      <c r="D927" t="inlineStr">
        <is>
          <t>ÖREBRO LÄN</t>
        </is>
      </c>
      <c r="E927" t="inlineStr">
        <is>
          <t>LINDESBERG</t>
        </is>
      </c>
      <c r="G927" t="n">
        <v>2</v>
      </c>
      <c r="H927" t="n">
        <v>0</v>
      </c>
      <c r="I927" t="n">
        <v>0</v>
      </c>
      <c r="J927" t="n">
        <v>0</v>
      </c>
      <c r="K927" t="n">
        <v>0</v>
      </c>
      <c r="L927" t="n">
        <v>0</v>
      </c>
      <c r="M927" t="n">
        <v>0</v>
      </c>
      <c r="N927" t="n">
        <v>0</v>
      </c>
      <c r="O927" t="n">
        <v>0</v>
      </c>
      <c r="P927" t="n">
        <v>0</v>
      </c>
      <c r="Q927" t="n">
        <v>0</v>
      </c>
      <c r="R927" s="2" t="inlineStr"/>
    </row>
    <row r="928" ht="15" customHeight="1">
      <c r="A928" t="inlineStr">
        <is>
          <t>A 24186-2024</t>
        </is>
      </c>
      <c r="B928" s="1" t="n">
        <v>45456.90869212963</v>
      </c>
      <c r="C928" s="1" t="n">
        <v>46105</v>
      </c>
      <c r="D928" t="inlineStr">
        <is>
          <t>ÖREBRO LÄN</t>
        </is>
      </c>
      <c r="E928" t="inlineStr">
        <is>
          <t>LINDESBERG</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25842-2025</t>
        </is>
      </c>
      <c r="B929" s="1" t="n">
        <v>45804.45474537037</v>
      </c>
      <c r="C929" s="1" t="n">
        <v>46105</v>
      </c>
      <c r="D929" t="inlineStr">
        <is>
          <t>ÖREBRO LÄN</t>
        </is>
      </c>
      <c r="E929" t="inlineStr">
        <is>
          <t>LINDESBERG</t>
        </is>
      </c>
      <c r="G929" t="n">
        <v>1.7</v>
      </c>
      <c r="H929" t="n">
        <v>0</v>
      </c>
      <c r="I929" t="n">
        <v>0</v>
      </c>
      <c r="J929" t="n">
        <v>0</v>
      </c>
      <c r="K929" t="n">
        <v>0</v>
      </c>
      <c r="L929" t="n">
        <v>0</v>
      </c>
      <c r="M929" t="n">
        <v>0</v>
      </c>
      <c r="N929" t="n">
        <v>0</v>
      </c>
      <c r="O929" t="n">
        <v>0</v>
      </c>
      <c r="P929" t="n">
        <v>0</v>
      </c>
      <c r="Q929" t="n">
        <v>0</v>
      </c>
      <c r="R929" s="2" t="inlineStr"/>
    </row>
    <row r="930" ht="15" customHeight="1">
      <c r="A930" t="inlineStr">
        <is>
          <t>A 25643-2025</t>
        </is>
      </c>
      <c r="B930" s="1" t="n">
        <v>45803</v>
      </c>
      <c r="C930" s="1" t="n">
        <v>46105</v>
      </c>
      <c r="D930" t="inlineStr">
        <is>
          <t>ÖREBRO LÄN</t>
        </is>
      </c>
      <c r="E930" t="inlineStr">
        <is>
          <t>LINDESBERG</t>
        </is>
      </c>
      <c r="F930" t="inlineStr">
        <is>
          <t>Sveaskog</t>
        </is>
      </c>
      <c r="G930" t="n">
        <v>3.6</v>
      </c>
      <c r="H930" t="n">
        <v>0</v>
      </c>
      <c r="I930" t="n">
        <v>0</v>
      </c>
      <c r="J930" t="n">
        <v>0</v>
      </c>
      <c r="K930" t="n">
        <v>0</v>
      </c>
      <c r="L930" t="n">
        <v>0</v>
      </c>
      <c r="M930" t="n">
        <v>0</v>
      </c>
      <c r="N930" t="n">
        <v>0</v>
      </c>
      <c r="O930" t="n">
        <v>0</v>
      </c>
      <c r="P930" t="n">
        <v>0</v>
      </c>
      <c r="Q930" t="n">
        <v>0</v>
      </c>
      <c r="R930" s="2" t="inlineStr"/>
    </row>
    <row r="931">
      <c r="A931" t="inlineStr">
        <is>
          <t>A 25843-2025</t>
        </is>
      </c>
      <c r="B931" s="1" t="n">
        <v>45804.45584490741</v>
      </c>
      <c r="C931" s="1" t="n">
        <v>46105</v>
      </c>
      <c r="D931" t="inlineStr">
        <is>
          <t>ÖREBRO LÄN</t>
        </is>
      </c>
      <c r="E931" t="inlineStr">
        <is>
          <t>LINDESBERG</t>
        </is>
      </c>
      <c r="G931" t="n">
        <v>4.6</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2026-03-24T11:32:01Z</dcterms:created>
  <dcterms:modified xmlns:dcterms="http://purl.org/dc/terms/" xmlns:xsi="http://www.w3.org/2001/XMLSchema-instance" xsi:type="dcterms:W3CDTF">2026-03-24T11:32:02Z</dcterms:modified>
</cp:coreProperties>
</file>