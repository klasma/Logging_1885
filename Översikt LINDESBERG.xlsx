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45812</v>
      </c>
      <c r="D2" t="inlineStr">
        <is>
          <t>ÖREBRO LÄN</t>
        </is>
      </c>
      <c r="E2" t="inlineStr">
        <is>
          <t>LINDESBERG</t>
        </is>
      </c>
      <c r="G2" t="n">
        <v>11.1</v>
      </c>
      <c r="H2" t="n">
        <v>14</v>
      </c>
      <c r="I2" t="n">
        <v>13</v>
      </c>
      <c r="J2" t="n">
        <v>6</v>
      </c>
      <c r="K2" t="n">
        <v>2</v>
      </c>
      <c r="L2" t="n">
        <v>1</v>
      </c>
      <c r="M2" t="n">
        <v>1</v>
      </c>
      <c r="N2" t="n">
        <v>0</v>
      </c>
      <c r="O2" t="n">
        <v>10</v>
      </c>
      <c r="P2" t="n">
        <v>4</v>
      </c>
      <c r="Q2" t="n">
        <v>31</v>
      </c>
      <c r="R2"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45812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45812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45812</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45812</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45812</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45812</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45812</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45812</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45812</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45812</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45812</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45812</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45812</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26749-2025</t>
        </is>
      </c>
      <c r="B16" s="1" t="n">
        <v>45810</v>
      </c>
      <c r="C16" s="1" t="n">
        <v>45812</v>
      </c>
      <c r="D16" t="inlineStr">
        <is>
          <t>ÖREBRO LÄN</t>
        </is>
      </c>
      <c r="E16" t="inlineStr">
        <is>
          <t>LINDESBERG</t>
        </is>
      </c>
      <c r="G16" t="n">
        <v>4</v>
      </c>
      <c r="H16" t="n">
        <v>4</v>
      </c>
      <c r="I16" t="n">
        <v>0</v>
      </c>
      <c r="J16" t="n">
        <v>0</v>
      </c>
      <c r="K16" t="n">
        <v>1</v>
      </c>
      <c r="L16" t="n">
        <v>0</v>
      </c>
      <c r="M16" t="n">
        <v>0</v>
      </c>
      <c r="N16" t="n">
        <v>0</v>
      </c>
      <c r="O16" t="n">
        <v>1</v>
      </c>
      <c r="P16" t="n">
        <v>1</v>
      </c>
      <c r="Q16" t="n">
        <v>4</v>
      </c>
      <c r="R16" s="2" t="inlineStr">
        <is>
          <t>Knärot
Kungsfågel
Blåsippa
Revlummer</t>
        </is>
      </c>
      <c r="S16">
        <f>HYPERLINK("https://klasma.github.io/Logging_181885/artfynd/A 26749-2025 artfynd.xlsx", "A 26749-2025")</f>
        <v/>
      </c>
      <c r="T16">
        <f>HYPERLINK("https://klasma.github.io/Logging_181885/kartor/A 26749-2025 karta.png", "A 26749-2025")</f>
        <v/>
      </c>
      <c r="U16">
        <f>HYPERLINK("https://klasma.github.io/Logging_181885/knärot/A 26749-2025 karta knärot.png", "A 26749-2025")</f>
        <v/>
      </c>
      <c r="V16">
        <f>HYPERLINK("https://klasma.github.io/Logging_181885/klagomål/A 26749-2025 FSC-klagomål.docx", "A 26749-2025")</f>
        <v/>
      </c>
      <c r="W16">
        <f>HYPERLINK("https://klasma.github.io/Logging_181885/klagomålsmail/A 26749-2025 FSC-klagomål mail.docx", "A 26749-2025")</f>
        <v/>
      </c>
      <c r="X16">
        <f>HYPERLINK("https://klasma.github.io/Logging_181885/tillsyn/A 26749-2025 tillsynsbegäran.docx", "A 26749-2025")</f>
        <v/>
      </c>
      <c r="Y16">
        <f>HYPERLINK("https://klasma.github.io/Logging_181885/tillsynsmail/A 26749-2025 tillsynsbegäran mail.docx", "A 26749-2025")</f>
        <v/>
      </c>
      <c r="Z16">
        <f>HYPERLINK("https://klasma.github.io/Logging_181885/fåglar/A 26749-2025 prioriterade fågelarter.docx", "A 26749-2025")</f>
        <v/>
      </c>
    </row>
    <row r="17" ht="15" customHeight="1">
      <c r="A17" t="inlineStr">
        <is>
          <t>A 49419-2019</t>
        </is>
      </c>
      <c r="B17" s="1" t="n">
        <v>43732</v>
      </c>
      <c r="C17" s="1" t="n">
        <v>45812</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45812</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45812</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45812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45812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45812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45812</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45812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45812</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45812</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45812</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45812</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45812</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45812</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45812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45812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45812</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45812</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45812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45812</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45812</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45812</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45812</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45812</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45812</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45812</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45812</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45812</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45812</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45812</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45812</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45812</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45812</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45812</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45812</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45812</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45812</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45812</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45812</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45812</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45812</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45812</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45812</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45812</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45812</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45812</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45812</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45812</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45812</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45812</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45812</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45812</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45812</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45812</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45812</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45812</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45812</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45812</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45812</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45812</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45812</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45812</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45812</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45812</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45812</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45812</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45812</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45812</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45812</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45812</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45812</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45812</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45812</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45812</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45812</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45812</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45812</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45812</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45812</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45812</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45812</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45812</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45812</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45812</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45812</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45812</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45812</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45812</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45812</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45812</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45812</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45812</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45812</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45812</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45812</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45812</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45812</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45812</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45812</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45812</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45812</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45812</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45812</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45812</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45812</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45812</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45812</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45812</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45812</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45812</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45812</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45812</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45812</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45812</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45812</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45812</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45812</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45812</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45812</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45812</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45812</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45812</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45812</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45812</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45812</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45812</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45812</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45812</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45812</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45812</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45812</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45812</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45812</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45812</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45812</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45812</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45812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45812</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45812</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45812</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45812</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45812</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45812</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45812</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45812</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45812</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45812</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45812</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45812</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45812</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45812</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45812</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45812</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45812</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45812</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45812</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45812</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45812</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45812</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45812</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45812</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45812</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45812</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45812</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45812</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45812</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45812</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45812</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45812</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45812</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45812</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45812</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45812</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45812</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45812</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45812</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45812</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45812</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45812</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45812</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45812</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45812</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45812</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45812</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45812</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45812</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45812</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45812</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45812</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45812</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45812</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45812</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45812</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45812</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45812</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45812</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45812</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45812</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45812</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45812</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45812</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45812</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45812</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45812</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45812</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45812</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45812</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45812</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45812</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45812</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45812</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45812</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45812</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45812</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45812</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45812</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45812</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45812</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45812</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45812</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45812</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45812</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45812</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45812</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45812</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45812</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45812</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45812</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45812</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45812</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45812</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45812</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45812</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45812</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45812</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45812</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45812</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45812</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45812</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45812</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45812</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45812</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45812</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45812</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45812</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45812</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45812</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45812</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45812</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45812</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45812</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45812</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45812</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45812</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45812</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45812</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45812</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45812</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45812</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45812</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45812</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45812</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45812</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45812</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45812</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45812</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45812</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45812</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45812</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45812</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45812</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45812</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45812</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45812</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45812</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45812</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45812</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45812</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45812</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45812</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45812</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45812</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45812</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45812</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45812</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45812</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45812</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45812</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45812</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45812</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45812</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45812</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45812</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45812</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45812</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45812</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45812</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45812</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45812</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45812</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45812</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45812</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45812</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45812</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45812</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45812</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45812</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45812</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45812</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45812</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45812</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45812</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45812</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45812</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45812</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45812</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45812</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45812</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45812</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45812</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45812</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45812</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45812</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45812</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45812</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45812</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45812</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45812</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45812</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45812</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45812</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45812</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45812</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45812</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45812</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45812</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45812</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45812</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45812</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45812</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45812</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45812</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45812</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45812</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45812</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45812</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45812</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45812</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45812</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45812</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45812</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45812</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45812</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45812</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45812</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45812</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45812</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45812</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45812</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45812</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45812</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45812</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45812</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45812</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45812</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45812</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45812</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45812</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45812</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45812</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45812</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45812</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45812</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45812</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45812</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45812</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45812</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45812</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45812</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45812</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45812</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45812</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45812</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45812</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45812</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45812</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45812</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45812</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45812</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45812</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45812</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45812</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45812</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45812</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45812</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45812</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45812</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45812</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45812</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45812</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45812</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45812</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45812</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45812</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45812</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45812</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45812</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45812</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45812</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45812</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45812</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45812</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45812</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45812</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45812</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45812</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45812</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45812</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45812</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45812</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45812</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45812</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45812</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45812</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45812</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45812</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45812</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45812</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45812</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45812</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45812</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45812</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45812</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45812</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45812</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45812</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45812</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45812</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45812</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45812</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45812</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45812</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45812</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45812</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45812</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45812</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45812</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45812</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45812</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45812</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45812</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45812</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45812</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45812</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45812</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45812</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45812</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45812</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45812</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45812</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45812</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45812</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45812</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45812</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45812</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45812</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45812</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45812</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45812</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45812</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45812</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45812</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45812</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45812</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45812</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45812</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45812</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45812</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45812</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45812</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45812</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45812</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45812</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45812</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45812</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45812</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45812</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45812</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45812</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45812</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45812</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45812</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45812</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45812</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45812</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45812</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45812</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45812</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45812</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45812</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45812</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45812</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45812</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45812</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45812</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45812</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45812</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45812</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45812</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45812</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45812</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45812</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45812</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45812</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45812</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45812</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45812</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45812</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45812</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45812</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45812</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45812</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45812</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45812</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45812</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45812</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45812</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45812</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45812</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45812</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45812</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45812</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45812</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45812</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45812</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45812</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45812</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45812</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45812</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45812</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45812</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45812</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45812</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45812</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45812</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45812</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45812</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45812</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45812</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45812</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45812</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45812</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45812</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45812</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45812</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45812</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45812</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45812</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45812</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45812</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45812</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45812</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45812</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45812</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45812</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45812</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45812</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45812</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45812</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45812</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45812</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45812</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45812</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45812</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45812</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45812</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45812</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45812</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45812</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45812</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45812</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45812</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45812</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45812</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45812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45812</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45812</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45812</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45812</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45812</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45812</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45812</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45812</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45812</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45812</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45812</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45812</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45812</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45812</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45812</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45812</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45812</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45812</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45812</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45812</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45812</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45812</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45812</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45812</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45812</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45812</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45812</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45812</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45812</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45812</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45812</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45812</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45812</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45812</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45812</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45812</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45812</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45812</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45812</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45812</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45812</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45812</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45812</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45812</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45812</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45812</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45812</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45812</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45812</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45812</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45812</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45812</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45812</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45812</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45812</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45812</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45812</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45812</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45812</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45812</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45812</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45812</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45812</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45812</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45812</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45812</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45812</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45812</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45812</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45812</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45812</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45812</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45812</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45812</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45812</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45812</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45812</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45812</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45812</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45812</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45812</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45812</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45812</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45812</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45812</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45812</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45812</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45812</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45812</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45812</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45812</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45812</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45812</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45812</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45812</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45812</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45812</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45812</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45812</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45812</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45812</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45812</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45812</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45812</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45812</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45812</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45812</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45812</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45812</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45812</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45812</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45812</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45812</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45812</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45812</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45812</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45812</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45812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45812</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45812</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45812</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45812</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45812</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45812</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45812</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45812</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45812</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45812</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45812</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45812</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45812</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45812</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45812</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45812</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45812</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45812</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45812</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45812</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45812</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45812</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45812</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45812</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45812</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45812</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45812</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45812</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45812</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45812</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45812</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45812</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45812</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45812</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45812</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45812</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45812</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45812</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45812</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45812</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45812</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45812</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45812</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45812</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45812</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45812</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45812</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45812</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45812</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45812</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45812</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45812</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45812</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45812</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45812</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45812</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45812</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45812</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45812</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45812</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45812</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45812</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45812</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45812</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45812</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45812</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45812</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45812</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45812</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45812</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45812</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45812</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45812</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45812</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45812</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45812</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45812</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45812</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45812</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45812</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45812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45812</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45812</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45812</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45812</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45812</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45812</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45812</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45812</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45812</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45812</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45812</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45812</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45812</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45812</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45812</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45812</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45812</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45812</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45812</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45812</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45812</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45812</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45812</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45812</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45812</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45812</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45812</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45812</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45812</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45812</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45812</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45812</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45812</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45812</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45812</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45812</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45812</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45812</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45812</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45812</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45812</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45812</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45812</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45812</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45812</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45812</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45812</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45812</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45812</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45812</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45812</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45812</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45812</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45812</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45812</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45812</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45812</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45812</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45812</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45812</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45812</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45812</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45812</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45812</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45812</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45812</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45812</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45812</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45812</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45812</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45812</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45812</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45812</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45812</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45812</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45812</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45812</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45812</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45812</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45812</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45812</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45812</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45812</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45812</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45812</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45812</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45812</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45812</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45812</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45812</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45812</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45812</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45812</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45812</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45812</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45812</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45812</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45812</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45812</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45812</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45812</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45812</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45812</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45812</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45812</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45812</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45812</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45812</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45812</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45812</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45812</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45812</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45812</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45812</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45812</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45812</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45812</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45812</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45812</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45812</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45812</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45812</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45812</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45812</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45812</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45812</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45812</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45812</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45812</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45812</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45812</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45812</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45812</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45812</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45812</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45812</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45812</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45812</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45812</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45812</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45812</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45812</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45812</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45812</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45812</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45812</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45812</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45812</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45812</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45812</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45812</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45812</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45812</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45812</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45812</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45812</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45812</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45812</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45812</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45812</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45812</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45812</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45812</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45812</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45812</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45812</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45812</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45812</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45812</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45812</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45812</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45812</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45812</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45812</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45812</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45812</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45812</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45812</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45812</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45812</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45812</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45812</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45812</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45812</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45812</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45812</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45812</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45812</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45812</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45812</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45812</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45812</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45812</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45812</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45812</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45812</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45812</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45812</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45812</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45812</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45812</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45812</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45812</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45812</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45812</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45812</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45812</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45812</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45812</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45812</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45812</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45812</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45812</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45812</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45812</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45812</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45812</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45812</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45812</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45812</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45812</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45812</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45812</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45812</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45812</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45812</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45812</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45812</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45812</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45812</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45812</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45812</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45812</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45812</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45812</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45812</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45812</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45812</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45812</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45812</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45812</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45812</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45812</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45812</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45812</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45812</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45812</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45812</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45812</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45812</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45812</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45812</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45812</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45812</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45812</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45812</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45812</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45812</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45812</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45812</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45812</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45812</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45812</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45812</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45812</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45812</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45812</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45812</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45812</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45812</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45812</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45812</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45812</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45812</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45812</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45812</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45812</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45812</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45812</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45812</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45812</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45812</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45812</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45812</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45812</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45812</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45812</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45812</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45812</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45812</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45812</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45812</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45812</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45812</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45812</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45812</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45812</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45812</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45812</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45812</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45812</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45812</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45812</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45812</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45812</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45812</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45812</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45812</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45812</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45812</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45812</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45812</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45812</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45812</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45812</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45812</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45812</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45812</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45812</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45812</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45812</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45812</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45812</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45812</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45812</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45812</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45812</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45812</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45812</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45812</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45812</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45812</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45812</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45812</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45812</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45812</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45812</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45812</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45812</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45812</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45812</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45812</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45812</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45812</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45812</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45812</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45812</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45812</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45812</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45812</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45812</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45812</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45812</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45812</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45812</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45812</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45812</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45812</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45812</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45812</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45812</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45812</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45812</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45812</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45812</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45812</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45812</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45812</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45812</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45812</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45812</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45812</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45812</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45812</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45812</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45812</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45812</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45812</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45812</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45812</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45812</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45812</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45812</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45812</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45812</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45812</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45812</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45812</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45812</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45812</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45812</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45812</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45812</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45812</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45812</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45812</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45812</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45812</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45812</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45812</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45812</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45812</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45812</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45812</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45812</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45812</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45812</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45812</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45812</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45812</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45812</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45812</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45812</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45812</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45812</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45812</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45812</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45812</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45812</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45812</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45812</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45812</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45812</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45812</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45812</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45812</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45812</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45812</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45812</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45812</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45812</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45812</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45812</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45812</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45812</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45812</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45812</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45812</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45812</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45812</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45812</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45812</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45812</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45812</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45812</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45812</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45812</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45812</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45812</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45812</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45812</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45812</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45812</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45812</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45812</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45812</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45812</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45812</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45812</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45812</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45812</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45812</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45812</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45812</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45812</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45812</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45812</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45812</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45812</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45812</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45812</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45812</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45812</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45812</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45812</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45812</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45812</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45812</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45812</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45812</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45812</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45812</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45812</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45812</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45812</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45812</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45812</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45812</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45812</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45812</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45812</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45812</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45812</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45812</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45812</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45812</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45812</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45812</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45812</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45812</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45812</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45812</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45812</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45812</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45812</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45812</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45812</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45812</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45812</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45812</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45812</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45812</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45812</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45812</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45812</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45812</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45812</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45812</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45812</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45812</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45812</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45812</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45812</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45812</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45812</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45812</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45812</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45812</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45812</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45812</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45812</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45812</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45812</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45812</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45812</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45812</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45812</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45812</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45812</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45812</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45812</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45812</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45812</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45812</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45812</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45812</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45812</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45812</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45812</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45812</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45812</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45812</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45812</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45812</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45812</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45812</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45812</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45812</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45812</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45812</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45812</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45812</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45812</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45812</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45812</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45812</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45812</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45812</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45812</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45812</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45812</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45812</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45812</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45812</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45812</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45812</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45812</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45812</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45812</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45812</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45812</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45812</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45812</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45812</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45812</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45812</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45812</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45812</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45812</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45812</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45812</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45812</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45812</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45812</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45812</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45812</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45812</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45812</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45812</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45812</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45812</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45812</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45812</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45812</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45812</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45812</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45812</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45812</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45812</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45812</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45812</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45812</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45812</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45812</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45812</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45812</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45812</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45812</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45812</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45812</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45812</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45812</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45812</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45812</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45812</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45812</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45812</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45812</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45812</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45812</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45812</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45812</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45812</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45812</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45812</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45812</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45812</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45812</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45812</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45812</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45812</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45812</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45812</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45812</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45812</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45812</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45812</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45812</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45812</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45812</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45812</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45812</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45812</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45812</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45812</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45812</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45812</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45812</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45812</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45812</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45812</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45812</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45812</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45812</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45812</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45812</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45812</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45812</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45812</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45812</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45812</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45812</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45812</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45812</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45812</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45812</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45812</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45812</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45812</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45812</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45812</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45812</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45812</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45812</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45812</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45812</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45812</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45812</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45812</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45812</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45812</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45812</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45812</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45812</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45812</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45812</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45812</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45812</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45812</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45812</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45812</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45812</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45812</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45812</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45812</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45812</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45812</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45812</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45812</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45812</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45812</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45812</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45812</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45812</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45812</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45812</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45812</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45812</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45812</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45812</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45812</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45812</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45812</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45812</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45812</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45812</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45812</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45812</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45812</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45812</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45812</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45812</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45812</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45812</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45812</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45812</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45812</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45812</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45812</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45812</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45812</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45812</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45812</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45812</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45812</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45812</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45812</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45812</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45812</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45812</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45812</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45812</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45812</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45812</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45812</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45812</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45812</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45812</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45812</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45812</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45812</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45812</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45812</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45812</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45812</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45812</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45812</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45812</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45812</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45812</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45812</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45812</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45812</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45812</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45812</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45812</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45812</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45812</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45812</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45812</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45812</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45812</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45812</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45812</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45812</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45812</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45812</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45812</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45812</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45812</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45812</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45812</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45812</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45812</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45812</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45812</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45812</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45812</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45812</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45812</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45812</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45812</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45812</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45812</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45812</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45812</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45812</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45812</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45812</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45812</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45812</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45812</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45812</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45812</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45812</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45812</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45812</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45812</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45812</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45812</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45812</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45812</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45812</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45812</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45812</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45812</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45812</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45812</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45812</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45812</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45812</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45812</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45812</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45812</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45812</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45812</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45812</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45812</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45812</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45812</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45812</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45812</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45812</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45812</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45812</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45812</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45812</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45812</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45812</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45812</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45812</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45812</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45812</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45812</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45812</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45812</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45812</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45812</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45812</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45812</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45812</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45812</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45812</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45812</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45812</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21811-2025</t>
        </is>
      </c>
      <c r="B1666" s="1" t="n">
        <v>45783</v>
      </c>
      <c r="C1666" s="1" t="n">
        <v>45812</v>
      </c>
      <c r="D1666" t="inlineStr">
        <is>
          <t>ÖREBRO LÄN</t>
        </is>
      </c>
      <c r="E1666" t="inlineStr">
        <is>
          <t>LINDESBERG</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45812</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45812</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45812</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45812</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45812</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45812</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45812</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45812</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45812</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45812</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45812</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23934-2025</t>
        </is>
      </c>
      <c r="B1678" s="1" t="n">
        <v>45795</v>
      </c>
      <c r="C1678" s="1" t="n">
        <v>45812</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24107-2025</t>
        </is>
      </c>
      <c r="B1679" s="1" t="n">
        <v>45796</v>
      </c>
      <c r="C1679" s="1" t="n">
        <v>45812</v>
      </c>
      <c r="D1679" t="inlineStr">
        <is>
          <t>ÖREBRO LÄN</t>
        </is>
      </c>
      <c r="E1679" t="inlineStr">
        <is>
          <t>LINDESBERG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45812</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45812</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45812</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45812</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45812</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25842-2025</t>
        </is>
      </c>
      <c r="B1685" s="1" t="n">
        <v>45804</v>
      </c>
      <c r="C1685" s="1" t="n">
        <v>45812</v>
      </c>
      <c r="D1685" t="inlineStr">
        <is>
          <t>ÖREBRO LÄN</t>
        </is>
      </c>
      <c r="E1685" t="inlineStr">
        <is>
          <t>LINDESBERG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25843-2025</t>
        </is>
      </c>
      <c r="B1686" s="1" t="n">
        <v>45804</v>
      </c>
      <c r="C1686" s="1" t="n">
        <v>45812</v>
      </c>
      <c r="D1686" t="inlineStr">
        <is>
          <t>ÖREBRO LÄN</t>
        </is>
      </c>
      <c r="E1686" t="inlineStr">
        <is>
          <t>LINDESBERG</t>
        </is>
      </c>
      <c r="G1686" t="n">
        <v>4.6</v>
      </c>
      <c r="H1686" t="n">
        <v>0</v>
      </c>
      <c r="I1686" t="n">
        <v>0</v>
      </c>
      <c r="J1686" t="n">
        <v>0</v>
      </c>
      <c r="K1686" t="n">
        <v>0</v>
      </c>
      <c r="L1686" t="n">
        <v>0</v>
      </c>
      <c r="M1686" t="n">
        <v>0</v>
      </c>
      <c r="N1686" t="n">
        <v>0</v>
      </c>
      <c r="O1686" t="n">
        <v>0</v>
      </c>
      <c r="P1686" t="n">
        <v>0</v>
      </c>
      <c r="Q1686" t="n">
        <v>0</v>
      </c>
      <c r="R1686" s="2" t="inlineStr"/>
    </row>
    <row r="1687">
      <c r="A1687" t="inlineStr">
        <is>
          <t>A 26016-2025</t>
        </is>
      </c>
      <c r="B1687" s="1" t="n">
        <v>45804</v>
      </c>
      <c r="C1687" s="1" t="n">
        <v>45812</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2025-06-04T18:12:14Z</dcterms:created>
  <dcterms:modified xmlns:dcterms="http://purl.org/dc/terms/" xmlns:xsi="http://www.w3.org/2001/XMLSchema-instance" xsi:type="dcterms:W3CDTF">2025-06-04T18:12:16Z</dcterms:modified>
</cp:coreProperties>
</file>