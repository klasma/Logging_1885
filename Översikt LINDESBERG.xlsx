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45963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45963</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45963</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45963</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34293-2023</t>
        </is>
      </c>
      <c r="B13" s="1" t="n">
        <v>45138</v>
      </c>
      <c r="C13" s="1" t="n">
        <v>45963</v>
      </c>
      <c r="D13" t="inlineStr">
        <is>
          <t>ÖREBRO LÄN</t>
        </is>
      </c>
      <c r="E13" t="inlineStr">
        <is>
          <t>LINDESBERG</t>
        </is>
      </c>
      <c r="F13" t="inlineStr">
        <is>
          <t>Sveaskog</t>
        </is>
      </c>
      <c r="G13" t="n">
        <v>0.5</v>
      </c>
      <c r="H13" t="n">
        <v>2</v>
      </c>
      <c r="I13" t="n">
        <v>3</v>
      </c>
      <c r="J13" t="n">
        <v>0</v>
      </c>
      <c r="K13" t="n">
        <v>1</v>
      </c>
      <c r="L13" t="n">
        <v>0</v>
      </c>
      <c r="M13" t="n">
        <v>0</v>
      </c>
      <c r="N13" t="n">
        <v>0</v>
      </c>
      <c r="O13" t="n">
        <v>1</v>
      </c>
      <c r="P13" t="n">
        <v>1</v>
      </c>
      <c r="Q13" t="n">
        <v>4</v>
      </c>
      <c r="R13" s="2" t="inlineStr">
        <is>
          <t>Knärot
Dropptaggsvamp
Korallrot
Vedticka</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21177-2021</t>
        </is>
      </c>
      <c r="B14" s="1" t="n">
        <v>44320</v>
      </c>
      <c r="C14" s="1" t="n">
        <v>45963</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45963</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45963</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45963</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45963</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45963</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45963</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49945-2025</t>
        </is>
      </c>
      <c r="B21" s="1" t="n">
        <v>45940.69754629629</v>
      </c>
      <c r="C21" s="1" t="n">
        <v>45963</v>
      </c>
      <c r="D21" t="inlineStr">
        <is>
          <t>ÖREBRO LÄN</t>
        </is>
      </c>
      <c r="E21" t="inlineStr">
        <is>
          <t>LINDESBERG</t>
        </is>
      </c>
      <c r="F21" t="inlineStr">
        <is>
          <t>Sveaskog</t>
        </is>
      </c>
      <c r="G21" t="n">
        <v>2.4</v>
      </c>
      <c r="H21" t="n">
        <v>1</v>
      </c>
      <c r="I21" t="n">
        <v>1</v>
      </c>
      <c r="J21" t="n">
        <v>1</v>
      </c>
      <c r="K21" t="n">
        <v>0</v>
      </c>
      <c r="L21" t="n">
        <v>0</v>
      </c>
      <c r="M21" t="n">
        <v>0</v>
      </c>
      <c r="N21" t="n">
        <v>0</v>
      </c>
      <c r="O21" t="n">
        <v>1</v>
      </c>
      <c r="P21" t="n">
        <v>0</v>
      </c>
      <c r="Q21" t="n">
        <v>3</v>
      </c>
      <c r="R21" s="2" t="inlineStr">
        <is>
          <t>Motaggsvamp
Zontaggsvamp
Mattlummer</t>
        </is>
      </c>
      <c r="S21">
        <f>HYPERLINK("https://klasma.github.io/Logging_1885/artfynd/A 49945-2025 artfynd.xlsx", "A 49945-2025")</f>
        <v/>
      </c>
      <c r="T21">
        <f>HYPERLINK("https://klasma.github.io/Logging_1885/kartor/A 49945-2025 karta.png", "A 49945-2025")</f>
        <v/>
      </c>
      <c r="V21">
        <f>HYPERLINK("https://klasma.github.io/Logging_1885/klagomål/A 49945-2025 FSC-klagomål.docx", "A 49945-2025")</f>
        <v/>
      </c>
      <c r="W21">
        <f>HYPERLINK("https://klasma.github.io/Logging_1885/klagomålsmail/A 49945-2025 FSC-klagomål mail.docx", "A 49945-2025")</f>
        <v/>
      </c>
      <c r="X21">
        <f>HYPERLINK("https://klasma.github.io/Logging_1885/tillsyn/A 49945-2025 tillsynsbegäran.docx", "A 49945-2025")</f>
        <v/>
      </c>
      <c r="Y21">
        <f>HYPERLINK("https://klasma.github.io/Logging_1885/tillsynsmail/A 49945-2025 tillsynsbegäran mail.docx", "A 49945-2025")</f>
        <v/>
      </c>
    </row>
    <row r="22" ht="15" customHeight="1">
      <c r="A22" t="inlineStr">
        <is>
          <t>A 42636-2025</t>
        </is>
      </c>
      <c r="B22" s="1" t="n">
        <v>45905.90789351852</v>
      </c>
      <c r="C22" s="1" t="n">
        <v>45963</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45963</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45963</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45963</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53686-2024</t>
        </is>
      </c>
      <c r="B26" s="1" t="n">
        <v>45615</v>
      </c>
      <c r="C26" s="1" t="n">
        <v>45963</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14807-2021</t>
        </is>
      </c>
      <c r="B27" s="1" t="n">
        <v>44280</v>
      </c>
      <c r="C27" s="1" t="n">
        <v>45963</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45963</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45963</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1475-2025</t>
        </is>
      </c>
      <c r="B30" s="1" t="n">
        <v>45670</v>
      </c>
      <c r="C30" s="1" t="n">
        <v>45963</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45963</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32713-2021</t>
        </is>
      </c>
      <c r="B32" s="1" t="n">
        <v>44375</v>
      </c>
      <c r="C32" s="1" t="n">
        <v>45963</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45963</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45963</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45963</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45963</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45963</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27900-2024</t>
        </is>
      </c>
      <c r="B38" s="1" t="n">
        <v>45475.92849537037</v>
      </c>
      <c r="C38" s="1" t="n">
        <v>45963</v>
      </c>
      <c r="D38" t="inlineStr">
        <is>
          <t>ÖREBRO LÄN</t>
        </is>
      </c>
      <c r="E38" t="inlineStr">
        <is>
          <t>LINDESBERG</t>
        </is>
      </c>
      <c r="F38" t="inlineStr">
        <is>
          <t>Sveaskog</t>
        </is>
      </c>
      <c r="G38" t="n">
        <v>4.1</v>
      </c>
      <c r="H38" t="n">
        <v>1</v>
      </c>
      <c r="I38" t="n">
        <v>0</v>
      </c>
      <c r="J38" t="n">
        <v>0</v>
      </c>
      <c r="K38" t="n">
        <v>0</v>
      </c>
      <c r="L38" t="n">
        <v>0</v>
      </c>
      <c r="M38" t="n">
        <v>0</v>
      </c>
      <c r="N38" t="n">
        <v>0</v>
      </c>
      <c r="O38" t="n">
        <v>0</v>
      </c>
      <c r="P38" t="n">
        <v>0</v>
      </c>
      <c r="Q38" t="n">
        <v>1</v>
      </c>
      <c r="R38" s="2" t="inlineStr">
        <is>
          <t>Fläcknycklar</t>
        </is>
      </c>
      <c r="S38">
        <f>HYPERLINK("https://klasma.github.io/Logging_1885/artfynd/A 27900-2024 artfynd.xlsx", "A 27900-2024")</f>
        <v/>
      </c>
      <c r="T38">
        <f>HYPERLINK("https://klasma.github.io/Logging_1885/kartor/A 27900-2024 karta.png", "A 27900-2024")</f>
        <v/>
      </c>
      <c r="V38">
        <f>HYPERLINK("https://klasma.github.io/Logging_1885/klagomål/A 27900-2024 FSC-klagomål.docx", "A 27900-2024")</f>
        <v/>
      </c>
      <c r="W38">
        <f>HYPERLINK("https://klasma.github.io/Logging_1885/klagomålsmail/A 27900-2024 FSC-klagomål mail.docx", "A 27900-2024")</f>
        <v/>
      </c>
      <c r="X38">
        <f>HYPERLINK("https://klasma.github.io/Logging_1885/tillsyn/A 27900-2024 tillsynsbegäran.docx", "A 27900-2024")</f>
        <v/>
      </c>
      <c r="Y38">
        <f>HYPERLINK("https://klasma.github.io/Logging_1885/tillsynsmail/A 27900-2024 tillsynsbegäran mail.docx", "A 27900-2024")</f>
        <v/>
      </c>
    </row>
    <row r="39" ht="15" customHeight="1">
      <c r="A39" t="inlineStr">
        <is>
          <t>A 45051-2024</t>
        </is>
      </c>
      <c r="B39" s="1" t="n">
        <v>45575.54934027778</v>
      </c>
      <c r="C39" s="1" t="n">
        <v>45963</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53598-2024</t>
        </is>
      </c>
      <c r="B40" s="1" t="n">
        <v>45614.68287037037</v>
      </c>
      <c r="C40" s="1" t="n">
        <v>45963</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61129-2024</t>
        </is>
      </c>
      <c r="B41" s="1" t="n">
        <v>45645</v>
      </c>
      <c r="C41" s="1" t="n">
        <v>45963</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54857-2024</t>
        </is>
      </c>
      <c r="B42" s="1" t="n">
        <v>45618.58876157407</v>
      </c>
      <c r="C42" s="1" t="n">
        <v>45963</v>
      </c>
      <c r="D42" t="inlineStr">
        <is>
          <t>ÖREBRO LÄN</t>
        </is>
      </c>
      <c r="E42" t="inlineStr">
        <is>
          <t>LINDESBERG</t>
        </is>
      </c>
      <c r="F42" t="inlineStr">
        <is>
          <t>Sveaskog</t>
        </is>
      </c>
      <c r="G42" t="n">
        <v>6.1</v>
      </c>
      <c r="H42" t="n">
        <v>0</v>
      </c>
      <c r="I42" t="n">
        <v>0</v>
      </c>
      <c r="J42" t="n">
        <v>1</v>
      </c>
      <c r="K42" t="n">
        <v>0</v>
      </c>
      <c r="L42" t="n">
        <v>0</v>
      </c>
      <c r="M42" t="n">
        <v>0</v>
      </c>
      <c r="N42" t="n">
        <v>0</v>
      </c>
      <c r="O42" t="n">
        <v>1</v>
      </c>
      <c r="P42" t="n">
        <v>0</v>
      </c>
      <c r="Q42" t="n">
        <v>1</v>
      </c>
      <c r="R42" s="2" t="inlineStr">
        <is>
          <t>Sexfläckig bastardsvärmare</t>
        </is>
      </c>
      <c r="S42">
        <f>HYPERLINK("https://klasma.github.io/Logging_1885/artfynd/A 54857-2024 artfynd.xlsx", "A 54857-2024")</f>
        <v/>
      </c>
      <c r="T42">
        <f>HYPERLINK("https://klasma.github.io/Logging_1885/kartor/A 54857-2024 karta.png", "A 54857-2024")</f>
        <v/>
      </c>
      <c r="V42">
        <f>HYPERLINK("https://klasma.github.io/Logging_1885/klagomål/A 54857-2024 FSC-klagomål.docx", "A 54857-2024")</f>
        <v/>
      </c>
      <c r="W42">
        <f>HYPERLINK("https://klasma.github.io/Logging_1885/klagomålsmail/A 54857-2024 FSC-klagomål mail.docx", "A 54857-2024")</f>
        <v/>
      </c>
      <c r="X42">
        <f>HYPERLINK("https://klasma.github.io/Logging_1885/tillsyn/A 54857-2024 tillsynsbegäran.docx", "A 54857-2024")</f>
        <v/>
      </c>
      <c r="Y42">
        <f>HYPERLINK("https://klasma.github.io/Logging_1885/tillsynsmail/A 54857-2024 tillsynsbegäran mail.docx", "A 54857-2024")</f>
        <v/>
      </c>
    </row>
    <row r="43" ht="15" customHeight="1">
      <c r="A43" t="inlineStr">
        <is>
          <t>A 6192-2025</t>
        </is>
      </c>
      <c r="B43" s="1" t="n">
        <v>45698.46697916667</v>
      </c>
      <c r="C43" s="1" t="n">
        <v>45963</v>
      </c>
      <c r="D43" t="inlineStr">
        <is>
          <t>ÖREBRO LÄN</t>
        </is>
      </c>
      <c r="E43" t="inlineStr">
        <is>
          <t>LINDESBERG</t>
        </is>
      </c>
      <c r="F43" t="inlineStr">
        <is>
          <t>BillerudKorsnäs AB</t>
        </is>
      </c>
      <c r="G43" t="n">
        <v>1.8</v>
      </c>
      <c r="H43" t="n">
        <v>1</v>
      </c>
      <c r="I43" t="n">
        <v>0</v>
      </c>
      <c r="J43" t="n">
        <v>0</v>
      </c>
      <c r="K43" t="n">
        <v>0</v>
      </c>
      <c r="L43" t="n">
        <v>0</v>
      </c>
      <c r="M43" t="n">
        <v>0</v>
      </c>
      <c r="N43" t="n">
        <v>0</v>
      </c>
      <c r="O43" t="n">
        <v>0</v>
      </c>
      <c r="P43" t="n">
        <v>0</v>
      </c>
      <c r="Q43" t="n">
        <v>1</v>
      </c>
      <c r="R43" s="2" t="inlineStr">
        <is>
          <t>Blåsippa</t>
        </is>
      </c>
      <c r="S43">
        <f>HYPERLINK("https://klasma.github.io/Logging_1885/artfynd/A 6192-2025 artfynd.xlsx", "A 6192-2025")</f>
        <v/>
      </c>
      <c r="T43">
        <f>HYPERLINK("https://klasma.github.io/Logging_1885/kartor/A 6192-2025 karta.png", "A 6192-2025")</f>
        <v/>
      </c>
      <c r="V43">
        <f>HYPERLINK("https://klasma.github.io/Logging_1885/klagomål/A 6192-2025 FSC-klagomål.docx", "A 6192-2025")</f>
        <v/>
      </c>
      <c r="W43">
        <f>HYPERLINK("https://klasma.github.io/Logging_1885/klagomålsmail/A 6192-2025 FSC-klagomål mail.docx", "A 6192-2025")</f>
        <v/>
      </c>
      <c r="X43">
        <f>HYPERLINK("https://klasma.github.io/Logging_1885/tillsyn/A 6192-2025 tillsynsbegäran.docx", "A 6192-2025")</f>
        <v/>
      </c>
      <c r="Y43">
        <f>HYPERLINK("https://klasma.github.io/Logging_1885/tillsynsmail/A 6192-2025 tillsynsbegäran mail.docx", "A 6192-2025")</f>
        <v/>
      </c>
    </row>
    <row r="44" ht="15" customHeight="1">
      <c r="A44" t="inlineStr">
        <is>
          <t>A 21440-2025</t>
        </is>
      </c>
      <c r="B44" s="1" t="n">
        <v>45782.5300462963</v>
      </c>
      <c r="C44" s="1" t="n">
        <v>45963</v>
      </c>
      <c r="D44" t="inlineStr">
        <is>
          <t>ÖREBRO LÄN</t>
        </is>
      </c>
      <c r="E44" t="inlineStr">
        <is>
          <t>LINDESBERG</t>
        </is>
      </c>
      <c r="F44" t="inlineStr">
        <is>
          <t>Sveaskog</t>
        </is>
      </c>
      <c r="G44" t="n">
        <v>1.3</v>
      </c>
      <c r="H44" t="n">
        <v>0</v>
      </c>
      <c r="I44" t="n">
        <v>0</v>
      </c>
      <c r="J44" t="n">
        <v>1</v>
      </c>
      <c r="K44" t="n">
        <v>0</v>
      </c>
      <c r="L44" t="n">
        <v>0</v>
      </c>
      <c r="M44" t="n">
        <v>0</v>
      </c>
      <c r="N44" t="n">
        <v>0</v>
      </c>
      <c r="O44" t="n">
        <v>1</v>
      </c>
      <c r="P44" t="n">
        <v>0</v>
      </c>
      <c r="Q44" t="n">
        <v>1</v>
      </c>
      <c r="R44" s="2" t="inlineStr">
        <is>
          <t>Motaggsvamp</t>
        </is>
      </c>
      <c r="S44">
        <f>HYPERLINK("https://klasma.github.io/Logging_1885/artfynd/A 21440-2025 artfynd.xlsx", "A 21440-2025")</f>
        <v/>
      </c>
      <c r="T44">
        <f>HYPERLINK("https://klasma.github.io/Logging_1885/kartor/A 21440-2025 karta.png", "A 21440-2025")</f>
        <v/>
      </c>
      <c r="V44">
        <f>HYPERLINK("https://klasma.github.io/Logging_1885/klagomål/A 21440-2025 FSC-klagomål.docx", "A 21440-2025")</f>
        <v/>
      </c>
      <c r="W44">
        <f>HYPERLINK("https://klasma.github.io/Logging_1885/klagomålsmail/A 21440-2025 FSC-klagomål mail.docx", "A 21440-2025")</f>
        <v/>
      </c>
      <c r="X44">
        <f>HYPERLINK("https://klasma.github.io/Logging_1885/tillsyn/A 21440-2025 tillsynsbegäran.docx", "A 21440-2025")</f>
        <v/>
      </c>
      <c r="Y44">
        <f>HYPERLINK("https://klasma.github.io/Logging_1885/tillsynsmail/A 21440-2025 tillsynsbegäran mail.docx", "A 21440-2025")</f>
        <v/>
      </c>
    </row>
    <row r="45" ht="15" customHeight="1">
      <c r="A45" t="inlineStr">
        <is>
          <t>A 21779-2025</t>
        </is>
      </c>
      <c r="B45" s="1" t="n">
        <v>45783.66537037037</v>
      </c>
      <c r="C45" s="1" t="n">
        <v>45963</v>
      </c>
      <c r="D45" t="inlineStr">
        <is>
          <t>ÖREBRO LÄN</t>
        </is>
      </c>
      <c r="E45" t="inlineStr">
        <is>
          <t>LINDESBERG</t>
        </is>
      </c>
      <c r="G45" t="n">
        <v>8.5</v>
      </c>
      <c r="H45" t="n">
        <v>1</v>
      </c>
      <c r="I45" t="n">
        <v>0</v>
      </c>
      <c r="J45" t="n">
        <v>0</v>
      </c>
      <c r="K45" t="n">
        <v>0</v>
      </c>
      <c r="L45" t="n">
        <v>0</v>
      </c>
      <c r="M45" t="n">
        <v>0</v>
      </c>
      <c r="N45" t="n">
        <v>0</v>
      </c>
      <c r="O45" t="n">
        <v>0</v>
      </c>
      <c r="P45" t="n">
        <v>0</v>
      </c>
      <c r="Q45" t="n">
        <v>1</v>
      </c>
      <c r="R45" s="2" t="inlineStr">
        <is>
          <t>Mindre vattensalamander</t>
        </is>
      </c>
      <c r="S45">
        <f>HYPERLINK("https://klasma.github.io/Logging_1885/artfynd/A 21779-2025 artfynd.xlsx", "A 21779-2025")</f>
        <v/>
      </c>
      <c r="T45">
        <f>HYPERLINK("https://klasma.github.io/Logging_1885/kartor/A 21779-2025 karta.png", "A 21779-2025")</f>
        <v/>
      </c>
      <c r="V45">
        <f>HYPERLINK("https://klasma.github.io/Logging_1885/klagomål/A 21779-2025 FSC-klagomål.docx", "A 21779-2025")</f>
        <v/>
      </c>
      <c r="W45">
        <f>HYPERLINK("https://klasma.github.io/Logging_1885/klagomålsmail/A 21779-2025 FSC-klagomål mail.docx", "A 21779-2025")</f>
        <v/>
      </c>
      <c r="X45">
        <f>HYPERLINK("https://klasma.github.io/Logging_1885/tillsyn/A 21779-2025 tillsynsbegäran.docx", "A 21779-2025")</f>
        <v/>
      </c>
      <c r="Y45">
        <f>HYPERLINK("https://klasma.github.io/Logging_1885/tillsynsmail/A 21779-2025 tillsynsbegäran mail.docx", "A 21779-2025")</f>
        <v/>
      </c>
    </row>
    <row r="46" ht="15" customHeight="1">
      <c r="A46" t="inlineStr">
        <is>
          <t>A 3729-2023</t>
        </is>
      </c>
      <c r="B46" s="1" t="n">
        <v>44949</v>
      </c>
      <c r="C46" s="1" t="n">
        <v>45963</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28569-2024</t>
        </is>
      </c>
      <c r="B47" s="1" t="n">
        <v>45478.39592592593</v>
      </c>
      <c r="C47" s="1" t="n">
        <v>45963</v>
      </c>
      <c r="D47" t="inlineStr">
        <is>
          <t>ÖREBRO LÄN</t>
        </is>
      </c>
      <c r="E47" t="inlineStr">
        <is>
          <t>LINDESBERG</t>
        </is>
      </c>
      <c r="F47" t="inlineStr">
        <is>
          <t>Sveaskog</t>
        </is>
      </c>
      <c r="G47" t="n">
        <v>2.6</v>
      </c>
      <c r="H47" t="n">
        <v>0</v>
      </c>
      <c r="I47" t="n">
        <v>0</v>
      </c>
      <c r="J47" t="n">
        <v>1</v>
      </c>
      <c r="K47" t="n">
        <v>0</v>
      </c>
      <c r="L47" t="n">
        <v>0</v>
      </c>
      <c r="M47" t="n">
        <v>0</v>
      </c>
      <c r="N47" t="n">
        <v>0</v>
      </c>
      <c r="O47" t="n">
        <v>1</v>
      </c>
      <c r="P47" t="n">
        <v>0</v>
      </c>
      <c r="Q47" t="n">
        <v>1</v>
      </c>
      <c r="R47" s="2" t="inlineStr">
        <is>
          <t>Granticka</t>
        </is>
      </c>
      <c r="S47">
        <f>HYPERLINK("https://klasma.github.io/Logging_1885/artfynd/A 28569-2024 artfynd.xlsx", "A 28569-2024")</f>
        <v/>
      </c>
      <c r="T47">
        <f>HYPERLINK("https://klasma.github.io/Logging_1885/kartor/A 28569-2024 karta.png", "A 28569-2024")</f>
        <v/>
      </c>
      <c r="V47">
        <f>HYPERLINK("https://klasma.github.io/Logging_1885/klagomål/A 28569-2024 FSC-klagomål.docx", "A 28569-2024")</f>
        <v/>
      </c>
      <c r="W47">
        <f>HYPERLINK("https://klasma.github.io/Logging_1885/klagomålsmail/A 28569-2024 FSC-klagomål mail.docx", "A 28569-2024")</f>
        <v/>
      </c>
      <c r="X47">
        <f>HYPERLINK("https://klasma.github.io/Logging_1885/tillsyn/A 28569-2024 tillsynsbegäran.docx", "A 28569-2024")</f>
        <v/>
      </c>
      <c r="Y47">
        <f>HYPERLINK("https://klasma.github.io/Logging_1885/tillsynsmail/A 28569-2024 tillsynsbegäran mail.docx", "A 28569-2024")</f>
        <v/>
      </c>
    </row>
    <row r="48" ht="15" customHeight="1">
      <c r="A48" t="inlineStr">
        <is>
          <t>A 64513-2023</t>
        </is>
      </c>
      <c r="B48" s="1" t="n">
        <v>45281</v>
      </c>
      <c r="C48" s="1" t="n">
        <v>45963</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45963</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53600-2024</t>
        </is>
      </c>
      <c r="B50" s="1" t="n">
        <v>45614.68596064814</v>
      </c>
      <c r="C50" s="1" t="n">
        <v>45963</v>
      </c>
      <c r="D50" t="inlineStr">
        <is>
          <t>ÖREBRO LÄN</t>
        </is>
      </c>
      <c r="E50" t="inlineStr">
        <is>
          <t>LINDESBERG</t>
        </is>
      </c>
      <c r="G50" t="n">
        <v>2.2</v>
      </c>
      <c r="H50" t="n">
        <v>1</v>
      </c>
      <c r="I50" t="n">
        <v>0</v>
      </c>
      <c r="J50" t="n">
        <v>0</v>
      </c>
      <c r="K50" t="n">
        <v>0</v>
      </c>
      <c r="L50" t="n">
        <v>1</v>
      </c>
      <c r="M50" t="n">
        <v>0</v>
      </c>
      <c r="N50" t="n">
        <v>0</v>
      </c>
      <c r="O50" t="n">
        <v>1</v>
      </c>
      <c r="P50" t="n">
        <v>1</v>
      </c>
      <c r="Q50" t="n">
        <v>1</v>
      </c>
      <c r="R50" s="2" t="inlineStr">
        <is>
          <t>Asknätfjäril</t>
        </is>
      </c>
      <c r="S50">
        <f>HYPERLINK("https://klasma.github.io/Logging_1885/artfynd/A 53600-2024 artfynd.xlsx", "A 53600-2024")</f>
        <v/>
      </c>
      <c r="T50">
        <f>HYPERLINK("https://klasma.github.io/Logging_1885/kartor/A 53600-2024 karta.png", "A 53600-2024")</f>
        <v/>
      </c>
      <c r="V50">
        <f>HYPERLINK("https://klasma.github.io/Logging_1885/klagomål/A 53600-2024 FSC-klagomål.docx", "A 53600-2024")</f>
        <v/>
      </c>
      <c r="W50">
        <f>HYPERLINK("https://klasma.github.io/Logging_1885/klagomålsmail/A 53600-2024 FSC-klagomål mail.docx", "A 53600-2024")</f>
        <v/>
      </c>
      <c r="X50">
        <f>HYPERLINK("https://klasma.github.io/Logging_1885/tillsyn/A 53600-2024 tillsynsbegäran.docx", "A 53600-2024")</f>
        <v/>
      </c>
      <c r="Y50">
        <f>HYPERLINK("https://klasma.github.io/Logging_1885/tillsynsmail/A 53600-2024 tillsynsbegäran mail.docx", "A 53600-2024")</f>
        <v/>
      </c>
    </row>
    <row r="51" ht="15" customHeight="1">
      <c r="A51" t="inlineStr">
        <is>
          <t>A 31052-2025</t>
        </is>
      </c>
      <c r="B51" s="1" t="n">
        <v>45832.56153935185</v>
      </c>
      <c r="C51" s="1" t="n">
        <v>45963</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70466-2021</t>
        </is>
      </c>
      <c r="B52" s="1" t="n">
        <v>44536</v>
      </c>
      <c r="C52" s="1" t="n">
        <v>45963</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34266-2025</t>
        </is>
      </c>
      <c r="B53" s="1" t="n">
        <v>45845.75751157408</v>
      </c>
      <c r="C53" s="1" t="n">
        <v>45963</v>
      </c>
      <c r="D53" t="inlineStr">
        <is>
          <t>ÖREBRO LÄN</t>
        </is>
      </c>
      <c r="E53" t="inlineStr">
        <is>
          <t>LINDESBERG</t>
        </is>
      </c>
      <c r="G53" t="n">
        <v>4.5</v>
      </c>
      <c r="H53" t="n">
        <v>0</v>
      </c>
      <c r="I53" t="n">
        <v>1</v>
      </c>
      <c r="J53" t="n">
        <v>0</v>
      </c>
      <c r="K53" t="n">
        <v>0</v>
      </c>
      <c r="L53" t="n">
        <v>0</v>
      </c>
      <c r="M53" t="n">
        <v>0</v>
      </c>
      <c r="N53" t="n">
        <v>0</v>
      </c>
      <c r="O53" t="n">
        <v>0</v>
      </c>
      <c r="P53" t="n">
        <v>0</v>
      </c>
      <c r="Q53" t="n">
        <v>1</v>
      </c>
      <c r="R53" s="2" t="inlineStr">
        <is>
          <t>Dropptaggsvamp</t>
        </is>
      </c>
      <c r="S53">
        <f>HYPERLINK("https://klasma.github.io/Logging_1885/artfynd/A 34266-2025 artfynd.xlsx", "A 34266-2025")</f>
        <v/>
      </c>
      <c r="T53">
        <f>HYPERLINK("https://klasma.github.io/Logging_1885/kartor/A 34266-2025 karta.png", "A 34266-2025")</f>
        <v/>
      </c>
      <c r="V53">
        <f>HYPERLINK("https://klasma.github.io/Logging_1885/klagomål/A 34266-2025 FSC-klagomål.docx", "A 34266-2025")</f>
        <v/>
      </c>
      <c r="W53">
        <f>HYPERLINK("https://klasma.github.io/Logging_1885/klagomålsmail/A 34266-2025 FSC-klagomål mail.docx", "A 34266-2025")</f>
        <v/>
      </c>
      <c r="X53">
        <f>HYPERLINK("https://klasma.github.io/Logging_1885/tillsyn/A 34266-2025 tillsynsbegäran.docx", "A 34266-2025")</f>
        <v/>
      </c>
      <c r="Y53">
        <f>HYPERLINK("https://klasma.github.io/Logging_1885/tillsynsmail/A 34266-2025 tillsynsbegäran mail.docx", "A 34266-2025")</f>
        <v/>
      </c>
    </row>
    <row r="54" ht="15" customHeight="1">
      <c r="A54" t="inlineStr">
        <is>
          <t>A 58206-2023</t>
        </is>
      </c>
      <c r="B54" s="1" t="n">
        <v>45250</v>
      </c>
      <c r="C54" s="1" t="n">
        <v>45963</v>
      </c>
      <c r="D54" t="inlineStr">
        <is>
          <t>ÖREBRO LÄN</t>
        </is>
      </c>
      <c r="E54" t="inlineStr">
        <is>
          <t>LINDESBERG</t>
        </is>
      </c>
      <c r="F54" t="inlineStr">
        <is>
          <t>Sveaskog</t>
        </is>
      </c>
      <c r="G54" t="n">
        <v>1.4</v>
      </c>
      <c r="H54" t="n">
        <v>1</v>
      </c>
      <c r="I54" t="n">
        <v>0</v>
      </c>
      <c r="J54" t="n">
        <v>0</v>
      </c>
      <c r="K54" t="n">
        <v>0</v>
      </c>
      <c r="L54" t="n">
        <v>0</v>
      </c>
      <c r="M54" t="n">
        <v>0</v>
      </c>
      <c r="N54" t="n">
        <v>0</v>
      </c>
      <c r="O54" t="n">
        <v>0</v>
      </c>
      <c r="P54" t="n">
        <v>0</v>
      </c>
      <c r="Q54" t="n">
        <v>1</v>
      </c>
      <c r="R54" s="2" t="inlineStr">
        <is>
          <t>Fläcknycklar</t>
        </is>
      </c>
      <c r="S54">
        <f>HYPERLINK("https://klasma.github.io/Logging_1885/artfynd/A 58206-2023 artfynd.xlsx", "A 58206-2023")</f>
        <v/>
      </c>
      <c r="T54">
        <f>HYPERLINK("https://klasma.github.io/Logging_1885/kartor/A 58206-2023 karta.png", "A 58206-2023")</f>
        <v/>
      </c>
      <c r="V54">
        <f>HYPERLINK("https://klasma.github.io/Logging_1885/klagomål/A 58206-2023 FSC-klagomål.docx", "A 58206-2023")</f>
        <v/>
      </c>
      <c r="W54">
        <f>HYPERLINK("https://klasma.github.io/Logging_1885/klagomålsmail/A 58206-2023 FSC-klagomål mail.docx", "A 58206-2023")</f>
        <v/>
      </c>
      <c r="X54">
        <f>HYPERLINK("https://klasma.github.io/Logging_1885/tillsyn/A 58206-2023 tillsynsbegäran.docx", "A 58206-2023")</f>
        <v/>
      </c>
      <c r="Y54">
        <f>HYPERLINK("https://klasma.github.io/Logging_1885/tillsynsmail/A 58206-2023 tillsynsbegäran mail.docx", "A 58206-2023")</f>
        <v/>
      </c>
    </row>
    <row r="55" ht="15" customHeight="1">
      <c r="A55" t="inlineStr">
        <is>
          <t>A 36669-2024</t>
        </is>
      </c>
      <c r="B55" s="1" t="n">
        <v>45537.64484953704</v>
      </c>
      <c r="C55" s="1" t="n">
        <v>45963</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67013-2021</t>
        </is>
      </c>
      <c r="B56" s="1" t="n">
        <v>44522</v>
      </c>
      <c r="C56" s="1" t="n">
        <v>45963</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45467-2025</t>
        </is>
      </c>
      <c r="B57" s="1" t="n">
        <v>45922.49990740741</v>
      </c>
      <c r="C57" s="1" t="n">
        <v>45963</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37834-2025</t>
        </is>
      </c>
      <c r="B58" s="1" t="n">
        <v>45881.42446759259</v>
      </c>
      <c r="C58" s="1" t="n">
        <v>45963</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28787-2023</t>
        </is>
      </c>
      <c r="B59" s="1" t="n">
        <v>45104.3483912037</v>
      </c>
      <c r="C59" s="1" t="n">
        <v>45963</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48956-2025</t>
        </is>
      </c>
      <c r="B60" s="1" t="n">
        <v>45937.54982638889</v>
      </c>
      <c r="C60" s="1" t="n">
        <v>45963</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30347-2025</t>
        </is>
      </c>
      <c r="B61" s="1" t="n">
        <v>45827.53077546296</v>
      </c>
      <c r="C61" s="1" t="n">
        <v>45963</v>
      </c>
      <c r="D61" t="inlineStr">
        <is>
          <t>ÖREBRO LÄN</t>
        </is>
      </c>
      <c r="E61" t="inlineStr">
        <is>
          <t>LINDESBERG</t>
        </is>
      </c>
      <c r="F61" t="inlineStr">
        <is>
          <t>Sveaskog</t>
        </is>
      </c>
      <c r="G61" t="n">
        <v>4.6</v>
      </c>
      <c r="H61" t="n">
        <v>1</v>
      </c>
      <c r="I61" t="n">
        <v>0</v>
      </c>
      <c r="J61" t="n">
        <v>1</v>
      </c>
      <c r="K61" t="n">
        <v>0</v>
      </c>
      <c r="L61" t="n">
        <v>0</v>
      </c>
      <c r="M61" t="n">
        <v>0</v>
      </c>
      <c r="N61" t="n">
        <v>0</v>
      </c>
      <c r="O61" t="n">
        <v>1</v>
      </c>
      <c r="P61" t="n">
        <v>0</v>
      </c>
      <c r="Q61" t="n">
        <v>1</v>
      </c>
      <c r="R61" s="2" t="inlineStr">
        <is>
          <t>Järpe</t>
        </is>
      </c>
      <c r="S61">
        <f>HYPERLINK("https://klasma.github.io/Logging_1885/artfynd/A 30347-2025 artfynd.xlsx", "A 30347-2025")</f>
        <v/>
      </c>
      <c r="T61">
        <f>HYPERLINK("https://klasma.github.io/Logging_1885/kartor/A 30347-2025 karta.png", "A 30347-2025")</f>
        <v/>
      </c>
      <c r="V61">
        <f>HYPERLINK("https://klasma.github.io/Logging_1885/klagomål/A 30347-2025 FSC-klagomål.docx", "A 30347-2025")</f>
        <v/>
      </c>
      <c r="W61">
        <f>HYPERLINK("https://klasma.github.io/Logging_1885/klagomålsmail/A 30347-2025 FSC-klagomål mail.docx", "A 30347-2025")</f>
        <v/>
      </c>
      <c r="X61">
        <f>HYPERLINK("https://klasma.github.io/Logging_1885/tillsyn/A 30347-2025 tillsynsbegäran.docx", "A 30347-2025")</f>
        <v/>
      </c>
      <c r="Y61">
        <f>HYPERLINK("https://klasma.github.io/Logging_1885/tillsynsmail/A 30347-2025 tillsynsbegäran mail.docx", "A 30347-2025")</f>
        <v/>
      </c>
      <c r="Z61">
        <f>HYPERLINK("https://klasma.github.io/Logging_1885/fåglar/A 30347-2025 prioriterade fågelarter.docx", "A 30347-2025")</f>
        <v/>
      </c>
    </row>
    <row r="62" ht="15" customHeight="1">
      <c r="A62" t="inlineStr">
        <is>
          <t>A 50777-2025</t>
        </is>
      </c>
      <c r="B62" s="1" t="n">
        <v>45946.45171296296</v>
      </c>
      <c r="C62" s="1" t="n">
        <v>45963</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50768-2025</t>
        </is>
      </c>
      <c r="B63" s="1" t="n">
        <v>45946.44790509259</v>
      </c>
      <c r="C63" s="1" t="n">
        <v>45963</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50766-2025</t>
        </is>
      </c>
      <c r="B64" s="1" t="n">
        <v>45946.44423611111</v>
      </c>
      <c r="C64" s="1" t="n">
        <v>45963</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52105-2025</t>
        </is>
      </c>
      <c r="B65" s="1" t="n">
        <v>45952.68596064814</v>
      </c>
      <c r="C65" s="1" t="n">
        <v>45963</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45963</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59721-2020</t>
        </is>
      </c>
      <c r="B67" s="1" t="n">
        <v>44151</v>
      </c>
      <c r="C67" s="1" t="n">
        <v>45963</v>
      </c>
      <c r="D67" t="inlineStr">
        <is>
          <t>ÖREBRO LÄN</t>
        </is>
      </c>
      <c r="E67" t="inlineStr">
        <is>
          <t>LINDESBERG</t>
        </is>
      </c>
      <c r="G67" t="n">
        <v>0.8</v>
      </c>
      <c r="H67" t="n">
        <v>0</v>
      </c>
      <c r="I67" t="n">
        <v>0</v>
      </c>
      <c r="J67" t="n">
        <v>0</v>
      </c>
      <c r="K67" t="n">
        <v>0</v>
      </c>
      <c r="L67" t="n">
        <v>0</v>
      </c>
      <c r="M67" t="n">
        <v>0</v>
      </c>
      <c r="N67" t="n">
        <v>0</v>
      </c>
      <c r="O67" t="n">
        <v>0</v>
      </c>
      <c r="P67" t="n">
        <v>0</v>
      </c>
      <c r="Q67" t="n">
        <v>0</v>
      </c>
      <c r="R67" s="2" t="inlineStr"/>
    </row>
    <row r="68" ht="15" customHeight="1">
      <c r="A68" t="inlineStr">
        <is>
          <t>A 7738-2021</t>
        </is>
      </c>
      <c r="B68" s="1" t="n">
        <v>44242</v>
      </c>
      <c r="C68" s="1" t="n">
        <v>45963</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10963-2021</t>
        </is>
      </c>
      <c r="B69" s="1" t="n">
        <v>44260.30453703704</v>
      </c>
      <c r="C69" s="1" t="n">
        <v>45963</v>
      </c>
      <c r="D69" t="inlineStr">
        <is>
          <t>ÖREBRO LÄN</t>
        </is>
      </c>
      <c r="E69" t="inlineStr">
        <is>
          <t>LINDESBERG</t>
        </is>
      </c>
      <c r="G69" t="n">
        <v>5</v>
      </c>
      <c r="H69" t="n">
        <v>0</v>
      </c>
      <c r="I69" t="n">
        <v>0</v>
      </c>
      <c r="J69" t="n">
        <v>0</v>
      </c>
      <c r="K69" t="n">
        <v>0</v>
      </c>
      <c r="L69" t="n">
        <v>0</v>
      </c>
      <c r="M69" t="n">
        <v>0</v>
      </c>
      <c r="N69" t="n">
        <v>0</v>
      </c>
      <c r="O69" t="n">
        <v>0</v>
      </c>
      <c r="P69" t="n">
        <v>0</v>
      </c>
      <c r="Q69" t="n">
        <v>0</v>
      </c>
      <c r="R69" s="2" t="inlineStr"/>
    </row>
    <row r="70" ht="15" customHeight="1">
      <c r="A70" t="inlineStr">
        <is>
          <t>A 16990-2021</t>
        </is>
      </c>
      <c r="B70" s="1" t="n">
        <v>44295.61297453703</v>
      </c>
      <c r="C70" s="1" t="n">
        <v>45963</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56049-2022</t>
        </is>
      </c>
      <c r="B71" s="1" t="n">
        <v>44889.5746875</v>
      </c>
      <c r="C71" s="1" t="n">
        <v>45963</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12609-2021</t>
        </is>
      </c>
      <c r="B72" s="1" t="n">
        <v>44267</v>
      </c>
      <c r="C72" s="1" t="n">
        <v>45963</v>
      </c>
      <c r="D72" t="inlineStr">
        <is>
          <t>ÖREBRO LÄN</t>
        </is>
      </c>
      <c r="E72" t="inlineStr">
        <is>
          <t>LINDESBERG</t>
        </is>
      </c>
      <c r="G72" t="n">
        <v>10.9</v>
      </c>
      <c r="H72" t="n">
        <v>0</v>
      </c>
      <c r="I72" t="n">
        <v>0</v>
      </c>
      <c r="J72" t="n">
        <v>0</v>
      </c>
      <c r="K72" t="n">
        <v>0</v>
      </c>
      <c r="L72" t="n">
        <v>0</v>
      </c>
      <c r="M72" t="n">
        <v>0</v>
      </c>
      <c r="N72" t="n">
        <v>0</v>
      </c>
      <c r="O72" t="n">
        <v>0</v>
      </c>
      <c r="P72" t="n">
        <v>0</v>
      </c>
      <c r="Q72" t="n">
        <v>0</v>
      </c>
      <c r="R72" s="2" t="inlineStr"/>
    </row>
    <row r="73" ht="15" customHeight="1">
      <c r="A73" t="inlineStr">
        <is>
          <t>A 43154-2021</t>
        </is>
      </c>
      <c r="B73" s="1" t="n">
        <v>44431.69783564815</v>
      </c>
      <c r="C73" s="1" t="n">
        <v>45963</v>
      </c>
      <c r="D73" t="inlineStr">
        <is>
          <t>ÖREBRO LÄN</t>
        </is>
      </c>
      <c r="E73" t="inlineStr">
        <is>
          <t>LINDESBERG</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47457-2022</t>
        </is>
      </c>
      <c r="B74" s="1" t="n">
        <v>44853.61925925926</v>
      </c>
      <c r="C74" s="1" t="n">
        <v>45963</v>
      </c>
      <c r="D74" t="inlineStr">
        <is>
          <t>ÖREBRO LÄN</t>
        </is>
      </c>
      <c r="E74" t="inlineStr">
        <is>
          <t>LINDESBERG</t>
        </is>
      </c>
      <c r="G74" t="n">
        <v>3.7</v>
      </c>
      <c r="H74" t="n">
        <v>0</v>
      </c>
      <c r="I74" t="n">
        <v>0</v>
      </c>
      <c r="J74" t="n">
        <v>0</v>
      </c>
      <c r="K74" t="n">
        <v>0</v>
      </c>
      <c r="L74" t="n">
        <v>0</v>
      </c>
      <c r="M74" t="n">
        <v>0</v>
      </c>
      <c r="N74" t="n">
        <v>0</v>
      </c>
      <c r="O74" t="n">
        <v>0</v>
      </c>
      <c r="P74" t="n">
        <v>0</v>
      </c>
      <c r="Q74" t="n">
        <v>0</v>
      </c>
      <c r="R74" s="2" t="inlineStr"/>
    </row>
    <row r="75" ht="15" customHeight="1">
      <c r="A75" t="inlineStr">
        <is>
          <t>A 60302-2021</t>
        </is>
      </c>
      <c r="B75" s="1" t="n">
        <v>44495.87667824074</v>
      </c>
      <c r="C75" s="1" t="n">
        <v>45963</v>
      </c>
      <c r="D75" t="inlineStr">
        <is>
          <t>ÖREBRO LÄN</t>
        </is>
      </c>
      <c r="E75" t="inlineStr">
        <is>
          <t>LINDESBERG</t>
        </is>
      </c>
      <c r="G75" t="n">
        <v>3.2</v>
      </c>
      <c r="H75" t="n">
        <v>0</v>
      </c>
      <c r="I75" t="n">
        <v>0</v>
      </c>
      <c r="J75" t="n">
        <v>0</v>
      </c>
      <c r="K75" t="n">
        <v>0</v>
      </c>
      <c r="L75" t="n">
        <v>0</v>
      </c>
      <c r="M75" t="n">
        <v>0</v>
      </c>
      <c r="N75" t="n">
        <v>0</v>
      </c>
      <c r="O75" t="n">
        <v>0</v>
      </c>
      <c r="P75" t="n">
        <v>0</v>
      </c>
      <c r="Q75" t="n">
        <v>0</v>
      </c>
      <c r="R75" s="2" t="inlineStr"/>
    </row>
    <row r="76" ht="15" customHeight="1">
      <c r="A76" t="inlineStr">
        <is>
          <t>A 47336-2021</t>
        </is>
      </c>
      <c r="B76" s="1" t="n">
        <v>44447.51184027778</v>
      </c>
      <c r="C76" s="1" t="n">
        <v>45963</v>
      </c>
      <c r="D76" t="inlineStr">
        <is>
          <t>ÖREBRO LÄN</t>
        </is>
      </c>
      <c r="E76" t="inlineStr">
        <is>
          <t>LINDESBERG</t>
        </is>
      </c>
      <c r="F76" t="inlineStr">
        <is>
          <t>Kommuner</t>
        </is>
      </c>
      <c r="G76" t="n">
        <v>3.6</v>
      </c>
      <c r="H76" t="n">
        <v>0</v>
      </c>
      <c r="I76" t="n">
        <v>0</v>
      </c>
      <c r="J76" t="n">
        <v>0</v>
      </c>
      <c r="K76" t="n">
        <v>0</v>
      </c>
      <c r="L76" t="n">
        <v>0</v>
      </c>
      <c r="M76" t="n">
        <v>0</v>
      </c>
      <c r="N76" t="n">
        <v>0</v>
      </c>
      <c r="O76" t="n">
        <v>0</v>
      </c>
      <c r="P76" t="n">
        <v>0</v>
      </c>
      <c r="Q76" t="n">
        <v>0</v>
      </c>
      <c r="R76" s="2" t="inlineStr"/>
    </row>
    <row r="77" ht="15" customHeight="1">
      <c r="A77" t="inlineStr">
        <is>
          <t>A 48986-2021</t>
        </is>
      </c>
      <c r="B77" s="1" t="n">
        <v>44453</v>
      </c>
      <c r="C77" s="1" t="n">
        <v>45963</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4982-2021</t>
        </is>
      </c>
      <c r="B78" s="1" t="n">
        <v>44228</v>
      </c>
      <c r="C78" s="1" t="n">
        <v>45963</v>
      </c>
      <c r="D78" t="inlineStr">
        <is>
          <t>ÖREBRO LÄN</t>
        </is>
      </c>
      <c r="E78" t="inlineStr">
        <is>
          <t>LINDESBERG</t>
        </is>
      </c>
      <c r="G78" t="n">
        <v>1.3</v>
      </c>
      <c r="H78" t="n">
        <v>0</v>
      </c>
      <c r="I78" t="n">
        <v>0</v>
      </c>
      <c r="J78" t="n">
        <v>0</v>
      </c>
      <c r="K78" t="n">
        <v>0</v>
      </c>
      <c r="L78" t="n">
        <v>0</v>
      </c>
      <c r="M78" t="n">
        <v>0</v>
      </c>
      <c r="N78" t="n">
        <v>0</v>
      </c>
      <c r="O78" t="n">
        <v>0</v>
      </c>
      <c r="P78" t="n">
        <v>0</v>
      </c>
      <c r="Q78" t="n">
        <v>0</v>
      </c>
      <c r="R78" s="2" t="inlineStr"/>
    </row>
    <row r="79" ht="15" customHeight="1">
      <c r="A79" t="inlineStr">
        <is>
          <t>A 46570-2021</t>
        </is>
      </c>
      <c r="B79" s="1" t="n">
        <v>44445.4953587963</v>
      </c>
      <c r="C79" s="1" t="n">
        <v>45963</v>
      </c>
      <c r="D79" t="inlineStr">
        <is>
          <t>ÖREBRO LÄN</t>
        </is>
      </c>
      <c r="E79" t="inlineStr">
        <is>
          <t>LINDESBERG</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57817-2021</t>
        </is>
      </c>
      <c r="B80" s="1" t="n">
        <v>44484</v>
      </c>
      <c r="C80" s="1" t="n">
        <v>45963</v>
      </c>
      <c r="D80" t="inlineStr">
        <is>
          <t>ÖREBRO LÄN</t>
        </is>
      </c>
      <c r="E80" t="inlineStr">
        <is>
          <t>LINDESBERG</t>
        </is>
      </c>
      <c r="G80" t="n">
        <v>2.3</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45963</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45963</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45963</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45963</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45963</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45963</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45963</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45963</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45963</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45963</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45963</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45963</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45963</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45963</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45963</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45963</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45963</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45963</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45963</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23971-2022</t>
        </is>
      </c>
      <c r="B100" s="1" t="n">
        <v>44722.78552083333</v>
      </c>
      <c r="C100" s="1" t="n">
        <v>45963</v>
      </c>
      <c r="D100" t="inlineStr">
        <is>
          <t>ÖREBRO LÄN</t>
        </is>
      </c>
      <c r="E100" t="inlineStr">
        <is>
          <t>LINDESBERG</t>
        </is>
      </c>
      <c r="G100" t="n">
        <v>6.1</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45963</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49743-2022</t>
        </is>
      </c>
      <c r="B102" s="1" t="n">
        <v>44862</v>
      </c>
      <c r="C102" s="1" t="n">
        <v>45963</v>
      </c>
      <c r="D102" t="inlineStr">
        <is>
          <t>ÖREBRO LÄN</t>
        </is>
      </c>
      <c r="E102" t="inlineStr">
        <is>
          <t>LINDESBERG</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64864-2020</t>
        </is>
      </c>
      <c r="B103" s="1" t="n">
        <v>44171</v>
      </c>
      <c r="C103" s="1" t="n">
        <v>45963</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45963</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56695-2021</t>
        </is>
      </c>
      <c r="B105" s="1" t="n">
        <v>44481</v>
      </c>
      <c r="C105" s="1" t="n">
        <v>45963</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12522-2022</t>
        </is>
      </c>
      <c r="B106" s="1" t="n">
        <v>44638</v>
      </c>
      <c r="C106" s="1" t="n">
        <v>45963</v>
      </c>
      <c r="D106" t="inlineStr">
        <is>
          <t>ÖREBRO LÄN</t>
        </is>
      </c>
      <c r="E106" t="inlineStr">
        <is>
          <t>LINDESBERG</t>
        </is>
      </c>
      <c r="G106" t="n">
        <v>6.2</v>
      </c>
      <c r="H106" t="n">
        <v>0</v>
      </c>
      <c r="I106" t="n">
        <v>0</v>
      </c>
      <c r="J106" t="n">
        <v>0</v>
      </c>
      <c r="K106" t="n">
        <v>0</v>
      </c>
      <c r="L106" t="n">
        <v>0</v>
      </c>
      <c r="M106" t="n">
        <v>0</v>
      </c>
      <c r="N106" t="n">
        <v>0</v>
      </c>
      <c r="O106" t="n">
        <v>0</v>
      </c>
      <c r="P106" t="n">
        <v>0</v>
      </c>
      <c r="Q106" t="n">
        <v>0</v>
      </c>
      <c r="R106" s="2" t="inlineStr"/>
    </row>
    <row r="107" ht="15" customHeight="1">
      <c r="A107" t="inlineStr">
        <is>
          <t>A 29623-2022</t>
        </is>
      </c>
      <c r="B107" s="1" t="n">
        <v>44754</v>
      </c>
      <c r="C107" s="1" t="n">
        <v>45963</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22738-2022</t>
        </is>
      </c>
      <c r="B108" s="1" t="n">
        <v>44714</v>
      </c>
      <c r="C108" s="1" t="n">
        <v>45963</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45963</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45963</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45963</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45963</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45963</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45963</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45963</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45963</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45963</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45963</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45963</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45963</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45963</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45963</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45963</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53153-2021</t>
        </is>
      </c>
      <c r="B124" s="1" t="n">
        <v>44468.34099537037</v>
      </c>
      <c r="C124" s="1" t="n">
        <v>45963</v>
      </c>
      <c r="D124" t="inlineStr">
        <is>
          <t>ÖREBRO LÄN</t>
        </is>
      </c>
      <c r="E124" t="inlineStr">
        <is>
          <t>LINDESBERG</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10385-2021</t>
        </is>
      </c>
      <c r="B125" s="1" t="n">
        <v>44257</v>
      </c>
      <c r="C125" s="1" t="n">
        <v>45963</v>
      </c>
      <c r="D125" t="inlineStr">
        <is>
          <t>ÖREBRO LÄN</t>
        </is>
      </c>
      <c r="E125" t="inlineStr">
        <is>
          <t>LINDESBERG</t>
        </is>
      </c>
      <c r="F125" t="inlineStr">
        <is>
          <t>Kommuner</t>
        </is>
      </c>
      <c r="G125" t="n">
        <v>0.6</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45963</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10784-2021</t>
        </is>
      </c>
      <c r="B127" s="1" t="n">
        <v>44259</v>
      </c>
      <c r="C127" s="1" t="n">
        <v>45963</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2110-2022</t>
        </is>
      </c>
      <c r="B128" s="1" t="n">
        <v>44577.84596064815</v>
      </c>
      <c r="C128" s="1" t="n">
        <v>45963</v>
      </c>
      <c r="D128" t="inlineStr">
        <is>
          <t>ÖREBRO LÄN</t>
        </is>
      </c>
      <c r="E128" t="inlineStr">
        <is>
          <t>LINDESBERG</t>
        </is>
      </c>
      <c r="G128" t="n">
        <v>4.4</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45963</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45963</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45963</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45963</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45963</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68829-2020</t>
        </is>
      </c>
      <c r="B134" s="1" t="n">
        <v>44187</v>
      </c>
      <c r="C134" s="1" t="n">
        <v>45963</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45963</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45963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45963</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45963</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68090-2020</t>
        </is>
      </c>
      <c r="B139" s="1" t="n">
        <v>44183</v>
      </c>
      <c r="C139" s="1" t="n">
        <v>45963</v>
      </c>
      <c r="D139" t="inlineStr">
        <is>
          <t>ÖREBRO LÄN</t>
        </is>
      </c>
      <c r="E139" t="inlineStr">
        <is>
          <t>LINDESBERG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63149-2020</t>
        </is>
      </c>
      <c r="B140" s="1" t="n">
        <v>44162</v>
      </c>
      <c r="C140" s="1" t="n">
        <v>45963</v>
      </c>
      <c r="D140" t="inlineStr">
        <is>
          <t>ÖREBRO LÄN</t>
        </is>
      </c>
      <c r="E140" t="inlineStr">
        <is>
          <t>LINDESBERG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45963</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45963</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45963</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45963</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45963</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45963</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45963</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45963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45963</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45963</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45963</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45963</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45963</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45963</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45963</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45963</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45963</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32907-2022</t>
        </is>
      </c>
      <c r="B158" s="1" t="n">
        <v>44784</v>
      </c>
      <c r="C158" s="1" t="n">
        <v>45963</v>
      </c>
      <c r="D158" t="inlineStr">
        <is>
          <t>ÖREBRO LÄN</t>
        </is>
      </c>
      <c r="E158" t="inlineStr">
        <is>
          <t>LINDESBERG</t>
        </is>
      </c>
      <c r="G158" t="n">
        <v>0.5</v>
      </c>
      <c r="H158" t="n">
        <v>0</v>
      </c>
      <c r="I158" t="n">
        <v>0</v>
      </c>
      <c r="J158" t="n">
        <v>0</v>
      </c>
      <c r="K158" t="n">
        <v>0</v>
      </c>
      <c r="L158" t="n">
        <v>0</v>
      </c>
      <c r="M158" t="n">
        <v>0</v>
      </c>
      <c r="N158" t="n">
        <v>0</v>
      </c>
      <c r="O158" t="n">
        <v>0</v>
      </c>
      <c r="P158" t="n">
        <v>0</v>
      </c>
      <c r="Q158" t="n">
        <v>0</v>
      </c>
      <c r="R158" s="2" t="inlineStr"/>
    </row>
    <row r="159" ht="15" customHeight="1">
      <c r="A159" t="inlineStr">
        <is>
          <t>A 5338-2022</t>
        </is>
      </c>
      <c r="B159" s="1" t="n">
        <v>44594</v>
      </c>
      <c r="C159" s="1" t="n">
        <v>45963</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45963</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45963</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47044-2021</t>
        </is>
      </c>
      <c r="B162" s="1" t="n">
        <v>44446</v>
      </c>
      <c r="C162" s="1" t="n">
        <v>45963</v>
      </c>
      <c r="D162" t="inlineStr">
        <is>
          <t>ÖREBRO LÄN</t>
        </is>
      </c>
      <c r="E162" t="inlineStr">
        <is>
          <t>LINDESBERG</t>
        </is>
      </c>
      <c r="G162" t="n">
        <v>5</v>
      </c>
      <c r="H162" t="n">
        <v>0</v>
      </c>
      <c r="I162" t="n">
        <v>0</v>
      </c>
      <c r="J162" t="n">
        <v>0</v>
      </c>
      <c r="K162" t="n">
        <v>0</v>
      </c>
      <c r="L162" t="n">
        <v>0</v>
      </c>
      <c r="M162" t="n">
        <v>0</v>
      </c>
      <c r="N162" t="n">
        <v>0</v>
      </c>
      <c r="O162" t="n">
        <v>0</v>
      </c>
      <c r="P162" t="n">
        <v>0</v>
      </c>
      <c r="Q162" t="n">
        <v>0</v>
      </c>
      <c r="R162" s="2" t="inlineStr"/>
    </row>
    <row r="163" ht="15" customHeight="1">
      <c r="A163" t="inlineStr">
        <is>
          <t>A 56123-2022</t>
        </is>
      </c>
      <c r="B163" s="1" t="n">
        <v>44889.68100694445</v>
      </c>
      <c r="C163" s="1" t="n">
        <v>45963</v>
      </c>
      <c r="D163" t="inlineStr">
        <is>
          <t>ÖREBRO LÄN</t>
        </is>
      </c>
      <c r="E163" t="inlineStr">
        <is>
          <t>LINDESBERG</t>
        </is>
      </c>
      <c r="G163" t="n">
        <v>2.2</v>
      </c>
      <c r="H163" t="n">
        <v>0</v>
      </c>
      <c r="I163" t="n">
        <v>0</v>
      </c>
      <c r="J163" t="n">
        <v>0</v>
      </c>
      <c r="K163" t="n">
        <v>0</v>
      </c>
      <c r="L163" t="n">
        <v>0</v>
      </c>
      <c r="M163" t="n">
        <v>0</v>
      </c>
      <c r="N163" t="n">
        <v>0</v>
      </c>
      <c r="O163" t="n">
        <v>0</v>
      </c>
      <c r="P163" t="n">
        <v>0</v>
      </c>
      <c r="Q163" t="n">
        <v>0</v>
      </c>
      <c r="R163" s="2" t="inlineStr"/>
    </row>
    <row r="164" ht="15" customHeight="1">
      <c r="A164" t="inlineStr">
        <is>
          <t>A 23158-2021</t>
        </is>
      </c>
      <c r="B164" s="1" t="n">
        <v>44332.74105324074</v>
      </c>
      <c r="C164" s="1" t="n">
        <v>45963</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22483-2021</t>
        </is>
      </c>
      <c r="B165" s="1" t="n">
        <v>44326.7296412037</v>
      </c>
      <c r="C165" s="1" t="n">
        <v>45963</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45963</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35222-2021</t>
        </is>
      </c>
      <c r="B167" s="1" t="n">
        <v>44384.56912037037</v>
      </c>
      <c r="C167" s="1" t="n">
        <v>45963</v>
      </c>
      <c r="D167" t="inlineStr">
        <is>
          <t>ÖREBRO LÄN</t>
        </is>
      </c>
      <c r="E167" t="inlineStr">
        <is>
          <t>LINDESBERG</t>
        </is>
      </c>
      <c r="G167" t="n">
        <v>10.5</v>
      </c>
      <c r="H167" t="n">
        <v>0</v>
      </c>
      <c r="I167" t="n">
        <v>0</v>
      </c>
      <c r="J167" t="n">
        <v>0</v>
      </c>
      <c r="K167" t="n">
        <v>0</v>
      </c>
      <c r="L167" t="n">
        <v>0</v>
      </c>
      <c r="M167" t="n">
        <v>0</v>
      </c>
      <c r="N167" t="n">
        <v>0</v>
      </c>
      <c r="O167" t="n">
        <v>0</v>
      </c>
      <c r="P167" t="n">
        <v>0</v>
      </c>
      <c r="Q167" t="n">
        <v>0</v>
      </c>
      <c r="R167" s="2" t="inlineStr"/>
    </row>
    <row r="168" ht="15" customHeight="1">
      <c r="A168" t="inlineStr">
        <is>
          <t>A 6726-2022</t>
        </is>
      </c>
      <c r="B168" s="1" t="n">
        <v>44602</v>
      </c>
      <c r="C168" s="1" t="n">
        <v>45963</v>
      </c>
      <c r="D168" t="inlineStr">
        <is>
          <t>ÖREBRO LÄN</t>
        </is>
      </c>
      <c r="E168" t="inlineStr">
        <is>
          <t>LINDESBERG</t>
        </is>
      </c>
      <c r="G168" t="n">
        <v>1.5</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45963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48939-2021</t>
        </is>
      </c>
      <c r="B170" s="1" t="n">
        <v>44453</v>
      </c>
      <c r="C170" s="1" t="n">
        <v>45963</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45963</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70500-2021</t>
        </is>
      </c>
      <c r="B172" s="1" t="n">
        <v>44536</v>
      </c>
      <c r="C172" s="1" t="n">
        <v>45963</v>
      </c>
      <c r="D172" t="inlineStr">
        <is>
          <t>ÖREBRO LÄN</t>
        </is>
      </c>
      <c r="E172" t="inlineStr">
        <is>
          <t>LINDESBERG</t>
        </is>
      </c>
      <c r="G172" t="n">
        <v>1.8</v>
      </c>
      <c r="H172" t="n">
        <v>0</v>
      </c>
      <c r="I172" t="n">
        <v>0</v>
      </c>
      <c r="J172" t="n">
        <v>0</v>
      </c>
      <c r="K172" t="n">
        <v>0</v>
      </c>
      <c r="L172" t="n">
        <v>0</v>
      </c>
      <c r="M172" t="n">
        <v>0</v>
      </c>
      <c r="N172" t="n">
        <v>0</v>
      </c>
      <c r="O172" t="n">
        <v>0</v>
      </c>
      <c r="P172" t="n">
        <v>0</v>
      </c>
      <c r="Q172" t="n">
        <v>0</v>
      </c>
      <c r="R172" s="2" t="inlineStr"/>
    </row>
    <row r="173" ht="15" customHeight="1">
      <c r="A173" t="inlineStr">
        <is>
          <t>A 40692-2021</t>
        </is>
      </c>
      <c r="B173" s="1" t="n">
        <v>44420.60616898148</v>
      </c>
      <c r="C173" s="1" t="n">
        <v>45963</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50069-2021</t>
        </is>
      </c>
      <c r="B174" s="1" t="n">
        <v>44456</v>
      </c>
      <c r="C174" s="1" t="n">
        <v>45963</v>
      </c>
      <c r="D174" t="inlineStr">
        <is>
          <t>ÖREBRO LÄN</t>
        </is>
      </c>
      <c r="E174" t="inlineStr">
        <is>
          <t>LINDESBERG</t>
        </is>
      </c>
      <c r="G174" t="n">
        <v>14.5</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45963</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49055-2022</t>
        </is>
      </c>
      <c r="B176" s="1" t="n">
        <v>44860</v>
      </c>
      <c r="C176" s="1" t="n">
        <v>45963</v>
      </c>
      <c r="D176" t="inlineStr">
        <is>
          <t>ÖREBRO LÄN</t>
        </is>
      </c>
      <c r="E176" t="inlineStr">
        <is>
          <t>LINDESBERG</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44733.71126157408</v>
      </c>
      <c r="C177" s="1" t="n">
        <v>45963</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45963</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48363-2021</t>
        </is>
      </c>
      <c r="B179" s="1" t="n">
        <v>44451</v>
      </c>
      <c r="C179" s="1" t="n">
        <v>45963</v>
      </c>
      <c r="D179" t="inlineStr">
        <is>
          <t>ÖREBRO LÄN</t>
        </is>
      </c>
      <c r="E179" t="inlineStr">
        <is>
          <t>LINDESBERG</t>
        </is>
      </c>
      <c r="G179" t="n">
        <v>2.7</v>
      </c>
      <c r="H179" t="n">
        <v>0</v>
      </c>
      <c r="I179" t="n">
        <v>0</v>
      </c>
      <c r="J179" t="n">
        <v>0</v>
      </c>
      <c r="K179" t="n">
        <v>0</v>
      </c>
      <c r="L179" t="n">
        <v>0</v>
      </c>
      <c r="M179" t="n">
        <v>0</v>
      </c>
      <c r="N179" t="n">
        <v>0</v>
      </c>
      <c r="O179" t="n">
        <v>0</v>
      </c>
      <c r="P179" t="n">
        <v>0</v>
      </c>
      <c r="Q179" t="n">
        <v>0</v>
      </c>
      <c r="R179" s="2" t="inlineStr"/>
    </row>
    <row r="180" ht="15" customHeight="1">
      <c r="A180" t="inlineStr">
        <is>
          <t>A 52153-2022</t>
        </is>
      </c>
      <c r="B180" s="1" t="n">
        <v>44873.47148148148</v>
      </c>
      <c r="C180" s="1" t="n">
        <v>45963</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60183-2020</t>
        </is>
      </c>
      <c r="B181" s="1" t="n">
        <v>44151</v>
      </c>
      <c r="C181" s="1" t="n">
        <v>45963</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16600-2022</t>
        </is>
      </c>
      <c r="B182" s="1" t="n">
        <v>44672</v>
      </c>
      <c r="C182" s="1" t="n">
        <v>45963</v>
      </c>
      <c r="D182" t="inlineStr">
        <is>
          <t>ÖREBRO LÄN</t>
        </is>
      </c>
      <c r="E182" t="inlineStr">
        <is>
          <t>LINDESBERG</t>
        </is>
      </c>
      <c r="G182" t="n">
        <v>3.8</v>
      </c>
      <c r="H182" t="n">
        <v>0</v>
      </c>
      <c r="I182" t="n">
        <v>0</v>
      </c>
      <c r="J182" t="n">
        <v>0</v>
      </c>
      <c r="K182" t="n">
        <v>0</v>
      </c>
      <c r="L182" t="n">
        <v>0</v>
      </c>
      <c r="M182" t="n">
        <v>0</v>
      </c>
      <c r="N182" t="n">
        <v>0</v>
      </c>
      <c r="O182" t="n">
        <v>0</v>
      </c>
      <c r="P182" t="n">
        <v>0</v>
      </c>
      <c r="Q182" t="n">
        <v>0</v>
      </c>
      <c r="R182" s="2" t="inlineStr"/>
    </row>
    <row r="183" ht="15" customHeight="1">
      <c r="A183" t="inlineStr">
        <is>
          <t>A 41207-2022</t>
        </is>
      </c>
      <c r="B183" s="1" t="n">
        <v>44825.99293981482</v>
      </c>
      <c r="C183" s="1" t="n">
        <v>45963</v>
      </c>
      <c r="D183" t="inlineStr">
        <is>
          <t>ÖREBRO LÄN</t>
        </is>
      </c>
      <c r="E183" t="inlineStr">
        <is>
          <t>LINDESBERG</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44677-2021</t>
        </is>
      </c>
      <c r="B184" s="1" t="n">
        <v>44438.30614583333</v>
      </c>
      <c r="C184" s="1" t="n">
        <v>45963</v>
      </c>
      <c r="D184" t="inlineStr">
        <is>
          <t>ÖREBRO LÄN</t>
        </is>
      </c>
      <c r="E184" t="inlineStr">
        <is>
          <t>LINDESBERG</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70475-2021</t>
        </is>
      </c>
      <c r="B185" s="1" t="n">
        <v>44536</v>
      </c>
      <c r="C185" s="1" t="n">
        <v>45963</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66676-2020</t>
        </is>
      </c>
      <c r="B186" s="1" t="n">
        <v>44179</v>
      </c>
      <c r="C186" s="1" t="n">
        <v>45963</v>
      </c>
      <c r="D186" t="inlineStr">
        <is>
          <t>ÖREBRO LÄN</t>
        </is>
      </c>
      <c r="E186" t="inlineStr">
        <is>
          <t>LINDESBERG</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45963</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7598-2022</t>
        </is>
      </c>
      <c r="B188" s="1" t="n">
        <v>44607.64115740741</v>
      </c>
      <c r="C188" s="1" t="n">
        <v>45963</v>
      </c>
      <c r="D188" t="inlineStr">
        <is>
          <t>ÖREBRO LÄN</t>
        </is>
      </c>
      <c r="E188" t="inlineStr">
        <is>
          <t>LINDESBERG</t>
        </is>
      </c>
      <c r="G188" t="n">
        <v>3.1</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45963</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48154-2021</t>
        </is>
      </c>
      <c r="B190" s="1" t="n">
        <v>44449</v>
      </c>
      <c r="C190" s="1" t="n">
        <v>45963</v>
      </c>
      <c r="D190" t="inlineStr">
        <is>
          <t>ÖREBRO LÄN</t>
        </is>
      </c>
      <c r="E190" t="inlineStr">
        <is>
          <t>LINDESBERG</t>
        </is>
      </c>
      <c r="G190" t="n">
        <v>0.4</v>
      </c>
      <c r="H190" t="n">
        <v>0</v>
      </c>
      <c r="I190" t="n">
        <v>0</v>
      </c>
      <c r="J190" t="n">
        <v>0</v>
      </c>
      <c r="K190" t="n">
        <v>0</v>
      </c>
      <c r="L190" t="n">
        <v>0</v>
      </c>
      <c r="M190" t="n">
        <v>0</v>
      </c>
      <c r="N190" t="n">
        <v>0</v>
      </c>
      <c r="O190" t="n">
        <v>0</v>
      </c>
      <c r="P190" t="n">
        <v>0</v>
      </c>
      <c r="Q190" t="n">
        <v>0</v>
      </c>
      <c r="R190" s="2" t="inlineStr"/>
    </row>
    <row r="191" ht="15" customHeight="1">
      <c r="A191" t="inlineStr">
        <is>
          <t>A 10277-2022</t>
        </is>
      </c>
      <c r="B191" s="1" t="n">
        <v>44622.69101851852</v>
      </c>
      <c r="C191" s="1" t="n">
        <v>45963</v>
      </c>
      <c r="D191" t="inlineStr">
        <is>
          <t>ÖREBRO LÄN</t>
        </is>
      </c>
      <c r="E191" t="inlineStr">
        <is>
          <t>LINDESBERG</t>
        </is>
      </c>
      <c r="G191" t="n">
        <v>4.2</v>
      </c>
      <c r="H191" t="n">
        <v>0</v>
      </c>
      <c r="I191" t="n">
        <v>0</v>
      </c>
      <c r="J191" t="n">
        <v>0</v>
      </c>
      <c r="K191" t="n">
        <v>0</v>
      </c>
      <c r="L191" t="n">
        <v>0</v>
      </c>
      <c r="M191" t="n">
        <v>0</v>
      </c>
      <c r="N191" t="n">
        <v>0</v>
      </c>
      <c r="O191" t="n">
        <v>0</v>
      </c>
      <c r="P191" t="n">
        <v>0</v>
      </c>
      <c r="Q191" t="n">
        <v>0</v>
      </c>
      <c r="R191" s="2" t="inlineStr"/>
    </row>
    <row r="192" ht="15" customHeight="1">
      <c r="A192" t="inlineStr">
        <is>
          <t>A 48365-2021</t>
        </is>
      </c>
      <c r="B192" s="1" t="n">
        <v>44451.78710648148</v>
      </c>
      <c r="C192" s="1" t="n">
        <v>45963</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52851-2022</t>
        </is>
      </c>
      <c r="B193" s="1" t="n">
        <v>44875.47543981481</v>
      </c>
      <c r="C193" s="1" t="n">
        <v>45963</v>
      </c>
      <c r="D193" t="inlineStr">
        <is>
          <t>ÖREBRO LÄN</t>
        </is>
      </c>
      <c r="E193" t="inlineStr">
        <is>
          <t>LINDESBERG</t>
        </is>
      </c>
      <c r="G193" t="n">
        <v>2.9</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45963</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45963</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45963</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59655-2021</t>
        </is>
      </c>
      <c r="B197" s="1" t="n">
        <v>44491</v>
      </c>
      <c r="C197" s="1" t="n">
        <v>45963</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45963</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62010-2021</t>
        </is>
      </c>
      <c r="B199" s="1" t="n">
        <v>44502.49809027778</v>
      </c>
      <c r="C199" s="1" t="n">
        <v>45963</v>
      </c>
      <c r="D199" t="inlineStr">
        <is>
          <t>ÖREBRO LÄN</t>
        </is>
      </c>
      <c r="E199" t="inlineStr">
        <is>
          <t>LINDESBERG</t>
        </is>
      </c>
      <c r="G199" t="n">
        <v>3.2</v>
      </c>
      <c r="H199" t="n">
        <v>0</v>
      </c>
      <c r="I199" t="n">
        <v>0</v>
      </c>
      <c r="J199" t="n">
        <v>0</v>
      </c>
      <c r="K199" t="n">
        <v>0</v>
      </c>
      <c r="L199" t="n">
        <v>0</v>
      </c>
      <c r="M199" t="n">
        <v>0</v>
      </c>
      <c r="N199" t="n">
        <v>0</v>
      </c>
      <c r="O199" t="n">
        <v>0</v>
      </c>
      <c r="P199" t="n">
        <v>0</v>
      </c>
      <c r="Q199" t="n">
        <v>0</v>
      </c>
      <c r="R199" s="2" t="inlineStr"/>
    </row>
    <row r="200" ht="15" customHeight="1">
      <c r="A200" t="inlineStr">
        <is>
          <t>A 62014-2021</t>
        </is>
      </c>
      <c r="B200" s="1" t="n">
        <v>44502</v>
      </c>
      <c r="C200" s="1" t="n">
        <v>45963</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1230-2021</t>
        </is>
      </c>
      <c r="B201" s="1" t="n">
        <v>44208</v>
      </c>
      <c r="C201" s="1" t="n">
        <v>45963</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56681-2021</t>
        </is>
      </c>
      <c r="B202" s="1" t="n">
        <v>44481.34877314815</v>
      </c>
      <c r="C202" s="1" t="n">
        <v>45963</v>
      </c>
      <c r="D202" t="inlineStr">
        <is>
          <t>ÖREBRO LÄN</t>
        </is>
      </c>
      <c r="E202" t="inlineStr">
        <is>
          <t>LINDESBERG</t>
        </is>
      </c>
      <c r="G202" t="n">
        <v>2.6</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45963</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45963</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12511-2021</t>
        </is>
      </c>
      <c r="B205" s="1" t="n">
        <v>44268.55900462963</v>
      </c>
      <c r="C205" s="1" t="n">
        <v>45963</v>
      </c>
      <c r="D205" t="inlineStr">
        <is>
          <t>ÖREBRO LÄN</t>
        </is>
      </c>
      <c r="E205" t="inlineStr">
        <is>
          <t>LINDESBERG</t>
        </is>
      </c>
      <c r="G205" t="n">
        <v>5.2</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45963</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45963</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2406-2024</t>
        </is>
      </c>
      <c r="B208" s="1" t="n">
        <v>45310</v>
      </c>
      <c r="C208" s="1" t="n">
        <v>45963</v>
      </c>
      <c r="D208" t="inlineStr">
        <is>
          <t>ÖREBRO LÄN</t>
        </is>
      </c>
      <c r="E208" t="inlineStr">
        <is>
          <t>LINDESBERG</t>
        </is>
      </c>
      <c r="G208" t="n">
        <v>16.1</v>
      </c>
      <c r="H208" t="n">
        <v>0</v>
      </c>
      <c r="I208" t="n">
        <v>0</v>
      </c>
      <c r="J208" t="n">
        <v>0</v>
      </c>
      <c r="K208" t="n">
        <v>0</v>
      </c>
      <c r="L208" t="n">
        <v>0</v>
      </c>
      <c r="M208" t="n">
        <v>0</v>
      </c>
      <c r="N208" t="n">
        <v>0</v>
      </c>
      <c r="O208" t="n">
        <v>0</v>
      </c>
      <c r="P208" t="n">
        <v>0</v>
      </c>
      <c r="Q208" t="n">
        <v>0</v>
      </c>
      <c r="R208" s="2" t="inlineStr"/>
    </row>
    <row r="209" ht="15" customHeight="1">
      <c r="A209" t="inlineStr">
        <is>
          <t>A 13417-2025</t>
        </is>
      </c>
      <c r="B209" s="1" t="n">
        <v>45736.30940972222</v>
      </c>
      <c r="C209" s="1" t="n">
        <v>45963</v>
      </c>
      <c r="D209" t="inlineStr">
        <is>
          <t>ÖREBRO LÄN</t>
        </is>
      </c>
      <c r="E209" t="inlineStr">
        <is>
          <t>LINDESBERG</t>
        </is>
      </c>
      <c r="G209" t="n">
        <v>2.2</v>
      </c>
      <c r="H209" t="n">
        <v>0</v>
      </c>
      <c r="I209" t="n">
        <v>0</v>
      </c>
      <c r="J209" t="n">
        <v>0</v>
      </c>
      <c r="K209" t="n">
        <v>0</v>
      </c>
      <c r="L209" t="n">
        <v>0</v>
      </c>
      <c r="M209" t="n">
        <v>0</v>
      </c>
      <c r="N209" t="n">
        <v>0</v>
      </c>
      <c r="O209" t="n">
        <v>0</v>
      </c>
      <c r="P209" t="n">
        <v>0</v>
      </c>
      <c r="Q209" t="n">
        <v>0</v>
      </c>
      <c r="R209" s="2" t="inlineStr"/>
    </row>
    <row r="210" ht="15" customHeight="1">
      <c r="A210" t="inlineStr">
        <is>
          <t>A 16919-2024</t>
        </is>
      </c>
      <c r="B210" s="1" t="n">
        <v>45411.65641203704</v>
      </c>
      <c r="C210" s="1" t="n">
        <v>45963</v>
      </c>
      <c r="D210" t="inlineStr">
        <is>
          <t>ÖREBRO LÄN</t>
        </is>
      </c>
      <c r="E210" t="inlineStr">
        <is>
          <t>LINDESBERG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35229-2024</t>
        </is>
      </c>
      <c r="B211" s="1" t="n">
        <v>45530</v>
      </c>
      <c r="C211" s="1" t="n">
        <v>45963</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33282-2024</t>
        </is>
      </c>
      <c r="B212" s="1" t="n">
        <v>45518.71482638889</v>
      </c>
      <c r="C212" s="1" t="n">
        <v>45963</v>
      </c>
      <c r="D212" t="inlineStr">
        <is>
          <t>ÖREBRO LÄN</t>
        </is>
      </c>
      <c r="E212" t="inlineStr">
        <is>
          <t>LINDESBERG</t>
        </is>
      </c>
      <c r="G212" t="n">
        <v>7.5</v>
      </c>
      <c r="H212" t="n">
        <v>0</v>
      </c>
      <c r="I212" t="n">
        <v>0</v>
      </c>
      <c r="J212" t="n">
        <v>0</v>
      </c>
      <c r="K212" t="n">
        <v>0</v>
      </c>
      <c r="L212" t="n">
        <v>0</v>
      </c>
      <c r="M212" t="n">
        <v>0</v>
      </c>
      <c r="N212" t="n">
        <v>0</v>
      </c>
      <c r="O212" t="n">
        <v>0</v>
      </c>
      <c r="P212" t="n">
        <v>0</v>
      </c>
      <c r="Q212" t="n">
        <v>0</v>
      </c>
      <c r="R212" s="2" t="inlineStr"/>
    </row>
    <row r="213" ht="15" customHeight="1">
      <c r="A213" t="inlineStr">
        <is>
          <t>A 50285-2022</t>
        </is>
      </c>
      <c r="B213" s="1" t="n">
        <v>44865.87770833333</v>
      </c>
      <c r="C213" s="1" t="n">
        <v>45963</v>
      </c>
      <c r="D213" t="inlineStr">
        <is>
          <t>ÖREBRO LÄN</t>
        </is>
      </c>
      <c r="E213" t="inlineStr">
        <is>
          <t>LINDESBERG</t>
        </is>
      </c>
      <c r="G213" t="n">
        <v>2.5</v>
      </c>
      <c r="H213" t="n">
        <v>0</v>
      </c>
      <c r="I213" t="n">
        <v>0</v>
      </c>
      <c r="J213" t="n">
        <v>0</v>
      </c>
      <c r="K213" t="n">
        <v>0</v>
      </c>
      <c r="L213" t="n">
        <v>0</v>
      </c>
      <c r="M213" t="n">
        <v>0</v>
      </c>
      <c r="N213" t="n">
        <v>0</v>
      </c>
      <c r="O213" t="n">
        <v>0</v>
      </c>
      <c r="P213" t="n">
        <v>0</v>
      </c>
      <c r="Q213" t="n">
        <v>0</v>
      </c>
      <c r="R213" s="2" t="inlineStr"/>
    </row>
    <row r="214" ht="15" customHeight="1">
      <c r="A214" t="inlineStr">
        <is>
          <t>A 68491-2021</t>
        </is>
      </c>
      <c r="B214" s="1" t="n">
        <v>44526</v>
      </c>
      <c r="C214" s="1" t="n">
        <v>45963</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10822-2023</t>
        </is>
      </c>
      <c r="B215" s="1" t="n">
        <v>44990</v>
      </c>
      <c r="C215" s="1" t="n">
        <v>45963</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36221-2021</t>
        </is>
      </c>
      <c r="B216" s="1" t="n">
        <v>44389</v>
      </c>
      <c r="C216" s="1" t="n">
        <v>45963</v>
      </c>
      <c r="D216" t="inlineStr">
        <is>
          <t>ÖREBRO LÄN</t>
        </is>
      </c>
      <c r="E216" t="inlineStr">
        <is>
          <t>LINDESBERG</t>
        </is>
      </c>
      <c r="G216" t="n">
        <v>5.9</v>
      </c>
      <c r="H216" t="n">
        <v>0</v>
      </c>
      <c r="I216" t="n">
        <v>0</v>
      </c>
      <c r="J216" t="n">
        <v>0</v>
      </c>
      <c r="K216" t="n">
        <v>0</v>
      </c>
      <c r="L216" t="n">
        <v>0</v>
      </c>
      <c r="M216" t="n">
        <v>0</v>
      </c>
      <c r="N216" t="n">
        <v>0</v>
      </c>
      <c r="O216" t="n">
        <v>0</v>
      </c>
      <c r="P216" t="n">
        <v>0</v>
      </c>
      <c r="Q216" t="n">
        <v>0</v>
      </c>
      <c r="R216" s="2" t="inlineStr"/>
    </row>
    <row r="217" ht="15" customHeight="1">
      <c r="A217" t="inlineStr">
        <is>
          <t>A 3233-2023</t>
        </is>
      </c>
      <c r="B217" s="1" t="n">
        <v>44946</v>
      </c>
      <c r="C217" s="1" t="n">
        <v>45963</v>
      </c>
      <c r="D217" t="inlineStr">
        <is>
          <t>ÖREBRO LÄN</t>
        </is>
      </c>
      <c r="E217" t="inlineStr">
        <is>
          <t>LINDESBERG</t>
        </is>
      </c>
      <c r="G217" t="n">
        <v>3</v>
      </c>
      <c r="H217" t="n">
        <v>0</v>
      </c>
      <c r="I217" t="n">
        <v>0</v>
      </c>
      <c r="J217" t="n">
        <v>0</v>
      </c>
      <c r="K217" t="n">
        <v>0</v>
      </c>
      <c r="L217" t="n">
        <v>0</v>
      </c>
      <c r="M217" t="n">
        <v>0</v>
      </c>
      <c r="N217" t="n">
        <v>0</v>
      </c>
      <c r="O217" t="n">
        <v>0</v>
      </c>
      <c r="P217" t="n">
        <v>0</v>
      </c>
      <c r="Q217" t="n">
        <v>0</v>
      </c>
      <c r="R217" s="2" t="inlineStr"/>
    </row>
    <row r="218" ht="15" customHeight="1">
      <c r="A218" t="inlineStr">
        <is>
          <t>A 15325-2024</t>
        </is>
      </c>
      <c r="B218" s="1" t="n">
        <v>45400.6709837963</v>
      </c>
      <c r="C218" s="1" t="n">
        <v>45963</v>
      </c>
      <c r="D218" t="inlineStr">
        <is>
          <t>ÖREBRO LÄN</t>
        </is>
      </c>
      <c r="E218" t="inlineStr">
        <is>
          <t>LINDESBERG</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40970-2023</t>
        </is>
      </c>
      <c r="B219" s="1" t="n">
        <v>45173</v>
      </c>
      <c r="C219" s="1" t="n">
        <v>45963</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35990-2021</t>
        </is>
      </c>
      <c r="B220" s="1" t="n">
        <v>44389</v>
      </c>
      <c r="C220" s="1" t="n">
        <v>45963</v>
      </c>
      <c r="D220" t="inlineStr">
        <is>
          <t>ÖREBRO LÄN</t>
        </is>
      </c>
      <c r="E220" t="inlineStr">
        <is>
          <t>LINDESBERG</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71090-2021</t>
        </is>
      </c>
      <c r="B221" s="1" t="n">
        <v>44539.31923611111</v>
      </c>
      <c r="C221" s="1" t="n">
        <v>45963</v>
      </c>
      <c r="D221" t="inlineStr">
        <is>
          <t>ÖREBRO LÄN</t>
        </is>
      </c>
      <c r="E221" t="inlineStr">
        <is>
          <t>LINDESBERG</t>
        </is>
      </c>
      <c r="G221" t="n">
        <v>4.3</v>
      </c>
      <c r="H221" t="n">
        <v>0</v>
      </c>
      <c r="I221" t="n">
        <v>0</v>
      </c>
      <c r="J221" t="n">
        <v>0</v>
      </c>
      <c r="K221" t="n">
        <v>0</v>
      </c>
      <c r="L221" t="n">
        <v>0</v>
      </c>
      <c r="M221" t="n">
        <v>0</v>
      </c>
      <c r="N221" t="n">
        <v>0</v>
      </c>
      <c r="O221" t="n">
        <v>0</v>
      </c>
      <c r="P221" t="n">
        <v>0</v>
      </c>
      <c r="Q221" t="n">
        <v>0</v>
      </c>
      <c r="R221" s="2" t="inlineStr"/>
    </row>
    <row r="222" ht="15" customHeight="1">
      <c r="A222" t="inlineStr">
        <is>
          <t>A 71092-2021</t>
        </is>
      </c>
      <c r="B222" s="1" t="n">
        <v>44539</v>
      </c>
      <c r="C222" s="1" t="n">
        <v>45963</v>
      </c>
      <c r="D222" t="inlineStr">
        <is>
          <t>ÖREBRO LÄN</t>
        </is>
      </c>
      <c r="E222" t="inlineStr">
        <is>
          <t>LINDESBERG</t>
        </is>
      </c>
      <c r="G222" t="n">
        <v>0.8</v>
      </c>
      <c r="H222" t="n">
        <v>0</v>
      </c>
      <c r="I222" t="n">
        <v>0</v>
      </c>
      <c r="J222" t="n">
        <v>0</v>
      </c>
      <c r="K222" t="n">
        <v>0</v>
      </c>
      <c r="L222" t="n">
        <v>0</v>
      </c>
      <c r="M222" t="n">
        <v>0</v>
      </c>
      <c r="N222" t="n">
        <v>0</v>
      </c>
      <c r="O222" t="n">
        <v>0</v>
      </c>
      <c r="P222" t="n">
        <v>0</v>
      </c>
      <c r="Q222" t="n">
        <v>0</v>
      </c>
      <c r="R222" s="2" t="inlineStr"/>
    </row>
    <row r="223" ht="15" customHeight="1">
      <c r="A223" t="inlineStr">
        <is>
          <t>A 27130-2024</t>
        </is>
      </c>
      <c r="B223" s="1" t="n">
        <v>45471.52072916667</v>
      </c>
      <c r="C223" s="1" t="n">
        <v>45963</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45963</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34093-2022</t>
        </is>
      </c>
      <c r="B225" s="1" t="n">
        <v>44791</v>
      </c>
      <c r="C225" s="1" t="n">
        <v>45963</v>
      </c>
      <c r="D225" t="inlineStr">
        <is>
          <t>ÖREBRO LÄN</t>
        </is>
      </c>
      <c r="E225" t="inlineStr">
        <is>
          <t>LINDESBERG</t>
        </is>
      </c>
      <c r="G225" t="n">
        <v>3.3</v>
      </c>
      <c r="H225" t="n">
        <v>0</v>
      </c>
      <c r="I225" t="n">
        <v>0</v>
      </c>
      <c r="J225" t="n">
        <v>0</v>
      </c>
      <c r="K225" t="n">
        <v>0</v>
      </c>
      <c r="L225" t="n">
        <v>0</v>
      </c>
      <c r="M225" t="n">
        <v>0</v>
      </c>
      <c r="N225" t="n">
        <v>0</v>
      </c>
      <c r="O225" t="n">
        <v>0</v>
      </c>
      <c r="P225" t="n">
        <v>0</v>
      </c>
      <c r="Q225" t="n">
        <v>0</v>
      </c>
      <c r="R225" s="2" t="inlineStr"/>
    </row>
    <row r="226" ht="15" customHeight="1">
      <c r="A226" t="inlineStr">
        <is>
          <t>A 58662-2022</t>
        </is>
      </c>
      <c r="B226" s="1" t="n">
        <v>44902</v>
      </c>
      <c r="C226" s="1" t="n">
        <v>45963</v>
      </c>
      <c r="D226" t="inlineStr">
        <is>
          <t>ÖREBRO LÄN</t>
        </is>
      </c>
      <c r="E226" t="inlineStr">
        <is>
          <t>LINDESBERG</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65194-2023</t>
        </is>
      </c>
      <c r="B227" s="1" t="n">
        <v>45289</v>
      </c>
      <c r="C227" s="1" t="n">
        <v>45963</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69208-2021</t>
        </is>
      </c>
      <c r="B228" s="1" t="n">
        <v>44531.3575</v>
      </c>
      <c r="C228" s="1" t="n">
        <v>45963</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45963</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45963</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44664-2023</t>
        </is>
      </c>
      <c r="B231" s="1" t="n">
        <v>45189</v>
      </c>
      <c r="C231" s="1" t="n">
        <v>45963</v>
      </c>
      <c r="D231" t="inlineStr">
        <is>
          <t>ÖREBRO LÄN</t>
        </is>
      </c>
      <c r="E231" t="inlineStr">
        <is>
          <t>LINDESBERG</t>
        </is>
      </c>
      <c r="G231" t="n">
        <v>2.1</v>
      </c>
      <c r="H231" t="n">
        <v>0</v>
      </c>
      <c r="I231" t="n">
        <v>0</v>
      </c>
      <c r="J231" t="n">
        <v>0</v>
      </c>
      <c r="K231" t="n">
        <v>0</v>
      </c>
      <c r="L231" t="n">
        <v>0</v>
      </c>
      <c r="M231" t="n">
        <v>0</v>
      </c>
      <c r="N231" t="n">
        <v>0</v>
      </c>
      <c r="O231" t="n">
        <v>0</v>
      </c>
      <c r="P231" t="n">
        <v>0</v>
      </c>
      <c r="Q231" t="n">
        <v>0</v>
      </c>
      <c r="R231" s="2" t="inlineStr"/>
    </row>
    <row r="232" ht="15" customHeight="1">
      <c r="A232" t="inlineStr">
        <is>
          <t>A 6962-2023</t>
        </is>
      </c>
      <c r="B232" s="1" t="n">
        <v>44967.60165509259</v>
      </c>
      <c r="C232" s="1" t="n">
        <v>45963</v>
      </c>
      <c r="D232" t="inlineStr">
        <is>
          <t>ÖREBRO LÄN</t>
        </is>
      </c>
      <c r="E232" t="inlineStr">
        <is>
          <t>LINDESBERG</t>
        </is>
      </c>
      <c r="G232" t="n">
        <v>11.4</v>
      </c>
      <c r="H232" t="n">
        <v>0</v>
      </c>
      <c r="I232" t="n">
        <v>0</v>
      </c>
      <c r="J232" t="n">
        <v>0</v>
      </c>
      <c r="K232" t="n">
        <v>0</v>
      </c>
      <c r="L232" t="n">
        <v>0</v>
      </c>
      <c r="M232" t="n">
        <v>0</v>
      </c>
      <c r="N232" t="n">
        <v>0</v>
      </c>
      <c r="O232" t="n">
        <v>0</v>
      </c>
      <c r="P232" t="n">
        <v>0</v>
      </c>
      <c r="Q232" t="n">
        <v>0</v>
      </c>
      <c r="R232" s="2" t="inlineStr"/>
    </row>
    <row r="233" ht="15" customHeight="1">
      <c r="A233" t="inlineStr">
        <is>
          <t>A 11366-2024</t>
        </is>
      </c>
      <c r="B233" s="1" t="n">
        <v>45372.40246527778</v>
      </c>
      <c r="C233" s="1" t="n">
        <v>45963</v>
      </c>
      <c r="D233" t="inlineStr">
        <is>
          <t>ÖREBRO LÄN</t>
        </is>
      </c>
      <c r="E233" t="inlineStr">
        <is>
          <t>LINDESBERG</t>
        </is>
      </c>
      <c r="G233" t="n">
        <v>4.4</v>
      </c>
      <c r="H233" t="n">
        <v>0</v>
      </c>
      <c r="I233" t="n">
        <v>0</v>
      </c>
      <c r="J233" t="n">
        <v>0</v>
      </c>
      <c r="K233" t="n">
        <v>0</v>
      </c>
      <c r="L233" t="n">
        <v>0</v>
      </c>
      <c r="M233" t="n">
        <v>0</v>
      </c>
      <c r="N233" t="n">
        <v>0</v>
      </c>
      <c r="O233" t="n">
        <v>0</v>
      </c>
      <c r="P233" t="n">
        <v>0</v>
      </c>
      <c r="Q233" t="n">
        <v>0</v>
      </c>
      <c r="R233" s="2" t="inlineStr"/>
    </row>
    <row r="234" ht="15" customHeight="1">
      <c r="A234" t="inlineStr">
        <is>
          <t>A 36015-2021</t>
        </is>
      </c>
      <c r="B234" s="1" t="n">
        <v>44389</v>
      </c>
      <c r="C234" s="1" t="n">
        <v>45963</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46603-2021</t>
        </is>
      </c>
      <c r="B235" s="1" t="n">
        <v>44445</v>
      </c>
      <c r="C235" s="1" t="n">
        <v>45963</v>
      </c>
      <c r="D235" t="inlineStr">
        <is>
          <t>ÖREBRO LÄN</t>
        </is>
      </c>
      <c r="E235" t="inlineStr">
        <is>
          <t>LINDESBERG</t>
        </is>
      </c>
      <c r="F235" t="inlineStr">
        <is>
          <t>Sveaskog</t>
        </is>
      </c>
      <c r="G235" t="n">
        <v>2.4</v>
      </c>
      <c r="H235" t="n">
        <v>0</v>
      </c>
      <c r="I235" t="n">
        <v>0</v>
      </c>
      <c r="J235" t="n">
        <v>0</v>
      </c>
      <c r="K235" t="n">
        <v>0</v>
      </c>
      <c r="L235" t="n">
        <v>0</v>
      </c>
      <c r="M235" t="n">
        <v>0</v>
      </c>
      <c r="N235" t="n">
        <v>0</v>
      </c>
      <c r="O235" t="n">
        <v>0</v>
      </c>
      <c r="P235" t="n">
        <v>0</v>
      </c>
      <c r="Q235" t="n">
        <v>0</v>
      </c>
      <c r="R235" s="2" t="inlineStr"/>
    </row>
    <row r="236" ht="15" customHeight="1">
      <c r="A236" t="inlineStr">
        <is>
          <t>A 20954-2024</t>
        </is>
      </c>
      <c r="B236" s="1" t="n">
        <v>45439.56605324074</v>
      </c>
      <c r="C236" s="1" t="n">
        <v>45963</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15060-2024</t>
        </is>
      </c>
      <c r="B237" s="1" t="n">
        <v>45399.56596064815</v>
      </c>
      <c r="C237" s="1" t="n">
        <v>45963</v>
      </c>
      <c r="D237" t="inlineStr">
        <is>
          <t>ÖREBRO LÄN</t>
        </is>
      </c>
      <c r="E237" t="inlineStr">
        <is>
          <t>LINDESBERG</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24270-2023</t>
        </is>
      </c>
      <c r="B238" s="1" t="n">
        <v>45079</v>
      </c>
      <c r="C238" s="1" t="n">
        <v>45963</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24271-2023</t>
        </is>
      </c>
      <c r="B239" s="1" t="n">
        <v>45079</v>
      </c>
      <c r="C239" s="1" t="n">
        <v>45963</v>
      </c>
      <c r="D239" t="inlineStr">
        <is>
          <t>ÖREBRO LÄN</t>
        </is>
      </c>
      <c r="E239" t="inlineStr">
        <is>
          <t>LINDESBERG</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25046-2024</t>
        </is>
      </c>
      <c r="B240" s="1" t="n">
        <v>45462</v>
      </c>
      <c r="C240" s="1" t="n">
        <v>45963</v>
      </c>
      <c r="D240" t="inlineStr">
        <is>
          <t>ÖREBRO LÄN</t>
        </is>
      </c>
      <c r="E240" t="inlineStr">
        <is>
          <t>LINDESBERG</t>
        </is>
      </c>
      <c r="G240" t="n">
        <v>4.1</v>
      </c>
      <c r="H240" t="n">
        <v>0</v>
      </c>
      <c r="I240" t="n">
        <v>0</v>
      </c>
      <c r="J240" t="n">
        <v>0</v>
      </c>
      <c r="K240" t="n">
        <v>0</v>
      </c>
      <c r="L240" t="n">
        <v>0</v>
      </c>
      <c r="M240" t="n">
        <v>0</v>
      </c>
      <c r="N240" t="n">
        <v>0</v>
      </c>
      <c r="O240" t="n">
        <v>0</v>
      </c>
      <c r="P240" t="n">
        <v>0</v>
      </c>
      <c r="Q240" t="n">
        <v>0</v>
      </c>
      <c r="R240" s="2" t="inlineStr"/>
    </row>
    <row r="241" ht="15" customHeight="1">
      <c r="A241" t="inlineStr">
        <is>
          <t>A 28031-2023</t>
        </is>
      </c>
      <c r="B241" s="1" t="n">
        <v>45099.27354166667</v>
      </c>
      <c r="C241" s="1" t="n">
        <v>45963</v>
      </c>
      <c r="D241" t="inlineStr">
        <is>
          <t>ÖREBRO LÄN</t>
        </is>
      </c>
      <c r="E241" t="inlineStr">
        <is>
          <t>LINDESBERG</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30767-2023</t>
        </is>
      </c>
      <c r="B242" s="1" t="n">
        <v>45112.67952546296</v>
      </c>
      <c r="C242" s="1" t="n">
        <v>45963</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4310-2025</t>
        </is>
      </c>
      <c r="B243" s="1" t="n">
        <v>45685</v>
      </c>
      <c r="C243" s="1" t="n">
        <v>45963</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19026-2021</t>
        </is>
      </c>
      <c r="B244" s="1" t="n">
        <v>44308</v>
      </c>
      <c r="C244" s="1" t="n">
        <v>45963</v>
      </c>
      <c r="D244" t="inlineStr">
        <is>
          <t>ÖREBRO LÄN</t>
        </is>
      </c>
      <c r="E244" t="inlineStr">
        <is>
          <t>LINDESBERG</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29857-2023</t>
        </is>
      </c>
      <c r="B245" s="1" t="n">
        <v>45107</v>
      </c>
      <c r="C245" s="1" t="n">
        <v>45963</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33707-2021</t>
        </is>
      </c>
      <c r="B246" s="1" t="n">
        <v>44378.46403935185</v>
      </c>
      <c r="C246" s="1" t="n">
        <v>45963</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47110-2024</t>
        </is>
      </c>
      <c r="B247" s="1" t="n">
        <v>45586.55451388889</v>
      </c>
      <c r="C247" s="1" t="n">
        <v>45963</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45038-2024</t>
        </is>
      </c>
      <c r="B248" s="1" t="n">
        <v>45575.53331018519</v>
      </c>
      <c r="C248" s="1" t="n">
        <v>45963</v>
      </c>
      <c r="D248" t="inlineStr">
        <is>
          <t>ÖREBRO LÄN</t>
        </is>
      </c>
      <c r="E248" t="inlineStr">
        <is>
          <t>LINDESBERG</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45046-2024</t>
        </is>
      </c>
      <c r="B249" s="1" t="n">
        <v>45575.54489583334</v>
      </c>
      <c r="C249" s="1" t="n">
        <v>45963</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35739-2024</t>
        </is>
      </c>
      <c r="B250" s="1" t="n">
        <v>45532</v>
      </c>
      <c r="C250" s="1" t="n">
        <v>45963</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27440-2023</t>
        </is>
      </c>
      <c r="B251" s="1" t="n">
        <v>45097.39893518519</v>
      </c>
      <c r="C251" s="1" t="n">
        <v>45963</v>
      </c>
      <c r="D251" t="inlineStr">
        <is>
          <t>ÖREBRO LÄN</t>
        </is>
      </c>
      <c r="E251" t="inlineStr">
        <is>
          <t>LINDESBERG</t>
        </is>
      </c>
      <c r="G251" t="n">
        <v>6.6</v>
      </c>
      <c r="H251" t="n">
        <v>0</v>
      </c>
      <c r="I251" t="n">
        <v>0</v>
      </c>
      <c r="J251" t="n">
        <v>0</v>
      </c>
      <c r="K251" t="n">
        <v>0</v>
      </c>
      <c r="L251" t="n">
        <v>0</v>
      </c>
      <c r="M251" t="n">
        <v>0</v>
      </c>
      <c r="N251" t="n">
        <v>0</v>
      </c>
      <c r="O251" t="n">
        <v>0</v>
      </c>
      <c r="P251" t="n">
        <v>0</v>
      </c>
      <c r="Q251" t="n">
        <v>0</v>
      </c>
      <c r="R251" s="2" t="inlineStr"/>
    </row>
    <row r="252" ht="15" customHeight="1">
      <c r="A252" t="inlineStr">
        <is>
          <t>A 8213-2023</t>
        </is>
      </c>
      <c r="B252" s="1" t="n">
        <v>44974.55693287037</v>
      </c>
      <c r="C252" s="1" t="n">
        <v>45963</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16618-2023</t>
        </is>
      </c>
      <c r="B253" s="1" t="n">
        <v>45030</v>
      </c>
      <c r="C253" s="1" t="n">
        <v>45963</v>
      </c>
      <c r="D253" t="inlineStr">
        <is>
          <t>ÖREBRO LÄN</t>
        </is>
      </c>
      <c r="E253" t="inlineStr">
        <is>
          <t>LINDESBERG</t>
        </is>
      </c>
      <c r="F253" t="inlineStr">
        <is>
          <t>Kommuner</t>
        </is>
      </c>
      <c r="G253" t="n">
        <v>4.6</v>
      </c>
      <c r="H253" t="n">
        <v>0</v>
      </c>
      <c r="I253" t="n">
        <v>0</v>
      </c>
      <c r="J253" t="n">
        <v>0</v>
      </c>
      <c r="K253" t="n">
        <v>0</v>
      </c>
      <c r="L253" t="n">
        <v>0</v>
      </c>
      <c r="M253" t="n">
        <v>0</v>
      </c>
      <c r="N253" t="n">
        <v>0</v>
      </c>
      <c r="O253" t="n">
        <v>0</v>
      </c>
      <c r="P253" t="n">
        <v>0</v>
      </c>
      <c r="Q253" t="n">
        <v>0</v>
      </c>
      <c r="R253" s="2" t="inlineStr"/>
    </row>
    <row r="254" ht="15" customHeight="1">
      <c r="A254" t="inlineStr">
        <is>
          <t>A 39137-2024</t>
        </is>
      </c>
      <c r="B254" s="1" t="n">
        <v>45548</v>
      </c>
      <c r="C254" s="1" t="n">
        <v>45963</v>
      </c>
      <c r="D254" t="inlineStr">
        <is>
          <t>ÖREBRO LÄN</t>
        </is>
      </c>
      <c r="E254" t="inlineStr">
        <is>
          <t>LINDESBERG</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39152-2024</t>
        </is>
      </c>
      <c r="B255" s="1" t="n">
        <v>45548</v>
      </c>
      <c r="C255" s="1" t="n">
        <v>45963</v>
      </c>
      <c r="D255" t="inlineStr">
        <is>
          <t>ÖREBRO LÄN</t>
        </is>
      </c>
      <c r="E255" t="inlineStr">
        <is>
          <t>LINDESBERG</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15752-2024</t>
        </is>
      </c>
      <c r="B256" s="1" t="n">
        <v>45404.55681712963</v>
      </c>
      <c r="C256" s="1" t="n">
        <v>45963</v>
      </c>
      <c r="D256" t="inlineStr">
        <is>
          <t>ÖREBRO LÄN</t>
        </is>
      </c>
      <c r="E256" t="inlineStr">
        <is>
          <t>LINDESBERG</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21245-2024</t>
        </is>
      </c>
      <c r="B257" s="1" t="n">
        <v>45440</v>
      </c>
      <c r="C257" s="1" t="n">
        <v>45963</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21468-2024</t>
        </is>
      </c>
      <c r="B258" s="1" t="n">
        <v>45441.48670138889</v>
      </c>
      <c r="C258" s="1" t="n">
        <v>45963</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53046-2024</t>
        </is>
      </c>
      <c r="B259" s="1" t="n">
        <v>45611.44960648148</v>
      </c>
      <c r="C259" s="1" t="n">
        <v>45963</v>
      </c>
      <c r="D259" t="inlineStr">
        <is>
          <t>ÖREBRO LÄN</t>
        </is>
      </c>
      <c r="E259" t="inlineStr">
        <is>
          <t>LINDESBERG</t>
        </is>
      </c>
      <c r="G259" t="n">
        <v>1.2</v>
      </c>
      <c r="H259" t="n">
        <v>0</v>
      </c>
      <c r="I259" t="n">
        <v>0</v>
      </c>
      <c r="J259" t="n">
        <v>0</v>
      </c>
      <c r="K259" t="n">
        <v>0</v>
      </c>
      <c r="L259" t="n">
        <v>0</v>
      </c>
      <c r="M259" t="n">
        <v>0</v>
      </c>
      <c r="N259" t="n">
        <v>0</v>
      </c>
      <c r="O259" t="n">
        <v>0</v>
      </c>
      <c r="P259" t="n">
        <v>0</v>
      </c>
      <c r="Q259" t="n">
        <v>0</v>
      </c>
      <c r="R259" s="2" t="inlineStr"/>
    </row>
    <row r="260" ht="15" customHeight="1">
      <c r="A260" t="inlineStr">
        <is>
          <t>A 18610-2021</t>
        </is>
      </c>
      <c r="B260" s="1" t="n">
        <v>44306.6371412037</v>
      </c>
      <c r="C260" s="1" t="n">
        <v>45963</v>
      </c>
      <c r="D260" t="inlineStr">
        <is>
          <t>ÖREBRO LÄN</t>
        </is>
      </c>
      <c r="E260" t="inlineStr">
        <is>
          <t>LINDESBERG</t>
        </is>
      </c>
      <c r="G260" t="n">
        <v>3</v>
      </c>
      <c r="H260" t="n">
        <v>0</v>
      </c>
      <c r="I260" t="n">
        <v>0</v>
      </c>
      <c r="J260" t="n">
        <v>0</v>
      </c>
      <c r="K260" t="n">
        <v>0</v>
      </c>
      <c r="L260" t="n">
        <v>0</v>
      </c>
      <c r="M260" t="n">
        <v>0</v>
      </c>
      <c r="N260" t="n">
        <v>0</v>
      </c>
      <c r="O260" t="n">
        <v>0</v>
      </c>
      <c r="P260" t="n">
        <v>0</v>
      </c>
      <c r="Q260" t="n">
        <v>0</v>
      </c>
      <c r="R260" s="2" t="inlineStr"/>
    </row>
    <row r="261" ht="15" customHeight="1">
      <c r="A261" t="inlineStr">
        <is>
          <t>A 17895-2022</t>
        </is>
      </c>
      <c r="B261" s="1" t="n">
        <v>44683</v>
      </c>
      <c r="C261" s="1" t="n">
        <v>45963</v>
      </c>
      <c r="D261" t="inlineStr">
        <is>
          <t>ÖREBRO LÄN</t>
        </is>
      </c>
      <c r="E261" t="inlineStr">
        <is>
          <t>LINDESBERG</t>
        </is>
      </c>
      <c r="G261" t="n">
        <v>1.3</v>
      </c>
      <c r="H261" t="n">
        <v>0</v>
      </c>
      <c r="I261" t="n">
        <v>0</v>
      </c>
      <c r="J261" t="n">
        <v>0</v>
      </c>
      <c r="K261" t="n">
        <v>0</v>
      </c>
      <c r="L261" t="n">
        <v>0</v>
      </c>
      <c r="M261" t="n">
        <v>0</v>
      </c>
      <c r="N261" t="n">
        <v>0</v>
      </c>
      <c r="O261" t="n">
        <v>0</v>
      </c>
      <c r="P261" t="n">
        <v>0</v>
      </c>
      <c r="Q261" t="n">
        <v>0</v>
      </c>
      <c r="R261" s="2" t="inlineStr"/>
    </row>
    <row r="262" ht="15" customHeight="1">
      <c r="A262" t="inlineStr">
        <is>
          <t>A 4603-2024</t>
        </is>
      </c>
      <c r="B262" s="1" t="n">
        <v>45328</v>
      </c>
      <c r="C262" s="1" t="n">
        <v>45963</v>
      </c>
      <c r="D262" t="inlineStr">
        <is>
          <t>ÖREBRO LÄN</t>
        </is>
      </c>
      <c r="E262" t="inlineStr">
        <is>
          <t>LINDESBERG</t>
        </is>
      </c>
      <c r="F262" t="inlineStr">
        <is>
          <t>BillerudKorsnäs AB</t>
        </is>
      </c>
      <c r="G262" t="n">
        <v>4.3</v>
      </c>
      <c r="H262" t="n">
        <v>0</v>
      </c>
      <c r="I262" t="n">
        <v>0</v>
      </c>
      <c r="J262" t="n">
        <v>0</v>
      </c>
      <c r="K262" t="n">
        <v>0</v>
      </c>
      <c r="L262" t="n">
        <v>0</v>
      </c>
      <c r="M262" t="n">
        <v>0</v>
      </c>
      <c r="N262" t="n">
        <v>0</v>
      </c>
      <c r="O262" t="n">
        <v>0</v>
      </c>
      <c r="P262" t="n">
        <v>0</v>
      </c>
      <c r="Q262" t="n">
        <v>0</v>
      </c>
      <c r="R262" s="2" t="inlineStr"/>
    </row>
    <row r="263" ht="15" customHeight="1">
      <c r="A263" t="inlineStr">
        <is>
          <t>A 61601-2024</t>
        </is>
      </c>
      <c r="B263" s="1" t="n">
        <v>45646.63839120371</v>
      </c>
      <c r="C263" s="1" t="n">
        <v>45963</v>
      </c>
      <c r="D263" t="inlineStr">
        <is>
          <t>ÖREBRO LÄN</t>
        </is>
      </c>
      <c r="E263" t="inlineStr">
        <is>
          <t>LINDESBERG</t>
        </is>
      </c>
      <c r="G263" t="n">
        <v>0.5</v>
      </c>
      <c r="H263" t="n">
        <v>0</v>
      </c>
      <c r="I263" t="n">
        <v>0</v>
      </c>
      <c r="J263" t="n">
        <v>0</v>
      </c>
      <c r="K263" t="n">
        <v>0</v>
      </c>
      <c r="L263" t="n">
        <v>0</v>
      </c>
      <c r="M263" t="n">
        <v>0</v>
      </c>
      <c r="N263" t="n">
        <v>0</v>
      </c>
      <c r="O263" t="n">
        <v>0</v>
      </c>
      <c r="P263" t="n">
        <v>0</v>
      </c>
      <c r="Q263" t="n">
        <v>0</v>
      </c>
      <c r="R263" s="2" t="inlineStr"/>
    </row>
    <row r="264" ht="15" customHeight="1">
      <c r="A264" t="inlineStr">
        <is>
          <t>A 51539-2024</t>
        </is>
      </c>
      <c r="B264" s="1" t="n">
        <v>45604.58837962963</v>
      </c>
      <c r="C264" s="1" t="n">
        <v>45963</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6604-2024</t>
        </is>
      </c>
      <c r="B265" s="1" t="n">
        <v>45341.56577546296</v>
      </c>
      <c r="C265" s="1" t="n">
        <v>45963</v>
      </c>
      <c r="D265" t="inlineStr">
        <is>
          <t>ÖREBRO LÄN</t>
        </is>
      </c>
      <c r="E265" t="inlineStr">
        <is>
          <t>LINDESBERG</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40038-2024</t>
        </is>
      </c>
      <c r="B266" s="1" t="n">
        <v>45553</v>
      </c>
      <c r="C266" s="1" t="n">
        <v>45963</v>
      </c>
      <c r="D266" t="inlineStr">
        <is>
          <t>ÖREBRO LÄN</t>
        </is>
      </c>
      <c r="E266" t="inlineStr">
        <is>
          <t>LINDESBERG</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61360-2024</t>
        </is>
      </c>
      <c r="B267" s="1" t="n">
        <v>45646</v>
      </c>
      <c r="C267" s="1" t="n">
        <v>45963</v>
      </c>
      <c r="D267" t="inlineStr">
        <is>
          <t>ÖREBRO LÄN</t>
        </is>
      </c>
      <c r="E267" t="inlineStr">
        <is>
          <t>LINDESBERG</t>
        </is>
      </c>
      <c r="F267" t="inlineStr">
        <is>
          <t>Sveaskog</t>
        </is>
      </c>
      <c r="G267" t="n">
        <v>6.5</v>
      </c>
      <c r="H267" t="n">
        <v>0</v>
      </c>
      <c r="I267" t="n">
        <v>0</v>
      </c>
      <c r="J267" t="n">
        <v>0</v>
      </c>
      <c r="K267" t="n">
        <v>0</v>
      </c>
      <c r="L267" t="n">
        <v>0</v>
      </c>
      <c r="M267" t="n">
        <v>0</v>
      </c>
      <c r="N267" t="n">
        <v>0</v>
      </c>
      <c r="O267" t="n">
        <v>0</v>
      </c>
      <c r="P267" t="n">
        <v>0</v>
      </c>
      <c r="Q267" t="n">
        <v>0</v>
      </c>
      <c r="R267" s="2" t="inlineStr"/>
    </row>
    <row r="268" ht="15" customHeight="1">
      <c r="A268" t="inlineStr">
        <is>
          <t>A 12276-2025</t>
        </is>
      </c>
      <c r="B268" s="1" t="n">
        <v>45729.65061342593</v>
      </c>
      <c r="C268" s="1" t="n">
        <v>45963</v>
      </c>
      <c r="D268" t="inlineStr">
        <is>
          <t>ÖREBRO LÄN</t>
        </is>
      </c>
      <c r="E268" t="inlineStr">
        <is>
          <t>LINDESBERG</t>
        </is>
      </c>
      <c r="G268" t="n">
        <v>7.6</v>
      </c>
      <c r="H268" t="n">
        <v>0</v>
      </c>
      <c r="I268" t="n">
        <v>0</v>
      </c>
      <c r="J268" t="n">
        <v>0</v>
      </c>
      <c r="K268" t="n">
        <v>0</v>
      </c>
      <c r="L268" t="n">
        <v>0</v>
      </c>
      <c r="M268" t="n">
        <v>0</v>
      </c>
      <c r="N268" t="n">
        <v>0</v>
      </c>
      <c r="O268" t="n">
        <v>0</v>
      </c>
      <c r="P268" t="n">
        <v>0</v>
      </c>
      <c r="Q268" t="n">
        <v>0</v>
      </c>
      <c r="R268" s="2" t="inlineStr"/>
    </row>
    <row r="269" ht="15" customHeight="1">
      <c r="A269" t="inlineStr">
        <is>
          <t>A 4924-2021</t>
        </is>
      </c>
      <c r="B269" s="1" t="n">
        <v>44227</v>
      </c>
      <c r="C269" s="1" t="n">
        <v>45963</v>
      </c>
      <c r="D269" t="inlineStr">
        <is>
          <t>ÖREBRO LÄN</t>
        </is>
      </c>
      <c r="E269" t="inlineStr">
        <is>
          <t>LINDESBERG</t>
        </is>
      </c>
      <c r="G269" t="n">
        <v>1.6</v>
      </c>
      <c r="H269" t="n">
        <v>0</v>
      </c>
      <c r="I269" t="n">
        <v>0</v>
      </c>
      <c r="J269" t="n">
        <v>0</v>
      </c>
      <c r="K269" t="n">
        <v>0</v>
      </c>
      <c r="L269" t="n">
        <v>0</v>
      </c>
      <c r="M269" t="n">
        <v>0</v>
      </c>
      <c r="N269" t="n">
        <v>0</v>
      </c>
      <c r="O269" t="n">
        <v>0</v>
      </c>
      <c r="P269" t="n">
        <v>0</v>
      </c>
      <c r="Q269" t="n">
        <v>0</v>
      </c>
      <c r="R269" s="2" t="inlineStr"/>
    </row>
    <row r="270" ht="15" customHeight="1">
      <c r="A270" t="inlineStr">
        <is>
          <t>A 42410-2024</t>
        </is>
      </c>
      <c r="B270" s="1" t="n">
        <v>45565</v>
      </c>
      <c r="C270" s="1" t="n">
        <v>45963</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9140-2025</t>
        </is>
      </c>
      <c r="B271" s="1" t="n">
        <v>45714.31533564815</v>
      </c>
      <c r="C271" s="1" t="n">
        <v>45963</v>
      </c>
      <c r="D271" t="inlineStr">
        <is>
          <t>ÖREBRO LÄN</t>
        </is>
      </c>
      <c r="E271" t="inlineStr">
        <is>
          <t>LINDESBERG</t>
        </is>
      </c>
      <c r="G271" t="n">
        <v>0.8</v>
      </c>
      <c r="H271" t="n">
        <v>0</v>
      </c>
      <c r="I271" t="n">
        <v>0</v>
      </c>
      <c r="J271" t="n">
        <v>0</v>
      </c>
      <c r="K271" t="n">
        <v>0</v>
      </c>
      <c r="L271" t="n">
        <v>0</v>
      </c>
      <c r="M271" t="n">
        <v>0</v>
      </c>
      <c r="N271" t="n">
        <v>0</v>
      </c>
      <c r="O271" t="n">
        <v>0</v>
      </c>
      <c r="P271" t="n">
        <v>0</v>
      </c>
      <c r="Q271" t="n">
        <v>0</v>
      </c>
      <c r="R271" s="2" t="inlineStr"/>
    </row>
    <row r="272" ht="15" customHeight="1">
      <c r="A272" t="inlineStr">
        <is>
          <t>A 14028-2023</t>
        </is>
      </c>
      <c r="B272" s="1" t="n">
        <v>45008</v>
      </c>
      <c r="C272" s="1" t="n">
        <v>45963</v>
      </c>
      <c r="D272" t="inlineStr">
        <is>
          <t>ÖREBRO LÄN</t>
        </is>
      </c>
      <c r="E272" t="inlineStr">
        <is>
          <t>LINDESBERG</t>
        </is>
      </c>
      <c r="F272" t="inlineStr">
        <is>
          <t>Kyrkan</t>
        </is>
      </c>
      <c r="G272" t="n">
        <v>1.1</v>
      </c>
      <c r="H272" t="n">
        <v>0</v>
      </c>
      <c r="I272" t="n">
        <v>0</v>
      </c>
      <c r="J272" t="n">
        <v>0</v>
      </c>
      <c r="K272" t="n">
        <v>0</v>
      </c>
      <c r="L272" t="n">
        <v>0</v>
      </c>
      <c r="M272" t="n">
        <v>0</v>
      </c>
      <c r="N272" t="n">
        <v>0</v>
      </c>
      <c r="O272" t="n">
        <v>0</v>
      </c>
      <c r="P272" t="n">
        <v>0</v>
      </c>
      <c r="Q272" t="n">
        <v>0</v>
      </c>
      <c r="R272" s="2" t="inlineStr"/>
    </row>
    <row r="273" ht="15" customHeight="1">
      <c r="A273" t="inlineStr">
        <is>
          <t>A 31024-2023</t>
        </is>
      </c>
      <c r="B273" s="1" t="n">
        <v>45113</v>
      </c>
      <c r="C273" s="1" t="n">
        <v>45963</v>
      </c>
      <c r="D273" t="inlineStr">
        <is>
          <t>ÖREBRO LÄN</t>
        </is>
      </c>
      <c r="E273" t="inlineStr">
        <is>
          <t>LINDESBERG</t>
        </is>
      </c>
      <c r="G273" t="n">
        <v>5.1</v>
      </c>
      <c r="H273" t="n">
        <v>0</v>
      </c>
      <c r="I273" t="n">
        <v>0</v>
      </c>
      <c r="J273" t="n">
        <v>0</v>
      </c>
      <c r="K273" t="n">
        <v>0</v>
      </c>
      <c r="L273" t="n">
        <v>0</v>
      </c>
      <c r="M273" t="n">
        <v>0</v>
      </c>
      <c r="N273" t="n">
        <v>0</v>
      </c>
      <c r="O273" t="n">
        <v>0</v>
      </c>
      <c r="P273" t="n">
        <v>0</v>
      </c>
      <c r="Q273" t="n">
        <v>0</v>
      </c>
      <c r="R273" s="2" t="inlineStr"/>
    </row>
    <row r="274" ht="15" customHeight="1">
      <c r="A274" t="inlineStr">
        <is>
          <t>A 12692-2024</t>
        </is>
      </c>
      <c r="B274" s="1" t="n">
        <v>45384.43418981481</v>
      </c>
      <c r="C274" s="1" t="n">
        <v>45963</v>
      </c>
      <c r="D274" t="inlineStr">
        <is>
          <t>ÖREBRO LÄN</t>
        </is>
      </c>
      <c r="E274" t="inlineStr">
        <is>
          <t>LINDESBERG</t>
        </is>
      </c>
      <c r="G274" t="n">
        <v>5.2</v>
      </c>
      <c r="H274" t="n">
        <v>0</v>
      </c>
      <c r="I274" t="n">
        <v>0</v>
      </c>
      <c r="J274" t="n">
        <v>0</v>
      </c>
      <c r="K274" t="n">
        <v>0</v>
      </c>
      <c r="L274" t="n">
        <v>0</v>
      </c>
      <c r="M274" t="n">
        <v>0</v>
      </c>
      <c r="N274" t="n">
        <v>0</v>
      </c>
      <c r="O274" t="n">
        <v>0</v>
      </c>
      <c r="P274" t="n">
        <v>0</v>
      </c>
      <c r="Q274" t="n">
        <v>0</v>
      </c>
      <c r="R274" s="2" t="inlineStr"/>
    </row>
    <row r="275" ht="15" customHeight="1">
      <c r="A275" t="inlineStr">
        <is>
          <t>A 8139-2023</t>
        </is>
      </c>
      <c r="B275" s="1" t="n">
        <v>44970</v>
      </c>
      <c r="C275" s="1" t="n">
        <v>45963</v>
      </c>
      <c r="D275" t="inlineStr">
        <is>
          <t>ÖREBRO LÄN</t>
        </is>
      </c>
      <c r="E275" t="inlineStr">
        <is>
          <t>LINDESBERG</t>
        </is>
      </c>
      <c r="G275" t="n">
        <v>3.6</v>
      </c>
      <c r="H275" t="n">
        <v>0</v>
      </c>
      <c r="I275" t="n">
        <v>0</v>
      </c>
      <c r="J275" t="n">
        <v>0</v>
      </c>
      <c r="K275" t="n">
        <v>0</v>
      </c>
      <c r="L275" t="n">
        <v>0</v>
      </c>
      <c r="M275" t="n">
        <v>0</v>
      </c>
      <c r="N275" t="n">
        <v>0</v>
      </c>
      <c r="O275" t="n">
        <v>0</v>
      </c>
      <c r="P275" t="n">
        <v>0</v>
      </c>
      <c r="Q275" t="n">
        <v>0</v>
      </c>
      <c r="R275" s="2" t="inlineStr"/>
    </row>
    <row r="276" ht="15" customHeight="1">
      <c r="A276" t="inlineStr">
        <is>
          <t>A 61594-2024</t>
        </is>
      </c>
      <c r="B276" s="1" t="n">
        <v>45646.63482638889</v>
      </c>
      <c r="C276" s="1" t="n">
        <v>45963</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17115-2025</t>
        </is>
      </c>
      <c r="B277" s="1" t="n">
        <v>45755.68247685185</v>
      </c>
      <c r="C277" s="1" t="n">
        <v>45963</v>
      </c>
      <c r="D277" t="inlineStr">
        <is>
          <t>ÖREBRO LÄN</t>
        </is>
      </c>
      <c r="E277" t="inlineStr">
        <is>
          <t>LINDESBERG</t>
        </is>
      </c>
      <c r="G277" t="n">
        <v>0.6</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45963</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16447-2025</t>
        </is>
      </c>
      <c r="B279" s="1" t="n">
        <v>45751.50498842593</v>
      </c>
      <c r="C279" s="1" t="n">
        <v>45963</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53168-2023</t>
        </is>
      </c>
      <c r="B280" s="1" t="n">
        <v>45229</v>
      </c>
      <c r="C280" s="1" t="n">
        <v>45963</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2569-2023</t>
        </is>
      </c>
      <c r="B281" s="1" t="n">
        <v>44943.73792824074</v>
      </c>
      <c r="C281" s="1" t="n">
        <v>45963</v>
      </c>
      <c r="D281" t="inlineStr">
        <is>
          <t>ÖREBRO LÄN</t>
        </is>
      </c>
      <c r="E281" t="inlineStr">
        <is>
          <t>LINDESBERG</t>
        </is>
      </c>
      <c r="G281" t="n">
        <v>2.3</v>
      </c>
      <c r="H281" t="n">
        <v>0</v>
      </c>
      <c r="I281" t="n">
        <v>0</v>
      </c>
      <c r="J281" t="n">
        <v>0</v>
      </c>
      <c r="K281" t="n">
        <v>0</v>
      </c>
      <c r="L281" t="n">
        <v>0</v>
      </c>
      <c r="M281" t="n">
        <v>0</v>
      </c>
      <c r="N281" t="n">
        <v>0</v>
      </c>
      <c r="O281" t="n">
        <v>0</v>
      </c>
      <c r="P281" t="n">
        <v>0</v>
      </c>
      <c r="Q281" t="n">
        <v>0</v>
      </c>
      <c r="R281" s="2" t="inlineStr"/>
    </row>
    <row r="282" ht="15" customHeight="1">
      <c r="A282" t="inlineStr">
        <is>
          <t>A 27052-2023</t>
        </is>
      </c>
      <c r="B282" s="1" t="n">
        <v>45095</v>
      </c>
      <c r="C282" s="1" t="n">
        <v>45963</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12053-2024</t>
        </is>
      </c>
      <c r="B283" s="1" t="n">
        <v>45377.48265046296</v>
      </c>
      <c r="C283" s="1" t="n">
        <v>45963</v>
      </c>
      <c r="D283" t="inlineStr">
        <is>
          <t>ÖREBRO LÄN</t>
        </is>
      </c>
      <c r="E283" t="inlineStr">
        <is>
          <t>LINDESBERG</t>
        </is>
      </c>
      <c r="G283" t="n">
        <v>1.7</v>
      </c>
      <c r="H283" t="n">
        <v>0</v>
      </c>
      <c r="I283" t="n">
        <v>0</v>
      </c>
      <c r="J283" t="n">
        <v>0</v>
      </c>
      <c r="K283" t="n">
        <v>0</v>
      </c>
      <c r="L283" t="n">
        <v>0</v>
      </c>
      <c r="M283" t="n">
        <v>0</v>
      </c>
      <c r="N283" t="n">
        <v>0</v>
      </c>
      <c r="O283" t="n">
        <v>0</v>
      </c>
      <c r="P283" t="n">
        <v>0</v>
      </c>
      <c r="Q283" t="n">
        <v>0</v>
      </c>
      <c r="R283" s="2" t="inlineStr"/>
    </row>
    <row r="284" ht="15" customHeight="1">
      <c r="A284" t="inlineStr">
        <is>
          <t>A 6001-2021</t>
        </is>
      </c>
      <c r="B284" s="1" t="n">
        <v>44231</v>
      </c>
      <c r="C284" s="1" t="n">
        <v>45963</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19960-2023</t>
        </is>
      </c>
      <c r="B285" s="1" t="n">
        <v>45054</v>
      </c>
      <c r="C285" s="1" t="n">
        <v>45963</v>
      </c>
      <c r="D285" t="inlineStr">
        <is>
          <t>ÖREBRO LÄN</t>
        </is>
      </c>
      <c r="E285" t="inlineStr">
        <is>
          <t>LINDESBERG</t>
        </is>
      </c>
      <c r="G285" t="n">
        <v>6.2</v>
      </c>
      <c r="H285" t="n">
        <v>0</v>
      </c>
      <c r="I285" t="n">
        <v>0</v>
      </c>
      <c r="J285" t="n">
        <v>0</v>
      </c>
      <c r="K285" t="n">
        <v>0</v>
      </c>
      <c r="L285" t="n">
        <v>0</v>
      </c>
      <c r="M285" t="n">
        <v>0</v>
      </c>
      <c r="N285" t="n">
        <v>0</v>
      </c>
      <c r="O285" t="n">
        <v>0</v>
      </c>
      <c r="P285" t="n">
        <v>0</v>
      </c>
      <c r="Q285" t="n">
        <v>0</v>
      </c>
      <c r="R285" s="2" t="inlineStr"/>
    </row>
    <row r="286" ht="15" customHeight="1">
      <c r="A286" t="inlineStr">
        <is>
          <t>A 46039-2024</t>
        </is>
      </c>
      <c r="B286" s="1" t="n">
        <v>45580.73525462963</v>
      </c>
      <c r="C286" s="1" t="n">
        <v>45963</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46647-2024</t>
        </is>
      </c>
      <c r="B287" s="1" t="n">
        <v>45583</v>
      </c>
      <c r="C287" s="1" t="n">
        <v>45963</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36748-2024</t>
        </is>
      </c>
      <c r="B288" s="1" t="n">
        <v>45538.34460648148</v>
      </c>
      <c r="C288" s="1" t="n">
        <v>45963</v>
      </c>
      <c r="D288" t="inlineStr">
        <is>
          <t>ÖREBRO LÄN</t>
        </is>
      </c>
      <c r="E288" t="inlineStr">
        <is>
          <t>LINDESBERG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43247-2023</t>
        </is>
      </c>
      <c r="B289" s="1" t="n">
        <v>45183.48666666666</v>
      </c>
      <c r="C289" s="1" t="n">
        <v>45963</v>
      </c>
      <c r="D289" t="inlineStr">
        <is>
          <t>ÖREBRO LÄN</t>
        </is>
      </c>
      <c r="E289" t="inlineStr">
        <is>
          <t>LINDESBERG</t>
        </is>
      </c>
      <c r="G289" t="n">
        <v>3</v>
      </c>
      <c r="H289" t="n">
        <v>0</v>
      </c>
      <c r="I289" t="n">
        <v>0</v>
      </c>
      <c r="J289" t="n">
        <v>0</v>
      </c>
      <c r="K289" t="n">
        <v>0</v>
      </c>
      <c r="L289" t="n">
        <v>0</v>
      </c>
      <c r="M289" t="n">
        <v>0</v>
      </c>
      <c r="N289" t="n">
        <v>0</v>
      </c>
      <c r="O289" t="n">
        <v>0</v>
      </c>
      <c r="P289" t="n">
        <v>0</v>
      </c>
      <c r="Q289" t="n">
        <v>0</v>
      </c>
      <c r="R289" s="2" t="inlineStr"/>
    </row>
    <row r="290" ht="15" customHeight="1">
      <c r="A290" t="inlineStr">
        <is>
          <t>A 25229-2021</t>
        </is>
      </c>
      <c r="B290" s="1" t="n">
        <v>44342.39703703704</v>
      </c>
      <c r="C290" s="1" t="n">
        <v>45963</v>
      </c>
      <c r="D290" t="inlineStr">
        <is>
          <t>ÖREBRO LÄN</t>
        </is>
      </c>
      <c r="E290" t="inlineStr">
        <is>
          <t>LINDESBERG</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626-2025</t>
        </is>
      </c>
      <c r="B291" s="1" t="n">
        <v>45664</v>
      </c>
      <c r="C291" s="1" t="n">
        <v>45963</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37507-2023</t>
        </is>
      </c>
      <c r="B292" s="1" t="n">
        <v>45158.41768518519</v>
      </c>
      <c r="C292" s="1" t="n">
        <v>45963</v>
      </c>
      <c r="D292" t="inlineStr">
        <is>
          <t>ÖREBRO LÄN</t>
        </is>
      </c>
      <c r="E292" t="inlineStr">
        <is>
          <t>LINDESBERG</t>
        </is>
      </c>
      <c r="G292" t="n">
        <v>0.6</v>
      </c>
      <c r="H292" t="n">
        <v>0</v>
      </c>
      <c r="I292" t="n">
        <v>0</v>
      </c>
      <c r="J292" t="n">
        <v>0</v>
      </c>
      <c r="K292" t="n">
        <v>0</v>
      </c>
      <c r="L292" t="n">
        <v>0</v>
      </c>
      <c r="M292" t="n">
        <v>0</v>
      </c>
      <c r="N292" t="n">
        <v>0</v>
      </c>
      <c r="O292" t="n">
        <v>0</v>
      </c>
      <c r="P292" t="n">
        <v>0</v>
      </c>
      <c r="Q292" t="n">
        <v>0</v>
      </c>
      <c r="R292" s="2" t="inlineStr"/>
    </row>
    <row r="293" ht="15" customHeight="1">
      <c r="A293" t="inlineStr">
        <is>
          <t>A 13573-2025</t>
        </is>
      </c>
      <c r="B293" s="1" t="n">
        <v>45736</v>
      </c>
      <c r="C293" s="1" t="n">
        <v>45963</v>
      </c>
      <c r="D293" t="inlineStr">
        <is>
          <t>ÖREBRO LÄN</t>
        </is>
      </c>
      <c r="E293" t="inlineStr">
        <is>
          <t>LINDESBERG</t>
        </is>
      </c>
      <c r="G293" t="n">
        <v>11.7</v>
      </c>
      <c r="H293" t="n">
        <v>0</v>
      </c>
      <c r="I293" t="n">
        <v>0</v>
      </c>
      <c r="J293" t="n">
        <v>0</v>
      </c>
      <c r="K293" t="n">
        <v>0</v>
      </c>
      <c r="L293" t="n">
        <v>0</v>
      </c>
      <c r="M293" t="n">
        <v>0</v>
      </c>
      <c r="N293" t="n">
        <v>0</v>
      </c>
      <c r="O293" t="n">
        <v>0</v>
      </c>
      <c r="P293" t="n">
        <v>0</v>
      </c>
      <c r="Q293" t="n">
        <v>0</v>
      </c>
      <c r="R293" s="2" t="inlineStr"/>
    </row>
    <row r="294" ht="15" customHeight="1">
      <c r="A294" t="inlineStr">
        <is>
          <t>A 28082-2021</t>
        </is>
      </c>
      <c r="B294" s="1" t="n">
        <v>44355</v>
      </c>
      <c r="C294" s="1" t="n">
        <v>45963</v>
      </c>
      <c r="D294" t="inlineStr">
        <is>
          <t>ÖREBRO LÄN</t>
        </is>
      </c>
      <c r="E294" t="inlineStr">
        <is>
          <t>LINDESBERG</t>
        </is>
      </c>
      <c r="F294" t="inlineStr">
        <is>
          <t>Sveaskog</t>
        </is>
      </c>
      <c r="G294" t="n">
        <v>9.9</v>
      </c>
      <c r="H294" t="n">
        <v>0</v>
      </c>
      <c r="I294" t="n">
        <v>0</v>
      </c>
      <c r="J294" t="n">
        <v>0</v>
      </c>
      <c r="K294" t="n">
        <v>0</v>
      </c>
      <c r="L294" t="n">
        <v>0</v>
      </c>
      <c r="M294" t="n">
        <v>0</v>
      </c>
      <c r="N294" t="n">
        <v>0</v>
      </c>
      <c r="O294" t="n">
        <v>0</v>
      </c>
      <c r="P294" t="n">
        <v>0</v>
      </c>
      <c r="Q294" t="n">
        <v>0</v>
      </c>
      <c r="R294" s="2" t="inlineStr"/>
    </row>
    <row r="295" ht="15" customHeight="1">
      <c r="A295" t="inlineStr">
        <is>
          <t>A 64427-2021</t>
        </is>
      </c>
      <c r="B295" s="1" t="n">
        <v>44511</v>
      </c>
      <c r="C295" s="1" t="n">
        <v>45963</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63686-2023</t>
        </is>
      </c>
      <c r="B296" s="1" t="n">
        <v>45274</v>
      </c>
      <c r="C296" s="1" t="n">
        <v>45963</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47620-2023</t>
        </is>
      </c>
      <c r="B297" s="1" t="n">
        <v>45203.510625</v>
      </c>
      <c r="C297" s="1" t="n">
        <v>45963</v>
      </c>
      <c r="D297" t="inlineStr">
        <is>
          <t>ÖREBRO LÄN</t>
        </is>
      </c>
      <c r="E297" t="inlineStr">
        <is>
          <t>LINDESBERG</t>
        </is>
      </c>
      <c r="G297" t="n">
        <v>2.7</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45963</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53352-2023</t>
        </is>
      </c>
      <c r="B299" s="1" t="n">
        <v>45229.66262731481</v>
      </c>
      <c r="C299" s="1" t="n">
        <v>45963</v>
      </c>
      <c r="D299" t="inlineStr">
        <is>
          <t>ÖREBRO LÄN</t>
        </is>
      </c>
      <c r="E299" t="inlineStr">
        <is>
          <t>LINDESBERG</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53189-2023</t>
        </is>
      </c>
      <c r="B300" s="1" t="n">
        <v>45194</v>
      </c>
      <c r="C300" s="1" t="n">
        <v>45963</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23649-2023</t>
        </is>
      </c>
      <c r="B301" s="1" t="n">
        <v>45074</v>
      </c>
      <c r="C301" s="1" t="n">
        <v>45963</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12562-2021</t>
        </is>
      </c>
      <c r="B302" s="1" t="n">
        <v>44267</v>
      </c>
      <c r="C302" s="1" t="n">
        <v>45963</v>
      </c>
      <c r="D302" t="inlineStr">
        <is>
          <t>ÖREBRO LÄN</t>
        </is>
      </c>
      <c r="E302" t="inlineStr">
        <is>
          <t>LINDESBERG</t>
        </is>
      </c>
      <c r="G302" t="n">
        <v>30.1</v>
      </c>
      <c r="H302" t="n">
        <v>0</v>
      </c>
      <c r="I302" t="n">
        <v>0</v>
      </c>
      <c r="J302" t="n">
        <v>0</v>
      </c>
      <c r="K302" t="n">
        <v>0</v>
      </c>
      <c r="L302" t="n">
        <v>0</v>
      </c>
      <c r="M302" t="n">
        <v>0</v>
      </c>
      <c r="N302" t="n">
        <v>0</v>
      </c>
      <c r="O302" t="n">
        <v>0</v>
      </c>
      <c r="P302" t="n">
        <v>0</v>
      </c>
      <c r="Q302" t="n">
        <v>0</v>
      </c>
      <c r="R302" s="2" t="inlineStr"/>
    </row>
    <row r="303" ht="15" customHeight="1">
      <c r="A303" t="inlineStr">
        <is>
          <t>A 45041-2024</t>
        </is>
      </c>
      <c r="B303" s="1" t="n">
        <v>45575.53690972222</v>
      </c>
      <c r="C303" s="1" t="n">
        <v>45963</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45068-2024</t>
        </is>
      </c>
      <c r="B304" s="1" t="n">
        <v>45575.56256944445</v>
      </c>
      <c r="C304" s="1" t="n">
        <v>45963</v>
      </c>
      <c r="D304" t="inlineStr">
        <is>
          <t>ÖREBRO LÄN</t>
        </is>
      </c>
      <c r="E304" t="inlineStr">
        <is>
          <t>LINDESBERG</t>
        </is>
      </c>
      <c r="F304" t="inlineStr">
        <is>
          <t>Sveaskog</t>
        </is>
      </c>
      <c r="G304" t="n">
        <v>16.5</v>
      </c>
      <c r="H304" t="n">
        <v>0</v>
      </c>
      <c r="I304" t="n">
        <v>0</v>
      </c>
      <c r="J304" t="n">
        <v>0</v>
      </c>
      <c r="K304" t="n">
        <v>0</v>
      </c>
      <c r="L304" t="n">
        <v>0</v>
      </c>
      <c r="M304" t="n">
        <v>0</v>
      </c>
      <c r="N304" t="n">
        <v>0</v>
      </c>
      <c r="O304" t="n">
        <v>0</v>
      </c>
      <c r="P304" t="n">
        <v>0</v>
      </c>
      <c r="Q304" t="n">
        <v>0</v>
      </c>
      <c r="R304" s="2" t="inlineStr"/>
    </row>
    <row r="305" ht="15" customHeight="1">
      <c r="A305" t="inlineStr">
        <is>
          <t>A 29938-2024</t>
        </is>
      </c>
      <c r="B305" s="1" t="n">
        <v>45488.41480324074</v>
      </c>
      <c r="C305" s="1" t="n">
        <v>45963</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6727-2022</t>
        </is>
      </c>
      <c r="B306" s="1" t="n">
        <v>44602.45490740741</v>
      </c>
      <c r="C306" s="1" t="n">
        <v>45963</v>
      </c>
      <c r="D306" t="inlineStr">
        <is>
          <t>ÖREBRO LÄN</t>
        </is>
      </c>
      <c r="E306" t="inlineStr">
        <is>
          <t>LINDESBERG</t>
        </is>
      </c>
      <c r="G306" t="n">
        <v>0.8</v>
      </c>
      <c r="H306" t="n">
        <v>0</v>
      </c>
      <c r="I306" t="n">
        <v>0</v>
      </c>
      <c r="J306" t="n">
        <v>0</v>
      </c>
      <c r="K306" t="n">
        <v>0</v>
      </c>
      <c r="L306" t="n">
        <v>0</v>
      </c>
      <c r="M306" t="n">
        <v>0</v>
      </c>
      <c r="N306" t="n">
        <v>0</v>
      </c>
      <c r="O306" t="n">
        <v>0</v>
      </c>
      <c r="P306" t="n">
        <v>0</v>
      </c>
      <c r="Q306" t="n">
        <v>0</v>
      </c>
      <c r="R306" s="2" t="inlineStr"/>
    </row>
    <row r="307" ht="15" customHeight="1">
      <c r="A307" t="inlineStr">
        <is>
          <t>A 47535-2022</t>
        </is>
      </c>
      <c r="B307" s="1" t="n">
        <v>44853.79818287037</v>
      </c>
      <c r="C307" s="1" t="n">
        <v>45963</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43433-2024</t>
        </is>
      </c>
      <c r="B308" s="1" t="n">
        <v>45568.64523148148</v>
      </c>
      <c r="C308" s="1" t="n">
        <v>45963</v>
      </c>
      <c r="D308" t="inlineStr">
        <is>
          <t>ÖREBRO LÄN</t>
        </is>
      </c>
      <c r="E308" t="inlineStr">
        <is>
          <t>LINDESBERG</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44803-2024</t>
        </is>
      </c>
      <c r="B309" s="1" t="n">
        <v>45574.65087962963</v>
      </c>
      <c r="C309" s="1" t="n">
        <v>45963</v>
      </c>
      <c r="D309" t="inlineStr">
        <is>
          <t>ÖREBRO LÄN</t>
        </is>
      </c>
      <c r="E309" t="inlineStr">
        <is>
          <t>LINDESBERG</t>
        </is>
      </c>
      <c r="F309" t="inlineStr">
        <is>
          <t>Sveaskog</t>
        </is>
      </c>
      <c r="G309" t="n">
        <v>6.8</v>
      </c>
      <c r="H309" t="n">
        <v>0</v>
      </c>
      <c r="I309" t="n">
        <v>0</v>
      </c>
      <c r="J309" t="n">
        <v>0</v>
      </c>
      <c r="K309" t="n">
        <v>0</v>
      </c>
      <c r="L309" t="n">
        <v>0</v>
      </c>
      <c r="M309" t="n">
        <v>0</v>
      </c>
      <c r="N309" t="n">
        <v>0</v>
      </c>
      <c r="O309" t="n">
        <v>0</v>
      </c>
      <c r="P309" t="n">
        <v>0</v>
      </c>
      <c r="Q309" t="n">
        <v>0</v>
      </c>
      <c r="R309" s="2" t="inlineStr"/>
    </row>
    <row r="310" ht="15" customHeight="1">
      <c r="A310" t="inlineStr">
        <is>
          <t>A 56217-2022</t>
        </is>
      </c>
      <c r="B310" s="1" t="n">
        <v>44890.46174768519</v>
      </c>
      <c r="C310" s="1" t="n">
        <v>45963</v>
      </c>
      <c r="D310" t="inlineStr">
        <is>
          <t>ÖREBRO LÄN</t>
        </is>
      </c>
      <c r="E310" t="inlineStr">
        <is>
          <t>LINDESBERG</t>
        </is>
      </c>
      <c r="G310" t="n">
        <v>6.9</v>
      </c>
      <c r="H310" t="n">
        <v>0</v>
      </c>
      <c r="I310" t="n">
        <v>0</v>
      </c>
      <c r="J310" t="n">
        <v>0</v>
      </c>
      <c r="K310" t="n">
        <v>0</v>
      </c>
      <c r="L310" t="n">
        <v>0</v>
      </c>
      <c r="M310" t="n">
        <v>0</v>
      </c>
      <c r="N310" t="n">
        <v>0</v>
      </c>
      <c r="O310" t="n">
        <v>0</v>
      </c>
      <c r="P310" t="n">
        <v>0</v>
      </c>
      <c r="Q310" t="n">
        <v>0</v>
      </c>
      <c r="R310" s="2" t="inlineStr"/>
    </row>
    <row r="311" ht="15" customHeight="1">
      <c r="A311" t="inlineStr">
        <is>
          <t>A 5550-2024</t>
        </is>
      </c>
      <c r="B311" s="1" t="n">
        <v>45334</v>
      </c>
      <c r="C311" s="1" t="n">
        <v>45963</v>
      </c>
      <c r="D311" t="inlineStr">
        <is>
          <t>ÖREBRO LÄN</t>
        </is>
      </c>
      <c r="E311" t="inlineStr">
        <is>
          <t>LINDESBERG</t>
        </is>
      </c>
      <c r="G311" t="n">
        <v>0.6</v>
      </c>
      <c r="H311" t="n">
        <v>0</v>
      </c>
      <c r="I311" t="n">
        <v>0</v>
      </c>
      <c r="J311" t="n">
        <v>0</v>
      </c>
      <c r="K311" t="n">
        <v>0</v>
      </c>
      <c r="L311" t="n">
        <v>0</v>
      </c>
      <c r="M311" t="n">
        <v>0</v>
      </c>
      <c r="N311" t="n">
        <v>0</v>
      </c>
      <c r="O311" t="n">
        <v>0</v>
      </c>
      <c r="P311" t="n">
        <v>0</v>
      </c>
      <c r="Q311" t="n">
        <v>0</v>
      </c>
      <c r="R311" s="2" t="inlineStr"/>
    </row>
    <row r="312" ht="15" customHeight="1">
      <c r="A312" t="inlineStr">
        <is>
          <t>A 25012-2023</t>
        </is>
      </c>
      <c r="B312" s="1" t="n">
        <v>45085</v>
      </c>
      <c r="C312" s="1" t="n">
        <v>45963</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32829-2024</t>
        </is>
      </c>
      <c r="B313" s="1" t="n">
        <v>45516.59447916667</v>
      </c>
      <c r="C313" s="1" t="n">
        <v>45963</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13823-2021</t>
        </is>
      </c>
      <c r="B314" s="1" t="n">
        <v>44276</v>
      </c>
      <c r="C314" s="1" t="n">
        <v>45963</v>
      </c>
      <c r="D314" t="inlineStr">
        <is>
          <t>ÖREBRO LÄN</t>
        </is>
      </c>
      <c r="E314" t="inlineStr">
        <is>
          <t>LINDESBERG</t>
        </is>
      </c>
      <c r="G314" t="n">
        <v>0.5</v>
      </c>
      <c r="H314" t="n">
        <v>0</v>
      </c>
      <c r="I314" t="n">
        <v>0</v>
      </c>
      <c r="J314" t="n">
        <v>0</v>
      </c>
      <c r="K314" t="n">
        <v>0</v>
      </c>
      <c r="L314" t="n">
        <v>0</v>
      </c>
      <c r="M314" t="n">
        <v>0</v>
      </c>
      <c r="N314" t="n">
        <v>0</v>
      </c>
      <c r="O314" t="n">
        <v>0</v>
      </c>
      <c r="P314" t="n">
        <v>0</v>
      </c>
      <c r="Q314" t="n">
        <v>0</v>
      </c>
      <c r="R314" s="2" t="inlineStr"/>
    </row>
    <row r="315" ht="15" customHeight="1">
      <c r="A315" t="inlineStr">
        <is>
          <t>A 23102-2023</t>
        </is>
      </c>
      <c r="B315" s="1" t="n">
        <v>45075.44152777778</v>
      </c>
      <c r="C315" s="1" t="n">
        <v>45963</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13969-2025</t>
        </is>
      </c>
      <c r="B316" s="1" t="n">
        <v>45738.43714120371</v>
      </c>
      <c r="C316" s="1" t="n">
        <v>45963</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2414-2024</t>
        </is>
      </c>
      <c r="B317" s="1" t="n">
        <v>45310.87931712963</v>
      </c>
      <c r="C317" s="1" t="n">
        <v>45963</v>
      </c>
      <c r="D317" t="inlineStr">
        <is>
          <t>ÖREBRO LÄN</t>
        </is>
      </c>
      <c r="E317" t="inlineStr">
        <is>
          <t>LINDESBERG</t>
        </is>
      </c>
      <c r="G317" t="n">
        <v>7.2</v>
      </c>
      <c r="H317" t="n">
        <v>0</v>
      </c>
      <c r="I317" t="n">
        <v>0</v>
      </c>
      <c r="J317" t="n">
        <v>0</v>
      </c>
      <c r="K317" t="n">
        <v>0</v>
      </c>
      <c r="L317" t="n">
        <v>0</v>
      </c>
      <c r="M317" t="n">
        <v>0</v>
      </c>
      <c r="N317" t="n">
        <v>0</v>
      </c>
      <c r="O317" t="n">
        <v>0</v>
      </c>
      <c r="P317" t="n">
        <v>0</v>
      </c>
      <c r="Q317" t="n">
        <v>0</v>
      </c>
      <c r="R317" s="2" t="inlineStr"/>
    </row>
    <row r="318" ht="15" customHeight="1">
      <c r="A318" t="inlineStr">
        <is>
          <t>A 29350-2022</t>
        </is>
      </c>
      <c r="B318" s="1" t="n">
        <v>44753</v>
      </c>
      <c r="C318" s="1" t="n">
        <v>45963</v>
      </c>
      <c r="D318" t="inlineStr">
        <is>
          <t>ÖREBRO LÄN</t>
        </is>
      </c>
      <c r="E318" t="inlineStr">
        <is>
          <t>LINDESBERG</t>
        </is>
      </c>
      <c r="G318" t="n">
        <v>7.7</v>
      </c>
      <c r="H318" t="n">
        <v>0</v>
      </c>
      <c r="I318" t="n">
        <v>0</v>
      </c>
      <c r="J318" t="n">
        <v>0</v>
      </c>
      <c r="K318" t="n">
        <v>0</v>
      </c>
      <c r="L318" t="n">
        <v>0</v>
      </c>
      <c r="M318" t="n">
        <v>0</v>
      </c>
      <c r="N318" t="n">
        <v>0</v>
      </c>
      <c r="O318" t="n">
        <v>0</v>
      </c>
      <c r="P318" t="n">
        <v>0</v>
      </c>
      <c r="Q318" t="n">
        <v>0</v>
      </c>
      <c r="R318" s="2" t="inlineStr"/>
    </row>
    <row r="319" ht="15" customHeight="1">
      <c r="A319" t="inlineStr">
        <is>
          <t>A 1490-2024</t>
        </is>
      </c>
      <c r="B319" s="1" t="n">
        <v>45305</v>
      </c>
      <c r="C319" s="1" t="n">
        <v>45963</v>
      </c>
      <c r="D319" t="inlineStr">
        <is>
          <t>ÖREBRO LÄN</t>
        </is>
      </c>
      <c r="E319" t="inlineStr">
        <is>
          <t>LINDESBERG</t>
        </is>
      </c>
      <c r="G319" t="n">
        <v>17.6</v>
      </c>
      <c r="H319" t="n">
        <v>0</v>
      </c>
      <c r="I319" t="n">
        <v>0</v>
      </c>
      <c r="J319" t="n">
        <v>0</v>
      </c>
      <c r="K319" t="n">
        <v>0</v>
      </c>
      <c r="L319" t="n">
        <v>0</v>
      </c>
      <c r="M319" t="n">
        <v>0</v>
      </c>
      <c r="N319" t="n">
        <v>0</v>
      </c>
      <c r="O319" t="n">
        <v>0</v>
      </c>
      <c r="P319" t="n">
        <v>0</v>
      </c>
      <c r="Q319" t="n">
        <v>0</v>
      </c>
      <c r="R319" s="2" t="inlineStr"/>
    </row>
    <row r="320" ht="15" customHeight="1">
      <c r="A320" t="inlineStr">
        <is>
          <t>A 13943-2022</t>
        </is>
      </c>
      <c r="B320" s="1" t="n">
        <v>44650.47945601852</v>
      </c>
      <c r="C320" s="1" t="n">
        <v>45963</v>
      </c>
      <c r="D320" t="inlineStr">
        <is>
          <t>ÖREBRO LÄN</t>
        </is>
      </c>
      <c r="E320" t="inlineStr">
        <is>
          <t>LINDESBERG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53510-2024</t>
        </is>
      </c>
      <c r="B321" s="1" t="n">
        <v>45614.5968287037</v>
      </c>
      <c r="C321" s="1" t="n">
        <v>45963</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27434-2023</t>
        </is>
      </c>
      <c r="B322" s="1" t="n">
        <v>45097.38688657407</v>
      </c>
      <c r="C322" s="1" t="n">
        <v>45963</v>
      </c>
      <c r="D322" t="inlineStr">
        <is>
          <t>ÖREBRO LÄN</t>
        </is>
      </c>
      <c r="E322" t="inlineStr">
        <is>
          <t>LINDESBERG</t>
        </is>
      </c>
      <c r="G322" t="n">
        <v>10.7</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45963</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7201-2024</t>
        </is>
      </c>
      <c r="B324" s="1" t="n">
        <v>45344.6027662037</v>
      </c>
      <c r="C324" s="1" t="n">
        <v>45963</v>
      </c>
      <c r="D324" t="inlineStr">
        <is>
          <t>ÖREBRO LÄN</t>
        </is>
      </c>
      <c r="E324" t="inlineStr">
        <is>
          <t>LINDESBERG</t>
        </is>
      </c>
      <c r="G324" t="n">
        <v>4.7</v>
      </c>
      <c r="H324" t="n">
        <v>0</v>
      </c>
      <c r="I324" t="n">
        <v>0</v>
      </c>
      <c r="J324" t="n">
        <v>0</v>
      </c>
      <c r="K324" t="n">
        <v>0</v>
      </c>
      <c r="L324" t="n">
        <v>0</v>
      </c>
      <c r="M324" t="n">
        <v>0</v>
      </c>
      <c r="N324" t="n">
        <v>0</v>
      </c>
      <c r="O324" t="n">
        <v>0</v>
      </c>
      <c r="P324" t="n">
        <v>0</v>
      </c>
      <c r="Q324" t="n">
        <v>0</v>
      </c>
      <c r="R324" s="2" t="inlineStr"/>
    </row>
    <row r="325" ht="15" customHeight="1">
      <c r="A325" t="inlineStr">
        <is>
          <t>A 5080-2024</t>
        </is>
      </c>
      <c r="B325" s="1" t="n">
        <v>45330</v>
      </c>
      <c r="C325" s="1" t="n">
        <v>45963</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53366-2023</t>
        </is>
      </c>
      <c r="B326" s="1" t="n">
        <v>45229</v>
      </c>
      <c r="C326" s="1" t="n">
        <v>45963</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42430-2024</t>
        </is>
      </c>
      <c r="B327" s="1" t="n">
        <v>45565.40700231482</v>
      </c>
      <c r="C327" s="1" t="n">
        <v>45963</v>
      </c>
      <c r="D327" t="inlineStr">
        <is>
          <t>ÖREBRO LÄN</t>
        </is>
      </c>
      <c r="E327" t="inlineStr">
        <is>
          <t>LINDESBERG</t>
        </is>
      </c>
      <c r="G327" t="n">
        <v>4</v>
      </c>
      <c r="H327" t="n">
        <v>0</v>
      </c>
      <c r="I327" t="n">
        <v>0</v>
      </c>
      <c r="J327" t="n">
        <v>0</v>
      </c>
      <c r="K327" t="n">
        <v>0</v>
      </c>
      <c r="L327" t="n">
        <v>0</v>
      </c>
      <c r="M327" t="n">
        <v>0</v>
      </c>
      <c r="N327" t="n">
        <v>0</v>
      </c>
      <c r="O327" t="n">
        <v>0</v>
      </c>
      <c r="P327" t="n">
        <v>0</v>
      </c>
      <c r="Q327" t="n">
        <v>0</v>
      </c>
      <c r="R327" s="2" t="inlineStr"/>
    </row>
    <row r="328" ht="15" customHeight="1">
      <c r="A328" t="inlineStr">
        <is>
          <t>A 4440-2024</t>
        </is>
      </c>
      <c r="B328" s="1" t="n">
        <v>45327</v>
      </c>
      <c r="C328" s="1" t="n">
        <v>45963</v>
      </c>
      <c r="D328" t="inlineStr">
        <is>
          <t>ÖREBRO LÄN</t>
        </is>
      </c>
      <c r="E328" t="inlineStr">
        <is>
          <t>LINDESBERG</t>
        </is>
      </c>
      <c r="F328" t="inlineStr">
        <is>
          <t>BillerudKorsnäs AB</t>
        </is>
      </c>
      <c r="G328" t="n">
        <v>2</v>
      </c>
      <c r="H328" t="n">
        <v>0</v>
      </c>
      <c r="I328" t="n">
        <v>0</v>
      </c>
      <c r="J328" t="n">
        <v>0</v>
      </c>
      <c r="K328" t="n">
        <v>0</v>
      </c>
      <c r="L328" t="n">
        <v>0</v>
      </c>
      <c r="M328" t="n">
        <v>0</v>
      </c>
      <c r="N328" t="n">
        <v>0</v>
      </c>
      <c r="O328" t="n">
        <v>0</v>
      </c>
      <c r="P328" t="n">
        <v>0</v>
      </c>
      <c r="Q328" t="n">
        <v>0</v>
      </c>
      <c r="R328" s="2" t="inlineStr"/>
    </row>
    <row r="329" ht="15" customHeight="1">
      <c r="A329" t="inlineStr">
        <is>
          <t>A 60449-2024</t>
        </is>
      </c>
      <c r="B329" s="1" t="n">
        <v>45643</v>
      </c>
      <c r="C329" s="1" t="n">
        <v>45963</v>
      </c>
      <c r="D329" t="inlineStr">
        <is>
          <t>ÖREBRO LÄN</t>
        </is>
      </c>
      <c r="E329" t="inlineStr">
        <is>
          <t>LINDESBERG</t>
        </is>
      </c>
      <c r="G329" t="n">
        <v>1.2</v>
      </c>
      <c r="H329" t="n">
        <v>0</v>
      </c>
      <c r="I329" t="n">
        <v>0</v>
      </c>
      <c r="J329" t="n">
        <v>0</v>
      </c>
      <c r="K329" t="n">
        <v>0</v>
      </c>
      <c r="L329" t="n">
        <v>0</v>
      </c>
      <c r="M329" t="n">
        <v>0</v>
      </c>
      <c r="N329" t="n">
        <v>0</v>
      </c>
      <c r="O329" t="n">
        <v>0</v>
      </c>
      <c r="P329" t="n">
        <v>0</v>
      </c>
      <c r="Q329" t="n">
        <v>0</v>
      </c>
      <c r="R329" s="2" t="inlineStr"/>
    </row>
    <row r="330" ht="15" customHeight="1">
      <c r="A330" t="inlineStr">
        <is>
          <t>A 15894-2025</t>
        </is>
      </c>
      <c r="B330" s="1" t="n">
        <v>45749</v>
      </c>
      <c r="C330" s="1" t="n">
        <v>45963</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15899-2025</t>
        </is>
      </c>
      <c r="B331" s="1" t="n">
        <v>45749.42258101852</v>
      </c>
      <c r="C331" s="1" t="n">
        <v>45963</v>
      </c>
      <c r="D331" t="inlineStr">
        <is>
          <t>ÖREBRO LÄN</t>
        </is>
      </c>
      <c r="E331" t="inlineStr">
        <is>
          <t>LINDESBERG</t>
        </is>
      </c>
      <c r="G331" t="n">
        <v>6.6</v>
      </c>
      <c r="H331" t="n">
        <v>0</v>
      </c>
      <c r="I331" t="n">
        <v>0</v>
      </c>
      <c r="J331" t="n">
        <v>0</v>
      </c>
      <c r="K331" t="n">
        <v>0</v>
      </c>
      <c r="L331" t="n">
        <v>0</v>
      </c>
      <c r="M331" t="n">
        <v>0</v>
      </c>
      <c r="N331" t="n">
        <v>0</v>
      </c>
      <c r="O331" t="n">
        <v>0</v>
      </c>
      <c r="P331" t="n">
        <v>0</v>
      </c>
      <c r="Q331" t="n">
        <v>0</v>
      </c>
      <c r="R331" s="2" t="inlineStr"/>
    </row>
    <row r="332" ht="15" customHeight="1">
      <c r="A332" t="inlineStr">
        <is>
          <t>A 36754-2024</t>
        </is>
      </c>
      <c r="B332" s="1" t="n">
        <v>45538.34796296297</v>
      </c>
      <c r="C332" s="1" t="n">
        <v>45963</v>
      </c>
      <c r="D332" t="inlineStr">
        <is>
          <t>ÖREBRO LÄN</t>
        </is>
      </c>
      <c r="E332" t="inlineStr">
        <is>
          <t>LINDESBERG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52284-2024</t>
        </is>
      </c>
      <c r="B333" s="1" t="n">
        <v>45608</v>
      </c>
      <c r="C333" s="1" t="n">
        <v>45963</v>
      </c>
      <c r="D333" t="inlineStr">
        <is>
          <t>ÖREBRO LÄN</t>
        </is>
      </c>
      <c r="E333" t="inlineStr">
        <is>
          <t>LINDESBERG</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15895-2025</t>
        </is>
      </c>
      <c r="B334" s="1" t="n">
        <v>45749</v>
      </c>
      <c r="C334" s="1" t="n">
        <v>45963</v>
      </c>
      <c r="D334" t="inlineStr">
        <is>
          <t>ÖREBRO LÄN</t>
        </is>
      </c>
      <c r="E334" t="inlineStr">
        <is>
          <t>LINDESBERG</t>
        </is>
      </c>
      <c r="G334" t="n">
        <v>1</v>
      </c>
      <c r="H334" t="n">
        <v>0</v>
      </c>
      <c r="I334" t="n">
        <v>0</v>
      </c>
      <c r="J334" t="n">
        <v>0</v>
      </c>
      <c r="K334" t="n">
        <v>0</v>
      </c>
      <c r="L334" t="n">
        <v>0</v>
      </c>
      <c r="M334" t="n">
        <v>0</v>
      </c>
      <c r="N334" t="n">
        <v>0</v>
      </c>
      <c r="O334" t="n">
        <v>0</v>
      </c>
      <c r="P334" t="n">
        <v>0</v>
      </c>
      <c r="Q334" t="n">
        <v>0</v>
      </c>
      <c r="R334" s="2" t="inlineStr"/>
    </row>
    <row r="335" ht="15" customHeight="1">
      <c r="A335" t="inlineStr">
        <is>
          <t>A 43529-2024</t>
        </is>
      </c>
      <c r="B335" s="1" t="n">
        <v>45569.35209490741</v>
      </c>
      <c r="C335" s="1" t="n">
        <v>45963</v>
      </c>
      <c r="D335" t="inlineStr">
        <is>
          <t>ÖREBRO LÄN</t>
        </is>
      </c>
      <c r="E335" t="inlineStr">
        <is>
          <t>LINDESBERG</t>
        </is>
      </c>
      <c r="G335" t="n">
        <v>2.8</v>
      </c>
      <c r="H335" t="n">
        <v>0</v>
      </c>
      <c r="I335" t="n">
        <v>0</v>
      </c>
      <c r="J335" t="n">
        <v>0</v>
      </c>
      <c r="K335" t="n">
        <v>0</v>
      </c>
      <c r="L335" t="n">
        <v>0</v>
      </c>
      <c r="M335" t="n">
        <v>0</v>
      </c>
      <c r="N335" t="n">
        <v>0</v>
      </c>
      <c r="O335" t="n">
        <v>0</v>
      </c>
      <c r="P335" t="n">
        <v>0</v>
      </c>
      <c r="Q335" t="n">
        <v>0</v>
      </c>
      <c r="R335" s="2" t="inlineStr"/>
    </row>
    <row r="336" ht="15" customHeight="1">
      <c r="A336" t="inlineStr">
        <is>
          <t>A 1354-2024</t>
        </is>
      </c>
      <c r="B336" s="1" t="n">
        <v>45303</v>
      </c>
      <c r="C336" s="1" t="n">
        <v>45963</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27001-2024</t>
        </is>
      </c>
      <c r="B337" s="1" t="n">
        <v>45471.38995370371</v>
      </c>
      <c r="C337" s="1" t="n">
        <v>45963</v>
      </c>
      <c r="D337" t="inlineStr">
        <is>
          <t>ÖREBRO LÄN</t>
        </is>
      </c>
      <c r="E337" t="inlineStr">
        <is>
          <t>LINDESBERG</t>
        </is>
      </c>
      <c r="G337" t="n">
        <v>2.8</v>
      </c>
      <c r="H337" t="n">
        <v>0</v>
      </c>
      <c r="I337" t="n">
        <v>0</v>
      </c>
      <c r="J337" t="n">
        <v>0</v>
      </c>
      <c r="K337" t="n">
        <v>0</v>
      </c>
      <c r="L337" t="n">
        <v>0</v>
      </c>
      <c r="M337" t="n">
        <v>0</v>
      </c>
      <c r="N337" t="n">
        <v>0</v>
      </c>
      <c r="O337" t="n">
        <v>0</v>
      </c>
      <c r="P337" t="n">
        <v>0</v>
      </c>
      <c r="Q337" t="n">
        <v>0</v>
      </c>
      <c r="R337" s="2" t="inlineStr"/>
    </row>
    <row r="338" ht="15" customHeight="1">
      <c r="A338" t="inlineStr">
        <is>
          <t>A 10825-2021</t>
        </is>
      </c>
      <c r="B338" s="1" t="n">
        <v>44259</v>
      </c>
      <c r="C338" s="1" t="n">
        <v>45963</v>
      </c>
      <c r="D338" t="inlineStr">
        <is>
          <t>ÖREBRO LÄN</t>
        </is>
      </c>
      <c r="E338" t="inlineStr">
        <is>
          <t>LINDESBERG</t>
        </is>
      </c>
      <c r="G338" t="n">
        <v>7.4</v>
      </c>
      <c r="H338" t="n">
        <v>0</v>
      </c>
      <c r="I338" t="n">
        <v>0</v>
      </c>
      <c r="J338" t="n">
        <v>0</v>
      </c>
      <c r="K338" t="n">
        <v>0</v>
      </c>
      <c r="L338" t="n">
        <v>0</v>
      </c>
      <c r="M338" t="n">
        <v>0</v>
      </c>
      <c r="N338" t="n">
        <v>0</v>
      </c>
      <c r="O338" t="n">
        <v>0</v>
      </c>
      <c r="P338" t="n">
        <v>0</v>
      </c>
      <c r="Q338" t="n">
        <v>0</v>
      </c>
      <c r="R338" s="2" t="inlineStr"/>
    </row>
    <row r="339" ht="15" customHeight="1">
      <c r="A339" t="inlineStr">
        <is>
          <t>A 56561-2023</t>
        </is>
      </c>
      <c r="B339" s="1" t="n">
        <v>45243</v>
      </c>
      <c r="C339" s="1" t="n">
        <v>45963</v>
      </c>
      <c r="D339" t="inlineStr">
        <is>
          <t>ÖREBRO LÄN</t>
        </is>
      </c>
      <c r="E339" t="inlineStr">
        <is>
          <t>LINDESBERG</t>
        </is>
      </c>
      <c r="G339" t="n">
        <v>1.9</v>
      </c>
      <c r="H339" t="n">
        <v>0</v>
      </c>
      <c r="I339" t="n">
        <v>0</v>
      </c>
      <c r="J339" t="n">
        <v>0</v>
      </c>
      <c r="K339" t="n">
        <v>0</v>
      </c>
      <c r="L339" t="n">
        <v>0</v>
      </c>
      <c r="M339" t="n">
        <v>0</v>
      </c>
      <c r="N339" t="n">
        <v>0</v>
      </c>
      <c r="O339" t="n">
        <v>0</v>
      </c>
      <c r="P339" t="n">
        <v>0</v>
      </c>
      <c r="Q339" t="n">
        <v>0</v>
      </c>
      <c r="R339" s="2" t="inlineStr"/>
    </row>
    <row r="340" ht="15" customHeight="1">
      <c r="A340" t="inlineStr">
        <is>
          <t>A 52930-2024</t>
        </is>
      </c>
      <c r="B340" s="1" t="n">
        <v>45610.7466087963</v>
      </c>
      <c r="C340" s="1" t="n">
        <v>45963</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56579-2023</t>
        </is>
      </c>
      <c r="B341" s="1" t="n">
        <v>45243.62420138889</v>
      </c>
      <c r="C341" s="1" t="n">
        <v>45963</v>
      </c>
      <c r="D341" t="inlineStr">
        <is>
          <t>ÖREBRO LÄN</t>
        </is>
      </c>
      <c r="E341" t="inlineStr">
        <is>
          <t>LINDESBERG</t>
        </is>
      </c>
      <c r="F341" t="inlineStr">
        <is>
          <t>Naturvårdsverket</t>
        </is>
      </c>
      <c r="G341" t="n">
        <v>1.6</v>
      </c>
      <c r="H341" t="n">
        <v>0</v>
      </c>
      <c r="I341" t="n">
        <v>0</v>
      </c>
      <c r="J341" t="n">
        <v>0</v>
      </c>
      <c r="K341" t="n">
        <v>0</v>
      </c>
      <c r="L341" t="n">
        <v>0</v>
      </c>
      <c r="M341" t="n">
        <v>0</v>
      </c>
      <c r="N341" t="n">
        <v>0</v>
      </c>
      <c r="O341" t="n">
        <v>0</v>
      </c>
      <c r="P341" t="n">
        <v>0</v>
      </c>
      <c r="Q341" t="n">
        <v>0</v>
      </c>
      <c r="R341" s="2" t="inlineStr"/>
    </row>
    <row r="342" ht="15" customHeight="1">
      <c r="A342" t="inlineStr">
        <is>
          <t>A 56582-2023</t>
        </is>
      </c>
      <c r="B342" s="1" t="n">
        <v>45243</v>
      </c>
      <c r="C342" s="1" t="n">
        <v>45963</v>
      </c>
      <c r="D342" t="inlineStr">
        <is>
          <t>ÖREBRO LÄN</t>
        </is>
      </c>
      <c r="E342" t="inlineStr">
        <is>
          <t>LINDESBERG</t>
        </is>
      </c>
      <c r="F342" t="inlineStr">
        <is>
          <t>Naturvårdsverket</t>
        </is>
      </c>
      <c r="G342" t="n">
        <v>2.3</v>
      </c>
      <c r="H342" t="n">
        <v>0</v>
      </c>
      <c r="I342" t="n">
        <v>0</v>
      </c>
      <c r="J342" t="n">
        <v>0</v>
      </c>
      <c r="K342" t="n">
        <v>0</v>
      </c>
      <c r="L342" t="n">
        <v>0</v>
      </c>
      <c r="M342" t="n">
        <v>0</v>
      </c>
      <c r="N342" t="n">
        <v>0</v>
      </c>
      <c r="O342" t="n">
        <v>0</v>
      </c>
      <c r="P342" t="n">
        <v>0</v>
      </c>
      <c r="Q342" t="n">
        <v>0</v>
      </c>
      <c r="R342" s="2" t="inlineStr"/>
    </row>
    <row r="343" ht="15" customHeight="1">
      <c r="A343" t="inlineStr">
        <is>
          <t>A 62770-2020</t>
        </is>
      </c>
      <c r="B343" s="1" t="n">
        <v>44161</v>
      </c>
      <c r="C343" s="1" t="n">
        <v>45963</v>
      </c>
      <c r="D343" t="inlineStr">
        <is>
          <t>ÖREBRO LÄN</t>
        </is>
      </c>
      <c r="E343" t="inlineStr">
        <is>
          <t>LINDESBERG</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26067-2022</t>
        </is>
      </c>
      <c r="B344" s="1" t="n">
        <v>44734.64337962963</v>
      </c>
      <c r="C344" s="1" t="n">
        <v>45963</v>
      </c>
      <c r="D344" t="inlineStr">
        <is>
          <t>ÖREBRO LÄN</t>
        </is>
      </c>
      <c r="E344" t="inlineStr">
        <is>
          <t>LINDESBERG</t>
        </is>
      </c>
      <c r="G344" t="n">
        <v>3.1</v>
      </c>
      <c r="H344" t="n">
        <v>0</v>
      </c>
      <c r="I344" t="n">
        <v>0</v>
      </c>
      <c r="J344" t="n">
        <v>0</v>
      </c>
      <c r="K344" t="n">
        <v>0</v>
      </c>
      <c r="L344" t="n">
        <v>0</v>
      </c>
      <c r="M344" t="n">
        <v>0</v>
      </c>
      <c r="N344" t="n">
        <v>0</v>
      </c>
      <c r="O344" t="n">
        <v>0</v>
      </c>
      <c r="P344" t="n">
        <v>0</v>
      </c>
      <c r="Q344" t="n">
        <v>0</v>
      </c>
      <c r="R344" s="2" t="inlineStr"/>
    </row>
    <row r="345" ht="15" customHeight="1">
      <c r="A345" t="inlineStr">
        <is>
          <t>A 59395-2022</t>
        </is>
      </c>
      <c r="B345" s="1" t="n">
        <v>44906.73321759259</v>
      </c>
      <c r="C345" s="1" t="n">
        <v>45963</v>
      </c>
      <c r="D345" t="inlineStr">
        <is>
          <t>ÖREBRO LÄN</t>
        </is>
      </c>
      <c r="E345" t="inlineStr">
        <is>
          <t>LINDESBERG</t>
        </is>
      </c>
      <c r="G345" t="n">
        <v>4.3</v>
      </c>
      <c r="H345" t="n">
        <v>0</v>
      </c>
      <c r="I345" t="n">
        <v>0</v>
      </c>
      <c r="J345" t="n">
        <v>0</v>
      </c>
      <c r="K345" t="n">
        <v>0</v>
      </c>
      <c r="L345" t="n">
        <v>0</v>
      </c>
      <c r="M345" t="n">
        <v>0</v>
      </c>
      <c r="N345" t="n">
        <v>0</v>
      </c>
      <c r="O345" t="n">
        <v>0</v>
      </c>
      <c r="P345" t="n">
        <v>0</v>
      </c>
      <c r="Q345" t="n">
        <v>0</v>
      </c>
      <c r="R345" s="2" t="inlineStr"/>
    </row>
    <row r="346" ht="15" customHeight="1">
      <c r="A346" t="inlineStr">
        <is>
          <t>A 41947-2023</t>
        </is>
      </c>
      <c r="B346" s="1" t="n">
        <v>45177.31795138889</v>
      </c>
      <c r="C346" s="1" t="n">
        <v>45963</v>
      </c>
      <c r="D346" t="inlineStr">
        <is>
          <t>ÖREBRO LÄN</t>
        </is>
      </c>
      <c r="E346" t="inlineStr">
        <is>
          <t>LINDESBERG</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37738-2024</t>
        </is>
      </c>
      <c r="B347" s="1" t="n">
        <v>45541.66916666667</v>
      </c>
      <c r="C347" s="1" t="n">
        <v>45963</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19043-2023</t>
        </is>
      </c>
      <c r="B348" s="1" t="n">
        <v>45047.7181712963</v>
      </c>
      <c r="C348" s="1" t="n">
        <v>45963</v>
      </c>
      <c r="D348" t="inlineStr">
        <is>
          <t>ÖREBRO LÄN</t>
        </is>
      </c>
      <c r="E348" t="inlineStr">
        <is>
          <t>LINDESBERG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41343-2021</t>
        </is>
      </c>
      <c r="B349" s="1" t="n">
        <v>44424.61709490741</v>
      </c>
      <c r="C349" s="1" t="n">
        <v>45963</v>
      </c>
      <c r="D349" t="inlineStr">
        <is>
          <t>ÖREBRO LÄN</t>
        </is>
      </c>
      <c r="E349" t="inlineStr">
        <is>
          <t>LINDESBERG</t>
        </is>
      </c>
      <c r="G349" t="n">
        <v>8.9</v>
      </c>
      <c r="H349" t="n">
        <v>0</v>
      </c>
      <c r="I349" t="n">
        <v>0</v>
      </c>
      <c r="J349" t="n">
        <v>0</v>
      </c>
      <c r="K349" t="n">
        <v>0</v>
      </c>
      <c r="L349" t="n">
        <v>0</v>
      </c>
      <c r="M349" t="n">
        <v>0</v>
      </c>
      <c r="N349" t="n">
        <v>0</v>
      </c>
      <c r="O349" t="n">
        <v>0</v>
      </c>
      <c r="P349" t="n">
        <v>0</v>
      </c>
      <c r="Q349" t="n">
        <v>0</v>
      </c>
      <c r="R349" s="2" t="inlineStr"/>
    </row>
    <row r="350" ht="15" customHeight="1">
      <c r="A350" t="inlineStr">
        <is>
          <t>A 54864-2024</t>
        </is>
      </c>
      <c r="B350" s="1" t="n">
        <v>45618.59456018519</v>
      </c>
      <c r="C350" s="1" t="n">
        <v>45963</v>
      </c>
      <c r="D350" t="inlineStr">
        <is>
          <t>ÖREBRO LÄN</t>
        </is>
      </c>
      <c r="E350" t="inlineStr">
        <is>
          <t>LINDESBERG</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43416-2024</t>
        </is>
      </c>
      <c r="B351" s="1" t="n">
        <v>45568.62625</v>
      </c>
      <c r="C351" s="1" t="n">
        <v>45963</v>
      </c>
      <c r="D351" t="inlineStr">
        <is>
          <t>ÖREBRO LÄN</t>
        </is>
      </c>
      <c r="E351" t="inlineStr">
        <is>
          <t>LINDESBERG</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32009-2023</t>
        </is>
      </c>
      <c r="B352" s="1" t="n">
        <v>45119</v>
      </c>
      <c r="C352" s="1" t="n">
        <v>45963</v>
      </c>
      <c r="D352" t="inlineStr">
        <is>
          <t>ÖREBRO LÄN</t>
        </is>
      </c>
      <c r="E352" t="inlineStr">
        <is>
          <t>LINDESBERG</t>
        </is>
      </c>
      <c r="F352" t="inlineStr">
        <is>
          <t>Kyrkan</t>
        </is>
      </c>
      <c r="G352" t="n">
        <v>0.8</v>
      </c>
      <c r="H352" t="n">
        <v>0</v>
      </c>
      <c r="I352" t="n">
        <v>0</v>
      </c>
      <c r="J352" t="n">
        <v>0</v>
      </c>
      <c r="K352" t="n">
        <v>0</v>
      </c>
      <c r="L352" t="n">
        <v>0</v>
      </c>
      <c r="M352" t="n">
        <v>0</v>
      </c>
      <c r="N352" t="n">
        <v>0</v>
      </c>
      <c r="O352" t="n">
        <v>0</v>
      </c>
      <c r="P352" t="n">
        <v>0</v>
      </c>
      <c r="Q352" t="n">
        <v>0</v>
      </c>
      <c r="R352" s="2" t="inlineStr"/>
    </row>
    <row r="353" ht="15" customHeight="1">
      <c r="A353" t="inlineStr">
        <is>
          <t>A 15933-2025</t>
        </is>
      </c>
      <c r="B353" s="1" t="n">
        <v>45749.47251157407</v>
      </c>
      <c r="C353" s="1" t="n">
        <v>45963</v>
      </c>
      <c r="D353" t="inlineStr">
        <is>
          <t>ÖREBRO LÄN</t>
        </is>
      </c>
      <c r="E353" t="inlineStr">
        <is>
          <t>LINDESBERG</t>
        </is>
      </c>
      <c r="G353" t="n">
        <v>6.1</v>
      </c>
      <c r="H353" t="n">
        <v>0</v>
      </c>
      <c r="I353" t="n">
        <v>0</v>
      </c>
      <c r="J353" t="n">
        <v>0</v>
      </c>
      <c r="K353" t="n">
        <v>0</v>
      </c>
      <c r="L353" t="n">
        <v>0</v>
      </c>
      <c r="M353" t="n">
        <v>0</v>
      </c>
      <c r="N353" t="n">
        <v>0</v>
      </c>
      <c r="O353" t="n">
        <v>0</v>
      </c>
      <c r="P353" t="n">
        <v>0</v>
      </c>
      <c r="Q353" t="n">
        <v>0</v>
      </c>
      <c r="R353" s="2" t="inlineStr"/>
    </row>
    <row r="354" ht="15" customHeight="1">
      <c r="A354" t="inlineStr">
        <is>
          <t>A 10654-2023</t>
        </is>
      </c>
      <c r="B354" s="1" t="n">
        <v>44984</v>
      </c>
      <c r="C354" s="1" t="n">
        <v>45963</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3148-2023</t>
        </is>
      </c>
      <c r="B355" s="1" t="n">
        <v>44946.54424768518</v>
      </c>
      <c r="C355" s="1" t="n">
        <v>45963</v>
      </c>
      <c r="D355" t="inlineStr">
        <is>
          <t>ÖREBRO LÄN</t>
        </is>
      </c>
      <c r="E355" t="inlineStr">
        <is>
          <t>LINDESBERG</t>
        </is>
      </c>
      <c r="G355" t="n">
        <v>5.5</v>
      </c>
      <c r="H355" t="n">
        <v>0</v>
      </c>
      <c r="I355" t="n">
        <v>0</v>
      </c>
      <c r="J355" t="n">
        <v>0</v>
      </c>
      <c r="K355" t="n">
        <v>0</v>
      </c>
      <c r="L355" t="n">
        <v>0</v>
      </c>
      <c r="M355" t="n">
        <v>0</v>
      </c>
      <c r="N355" t="n">
        <v>0</v>
      </c>
      <c r="O355" t="n">
        <v>0</v>
      </c>
      <c r="P355" t="n">
        <v>0</v>
      </c>
      <c r="Q355" t="n">
        <v>0</v>
      </c>
      <c r="R355" s="2" t="inlineStr"/>
    </row>
    <row r="356" ht="15" customHeight="1">
      <c r="A356" t="inlineStr">
        <is>
          <t>A 54855-2024</t>
        </is>
      </c>
      <c r="B356" s="1" t="n">
        <v>45618.58622685185</v>
      </c>
      <c r="C356" s="1" t="n">
        <v>45963</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63125-2023</t>
        </is>
      </c>
      <c r="B357" s="1" t="n">
        <v>45273</v>
      </c>
      <c r="C357" s="1" t="n">
        <v>45963</v>
      </c>
      <c r="D357" t="inlineStr">
        <is>
          <t>ÖREBRO LÄN</t>
        </is>
      </c>
      <c r="E357" t="inlineStr">
        <is>
          <t>LINDESBERG</t>
        </is>
      </c>
      <c r="G357" t="n">
        <v>1.7</v>
      </c>
      <c r="H357" t="n">
        <v>0</v>
      </c>
      <c r="I357" t="n">
        <v>0</v>
      </c>
      <c r="J357" t="n">
        <v>0</v>
      </c>
      <c r="K357" t="n">
        <v>0</v>
      </c>
      <c r="L357" t="n">
        <v>0</v>
      </c>
      <c r="M357" t="n">
        <v>0</v>
      </c>
      <c r="N357" t="n">
        <v>0</v>
      </c>
      <c r="O357" t="n">
        <v>0</v>
      </c>
      <c r="P357" t="n">
        <v>0</v>
      </c>
      <c r="Q357" t="n">
        <v>0</v>
      </c>
      <c r="R357" s="2" t="inlineStr"/>
    </row>
    <row r="358" ht="15" customHeight="1">
      <c r="A358" t="inlineStr">
        <is>
          <t>A 62968-2023</t>
        </is>
      </c>
      <c r="B358" s="1" t="n">
        <v>45272.57385416667</v>
      </c>
      <c r="C358" s="1" t="n">
        <v>45963</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56260-2021</t>
        </is>
      </c>
      <c r="B359" s="1" t="n">
        <v>44479.58512731481</v>
      </c>
      <c r="C359" s="1" t="n">
        <v>45963</v>
      </c>
      <c r="D359" t="inlineStr">
        <is>
          <t>ÖREBRO LÄN</t>
        </is>
      </c>
      <c r="E359" t="inlineStr">
        <is>
          <t>LINDESBERG</t>
        </is>
      </c>
      <c r="G359" t="n">
        <v>1.4</v>
      </c>
      <c r="H359" t="n">
        <v>0</v>
      </c>
      <c r="I359" t="n">
        <v>0</v>
      </c>
      <c r="J359" t="n">
        <v>0</v>
      </c>
      <c r="K359" t="n">
        <v>0</v>
      </c>
      <c r="L359" t="n">
        <v>0</v>
      </c>
      <c r="M359" t="n">
        <v>0</v>
      </c>
      <c r="N359" t="n">
        <v>0</v>
      </c>
      <c r="O359" t="n">
        <v>0</v>
      </c>
      <c r="P359" t="n">
        <v>0</v>
      </c>
      <c r="Q359" t="n">
        <v>0</v>
      </c>
      <c r="R359" s="2" t="inlineStr"/>
    </row>
    <row r="360" ht="15" customHeight="1">
      <c r="A360" t="inlineStr">
        <is>
          <t>A 37432-2022</t>
        </is>
      </c>
      <c r="B360" s="1" t="n">
        <v>44809</v>
      </c>
      <c r="C360" s="1" t="n">
        <v>45963</v>
      </c>
      <c r="D360" t="inlineStr">
        <is>
          <t>ÖREBRO LÄN</t>
        </is>
      </c>
      <c r="E360" t="inlineStr">
        <is>
          <t>LINDESBERG</t>
        </is>
      </c>
      <c r="G360" t="n">
        <v>3.6</v>
      </c>
      <c r="H360" t="n">
        <v>0</v>
      </c>
      <c r="I360" t="n">
        <v>0</v>
      </c>
      <c r="J360" t="n">
        <v>0</v>
      </c>
      <c r="K360" t="n">
        <v>0</v>
      </c>
      <c r="L360" t="n">
        <v>0</v>
      </c>
      <c r="M360" t="n">
        <v>0</v>
      </c>
      <c r="N360" t="n">
        <v>0</v>
      </c>
      <c r="O360" t="n">
        <v>0</v>
      </c>
      <c r="P360" t="n">
        <v>0</v>
      </c>
      <c r="Q360" t="n">
        <v>0</v>
      </c>
      <c r="R360" s="2" t="inlineStr"/>
    </row>
    <row r="361" ht="15" customHeight="1">
      <c r="A361" t="inlineStr">
        <is>
          <t>A 14454-2024</t>
        </is>
      </c>
      <c r="B361" s="1" t="n">
        <v>45394.51289351852</v>
      </c>
      <c r="C361" s="1" t="n">
        <v>45963</v>
      </c>
      <c r="D361" t="inlineStr">
        <is>
          <t>ÖREBRO LÄN</t>
        </is>
      </c>
      <c r="E361" t="inlineStr">
        <is>
          <t>LINDESBERG</t>
        </is>
      </c>
      <c r="G361" t="n">
        <v>1.9</v>
      </c>
      <c r="H361" t="n">
        <v>0</v>
      </c>
      <c r="I361" t="n">
        <v>0</v>
      </c>
      <c r="J361" t="n">
        <v>0</v>
      </c>
      <c r="K361" t="n">
        <v>0</v>
      </c>
      <c r="L361" t="n">
        <v>0</v>
      </c>
      <c r="M361" t="n">
        <v>0</v>
      </c>
      <c r="N361" t="n">
        <v>0</v>
      </c>
      <c r="O361" t="n">
        <v>0</v>
      </c>
      <c r="P361" t="n">
        <v>0</v>
      </c>
      <c r="Q361" t="n">
        <v>0</v>
      </c>
      <c r="R361" s="2" t="inlineStr"/>
    </row>
    <row r="362" ht="15" customHeight="1">
      <c r="A362" t="inlineStr">
        <is>
          <t>A 9751-2022</t>
        </is>
      </c>
      <c r="B362" s="1" t="n">
        <v>44618</v>
      </c>
      <c r="C362" s="1" t="n">
        <v>45963</v>
      </c>
      <c r="D362" t="inlineStr">
        <is>
          <t>ÖREBRO LÄN</t>
        </is>
      </c>
      <c r="E362" t="inlineStr">
        <is>
          <t>LINDESBERG</t>
        </is>
      </c>
      <c r="G362" t="n">
        <v>13.9</v>
      </c>
      <c r="H362" t="n">
        <v>0</v>
      </c>
      <c r="I362" t="n">
        <v>0</v>
      </c>
      <c r="J362" t="n">
        <v>0</v>
      </c>
      <c r="K362" t="n">
        <v>0</v>
      </c>
      <c r="L362" t="n">
        <v>0</v>
      </c>
      <c r="M362" t="n">
        <v>0</v>
      </c>
      <c r="N362" t="n">
        <v>0</v>
      </c>
      <c r="O362" t="n">
        <v>0</v>
      </c>
      <c r="P362" t="n">
        <v>0</v>
      </c>
      <c r="Q362" t="n">
        <v>0</v>
      </c>
      <c r="R362" s="2" t="inlineStr"/>
    </row>
    <row r="363" ht="15" customHeight="1">
      <c r="A363" t="inlineStr">
        <is>
          <t>A 61202-2023</t>
        </is>
      </c>
      <c r="B363" s="1" t="n">
        <v>45264.38084490741</v>
      </c>
      <c r="C363" s="1" t="n">
        <v>45963</v>
      </c>
      <c r="D363" t="inlineStr">
        <is>
          <t>ÖREBRO LÄN</t>
        </is>
      </c>
      <c r="E363" t="inlineStr">
        <is>
          <t>LINDESBERG</t>
        </is>
      </c>
      <c r="G363" t="n">
        <v>0.9</v>
      </c>
      <c r="H363" t="n">
        <v>0</v>
      </c>
      <c r="I363" t="n">
        <v>0</v>
      </c>
      <c r="J363" t="n">
        <v>0</v>
      </c>
      <c r="K363" t="n">
        <v>0</v>
      </c>
      <c r="L363" t="n">
        <v>0</v>
      </c>
      <c r="M363" t="n">
        <v>0</v>
      </c>
      <c r="N363" t="n">
        <v>0</v>
      </c>
      <c r="O363" t="n">
        <v>0</v>
      </c>
      <c r="P363" t="n">
        <v>0</v>
      </c>
      <c r="Q363" t="n">
        <v>0</v>
      </c>
      <c r="R363" s="2" t="inlineStr"/>
    </row>
    <row r="364" ht="15" customHeight="1">
      <c r="A364" t="inlineStr">
        <is>
          <t>A 15936-2025</t>
        </is>
      </c>
      <c r="B364" s="1" t="n">
        <v>45749.4737962963</v>
      </c>
      <c r="C364" s="1" t="n">
        <v>45963</v>
      </c>
      <c r="D364" t="inlineStr">
        <is>
          <t>ÖREBRO LÄN</t>
        </is>
      </c>
      <c r="E364" t="inlineStr">
        <is>
          <t>LINDESBERG</t>
        </is>
      </c>
      <c r="G364" t="n">
        <v>22.3</v>
      </c>
      <c r="H364" t="n">
        <v>0</v>
      </c>
      <c r="I364" t="n">
        <v>0</v>
      </c>
      <c r="J364" t="n">
        <v>0</v>
      </c>
      <c r="K364" t="n">
        <v>0</v>
      </c>
      <c r="L364" t="n">
        <v>0</v>
      </c>
      <c r="M364" t="n">
        <v>0</v>
      </c>
      <c r="N364" t="n">
        <v>0</v>
      </c>
      <c r="O364" t="n">
        <v>0</v>
      </c>
      <c r="P364" t="n">
        <v>0</v>
      </c>
      <c r="Q364" t="n">
        <v>0</v>
      </c>
      <c r="R364" s="2" t="inlineStr"/>
    </row>
    <row r="365" ht="15" customHeight="1">
      <c r="A365" t="inlineStr">
        <is>
          <t>A 6752-2021</t>
        </is>
      </c>
      <c r="B365" s="1" t="n">
        <v>44236</v>
      </c>
      <c r="C365" s="1" t="n">
        <v>45963</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c r="U365">
        <f>HYPERLINK("https://klasma.github.io/Logging_1885/knärot/A 6752-2021 karta knärot.png", "A 6752-2021")</f>
        <v/>
      </c>
      <c r="V365">
        <f>HYPERLINK("https://klasma.github.io/Logging_1885/klagomål/A 6752-2021 FSC-klagomål.docx", "A 6752-2021")</f>
        <v/>
      </c>
      <c r="W365">
        <f>HYPERLINK("https://klasma.github.io/Logging_1885/klagomålsmail/A 6752-2021 FSC-klagomål mail.docx", "A 6752-2021")</f>
        <v/>
      </c>
      <c r="X365">
        <f>HYPERLINK("https://klasma.github.io/Logging_1885/tillsyn/A 6752-2021 tillsynsbegäran.docx", "A 6752-2021")</f>
        <v/>
      </c>
      <c r="Y365">
        <f>HYPERLINK("https://klasma.github.io/Logging_1885/tillsynsmail/A 6752-2021 tillsynsbegäran mail.docx", "A 6752-2021")</f>
        <v/>
      </c>
    </row>
    <row r="366" ht="15" customHeight="1">
      <c r="A366" t="inlineStr">
        <is>
          <t>A 61960-2024</t>
        </is>
      </c>
      <c r="B366" s="1" t="n">
        <v>45653.53664351852</v>
      </c>
      <c r="C366" s="1" t="n">
        <v>45963</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34436-2023</t>
        </is>
      </c>
      <c r="B367" s="1" t="n">
        <v>45139.64328703703</v>
      </c>
      <c r="C367" s="1" t="n">
        <v>45963</v>
      </c>
      <c r="D367" t="inlineStr">
        <is>
          <t>ÖREBRO LÄN</t>
        </is>
      </c>
      <c r="E367" t="inlineStr">
        <is>
          <t>LINDESBERG</t>
        </is>
      </c>
      <c r="F367" t="inlineStr">
        <is>
          <t>Kyrkan</t>
        </is>
      </c>
      <c r="G367" t="n">
        <v>5.8</v>
      </c>
      <c r="H367" t="n">
        <v>0</v>
      </c>
      <c r="I367" t="n">
        <v>0</v>
      </c>
      <c r="J367" t="n">
        <v>0</v>
      </c>
      <c r="K367" t="n">
        <v>0</v>
      </c>
      <c r="L367" t="n">
        <v>0</v>
      </c>
      <c r="M367" t="n">
        <v>0</v>
      </c>
      <c r="N367" t="n">
        <v>0</v>
      </c>
      <c r="O367" t="n">
        <v>0</v>
      </c>
      <c r="P367" t="n">
        <v>0</v>
      </c>
      <c r="Q367" t="n">
        <v>0</v>
      </c>
      <c r="R367" s="2" t="inlineStr"/>
    </row>
    <row r="368" ht="15" customHeight="1">
      <c r="A368" t="inlineStr">
        <is>
          <t>A 10564-2023</t>
        </is>
      </c>
      <c r="B368" s="1" t="n">
        <v>44988</v>
      </c>
      <c r="C368" s="1" t="n">
        <v>45963</v>
      </c>
      <c r="D368" t="inlineStr">
        <is>
          <t>ÖREBRO LÄN</t>
        </is>
      </c>
      <c r="E368" t="inlineStr">
        <is>
          <t>LINDESBERG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54860-2024</t>
        </is>
      </c>
      <c r="B369" s="1" t="n">
        <v>45618.59219907408</v>
      </c>
      <c r="C369" s="1" t="n">
        <v>45963</v>
      </c>
      <c r="D369" t="inlineStr">
        <is>
          <t>ÖREBRO LÄN</t>
        </is>
      </c>
      <c r="E369" t="inlineStr">
        <is>
          <t>LINDESBERG</t>
        </is>
      </c>
      <c r="F369" t="inlineStr">
        <is>
          <t>Sveaskog</t>
        </is>
      </c>
      <c r="G369" t="n">
        <v>0.3</v>
      </c>
      <c r="H369" t="n">
        <v>0</v>
      </c>
      <c r="I369" t="n">
        <v>0</v>
      </c>
      <c r="J369" t="n">
        <v>0</v>
      </c>
      <c r="K369" t="n">
        <v>0</v>
      </c>
      <c r="L369" t="n">
        <v>0</v>
      </c>
      <c r="M369" t="n">
        <v>0</v>
      </c>
      <c r="N369" t="n">
        <v>0</v>
      </c>
      <c r="O369" t="n">
        <v>0</v>
      </c>
      <c r="P369" t="n">
        <v>0</v>
      </c>
      <c r="Q369" t="n">
        <v>0</v>
      </c>
      <c r="R369" s="2" t="inlineStr"/>
    </row>
    <row r="370" ht="15" customHeight="1">
      <c r="A370" t="inlineStr">
        <is>
          <t>A 30830-2024</t>
        </is>
      </c>
      <c r="B370" s="1" t="n">
        <v>45497</v>
      </c>
      <c r="C370" s="1" t="n">
        <v>45963</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12073-2022</t>
        </is>
      </c>
      <c r="B371" s="1" t="n">
        <v>44636.46935185185</v>
      </c>
      <c r="C371" s="1" t="n">
        <v>45963</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36291-2022</t>
        </is>
      </c>
      <c r="B372" s="1" t="n">
        <v>44803.64361111111</v>
      </c>
      <c r="C372" s="1" t="n">
        <v>45963</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7120-2025</t>
        </is>
      </c>
      <c r="B373" s="1" t="n">
        <v>45702</v>
      </c>
      <c r="C373" s="1" t="n">
        <v>45963</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195-2022</t>
        </is>
      </c>
      <c r="B374" s="1" t="n">
        <v>44564</v>
      </c>
      <c r="C374" s="1" t="n">
        <v>45963</v>
      </c>
      <c r="D374" t="inlineStr">
        <is>
          <t>ÖREBRO LÄN</t>
        </is>
      </c>
      <c r="E374" t="inlineStr">
        <is>
          <t>LINDESBERG</t>
        </is>
      </c>
      <c r="G374" t="n">
        <v>4.7</v>
      </c>
      <c r="H374" t="n">
        <v>0</v>
      </c>
      <c r="I374" t="n">
        <v>0</v>
      </c>
      <c r="J374" t="n">
        <v>0</v>
      </c>
      <c r="K374" t="n">
        <v>0</v>
      </c>
      <c r="L374" t="n">
        <v>0</v>
      </c>
      <c r="M374" t="n">
        <v>0</v>
      </c>
      <c r="N374" t="n">
        <v>0</v>
      </c>
      <c r="O374" t="n">
        <v>0</v>
      </c>
      <c r="P374" t="n">
        <v>0</v>
      </c>
      <c r="Q374" t="n">
        <v>0</v>
      </c>
      <c r="R374" s="2" t="inlineStr"/>
    </row>
    <row r="375" ht="15" customHeight="1">
      <c r="A375" t="inlineStr">
        <is>
          <t>A 51379-2023</t>
        </is>
      </c>
      <c r="B375" s="1" t="n">
        <v>45219</v>
      </c>
      <c r="C375" s="1" t="n">
        <v>45963</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16054-2022</t>
        </is>
      </c>
      <c r="B376" s="1" t="n">
        <v>44665</v>
      </c>
      <c r="C376" s="1" t="n">
        <v>45963</v>
      </c>
      <c r="D376" t="inlineStr">
        <is>
          <t>ÖREBRO LÄN</t>
        </is>
      </c>
      <c r="E376" t="inlineStr">
        <is>
          <t>LINDESBERG</t>
        </is>
      </c>
      <c r="G376" t="n">
        <v>6.9</v>
      </c>
      <c r="H376" t="n">
        <v>0</v>
      </c>
      <c r="I376" t="n">
        <v>0</v>
      </c>
      <c r="J376" t="n">
        <v>0</v>
      </c>
      <c r="K376" t="n">
        <v>0</v>
      </c>
      <c r="L376" t="n">
        <v>0</v>
      </c>
      <c r="M376" t="n">
        <v>0</v>
      </c>
      <c r="N376" t="n">
        <v>0</v>
      </c>
      <c r="O376" t="n">
        <v>0</v>
      </c>
      <c r="P376" t="n">
        <v>0</v>
      </c>
      <c r="Q376" t="n">
        <v>0</v>
      </c>
      <c r="R376" s="2" t="inlineStr"/>
    </row>
    <row r="377" ht="15" customHeight="1">
      <c r="A377" t="inlineStr">
        <is>
          <t>A 6181-2025</t>
        </is>
      </c>
      <c r="B377" s="1" t="n">
        <v>45698</v>
      </c>
      <c r="C377" s="1" t="n">
        <v>45963</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49544-2023</t>
        </is>
      </c>
      <c r="B378" s="1" t="n">
        <v>45211</v>
      </c>
      <c r="C378" s="1" t="n">
        <v>45963</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48756-2024</t>
        </is>
      </c>
      <c r="B379" s="1" t="n">
        <v>45593.59681712963</v>
      </c>
      <c r="C379" s="1" t="n">
        <v>45963</v>
      </c>
      <c r="D379" t="inlineStr">
        <is>
          <t>ÖREBRO LÄN</t>
        </is>
      </c>
      <c r="E379" t="inlineStr">
        <is>
          <t>LINDESBERG</t>
        </is>
      </c>
      <c r="G379" t="n">
        <v>1.6</v>
      </c>
      <c r="H379" t="n">
        <v>0</v>
      </c>
      <c r="I379" t="n">
        <v>0</v>
      </c>
      <c r="J379" t="n">
        <v>0</v>
      </c>
      <c r="K379" t="n">
        <v>0</v>
      </c>
      <c r="L379" t="n">
        <v>0</v>
      </c>
      <c r="M379" t="n">
        <v>0</v>
      </c>
      <c r="N379" t="n">
        <v>0</v>
      </c>
      <c r="O379" t="n">
        <v>0</v>
      </c>
      <c r="P379" t="n">
        <v>0</v>
      </c>
      <c r="Q379" t="n">
        <v>0</v>
      </c>
      <c r="R379" s="2" t="inlineStr"/>
    </row>
    <row r="380" ht="15" customHeight="1">
      <c r="A380" t="inlineStr">
        <is>
          <t>A 10836-2024</t>
        </is>
      </c>
      <c r="B380" s="1" t="n">
        <v>45369</v>
      </c>
      <c r="C380" s="1" t="n">
        <v>45963</v>
      </c>
      <c r="D380" t="inlineStr">
        <is>
          <t>ÖREBRO LÄN</t>
        </is>
      </c>
      <c r="E380" t="inlineStr">
        <is>
          <t>LINDESBERG</t>
        </is>
      </c>
      <c r="G380" t="n">
        <v>2.8</v>
      </c>
      <c r="H380" t="n">
        <v>0</v>
      </c>
      <c r="I380" t="n">
        <v>0</v>
      </c>
      <c r="J380" t="n">
        <v>0</v>
      </c>
      <c r="K380" t="n">
        <v>0</v>
      </c>
      <c r="L380" t="n">
        <v>0</v>
      </c>
      <c r="M380" t="n">
        <v>0</v>
      </c>
      <c r="N380" t="n">
        <v>0</v>
      </c>
      <c r="O380" t="n">
        <v>0</v>
      </c>
      <c r="P380" t="n">
        <v>0</v>
      </c>
      <c r="Q380" t="n">
        <v>0</v>
      </c>
      <c r="R380" s="2" t="inlineStr"/>
    </row>
    <row r="381" ht="15" customHeight="1">
      <c r="A381" t="inlineStr">
        <is>
          <t>A 8612-2024</t>
        </is>
      </c>
      <c r="B381" s="1" t="n">
        <v>45355.70009259259</v>
      </c>
      <c r="C381" s="1" t="n">
        <v>45963</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15892-2025</t>
        </is>
      </c>
      <c r="B382" s="1" t="n">
        <v>45749</v>
      </c>
      <c r="C382" s="1" t="n">
        <v>45963</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23260-2024</t>
        </is>
      </c>
      <c r="B383" s="1" t="n">
        <v>45453.36664351852</v>
      </c>
      <c r="C383" s="1" t="n">
        <v>45963</v>
      </c>
      <c r="D383" t="inlineStr">
        <is>
          <t>ÖREBRO LÄN</t>
        </is>
      </c>
      <c r="E383" t="inlineStr">
        <is>
          <t>LINDESBERG</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7126-2025</t>
        </is>
      </c>
      <c r="B384" s="1" t="n">
        <v>45702</v>
      </c>
      <c r="C384" s="1" t="n">
        <v>45963</v>
      </c>
      <c r="D384" t="inlineStr">
        <is>
          <t>ÖREBRO LÄN</t>
        </is>
      </c>
      <c r="E384" t="inlineStr">
        <is>
          <t>LINDESBERG</t>
        </is>
      </c>
      <c r="G384" t="n">
        <v>1.3</v>
      </c>
      <c r="H384" t="n">
        <v>0</v>
      </c>
      <c r="I384" t="n">
        <v>0</v>
      </c>
      <c r="J384" t="n">
        <v>0</v>
      </c>
      <c r="K384" t="n">
        <v>0</v>
      </c>
      <c r="L384" t="n">
        <v>0</v>
      </c>
      <c r="M384" t="n">
        <v>0</v>
      </c>
      <c r="N384" t="n">
        <v>0</v>
      </c>
      <c r="O384" t="n">
        <v>0</v>
      </c>
      <c r="P384" t="n">
        <v>0</v>
      </c>
      <c r="Q384" t="n">
        <v>0</v>
      </c>
      <c r="R384" s="2" t="inlineStr"/>
    </row>
    <row r="385" ht="15" customHeight="1">
      <c r="A385" t="inlineStr">
        <is>
          <t>A 46607-2021</t>
        </is>
      </c>
      <c r="B385" s="1" t="n">
        <v>44445.55690972223</v>
      </c>
      <c r="C385" s="1" t="n">
        <v>45963</v>
      </c>
      <c r="D385" t="inlineStr">
        <is>
          <t>ÖREBRO LÄN</t>
        </is>
      </c>
      <c r="E385" t="inlineStr">
        <is>
          <t>LINDESBERG</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20930-2025</t>
        </is>
      </c>
      <c r="B386" s="1" t="n">
        <v>45777.42628472222</v>
      </c>
      <c r="C386" s="1" t="n">
        <v>45963</v>
      </c>
      <c r="D386" t="inlineStr">
        <is>
          <t>ÖREBRO LÄN</t>
        </is>
      </c>
      <c r="E386" t="inlineStr">
        <is>
          <t>LINDESBERG</t>
        </is>
      </c>
      <c r="F386" t="inlineStr">
        <is>
          <t>Sveaskog</t>
        </is>
      </c>
      <c r="G386" t="n">
        <v>3.9</v>
      </c>
      <c r="H386" t="n">
        <v>0</v>
      </c>
      <c r="I386" t="n">
        <v>0</v>
      </c>
      <c r="J386" t="n">
        <v>0</v>
      </c>
      <c r="K386" t="n">
        <v>0</v>
      </c>
      <c r="L386" t="n">
        <v>0</v>
      </c>
      <c r="M386" t="n">
        <v>0</v>
      </c>
      <c r="N386" t="n">
        <v>0</v>
      </c>
      <c r="O386" t="n">
        <v>0</v>
      </c>
      <c r="P386" t="n">
        <v>0</v>
      </c>
      <c r="Q386" t="n">
        <v>0</v>
      </c>
      <c r="R386" s="2" t="inlineStr"/>
    </row>
    <row r="387" ht="15" customHeight="1">
      <c r="A387" t="inlineStr">
        <is>
          <t>A 20923-2025</t>
        </is>
      </c>
      <c r="B387" s="1" t="n">
        <v>45777.41673611111</v>
      </c>
      <c r="C387" s="1" t="n">
        <v>45963</v>
      </c>
      <c r="D387" t="inlineStr">
        <is>
          <t>ÖREBRO LÄN</t>
        </is>
      </c>
      <c r="E387" t="inlineStr">
        <is>
          <t>LINDESBERG</t>
        </is>
      </c>
      <c r="F387" t="inlineStr">
        <is>
          <t>Sveaskog</t>
        </is>
      </c>
      <c r="G387" t="n">
        <v>10.3</v>
      </c>
      <c r="H387" t="n">
        <v>0</v>
      </c>
      <c r="I387" t="n">
        <v>0</v>
      </c>
      <c r="J387" t="n">
        <v>0</v>
      </c>
      <c r="K387" t="n">
        <v>0</v>
      </c>
      <c r="L387" t="n">
        <v>0</v>
      </c>
      <c r="M387" t="n">
        <v>0</v>
      </c>
      <c r="N387" t="n">
        <v>0</v>
      </c>
      <c r="O387" t="n">
        <v>0</v>
      </c>
      <c r="P387" t="n">
        <v>0</v>
      </c>
      <c r="Q387" t="n">
        <v>0</v>
      </c>
      <c r="R387" s="2" t="inlineStr"/>
    </row>
    <row r="388" ht="15" customHeight="1">
      <c r="A388" t="inlineStr">
        <is>
          <t>A 24944-2024</t>
        </is>
      </c>
      <c r="B388" s="1" t="n">
        <v>45461.62924768519</v>
      </c>
      <c r="C388" s="1" t="n">
        <v>45963</v>
      </c>
      <c r="D388" t="inlineStr">
        <is>
          <t>ÖREBRO LÄN</t>
        </is>
      </c>
      <c r="E388" t="inlineStr">
        <is>
          <t>LINDESBERG</t>
        </is>
      </c>
      <c r="F388" t="inlineStr">
        <is>
          <t>Kyrkan</t>
        </is>
      </c>
      <c r="G388" t="n">
        <v>13.7</v>
      </c>
      <c r="H388" t="n">
        <v>0</v>
      </c>
      <c r="I388" t="n">
        <v>0</v>
      </c>
      <c r="J388" t="n">
        <v>0</v>
      </c>
      <c r="K388" t="n">
        <v>0</v>
      </c>
      <c r="L388" t="n">
        <v>0</v>
      </c>
      <c r="M388" t="n">
        <v>0</v>
      </c>
      <c r="N388" t="n">
        <v>0</v>
      </c>
      <c r="O388" t="n">
        <v>0</v>
      </c>
      <c r="P388" t="n">
        <v>0</v>
      </c>
      <c r="Q388" t="n">
        <v>0</v>
      </c>
      <c r="R388" s="2" t="inlineStr"/>
    </row>
    <row r="389" ht="15" customHeight="1">
      <c r="A389" t="inlineStr">
        <is>
          <t>A 33716-2021</t>
        </is>
      </c>
      <c r="B389" s="1" t="n">
        <v>44378.46857638889</v>
      </c>
      <c r="C389" s="1" t="n">
        <v>45963</v>
      </c>
      <c r="D389" t="inlineStr">
        <is>
          <t>ÖREBRO LÄN</t>
        </is>
      </c>
      <c r="E389" t="inlineStr">
        <is>
          <t>LINDESBERG</t>
        </is>
      </c>
      <c r="G389" t="n">
        <v>4.6</v>
      </c>
      <c r="H389" t="n">
        <v>0</v>
      </c>
      <c r="I389" t="n">
        <v>0</v>
      </c>
      <c r="J389" t="n">
        <v>0</v>
      </c>
      <c r="K389" t="n">
        <v>0</v>
      </c>
      <c r="L389" t="n">
        <v>0</v>
      </c>
      <c r="M389" t="n">
        <v>0</v>
      </c>
      <c r="N389" t="n">
        <v>0</v>
      </c>
      <c r="O389" t="n">
        <v>0</v>
      </c>
      <c r="P389" t="n">
        <v>0</v>
      </c>
      <c r="Q389" t="n">
        <v>0</v>
      </c>
      <c r="R389" s="2" t="inlineStr"/>
    </row>
    <row r="390" ht="15" customHeight="1">
      <c r="A390" t="inlineStr">
        <is>
          <t>A 12795-2025</t>
        </is>
      </c>
      <c r="B390" s="1" t="n">
        <v>45733.60959490741</v>
      </c>
      <c r="C390" s="1" t="n">
        <v>45963</v>
      </c>
      <c r="D390" t="inlineStr">
        <is>
          <t>ÖREBRO LÄN</t>
        </is>
      </c>
      <c r="E390" t="inlineStr">
        <is>
          <t>LINDESBERG</t>
        </is>
      </c>
      <c r="G390" t="n">
        <v>10.8</v>
      </c>
      <c r="H390" t="n">
        <v>0</v>
      </c>
      <c r="I390" t="n">
        <v>0</v>
      </c>
      <c r="J390" t="n">
        <v>0</v>
      </c>
      <c r="K390" t="n">
        <v>0</v>
      </c>
      <c r="L390" t="n">
        <v>0</v>
      </c>
      <c r="M390" t="n">
        <v>0</v>
      </c>
      <c r="N390" t="n">
        <v>0</v>
      </c>
      <c r="O390" t="n">
        <v>0</v>
      </c>
      <c r="P390" t="n">
        <v>0</v>
      </c>
      <c r="Q390" t="n">
        <v>0</v>
      </c>
      <c r="R390" s="2" t="inlineStr"/>
    </row>
    <row r="391" ht="15" customHeight="1">
      <c r="A391" t="inlineStr">
        <is>
          <t>A 9961-2023</t>
        </is>
      </c>
      <c r="B391" s="1" t="n">
        <v>44979</v>
      </c>
      <c r="C391" s="1" t="n">
        <v>45963</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20944-2025</t>
        </is>
      </c>
      <c r="B392" s="1" t="n">
        <v>45777</v>
      </c>
      <c r="C392" s="1" t="n">
        <v>45963</v>
      </c>
      <c r="D392" t="inlineStr">
        <is>
          <t>ÖREBRO LÄN</t>
        </is>
      </c>
      <c r="E392" t="inlineStr">
        <is>
          <t>LINDESBERG</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20950-2025</t>
        </is>
      </c>
      <c r="B393" s="1" t="n">
        <v>45777.43878472222</v>
      </c>
      <c r="C393" s="1" t="n">
        <v>45963</v>
      </c>
      <c r="D393" t="inlineStr">
        <is>
          <t>ÖREBRO LÄN</t>
        </is>
      </c>
      <c r="E393" t="inlineStr">
        <is>
          <t>LINDESBERG</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21084-2021</t>
        </is>
      </c>
      <c r="B394" s="1" t="n">
        <v>44319</v>
      </c>
      <c r="C394" s="1" t="n">
        <v>45963</v>
      </c>
      <c r="D394" t="inlineStr">
        <is>
          <t>ÖREBRO LÄN</t>
        </is>
      </c>
      <c r="E394" t="inlineStr">
        <is>
          <t>LINDESBERG</t>
        </is>
      </c>
      <c r="G394" t="n">
        <v>3.1</v>
      </c>
      <c r="H394" t="n">
        <v>0</v>
      </c>
      <c r="I394" t="n">
        <v>0</v>
      </c>
      <c r="J394" t="n">
        <v>0</v>
      </c>
      <c r="K394" t="n">
        <v>0</v>
      </c>
      <c r="L394" t="n">
        <v>0</v>
      </c>
      <c r="M394" t="n">
        <v>0</v>
      </c>
      <c r="N394" t="n">
        <v>0</v>
      </c>
      <c r="O394" t="n">
        <v>0</v>
      </c>
      <c r="P394" t="n">
        <v>0</v>
      </c>
      <c r="Q394" t="n">
        <v>0</v>
      </c>
      <c r="R394" s="2" t="inlineStr"/>
    </row>
    <row r="395" ht="15" customHeight="1">
      <c r="A395" t="inlineStr">
        <is>
          <t>A 23536-2023</t>
        </is>
      </c>
      <c r="B395" s="1" t="n">
        <v>45077</v>
      </c>
      <c r="C395" s="1" t="n">
        <v>45963</v>
      </c>
      <c r="D395" t="inlineStr">
        <is>
          <t>ÖREBRO LÄN</t>
        </is>
      </c>
      <c r="E395" t="inlineStr">
        <is>
          <t>LINDESBERG</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38552-2023</t>
        </is>
      </c>
      <c r="B396" s="1" t="n">
        <v>45162.5978125</v>
      </c>
      <c r="C396" s="1" t="n">
        <v>45963</v>
      </c>
      <c r="D396" t="inlineStr">
        <is>
          <t>ÖREBRO LÄN</t>
        </is>
      </c>
      <c r="E396" t="inlineStr">
        <is>
          <t>LINDESBERG</t>
        </is>
      </c>
      <c r="G396" t="n">
        <v>10.4</v>
      </c>
      <c r="H396" t="n">
        <v>0</v>
      </c>
      <c r="I396" t="n">
        <v>0</v>
      </c>
      <c r="J396" t="n">
        <v>0</v>
      </c>
      <c r="K396" t="n">
        <v>0</v>
      </c>
      <c r="L396" t="n">
        <v>0</v>
      </c>
      <c r="M396" t="n">
        <v>0</v>
      </c>
      <c r="N396" t="n">
        <v>0</v>
      </c>
      <c r="O396" t="n">
        <v>0</v>
      </c>
      <c r="P396" t="n">
        <v>0</v>
      </c>
      <c r="Q396" t="n">
        <v>0</v>
      </c>
      <c r="R396" s="2" t="inlineStr"/>
    </row>
    <row r="397" ht="15" customHeight="1">
      <c r="A397" t="inlineStr">
        <is>
          <t>A 15213-2025</t>
        </is>
      </c>
      <c r="B397" s="1" t="n">
        <v>45744.57851851852</v>
      </c>
      <c r="C397" s="1" t="n">
        <v>45963</v>
      </c>
      <c r="D397" t="inlineStr">
        <is>
          <t>ÖREBRO LÄN</t>
        </is>
      </c>
      <c r="E397" t="inlineStr">
        <is>
          <t>LINDESBERG</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20804-2025</t>
        </is>
      </c>
      <c r="B398" s="1" t="n">
        <v>45776.65518518518</v>
      </c>
      <c r="C398" s="1" t="n">
        <v>45963</v>
      </c>
      <c r="D398" t="inlineStr">
        <is>
          <t>ÖREBRO LÄN</t>
        </is>
      </c>
      <c r="E398" t="inlineStr">
        <is>
          <t>LINDESBERG</t>
        </is>
      </c>
      <c r="G398" t="n">
        <v>3.2</v>
      </c>
      <c r="H398" t="n">
        <v>0</v>
      </c>
      <c r="I398" t="n">
        <v>0</v>
      </c>
      <c r="J398" t="n">
        <v>0</v>
      </c>
      <c r="K398" t="n">
        <v>0</v>
      </c>
      <c r="L398" t="n">
        <v>0</v>
      </c>
      <c r="M398" t="n">
        <v>0</v>
      </c>
      <c r="N398" t="n">
        <v>0</v>
      </c>
      <c r="O398" t="n">
        <v>0</v>
      </c>
      <c r="P398" t="n">
        <v>0</v>
      </c>
      <c r="Q398" t="n">
        <v>0</v>
      </c>
      <c r="R398" s="2" t="inlineStr"/>
    </row>
    <row r="399" ht="15" customHeight="1">
      <c r="A399" t="inlineStr">
        <is>
          <t>A 19914-2024</t>
        </is>
      </c>
      <c r="B399" s="1" t="n">
        <v>45433.58099537037</v>
      </c>
      <c r="C399" s="1" t="n">
        <v>45963</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4999-2025</t>
        </is>
      </c>
      <c r="B400" s="1" t="n">
        <v>45691.36253472222</v>
      </c>
      <c r="C400" s="1" t="n">
        <v>45963</v>
      </c>
      <c r="D400" t="inlineStr">
        <is>
          <t>ÖREBRO LÄN</t>
        </is>
      </c>
      <c r="E400" t="inlineStr">
        <is>
          <t>LINDESBERG</t>
        </is>
      </c>
      <c r="G400" t="n">
        <v>4.7</v>
      </c>
      <c r="H400" t="n">
        <v>0</v>
      </c>
      <c r="I400" t="n">
        <v>0</v>
      </c>
      <c r="J400" t="n">
        <v>0</v>
      </c>
      <c r="K400" t="n">
        <v>0</v>
      </c>
      <c r="L400" t="n">
        <v>0</v>
      </c>
      <c r="M400" t="n">
        <v>0</v>
      </c>
      <c r="N400" t="n">
        <v>0</v>
      </c>
      <c r="O400" t="n">
        <v>0</v>
      </c>
      <c r="P400" t="n">
        <v>0</v>
      </c>
      <c r="Q400" t="n">
        <v>0</v>
      </c>
      <c r="R400" s="2" t="inlineStr"/>
    </row>
    <row r="401" ht="15" customHeight="1">
      <c r="A401" t="inlineStr">
        <is>
          <t>A 15941-2025</t>
        </is>
      </c>
      <c r="B401" s="1" t="n">
        <v>45749</v>
      </c>
      <c r="C401" s="1" t="n">
        <v>45963</v>
      </c>
      <c r="D401" t="inlineStr">
        <is>
          <t>ÖREBRO LÄN</t>
        </is>
      </c>
      <c r="E401" t="inlineStr">
        <is>
          <t>LINDESBERG</t>
        </is>
      </c>
      <c r="G401" t="n">
        <v>2.4</v>
      </c>
      <c r="H401" t="n">
        <v>0</v>
      </c>
      <c r="I401" t="n">
        <v>0</v>
      </c>
      <c r="J401" t="n">
        <v>0</v>
      </c>
      <c r="K401" t="n">
        <v>0</v>
      </c>
      <c r="L401" t="n">
        <v>0</v>
      </c>
      <c r="M401" t="n">
        <v>0</v>
      </c>
      <c r="N401" t="n">
        <v>0</v>
      </c>
      <c r="O401" t="n">
        <v>0</v>
      </c>
      <c r="P401" t="n">
        <v>0</v>
      </c>
      <c r="Q401" t="n">
        <v>0</v>
      </c>
      <c r="R401" s="2" t="inlineStr"/>
    </row>
    <row r="402" ht="15" customHeight="1">
      <c r="A402" t="inlineStr">
        <is>
          <t>A 55631-2022</t>
        </is>
      </c>
      <c r="B402" s="1" t="n">
        <v>44888.4577662037</v>
      </c>
      <c r="C402" s="1" t="n">
        <v>45963</v>
      </c>
      <c r="D402" t="inlineStr">
        <is>
          <t>ÖREBRO LÄN</t>
        </is>
      </c>
      <c r="E402" t="inlineStr">
        <is>
          <t>LINDESBERG</t>
        </is>
      </c>
      <c r="G402" t="n">
        <v>4.4</v>
      </c>
      <c r="H402" t="n">
        <v>0</v>
      </c>
      <c r="I402" t="n">
        <v>0</v>
      </c>
      <c r="J402" t="n">
        <v>0</v>
      </c>
      <c r="K402" t="n">
        <v>0</v>
      </c>
      <c r="L402" t="n">
        <v>0</v>
      </c>
      <c r="M402" t="n">
        <v>0</v>
      </c>
      <c r="N402" t="n">
        <v>0</v>
      </c>
      <c r="O402" t="n">
        <v>0</v>
      </c>
      <c r="P402" t="n">
        <v>0</v>
      </c>
      <c r="Q402" t="n">
        <v>0</v>
      </c>
      <c r="R402" s="2" t="inlineStr"/>
    </row>
    <row r="403" ht="15" customHeight="1">
      <c r="A403" t="inlineStr">
        <is>
          <t>A 5047-2023</t>
        </is>
      </c>
      <c r="B403" s="1" t="n">
        <v>44958.58982638889</v>
      </c>
      <c r="C403" s="1" t="n">
        <v>45963</v>
      </c>
      <c r="D403" t="inlineStr">
        <is>
          <t>ÖREBRO LÄN</t>
        </is>
      </c>
      <c r="E403" t="inlineStr">
        <is>
          <t>LINDESBERG</t>
        </is>
      </c>
      <c r="G403" t="n">
        <v>2</v>
      </c>
      <c r="H403" t="n">
        <v>0</v>
      </c>
      <c r="I403" t="n">
        <v>0</v>
      </c>
      <c r="J403" t="n">
        <v>0</v>
      </c>
      <c r="K403" t="n">
        <v>0</v>
      </c>
      <c r="L403" t="n">
        <v>0</v>
      </c>
      <c r="M403" t="n">
        <v>0</v>
      </c>
      <c r="N403" t="n">
        <v>0</v>
      </c>
      <c r="O403" t="n">
        <v>0</v>
      </c>
      <c r="P403" t="n">
        <v>0</v>
      </c>
      <c r="Q403" t="n">
        <v>0</v>
      </c>
      <c r="R403" s="2" t="inlineStr"/>
    </row>
    <row r="404" ht="15" customHeight="1">
      <c r="A404" t="inlineStr">
        <is>
          <t>A 265-2023</t>
        </is>
      </c>
      <c r="B404" s="1" t="n">
        <v>44928</v>
      </c>
      <c r="C404" s="1" t="n">
        <v>45963</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60115-2022</t>
        </is>
      </c>
      <c r="B405" s="1" t="n">
        <v>44902</v>
      </c>
      <c r="C405" s="1" t="n">
        <v>45963</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21812-2025</t>
        </is>
      </c>
      <c r="B406" s="1" t="n">
        <v>45783.71833333333</v>
      </c>
      <c r="C406" s="1" t="n">
        <v>45963</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18590-2023</t>
        </is>
      </c>
      <c r="B407" s="1" t="n">
        <v>45043.40300925926</v>
      </c>
      <c r="C407" s="1" t="n">
        <v>45963</v>
      </c>
      <c r="D407" t="inlineStr">
        <is>
          <t>ÖREBRO LÄN</t>
        </is>
      </c>
      <c r="E407" t="inlineStr">
        <is>
          <t>LINDESBERG</t>
        </is>
      </c>
      <c r="G407" t="n">
        <v>2.4</v>
      </c>
      <c r="H407" t="n">
        <v>0</v>
      </c>
      <c r="I407" t="n">
        <v>0</v>
      </c>
      <c r="J407" t="n">
        <v>0</v>
      </c>
      <c r="K407" t="n">
        <v>0</v>
      </c>
      <c r="L407" t="n">
        <v>0</v>
      </c>
      <c r="M407" t="n">
        <v>0</v>
      </c>
      <c r="N407" t="n">
        <v>0</v>
      </c>
      <c r="O407" t="n">
        <v>0</v>
      </c>
      <c r="P407" t="n">
        <v>0</v>
      </c>
      <c r="Q407" t="n">
        <v>0</v>
      </c>
      <c r="R407" s="2" t="inlineStr"/>
    </row>
    <row r="408" ht="15" customHeight="1">
      <c r="A408" t="inlineStr">
        <is>
          <t>A 29975-2023</t>
        </is>
      </c>
      <c r="B408" s="1" t="n">
        <v>45108.7553587963</v>
      </c>
      <c r="C408" s="1" t="n">
        <v>45963</v>
      </c>
      <c r="D408" t="inlineStr">
        <is>
          <t>ÖREBRO LÄN</t>
        </is>
      </c>
      <c r="E408" t="inlineStr">
        <is>
          <t>LINDESBERG</t>
        </is>
      </c>
      <c r="G408" t="n">
        <v>6.4</v>
      </c>
      <c r="H408" t="n">
        <v>0</v>
      </c>
      <c r="I408" t="n">
        <v>0</v>
      </c>
      <c r="J408" t="n">
        <v>0</v>
      </c>
      <c r="K408" t="n">
        <v>0</v>
      </c>
      <c r="L408" t="n">
        <v>0</v>
      </c>
      <c r="M408" t="n">
        <v>0</v>
      </c>
      <c r="N408" t="n">
        <v>0</v>
      </c>
      <c r="O408" t="n">
        <v>0</v>
      </c>
      <c r="P408" t="n">
        <v>0</v>
      </c>
      <c r="Q408" t="n">
        <v>0</v>
      </c>
      <c r="R408" s="2" t="inlineStr"/>
    </row>
    <row r="409" ht="15" customHeight="1">
      <c r="A409" t="inlineStr">
        <is>
          <t>A 43195-2024</t>
        </is>
      </c>
      <c r="B409" s="1" t="n">
        <v>45567.68003472222</v>
      </c>
      <c r="C409" s="1" t="n">
        <v>45963</v>
      </c>
      <c r="D409" t="inlineStr">
        <is>
          <t>ÖREBRO LÄN</t>
        </is>
      </c>
      <c r="E409" t="inlineStr">
        <is>
          <t>LINDESBERG</t>
        </is>
      </c>
      <c r="G409" t="n">
        <v>27.8</v>
      </c>
      <c r="H409" t="n">
        <v>0</v>
      </c>
      <c r="I409" t="n">
        <v>0</v>
      </c>
      <c r="J409" t="n">
        <v>0</v>
      </c>
      <c r="K409" t="n">
        <v>0</v>
      </c>
      <c r="L409" t="n">
        <v>0</v>
      </c>
      <c r="M409" t="n">
        <v>0</v>
      </c>
      <c r="N409" t="n">
        <v>0</v>
      </c>
      <c r="O409" t="n">
        <v>0</v>
      </c>
      <c r="P409" t="n">
        <v>0</v>
      </c>
      <c r="Q409" t="n">
        <v>0</v>
      </c>
      <c r="R409" s="2" t="inlineStr"/>
    </row>
    <row r="410" ht="15" customHeight="1">
      <c r="A410" t="inlineStr">
        <is>
          <t>A 31861-2024</t>
        </is>
      </c>
      <c r="B410" s="1" t="n">
        <v>45509.73383101852</v>
      </c>
      <c r="C410" s="1" t="n">
        <v>45963</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5784-2025</t>
        </is>
      </c>
      <c r="B411" s="1" t="n">
        <v>45694</v>
      </c>
      <c r="C411" s="1" t="n">
        <v>45963</v>
      </c>
      <c r="D411" t="inlineStr">
        <is>
          <t>ÖREBRO LÄN</t>
        </is>
      </c>
      <c r="E411" t="inlineStr">
        <is>
          <t>LINDESBERG</t>
        </is>
      </c>
      <c r="F411" t="inlineStr">
        <is>
          <t>Allmännings- och besparingsskogar</t>
        </is>
      </c>
      <c r="G411" t="n">
        <v>1.6</v>
      </c>
      <c r="H411" t="n">
        <v>0</v>
      </c>
      <c r="I411" t="n">
        <v>0</v>
      </c>
      <c r="J411" t="n">
        <v>0</v>
      </c>
      <c r="K411" t="n">
        <v>0</v>
      </c>
      <c r="L411" t="n">
        <v>0</v>
      </c>
      <c r="M411" t="n">
        <v>0</v>
      </c>
      <c r="N411" t="n">
        <v>0</v>
      </c>
      <c r="O411" t="n">
        <v>0</v>
      </c>
      <c r="P411" t="n">
        <v>0</v>
      </c>
      <c r="Q411" t="n">
        <v>0</v>
      </c>
      <c r="R411" s="2" t="inlineStr"/>
    </row>
    <row r="412" ht="15" customHeight="1">
      <c r="A412" t="inlineStr">
        <is>
          <t>A 24583-2024</t>
        </is>
      </c>
      <c r="B412" s="1" t="n">
        <v>45460.46358796296</v>
      </c>
      <c r="C412" s="1" t="n">
        <v>45963</v>
      </c>
      <c r="D412" t="inlineStr">
        <is>
          <t>ÖREBRO LÄN</t>
        </is>
      </c>
      <c r="E412" t="inlineStr">
        <is>
          <t>LINDESBERG</t>
        </is>
      </c>
      <c r="G412" t="n">
        <v>13.7</v>
      </c>
      <c r="H412" t="n">
        <v>0</v>
      </c>
      <c r="I412" t="n">
        <v>0</v>
      </c>
      <c r="J412" t="n">
        <v>0</v>
      </c>
      <c r="K412" t="n">
        <v>0</v>
      </c>
      <c r="L412" t="n">
        <v>0</v>
      </c>
      <c r="M412" t="n">
        <v>0</v>
      </c>
      <c r="N412" t="n">
        <v>0</v>
      </c>
      <c r="O412" t="n">
        <v>0</v>
      </c>
      <c r="P412" t="n">
        <v>0</v>
      </c>
      <c r="Q412" t="n">
        <v>0</v>
      </c>
      <c r="R412" s="2" t="inlineStr"/>
    </row>
    <row r="413" ht="15" customHeight="1">
      <c r="A413" t="inlineStr">
        <is>
          <t>A 15212-2025</t>
        </is>
      </c>
      <c r="B413" s="1" t="n">
        <v>45744.57673611111</v>
      </c>
      <c r="C413" s="1" t="n">
        <v>45963</v>
      </c>
      <c r="D413" t="inlineStr">
        <is>
          <t>ÖREBRO LÄN</t>
        </is>
      </c>
      <c r="E413" t="inlineStr">
        <is>
          <t>LINDESBERG</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16448-2025</t>
        </is>
      </c>
      <c r="B414" s="1" t="n">
        <v>45751.5056712963</v>
      </c>
      <c r="C414" s="1" t="n">
        <v>45963</v>
      </c>
      <c r="D414" t="inlineStr">
        <is>
          <t>ÖREBRO LÄN</t>
        </is>
      </c>
      <c r="E414" t="inlineStr">
        <is>
          <t>LINDESBERG</t>
        </is>
      </c>
      <c r="G414" t="n">
        <v>20.1</v>
      </c>
      <c r="H414" t="n">
        <v>0</v>
      </c>
      <c r="I414" t="n">
        <v>0</v>
      </c>
      <c r="J414" t="n">
        <v>0</v>
      </c>
      <c r="K414" t="n">
        <v>0</v>
      </c>
      <c r="L414" t="n">
        <v>0</v>
      </c>
      <c r="M414" t="n">
        <v>0</v>
      </c>
      <c r="N414" t="n">
        <v>0</v>
      </c>
      <c r="O414" t="n">
        <v>0</v>
      </c>
      <c r="P414" t="n">
        <v>0</v>
      </c>
      <c r="Q414" t="n">
        <v>0</v>
      </c>
      <c r="R414" s="2" t="inlineStr"/>
    </row>
    <row r="415" ht="15" customHeight="1">
      <c r="A415" t="inlineStr">
        <is>
          <t>A 54432-2023</t>
        </is>
      </c>
      <c r="B415" s="1" t="n">
        <v>45233.42121527778</v>
      </c>
      <c r="C415" s="1" t="n">
        <v>45963</v>
      </c>
      <c r="D415" t="inlineStr">
        <is>
          <t>ÖREBRO LÄN</t>
        </is>
      </c>
      <c r="E415" t="inlineStr">
        <is>
          <t>LINDESBERG</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40905-2023</t>
        </is>
      </c>
      <c r="B416" s="1" t="n">
        <v>45173.39315972223</v>
      </c>
      <c r="C416" s="1" t="n">
        <v>45963</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43532-2024</t>
        </is>
      </c>
      <c r="B417" s="1" t="n">
        <v>45569.3533912037</v>
      </c>
      <c r="C417" s="1" t="n">
        <v>45963</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59282-2023</t>
        </is>
      </c>
      <c r="B418" s="1" t="n">
        <v>45253</v>
      </c>
      <c r="C418" s="1" t="n">
        <v>45963</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9436-2023</t>
        </is>
      </c>
      <c r="B419" s="1" t="n">
        <v>44981</v>
      </c>
      <c r="C419" s="1" t="n">
        <v>45963</v>
      </c>
      <c r="D419" t="inlineStr">
        <is>
          <t>ÖREBRO LÄN</t>
        </is>
      </c>
      <c r="E419" t="inlineStr">
        <is>
          <t>LINDESBERG</t>
        </is>
      </c>
      <c r="G419" t="n">
        <v>2.8</v>
      </c>
      <c r="H419" t="n">
        <v>0</v>
      </c>
      <c r="I419" t="n">
        <v>0</v>
      </c>
      <c r="J419" t="n">
        <v>0</v>
      </c>
      <c r="K419" t="n">
        <v>0</v>
      </c>
      <c r="L419" t="n">
        <v>0</v>
      </c>
      <c r="M419" t="n">
        <v>0</v>
      </c>
      <c r="N419" t="n">
        <v>0</v>
      </c>
      <c r="O419" t="n">
        <v>0</v>
      </c>
      <c r="P419" t="n">
        <v>0</v>
      </c>
      <c r="Q419" t="n">
        <v>0</v>
      </c>
      <c r="R419" s="2" t="inlineStr"/>
    </row>
    <row r="420" ht="15" customHeight="1">
      <c r="A420" t="inlineStr">
        <is>
          <t>A 47601-2023</t>
        </is>
      </c>
      <c r="B420" s="1" t="n">
        <v>45203.45681712963</v>
      </c>
      <c r="C420" s="1" t="n">
        <v>45963</v>
      </c>
      <c r="D420" t="inlineStr">
        <is>
          <t>ÖREBRO LÄN</t>
        </is>
      </c>
      <c r="E420" t="inlineStr">
        <is>
          <t>LINDESBERG</t>
        </is>
      </c>
      <c r="G420" t="n">
        <v>37.6</v>
      </c>
      <c r="H420" t="n">
        <v>0</v>
      </c>
      <c r="I420" t="n">
        <v>0</v>
      </c>
      <c r="J420" t="n">
        <v>0</v>
      </c>
      <c r="K420" t="n">
        <v>0</v>
      </c>
      <c r="L420" t="n">
        <v>0</v>
      </c>
      <c r="M420" t="n">
        <v>0</v>
      </c>
      <c r="N420" t="n">
        <v>0</v>
      </c>
      <c r="O420" t="n">
        <v>0</v>
      </c>
      <c r="P420" t="n">
        <v>0</v>
      </c>
      <c r="Q420" t="n">
        <v>0</v>
      </c>
      <c r="R420" s="2" t="inlineStr"/>
    </row>
    <row r="421" ht="15" customHeight="1">
      <c r="A421" t="inlineStr">
        <is>
          <t>A 60200-2024</t>
        </is>
      </c>
      <c r="B421" s="1" t="n">
        <v>45642.66184027777</v>
      </c>
      <c r="C421" s="1" t="n">
        <v>45963</v>
      </c>
      <c r="D421" t="inlineStr">
        <is>
          <t>ÖREBRO LÄN</t>
        </is>
      </c>
      <c r="E421" t="inlineStr">
        <is>
          <t>LINDESBERG</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22078-2025</t>
        </is>
      </c>
      <c r="B422" s="1" t="n">
        <v>45785.4253125</v>
      </c>
      <c r="C422" s="1" t="n">
        <v>45963</v>
      </c>
      <c r="D422" t="inlineStr">
        <is>
          <t>ÖREBRO LÄN</t>
        </is>
      </c>
      <c r="E422" t="inlineStr">
        <is>
          <t>LINDESBERG</t>
        </is>
      </c>
      <c r="G422" t="n">
        <v>2.4</v>
      </c>
      <c r="H422" t="n">
        <v>0</v>
      </c>
      <c r="I422" t="n">
        <v>0</v>
      </c>
      <c r="J422" t="n">
        <v>0</v>
      </c>
      <c r="K422" t="n">
        <v>0</v>
      </c>
      <c r="L422" t="n">
        <v>0</v>
      </c>
      <c r="M422" t="n">
        <v>0</v>
      </c>
      <c r="N422" t="n">
        <v>0</v>
      </c>
      <c r="O422" t="n">
        <v>0</v>
      </c>
      <c r="P422" t="n">
        <v>0</v>
      </c>
      <c r="Q422" t="n">
        <v>0</v>
      </c>
      <c r="R422" s="2" t="inlineStr"/>
    </row>
    <row r="423" ht="15" customHeight="1">
      <c r="A423" t="inlineStr">
        <is>
          <t>A 53355-2023</t>
        </is>
      </c>
      <c r="B423" s="1" t="n">
        <v>45229.66430555555</v>
      </c>
      <c r="C423" s="1" t="n">
        <v>45963</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62308-2023</t>
        </is>
      </c>
      <c r="B424" s="1" t="n">
        <v>45267.69052083333</v>
      </c>
      <c r="C424" s="1" t="n">
        <v>45963</v>
      </c>
      <c r="D424" t="inlineStr">
        <is>
          <t>ÖREBRO LÄN</t>
        </is>
      </c>
      <c r="E424" t="inlineStr">
        <is>
          <t>LINDESBERG</t>
        </is>
      </c>
      <c r="F424" t="inlineStr">
        <is>
          <t>Naturvårdsverket</t>
        </is>
      </c>
      <c r="G424" t="n">
        <v>3.1</v>
      </c>
      <c r="H424" t="n">
        <v>0</v>
      </c>
      <c r="I424" t="n">
        <v>0</v>
      </c>
      <c r="J424" t="n">
        <v>0</v>
      </c>
      <c r="K424" t="n">
        <v>0</v>
      </c>
      <c r="L424" t="n">
        <v>0</v>
      </c>
      <c r="M424" t="n">
        <v>0</v>
      </c>
      <c r="N424" t="n">
        <v>0</v>
      </c>
      <c r="O424" t="n">
        <v>0</v>
      </c>
      <c r="P424" t="n">
        <v>0</v>
      </c>
      <c r="Q424" t="n">
        <v>0</v>
      </c>
      <c r="R424" s="2" t="inlineStr"/>
    </row>
    <row r="425" ht="15" customHeight="1">
      <c r="A425" t="inlineStr">
        <is>
          <t>A 40085-2023</t>
        </is>
      </c>
      <c r="B425" s="1" t="n">
        <v>45168.92155092592</v>
      </c>
      <c r="C425" s="1" t="n">
        <v>45963</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40117-2023</t>
        </is>
      </c>
      <c r="B426" s="1" t="n">
        <v>45168.94197916667</v>
      </c>
      <c r="C426" s="1" t="n">
        <v>45963</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36747-2024</t>
        </is>
      </c>
      <c r="B427" s="1" t="n">
        <v>45538.34193287037</v>
      </c>
      <c r="C427" s="1" t="n">
        <v>45963</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21390-2024</t>
        </is>
      </c>
      <c r="B428" s="1" t="n">
        <v>45441.30899305556</v>
      </c>
      <c r="C428" s="1" t="n">
        <v>45963</v>
      </c>
      <c r="D428" t="inlineStr">
        <is>
          <t>ÖREBRO LÄN</t>
        </is>
      </c>
      <c r="E428" t="inlineStr">
        <is>
          <t>LINDESBERG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21392-2024</t>
        </is>
      </c>
      <c r="B429" s="1" t="n">
        <v>45441.30998842593</v>
      </c>
      <c r="C429" s="1" t="n">
        <v>45963</v>
      </c>
      <c r="D429" t="inlineStr">
        <is>
          <t>ÖREBRO LÄN</t>
        </is>
      </c>
      <c r="E429" t="inlineStr">
        <is>
          <t>LINDESBERG</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36680-2024</t>
        </is>
      </c>
      <c r="B430" s="1" t="n">
        <v>45537.65305555556</v>
      </c>
      <c r="C430" s="1" t="n">
        <v>45963</v>
      </c>
      <c r="D430" t="inlineStr">
        <is>
          <t>ÖREBRO LÄN</t>
        </is>
      </c>
      <c r="E430" t="inlineStr">
        <is>
          <t>LINDESBERG</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13305-2023</t>
        </is>
      </c>
      <c r="B431" s="1" t="n">
        <v>45005.35967592592</v>
      </c>
      <c r="C431" s="1" t="n">
        <v>45963</v>
      </c>
      <c r="D431" t="inlineStr">
        <is>
          <t>ÖREBRO LÄN</t>
        </is>
      </c>
      <c r="E431" t="inlineStr">
        <is>
          <t>LINDESBERG</t>
        </is>
      </c>
      <c r="G431" t="n">
        <v>5.5</v>
      </c>
      <c r="H431" t="n">
        <v>0</v>
      </c>
      <c r="I431" t="n">
        <v>0</v>
      </c>
      <c r="J431" t="n">
        <v>0</v>
      </c>
      <c r="K431" t="n">
        <v>0</v>
      </c>
      <c r="L431" t="n">
        <v>0</v>
      </c>
      <c r="M431" t="n">
        <v>0</v>
      </c>
      <c r="N431" t="n">
        <v>0</v>
      </c>
      <c r="O431" t="n">
        <v>0</v>
      </c>
      <c r="P431" t="n">
        <v>0</v>
      </c>
      <c r="Q431" t="n">
        <v>0</v>
      </c>
      <c r="R431" s="2" t="inlineStr"/>
    </row>
    <row r="432" ht="15" customHeight="1">
      <c r="A432" t="inlineStr">
        <is>
          <t>A 13368-2023</t>
        </is>
      </c>
      <c r="B432" s="1" t="n">
        <v>45005.47820601852</v>
      </c>
      <c r="C432" s="1" t="n">
        <v>45963</v>
      </c>
      <c r="D432" t="inlineStr">
        <is>
          <t>ÖREBRO LÄN</t>
        </is>
      </c>
      <c r="E432" t="inlineStr">
        <is>
          <t>LINDESBERG</t>
        </is>
      </c>
      <c r="F432" t="inlineStr">
        <is>
          <t>Kommuner</t>
        </is>
      </c>
      <c r="G432" t="n">
        <v>0.7</v>
      </c>
      <c r="H432" t="n">
        <v>0</v>
      </c>
      <c r="I432" t="n">
        <v>0</v>
      </c>
      <c r="J432" t="n">
        <v>0</v>
      </c>
      <c r="K432" t="n">
        <v>0</v>
      </c>
      <c r="L432" t="n">
        <v>0</v>
      </c>
      <c r="M432" t="n">
        <v>0</v>
      </c>
      <c r="N432" t="n">
        <v>0</v>
      </c>
      <c r="O432" t="n">
        <v>0</v>
      </c>
      <c r="P432" t="n">
        <v>0</v>
      </c>
      <c r="Q432" t="n">
        <v>0</v>
      </c>
      <c r="R432" s="2" t="inlineStr"/>
    </row>
    <row r="433" ht="15" customHeight="1">
      <c r="A433" t="inlineStr">
        <is>
          <t>A 56912-2024</t>
        </is>
      </c>
      <c r="B433" s="1" t="n">
        <v>45628.59233796296</v>
      </c>
      <c r="C433" s="1" t="n">
        <v>45963</v>
      </c>
      <c r="D433" t="inlineStr">
        <is>
          <t>ÖREBRO LÄN</t>
        </is>
      </c>
      <c r="E433" t="inlineStr">
        <is>
          <t>LINDESBERG</t>
        </is>
      </c>
      <c r="G433" t="n">
        <v>1</v>
      </c>
      <c r="H433" t="n">
        <v>0</v>
      </c>
      <c r="I433" t="n">
        <v>0</v>
      </c>
      <c r="J433" t="n">
        <v>0</v>
      </c>
      <c r="K433" t="n">
        <v>0</v>
      </c>
      <c r="L433" t="n">
        <v>0</v>
      </c>
      <c r="M433" t="n">
        <v>0</v>
      </c>
      <c r="N433" t="n">
        <v>0</v>
      </c>
      <c r="O433" t="n">
        <v>0</v>
      </c>
      <c r="P433" t="n">
        <v>0</v>
      </c>
      <c r="Q433" t="n">
        <v>0</v>
      </c>
      <c r="R433" s="2" t="inlineStr"/>
    </row>
    <row r="434" ht="15" customHeight="1">
      <c r="A434" t="inlineStr">
        <is>
          <t>A 22543-2025</t>
        </is>
      </c>
      <c r="B434" s="1" t="n">
        <v>45788.42467592593</v>
      </c>
      <c r="C434" s="1" t="n">
        <v>45963</v>
      </c>
      <c r="D434" t="inlineStr">
        <is>
          <t>ÖREBRO LÄN</t>
        </is>
      </c>
      <c r="E434" t="inlineStr">
        <is>
          <t>LINDESBERG</t>
        </is>
      </c>
      <c r="G434" t="n">
        <v>6.7</v>
      </c>
      <c r="H434" t="n">
        <v>0</v>
      </c>
      <c r="I434" t="n">
        <v>0</v>
      </c>
      <c r="J434" t="n">
        <v>0</v>
      </c>
      <c r="K434" t="n">
        <v>0</v>
      </c>
      <c r="L434" t="n">
        <v>0</v>
      </c>
      <c r="M434" t="n">
        <v>0</v>
      </c>
      <c r="N434" t="n">
        <v>0</v>
      </c>
      <c r="O434" t="n">
        <v>0</v>
      </c>
      <c r="P434" t="n">
        <v>0</v>
      </c>
      <c r="Q434" t="n">
        <v>0</v>
      </c>
      <c r="R434" s="2" t="inlineStr"/>
    </row>
    <row r="435" ht="15" customHeight="1">
      <c r="A435" t="inlineStr">
        <is>
          <t>A 9966-2023</t>
        </is>
      </c>
      <c r="B435" s="1" t="n">
        <v>44979</v>
      </c>
      <c r="C435" s="1" t="n">
        <v>45963</v>
      </c>
      <c r="D435" t="inlineStr">
        <is>
          <t>ÖREBRO LÄN</t>
        </is>
      </c>
      <c r="E435" t="inlineStr">
        <is>
          <t>LINDESBERG</t>
        </is>
      </c>
      <c r="G435" t="n">
        <v>4.1</v>
      </c>
      <c r="H435" t="n">
        <v>0</v>
      </c>
      <c r="I435" t="n">
        <v>0</v>
      </c>
      <c r="J435" t="n">
        <v>0</v>
      </c>
      <c r="K435" t="n">
        <v>0</v>
      </c>
      <c r="L435" t="n">
        <v>0</v>
      </c>
      <c r="M435" t="n">
        <v>0</v>
      </c>
      <c r="N435" t="n">
        <v>0</v>
      </c>
      <c r="O435" t="n">
        <v>0</v>
      </c>
      <c r="P435" t="n">
        <v>0</v>
      </c>
      <c r="Q435" t="n">
        <v>0</v>
      </c>
      <c r="R435" s="2" t="inlineStr"/>
    </row>
    <row r="436" ht="15" customHeight="1">
      <c r="A436" t="inlineStr">
        <is>
          <t>A 15745-2024</t>
        </is>
      </c>
      <c r="B436" s="1" t="n">
        <v>45404.55239583334</v>
      </c>
      <c r="C436" s="1" t="n">
        <v>45963</v>
      </c>
      <c r="D436" t="inlineStr">
        <is>
          <t>ÖREBRO LÄN</t>
        </is>
      </c>
      <c r="E436" t="inlineStr">
        <is>
          <t>LINDESBERG</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15750-2024</t>
        </is>
      </c>
      <c r="B437" s="1" t="n">
        <v>45404.55601851852</v>
      </c>
      <c r="C437" s="1" t="n">
        <v>45963</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36686-2024</t>
        </is>
      </c>
      <c r="B438" s="1" t="n">
        <v>45537.665</v>
      </c>
      <c r="C438" s="1" t="n">
        <v>45963</v>
      </c>
      <c r="D438" t="inlineStr">
        <is>
          <t>ÖREBRO LÄN</t>
        </is>
      </c>
      <c r="E438" t="inlineStr">
        <is>
          <t>LINDESBERG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72698-2021</t>
        </is>
      </c>
      <c r="B439" s="1" t="n">
        <v>44546.6679050926</v>
      </c>
      <c r="C439" s="1" t="n">
        <v>45963</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19110-2025</t>
        </is>
      </c>
      <c r="B440" s="1" t="n">
        <v>45768.49947916667</v>
      </c>
      <c r="C440" s="1" t="n">
        <v>45963</v>
      </c>
      <c r="D440" t="inlineStr">
        <is>
          <t>ÖREBRO LÄN</t>
        </is>
      </c>
      <c r="E440" t="inlineStr">
        <is>
          <t>LINDESBERG</t>
        </is>
      </c>
      <c r="G440" t="n">
        <v>2.6</v>
      </c>
      <c r="H440" t="n">
        <v>0</v>
      </c>
      <c r="I440" t="n">
        <v>0</v>
      </c>
      <c r="J440" t="n">
        <v>0</v>
      </c>
      <c r="K440" t="n">
        <v>0</v>
      </c>
      <c r="L440" t="n">
        <v>0</v>
      </c>
      <c r="M440" t="n">
        <v>0</v>
      </c>
      <c r="N440" t="n">
        <v>0</v>
      </c>
      <c r="O440" t="n">
        <v>0</v>
      </c>
      <c r="P440" t="n">
        <v>0</v>
      </c>
      <c r="Q440" t="n">
        <v>0</v>
      </c>
      <c r="R440" s="2" t="inlineStr"/>
    </row>
    <row r="441" ht="15" customHeight="1">
      <c r="A441" t="inlineStr">
        <is>
          <t>A 28776-2023</t>
        </is>
      </c>
      <c r="B441" s="1" t="n">
        <v>45104.34107638889</v>
      </c>
      <c r="C441" s="1" t="n">
        <v>45963</v>
      </c>
      <c r="D441" t="inlineStr">
        <is>
          <t>ÖREBRO LÄN</t>
        </is>
      </c>
      <c r="E441" t="inlineStr">
        <is>
          <t>LINDESBERG</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46678-2023</t>
        </is>
      </c>
      <c r="B442" s="1" t="n">
        <v>45194</v>
      </c>
      <c r="C442" s="1" t="n">
        <v>45963</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23579-2022</t>
        </is>
      </c>
      <c r="B443" s="1" t="n">
        <v>44721.52627314815</v>
      </c>
      <c r="C443" s="1" t="n">
        <v>45963</v>
      </c>
      <c r="D443" t="inlineStr">
        <is>
          <t>ÖREBRO LÄN</t>
        </is>
      </c>
      <c r="E443" t="inlineStr">
        <is>
          <t>LINDESBERG</t>
        </is>
      </c>
      <c r="G443" t="n">
        <v>0.7</v>
      </c>
      <c r="H443" t="n">
        <v>0</v>
      </c>
      <c r="I443" t="n">
        <v>0</v>
      </c>
      <c r="J443" t="n">
        <v>0</v>
      </c>
      <c r="K443" t="n">
        <v>0</v>
      </c>
      <c r="L443" t="n">
        <v>0</v>
      </c>
      <c r="M443" t="n">
        <v>0</v>
      </c>
      <c r="N443" t="n">
        <v>0</v>
      </c>
      <c r="O443" t="n">
        <v>0</v>
      </c>
      <c r="P443" t="n">
        <v>0</v>
      </c>
      <c r="Q443" t="n">
        <v>0</v>
      </c>
      <c r="R443" s="2" t="inlineStr"/>
    </row>
    <row r="444" ht="15" customHeight="1">
      <c r="A444" t="inlineStr">
        <is>
          <t>A 53054-2022</t>
        </is>
      </c>
      <c r="B444" s="1" t="n">
        <v>44876.35706018518</v>
      </c>
      <c r="C444" s="1" t="n">
        <v>45963</v>
      </c>
      <c r="D444" t="inlineStr">
        <is>
          <t>ÖREBRO LÄN</t>
        </is>
      </c>
      <c r="E444" t="inlineStr">
        <is>
          <t>LINDESBERG</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20467-2023</t>
        </is>
      </c>
      <c r="B445" s="1" t="n">
        <v>45057</v>
      </c>
      <c r="C445" s="1" t="n">
        <v>45963</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22438-2025</t>
        </is>
      </c>
      <c r="B446" s="1" t="n">
        <v>45786</v>
      </c>
      <c r="C446" s="1" t="n">
        <v>45963</v>
      </c>
      <c r="D446" t="inlineStr">
        <is>
          <t>ÖREBRO LÄN</t>
        </is>
      </c>
      <c r="E446" t="inlineStr">
        <is>
          <t>LINDESBERG</t>
        </is>
      </c>
      <c r="F446" t="inlineStr">
        <is>
          <t>Sveaskog</t>
        </is>
      </c>
      <c r="G446" t="n">
        <v>6.1</v>
      </c>
      <c r="H446" t="n">
        <v>0</v>
      </c>
      <c r="I446" t="n">
        <v>0</v>
      </c>
      <c r="J446" t="n">
        <v>0</v>
      </c>
      <c r="K446" t="n">
        <v>0</v>
      </c>
      <c r="L446" t="n">
        <v>0</v>
      </c>
      <c r="M446" t="n">
        <v>0</v>
      </c>
      <c r="N446" t="n">
        <v>0</v>
      </c>
      <c r="O446" t="n">
        <v>0</v>
      </c>
      <c r="P446" t="n">
        <v>0</v>
      </c>
      <c r="Q446" t="n">
        <v>0</v>
      </c>
      <c r="R446" s="2" t="inlineStr"/>
    </row>
    <row r="447" ht="15" customHeight="1">
      <c r="A447" t="inlineStr">
        <is>
          <t>A 35140-2023</t>
        </is>
      </c>
      <c r="B447" s="1" t="n">
        <v>45145</v>
      </c>
      <c r="C447" s="1" t="n">
        <v>45963</v>
      </c>
      <c r="D447" t="inlineStr">
        <is>
          <t>ÖREBRO LÄN</t>
        </is>
      </c>
      <c r="E447" t="inlineStr">
        <is>
          <t>LINDESBERG</t>
        </is>
      </c>
      <c r="F447" t="inlineStr">
        <is>
          <t>Sveaskog</t>
        </is>
      </c>
      <c r="G447" t="n">
        <v>0.4</v>
      </c>
      <c r="H447" t="n">
        <v>0</v>
      </c>
      <c r="I447" t="n">
        <v>0</v>
      </c>
      <c r="J447" t="n">
        <v>0</v>
      </c>
      <c r="K447" t="n">
        <v>0</v>
      </c>
      <c r="L447" t="n">
        <v>0</v>
      </c>
      <c r="M447" t="n">
        <v>0</v>
      </c>
      <c r="N447" t="n">
        <v>0</v>
      </c>
      <c r="O447" t="n">
        <v>0</v>
      </c>
      <c r="P447" t="n">
        <v>0</v>
      </c>
      <c r="Q447" t="n">
        <v>0</v>
      </c>
      <c r="R447" s="2" t="inlineStr"/>
    </row>
    <row r="448" ht="15" customHeight="1">
      <c r="A448" t="inlineStr">
        <is>
          <t>A 60941-2024</t>
        </is>
      </c>
      <c r="B448" s="1" t="n">
        <v>45645.3712037037</v>
      </c>
      <c r="C448" s="1" t="n">
        <v>45963</v>
      </c>
      <c r="D448" t="inlineStr">
        <is>
          <t>ÖREBRO LÄN</t>
        </is>
      </c>
      <c r="E448" t="inlineStr">
        <is>
          <t>LINDESBERG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59641-2024</t>
        </is>
      </c>
      <c r="B449" s="1" t="n">
        <v>45639.30934027778</v>
      </c>
      <c r="C449" s="1" t="n">
        <v>45963</v>
      </c>
      <c r="D449" t="inlineStr">
        <is>
          <t>ÖREBRO LÄN</t>
        </is>
      </c>
      <c r="E449" t="inlineStr">
        <is>
          <t>LINDESBERG</t>
        </is>
      </c>
      <c r="G449" t="n">
        <v>2.1</v>
      </c>
      <c r="H449" t="n">
        <v>0</v>
      </c>
      <c r="I449" t="n">
        <v>0</v>
      </c>
      <c r="J449" t="n">
        <v>0</v>
      </c>
      <c r="K449" t="n">
        <v>0</v>
      </c>
      <c r="L449" t="n">
        <v>0</v>
      </c>
      <c r="M449" t="n">
        <v>0</v>
      </c>
      <c r="N449" t="n">
        <v>0</v>
      </c>
      <c r="O449" t="n">
        <v>0</v>
      </c>
      <c r="P449" t="n">
        <v>0</v>
      </c>
      <c r="Q449" t="n">
        <v>0</v>
      </c>
      <c r="R449" s="2" t="inlineStr"/>
    </row>
    <row r="450" ht="15" customHeight="1">
      <c r="A450" t="inlineStr">
        <is>
          <t>A 23245-2025</t>
        </is>
      </c>
      <c r="B450" s="1" t="n">
        <v>45791.50862268519</v>
      </c>
      <c r="C450" s="1" t="n">
        <v>45963</v>
      </c>
      <c r="D450" t="inlineStr">
        <is>
          <t>ÖREBRO LÄN</t>
        </is>
      </c>
      <c r="E450" t="inlineStr">
        <is>
          <t>LINDESBERG</t>
        </is>
      </c>
      <c r="G450" t="n">
        <v>6.8</v>
      </c>
      <c r="H450" t="n">
        <v>0</v>
      </c>
      <c r="I450" t="n">
        <v>0</v>
      </c>
      <c r="J450" t="n">
        <v>0</v>
      </c>
      <c r="K450" t="n">
        <v>0</v>
      </c>
      <c r="L450" t="n">
        <v>0</v>
      </c>
      <c r="M450" t="n">
        <v>0</v>
      </c>
      <c r="N450" t="n">
        <v>0</v>
      </c>
      <c r="O450" t="n">
        <v>0</v>
      </c>
      <c r="P450" t="n">
        <v>0</v>
      </c>
      <c r="Q450" t="n">
        <v>0</v>
      </c>
      <c r="R450" s="2" t="inlineStr"/>
    </row>
    <row r="451" ht="15" customHeight="1">
      <c r="A451" t="inlineStr">
        <is>
          <t>A 17823-2021</t>
        </is>
      </c>
      <c r="B451" s="1" t="n">
        <v>44300</v>
      </c>
      <c r="C451" s="1" t="n">
        <v>45963</v>
      </c>
      <c r="D451" t="inlineStr">
        <is>
          <t>ÖREBRO LÄN</t>
        </is>
      </c>
      <c r="E451" t="inlineStr">
        <is>
          <t>LINDESBERG</t>
        </is>
      </c>
      <c r="G451" t="n">
        <v>3.9</v>
      </c>
      <c r="H451" t="n">
        <v>0</v>
      </c>
      <c r="I451" t="n">
        <v>0</v>
      </c>
      <c r="J451" t="n">
        <v>0</v>
      </c>
      <c r="K451" t="n">
        <v>0</v>
      </c>
      <c r="L451" t="n">
        <v>0</v>
      </c>
      <c r="M451" t="n">
        <v>0</v>
      </c>
      <c r="N451" t="n">
        <v>0</v>
      </c>
      <c r="O451" t="n">
        <v>0</v>
      </c>
      <c r="P451" t="n">
        <v>0</v>
      </c>
      <c r="Q451" t="n">
        <v>0</v>
      </c>
      <c r="R451" s="2" t="inlineStr"/>
    </row>
    <row r="452" ht="15" customHeight="1">
      <c r="A452" t="inlineStr">
        <is>
          <t>A 56507-2021</t>
        </is>
      </c>
      <c r="B452" s="1" t="n">
        <v>44480.58034722223</v>
      </c>
      <c r="C452" s="1" t="n">
        <v>45963</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42707-2023</t>
        </is>
      </c>
      <c r="B453" s="1" t="n">
        <v>45181</v>
      </c>
      <c r="C453" s="1" t="n">
        <v>45963</v>
      </c>
      <c r="D453" t="inlineStr">
        <is>
          <t>ÖREBRO LÄN</t>
        </is>
      </c>
      <c r="E453" t="inlineStr">
        <is>
          <t>LINDESBERG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38762-2021</t>
        </is>
      </c>
      <c r="B454" s="1" t="n">
        <v>44410.61837962963</v>
      </c>
      <c r="C454" s="1" t="n">
        <v>45963</v>
      </c>
      <c r="D454" t="inlineStr">
        <is>
          <t>ÖREBRO LÄN</t>
        </is>
      </c>
      <c r="E454" t="inlineStr">
        <is>
          <t>LINDESBERG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17779-2024</t>
        </is>
      </c>
      <c r="B455" s="1" t="n">
        <v>45418.66800925926</v>
      </c>
      <c r="C455" s="1" t="n">
        <v>45963</v>
      </c>
      <c r="D455" t="inlineStr">
        <is>
          <t>ÖREBRO LÄN</t>
        </is>
      </c>
      <c r="E455" t="inlineStr">
        <is>
          <t>LINDESBERG</t>
        </is>
      </c>
      <c r="G455" t="n">
        <v>3.7</v>
      </c>
      <c r="H455" t="n">
        <v>0</v>
      </c>
      <c r="I455" t="n">
        <v>0</v>
      </c>
      <c r="J455" t="n">
        <v>0</v>
      </c>
      <c r="K455" t="n">
        <v>0</v>
      </c>
      <c r="L455" t="n">
        <v>0</v>
      </c>
      <c r="M455" t="n">
        <v>0</v>
      </c>
      <c r="N455" t="n">
        <v>0</v>
      </c>
      <c r="O455" t="n">
        <v>0</v>
      </c>
      <c r="P455" t="n">
        <v>0</v>
      </c>
      <c r="Q455" t="n">
        <v>0</v>
      </c>
      <c r="R455" s="2" t="inlineStr"/>
    </row>
    <row r="456" ht="15" customHeight="1">
      <c r="A456" t="inlineStr">
        <is>
          <t>A 39419-2023</t>
        </is>
      </c>
      <c r="B456" s="1" t="n">
        <v>45166.68493055556</v>
      </c>
      <c r="C456" s="1" t="n">
        <v>45963</v>
      </c>
      <c r="D456" t="inlineStr">
        <is>
          <t>ÖREBRO LÄN</t>
        </is>
      </c>
      <c r="E456" t="inlineStr">
        <is>
          <t>LINDESBERG</t>
        </is>
      </c>
      <c r="F456" t="inlineStr">
        <is>
          <t>Sveaskog</t>
        </is>
      </c>
      <c r="G456" t="n">
        <v>0.4</v>
      </c>
      <c r="H456" t="n">
        <v>0</v>
      </c>
      <c r="I456" t="n">
        <v>0</v>
      </c>
      <c r="J456" t="n">
        <v>0</v>
      </c>
      <c r="K456" t="n">
        <v>0</v>
      </c>
      <c r="L456" t="n">
        <v>0</v>
      </c>
      <c r="M456" t="n">
        <v>0</v>
      </c>
      <c r="N456" t="n">
        <v>0</v>
      </c>
      <c r="O456" t="n">
        <v>0</v>
      </c>
      <c r="P456" t="n">
        <v>0</v>
      </c>
      <c r="Q456" t="n">
        <v>0</v>
      </c>
      <c r="R456" s="2" t="inlineStr"/>
    </row>
    <row r="457" ht="15" customHeight="1">
      <c r="A457" t="inlineStr">
        <is>
          <t>A 54793-2024</t>
        </is>
      </c>
      <c r="B457" s="1" t="n">
        <v>45618</v>
      </c>
      <c r="C457" s="1" t="n">
        <v>45963</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1400-2025</t>
        </is>
      </c>
      <c r="B458" s="1" t="n">
        <v>45667</v>
      </c>
      <c r="C458" s="1" t="n">
        <v>45963</v>
      </c>
      <c r="D458" t="inlineStr">
        <is>
          <t>ÖREBRO LÄN</t>
        </is>
      </c>
      <c r="E458" t="inlineStr">
        <is>
          <t>LINDESBERG</t>
        </is>
      </c>
      <c r="F458" t="inlineStr">
        <is>
          <t>Allmännings- och besparingsskogar</t>
        </is>
      </c>
      <c r="G458" t="n">
        <v>11.3</v>
      </c>
      <c r="H458" t="n">
        <v>0</v>
      </c>
      <c r="I458" t="n">
        <v>0</v>
      </c>
      <c r="J458" t="n">
        <v>0</v>
      </c>
      <c r="K458" t="n">
        <v>0</v>
      </c>
      <c r="L458" t="n">
        <v>0</v>
      </c>
      <c r="M458" t="n">
        <v>0</v>
      </c>
      <c r="N458" t="n">
        <v>0</v>
      </c>
      <c r="O458" t="n">
        <v>0</v>
      </c>
      <c r="P458" t="n">
        <v>0</v>
      </c>
      <c r="Q458" t="n">
        <v>0</v>
      </c>
      <c r="R458" s="2" t="inlineStr"/>
    </row>
    <row r="459" ht="15" customHeight="1">
      <c r="A459" t="inlineStr">
        <is>
          <t>A 38380-2024</t>
        </is>
      </c>
      <c r="B459" s="1" t="n">
        <v>45546.28121527778</v>
      </c>
      <c r="C459" s="1" t="n">
        <v>45963</v>
      </c>
      <c r="D459" t="inlineStr">
        <is>
          <t>ÖREBRO LÄN</t>
        </is>
      </c>
      <c r="E459" t="inlineStr">
        <is>
          <t>LINDESBERG</t>
        </is>
      </c>
      <c r="G459" t="n">
        <v>6.8</v>
      </c>
      <c r="H459" t="n">
        <v>0</v>
      </c>
      <c r="I459" t="n">
        <v>0</v>
      </c>
      <c r="J459" t="n">
        <v>0</v>
      </c>
      <c r="K459" t="n">
        <v>0</v>
      </c>
      <c r="L459" t="n">
        <v>0</v>
      </c>
      <c r="M459" t="n">
        <v>0</v>
      </c>
      <c r="N459" t="n">
        <v>0</v>
      </c>
      <c r="O459" t="n">
        <v>0</v>
      </c>
      <c r="P459" t="n">
        <v>0</v>
      </c>
      <c r="Q459" t="n">
        <v>0</v>
      </c>
      <c r="R459" s="2" t="inlineStr"/>
    </row>
    <row r="460" ht="15" customHeight="1">
      <c r="A460" t="inlineStr">
        <is>
          <t>A 21202-2024</t>
        </is>
      </c>
      <c r="B460" s="1" t="n">
        <v>45440.5433912037</v>
      </c>
      <c r="C460" s="1" t="n">
        <v>45963</v>
      </c>
      <c r="D460" t="inlineStr">
        <is>
          <t>ÖREBRO LÄN</t>
        </is>
      </c>
      <c r="E460" t="inlineStr">
        <is>
          <t>LINDESBERG</t>
        </is>
      </c>
      <c r="G460" t="n">
        <v>4</v>
      </c>
      <c r="H460" t="n">
        <v>0</v>
      </c>
      <c r="I460" t="n">
        <v>0</v>
      </c>
      <c r="J460" t="n">
        <v>0</v>
      </c>
      <c r="K460" t="n">
        <v>0</v>
      </c>
      <c r="L460" t="n">
        <v>0</v>
      </c>
      <c r="M460" t="n">
        <v>0</v>
      </c>
      <c r="N460" t="n">
        <v>0</v>
      </c>
      <c r="O460" t="n">
        <v>0</v>
      </c>
      <c r="P460" t="n">
        <v>0</v>
      </c>
      <c r="Q460" t="n">
        <v>0</v>
      </c>
      <c r="R460" s="2" t="inlineStr"/>
    </row>
    <row r="461" ht="15" customHeight="1">
      <c r="A461" t="inlineStr">
        <is>
          <t>A 6470-2024</t>
        </is>
      </c>
      <c r="B461" s="1" t="n">
        <v>45338</v>
      </c>
      <c r="C461" s="1" t="n">
        <v>45963</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58697-2024</t>
        </is>
      </c>
      <c r="B462" s="1" t="n">
        <v>45635.63706018519</v>
      </c>
      <c r="C462" s="1" t="n">
        <v>45963</v>
      </c>
      <c r="D462" t="inlineStr">
        <is>
          <t>ÖREBRO LÄN</t>
        </is>
      </c>
      <c r="E462" t="inlineStr">
        <is>
          <t>LINDESBERG</t>
        </is>
      </c>
      <c r="G462" t="n">
        <v>25.1</v>
      </c>
      <c r="H462" t="n">
        <v>0</v>
      </c>
      <c r="I462" t="n">
        <v>0</v>
      </c>
      <c r="J462" t="n">
        <v>0</v>
      </c>
      <c r="K462" t="n">
        <v>0</v>
      </c>
      <c r="L462" t="n">
        <v>0</v>
      </c>
      <c r="M462" t="n">
        <v>0</v>
      </c>
      <c r="N462" t="n">
        <v>0</v>
      </c>
      <c r="O462" t="n">
        <v>0</v>
      </c>
      <c r="P462" t="n">
        <v>0</v>
      </c>
      <c r="Q462" t="n">
        <v>0</v>
      </c>
      <c r="R462" s="2" t="inlineStr"/>
    </row>
    <row r="463" ht="15" customHeight="1">
      <c r="A463" t="inlineStr">
        <is>
          <t>A 45978-2021</t>
        </is>
      </c>
      <c r="B463" s="1" t="n">
        <v>44441.70047453704</v>
      </c>
      <c r="C463" s="1" t="n">
        <v>45963</v>
      </c>
      <c r="D463" t="inlineStr">
        <is>
          <t>ÖREBRO LÄN</t>
        </is>
      </c>
      <c r="E463" t="inlineStr">
        <is>
          <t>LINDESBERG</t>
        </is>
      </c>
      <c r="G463" t="n">
        <v>4.4</v>
      </c>
      <c r="H463" t="n">
        <v>0</v>
      </c>
      <c r="I463" t="n">
        <v>0</v>
      </c>
      <c r="J463" t="n">
        <v>0</v>
      </c>
      <c r="K463" t="n">
        <v>0</v>
      </c>
      <c r="L463" t="n">
        <v>0</v>
      </c>
      <c r="M463" t="n">
        <v>0</v>
      </c>
      <c r="N463" t="n">
        <v>0</v>
      </c>
      <c r="O463" t="n">
        <v>0</v>
      </c>
      <c r="P463" t="n">
        <v>0</v>
      </c>
      <c r="Q463" t="n">
        <v>0</v>
      </c>
      <c r="R463" s="2" t="inlineStr"/>
    </row>
    <row r="464" ht="15" customHeight="1">
      <c r="A464" t="inlineStr">
        <is>
          <t>A 47069-2023</t>
        </is>
      </c>
      <c r="B464" s="1" t="n">
        <v>45201</v>
      </c>
      <c r="C464" s="1" t="n">
        <v>45963</v>
      </c>
      <c r="D464" t="inlineStr">
        <is>
          <t>ÖREBRO LÄN</t>
        </is>
      </c>
      <c r="E464" t="inlineStr">
        <is>
          <t>LINDESBERG</t>
        </is>
      </c>
      <c r="F464" t="inlineStr">
        <is>
          <t>Sveaskog</t>
        </is>
      </c>
      <c r="G464" t="n">
        <v>9.4</v>
      </c>
      <c r="H464" t="n">
        <v>0</v>
      </c>
      <c r="I464" t="n">
        <v>0</v>
      </c>
      <c r="J464" t="n">
        <v>0</v>
      </c>
      <c r="K464" t="n">
        <v>0</v>
      </c>
      <c r="L464" t="n">
        <v>0</v>
      </c>
      <c r="M464" t="n">
        <v>0</v>
      </c>
      <c r="N464" t="n">
        <v>0</v>
      </c>
      <c r="O464" t="n">
        <v>0</v>
      </c>
      <c r="P464" t="n">
        <v>0</v>
      </c>
      <c r="Q464" t="n">
        <v>0</v>
      </c>
      <c r="R464" s="2" t="inlineStr"/>
    </row>
    <row r="465" ht="15" customHeight="1">
      <c r="A465" t="inlineStr">
        <is>
          <t>A 47074-2023</t>
        </is>
      </c>
      <c r="B465" s="1" t="n">
        <v>45201.60283564815</v>
      </c>
      <c r="C465" s="1" t="n">
        <v>45963</v>
      </c>
      <c r="D465" t="inlineStr">
        <is>
          <t>ÖREBRO LÄN</t>
        </is>
      </c>
      <c r="E465" t="inlineStr">
        <is>
          <t>LINDESBERG</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4997-2024</t>
        </is>
      </c>
      <c r="B466" s="1" t="n">
        <v>45329</v>
      </c>
      <c r="C466" s="1" t="n">
        <v>45963</v>
      </c>
      <c r="D466" t="inlineStr">
        <is>
          <t>ÖREBRO LÄN</t>
        </is>
      </c>
      <c r="E466" t="inlineStr">
        <is>
          <t>LINDESBERG</t>
        </is>
      </c>
      <c r="F466" t="inlineStr">
        <is>
          <t>BillerudKorsnäs AB</t>
        </is>
      </c>
      <c r="G466" t="n">
        <v>3</v>
      </c>
      <c r="H466" t="n">
        <v>0</v>
      </c>
      <c r="I466" t="n">
        <v>0</v>
      </c>
      <c r="J466" t="n">
        <v>0</v>
      </c>
      <c r="K466" t="n">
        <v>0</v>
      </c>
      <c r="L466" t="n">
        <v>0</v>
      </c>
      <c r="M466" t="n">
        <v>0</v>
      </c>
      <c r="N466" t="n">
        <v>0</v>
      </c>
      <c r="O466" t="n">
        <v>0</v>
      </c>
      <c r="P466" t="n">
        <v>0</v>
      </c>
      <c r="Q466" t="n">
        <v>0</v>
      </c>
      <c r="R466" s="2" t="inlineStr"/>
    </row>
    <row r="467" ht="15" customHeight="1">
      <c r="A467" t="inlineStr">
        <is>
          <t>A 33284-2024</t>
        </is>
      </c>
      <c r="B467" s="1" t="n">
        <v>45518.71721064814</v>
      </c>
      <c r="C467" s="1" t="n">
        <v>45963</v>
      </c>
      <c r="D467" t="inlineStr">
        <is>
          <t>ÖREBRO LÄN</t>
        </is>
      </c>
      <c r="E467" t="inlineStr">
        <is>
          <t>LINDESBERG</t>
        </is>
      </c>
      <c r="G467" t="n">
        <v>1.7</v>
      </c>
      <c r="H467" t="n">
        <v>0</v>
      </c>
      <c r="I467" t="n">
        <v>0</v>
      </c>
      <c r="J467" t="n">
        <v>0</v>
      </c>
      <c r="K467" t="n">
        <v>0</v>
      </c>
      <c r="L467" t="n">
        <v>0</v>
      </c>
      <c r="M467" t="n">
        <v>0</v>
      </c>
      <c r="N467" t="n">
        <v>0</v>
      </c>
      <c r="O467" t="n">
        <v>0</v>
      </c>
      <c r="P467" t="n">
        <v>0</v>
      </c>
      <c r="Q467" t="n">
        <v>0</v>
      </c>
      <c r="R467" s="2" t="inlineStr"/>
    </row>
    <row r="468" ht="15" customHeight="1">
      <c r="A468" t="inlineStr">
        <is>
          <t>A 23835-2025</t>
        </is>
      </c>
      <c r="B468" s="1" t="n">
        <v>45793.61047453704</v>
      </c>
      <c r="C468" s="1" t="n">
        <v>45963</v>
      </c>
      <c r="D468" t="inlineStr">
        <is>
          <t>ÖREBRO LÄN</t>
        </is>
      </c>
      <c r="E468" t="inlineStr">
        <is>
          <t>LINDESBERG</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38696-2024</t>
        </is>
      </c>
      <c r="B469" s="1" t="n">
        <v>45547.36590277778</v>
      </c>
      <c r="C469" s="1" t="n">
        <v>45963</v>
      </c>
      <c r="D469" t="inlineStr">
        <is>
          <t>ÖREBRO LÄN</t>
        </is>
      </c>
      <c r="E469" t="inlineStr">
        <is>
          <t>LINDESBERG</t>
        </is>
      </c>
      <c r="G469" t="n">
        <v>2</v>
      </c>
      <c r="H469" t="n">
        <v>0</v>
      </c>
      <c r="I469" t="n">
        <v>0</v>
      </c>
      <c r="J469" t="n">
        <v>0</v>
      </c>
      <c r="K469" t="n">
        <v>0</v>
      </c>
      <c r="L469" t="n">
        <v>0</v>
      </c>
      <c r="M469" t="n">
        <v>0</v>
      </c>
      <c r="N469" t="n">
        <v>0</v>
      </c>
      <c r="O469" t="n">
        <v>0</v>
      </c>
      <c r="P469" t="n">
        <v>0</v>
      </c>
      <c r="Q469" t="n">
        <v>0</v>
      </c>
      <c r="R469" s="2" t="inlineStr"/>
    </row>
    <row r="470" ht="15" customHeight="1">
      <c r="A470" t="inlineStr">
        <is>
          <t>A 11218-2025</t>
        </is>
      </c>
      <c r="B470" s="1" t="n">
        <v>45726.33763888889</v>
      </c>
      <c r="C470" s="1" t="n">
        <v>45963</v>
      </c>
      <c r="D470" t="inlineStr">
        <is>
          <t>ÖREBRO LÄN</t>
        </is>
      </c>
      <c r="E470" t="inlineStr">
        <is>
          <t>LINDESBERG</t>
        </is>
      </c>
      <c r="G470" t="n">
        <v>0.4</v>
      </c>
      <c r="H470" t="n">
        <v>0</v>
      </c>
      <c r="I470" t="n">
        <v>0</v>
      </c>
      <c r="J470" t="n">
        <v>0</v>
      </c>
      <c r="K470" t="n">
        <v>0</v>
      </c>
      <c r="L470" t="n">
        <v>0</v>
      </c>
      <c r="M470" t="n">
        <v>0</v>
      </c>
      <c r="N470" t="n">
        <v>0</v>
      </c>
      <c r="O470" t="n">
        <v>0</v>
      </c>
      <c r="P470" t="n">
        <v>0</v>
      </c>
      <c r="Q470" t="n">
        <v>0</v>
      </c>
      <c r="R470" s="2" t="inlineStr"/>
    </row>
    <row r="471" ht="15" customHeight="1">
      <c r="A471" t="inlineStr">
        <is>
          <t>A 11220-2025</t>
        </is>
      </c>
      <c r="B471" s="1" t="n">
        <v>45726.34090277777</v>
      </c>
      <c r="C471" s="1" t="n">
        <v>45963</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19219-2023</t>
        </is>
      </c>
      <c r="B472" s="1" t="n">
        <v>45048</v>
      </c>
      <c r="C472" s="1" t="n">
        <v>45963</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1742-2022</t>
        </is>
      </c>
      <c r="B473" s="1" t="n">
        <v>44574.50425925926</v>
      </c>
      <c r="C473" s="1" t="n">
        <v>45963</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37616-2023</t>
        </is>
      </c>
      <c r="B474" s="1" t="n">
        <v>45159.44525462963</v>
      </c>
      <c r="C474" s="1" t="n">
        <v>45963</v>
      </c>
      <c r="D474" t="inlineStr">
        <is>
          <t>ÖREBRO LÄN</t>
        </is>
      </c>
      <c r="E474" t="inlineStr">
        <is>
          <t>LINDESBERG</t>
        </is>
      </c>
      <c r="G474" t="n">
        <v>5.3</v>
      </c>
      <c r="H474" t="n">
        <v>0</v>
      </c>
      <c r="I474" t="n">
        <v>0</v>
      </c>
      <c r="J474" t="n">
        <v>0</v>
      </c>
      <c r="K474" t="n">
        <v>0</v>
      </c>
      <c r="L474" t="n">
        <v>0</v>
      </c>
      <c r="M474" t="n">
        <v>0</v>
      </c>
      <c r="N474" t="n">
        <v>0</v>
      </c>
      <c r="O474" t="n">
        <v>0</v>
      </c>
      <c r="P474" t="n">
        <v>0</v>
      </c>
      <c r="Q474" t="n">
        <v>0</v>
      </c>
      <c r="R474" s="2" t="inlineStr"/>
    </row>
    <row r="475" ht="15" customHeight="1">
      <c r="A475" t="inlineStr">
        <is>
          <t>A 28562-2023</t>
        </is>
      </c>
      <c r="B475" s="1" t="n">
        <v>45103.53614583334</v>
      </c>
      <c r="C475" s="1" t="n">
        <v>45963</v>
      </c>
      <c r="D475" t="inlineStr">
        <is>
          <t>ÖREBRO LÄN</t>
        </is>
      </c>
      <c r="E475" t="inlineStr">
        <is>
          <t>LINDESBERG</t>
        </is>
      </c>
      <c r="G475" t="n">
        <v>2</v>
      </c>
      <c r="H475" t="n">
        <v>0</v>
      </c>
      <c r="I475" t="n">
        <v>0</v>
      </c>
      <c r="J475" t="n">
        <v>0</v>
      </c>
      <c r="K475" t="n">
        <v>0</v>
      </c>
      <c r="L475" t="n">
        <v>0</v>
      </c>
      <c r="M475" t="n">
        <v>0</v>
      </c>
      <c r="N475" t="n">
        <v>0</v>
      </c>
      <c r="O475" t="n">
        <v>0</v>
      </c>
      <c r="P475" t="n">
        <v>0</v>
      </c>
      <c r="Q475" t="n">
        <v>0</v>
      </c>
      <c r="R475" s="2" t="inlineStr"/>
    </row>
    <row r="476" ht="15" customHeight="1">
      <c r="A476" t="inlineStr">
        <is>
          <t>A 23844-2025</t>
        </is>
      </c>
      <c r="B476" s="1" t="n">
        <v>45793.62422453704</v>
      </c>
      <c r="C476" s="1" t="n">
        <v>45963</v>
      </c>
      <c r="D476" t="inlineStr">
        <is>
          <t>ÖREBRO LÄN</t>
        </is>
      </c>
      <c r="E476" t="inlineStr">
        <is>
          <t>LINDESBERG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24186-2024</t>
        </is>
      </c>
      <c r="B477" s="1" t="n">
        <v>45456.90869212963</v>
      </c>
      <c r="C477" s="1" t="n">
        <v>45963</v>
      </c>
      <c r="D477" t="inlineStr">
        <is>
          <t>ÖREBRO LÄN</t>
        </is>
      </c>
      <c r="E477" t="inlineStr">
        <is>
          <t>LINDESBERG</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21016-2023</t>
        </is>
      </c>
      <c r="B478" s="1" t="n">
        <v>45061.53414351852</v>
      </c>
      <c r="C478" s="1" t="n">
        <v>45963</v>
      </c>
      <c r="D478" t="inlineStr">
        <is>
          <t>ÖREBRO LÄN</t>
        </is>
      </c>
      <c r="E478" t="inlineStr">
        <is>
          <t>LINDESBERG</t>
        </is>
      </c>
      <c r="G478" t="n">
        <v>8.1</v>
      </c>
      <c r="H478" t="n">
        <v>0</v>
      </c>
      <c r="I478" t="n">
        <v>0</v>
      </c>
      <c r="J478" t="n">
        <v>0</v>
      </c>
      <c r="K478" t="n">
        <v>0</v>
      </c>
      <c r="L478" t="n">
        <v>0</v>
      </c>
      <c r="M478" t="n">
        <v>0</v>
      </c>
      <c r="N478" t="n">
        <v>0</v>
      </c>
      <c r="O478" t="n">
        <v>0</v>
      </c>
      <c r="P478" t="n">
        <v>0</v>
      </c>
      <c r="Q478" t="n">
        <v>0</v>
      </c>
      <c r="R478" s="2" t="inlineStr"/>
    </row>
    <row r="479" ht="15" customHeight="1">
      <c r="A479" t="inlineStr">
        <is>
          <t>A 23933-2025</t>
        </is>
      </c>
      <c r="B479" s="1" t="n">
        <v>45795.71300925926</v>
      </c>
      <c r="C479" s="1" t="n">
        <v>45963</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52928-2024</t>
        </is>
      </c>
      <c r="B480" s="1" t="n">
        <v>45610</v>
      </c>
      <c r="C480" s="1" t="n">
        <v>45963</v>
      </c>
      <c r="D480" t="inlineStr">
        <is>
          <t>ÖREBRO LÄN</t>
        </is>
      </c>
      <c r="E480" t="inlineStr">
        <is>
          <t>LINDESBERG</t>
        </is>
      </c>
      <c r="G480" t="n">
        <v>8.6</v>
      </c>
      <c r="H480" t="n">
        <v>0</v>
      </c>
      <c r="I480" t="n">
        <v>0</v>
      </c>
      <c r="J480" t="n">
        <v>0</v>
      </c>
      <c r="K480" t="n">
        <v>0</v>
      </c>
      <c r="L480" t="n">
        <v>0</v>
      </c>
      <c r="M480" t="n">
        <v>0</v>
      </c>
      <c r="N480" t="n">
        <v>0</v>
      </c>
      <c r="O480" t="n">
        <v>0</v>
      </c>
      <c r="P480" t="n">
        <v>0</v>
      </c>
      <c r="Q480" t="n">
        <v>0</v>
      </c>
      <c r="R480" s="2" t="inlineStr"/>
    </row>
    <row r="481" ht="15" customHeight="1">
      <c r="A481" t="inlineStr">
        <is>
          <t>A 73500-2021</t>
        </is>
      </c>
      <c r="B481" s="1" t="n">
        <v>44551</v>
      </c>
      <c r="C481" s="1" t="n">
        <v>45963</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64084-2023</t>
        </is>
      </c>
      <c r="B482" s="1" t="n">
        <v>45279</v>
      </c>
      <c r="C482" s="1" t="n">
        <v>45963</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23932-2025</t>
        </is>
      </c>
      <c r="B483" s="1" t="n">
        <v>45795.70912037037</v>
      </c>
      <c r="C483" s="1" t="n">
        <v>45963</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33886-2024</t>
        </is>
      </c>
      <c r="B484" s="1" t="n">
        <v>45523.31621527778</v>
      </c>
      <c r="C484" s="1" t="n">
        <v>45963</v>
      </c>
      <c r="D484" t="inlineStr">
        <is>
          <t>ÖREBRO LÄN</t>
        </is>
      </c>
      <c r="E484" t="inlineStr">
        <is>
          <t>LINDESBERG</t>
        </is>
      </c>
      <c r="G484" t="n">
        <v>1.3</v>
      </c>
      <c r="H484" t="n">
        <v>0</v>
      </c>
      <c r="I484" t="n">
        <v>0</v>
      </c>
      <c r="J484" t="n">
        <v>0</v>
      </c>
      <c r="K484" t="n">
        <v>0</v>
      </c>
      <c r="L484" t="n">
        <v>0</v>
      </c>
      <c r="M484" t="n">
        <v>0</v>
      </c>
      <c r="N484" t="n">
        <v>0</v>
      </c>
      <c r="O484" t="n">
        <v>0</v>
      </c>
      <c r="P484" t="n">
        <v>0</v>
      </c>
      <c r="Q484" t="n">
        <v>0</v>
      </c>
      <c r="R484" s="2" t="inlineStr"/>
    </row>
    <row r="485" ht="15" customHeight="1">
      <c r="A485" t="inlineStr">
        <is>
          <t>A 43046-2022</t>
        </is>
      </c>
      <c r="B485" s="1" t="n">
        <v>44833</v>
      </c>
      <c r="C485" s="1" t="n">
        <v>45963</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37125-2023</t>
        </is>
      </c>
      <c r="B486" s="1" t="n">
        <v>45155.5653125</v>
      </c>
      <c r="C486" s="1" t="n">
        <v>45963</v>
      </c>
      <c r="D486" t="inlineStr">
        <is>
          <t>ÖREBRO LÄN</t>
        </is>
      </c>
      <c r="E486" t="inlineStr">
        <is>
          <t>LINDESBERG</t>
        </is>
      </c>
      <c r="G486" t="n">
        <v>2</v>
      </c>
      <c r="H486" t="n">
        <v>0</v>
      </c>
      <c r="I486" t="n">
        <v>0</v>
      </c>
      <c r="J486" t="n">
        <v>0</v>
      </c>
      <c r="K486" t="n">
        <v>0</v>
      </c>
      <c r="L486" t="n">
        <v>0</v>
      </c>
      <c r="M486" t="n">
        <v>0</v>
      </c>
      <c r="N486" t="n">
        <v>0</v>
      </c>
      <c r="O486" t="n">
        <v>0</v>
      </c>
      <c r="P486" t="n">
        <v>0</v>
      </c>
      <c r="Q486" t="n">
        <v>0</v>
      </c>
      <c r="R486" s="2" t="inlineStr"/>
    </row>
    <row r="487" ht="15" customHeight="1">
      <c r="A487" t="inlineStr">
        <is>
          <t>A 57944-2023</t>
        </is>
      </c>
      <c r="B487" s="1" t="n">
        <v>45244</v>
      </c>
      <c r="C487" s="1" t="n">
        <v>45963</v>
      </c>
      <c r="D487" t="inlineStr">
        <is>
          <t>ÖREBRO LÄN</t>
        </is>
      </c>
      <c r="E487" t="inlineStr">
        <is>
          <t>LINDESBERG</t>
        </is>
      </c>
      <c r="G487" t="n">
        <v>2.4</v>
      </c>
      <c r="H487" t="n">
        <v>0</v>
      </c>
      <c r="I487" t="n">
        <v>0</v>
      </c>
      <c r="J487" t="n">
        <v>0</v>
      </c>
      <c r="K487" t="n">
        <v>0</v>
      </c>
      <c r="L487" t="n">
        <v>0</v>
      </c>
      <c r="M487" t="n">
        <v>0</v>
      </c>
      <c r="N487" t="n">
        <v>0</v>
      </c>
      <c r="O487" t="n">
        <v>0</v>
      </c>
      <c r="P487" t="n">
        <v>0</v>
      </c>
      <c r="Q487" t="n">
        <v>0</v>
      </c>
      <c r="R487" s="2" t="inlineStr"/>
    </row>
    <row r="488" ht="15" customHeight="1">
      <c r="A488" t="inlineStr">
        <is>
          <t>A 16864-2022</t>
        </is>
      </c>
      <c r="B488" s="1" t="n">
        <v>44675</v>
      </c>
      <c r="C488" s="1" t="n">
        <v>45963</v>
      </c>
      <c r="D488" t="inlineStr">
        <is>
          <t>ÖREBRO LÄN</t>
        </is>
      </c>
      <c r="E488" t="inlineStr">
        <is>
          <t>LINDESBERG</t>
        </is>
      </c>
      <c r="F488" t="inlineStr">
        <is>
          <t>Kyrkan</t>
        </is>
      </c>
      <c r="G488" t="n">
        <v>1.7</v>
      </c>
      <c r="H488" t="n">
        <v>0</v>
      </c>
      <c r="I488" t="n">
        <v>0</v>
      </c>
      <c r="J488" t="n">
        <v>0</v>
      </c>
      <c r="K488" t="n">
        <v>0</v>
      </c>
      <c r="L488" t="n">
        <v>0</v>
      </c>
      <c r="M488" t="n">
        <v>0</v>
      </c>
      <c r="N488" t="n">
        <v>0</v>
      </c>
      <c r="O488" t="n">
        <v>0</v>
      </c>
      <c r="P488" t="n">
        <v>0</v>
      </c>
      <c r="Q488" t="n">
        <v>0</v>
      </c>
      <c r="R488" s="2" t="inlineStr"/>
    </row>
    <row r="489" ht="15" customHeight="1">
      <c r="A489" t="inlineStr">
        <is>
          <t>A 62866-2023</t>
        </is>
      </c>
      <c r="B489" s="1" t="n">
        <v>45272.36168981482</v>
      </c>
      <c r="C489" s="1" t="n">
        <v>45963</v>
      </c>
      <c r="D489" t="inlineStr">
        <is>
          <t>ÖREBRO LÄN</t>
        </is>
      </c>
      <c r="E489" t="inlineStr">
        <is>
          <t>LINDESBERG</t>
        </is>
      </c>
      <c r="G489" t="n">
        <v>14.5</v>
      </c>
      <c r="H489" t="n">
        <v>0</v>
      </c>
      <c r="I489" t="n">
        <v>0</v>
      </c>
      <c r="J489" t="n">
        <v>0</v>
      </c>
      <c r="K489" t="n">
        <v>0</v>
      </c>
      <c r="L489" t="n">
        <v>0</v>
      </c>
      <c r="M489" t="n">
        <v>0</v>
      </c>
      <c r="N489" t="n">
        <v>0</v>
      </c>
      <c r="O489" t="n">
        <v>0</v>
      </c>
      <c r="P489" t="n">
        <v>0</v>
      </c>
      <c r="Q489" t="n">
        <v>0</v>
      </c>
      <c r="R489" s="2" t="inlineStr"/>
    </row>
    <row r="490" ht="15" customHeight="1">
      <c r="A490" t="inlineStr">
        <is>
          <t>A 6-2023</t>
        </is>
      </c>
      <c r="B490" s="1" t="n">
        <v>44927.72487268518</v>
      </c>
      <c r="C490" s="1" t="n">
        <v>45963</v>
      </c>
      <c r="D490" t="inlineStr">
        <is>
          <t>ÖREBRO LÄN</t>
        </is>
      </c>
      <c r="E490" t="inlineStr">
        <is>
          <t>LINDESBERG</t>
        </is>
      </c>
      <c r="G490" t="n">
        <v>2.8</v>
      </c>
      <c r="H490" t="n">
        <v>0</v>
      </c>
      <c r="I490" t="n">
        <v>0</v>
      </c>
      <c r="J490" t="n">
        <v>0</v>
      </c>
      <c r="K490" t="n">
        <v>0</v>
      </c>
      <c r="L490" t="n">
        <v>0</v>
      </c>
      <c r="M490" t="n">
        <v>0</v>
      </c>
      <c r="N490" t="n">
        <v>0</v>
      </c>
      <c r="O490" t="n">
        <v>0</v>
      </c>
      <c r="P490" t="n">
        <v>0</v>
      </c>
      <c r="Q490" t="n">
        <v>0</v>
      </c>
      <c r="R490" s="2" t="inlineStr"/>
    </row>
    <row r="491" ht="15" customHeight="1">
      <c r="A491" t="inlineStr">
        <is>
          <t>A 13729-2025</t>
        </is>
      </c>
      <c r="B491" s="1" t="n">
        <v>45737.3846412037</v>
      </c>
      <c r="C491" s="1" t="n">
        <v>45963</v>
      </c>
      <c r="D491" t="inlineStr">
        <is>
          <t>ÖREBRO LÄN</t>
        </is>
      </c>
      <c r="E491" t="inlineStr">
        <is>
          <t>LINDESBERG</t>
        </is>
      </c>
      <c r="F491" t="inlineStr">
        <is>
          <t>Sveaskog</t>
        </is>
      </c>
      <c r="G491" t="n">
        <v>5.4</v>
      </c>
      <c r="H491" t="n">
        <v>0</v>
      </c>
      <c r="I491" t="n">
        <v>0</v>
      </c>
      <c r="J491" t="n">
        <v>0</v>
      </c>
      <c r="K491" t="n">
        <v>0</v>
      </c>
      <c r="L491" t="n">
        <v>0</v>
      </c>
      <c r="M491" t="n">
        <v>0</v>
      </c>
      <c r="N491" t="n">
        <v>0</v>
      </c>
      <c r="O491" t="n">
        <v>0</v>
      </c>
      <c r="P491" t="n">
        <v>0</v>
      </c>
      <c r="Q491" t="n">
        <v>0</v>
      </c>
      <c r="R491" s="2" t="inlineStr"/>
    </row>
    <row r="492" ht="15" customHeight="1">
      <c r="A492" t="inlineStr">
        <is>
          <t>A 41353-2024</t>
        </is>
      </c>
      <c r="B492" s="1" t="n">
        <v>45559</v>
      </c>
      <c r="C492" s="1" t="n">
        <v>45963</v>
      </c>
      <c r="D492" t="inlineStr">
        <is>
          <t>ÖREBRO LÄN</t>
        </is>
      </c>
      <c r="E492" t="inlineStr">
        <is>
          <t>LINDESBERG</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24017-2025</t>
        </is>
      </c>
      <c r="B493" s="1" t="n">
        <v>45796.44885416667</v>
      </c>
      <c r="C493" s="1" t="n">
        <v>45963</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23897-2025</t>
        </is>
      </c>
      <c r="B494" s="1" t="n">
        <v>45794.33498842592</v>
      </c>
      <c r="C494" s="1" t="n">
        <v>45963</v>
      </c>
      <c r="D494" t="inlineStr">
        <is>
          <t>ÖREBRO LÄN</t>
        </is>
      </c>
      <c r="E494" t="inlineStr">
        <is>
          <t>LINDESBERG</t>
        </is>
      </c>
      <c r="G494" t="n">
        <v>5.6</v>
      </c>
      <c r="H494" t="n">
        <v>0</v>
      </c>
      <c r="I494" t="n">
        <v>0</v>
      </c>
      <c r="J494" t="n">
        <v>0</v>
      </c>
      <c r="K494" t="n">
        <v>0</v>
      </c>
      <c r="L494" t="n">
        <v>0</v>
      </c>
      <c r="M494" t="n">
        <v>0</v>
      </c>
      <c r="N494" t="n">
        <v>0</v>
      </c>
      <c r="O494" t="n">
        <v>0</v>
      </c>
      <c r="P494" t="n">
        <v>0</v>
      </c>
      <c r="Q494" t="n">
        <v>0</v>
      </c>
      <c r="R494" s="2" t="inlineStr"/>
    </row>
    <row r="495" ht="15" customHeight="1">
      <c r="A495" t="inlineStr">
        <is>
          <t>A 24107-2025</t>
        </is>
      </c>
      <c r="B495" s="1" t="n">
        <v>45796</v>
      </c>
      <c r="C495" s="1" t="n">
        <v>45963</v>
      </c>
      <c r="D495" t="inlineStr">
        <is>
          <t>ÖREBRO LÄN</t>
        </is>
      </c>
      <c r="E495" t="inlineStr">
        <is>
          <t>LINDESBERG</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23898-2025</t>
        </is>
      </c>
      <c r="B496" s="1" t="n">
        <v>45794.3419212963</v>
      </c>
      <c r="C496" s="1" t="n">
        <v>45963</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24011-2025</t>
        </is>
      </c>
      <c r="B497" s="1" t="n">
        <v>45796</v>
      </c>
      <c r="C497" s="1" t="n">
        <v>45963</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24020-2025</t>
        </is>
      </c>
      <c r="B498" s="1" t="n">
        <v>45796.45054398148</v>
      </c>
      <c r="C498" s="1" t="n">
        <v>45963</v>
      </c>
      <c r="D498" t="inlineStr">
        <is>
          <t>ÖREBRO LÄN</t>
        </is>
      </c>
      <c r="E498" t="inlineStr">
        <is>
          <t>LINDESBERG</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63508-2023</t>
        </is>
      </c>
      <c r="B499" s="1" t="n">
        <v>45274</v>
      </c>
      <c r="C499" s="1" t="n">
        <v>45963</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23934-2025</t>
        </is>
      </c>
      <c r="B500" s="1" t="n">
        <v>45795.71547453704</v>
      </c>
      <c r="C500" s="1" t="n">
        <v>45963</v>
      </c>
      <c r="D500" t="inlineStr">
        <is>
          <t>ÖREBRO LÄN</t>
        </is>
      </c>
      <c r="E500" t="inlineStr">
        <is>
          <t>LINDESBERG</t>
        </is>
      </c>
      <c r="G500" t="n">
        <v>1.9</v>
      </c>
      <c r="H500" t="n">
        <v>0</v>
      </c>
      <c r="I500" t="n">
        <v>0</v>
      </c>
      <c r="J500" t="n">
        <v>0</v>
      </c>
      <c r="K500" t="n">
        <v>0</v>
      </c>
      <c r="L500" t="n">
        <v>0</v>
      </c>
      <c r="M500" t="n">
        <v>0</v>
      </c>
      <c r="N500" t="n">
        <v>0</v>
      </c>
      <c r="O500" t="n">
        <v>0</v>
      </c>
      <c r="P500" t="n">
        <v>0</v>
      </c>
      <c r="Q500" t="n">
        <v>0</v>
      </c>
      <c r="R500" s="2" t="inlineStr"/>
    </row>
    <row r="501" ht="15" customHeight="1">
      <c r="A501" t="inlineStr">
        <is>
          <t>A 24043-2024</t>
        </is>
      </c>
      <c r="B501" s="1" t="n">
        <v>45456.48927083334</v>
      </c>
      <c r="C501" s="1" t="n">
        <v>45963</v>
      </c>
      <c r="D501" t="inlineStr">
        <is>
          <t>ÖREBRO LÄN</t>
        </is>
      </c>
      <c r="E501" t="inlineStr">
        <is>
          <t>LINDESBERG</t>
        </is>
      </c>
      <c r="G501" t="n">
        <v>6.2</v>
      </c>
      <c r="H501" t="n">
        <v>0</v>
      </c>
      <c r="I501" t="n">
        <v>0</v>
      </c>
      <c r="J501" t="n">
        <v>0</v>
      </c>
      <c r="K501" t="n">
        <v>0</v>
      </c>
      <c r="L501" t="n">
        <v>0</v>
      </c>
      <c r="M501" t="n">
        <v>0</v>
      </c>
      <c r="N501" t="n">
        <v>0</v>
      </c>
      <c r="O501" t="n">
        <v>0</v>
      </c>
      <c r="P501" t="n">
        <v>0</v>
      </c>
      <c r="Q501" t="n">
        <v>0</v>
      </c>
      <c r="R501" s="2" t="inlineStr"/>
    </row>
    <row r="502" ht="15" customHeight="1">
      <c r="A502" t="inlineStr">
        <is>
          <t>A 36136-2023</t>
        </is>
      </c>
      <c r="B502" s="1" t="n">
        <v>45149</v>
      </c>
      <c r="C502" s="1" t="n">
        <v>45963</v>
      </c>
      <c r="D502" t="inlineStr">
        <is>
          <t>ÖREBRO LÄN</t>
        </is>
      </c>
      <c r="E502" t="inlineStr">
        <is>
          <t>LINDESBERG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34025-2024</t>
        </is>
      </c>
      <c r="B503" s="1" t="n">
        <v>45523.58565972222</v>
      </c>
      <c r="C503" s="1" t="n">
        <v>45963</v>
      </c>
      <c r="D503" t="inlineStr">
        <is>
          <t>ÖREBRO LÄN</t>
        </is>
      </c>
      <c r="E503" t="inlineStr">
        <is>
          <t>LINDESBERG</t>
        </is>
      </c>
      <c r="G503" t="n">
        <v>1.3</v>
      </c>
      <c r="H503" t="n">
        <v>0</v>
      </c>
      <c r="I503" t="n">
        <v>0</v>
      </c>
      <c r="J503" t="n">
        <v>0</v>
      </c>
      <c r="K503" t="n">
        <v>0</v>
      </c>
      <c r="L503" t="n">
        <v>0</v>
      </c>
      <c r="M503" t="n">
        <v>0</v>
      </c>
      <c r="N503" t="n">
        <v>0</v>
      </c>
      <c r="O503" t="n">
        <v>0</v>
      </c>
      <c r="P503" t="n">
        <v>0</v>
      </c>
      <c r="Q503" t="n">
        <v>0</v>
      </c>
      <c r="R503" s="2" t="inlineStr"/>
    </row>
    <row r="504" ht="15" customHeight="1">
      <c r="A504" t="inlineStr">
        <is>
          <t>A 19077-2025</t>
        </is>
      </c>
      <c r="B504" s="1" t="n">
        <v>45766.33309027777</v>
      </c>
      <c r="C504" s="1" t="n">
        <v>45963</v>
      </c>
      <c r="D504" t="inlineStr">
        <is>
          <t>ÖREBRO LÄN</t>
        </is>
      </c>
      <c r="E504" t="inlineStr">
        <is>
          <t>LINDESBERG</t>
        </is>
      </c>
      <c r="G504" t="n">
        <v>0</v>
      </c>
      <c r="H504" t="n">
        <v>0</v>
      </c>
      <c r="I504" t="n">
        <v>0</v>
      </c>
      <c r="J504" t="n">
        <v>0</v>
      </c>
      <c r="K504" t="n">
        <v>0</v>
      </c>
      <c r="L504" t="n">
        <v>0</v>
      </c>
      <c r="M504" t="n">
        <v>0</v>
      </c>
      <c r="N504" t="n">
        <v>0</v>
      </c>
      <c r="O504" t="n">
        <v>0</v>
      </c>
      <c r="P504" t="n">
        <v>0</v>
      </c>
      <c r="Q504" t="n">
        <v>0</v>
      </c>
      <c r="R504" s="2" t="inlineStr"/>
    </row>
    <row r="505" ht="15" customHeight="1">
      <c r="A505" t="inlineStr">
        <is>
          <t>A 12250-2025</t>
        </is>
      </c>
      <c r="B505" s="1" t="n">
        <v>45729.60775462963</v>
      </c>
      <c r="C505" s="1" t="n">
        <v>45963</v>
      </c>
      <c r="D505" t="inlineStr">
        <is>
          <t>ÖREBRO LÄN</t>
        </is>
      </c>
      <c r="E505" t="inlineStr">
        <is>
          <t>LINDESBERG</t>
        </is>
      </c>
      <c r="G505" t="n">
        <v>3.4</v>
      </c>
      <c r="H505" t="n">
        <v>0</v>
      </c>
      <c r="I505" t="n">
        <v>0</v>
      </c>
      <c r="J505" t="n">
        <v>0</v>
      </c>
      <c r="K505" t="n">
        <v>0</v>
      </c>
      <c r="L505" t="n">
        <v>0</v>
      </c>
      <c r="M505" t="n">
        <v>0</v>
      </c>
      <c r="N505" t="n">
        <v>0</v>
      </c>
      <c r="O505" t="n">
        <v>0</v>
      </c>
      <c r="P505" t="n">
        <v>0</v>
      </c>
      <c r="Q505" t="n">
        <v>0</v>
      </c>
      <c r="R505" s="2" t="inlineStr"/>
    </row>
    <row r="506" ht="15" customHeight="1">
      <c r="A506" t="inlineStr">
        <is>
          <t>A 11953-2024</t>
        </is>
      </c>
      <c r="B506" s="1" t="n">
        <v>45376.70292824074</v>
      </c>
      <c r="C506" s="1" t="n">
        <v>45963</v>
      </c>
      <c r="D506" t="inlineStr">
        <is>
          <t>ÖREBRO LÄN</t>
        </is>
      </c>
      <c r="E506" t="inlineStr">
        <is>
          <t>LINDESBERG</t>
        </is>
      </c>
      <c r="G506" t="n">
        <v>5.7</v>
      </c>
      <c r="H506" t="n">
        <v>0</v>
      </c>
      <c r="I506" t="n">
        <v>0</v>
      </c>
      <c r="J506" t="n">
        <v>0</v>
      </c>
      <c r="K506" t="n">
        <v>0</v>
      </c>
      <c r="L506" t="n">
        <v>0</v>
      </c>
      <c r="M506" t="n">
        <v>0</v>
      </c>
      <c r="N506" t="n">
        <v>0</v>
      </c>
      <c r="O506" t="n">
        <v>0</v>
      </c>
      <c r="P506" t="n">
        <v>0</v>
      </c>
      <c r="Q506" t="n">
        <v>0</v>
      </c>
      <c r="R506" s="2" t="inlineStr"/>
    </row>
    <row r="507" ht="15" customHeight="1">
      <c r="A507" t="inlineStr">
        <is>
          <t>A 50170-2022</t>
        </is>
      </c>
      <c r="B507" s="1" t="n">
        <v>44865.600625</v>
      </c>
      <c r="C507" s="1" t="n">
        <v>45963</v>
      </c>
      <c r="D507" t="inlineStr">
        <is>
          <t>ÖREBRO LÄN</t>
        </is>
      </c>
      <c r="E507" t="inlineStr">
        <is>
          <t>LINDESBERG</t>
        </is>
      </c>
      <c r="G507" t="n">
        <v>2.1</v>
      </c>
      <c r="H507" t="n">
        <v>0</v>
      </c>
      <c r="I507" t="n">
        <v>0</v>
      </c>
      <c r="J507" t="n">
        <v>0</v>
      </c>
      <c r="K507" t="n">
        <v>0</v>
      </c>
      <c r="L507" t="n">
        <v>0</v>
      </c>
      <c r="M507" t="n">
        <v>0</v>
      </c>
      <c r="N507" t="n">
        <v>0</v>
      </c>
      <c r="O507" t="n">
        <v>0</v>
      </c>
      <c r="P507" t="n">
        <v>0</v>
      </c>
      <c r="Q507" t="n">
        <v>0</v>
      </c>
      <c r="R507" s="2" t="inlineStr"/>
    </row>
    <row r="508" ht="15" customHeight="1">
      <c r="A508" t="inlineStr">
        <is>
          <t>A 13884-2023</t>
        </is>
      </c>
      <c r="B508" s="1" t="n">
        <v>45007</v>
      </c>
      <c r="C508" s="1" t="n">
        <v>45963</v>
      </c>
      <c r="D508" t="inlineStr">
        <is>
          <t>ÖREBRO LÄN</t>
        </is>
      </c>
      <c r="E508" t="inlineStr">
        <is>
          <t>LINDESBERG</t>
        </is>
      </c>
      <c r="F508" t="inlineStr">
        <is>
          <t>Kommuner</t>
        </is>
      </c>
      <c r="G508" t="n">
        <v>7.7</v>
      </c>
      <c r="H508" t="n">
        <v>0</v>
      </c>
      <c r="I508" t="n">
        <v>0</v>
      </c>
      <c r="J508" t="n">
        <v>0</v>
      </c>
      <c r="K508" t="n">
        <v>0</v>
      </c>
      <c r="L508" t="n">
        <v>0</v>
      </c>
      <c r="M508" t="n">
        <v>0</v>
      </c>
      <c r="N508" t="n">
        <v>0</v>
      </c>
      <c r="O508" t="n">
        <v>0</v>
      </c>
      <c r="P508" t="n">
        <v>0</v>
      </c>
      <c r="Q508" t="n">
        <v>0</v>
      </c>
      <c r="R508" s="2" t="inlineStr"/>
    </row>
    <row r="509" ht="15" customHeight="1">
      <c r="A509" t="inlineStr">
        <is>
          <t>A 50275-2024</t>
        </is>
      </c>
      <c r="B509" s="1" t="n">
        <v>45600.60071759259</v>
      </c>
      <c r="C509" s="1" t="n">
        <v>45963</v>
      </c>
      <c r="D509" t="inlineStr">
        <is>
          <t>ÖREBRO LÄN</t>
        </is>
      </c>
      <c r="E509" t="inlineStr">
        <is>
          <t>LINDESBERG</t>
        </is>
      </c>
      <c r="G509" t="n">
        <v>4.3</v>
      </c>
      <c r="H509" t="n">
        <v>0</v>
      </c>
      <c r="I509" t="n">
        <v>0</v>
      </c>
      <c r="J509" t="n">
        <v>0</v>
      </c>
      <c r="K509" t="n">
        <v>0</v>
      </c>
      <c r="L509" t="n">
        <v>0</v>
      </c>
      <c r="M509" t="n">
        <v>0</v>
      </c>
      <c r="N509" t="n">
        <v>0</v>
      </c>
      <c r="O509" t="n">
        <v>0</v>
      </c>
      <c r="P509" t="n">
        <v>0</v>
      </c>
      <c r="Q509" t="n">
        <v>0</v>
      </c>
      <c r="R509" s="2" t="inlineStr"/>
    </row>
    <row r="510" ht="15" customHeight="1">
      <c r="A510" t="inlineStr">
        <is>
          <t>A 17463-2023</t>
        </is>
      </c>
      <c r="B510" s="1" t="n">
        <v>45036</v>
      </c>
      <c r="C510" s="1" t="n">
        <v>45963</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10712-2021</t>
        </is>
      </c>
      <c r="B511" s="1" t="n">
        <v>44258</v>
      </c>
      <c r="C511" s="1" t="n">
        <v>45963</v>
      </c>
      <c r="D511" t="inlineStr">
        <is>
          <t>ÖREBRO LÄN</t>
        </is>
      </c>
      <c r="E511" t="inlineStr">
        <is>
          <t>LINDESBERG</t>
        </is>
      </c>
      <c r="G511" t="n">
        <v>0.7</v>
      </c>
      <c r="H511" t="n">
        <v>0</v>
      </c>
      <c r="I511" t="n">
        <v>0</v>
      </c>
      <c r="J511" t="n">
        <v>0</v>
      </c>
      <c r="K511" t="n">
        <v>0</v>
      </c>
      <c r="L511" t="n">
        <v>0</v>
      </c>
      <c r="M511" t="n">
        <v>0</v>
      </c>
      <c r="N511" t="n">
        <v>0</v>
      </c>
      <c r="O511" t="n">
        <v>0</v>
      </c>
      <c r="P511" t="n">
        <v>0</v>
      </c>
      <c r="Q511" t="n">
        <v>0</v>
      </c>
      <c r="R511" s="2" t="inlineStr"/>
    </row>
    <row r="512" ht="15" customHeight="1">
      <c r="A512" t="inlineStr">
        <is>
          <t>A 48231-2024</t>
        </is>
      </c>
      <c r="B512" s="1" t="n">
        <v>45590.37590277778</v>
      </c>
      <c r="C512" s="1" t="n">
        <v>45963</v>
      </c>
      <c r="D512" t="inlineStr">
        <is>
          <t>ÖREBRO LÄN</t>
        </is>
      </c>
      <c r="E512" t="inlineStr">
        <is>
          <t>LINDESBERG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28469-2023</t>
        </is>
      </c>
      <c r="B513" s="1" t="n">
        <v>45103</v>
      </c>
      <c r="C513" s="1" t="n">
        <v>45963</v>
      </c>
      <c r="D513" t="inlineStr">
        <is>
          <t>ÖREBRO LÄN</t>
        </is>
      </c>
      <c r="E513" t="inlineStr">
        <is>
          <t>LINDESBERG</t>
        </is>
      </c>
      <c r="G513" t="n">
        <v>0.3</v>
      </c>
      <c r="H513" t="n">
        <v>0</v>
      </c>
      <c r="I513" t="n">
        <v>0</v>
      </c>
      <c r="J513" t="n">
        <v>0</v>
      </c>
      <c r="K513" t="n">
        <v>0</v>
      </c>
      <c r="L513" t="n">
        <v>0</v>
      </c>
      <c r="M513" t="n">
        <v>0</v>
      </c>
      <c r="N513" t="n">
        <v>0</v>
      </c>
      <c r="O513" t="n">
        <v>0</v>
      </c>
      <c r="P513" t="n">
        <v>0</v>
      </c>
      <c r="Q513" t="n">
        <v>0</v>
      </c>
      <c r="R513" s="2" t="inlineStr"/>
    </row>
    <row r="514" ht="15" customHeight="1">
      <c r="A514" t="inlineStr">
        <is>
          <t>A 25643-2025</t>
        </is>
      </c>
      <c r="B514" s="1" t="n">
        <v>45803</v>
      </c>
      <c r="C514" s="1" t="n">
        <v>45963</v>
      </c>
      <c r="D514" t="inlineStr">
        <is>
          <t>ÖREBRO LÄN</t>
        </is>
      </c>
      <c r="E514" t="inlineStr">
        <is>
          <t>LINDESBERG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72706-2021</t>
        </is>
      </c>
      <c r="B515" s="1" t="n">
        <v>44546.67222222222</v>
      </c>
      <c r="C515" s="1" t="n">
        <v>45963</v>
      </c>
      <c r="D515" t="inlineStr">
        <is>
          <t>ÖREBRO LÄN</t>
        </is>
      </c>
      <c r="E515" t="inlineStr">
        <is>
          <t>LINDESBERG</t>
        </is>
      </c>
      <c r="G515" t="n">
        <v>1.7</v>
      </c>
      <c r="H515" t="n">
        <v>0</v>
      </c>
      <c r="I515" t="n">
        <v>0</v>
      </c>
      <c r="J515" t="n">
        <v>0</v>
      </c>
      <c r="K515" t="n">
        <v>0</v>
      </c>
      <c r="L515" t="n">
        <v>0</v>
      </c>
      <c r="M515" t="n">
        <v>0</v>
      </c>
      <c r="N515" t="n">
        <v>0</v>
      </c>
      <c r="O515" t="n">
        <v>0</v>
      </c>
      <c r="P515" t="n">
        <v>0</v>
      </c>
      <c r="Q515" t="n">
        <v>0</v>
      </c>
      <c r="R515" s="2" t="inlineStr"/>
    </row>
    <row r="516" ht="15" customHeight="1">
      <c r="A516" t="inlineStr">
        <is>
          <t>A 14522-2025</t>
        </is>
      </c>
      <c r="B516" s="1" t="n">
        <v>45741.64491898148</v>
      </c>
      <c r="C516" s="1" t="n">
        <v>45963</v>
      </c>
      <c r="D516" t="inlineStr">
        <is>
          <t>ÖREBRO LÄN</t>
        </is>
      </c>
      <c r="E516" t="inlineStr">
        <is>
          <t>LINDESBERG</t>
        </is>
      </c>
      <c r="G516" t="n">
        <v>4.5</v>
      </c>
      <c r="H516" t="n">
        <v>0</v>
      </c>
      <c r="I516" t="n">
        <v>0</v>
      </c>
      <c r="J516" t="n">
        <v>0</v>
      </c>
      <c r="K516" t="n">
        <v>0</v>
      </c>
      <c r="L516" t="n">
        <v>0</v>
      </c>
      <c r="M516" t="n">
        <v>0</v>
      </c>
      <c r="N516" t="n">
        <v>0</v>
      </c>
      <c r="O516" t="n">
        <v>0</v>
      </c>
      <c r="P516" t="n">
        <v>0</v>
      </c>
      <c r="Q516" t="n">
        <v>0</v>
      </c>
      <c r="R516" s="2" t="inlineStr"/>
    </row>
    <row r="517" ht="15" customHeight="1">
      <c r="A517" t="inlineStr">
        <is>
          <t>A 36001-2021</t>
        </is>
      </c>
      <c r="B517" s="1" t="n">
        <v>44389</v>
      </c>
      <c r="C517" s="1" t="n">
        <v>45963</v>
      </c>
      <c r="D517" t="inlineStr">
        <is>
          <t>ÖREBRO LÄN</t>
        </is>
      </c>
      <c r="E517" t="inlineStr">
        <is>
          <t>LINDESBERG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33280-2024</t>
        </is>
      </c>
      <c r="B518" s="1" t="n">
        <v>45518.71048611111</v>
      </c>
      <c r="C518" s="1" t="n">
        <v>45963</v>
      </c>
      <c r="D518" t="inlineStr">
        <is>
          <t>ÖREBRO LÄN</t>
        </is>
      </c>
      <c r="E518" t="inlineStr">
        <is>
          <t>LINDESBERG</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33281-2024</t>
        </is>
      </c>
      <c r="B519" s="1" t="n">
        <v>45518.71202546296</v>
      </c>
      <c r="C519" s="1" t="n">
        <v>45963</v>
      </c>
      <c r="D519" t="inlineStr">
        <is>
          <t>ÖREBRO LÄN</t>
        </is>
      </c>
      <c r="E519" t="inlineStr">
        <is>
          <t>LINDESBERG</t>
        </is>
      </c>
      <c r="G519" t="n">
        <v>2</v>
      </c>
      <c r="H519" t="n">
        <v>0</v>
      </c>
      <c r="I519" t="n">
        <v>0</v>
      </c>
      <c r="J519" t="n">
        <v>0</v>
      </c>
      <c r="K519" t="n">
        <v>0</v>
      </c>
      <c r="L519" t="n">
        <v>0</v>
      </c>
      <c r="M519" t="n">
        <v>0</v>
      </c>
      <c r="N519" t="n">
        <v>0</v>
      </c>
      <c r="O519" t="n">
        <v>0</v>
      </c>
      <c r="P519" t="n">
        <v>0</v>
      </c>
      <c r="Q519" t="n">
        <v>0</v>
      </c>
      <c r="R519" s="2" t="inlineStr"/>
    </row>
    <row r="520" ht="15" customHeight="1">
      <c r="A520" t="inlineStr">
        <is>
          <t>A 33283-2024</t>
        </is>
      </c>
      <c r="B520" s="1" t="n">
        <v>45518.71591435185</v>
      </c>
      <c r="C520" s="1" t="n">
        <v>45963</v>
      </c>
      <c r="D520" t="inlineStr">
        <is>
          <t>ÖREBRO LÄN</t>
        </is>
      </c>
      <c r="E520" t="inlineStr">
        <is>
          <t>LINDESBERG</t>
        </is>
      </c>
      <c r="G520" t="n">
        <v>3.9</v>
      </c>
      <c r="H520" t="n">
        <v>0</v>
      </c>
      <c r="I520" t="n">
        <v>0</v>
      </c>
      <c r="J520" t="n">
        <v>0</v>
      </c>
      <c r="K520" t="n">
        <v>0</v>
      </c>
      <c r="L520" t="n">
        <v>0</v>
      </c>
      <c r="M520" t="n">
        <v>0</v>
      </c>
      <c r="N520" t="n">
        <v>0</v>
      </c>
      <c r="O520" t="n">
        <v>0</v>
      </c>
      <c r="P520" t="n">
        <v>0</v>
      </c>
      <c r="Q520" t="n">
        <v>0</v>
      </c>
      <c r="R520" s="2" t="inlineStr"/>
    </row>
    <row r="521" ht="15" customHeight="1">
      <c r="A521" t="inlineStr">
        <is>
          <t>A 39140-2024</t>
        </is>
      </c>
      <c r="B521" s="1" t="n">
        <v>45548</v>
      </c>
      <c r="C521" s="1" t="n">
        <v>45963</v>
      </c>
      <c r="D521" t="inlineStr">
        <is>
          <t>ÖREBRO LÄN</t>
        </is>
      </c>
      <c r="E521" t="inlineStr">
        <is>
          <t>LINDESBERG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45481-2023</t>
        </is>
      </c>
      <c r="B522" s="1" t="n">
        <v>45194</v>
      </c>
      <c r="C522" s="1" t="n">
        <v>45963</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59766-2022</t>
        </is>
      </c>
      <c r="B523" s="1" t="n">
        <v>44908.49152777778</v>
      </c>
      <c r="C523" s="1" t="n">
        <v>45963</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27013-2024</t>
        </is>
      </c>
      <c r="B524" s="1" t="n">
        <v>45471.40384259259</v>
      </c>
      <c r="C524" s="1" t="n">
        <v>45963</v>
      </c>
      <c r="D524" t="inlineStr">
        <is>
          <t>ÖREBRO LÄN</t>
        </is>
      </c>
      <c r="E524" t="inlineStr">
        <is>
          <t>LINDESBERG</t>
        </is>
      </c>
      <c r="G524" t="n">
        <v>5.2</v>
      </c>
      <c r="H524" t="n">
        <v>0</v>
      </c>
      <c r="I524" t="n">
        <v>0</v>
      </c>
      <c r="J524" t="n">
        <v>0</v>
      </c>
      <c r="K524" t="n">
        <v>0</v>
      </c>
      <c r="L524" t="n">
        <v>0</v>
      </c>
      <c r="M524" t="n">
        <v>0</v>
      </c>
      <c r="N524" t="n">
        <v>0</v>
      </c>
      <c r="O524" t="n">
        <v>0</v>
      </c>
      <c r="P524" t="n">
        <v>0</v>
      </c>
      <c r="Q524" t="n">
        <v>0</v>
      </c>
      <c r="R524" s="2" t="inlineStr"/>
    </row>
    <row r="525" ht="15" customHeight="1">
      <c r="A525" t="inlineStr">
        <is>
          <t>A 7990-2025</t>
        </is>
      </c>
      <c r="B525" s="1" t="n">
        <v>45707</v>
      </c>
      <c r="C525" s="1" t="n">
        <v>45963</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25842-2025</t>
        </is>
      </c>
      <c r="B526" s="1" t="n">
        <v>45804.45474537037</v>
      </c>
      <c r="C526" s="1" t="n">
        <v>45963</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27134-2024</t>
        </is>
      </c>
      <c r="B527" s="1" t="n">
        <v>45471.52878472222</v>
      </c>
      <c r="C527" s="1" t="n">
        <v>45963</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26016-2025</t>
        </is>
      </c>
      <c r="B528" s="1" t="n">
        <v>45804.67795138889</v>
      </c>
      <c r="C528" s="1" t="n">
        <v>45963</v>
      </c>
      <c r="D528" t="inlineStr">
        <is>
          <t>ÖREBRO LÄN</t>
        </is>
      </c>
      <c r="E528" t="inlineStr">
        <is>
          <t>LINDESBERG</t>
        </is>
      </c>
      <c r="G528" t="n">
        <v>10</v>
      </c>
      <c r="H528" t="n">
        <v>0</v>
      </c>
      <c r="I528" t="n">
        <v>0</v>
      </c>
      <c r="J528" t="n">
        <v>0</v>
      </c>
      <c r="K528" t="n">
        <v>0</v>
      </c>
      <c r="L528" t="n">
        <v>0</v>
      </c>
      <c r="M528" t="n">
        <v>0</v>
      </c>
      <c r="N528" t="n">
        <v>0</v>
      </c>
      <c r="O528" t="n">
        <v>0</v>
      </c>
      <c r="P528" t="n">
        <v>0</v>
      </c>
      <c r="Q528" t="n">
        <v>0</v>
      </c>
      <c r="R528" s="2" t="inlineStr"/>
    </row>
    <row r="529" ht="15" customHeight="1">
      <c r="A529" t="inlineStr">
        <is>
          <t>A 36121-2023</t>
        </is>
      </c>
      <c r="B529" s="1" t="n">
        <v>45148</v>
      </c>
      <c r="C529" s="1" t="n">
        <v>45963</v>
      </c>
      <c r="D529" t="inlineStr">
        <is>
          <t>ÖREBRO LÄN</t>
        </is>
      </c>
      <c r="E529" t="inlineStr">
        <is>
          <t>LINDESBERG</t>
        </is>
      </c>
      <c r="G529" t="n">
        <v>7.1</v>
      </c>
      <c r="H529" t="n">
        <v>0</v>
      </c>
      <c r="I529" t="n">
        <v>0</v>
      </c>
      <c r="J529" t="n">
        <v>0</v>
      </c>
      <c r="K529" t="n">
        <v>0</v>
      </c>
      <c r="L529" t="n">
        <v>0</v>
      </c>
      <c r="M529" t="n">
        <v>0</v>
      </c>
      <c r="N529" t="n">
        <v>0</v>
      </c>
      <c r="O529" t="n">
        <v>0</v>
      </c>
      <c r="P529" t="n">
        <v>0</v>
      </c>
      <c r="Q529" t="n">
        <v>0</v>
      </c>
      <c r="R529" s="2" t="inlineStr"/>
    </row>
    <row r="530" ht="15" customHeight="1">
      <c r="A530" t="inlineStr">
        <is>
          <t>A 36280-2023</t>
        </is>
      </c>
      <c r="B530" s="1" t="n">
        <v>45152.34586805556</v>
      </c>
      <c r="C530" s="1" t="n">
        <v>45963</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44449-2023</t>
        </is>
      </c>
      <c r="B531" s="1" t="n">
        <v>45189.38135416667</v>
      </c>
      <c r="C531" s="1" t="n">
        <v>45963</v>
      </c>
      <c r="D531" t="inlineStr">
        <is>
          <t>ÖREBRO LÄN</t>
        </is>
      </c>
      <c r="E531" t="inlineStr">
        <is>
          <t>LINDESBERG</t>
        </is>
      </c>
      <c r="G531" t="n">
        <v>13.7</v>
      </c>
      <c r="H531" t="n">
        <v>0</v>
      </c>
      <c r="I531" t="n">
        <v>0</v>
      </c>
      <c r="J531" t="n">
        <v>0</v>
      </c>
      <c r="K531" t="n">
        <v>0</v>
      </c>
      <c r="L531" t="n">
        <v>0</v>
      </c>
      <c r="M531" t="n">
        <v>0</v>
      </c>
      <c r="N531" t="n">
        <v>0</v>
      </c>
      <c r="O531" t="n">
        <v>0</v>
      </c>
      <c r="P531" t="n">
        <v>0</v>
      </c>
      <c r="Q531" t="n">
        <v>0</v>
      </c>
      <c r="R531" s="2" t="inlineStr"/>
    </row>
    <row r="532" ht="15" customHeight="1">
      <c r="A532" t="inlineStr">
        <is>
          <t>A 2103-2022</t>
        </is>
      </c>
      <c r="B532" s="1" t="n">
        <v>44577.81121527778</v>
      </c>
      <c r="C532" s="1" t="n">
        <v>45963</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25843-2025</t>
        </is>
      </c>
      <c r="B533" s="1" t="n">
        <v>45804.45584490741</v>
      </c>
      <c r="C533" s="1" t="n">
        <v>45963</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13968-2025</t>
        </is>
      </c>
      <c r="B534" s="1" t="n">
        <v>45738.42981481482</v>
      </c>
      <c r="C534" s="1" t="n">
        <v>45963</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33424-2024</t>
        </is>
      </c>
      <c r="B535" s="1" t="n">
        <v>45519.51627314815</v>
      </c>
      <c r="C535" s="1" t="n">
        <v>45963</v>
      </c>
      <c r="D535" t="inlineStr">
        <is>
          <t>ÖREBRO LÄN</t>
        </is>
      </c>
      <c r="E535" t="inlineStr">
        <is>
          <t>LINDESBERG</t>
        </is>
      </c>
      <c r="F535" t="inlineStr">
        <is>
          <t>Sveaskog</t>
        </is>
      </c>
      <c r="G535" t="n">
        <v>0.1</v>
      </c>
      <c r="H535" t="n">
        <v>0</v>
      </c>
      <c r="I535" t="n">
        <v>0</v>
      </c>
      <c r="J535" t="n">
        <v>0</v>
      </c>
      <c r="K535" t="n">
        <v>0</v>
      </c>
      <c r="L535" t="n">
        <v>0</v>
      </c>
      <c r="M535" t="n">
        <v>0</v>
      </c>
      <c r="N535" t="n">
        <v>0</v>
      </c>
      <c r="O535" t="n">
        <v>0</v>
      </c>
      <c r="P535" t="n">
        <v>0</v>
      </c>
      <c r="Q535" t="n">
        <v>0</v>
      </c>
      <c r="R535" s="2" t="inlineStr"/>
    </row>
    <row r="536" ht="15" customHeight="1">
      <c r="A536" t="inlineStr">
        <is>
          <t>A 57911-2022</t>
        </is>
      </c>
      <c r="B536" s="1" t="n">
        <v>44900.36149305556</v>
      </c>
      <c r="C536" s="1" t="n">
        <v>45963</v>
      </c>
      <c r="D536" t="inlineStr">
        <is>
          <t>ÖREBRO LÄN</t>
        </is>
      </c>
      <c r="E536" t="inlineStr">
        <is>
          <t>LINDESBERG</t>
        </is>
      </c>
      <c r="G536" t="n">
        <v>4.9</v>
      </c>
      <c r="H536" t="n">
        <v>0</v>
      </c>
      <c r="I536" t="n">
        <v>0</v>
      </c>
      <c r="J536" t="n">
        <v>0</v>
      </c>
      <c r="K536" t="n">
        <v>0</v>
      </c>
      <c r="L536" t="n">
        <v>0</v>
      </c>
      <c r="M536" t="n">
        <v>0</v>
      </c>
      <c r="N536" t="n">
        <v>0</v>
      </c>
      <c r="O536" t="n">
        <v>0</v>
      </c>
      <c r="P536" t="n">
        <v>0</v>
      </c>
      <c r="Q536" t="n">
        <v>0</v>
      </c>
      <c r="R536" s="2" t="inlineStr"/>
    </row>
    <row r="537" ht="15" customHeight="1">
      <c r="A537" t="inlineStr">
        <is>
          <t>A 32928-2023</t>
        </is>
      </c>
      <c r="B537" s="1" t="n">
        <v>45125.41458333333</v>
      </c>
      <c r="C537" s="1" t="n">
        <v>45963</v>
      </c>
      <c r="D537" t="inlineStr">
        <is>
          <t>ÖREBRO LÄN</t>
        </is>
      </c>
      <c r="E537" t="inlineStr">
        <is>
          <t>LINDESBERG</t>
        </is>
      </c>
      <c r="G537" t="n">
        <v>4.8</v>
      </c>
      <c r="H537" t="n">
        <v>0</v>
      </c>
      <c r="I537" t="n">
        <v>0</v>
      </c>
      <c r="J537" t="n">
        <v>0</v>
      </c>
      <c r="K537" t="n">
        <v>0</v>
      </c>
      <c r="L537" t="n">
        <v>0</v>
      </c>
      <c r="M537" t="n">
        <v>0</v>
      </c>
      <c r="N537" t="n">
        <v>0</v>
      </c>
      <c r="O537" t="n">
        <v>0</v>
      </c>
      <c r="P537" t="n">
        <v>0</v>
      </c>
      <c r="Q537" t="n">
        <v>0</v>
      </c>
      <c r="R537" s="2" t="inlineStr"/>
    </row>
    <row r="538" ht="15" customHeight="1">
      <c r="A538" t="inlineStr">
        <is>
          <t>A 32994-2023</t>
        </is>
      </c>
      <c r="B538" s="1" t="n">
        <v>45113</v>
      </c>
      <c r="C538" s="1" t="n">
        <v>45963</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28032-2023</t>
        </is>
      </c>
      <c r="B539" s="1" t="n">
        <v>45099</v>
      </c>
      <c r="C539" s="1" t="n">
        <v>45963</v>
      </c>
      <c r="D539" t="inlineStr">
        <is>
          <t>ÖREBRO LÄN</t>
        </is>
      </c>
      <c r="E539" t="inlineStr">
        <is>
          <t>LINDESBERG</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62608-2021</t>
        </is>
      </c>
      <c r="B540" s="1" t="n">
        <v>44503</v>
      </c>
      <c r="C540" s="1" t="n">
        <v>45963</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73860-2021</t>
        </is>
      </c>
      <c r="B541" s="1" t="n">
        <v>44553.35407407407</v>
      </c>
      <c r="C541" s="1" t="n">
        <v>45963</v>
      </c>
      <c r="D541" t="inlineStr">
        <is>
          <t>ÖREBRO LÄN</t>
        </is>
      </c>
      <c r="E541" t="inlineStr">
        <is>
          <t>LINDESBERG</t>
        </is>
      </c>
      <c r="G541" t="n">
        <v>12.7</v>
      </c>
      <c r="H541" t="n">
        <v>0</v>
      </c>
      <c r="I541" t="n">
        <v>0</v>
      </c>
      <c r="J541" t="n">
        <v>0</v>
      </c>
      <c r="K541" t="n">
        <v>0</v>
      </c>
      <c r="L541" t="n">
        <v>0</v>
      </c>
      <c r="M541" t="n">
        <v>0</v>
      </c>
      <c r="N541" t="n">
        <v>0</v>
      </c>
      <c r="O541" t="n">
        <v>0</v>
      </c>
      <c r="P541" t="n">
        <v>0</v>
      </c>
      <c r="Q541" t="n">
        <v>0</v>
      </c>
      <c r="R541" s="2" t="inlineStr"/>
    </row>
    <row r="542" ht="15" customHeight="1">
      <c r="A542" t="inlineStr">
        <is>
          <t>A 30122-2021</t>
        </is>
      </c>
      <c r="B542" s="1" t="n">
        <v>44363</v>
      </c>
      <c r="C542" s="1" t="n">
        <v>45963</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45062-2022</t>
        </is>
      </c>
      <c r="B543" s="1" t="n">
        <v>44841</v>
      </c>
      <c r="C543" s="1" t="n">
        <v>45963</v>
      </c>
      <c r="D543" t="inlineStr">
        <is>
          <t>ÖREBRO LÄN</t>
        </is>
      </c>
      <c r="E543" t="inlineStr">
        <is>
          <t>LINDESBERG</t>
        </is>
      </c>
      <c r="G543" t="n">
        <v>2</v>
      </c>
      <c r="H543" t="n">
        <v>0</v>
      </c>
      <c r="I543" t="n">
        <v>0</v>
      </c>
      <c r="J543" t="n">
        <v>0</v>
      </c>
      <c r="K543" t="n">
        <v>0</v>
      </c>
      <c r="L543" t="n">
        <v>0</v>
      </c>
      <c r="M543" t="n">
        <v>0</v>
      </c>
      <c r="N543" t="n">
        <v>0</v>
      </c>
      <c r="O543" t="n">
        <v>0</v>
      </c>
      <c r="P543" t="n">
        <v>0</v>
      </c>
      <c r="Q543" t="n">
        <v>0</v>
      </c>
      <c r="R543" s="2" t="inlineStr"/>
    </row>
    <row r="544" ht="15" customHeight="1">
      <c r="A544" t="inlineStr">
        <is>
          <t>A 49094-2024</t>
        </is>
      </c>
      <c r="B544" s="1" t="n">
        <v>45594.63747685185</v>
      </c>
      <c r="C544" s="1" t="n">
        <v>45963</v>
      </c>
      <c r="D544" t="inlineStr">
        <is>
          <t>ÖREBRO LÄN</t>
        </is>
      </c>
      <c r="E544" t="inlineStr">
        <is>
          <t>LINDESBERG</t>
        </is>
      </c>
      <c r="G544" t="n">
        <v>3.8</v>
      </c>
      <c r="H544" t="n">
        <v>0</v>
      </c>
      <c r="I544" t="n">
        <v>0</v>
      </c>
      <c r="J544" t="n">
        <v>0</v>
      </c>
      <c r="K544" t="n">
        <v>0</v>
      </c>
      <c r="L544" t="n">
        <v>0</v>
      </c>
      <c r="M544" t="n">
        <v>0</v>
      </c>
      <c r="N544" t="n">
        <v>0</v>
      </c>
      <c r="O544" t="n">
        <v>0</v>
      </c>
      <c r="P544" t="n">
        <v>0</v>
      </c>
      <c r="Q544" t="n">
        <v>0</v>
      </c>
      <c r="R544" s="2" t="inlineStr"/>
    </row>
    <row r="545" ht="15" customHeight="1">
      <c r="A545" t="inlineStr">
        <is>
          <t>A 21012-2023</t>
        </is>
      </c>
      <c r="B545" s="1" t="n">
        <v>45061.52474537037</v>
      </c>
      <c r="C545" s="1" t="n">
        <v>45963</v>
      </c>
      <c r="D545" t="inlineStr">
        <is>
          <t>ÖREBRO LÄN</t>
        </is>
      </c>
      <c r="E545" t="inlineStr">
        <is>
          <t>LINDESBERG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3803-2023</t>
        </is>
      </c>
      <c r="B546" s="1" t="n">
        <v>44951.5830324074</v>
      </c>
      <c r="C546" s="1" t="n">
        <v>45963</v>
      </c>
      <c r="D546" t="inlineStr">
        <is>
          <t>ÖREBRO LÄN</t>
        </is>
      </c>
      <c r="E546" t="inlineStr">
        <is>
          <t>LINDESBERG</t>
        </is>
      </c>
      <c r="G546" t="n">
        <v>0.9</v>
      </c>
      <c r="H546" t="n">
        <v>0</v>
      </c>
      <c r="I546" t="n">
        <v>0</v>
      </c>
      <c r="J546" t="n">
        <v>0</v>
      </c>
      <c r="K546" t="n">
        <v>0</v>
      </c>
      <c r="L546" t="n">
        <v>0</v>
      </c>
      <c r="M546" t="n">
        <v>0</v>
      </c>
      <c r="N546" t="n">
        <v>0</v>
      </c>
      <c r="O546" t="n">
        <v>0</v>
      </c>
      <c r="P546" t="n">
        <v>0</v>
      </c>
      <c r="Q546" t="n">
        <v>0</v>
      </c>
      <c r="R546" s="2" t="inlineStr"/>
    </row>
    <row r="547" ht="15" customHeight="1">
      <c r="A547" t="inlineStr">
        <is>
          <t>A 11581-2024</t>
        </is>
      </c>
      <c r="B547" s="1" t="n">
        <v>45373.34383101852</v>
      </c>
      <c r="C547" s="1" t="n">
        <v>45963</v>
      </c>
      <c r="D547" t="inlineStr">
        <is>
          <t>ÖREBRO LÄN</t>
        </is>
      </c>
      <c r="E547" t="inlineStr">
        <is>
          <t>LINDESBERG</t>
        </is>
      </c>
      <c r="F547" t="inlineStr">
        <is>
          <t>BillerudKorsnäs AB</t>
        </is>
      </c>
      <c r="G547" t="n">
        <v>3.9</v>
      </c>
      <c r="H547" t="n">
        <v>0</v>
      </c>
      <c r="I547" t="n">
        <v>0</v>
      </c>
      <c r="J547" t="n">
        <v>0</v>
      </c>
      <c r="K547" t="n">
        <v>0</v>
      </c>
      <c r="L547" t="n">
        <v>0</v>
      </c>
      <c r="M547" t="n">
        <v>0</v>
      </c>
      <c r="N547" t="n">
        <v>0</v>
      </c>
      <c r="O547" t="n">
        <v>0</v>
      </c>
      <c r="P547" t="n">
        <v>0</v>
      </c>
      <c r="Q547" t="n">
        <v>0</v>
      </c>
      <c r="R547" s="2" t="inlineStr"/>
    </row>
    <row r="548" ht="15" customHeight="1">
      <c r="A548" t="inlineStr">
        <is>
          <t>A 40456-2023</t>
        </is>
      </c>
      <c r="B548" s="1" t="n">
        <v>45170</v>
      </c>
      <c r="C548" s="1" t="n">
        <v>45963</v>
      </c>
      <c r="D548" t="inlineStr">
        <is>
          <t>ÖREBRO LÄN</t>
        </is>
      </c>
      <c r="E548" t="inlineStr">
        <is>
          <t>LINDESBERG</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42282-2024</t>
        </is>
      </c>
      <c r="B549" s="1" t="n">
        <v>45562.61158564815</v>
      </c>
      <c r="C549" s="1" t="n">
        <v>45963</v>
      </c>
      <c r="D549" t="inlineStr">
        <is>
          <t>ÖREBRO LÄN</t>
        </is>
      </c>
      <c r="E549" t="inlineStr">
        <is>
          <t>LINDESBERG</t>
        </is>
      </c>
      <c r="G549" t="n">
        <v>0.8</v>
      </c>
      <c r="H549" t="n">
        <v>0</v>
      </c>
      <c r="I549" t="n">
        <v>0</v>
      </c>
      <c r="J549" t="n">
        <v>0</v>
      </c>
      <c r="K549" t="n">
        <v>0</v>
      </c>
      <c r="L549" t="n">
        <v>0</v>
      </c>
      <c r="M549" t="n">
        <v>0</v>
      </c>
      <c r="N549" t="n">
        <v>0</v>
      </c>
      <c r="O549" t="n">
        <v>0</v>
      </c>
      <c r="P549" t="n">
        <v>0</v>
      </c>
      <c r="Q549" t="n">
        <v>0</v>
      </c>
      <c r="R549" s="2" t="inlineStr"/>
    </row>
    <row r="550" ht="15" customHeight="1">
      <c r="A550" t="inlineStr">
        <is>
          <t>A 32262-2021</t>
        </is>
      </c>
      <c r="B550" s="1" t="n">
        <v>44371.47609953704</v>
      </c>
      <c r="C550" s="1" t="n">
        <v>45963</v>
      </c>
      <c r="D550" t="inlineStr">
        <is>
          <t>ÖREBRO LÄN</t>
        </is>
      </c>
      <c r="E550" t="inlineStr">
        <is>
          <t>LINDESBERG</t>
        </is>
      </c>
      <c r="G550" t="n">
        <v>0.9</v>
      </c>
      <c r="H550" t="n">
        <v>0</v>
      </c>
      <c r="I550" t="n">
        <v>0</v>
      </c>
      <c r="J550" t="n">
        <v>0</v>
      </c>
      <c r="K550" t="n">
        <v>0</v>
      </c>
      <c r="L550" t="n">
        <v>0</v>
      </c>
      <c r="M550" t="n">
        <v>0</v>
      </c>
      <c r="N550" t="n">
        <v>0</v>
      </c>
      <c r="O550" t="n">
        <v>0</v>
      </c>
      <c r="P550" t="n">
        <v>0</v>
      </c>
      <c r="Q550" t="n">
        <v>0</v>
      </c>
      <c r="R550" s="2" t="inlineStr"/>
    </row>
    <row r="551" ht="15" customHeight="1">
      <c r="A551" t="inlineStr">
        <is>
          <t>A 33507-2023</t>
        </is>
      </c>
      <c r="B551" s="1" t="n">
        <v>45131</v>
      </c>
      <c r="C551" s="1" t="n">
        <v>45963</v>
      </c>
      <c r="D551" t="inlineStr">
        <is>
          <t>ÖREBRO LÄN</t>
        </is>
      </c>
      <c r="E551" t="inlineStr">
        <is>
          <t>LINDESBERG</t>
        </is>
      </c>
      <c r="G551" t="n">
        <v>3.2</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45963</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27576-2024</t>
        </is>
      </c>
      <c r="B553" s="1" t="n">
        <v>45474.65005787037</v>
      </c>
      <c r="C553" s="1" t="n">
        <v>45963</v>
      </c>
      <c r="D553" t="inlineStr">
        <is>
          <t>ÖREBRO LÄN</t>
        </is>
      </c>
      <c r="E553" t="inlineStr">
        <is>
          <t>LINDESBERG</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32099-2024</t>
        </is>
      </c>
      <c r="B554" s="1" t="n">
        <v>45511.40297453704</v>
      </c>
      <c r="C554" s="1" t="n">
        <v>45963</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21986-2023</t>
        </is>
      </c>
      <c r="B555" s="1" t="n">
        <v>45068</v>
      </c>
      <c r="C555" s="1" t="n">
        <v>45963</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8836-2023</t>
        </is>
      </c>
      <c r="B556" s="1" t="n">
        <v>44978</v>
      </c>
      <c r="C556" s="1" t="n">
        <v>45963</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27296-2025</t>
        </is>
      </c>
      <c r="B557" s="1" t="n">
        <v>45812.56952546296</v>
      </c>
      <c r="C557" s="1" t="n">
        <v>45963</v>
      </c>
      <c r="D557" t="inlineStr">
        <is>
          <t>ÖREBRO LÄN</t>
        </is>
      </c>
      <c r="E557" t="inlineStr">
        <is>
          <t>LINDESBERG</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5772-2023</t>
        </is>
      </c>
      <c r="B558" s="1" t="n">
        <v>44963.37709490741</v>
      </c>
      <c r="C558" s="1" t="n">
        <v>45963</v>
      </c>
      <c r="D558" t="inlineStr">
        <is>
          <t>ÖREBRO LÄN</t>
        </is>
      </c>
      <c r="E558" t="inlineStr">
        <is>
          <t>LINDESBERG</t>
        </is>
      </c>
      <c r="G558" t="n">
        <v>3</v>
      </c>
      <c r="H558" t="n">
        <v>0</v>
      </c>
      <c r="I558" t="n">
        <v>0</v>
      </c>
      <c r="J558" t="n">
        <v>0</v>
      </c>
      <c r="K558" t="n">
        <v>0</v>
      </c>
      <c r="L558" t="n">
        <v>0</v>
      </c>
      <c r="M558" t="n">
        <v>0</v>
      </c>
      <c r="N558" t="n">
        <v>0</v>
      </c>
      <c r="O558" t="n">
        <v>0</v>
      </c>
      <c r="P558" t="n">
        <v>0</v>
      </c>
      <c r="Q558" t="n">
        <v>0</v>
      </c>
      <c r="R558" s="2" t="inlineStr"/>
    </row>
    <row r="559" ht="15" customHeight="1">
      <c r="A559" t="inlineStr">
        <is>
          <t>A 64372-2021</t>
        </is>
      </c>
      <c r="B559" s="1" t="n">
        <v>44511.39611111111</v>
      </c>
      <c r="C559" s="1" t="n">
        <v>45963</v>
      </c>
      <c r="D559" t="inlineStr">
        <is>
          <t>ÖREBRO LÄN</t>
        </is>
      </c>
      <c r="E559" t="inlineStr">
        <is>
          <t>LINDESBERG</t>
        </is>
      </c>
      <c r="G559" t="n">
        <v>3.6</v>
      </c>
      <c r="H559" t="n">
        <v>0</v>
      </c>
      <c r="I559" t="n">
        <v>0</v>
      </c>
      <c r="J559" t="n">
        <v>0</v>
      </c>
      <c r="K559" t="n">
        <v>0</v>
      </c>
      <c r="L559" t="n">
        <v>0</v>
      </c>
      <c r="M559" t="n">
        <v>0</v>
      </c>
      <c r="N559" t="n">
        <v>0</v>
      </c>
      <c r="O559" t="n">
        <v>0</v>
      </c>
      <c r="P559" t="n">
        <v>0</v>
      </c>
      <c r="Q559" t="n">
        <v>0</v>
      </c>
      <c r="R559" s="2" t="inlineStr"/>
    </row>
    <row r="560" ht="15" customHeight="1">
      <c r="A560" t="inlineStr">
        <is>
          <t>A 44010-2023</t>
        </is>
      </c>
      <c r="B560" s="1" t="n">
        <v>45188</v>
      </c>
      <c r="C560" s="1" t="n">
        <v>45963</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50986-2023</t>
        </is>
      </c>
      <c r="B561" s="1" t="n">
        <v>45218</v>
      </c>
      <c r="C561" s="1" t="n">
        <v>45963</v>
      </c>
      <c r="D561" t="inlineStr">
        <is>
          <t>ÖREBRO LÄN</t>
        </is>
      </c>
      <c r="E561" t="inlineStr">
        <is>
          <t>LINDESBERG</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61969-2023</t>
        </is>
      </c>
      <c r="B562" s="1" t="n">
        <v>45266.58394675926</v>
      </c>
      <c r="C562" s="1" t="n">
        <v>45963</v>
      </c>
      <c r="D562" t="inlineStr">
        <is>
          <t>ÖREBRO LÄN</t>
        </is>
      </c>
      <c r="E562" t="inlineStr">
        <is>
          <t>LINDESBERG</t>
        </is>
      </c>
      <c r="G562" t="n">
        <v>10.5</v>
      </c>
      <c r="H562" t="n">
        <v>0</v>
      </c>
      <c r="I562" t="n">
        <v>0</v>
      </c>
      <c r="J562" t="n">
        <v>0</v>
      </c>
      <c r="K562" t="n">
        <v>0</v>
      </c>
      <c r="L562" t="n">
        <v>0</v>
      </c>
      <c r="M562" t="n">
        <v>0</v>
      </c>
      <c r="N562" t="n">
        <v>0</v>
      </c>
      <c r="O562" t="n">
        <v>0</v>
      </c>
      <c r="P562" t="n">
        <v>0</v>
      </c>
      <c r="Q562" t="n">
        <v>0</v>
      </c>
      <c r="R562" s="2" t="inlineStr"/>
    </row>
    <row r="563" ht="15" customHeight="1">
      <c r="A563" t="inlineStr">
        <is>
          <t>A 27300-2025</t>
        </is>
      </c>
      <c r="B563" s="1" t="n">
        <v>45812.57143518519</v>
      </c>
      <c r="C563" s="1" t="n">
        <v>45963</v>
      </c>
      <c r="D563" t="inlineStr">
        <is>
          <t>ÖREBRO LÄN</t>
        </is>
      </c>
      <c r="E563" t="inlineStr">
        <is>
          <t>LINDESBERG</t>
        </is>
      </c>
      <c r="F563" t="inlineStr">
        <is>
          <t>Sveaskog</t>
        </is>
      </c>
      <c r="G563" t="n">
        <v>19.7</v>
      </c>
      <c r="H563" t="n">
        <v>0</v>
      </c>
      <c r="I563" t="n">
        <v>0</v>
      </c>
      <c r="J563" t="n">
        <v>0</v>
      </c>
      <c r="K563" t="n">
        <v>0</v>
      </c>
      <c r="L563" t="n">
        <v>0</v>
      </c>
      <c r="M563" t="n">
        <v>0</v>
      </c>
      <c r="N563" t="n">
        <v>0</v>
      </c>
      <c r="O563" t="n">
        <v>0</v>
      </c>
      <c r="P563" t="n">
        <v>0</v>
      </c>
      <c r="Q563" t="n">
        <v>0</v>
      </c>
      <c r="R563" s="2" t="inlineStr"/>
    </row>
    <row r="564" ht="15" customHeight="1">
      <c r="A564" t="inlineStr">
        <is>
          <t>A 27309-2025</t>
        </is>
      </c>
      <c r="B564" s="1" t="n">
        <v>45812.57452546297</v>
      </c>
      <c r="C564" s="1" t="n">
        <v>45963</v>
      </c>
      <c r="D564" t="inlineStr">
        <is>
          <t>ÖREBRO LÄN</t>
        </is>
      </c>
      <c r="E564" t="inlineStr">
        <is>
          <t>LINDESBERG</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27311-2025</t>
        </is>
      </c>
      <c r="B565" s="1" t="n">
        <v>45812.57604166667</v>
      </c>
      <c r="C565" s="1" t="n">
        <v>45963</v>
      </c>
      <c r="D565" t="inlineStr">
        <is>
          <t>ÖREBRO LÄN</t>
        </is>
      </c>
      <c r="E565" t="inlineStr">
        <is>
          <t>LINDESBERG</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40450-2023</t>
        </is>
      </c>
      <c r="B566" s="1" t="n">
        <v>45170</v>
      </c>
      <c r="C566" s="1" t="n">
        <v>45963</v>
      </c>
      <c r="D566" t="inlineStr">
        <is>
          <t>ÖREBRO LÄN</t>
        </is>
      </c>
      <c r="E566" t="inlineStr">
        <is>
          <t>LINDESBERG</t>
        </is>
      </c>
      <c r="F566" t="inlineStr">
        <is>
          <t>Kyrkan</t>
        </is>
      </c>
      <c r="G566" t="n">
        <v>4.3</v>
      </c>
      <c r="H566" t="n">
        <v>0</v>
      </c>
      <c r="I566" t="n">
        <v>0</v>
      </c>
      <c r="J566" t="n">
        <v>0</v>
      </c>
      <c r="K566" t="n">
        <v>0</v>
      </c>
      <c r="L566" t="n">
        <v>0</v>
      </c>
      <c r="M566" t="n">
        <v>0</v>
      </c>
      <c r="N566" t="n">
        <v>0</v>
      </c>
      <c r="O566" t="n">
        <v>0</v>
      </c>
      <c r="P566" t="n">
        <v>0</v>
      </c>
      <c r="Q566" t="n">
        <v>0</v>
      </c>
      <c r="R566" s="2" t="inlineStr"/>
    </row>
    <row r="567" ht="15" customHeight="1">
      <c r="A567" t="inlineStr">
        <is>
          <t>A 36024-2021</t>
        </is>
      </c>
      <c r="B567" s="1" t="n">
        <v>44389</v>
      </c>
      <c r="C567" s="1" t="n">
        <v>45963</v>
      </c>
      <c r="D567" t="inlineStr">
        <is>
          <t>ÖREBRO LÄN</t>
        </is>
      </c>
      <c r="E567" t="inlineStr">
        <is>
          <t>LINDESBERG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11559-2024</t>
        </is>
      </c>
      <c r="B568" s="1" t="n">
        <v>45373.30434027778</v>
      </c>
      <c r="C568" s="1" t="n">
        <v>45963</v>
      </c>
      <c r="D568" t="inlineStr">
        <is>
          <t>ÖREBRO LÄN</t>
        </is>
      </c>
      <c r="E568" t="inlineStr">
        <is>
          <t>LINDESBERG</t>
        </is>
      </c>
      <c r="F568" t="inlineStr">
        <is>
          <t>BillerudKorsnäs AB</t>
        </is>
      </c>
      <c r="G568" t="n">
        <v>1.9</v>
      </c>
      <c r="H568" t="n">
        <v>0</v>
      </c>
      <c r="I568" t="n">
        <v>0</v>
      </c>
      <c r="J568" t="n">
        <v>0</v>
      </c>
      <c r="K568" t="n">
        <v>0</v>
      </c>
      <c r="L568" t="n">
        <v>0</v>
      </c>
      <c r="M568" t="n">
        <v>0</v>
      </c>
      <c r="N568" t="n">
        <v>0</v>
      </c>
      <c r="O568" t="n">
        <v>0</v>
      </c>
      <c r="P568" t="n">
        <v>0</v>
      </c>
      <c r="Q568" t="n">
        <v>0</v>
      </c>
      <c r="R568" s="2" t="inlineStr"/>
    </row>
    <row r="569" ht="15" customHeight="1">
      <c r="A569" t="inlineStr">
        <is>
          <t>A 53062-2023</t>
        </is>
      </c>
      <c r="B569" s="1" t="n">
        <v>45227.31859953704</v>
      </c>
      <c r="C569" s="1" t="n">
        <v>45963</v>
      </c>
      <c r="D569" t="inlineStr">
        <is>
          <t>ÖREBRO LÄN</t>
        </is>
      </c>
      <c r="E569" t="inlineStr">
        <is>
          <t>LINDESBERG</t>
        </is>
      </c>
      <c r="G569" t="n">
        <v>3.1</v>
      </c>
      <c r="H569" t="n">
        <v>0</v>
      </c>
      <c r="I569" t="n">
        <v>0</v>
      </c>
      <c r="J569" t="n">
        <v>0</v>
      </c>
      <c r="K569" t="n">
        <v>0</v>
      </c>
      <c r="L569" t="n">
        <v>0</v>
      </c>
      <c r="M569" t="n">
        <v>0</v>
      </c>
      <c r="N569" t="n">
        <v>0</v>
      </c>
      <c r="O569" t="n">
        <v>0</v>
      </c>
      <c r="P569" t="n">
        <v>0</v>
      </c>
      <c r="Q569" t="n">
        <v>0</v>
      </c>
      <c r="R569" s="2" t="inlineStr"/>
    </row>
    <row r="570" ht="15" customHeight="1">
      <c r="A570" t="inlineStr">
        <is>
          <t>A 13472-2023</t>
        </is>
      </c>
      <c r="B570" s="1" t="n">
        <v>45005</v>
      </c>
      <c r="C570" s="1" t="n">
        <v>45963</v>
      </c>
      <c r="D570" t="inlineStr">
        <is>
          <t>ÖREBRO LÄN</t>
        </is>
      </c>
      <c r="E570" t="inlineStr">
        <is>
          <t>LINDESBERG</t>
        </is>
      </c>
      <c r="G570" t="n">
        <v>2.5</v>
      </c>
      <c r="H570" t="n">
        <v>0</v>
      </c>
      <c r="I570" t="n">
        <v>0</v>
      </c>
      <c r="J570" t="n">
        <v>0</v>
      </c>
      <c r="K570" t="n">
        <v>0</v>
      </c>
      <c r="L570" t="n">
        <v>0</v>
      </c>
      <c r="M570" t="n">
        <v>0</v>
      </c>
      <c r="N570" t="n">
        <v>0</v>
      </c>
      <c r="O570" t="n">
        <v>0</v>
      </c>
      <c r="P570" t="n">
        <v>0</v>
      </c>
      <c r="Q570" t="n">
        <v>0</v>
      </c>
      <c r="R570" s="2" t="inlineStr"/>
    </row>
    <row r="571" ht="15" customHeight="1">
      <c r="A571" t="inlineStr">
        <is>
          <t>A 28040-2025</t>
        </is>
      </c>
      <c r="B571" s="1" t="n">
        <v>45817.6455324074</v>
      </c>
      <c r="C571" s="1" t="n">
        <v>45963</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12739-2024</t>
        </is>
      </c>
      <c r="B572" s="1" t="n">
        <v>45384</v>
      </c>
      <c r="C572" s="1" t="n">
        <v>45963</v>
      </c>
      <c r="D572" t="inlineStr">
        <is>
          <t>ÖREBRO LÄN</t>
        </is>
      </c>
      <c r="E572" t="inlineStr">
        <is>
          <t>LINDESBERG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17087-2023</t>
        </is>
      </c>
      <c r="B573" s="1" t="n">
        <v>45034.5174537037</v>
      </c>
      <c r="C573" s="1" t="n">
        <v>45963</v>
      </c>
      <c r="D573" t="inlineStr">
        <is>
          <t>ÖREBRO LÄN</t>
        </is>
      </c>
      <c r="E573" t="inlineStr">
        <is>
          <t>LINDESBERG</t>
        </is>
      </c>
      <c r="G573" t="n">
        <v>2.7</v>
      </c>
      <c r="H573" t="n">
        <v>0</v>
      </c>
      <c r="I573" t="n">
        <v>0</v>
      </c>
      <c r="J573" t="n">
        <v>0</v>
      </c>
      <c r="K573" t="n">
        <v>0</v>
      </c>
      <c r="L573" t="n">
        <v>0</v>
      </c>
      <c r="M573" t="n">
        <v>0</v>
      </c>
      <c r="N573" t="n">
        <v>0</v>
      </c>
      <c r="O573" t="n">
        <v>0</v>
      </c>
      <c r="P573" t="n">
        <v>0</v>
      </c>
      <c r="Q573" t="n">
        <v>0</v>
      </c>
      <c r="R573" s="2" t="inlineStr"/>
    </row>
    <row r="574" ht="15" customHeight="1">
      <c r="A574" t="inlineStr">
        <is>
          <t>A 45056-2024</t>
        </is>
      </c>
      <c r="B574" s="1" t="n">
        <v>45575.55273148148</v>
      </c>
      <c r="C574" s="1" t="n">
        <v>45963</v>
      </c>
      <c r="D574" t="inlineStr">
        <is>
          <t>ÖREBRO LÄN</t>
        </is>
      </c>
      <c r="E574" t="inlineStr">
        <is>
          <t>LINDESBERG</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45058-2024</t>
        </is>
      </c>
      <c r="B575" s="1" t="n">
        <v>45575.5547337963</v>
      </c>
      <c r="C575" s="1" t="n">
        <v>45963</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45063-2024</t>
        </is>
      </c>
      <c r="B576" s="1" t="n">
        <v>45575.55684027778</v>
      </c>
      <c r="C576" s="1" t="n">
        <v>45963</v>
      </c>
      <c r="D576" t="inlineStr">
        <is>
          <t>ÖREBRO LÄN</t>
        </is>
      </c>
      <c r="E576" t="inlineStr">
        <is>
          <t>LINDESBERG</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61222-2022</t>
        </is>
      </c>
      <c r="B577" s="1" t="n">
        <v>44909</v>
      </c>
      <c r="C577" s="1" t="n">
        <v>45963</v>
      </c>
      <c r="D577" t="inlineStr">
        <is>
          <t>ÖREBRO LÄN</t>
        </is>
      </c>
      <c r="E577" t="inlineStr">
        <is>
          <t>LINDESBERG</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9198-2025</t>
        </is>
      </c>
      <c r="B578" s="1" t="n">
        <v>45714</v>
      </c>
      <c r="C578" s="1" t="n">
        <v>45963</v>
      </c>
      <c r="D578" t="inlineStr">
        <is>
          <t>ÖREBRO LÄN</t>
        </is>
      </c>
      <c r="E578" t="inlineStr">
        <is>
          <t>LINDESBERG</t>
        </is>
      </c>
      <c r="G578" t="n">
        <v>3.3</v>
      </c>
      <c r="H578" t="n">
        <v>0</v>
      </c>
      <c r="I578" t="n">
        <v>0</v>
      </c>
      <c r="J578" t="n">
        <v>0</v>
      </c>
      <c r="K578" t="n">
        <v>0</v>
      </c>
      <c r="L578" t="n">
        <v>0</v>
      </c>
      <c r="M578" t="n">
        <v>0</v>
      </c>
      <c r="N578" t="n">
        <v>0</v>
      </c>
      <c r="O578" t="n">
        <v>0</v>
      </c>
      <c r="P578" t="n">
        <v>0</v>
      </c>
      <c r="Q578" t="n">
        <v>0</v>
      </c>
      <c r="R578" s="2" t="inlineStr"/>
    </row>
    <row r="579" ht="15" customHeight="1">
      <c r="A579" t="inlineStr">
        <is>
          <t>A 60492-2024</t>
        </is>
      </c>
      <c r="B579" s="1" t="n">
        <v>45642</v>
      </c>
      <c r="C579" s="1" t="n">
        <v>45963</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row>
    <row r="580" ht="15" customHeight="1">
      <c r="A580" t="inlineStr">
        <is>
          <t>A 46484-2024</t>
        </is>
      </c>
      <c r="B580" s="1" t="n">
        <v>45582.57542824074</v>
      </c>
      <c r="C580" s="1" t="n">
        <v>45963</v>
      </c>
      <c r="D580" t="inlineStr">
        <is>
          <t>ÖREBRO LÄN</t>
        </is>
      </c>
      <c r="E580" t="inlineStr">
        <is>
          <t>LINDESBERG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26093-2023</t>
        </is>
      </c>
      <c r="B581" s="1" t="n">
        <v>45091.39362268519</v>
      </c>
      <c r="C581" s="1" t="n">
        <v>45963</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41576-2021</t>
        </is>
      </c>
      <c r="B582" s="1" t="n">
        <v>44425</v>
      </c>
      <c r="C582" s="1" t="n">
        <v>45963</v>
      </c>
      <c r="D582" t="inlineStr">
        <is>
          <t>ÖREBRO LÄN</t>
        </is>
      </c>
      <c r="E582" t="inlineStr">
        <is>
          <t>LINDESBERG</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47066-2023</t>
        </is>
      </c>
      <c r="B583" s="1" t="n">
        <v>45201</v>
      </c>
      <c r="C583" s="1" t="n">
        <v>45963</v>
      </c>
      <c r="D583" t="inlineStr">
        <is>
          <t>ÖREBRO LÄN</t>
        </is>
      </c>
      <c r="E583" t="inlineStr">
        <is>
          <t>LINDESBERG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54859-2024</t>
        </is>
      </c>
      <c r="B584" s="1" t="n">
        <v>45618.58962962963</v>
      </c>
      <c r="C584" s="1" t="n">
        <v>45963</v>
      </c>
      <c r="D584" t="inlineStr">
        <is>
          <t>ÖREBRO LÄN</t>
        </is>
      </c>
      <c r="E584" t="inlineStr">
        <is>
          <t>LINDESBERG</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36773-2024</t>
        </is>
      </c>
      <c r="B585" s="1" t="n">
        <v>45538</v>
      </c>
      <c r="C585" s="1" t="n">
        <v>45963</v>
      </c>
      <c r="D585" t="inlineStr">
        <is>
          <t>ÖREBRO LÄN</t>
        </is>
      </c>
      <c r="E585" t="inlineStr">
        <is>
          <t>LINDESBERG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59804-2023</t>
        </is>
      </c>
      <c r="B586" s="1" t="n">
        <v>45257.48188657407</v>
      </c>
      <c r="C586" s="1" t="n">
        <v>45963</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40758-2021</t>
        </is>
      </c>
      <c r="B587" s="1" t="n">
        <v>44420</v>
      </c>
      <c r="C587" s="1" t="n">
        <v>45963</v>
      </c>
      <c r="D587" t="inlineStr">
        <is>
          <t>ÖREBRO LÄN</t>
        </is>
      </c>
      <c r="E587" t="inlineStr">
        <is>
          <t>LINDESBERG</t>
        </is>
      </c>
      <c r="G587" t="n">
        <v>5</v>
      </c>
      <c r="H587" t="n">
        <v>0</v>
      </c>
      <c r="I587" t="n">
        <v>0</v>
      </c>
      <c r="J587" t="n">
        <v>0</v>
      </c>
      <c r="K587" t="n">
        <v>0</v>
      </c>
      <c r="L587" t="n">
        <v>0</v>
      </c>
      <c r="M587" t="n">
        <v>0</v>
      </c>
      <c r="N587" t="n">
        <v>0</v>
      </c>
      <c r="O587" t="n">
        <v>0</v>
      </c>
      <c r="P587" t="n">
        <v>0</v>
      </c>
      <c r="Q587" t="n">
        <v>0</v>
      </c>
      <c r="R587" s="2" t="inlineStr"/>
    </row>
    <row r="588" ht="15" customHeight="1">
      <c r="A588" t="inlineStr">
        <is>
          <t>A 58741-2024</t>
        </is>
      </c>
      <c r="B588" s="1" t="n">
        <v>45635.69581018519</v>
      </c>
      <c r="C588" s="1" t="n">
        <v>45963</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61691-2023</t>
        </is>
      </c>
      <c r="B589" s="1" t="n">
        <v>45265.64142361111</v>
      </c>
      <c r="C589" s="1" t="n">
        <v>45963</v>
      </c>
      <c r="D589" t="inlineStr">
        <is>
          <t>ÖREBRO LÄN</t>
        </is>
      </c>
      <c r="E589" t="inlineStr">
        <is>
          <t>LINDESBERG</t>
        </is>
      </c>
      <c r="G589" t="n">
        <v>2.6</v>
      </c>
      <c r="H589" t="n">
        <v>0</v>
      </c>
      <c r="I589" t="n">
        <v>0</v>
      </c>
      <c r="J589" t="n">
        <v>0</v>
      </c>
      <c r="K589" t="n">
        <v>0</v>
      </c>
      <c r="L589" t="n">
        <v>0</v>
      </c>
      <c r="M589" t="n">
        <v>0</v>
      </c>
      <c r="N589" t="n">
        <v>0</v>
      </c>
      <c r="O589" t="n">
        <v>0</v>
      </c>
      <c r="P589" t="n">
        <v>0</v>
      </c>
      <c r="Q589" t="n">
        <v>0</v>
      </c>
      <c r="R589" s="2" t="inlineStr"/>
    </row>
    <row r="590" ht="15" customHeight="1">
      <c r="A590" t="inlineStr">
        <is>
          <t>A 4298-2025</t>
        </is>
      </c>
      <c r="B590" s="1" t="n">
        <v>45685</v>
      </c>
      <c r="C590" s="1" t="n">
        <v>45963</v>
      </c>
      <c r="D590" t="inlineStr">
        <is>
          <t>ÖREBRO LÄN</t>
        </is>
      </c>
      <c r="E590" t="inlineStr">
        <is>
          <t>LINDESBERG</t>
        </is>
      </c>
      <c r="G590" t="n">
        <v>13.5</v>
      </c>
      <c r="H590" t="n">
        <v>0</v>
      </c>
      <c r="I590" t="n">
        <v>0</v>
      </c>
      <c r="J590" t="n">
        <v>0</v>
      </c>
      <c r="K590" t="n">
        <v>0</v>
      </c>
      <c r="L590" t="n">
        <v>0</v>
      </c>
      <c r="M590" t="n">
        <v>0</v>
      </c>
      <c r="N590" t="n">
        <v>0</v>
      </c>
      <c r="O590" t="n">
        <v>0</v>
      </c>
      <c r="P590" t="n">
        <v>0</v>
      </c>
      <c r="Q590" t="n">
        <v>0</v>
      </c>
      <c r="R590" s="2" t="inlineStr"/>
    </row>
    <row r="591" ht="15" customHeight="1">
      <c r="A591" t="inlineStr">
        <is>
          <t>A 53597-2024</t>
        </is>
      </c>
      <c r="B591" s="1" t="n">
        <v>45614.68083333333</v>
      </c>
      <c r="C591" s="1" t="n">
        <v>45963</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28877-2025</t>
        </is>
      </c>
      <c r="B592" s="1" t="n">
        <v>45820.61684027778</v>
      </c>
      <c r="C592" s="1" t="n">
        <v>45963</v>
      </c>
      <c r="D592" t="inlineStr">
        <is>
          <t>ÖREBRO LÄN</t>
        </is>
      </c>
      <c r="E592" t="inlineStr">
        <is>
          <t>LINDESBERG</t>
        </is>
      </c>
      <c r="G592" t="n">
        <v>4.4</v>
      </c>
      <c r="H592" t="n">
        <v>0</v>
      </c>
      <c r="I592" t="n">
        <v>0</v>
      </c>
      <c r="J592" t="n">
        <v>0</v>
      </c>
      <c r="K592" t="n">
        <v>0</v>
      </c>
      <c r="L592" t="n">
        <v>0</v>
      </c>
      <c r="M592" t="n">
        <v>0</v>
      </c>
      <c r="N592" t="n">
        <v>0</v>
      </c>
      <c r="O592" t="n">
        <v>0</v>
      </c>
      <c r="P592" t="n">
        <v>0</v>
      </c>
      <c r="Q592" t="n">
        <v>0</v>
      </c>
      <c r="R592" s="2" t="inlineStr"/>
    </row>
    <row r="593" ht="15" customHeight="1">
      <c r="A593" t="inlineStr">
        <is>
          <t>A 28991-2025</t>
        </is>
      </c>
      <c r="B593" s="1" t="n">
        <v>45821.37199074074</v>
      </c>
      <c r="C593" s="1" t="n">
        <v>45963</v>
      </c>
      <c r="D593" t="inlineStr">
        <is>
          <t>ÖREBRO LÄN</t>
        </is>
      </c>
      <c r="E593" t="inlineStr">
        <is>
          <t>LINDESBERG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29049-2025</t>
        </is>
      </c>
      <c r="B594" s="1" t="n">
        <v>45821.46135416667</v>
      </c>
      <c r="C594" s="1" t="n">
        <v>45963</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29051-2025</t>
        </is>
      </c>
      <c r="B595" s="1" t="n">
        <v>45821.46486111111</v>
      </c>
      <c r="C595" s="1" t="n">
        <v>45963</v>
      </c>
      <c r="D595" t="inlineStr">
        <is>
          <t>ÖREBRO LÄN</t>
        </is>
      </c>
      <c r="E595" t="inlineStr">
        <is>
          <t>LINDESBERG</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43081-2021</t>
        </is>
      </c>
      <c r="B596" s="1" t="n">
        <v>44431</v>
      </c>
      <c r="C596" s="1" t="n">
        <v>45963</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29037-2025</t>
        </is>
      </c>
      <c r="B597" s="1" t="n">
        <v>45821.44521990741</v>
      </c>
      <c r="C597" s="1" t="n">
        <v>45963</v>
      </c>
      <c r="D597" t="inlineStr">
        <is>
          <t>ÖREBRO LÄN</t>
        </is>
      </c>
      <c r="E597" t="inlineStr">
        <is>
          <t>LINDESBERG</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32002-2023</t>
        </is>
      </c>
      <c r="B598" s="1" t="n">
        <v>45119.46452546296</v>
      </c>
      <c r="C598" s="1" t="n">
        <v>45963</v>
      </c>
      <c r="D598" t="inlineStr">
        <is>
          <t>ÖREBRO LÄN</t>
        </is>
      </c>
      <c r="E598" t="inlineStr">
        <is>
          <t>LINDESBERG</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7661-2024</t>
        </is>
      </c>
      <c r="B599" s="1" t="n">
        <v>45348</v>
      </c>
      <c r="C599" s="1" t="n">
        <v>45963</v>
      </c>
      <c r="D599" t="inlineStr">
        <is>
          <t>ÖREBRO LÄN</t>
        </is>
      </c>
      <c r="E599" t="inlineStr">
        <is>
          <t>LINDESBERG</t>
        </is>
      </c>
      <c r="G599" t="n">
        <v>4.1</v>
      </c>
      <c r="H599" t="n">
        <v>0</v>
      </c>
      <c r="I599" t="n">
        <v>0</v>
      </c>
      <c r="J599" t="n">
        <v>0</v>
      </c>
      <c r="K599" t="n">
        <v>0</v>
      </c>
      <c r="L599" t="n">
        <v>0</v>
      </c>
      <c r="M599" t="n">
        <v>0</v>
      </c>
      <c r="N599" t="n">
        <v>0</v>
      </c>
      <c r="O599" t="n">
        <v>0</v>
      </c>
      <c r="P599" t="n">
        <v>0</v>
      </c>
      <c r="Q599" t="n">
        <v>0</v>
      </c>
      <c r="R599" s="2" t="inlineStr"/>
    </row>
    <row r="600" ht="15" customHeight="1">
      <c r="A600" t="inlineStr">
        <is>
          <t>A 26967-2022</t>
        </is>
      </c>
      <c r="B600" s="1" t="n">
        <v>44740.66997685185</v>
      </c>
      <c r="C600" s="1" t="n">
        <v>45963</v>
      </c>
      <c r="D600" t="inlineStr">
        <is>
          <t>ÖREBRO LÄN</t>
        </is>
      </c>
      <c r="E600" t="inlineStr">
        <is>
          <t>LINDESBERG</t>
        </is>
      </c>
      <c r="G600" t="n">
        <v>1.6</v>
      </c>
      <c r="H600" t="n">
        <v>0</v>
      </c>
      <c r="I600" t="n">
        <v>0</v>
      </c>
      <c r="J600" t="n">
        <v>0</v>
      </c>
      <c r="K600" t="n">
        <v>0</v>
      </c>
      <c r="L600" t="n">
        <v>0</v>
      </c>
      <c r="M600" t="n">
        <v>0</v>
      </c>
      <c r="N600" t="n">
        <v>0</v>
      </c>
      <c r="O600" t="n">
        <v>0</v>
      </c>
      <c r="P600" t="n">
        <v>0</v>
      </c>
      <c r="Q600" t="n">
        <v>0</v>
      </c>
      <c r="R600" s="2" t="inlineStr"/>
    </row>
    <row r="601" ht="15" customHeight="1">
      <c r="A601" t="inlineStr">
        <is>
          <t>A 12278-2025</t>
        </is>
      </c>
      <c r="B601" s="1" t="n">
        <v>45729.65171296296</v>
      </c>
      <c r="C601" s="1" t="n">
        <v>45963</v>
      </c>
      <c r="D601" t="inlineStr">
        <is>
          <t>ÖREBRO LÄN</t>
        </is>
      </c>
      <c r="E601" t="inlineStr">
        <is>
          <t>LINDESBERG</t>
        </is>
      </c>
      <c r="G601" t="n">
        <v>3.2</v>
      </c>
      <c r="H601" t="n">
        <v>0</v>
      </c>
      <c r="I601" t="n">
        <v>0</v>
      </c>
      <c r="J601" t="n">
        <v>0</v>
      </c>
      <c r="K601" t="n">
        <v>0</v>
      </c>
      <c r="L601" t="n">
        <v>0</v>
      </c>
      <c r="M601" t="n">
        <v>0</v>
      </c>
      <c r="N601" t="n">
        <v>0</v>
      </c>
      <c r="O601" t="n">
        <v>0</v>
      </c>
      <c r="P601" t="n">
        <v>0</v>
      </c>
      <c r="Q601" t="n">
        <v>0</v>
      </c>
      <c r="R601" s="2" t="inlineStr"/>
    </row>
    <row r="602" ht="15" customHeight="1">
      <c r="A602" t="inlineStr">
        <is>
          <t>A 43066-2021</t>
        </is>
      </c>
      <c r="B602" s="1" t="n">
        <v>44431</v>
      </c>
      <c r="C602" s="1" t="n">
        <v>45963</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34237-2023</t>
        </is>
      </c>
      <c r="B603" s="1" t="n">
        <v>45138</v>
      </c>
      <c r="C603" s="1" t="n">
        <v>45963</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30341-2025</t>
        </is>
      </c>
      <c r="B604" s="1" t="n">
        <v>45827.51862268519</v>
      </c>
      <c r="C604" s="1" t="n">
        <v>45963</v>
      </c>
      <c r="D604" t="inlineStr">
        <is>
          <t>ÖREBRO LÄN</t>
        </is>
      </c>
      <c r="E604" t="inlineStr">
        <is>
          <t>LINDESBERG</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29942-2024</t>
        </is>
      </c>
      <c r="B605" s="1" t="n">
        <v>45488.42258101852</v>
      </c>
      <c r="C605" s="1" t="n">
        <v>45963</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30000-2025</t>
        </is>
      </c>
      <c r="B606" s="1" t="n">
        <v>45826.52024305556</v>
      </c>
      <c r="C606" s="1" t="n">
        <v>45963</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16791-2024</t>
        </is>
      </c>
      <c r="B607" s="1" t="n">
        <v>45411.42858796296</v>
      </c>
      <c r="C607" s="1" t="n">
        <v>45963</v>
      </c>
      <c r="D607" t="inlineStr">
        <is>
          <t>ÖREBRO LÄN</t>
        </is>
      </c>
      <c r="E607" t="inlineStr">
        <is>
          <t>LINDESBERG</t>
        </is>
      </c>
      <c r="G607" t="n">
        <v>16.1</v>
      </c>
      <c r="H607" t="n">
        <v>0</v>
      </c>
      <c r="I607" t="n">
        <v>0</v>
      </c>
      <c r="J607" t="n">
        <v>0</v>
      </c>
      <c r="K607" t="n">
        <v>0</v>
      </c>
      <c r="L607" t="n">
        <v>0</v>
      </c>
      <c r="M607" t="n">
        <v>0</v>
      </c>
      <c r="N607" t="n">
        <v>0</v>
      </c>
      <c r="O607" t="n">
        <v>0</v>
      </c>
      <c r="P607" t="n">
        <v>0</v>
      </c>
      <c r="Q607" t="n">
        <v>0</v>
      </c>
      <c r="R607" s="2" t="inlineStr"/>
    </row>
    <row r="608" ht="15" customHeight="1">
      <c r="A608" t="inlineStr">
        <is>
          <t>A 45428-2023</t>
        </is>
      </c>
      <c r="B608" s="1" t="n">
        <v>45194</v>
      </c>
      <c r="C608" s="1" t="n">
        <v>45963</v>
      </c>
      <c r="D608" t="inlineStr">
        <is>
          <t>ÖREBRO LÄN</t>
        </is>
      </c>
      <c r="E608" t="inlineStr">
        <is>
          <t>LINDESBERG</t>
        </is>
      </c>
      <c r="G608" t="n">
        <v>7.7</v>
      </c>
      <c r="H608" t="n">
        <v>0</v>
      </c>
      <c r="I608" t="n">
        <v>0</v>
      </c>
      <c r="J608" t="n">
        <v>0</v>
      </c>
      <c r="K608" t="n">
        <v>0</v>
      </c>
      <c r="L608" t="n">
        <v>0</v>
      </c>
      <c r="M608" t="n">
        <v>0</v>
      </c>
      <c r="N608" t="n">
        <v>0</v>
      </c>
      <c r="O608" t="n">
        <v>0</v>
      </c>
      <c r="P608" t="n">
        <v>0</v>
      </c>
      <c r="Q608" t="n">
        <v>0</v>
      </c>
      <c r="R608" s="2" t="inlineStr"/>
    </row>
    <row r="609" ht="15" customHeight="1">
      <c r="A609" t="inlineStr">
        <is>
          <t>A 3294-2024</t>
        </is>
      </c>
      <c r="B609" s="1" t="n">
        <v>45316</v>
      </c>
      <c r="C609" s="1" t="n">
        <v>45963</v>
      </c>
      <c r="D609" t="inlineStr">
        <is>
          <t>ÖREBRO LÄN</t>
        </is>
      </c>
      <c r="E609" t="inlineStr">
        <is>
          <t>LINDESBERG</t>
        </is>
      </c>
      <c r="G609" t="n">
        <v>3</v>
      </c>
      <c r="H609" t="n">
        <v>0</v>
      </c>
      <c r="I609" t="n">
        <v>0</v>
      </c>
      <c r="J609" t="n">
        <v>0</v>
      </c>
      <c r="K609" t="n">
        <v>0</v>
      </c>
      <c r="L609" t="n">
        <v>0</v>
      </c>
      <c r="M609" t="n">
        <v>0</v>
      </c>
      <c r="N609" t="n">
        <v>0</v>
      </c>
      <c r="O609" t="n">
        <v>0</v>
      </c>
      <c r="P609" t="n">
        <v>0</v>
      </c>
      <c r="Q609" t="n">
        <v>0</v>
      </c>
      <c r="R609" s="2" t="inlineStr"/>
    </row>
    <row r="610" ht="15" customHeight="1">
      <c r="A610" t="inlineStr">
        <is>
          <t>A 30381-2025</t>
        </is>
      </c>
      <c r="B610" s="1" t="n">
        <v>45827.56939814815</v>
      </c>
      <c r="C610" s="1" t="n">
        <v>45963</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53897-2024</t>
        </is>
      </c>
      <c r="B611" s="1" t="n">
        <v>45615.69570601852</v>
      </c>
      <c r="C611" s="1" t="n">
        <v>45963</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30340-2025</t>
        </is>
      </c>
      <c r="B612" s="1" t="n">
        <v>45827.51753472222</v>
      </c>
      <c r="C612" s="1" t="n">
        <v>45963</v>
      </c>
      <c r="D612" t="inlineStr">
        <is>
          <t>ÖREBRO LÄN</t>
        </is>
      </c>
      <c r="E612" t="inlineStr">
        <is>
          <t>LINDESBERG</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30342-2025</t>
        </is>
      </c>
      <c r="B613" s="1" t="n">
        <v>45827.51956018519</v>
      </c>
      <c r="C613" s="1" t="n">
        <v>45963</v>
      </c>
      <c r="D613" t="inlineStr">
        <is>
          <t>ÖREBRO LÄN</t>
        </is>
      </c>
      <c r="E613" t="inlineStr">
        <is>
          <t>LINDESBERG</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14185-2024</t>
        </is>
      </c>
      <c r="B614" s="1" t="n">
        <v>45393.3562962963</v>
      </c>
      <c r="C614" s="1" t="n">
        <v>45963</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14190-2024</t>
        </is>
      </c>
      <c r="B615" s="1" t="n">
        <v>45393.36060185185</v>
      </c>
      <c r="C615" s="1" t="n">
        <v>45963</v>
      </c>
      <c r="D615" t="inlineStr">
        <is>
          <t>ÖREBRO LÄN</t>
        </is>
      </c>
      <c r="E615" t="inlineStr">
        <is>
          <t>LINDESBERG</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56907-2024</t>
        </is>
      </c>
      <c r="B616" s="1" t="n">
        <v>45628.58975694444</v>
      </c>
      <c r="C616" s="1" t="n">
        <v>45963</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7992-2025</t>
        </is>
      </c>
      <c r="B617" s="1" t="n">
        <v>45707</v>
      </c>
      <c r="C617" s="1" t="n">
        <v>45963</v>
      </c>
      <c r="D617" t="inlineStr">
        <is>
          <t>ÖREBRO LÄN</t>
        </is>
      </c>
      <c r="E617" t="inlineStr">
        <is>
          <t>LINDESBERG</t>
        </is>
      </c>
      <c r="G617" t="n">
        <v>4.8</v>
      </c>
      <c r="H617" t="n">
        <v>0</v>
      </c>
      <c r="I617" t="n">
        <v>0</v>
      </c>
      <c r="J617" t="n">
        <v>0</v>
      </c>
      <c r="K617" t="n">
        <v>0</v>
      </c>
      <c r="L617" t="n">
        <v>0</v>
      </c>
      <c r="M617" t="n">
        <v>0</v>
      </c>
      <c r="N617" t="n">
        <v>0</v>
      </c>
      <c r="O617" t="n">
        <v>0</v>
      </c>
      <c r="P617" t="n">
        <v>0</v>
      </c>
      <c r="Q617" t="n">
        <v>0</v>
      </c>
      <c r="R617" s="2" t="inlineStr"/>
    </row>
    <row r="618" ht="15" customHeight="1">
      <c r="A618" t="inlineStr">
        <is>
          <t>A 30339-2025</t>
        </is>
      </c>
      <c r="B618" s="1" t="n">
        <v>45827.51628472222</v>
      </c>
      <c r="C618" s="1" t="n">
        <v>45963</v>
      </c>
      <c r="D618" t="inlineStr">
        <is>
          <t>ÖREBRO LÄN</t>
        </is>
      </c>
      <c r="E618" t="inlineStr">
        <is>
          <t>LINDESBERG</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34029-2024</t>
        </is>
      </c>
      <c r="B619" s="1" t="n">
        <v>45523</v>
      </c>
      <c r="C619" s="1" t="n">
        <v>45963</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17242-2025</t>
        </is>
      </c>
      <c r="B620" s="1" t="n">
        <v>45756.49009259259</v>
      </c>
      <c r="C620" s="1" t="n">
        <v>45963</v>
      </c>
      <c r="D620" t="inlineStr">
        <is>
          <t>ÖREBRO LÄN</t>
        </is>
      </c>
      <c r="E620" t="inlineStr">
        <is>
          <t>LINDESBERG</t>
        </is>
      </c>
      <c r="G620" t="n">
        <v>7.3</v>
      </c>
      <c r="H620" t="n">
        <v>0</v>
      </c>
      <c r="I620" t="n">
        <v>0</v>
      </c>
      <c r="J620" t="n">
        <v>0</v>
      </c>
      <c r="K620" t="n">
        <v>0</v>
      </c>
      <c r="L620" t="n">
        <v>0</v>
      </c>
      <c r="M620" t="n">
        <v>0</v>
      </c>
      <c r="N620" t="n">
        <v>0</v>
      </c>
      <c r="O620" t="n">
        <v>0</v>
      </c>
      <c r="P620" t="n">
        <v>0</v>
      </c>
      <c r="Q620" t="n">
        <v>0</v>
      </c>
      <c r="R620" s="2" t="inlineStr"/>
    </row>
    <row r="621" ht="15" customHeight="1">
      <c r="A621" t="inlineStr">
        <is>
          <t>A 51656-2023</t>
        </is>
      </c>
      <c r="B621" s="1" t="n">
        <v>45222</v>
      </c>
      <c r="C621" s="1" t="n">
        <v>45963</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3732-2023</t>
        </is>
      </c>
      <c r="B622" s="1" t="n">
        <v>44949</v>
      </c>
      <c r="C622" s="1" t="n">
        <v>45963</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7119-2025</t>
        </is>
      </c>
      <c r="B623" s="1" t="n">
        <v>45702</v>
      </c>
      <c r="C623" s="1" t="n">
        <v>45963</v>
      </c>
      <c r="D623" t="inlineStr">
        <is>
          <t>ÖREBRO LÄN</t>
        </is>
      </c>
      <c r="E623" t="inlineStr">
        <is>
          <t>LINDESBERG</t>
        </is>
      </c>
      <c r="G623" t="n">
        <v>0.9</v>
      </c>
      <c r="H623" t="n">
        <v>0</v>
      </c>
      <c r="I623" t="n">
        <v>0</v>
      </c>
      <c r="J623" t="n">
        <v>0</v>
      </c>
      <c r="K623" t="n">
        <v>0</v>
      </c>
      <c r="L623" t="n">
        <v>0</v>
      </c>
      <c r="M623" t="n">
        <v>0</v>
      </c>
      <c r="N623" t="n">
        <v>0</v>
      </c>
      <c r="O623" t="n">
        <v>0</v>
      </c>
      <c r="P623" t="n">
        <v>0</v>
      </c>
      <c r="Q623" t="n">
        <v>0</v>
      </c>
      <c r="R623" s="2" t="inlineStr"/>
    </row>
    <row r="624" ht="15" customHeight="1">
      <c r="A624" t="inlineStr">
        <is>
          <t>A 45060-2024</t>
        </is>
      </c>
      <c r="B624" s="1" t="n">
        <v>45575.55570601852</v>
      </c>
      <c r="C624" s="1" t="n">
        <v>45963</v>
      </c>
      <c r="D624" t="inlineStr">
        <is>
          <t>ÖREBRO LÄN</t>
        </is>
      </c>
      <c r="E624" t="inlineStr">
        <is>
          <t>LINDESBERG</t>
        </is>
      </c>
      <c r="F624" t="inlineStr">
        <is>
          <t>Sveaskog</t>
        </is>
      </c>
      <c r="G624" t="n">
        <v>4.6</v>
      </c>
      <c r="H624" t="n">
        <v>0</v>
      </c>
      <c r="I624" t="n">
        <v>0</v>
      </c>
      <c r="J624" t="n">
        <v>0</v>
      </c>
      <c r="K624" t="n">
        <v>0</v>
      </c>
      <c r="L624" t="n">
        <v>0</v>
      </c>
      <c r="M624" t="n">
        <v>0</v>
      </c>
      <c r="N624" t="n">
        <v>0</v>
      </c>
      <c r="O624" t="n">
        <v>0</v>
      </c>
      <c r="P624" t="n">
        <v>0</v>
      </c>
      <c r="Q624" t="n">
        <v>0</v>
      </c>
      <c r="R624" s="2" t="inlineStr"/>
    </row>
    <row r="625" ht="15" customHeight="1">
      <c r="A625" t="inlineStr">
        <is>
          <t>A 38534-2025</t>
        </is>
      </c>
      <c r="B625" s="1" t="n">
        <v>45884</v>
      </c>
      <c r="C625" s="1" t="n">
        <v>45963</v>
      </c>
      <c r="D625" t="inlineStr">
        <is>
          <t>ÖREBRO LÄN</t>
        </is>
      </c>
      <c r="E625" t="inlineStr">
        <is>
          <t>LINDESBERG</t>
        </is>
      </c>
      <c r="G625" t="n">
        <v>4.9</v>
      </c>
      <c r="H625" t="n">
        <v>0</v>
      </c>
      <c r="I625" t="n">
        <v>0</v>
      </c>
      <c r="J625" t="n">
        <v>0</v>
      </c>
      <c r="K625" t="n">
        <v>0</v>
      </c>
      <c r="L625" t="n">
        <v>0</v>
      </c>
      <c r="M625" t="n">
        <v>0</v>
      </c>
      <c r="N625" t="n">
        <v>0</v>
      </c>
      <c r="O625" t="n">
        <v>0</v>
      </c>
      <c r="P625" t="n">
        <v>0</v>
      </c>
      <c r="Q625" t="n">
        <v>0</v>
      </c>
      <c r="R625" s="2" t="inlineStr"/>
    </row>
    <row r="626" ht="15" customHeight="1">
      <c r="A626" t="inlineStr">
        <is>
          <t>A 57069-2022</t>
        </is>
      </c>
      <c r="B626" s="1" t="n">
        <v>44895</v>
      </c>
      <c r="C626" s="1" t="n">
        <v>45963</v>
      </c>
      <c r="D626" t="inlineStr">
        <is>
          <t>ÖREBRO LÄN</t>
        </is>
      </c>
      <c r="E626" t="inlineStr">
        <is>
          <t>LINDESBERG</t>
        </is>
      </c>
      <c r="G626" t="n">
        <v>2.3</v>
      </c>
      <c r="H626" t="n">
        <v>0</v>
      </c>
      <c r="I626" t="n">
        <v>0</v>
      </c>
      <c r="J626" t="n">
        <v>0</v>
      </c>
      <c r="K626" t="n">
        <v>0</v>
      </c>
      <c r="L626" t="n">
        <v>0</v>
      </c>
      <c r="M626" t="n">
        <v>0</v>
      </c>
      <c r="N626" t="n">
        <v>0</v>
      </c>
      <c r="O626" t="n">
        <v>0</v>
      </c>
      <c r="P626" t="n">
        <v>0</v>
      </c>
      <c r="Q626" t="n">
        <v>0</v>
      </c>
      <c r="R626" s="2" t="inlineStr"/>
    </row>
    <row r="627" ht="15" customHeight="1">
      <c r="A627" t="inlineStr">
        <is>
          <t>A 31220-2025</t>
        </is>
      </c>
      <c r="B627" s="1" t="n">
        <v>45832.76100694444</v>
      </c>
      <c r="C627" s="1" t="n">
        <v>45963</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31221-2025</t>
        </is>
      </c>
      <c r="B628" s="1" t="n">
        <v>45832.76491898148</v>
      </c>
      <c r="C628" s="1" t="n">
        <v>45963</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4067-2024</t>
        </is>
      </c>
      <c r="B629" s="1" t="n">
        <v>45323</v>
      </c>
      <c r="C629" s="1" t="n">
        <v>45963</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31000-2025</t>
        </is>
      </c>
      <c r="B630" s="1" t="n">
        <v>45832.49325231482</v>
      </c>
      <c r="C630" s="1" t="n">
        <v>45963</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31018-2025</t>
        </is>
      </c>
      <c r="B631" s="1" t="n">
        <v>45832.51255787037</v>
      </c>
      <c r="C631" s="1" t="n">
        <v>45963</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31049-2025</t>
        </is>
      </c>
      <c r="B632" s="1" t="n">
        <v>45832.55810185185</v>
      </c>
      <c r="C632" s="1" t="n">
        <v>45963</v>
      </c>
      <c r="D632" t="inlineStr">
        <is>
          <t>ÖREBRO LÄN</t>
        </is>
      </c>
      <c r="E632" t="inlineStr">
        <is>
          <t>LINDESBERG</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50972-2023</t>
        </is>
      </c>
      <c r="B633" s="1" t="n">
        <v>45218</v>
      </c>
      <c r="C633" s="1" t="n">
        <v>45963</v>
      </c>
      <c r="D633" t="inlineStr">
        <is>
          <t>ÖREBRO LÄN</t>
        </is>
      </c>
      <c r="E633" t="inlineStr">
        <is>
          <t>LINDESBERG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29500-2023</t>
        </is>
      </c>
      <c r="B634" s="1" t="n">
        <v>45106</v>
      </c>
      <c r="C634" s="1" t="n">
        <v>45963</v>
      </c>
      <c r="D634" t="inlineStr">
        <is>
          <t>ÖREBRO LÄN</t>
        </is>
      </c>
      <c r="E634" t="inlineStr">
        <is>
          <t>LINDESBERG</t>
        </is>
      </c>
      <c r="G634" t="n">
        <v>1.6</v>
      </c>
      <c r="H634" t="n">
        <v>0</v>
      </c>
      <c r="I634" t="n">
        <v>0</v>
      </c>
      <c r="J634" t="n">
        <v>0</v>
      </c>
      <c r="K634" t="n">
        <v>0</v>
      </c>
      <c r="L634" t="n">
        <v>0</v>
      </c>
      <c r="M634" t="n">
        <v>0</v>
      </c>
      <c r="N634" t="n">
        <v>0</v>
      </c>
      <c r="O634" t="n">
        <v>0</v>
      </c>
      <c r="P634" t="n">
        <v>0</v>
      </c>
      <c r="Q634" t="n">
        <v>0</v>
      </c>
      <c r="R634" s="2" t="inlineStr"/>
    </row>
    <row r="635" ht="15" customHeight="1">
      <c r="A635" t="inlineStr">
        <is>
          <t>A 31213-2025</t>
        </is>
      </c>
      <c r="B635" s="1" t="n">
        <v>45832.72778935185</v>
      </c>
      <c r="C635" s="1" t="n">
        <v>45963</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31085-2025</t>
        </is>
      </c>
      <c r="B636" s="1" t="n">
        <v>45832.5902662037</v>
      </c>
      <c r="C636" s="1" t="n">
        <v>45963</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31215-2025</t>
        </is>
      </c>
      <c r="B637" s="1" t="n">
        <v>45832.74418981482</v>
      </c>
      <c r="C637" s="1" t="n">
        <v>45963</v>
      </c>
      <c r="D637" t="inlineStr">
        <is>
          <t>ÖREBRO LÄN</t>
        </is>
      </c>
      <c r="E637" t="inlineStr">
        <is>
          <t>LINDESBERG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10823-2023</t>
        </is>
      </c>
      <c r="B638" s="1" t="n">
        <v>44990</v>
      </c>
      <c r="C638" s="1" t="n">
        <v>45963</v>
      </c>
      <c r="D638" t="inlineStr">
        <is>
          <t>ÖREBRO LÄN</t>
        </is>
      </c>
      <c r="E638" t="inlineStr">
        <is>
          <t>LINDESBERG</t>
        </is>
      </c>
      <c r="G638" t="n">
        <v>1.8</v>
      </c>
      <c r="H638" t="n">
        <v>0</v>
      </c>
      <c r="I638" t="n">
        <v>0</v>
      </c>
      <c r="J638" t="n">
        <v>0</v>
      </c>
      <c r="K638" t="n">
        <v>0</v>
      </c>
      <c r="L638" t="n">
        <v>0</v>
      </c>
      <c r="M638" t="n">
        <v>0</v>
      </c>
      <c r="N638" t="n">
        <v>0</v>
      </c>
      <c r="O638" t="n">
        <v>0</v>
      </c>
      <c r="P638" t="n">
        <v>0</v>
      </c>
      <c r="Q638" t="n">
        <v>0</v>
      </c>
      <c r="R638" s="2" t="inlineStr"/>
    </row>
    <row r="639" ht="15" customHeight="1">
      <c r="A639" t="inlineStr">
        <is>
          <t>A 31003-2025</t>
        </is>
      </c>
      <c r="B639" s="1" t="n">
        <v>45832.49579861111</v>
      </c>
      <c r="C639" s="1" t="n">
        <v>45963</v>
      </c>
      <c r="D639" t="inlineStr">
        <is>
          <t>ÖREBRO LÄN</t>
        </is>
      </c>
      <c r="E639" t="inlineStr">
        <is>
          <t>LINDESBERG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31014-2025</t>
        </is>
      </c>
      <c r="B640" s="1" t="n">
        <v>45832.51028935185</v>
      </c>
      <c r="C640" s="1" t="n">
        <v>45963</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45963</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8902-2024</t>
        </is>
      </c>
      <c r="B642" s="1" t="n">
        <v>45357.34521990741</v>
      </c>
      <c r="C642" s="1" t="n">
        <v>45963</v>
      </c>
      <c r="D642" t="inlineStr">
        <is>
          <t>ÖREBRO LÄN</t>
        </is>
      </c>
      <c r="E642" t="inlineStr">
        <is>
          <t>LINDESBERG</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17995-2021</t>
        </is>
      </c>
      <c r="B643" s="1" t="n">
        <v>44301</v>
      </c>
      <c r="C643" s="1" t="n">
        <v>45963</v>
      </c>
      <c r="D643" t="inlineStr">
        <is>
          <t>ÖREBRO LÄN</t>
        </is>
      </c>
      <c r="E643" t="inlineStr">
        <is>
          <t>LINDESBERG</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48244-2024</t>
        </is>
      </c>
      <c r="B644" s="1" t="n">
        <v>45590.39471064815</v>
      </c>
      <c r="C644" s="1" t="n">
        <v>45963</v>
      </c>
      <c r="D644" t="inlineStr">
        <is>
          <t>ÖREBRO LÄN</t>
        </is>
      </c>
      <c r="E644" t="inlineStr">
        <is>
          <t>LINDESBERG</t>
        </is>
      </c>
      <c r="G644" t="n">
        <v>1.1</v>
      </c>
      <c r="H644" t="n">
        <v>0</v>
      </c>
      <c r="I644" t="n">
        <v>0</v>
      </c>
      <c r="J644" t="n">
        <v>0</v>
      </c>
      <c r="K644" t="n">
        <v>0</v>
      </c>
      <c r="L644" t="n">
        <v>0</v>
      </c>
      <c r="M644" t="n">
        <v>0</v>
      </c>
      <c r="N644" t="n">
        <v>0</v>
      </c>
      <c r="O644" t="n">
        <v>0</v>
      </c>
      <c r="P644" t="n">
        <v>0</v>
      </c>
      <c r="Q644" t="n">
        <v>0</v>
      </c>
      <c r="R644" s="2" t="inlineStr"/>
    </row>
    <row r="645" ht="15" customHeight="1">
      <c r="A645" t="inlineStr">
        <is>
          <t>A 32284-2025</t>
        </is>
      </c>
      <c r="B645" s="1" t="n">
        <v>45835.68443287037</v>
      </c>
      <c r="C645" s="1" t="n">
        <v>45963</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40305-2024</t>
        </is>
      </c>
      <c r="B646" s="1" t="n">
        <v>45554.71863425926</v>
      </c>
      <c r="C646" s="1" t="n">
        <v>45963</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20210-2024</t>
        </is>
      </c>
      <c r="B647" s="1" t="n">
        <v>45434.65854166666</v>
      </c>
      <c r="C647" s="1" t="n">
        <v>45963</v>
      </c>
      <c r="D647" t="inlineStr">
        <is>
          <t>ÖREBRO LÄN</t>
        </is>
      </c>
      <c r="E647" t="inlineStr">
        <is>
          <t>LINDESBERG</t>
        </is>
      </c>
      <c r="G647" t="n">
        <v>5.5</v>
      </c>
      <c r="H647" t="n">
        <v>0</v>
      </c>
      <c r="I647" t="n">
        <v>0</v>
      </c>
      <c r="J647" t="n">
        <v>0</v>
      </c>
      <c r="K647" t="n">
        <v>0</v>
      </c>
      <c r="L647" t="n">
        <v>0</v>
      </c>
      <c r="M647" t="n">
        <v>0</v>
      </c>
      <c r="N647" t="n">
        <v>0</v>
      </c>
      <c r="O647" t="n">
        <v>0</v>
      </c>
      <c r="P647" t="n">
        <v>0</v>
      </c>
      <c r="Q647" t="n">
        <v>0</v>
      </c>
      <c r="R647" s="2" t="inlineStr"/>
    </row>
    <row r="648" ht="15" customHeight="1">
      <c r="A648" t="inlineStr">
        <is>
          <t>A 19436-2025</t>
        </is>
      </c>
      <c r="B648" s="1" t="n">
        <v>45769.98449074074</v>
      </c>
      <c r="C648" s="1" t="n">
        <v>45963</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22829-2023</t>
        </is>
      </c>
      <c r="B649" s="1" t="n">
        <v>45072.42776620371</v>
      </c>
      <c r="C649" s="1" t="n">
        <v>45963</v>
      </c>
      <c r="D649" t="inlineStr">
        <is>
          <t>ÖREBRO LÄN</t>
        </is>
      </c>
      <c r="E649" t="inlineStr">
        <is>
          <t>LINDESBERG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28463-2024</t>
        </is>
      </c>
      <c r="B650" s="1" t="n">
        <v>45477.70315972222</v>
      </c>
      <c r="C650" s="1" t="n">
        <v>45963</v>
      </c>
      <c r="D650" t="inlineStr">
        <is>
          <t>ÖREBRO LÄN</t>
        </is>
      </c>
      <c r="E650" t="inlineStr">
        <is>
          <t>LINDESBERG</t>
        </is>
      </c>
      <c r="G650" t="n">
        <v>6.3</v>
      </c>
      <c r="H650" t="n">
        <v>0</v>
      </c>
      <c r="I650" t="n">
        <v>0</v>
      </c>
      <c r="J650" t="n">
        <v>0</v>
      </c>
      <c r="K650" t="n">
        <v>0</v>
      </c>
      <c r="L650" t="n">
        <v>0</v>
      </c>
      <c r="M650" t="n">
        <v>0</v>
      </c>
      <c r="N650" t="n">
        <v>0</v>
      </c>
      <c r="O650" t="n">
        <v>0</v>
      </c>
      <c r="P650" t="n">
        <v>0</v>
      </c>
      <c r="Q650" t="n">
        <v>0</v>
      </c>
      <c r="R650" s="2" t="inlineStr"/>
    </row>
    <row r="651" ht="15" customHeight="1">
      <c r="A651" t="inlineStr">
        <is>
          <t>A 24352-2023</t>
        </is>
      </c>
      <c r="B651" s="1" t="n">
        <v>45082.31421296296</v>
      </c>
      <c r="C651" s="1" t="n">
        <v>45963</v>
      </c>
      <c r="D651" t="inlineStr">
        <is>
          <t>ÖREBRO LÄN</t>
        </is>
      </c>
      <c r="E651" t="inlineStr">
        <is>
          <t>LINDESBERG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15822-2024</t>
        </is>
      </c>
      <c r="B652" s="1" t="n">
        <v>45404.68190972223</v>
      </c>
      <c r="C652" s="1" t="n">
        <v>45963</v>
      </c>
      <c r="D652" t="inlineStr">
        <is>
          <t>ÖREBRO LÄN</t>
        </is>
      </c>
      <c r="E652" t="inlineStr">
        <is>
          <t>LINDESBERG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59052-2023</t>
        </is>
      </c>
      <c r="B653" s="1" t="n">
        <v>45252.78021990741</v>
      </c>
      <c r="C653" s="1" t="n">
        <v>45963</v>
      </c>
      <c r="D653" t="inlineStr">
        <is>
          <t>ÖREBRO LÄN</t>
        </is>
      </c>
      <c r="E653" t="inlineStr">
        <is>
          <t>LINDESBERG</t>
        </is>
      </c>
      <c r="G653" t="n">
        <v>4.2</v>
      </c>
      <c r="H653" t="n">
        <v>0</v>
      </c>
      <c r="I653" t="n">
        <v>0</v>
      </c>
      <c r="J653" t="n">
        <v>0</v>
      </c>
      <c r="K653" t="n">
        <v>0</v>
      </c>
      <c r="L653" t="n">
        <v>0</v>
      </c>
      <c r="M653" t="n">
        <v>0</v>
      </c>
      <c r="N653" t="n">
        <v>0</v>
      </c>
      <c r="O653" t="n">
        <v>0</v>
      </c>
      <c r="P653" t="n">
        <v>0</v>
      </c>
      <c r="Q653" t="n">
        <v>0</v>
      </c>
      <c r="R653" s="2" t="inlineStr"/>
    </row>
    <row r="654" ht="15" customHeight="1">
      <c r="A654" t="inlineStr">
        <is>
          <t>A 2107-2022</t>
        </is>
      </c>
      <c r="B654" s="1" t="n">
        <v>44577.83484953704</v>
      </c>
      <c r="C654" s="1" t="n">
        <v>45963</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23603-2023</t>
        </is>
      </c>
      <c r="B655" s="1" t="n">
        <v>45077</v>
      </c>
      <c r="C655" s="1" t="n">
        <v>45963</v>
      </c>
      <c r="D655" t="inlineStr">
        <is>
          <t>ÖREBRO LÄN</t>
        </is>
      </c>
      <c r="E655" t="inlineStr">
        <is>
          <t>LINDESBERG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23607-2023</t>
        </is>
      </c>
      <c r="B656" s="1" t="n">
        <v>45077</v>
      </c>
      <c r="C656" s="1" t="n">
        <v>45963</v>
      </c>
      <c r="D656" t="inlineStr">
        <is>
          <t>ÖREBRO LÄN</t>
        </is>
      </c>
      <c r="E656" t="inlineStr">
        <is>
          <t>LINDESBERG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23612-2023</t>
        </is>
      </c>
      <c r="B657" s="1" t="n">
        <v>45077</v>
      </c>
      <c r="C657" s="1" t="n">
        <v>45963</v>
      </c>
      <c r="D657" t="inlineStr">
        <is>
          <t>ÖREBRO LÄN</t>
        </is>
      </c>
      <c r="E657" t="inlineStr">
        <is>
          <t>LINDESBERG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32504-2025</t>
        </is>
      </c>
      <c r="B658" s="1" t="n">
        <v>45838.46456018519</v>
      </c>
      <c r="C658" s="1" t="n">
        <v>45963</v>
      </c>
      <c r="D658" t="inlineStr">
        <is>
          <t>ÖREBRO LÄN</t>
        </is>
      </c>
      <c r="E658" t="inlineStr">
        <is>
          <t>LINDESBERG</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32502-2025</t>
        </is>
      </c>
      <c r="B659" s="1" t="n">
        <v>45838.46408564815</v>
      </c>
      <c r="C659" s="1" t="n">
        <v>45963</v>
      </c>
      <c r="D659" t="inlineStr">
        <is>
          <t>ÖREBRO LÄN</t>
        </is>
      </c>
      <c r="E659" t="inlineStr">
        <is>
          <t>LINDESBERG</t>
        </is>
      </c>
      <c r="F659" t="inlineStr">
        <is>
          <t>Sveaskog</t>
        </is>
      </c>
      <c r="G659" t="n">
        <v>17.7</v>
      </c>
      <c r="H659" t="n">
        <v>0</v>
      </c>
      <c r="I659" t="n">
        <v>0</v>
      </c>
      <c r="J659" t="n">
        <v>0</v>
      </c>
      <c r="K659" t="n">
        <v>0</v>
      </c>
      <c r="L659" t="n">
        <v>0</v>
      </c>
      <c r="M659" t="n">
        <v>0</v>
      </c>
      <c r="N659" t="n">
        <v>0</v>
      </c>
      <c r="O659" t="n">
        <v>0</v>
      </c>
      <c r="P659" t="n">
        <v>0</v>
      </c>
      <c r="Q659" t="n">
        <v>0</v>
      </c>
      <c r="R659" s="2" t="inlineStr"/>
    </row>
    <row r="660" ht="15" customHeight="1">
      <c r="A660" t="inlineStr">
        <is>
          <t>A 32727-2024</t>
        </is>
      </c>
      <c r="B660" s="1" t="n">
        <v>45516.4221412037</v>
      </c>
      <c r="C660" s="1" t="n">
        <v>45963</v>
      </c>
      <c r="D660" t="inlineStr">
        <is>
          <t>ÖREBRO LÄN</t>
        </is>
      </c>
      <c r="E660" t="inlineStr">
        <is>
          <t>LINDESBERG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22824-2023</t>
        </is>
      </c>
      <c r="B661" s="1" t="n">
        <v>45072</v>
      </c>
      <c r="C661" s="1" t="n">
        <v>45963</v>
      </c>
      <c r="D661" t="inlineStr">
        <is>
          <t>ÖREBRO LÄN</t>
        </is>
      </c>
      <c r="E661" t="inlineStr">
        <is>
          <t>LINDESBERG</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33046-2025</t>
        </is>
      </c>
      <c r="B662" s="1" t="n">
        <v>45840</v>
      </c>
      <c r="C662" s="1" t="n">
        <v>45963</v>
      </c>
      <c r="D662" t="inlineStr">
        <is>
          <t>ÖREBRO LÄN</t>
        </is>
      </c>
      <c r="E662" t="inlineStr">
        <is>
          <t>LINDESBERG</t>
        </is>
      </c>
      <c r="G662" t="n">
        <v>6.1</v>
      </c>
      <c r="H662" t="n">
        <v>0</v>
      </c>
      <c r="I662" t="n">
        <v>0</v>
      </c>
      <c r="J662" t="n">
        <v>0</v>
      </c>
      <c r="K662" t="n">
        <v>0</v>
      </c>
      <c r="L662" t="n">
        <v>0</v>
      </c>
      <c r="M662" t="n">
        <v>0</v>
      </c>
      <c r="N662" t="n">
        <v>0</v>
      </c>
      <c r="O662" t="n">
        <v>0</v>
      </c>
      <c r="P662" t="n">
        <v>0</v>
      </c>
      <c r="Q662" t="n">
        <v>0</v>
      </c>
      <c r="R662" s="2" t="inlineStr"/>
    </row>
    <row r="663" ht="15" customHeight="1">
      <c r="A663" t="inlineStr">
        <is>
          <t>A 36509-2024</t>
        </is>
      </c>
      <c r="B663" s="1" t="n">
        <v>45537.42240740741</v>
      </c>
      <c r="C663" s="1" t="n">
        <v>45963</v>
      </c>
      <c r="D663" t="inlineStr">
        <is>
          <t>ÖREBRO LÄN</t>
        </is>
      </c>
      <c r="E663" t="inlineStr">
        <is>
          <t>LINDESBERG</t>
        </is>
      </c>
      <c r="G663" t="n">
        <v>1.5</v>
      </c>
      <c r="H663" t="n">
        <v>0</v>
      </c>
      <c r="I663" t="n">
        <v>0</v>
      </c>
      <c r="J663" t="n">
        <v>0</v>
      </c>
      <c r="K663" t="n">
        <v>0</v>
      </c>
      <c r="L663" t="n">
        <v>0</v>
      </c>
      <c r="M663" t="n">
        <v>0</v>
      </c>
      <c r="N663" t="n">
        <v>0</v>
      </c>
      <c r="O663" t="n">
        <v>0</v>
      </c>
      <c r="P663" t="n">
        <v>0</v>
      </c>
      <c r="Q663" t="n">
        <v>0</v>
      </c>
      <c r="R663" s="2" t="inlineStr"/>
    </row>
    <row r="664" ht="15" customHeight="1">
      <c r="A664" t="inlineStr">
        <is>
          <t>A 23641-2024</t>
        </is>
      </c>
      <c r="B664" s="1" t="n">
        <v>45454.49679398148</v>
      </c>
      <c r="C664" s="1" t="n">
        <v>45963</v>
      </c>
      <c r="D664" t="inlineStr">
        <is>
          <t>ÖREBRO LÄN</t>
        </is>
      </c>
      <c r="E664" t="inlineStr">
        <is>
          <t>LINDESBERG</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46219-2022</t>
        </is>
      </c>
      <c r="B665" s="1" t="n">
        <v>44846</v>
      </c>
      <c r="C665" s="1" t="n">
        <v>45963</v>
      </c>
      <c r="D665" t="inlineStr">
        <is>
          <t>ÖREBRO LÄN</t>
        </is>
      </c>
      <c r="E665" t="inlineStr">
        <is>
          <t>LINDESBERG</t>
        </is>
      </c>
      <c r="G665" t="n">
        <v>6</v>
      </c>
      <c r="H665" t="n">
        <v>0</v>
      </c>
      <c r="I665" t="n">
        <v>0</v>
      </c>
      <c r="J665" t="n">
        <v>0</v>
      </c>
      <c r="K665" t="n">
        <v>0</v>
      </c>
      <c r="L665" t="n">
        <v>0</v>
      </c>
      <c r="M665" t="n">
        <v>0</v>
      </c>
      <c r="N665" t="n">
        <v>0</v>
      </c>
      <c r="O665" t="n">
        <v>0</v>
      </c>
      <c r="P665" t="n">
        <v>0</v>
      </c>
      <c r="Q665" t="n">
        <v>0</v>
      </c>
      <c r="R665" s="2" t="inlineStr"/>
    </row>
    <row r="666" ht="15" customHeight="1">
      <c r="A666" t="inlineStr">
        <is>
          <t>A 33428-2024</t>
        </is>
      </c>
      <c r="B666" s="1" t="n">
        <v>45519.52319444445</v>
      </c>
      <c r="C666" s="1" t="n">
        <v>45963</v>
      </c>
      <c r="D666" t="inlineStr">
        <is>
          <t>ÖREBRO LÄN</t>
        </is>
      </c>
      <c r="E666" t="inlineStr">
        <is>
          <t>LINDESBERG</t>
        </is>
      </c>
      <c r="F666" t="inlineStr">
        <is>
          <t>Sveaskog</t>
        </is>
      </c>
      <c r="G666" t="n">
        <v>0.2</v>
      </c>
      <c r="H666" t="n">
        <v>0</v>
      </c>
      <c r="I666" t="n">
        <v>0</v>
      </c>
      <c r="J666" t="n">
        <v>0</v>
      </c>
      <c r="K666" t="n">
        <v>0</v>
      </c>
      <c r="L666" t="n">
        <v>0</v>
      </c>
      <c r="M666" t="n">
        <v>0</v>
      </c>
      <c r="N666" t="n">
        <v>0</v>
      </c>
      <c r="O666" t="n">
        <v>0</v>
      </c>
      <c r="P666" t="n">
        <v>0</v>
      </c>
      <c r="Q666" t="n">
        <v>0</v>
      </c>
      <c r="R666" s="2" t="inlineStr"/>
    </row>
    <row r="667" ht="15" customHeight="1">
      <c r="A667" t="inlineStr">
        <is>
          <t>A 10057-2025</t>
        </is>
      </c>
      <c r="B667" s="1" t="n">
        <v>45719.52871527777</v>
      </c>
      <c r="C667" s="1" t="n">
        <v>45963</v>
      </c>
      <c r="D667" t="inlineStr">
        <is>
          <t>ÖREBRO LÄN</t>
        </is>
      </c>
      <c r="E667" t="inlineStr">
        <is>
          <t>LINDESBERG</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17104-2024</t>
        </is>
      </c>
      <c r="B668" s="1" t="n">
        <v>45412.54541666667</v>
      </c>
      <c r="C668" s="1" t="n">
        <v>45963</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34004-2025</t>
        </is>
      </c>
      <c r="B669" s="1" t="n">
        <v>45844.5775</v>
      </c>
      <c r="C669" s="1" t="n">
        <v>45963</v>
      </c>
      <c r="D669" t="inlineStr">
        <is>
          <t>ÖREBRO LÄN</t>
        </is>
      </c>
      <c r="E669" t="inlineStr">
        <is>
          <t>LINDESBERG</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13350-2024</t>
        </is>
      </c>
      <c r="B670" s="1" t="n">
        <v>45387.24732638889</v>
      </c>
      <c r="C670" s="1" t="n">
        <v>45963</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13351-2024</t>
        </is>
      </c>
      <c r="B671" s="1" t="n">
        <v>45387.2521875</v>
      </c>
      <c r="C671" s="1" t="n">
        <v>45963</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34104-2025</t>
        </is>
      </c>
      <c r="B672" s="1" t="n">
        <v>45845.49216435185</v>
      </c>
      <c r="C672" s="1" t="n">
        <v>45963</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40303-2024</t>
        </is>
      </c>
      <c r="B673" s="1" t="n">
        <v>45554.7158912037</v>
      </c>
      <c r="C673" s="1" t="n">
        <v>45963</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54862-2024</t>
        </is>
      </c>
      <c r="B674" s="1" t="n">
        <v>45618</v>
      </c>
      <c r="C674" s="1" t="n">
        <v>45963</v>
      </c>
      <c r="D674" t="inlineStr">
        <is>
          <t>ÖREBRO LÄN</t>
        </is>
      </c>
      <c r="E674" t="inlineStr">
        <is>
          <t>LINDESBERG</t>
        </is>
      </c>
      <c r="F674" t="inlineStr">
        <is>
          <t>Sveaskog</t>
        </is>
      </c>
      <c r="G674" t="n">
        <v>12.2</v>
      </c>
      <c r="H674" t="n">
        <v>0</v>
      </c>
      <c r="I674" t="n">
        <v>0</v>
      </c>
      <c r="J674" t="n">
        <v>0</v>
      </c>
      <c r="K674" t="n">
        <v>0</v>
      </c>
      <c r="L674" t="n">
        <v>0</v>
      </c>
      <c r="M674" t="n">
        <v>0</v>
      </c>
      <c r="N674" t="n">
        <v>0</v>
      </c>
      <c r="O674" t="n">
        <v>0</v>
      </c>
      <c r="P674" t="n">
        <v>0</v>
      </c>
      <c r="Q674" t="n">
        <v>0</v>
      </c>
      <c r="R674" s="2" t="inlineStr"/>
    </row>
    <row r="675" ht="15" customHeight="1">
      <c r="A675" t="inlineStr">
        <is>
          <t>A 5358-2022</t>
        </is>
      </c>
      <c r="B675" s="1" t="n">
        <v>44594.84091435185</v>
      </c>
      <c r="C675" s="1" t="n">
        <v>45963</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33574-2024</t>
        </is>
      </c>
      <c r="B676" s="1" t="n">
        <v>45520.32887731482</v>
      </c>
      <c r="C676" s="1" t="n">
        <v>45963</v>
      </c>
      <c r="D676" t="inlineStr">
        <is>
          <t>ÖREBRO LÄN</t>
        </is>
      </c>
      <c r="E676" t="inlineStr">
        <is>
          <t>LINDESBERG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60943-2024</t>
        </is>
      </c>
      <c r="B677" s="1" t="n">
        <v>45645.3737962963</v>
      </c>
      <c r="C677" s="1" t="n">
        <v>45963</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34838-2023</t>
        </is>
      </c>
      <c r="B678" s="1" t="n">
        <v>45141.76530092592</v>
      </c>
      <c r="C678" s="1" t="n">
        <v>45963</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15324-2024</t>
        </is>
      </c>
      <c r="B679" s="1" t="n">
        <v>45400.66995370371</v>
      </c>
      <c r="C679" s="1" t="n">
        <v>45963</v>
      </c>
      <c r="D679" t="inlineStr">
        <is>
          <t>ÖREBRO LÄN</t>
        </is>
      </c>
      <c r="E679" t="inlineStr">
        <is>
          <t>LINDESBERG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36170-2021</t>
        </is>
      </c>
      <c r="B680" s="1" t="n">
        <v>44389</v>
      </c>
      <c r="C680" s="1" t="n">
        <v>45963</v>
      </c>
      <c r="D680" t="inlineStr">
        <is>
          <t>ÖREBRO LÄN</t>
        </is>
      </c>
      <c r="E680" t="inlineStr">
        <is>
          <t>LINDESBERG</t>
        </is>
      </c>
      <c r="G680" t="n">
        <v>0.4</v>
      </c>
      <c r="H680" t="n">
        <v>0</v>
      </c>
      <c r="I680" t="n">
        <v>0</v>
      </c>
      <c r="J680" t="n">
        <v>0</v>
      </c>
      <c r="K680" t="n">
        <v>0</v>
      </c>
      <c r="L680" t="n">
        <v>0</v>
      </c>
      <c r="M680" t="n">
        <v>0</v>
      </c>
      <c r="N680" t="n">
        <v>0</v>
      </c>
      <c r="O680" t="n">
        <v>0</v>
      </c>
      <c r="P680" t="n">
        <v>0</v>
      </c>
      <c r="Q680" t="n">
        <v>0</v>
      </c>
      <c r="R680" s="2" t="inlineStr"/>
    </row>
    <row r="681" ht="15" customHeight="1">
      <c r="A681" t="inlineStr">
        <is>
          <t>A 34002-2025</t>
        </is>
      </c>
      <c r="B681" s="1" t="n">
        <v>45844.57328703703</v>
      </c>
      <c r="C681" s="1" t="n">
        <v>45963</v>
      </c>
      <c r="D681" t="inlineStr">
        <is>
          <t>ÖREBRO LÄN</t>
        </is>
      </c>
      <c r="E681" t="inlineStr">
        <is>
          <t>LINDESBERG</t>
        </is>
      </c>
      <c r="F681" t="inlineStr">
        <is>
          <t>Sveaskog</t>
        </is>
      </c>
      <c r="G681" t="n">
        <v>4.6</v>
      </c>
      <c r="H681" t="n">
        <v>0</v>
      </c>
      <c r="I681" t="n">
        <v>0</v>
      </c>
      <c r="J681" t="n">
        <v>0</v>
      </c>
      <c r="K681" t="n">
        <v>0</v>
      </c>
      <c r="L681" t="n">
        <v>0</v>
      </c>
      <c r="M681" t="n">
        <v>0</v>
      </c>
      <c r="N681" t="n">
        <v>0</v>
      </c>
      <c r="O681" t="n">
        <v>0</v>
      </c>
      <c r="P681" t="n">
        <v>0</v>
      </c>
      <c r="Q681" t="n">
        <v>0</v>
      </c>
      <c r="R681" s="2" t="inlineStr"/>
    </row>
    <row r="682" ht="15" customHeight="1">
      <c r="A682" t="inlineStr">
        <is>
          <t>A 34003-2025</t>
        </is>
      </c>
      <c r="B682" s="1" t="n">
        <v>45844.57527777777</v>
      </c>
      <c r="C682" s="1" t="n">
        <v>45963</v>
      </c>
      <c r="D682" t="inlineStr">
        <is>
          <t>ÖREBRO LÄN</t>
        </is>
      </c>
      <c r="E682" t="inlineStr">
        <is>
          <t>LINDESBERG</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34097-2025</t>
        </is>
      </c>
      <c r="B683" s="1" t="n">
        <v>45845.4855787037</v>
      </c>
      <c r="C683" s="1" t="n">
        <v>45963</v>
      </c>
      <c r="D683" t="inlineStr">
        <is>
          <t>ÖREBRO LÄN</t>
        </is>
      </c>
      <c r="E683" t="inlineStr">
        <is>
          <t>LINDESBERG</t>
        </is>
      </c>
      <c r="G683" t="n">
        <v>1.2</v>
      </c>
      <c r="H683" t="n">
        <v>0</v>
      </c>
      <c r="I683" t="n">
        <v>0</v>
      </c>
      <c r="J683" t="n">
        <v>0</v>
      </c>
      <c r="K683" t="n">
        <v>0</v>
      </c>
      <c r="L683" t="n">
        <v>0</v>
      </c>
      <c r="M683" t="n">
        <v>0</v>
      </c>
      <c r="N683" t="n">
        <v>0</v>
      </c>
      <c r="O683" t="n">
        <v>0</v>
      </c>
      <c r="P683" t="n">
        <v>0</v>
      </c>
      <c r="Q683" t="n">
        <v>0</v>
      </c>
      <c r="R683" s="2" t="inlineStr"/>
    </row>
    <row r="684" ht="15" customHeight="1">
      <c r="A684" t="inlineStr">
        <is>
          <t>A 41948-2023</t>
        </is>
      </c>
      <c r="B684" s="1" t="n">
        <v>45177.33091435185</v>
      </c>
      <c r="C684" s="1" t="n">
        <v>45963</v>
      </c>
      <c r="D684" t="inlineStr">
        <is>
          <t>ÖREBRO LÄN</t>
        </is>
      </c>
      <c r="E684" t="inlineStr">
        <is>
          <t>LINDESBERG</t>
        </is>
      </c>
      <c r="F684" t="inlineStr">
        <is>
          <t>Kyrkan</t>
        </is>
      </c>
      <c r="G684" t="n">
        <v>1.4</v>
      </c>
      <c r="H684" t="n">
        <v>0</v>
      </c>
      <c r="I684" t="n">
        <v>0</v>
      </c>
      <c r="J684" t="n">
        <v>0</v>
      </c>
      <c r="K684" t="n">
        <v>0</v>
      </c>
      <c r="L684" t="n">
        <v>0</v>
      </c>
      <c r="M684" t="n">
        <v>0</v>
      </c>
      <c r="N684" t="n">
        <v>0</v>
      </c>
      <c r="O684" t="n">
        <v>0</v>
      </c>
      <c r="P684" t="n">
        <v>0</v>
      </c>
      <c r="Q684" t="n">
        <v>0</v>
      </c>
      <c r="R684" s="2" t="inlineStr"/>
    </row>
    <row r="685" ht="15" customHeight="1">
      <c r="A685" t="inlineStr">
        <is>
          <t>A 44804-2024</t>
        </is>
      </c>
      <c r="B685" s="1" t="n">
        <v>45574.65189814815</v>
      </c>
      <c r="C685" s="1" t="n">
        <v>45963</v>
      </c>
      <c r="D685" t="inlineStr">
        <is>
          <t>ÖREBRO LÄN</t>
        </is>
      </c>
      <c r="E685" t="inlineStr">
        <is>
          <t>LINDESBERG</t>
        </is>
      </c>
      <c r="F685" t="inlineStr">
        <is>
          <t>Sveaskog</t>
        </is>
      </c>
      <c r="G685" t="n">
        <v>5.7</v>
      </c>
      <c r="H685" t="n">
        <v>0</v>
      </c>
      <c r="I685" t="n">
        <v>0</v>
      </c>
      <c r="J685" t="n">
        <v>0</v>
      </c>
      <c r="K685" t="n">
        <v>0</v>
      </c>
      <c r="L685" t="n">
        <v>0</v>
      </c>
      <c r="M685" t="n">
        <v>0</v>
      </c>
      <c r="N685" t="n">
        <v>0</v>
      </c>
      <c r="O685" t="n">
        <v>0</v>
      </c>
      <c r="P685" t="n">
        <v>0</v>
      </c>
      <c r="Q685" t="n">
        <v>0</v>
      </c>
      <c r="R685" s="2" t="inlineStr"/>
    </row>
    <row r="686" ht="15" customHeight="1">
      <c r="A686" t="inlineStr">
        <is>
          <t>A 7180-2023</t>
        </is>
      </c>
      <c r="B686" s="1" t="n">
        <v>44970.51849537037</v>
      </c>
      <c r="C686" s="1" t="n">
        <v>45963</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46675-2023</t>
        </is>
      </c>
      <c r="B687" s="1" t="n">
        <v>45194</v>
      </c>
      <c r="C687" s="1" t="n">
        <v>45963</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34267-2025</t>
        </is>
      </c>
      <c r="B688" s="1" t="n">
        <v>45845.76005787037</v>
      </c>
      <c r="C688" s="1" t="n">
        <v>45963</v>
      </c>
      <c r="D688" t="inlineStr">
        <is>
          <t>ÖREBRO LÄN</t>
        </is>
      </c>
      <c r="E688" t="inlineStr">
        <is>
          <t>LINDESBERG</t>
        </is>
      </c>
      <c r="G688" t="n">
        <v>4.6</v>
      </c>
      <c r="H688" t="n">
        <v>0</v>
      </c>
      <c r="I688" t="n">
        <v>0</v>
      </c>
      <c r="J688" t="n">
        <v>0</v>
      </c>
      <c r="K688" t="n">
        <v>0</v>
      </c>
      <c r="L688" t="n">
        <v>0</v>
      </c>
      <c r="M688" t="n">
        <v>0</v>
      </c>
      <c r="N688" t="n">
        <v>0</v>
      </c>
      <c r="O688" t="n">
        <v>0</v>
      </c>
      <c r="P688" t="n">
        <v>0</v>
      </c>
      <c r="Q688" t="n">
        <v>0</v>
      </c>
      <c r="R688" s="2" t="inlineStr"/>
    </row>
    <row r="689" ht="15" customHeight="1">
      <c r="A689" t="inlineStr">
        <is>
          <t>A 26778-2023</t>
        </is>
      </c>
      <c r="B689" s="1" t="n">
        <v>45093.48221064815</v>
      </c>
      <c r="C689" s="1" t="n">
        <v>45963</v>
      </c>
      <c r="D689" t="inlineStr">
        <is>
          <t>ÖREBRO LÄN</t>
        </is>
      </c>
      <c r="E689" t="inlineStr">
        <is>
          <t>LINDESBERG</t>
        </is>
      </c>
      <c r="G689" t="n">
        <v>7.5</v>
      </c>
      <c r="H689" t="n">
        <v>0</v>
      </c>
      <c r="I689" t="n">
        <v>0</v>
      </c>
      <c r="J689" t="n">
        <v>0</v>
      </c>
      <c r="K689" t="n">
        <v>0</v>
      </c>
      <c r="L689" t="n">
        <v>0</v>
      </c>
      <c r="M689" t="n">
        <v>0</v>
      </c>
      <c r="N689" t="n">
        <v>0</v>
      </c>
      <c r="O689" t="n">
        <v>0</v>
      </c>
      <c r="P689" t="n">
        <v>0</v>
      </c>
      <c r="Q689" t="n">
        <v>0</v>
      </c>
      <c r="R689" s="2" t="inlineStr"/>
    </row>
    <row r="690" ht="15" customHeight="1">
      <c r="A690" t="inlineStr">
        <is>
          <t>A 50964-2023</t>
        </is>
      </c>
      <c r="B690" s="1" t="n">
        <v>45218.488125</v>
      </c>
      <c r="C690" s="1" t="n">
        <v>45963</v>
      </c>
      <c r="D690" t="inlineStr">
        <is>
          <t>ÖREBRO LÄN</t>
        </is>
      </c>
      <c r="E690" t="inlineStr">
        <is>
          <t>LINDESBERG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34264-2025</t>
        </is>
      </c>
      <c r="B691" s="1" t="n">
        <v>45845.75200231482</v>
      </c>
      <c r="C691" s="1" t="n">
        <v>45963</v>
      </c>
      <c r="D691" t="inlineStr">
        <is>
          <t>ÖREBRO LÄN</t>
        </is>
      </c>
      <c r="E691" t="inlineStr">
        <is>
          <t>LINDESBERG</t>
        </is>
      </c>
      <c r="G691" t="n">
        <v>3.9</v>
      </c>
      <c r="H691" t="n">
        <v>0</v>
      </c>
      <c r="I691" t="n">
        <v>0</v>
      </c>
      <c r="J691" t="n">
        <v>0</v>
      </c>
      <c r="K691" t="n">
        <v>0</v>
      </c>
      <c r="L691" t="n">
        <v>0</v>
      </c>
      <c r="M691" t="n">
        <v>0</v>
      </c>
      <c r="N691" t="n">
        <v>0</v>
      </c>
      <c r="O691" t="n">
        <v>0</v>
      </c>
      <c r="P691" t="n">
        <v>0</v>
      </c>
      <c r="Q691" t="n">
        <v>0</v>
      </c>
      <c r="R691" s="2" t="inlineStr"/>
    </row>
    <row r="692" ht="15" customHeight="1">
      <c r="A692" t="inlineStr">
        <is>
          <t>A 50619-2022</t>
        </is>
      </c>
      <c r="B692" s="1" t="n">
        <v>44866.79668981482</v>
      </c>
      <c r="C692" s="1" t="n">
        <v>45963</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66214-2020</t>
        </is>
      </c>
      <c r="B693" s="1" t="n">
        <v>44175</v>
      </c>
      <c r="C693" s="1" t="n">
        <v>45963</v>
      </c>
      <c r="D693" t="inlineStr">
        <is>
          <t>ÖREBRO LÄN</t>
        </is>
      </c>
      <c r="E693" t="inlineStr">
        <is>
          <t>LINDESBERG</t>
        </is>
      </c>
      <c r="G693" t="n">
        <v>3.7</v>
      </c>
      <c r="H693" t="n">
        <v>0</v>
      </c>
      <c r="I693" t="n">
        <v>0</v>
      </c>
      <c r="J693" t="n">
        <v>0</v>
      </c>
      <c r="K693" t="n">
        <v>0</v>
      </c>
      <c r="L693" t="n">
        <v>0</v>
      </c>
      <c r="M693" t="n">
        <v>0</v>
      </c>
      <c r="N693" t="n">
        <v>0</v>
      </c>
      <c r="O693" t="n">
        <v>0</v>
      </c>
      <c r="P693" t="n">
        <v>0</v>
      </c>
      <c r="Q693" t="n">
        <v>0</v>
      </c>
      <c r="R693" s="2" t="inlineStr"/>
    </row>
    <row r="694" ht="15" customHeight="1">
      <c r="A694" t="inlineStr">
        <is>
          <t>A 36893-2024</t>
        </is>
      </c>
      <c r="B694" s="1" t="n">
        <v>45538</v>
      </c>
      <c r="C694" s="1" t="n">
        <v>45963</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19392-2025</t>
        </is>
      </c>
      <c r="B695" s="1" t="n">
        <v>45769.66260416667</v>
      </c>
      <c r="C695" s="1" t="n">
        <v>45963</v>
      </c>
      <c r="D695" t="inlineStr">
        <is>
          <t>ÖREBRO LÄN</t>
        </is>
      </c>
      <c r="E695" t="inlineStr">
        <is>
          <t>LINDESBERG</t>
        </is>
      </c>
      <c r="G695" t="n">
        <v>6.5</v>
      </c>
      <c r="H695" t="n">
        <v>0</v>
      </c>
      <c r="I695" t="n">
        <v>0</v>
      </c>
      <c r="J695" t="n">
        <v>0</v>
      </c>
      <c r="K695" t="n">
        <v>0</v>
      </c>
      <c r="L695" t="n">
        <v>0</v>
      </c>
      <c r="M695" t="n">
        <v>0</v>
      </c>
      <c r="N695" t="n">
        <v>0</v>
      </c>
      <c r="O695" t="n">
        <v>0</v>
      </c>
      <c r="P695" t="n">
        <v>0</v>
      </c>
      <c r="Q695" t="n">
        <v>0</v>
      </c>
      <c r="R695" s="2" t="inlineStr"/>
    </row>
    <row r="696" ht="15" customHeight="1">
      <c r="A696" t="inlineStr">
        <is>
          <t>A 61597-2023</t>
        </is>
      </c>
      <c r="B696" s="1" t="n">
        <v>45265.49225694445</v>
      </c>
      <c r="C696" s="1" t="n">
        <v>45963</v>
      </c>
      <c r="D696" t="inlineStr">
        <is>
          <t>ÖREBRO LÄN</t>
        </is>
      </c>
      <c r="E696" t="inlineStr">
        <is>
          <t>LINDESBERG</t>
        </is>
      </c>
      <c r="G696" t="n">
        <v>10.3</v>
      </c>
      <c r="H696" t="n">
        <v>0</v>
      </c>
      <c r="I696" t="n">
        <v>0</v>
      </c>
      <c r="J696" t="n">
        <v>0</v>
      </c>
      <c r="K696" t="n">
        <v>0</v>
      </c>
      <c r="L696" t="n">
        <v>0</v>
      </c>
      <c r="M696" t="n">
        <v>0</v>
      </c>
      <c r="N696" t="n">
        <v>0</v>
      </c>
      <c r="O696" t="n">
        <v>0</v>
      </c>
      <c r="P696" t="n">
        <v>0</v>
      </c>
      <c r="Q696" t="n">
        <v>0</v>
      </c>
      <c r="R696" s="2" t="inlineStr"/>
    </row>
    <row r="697" ht="15" customHeight="1">
      <c r="A697" t="inlineStr">
        <is>
          <t>A 7211-2024</t>
        </is>
      </c>
      <c r="B697" s="1" t="n">
        <v>45344.623125</v>
      </c>
      <c r="C697" s="1" t="n">
        <v>45963</v>
      </c>
      <c r="D697" t="inlineStr">
        <is>
          <t>ÖREBRO LÄN</t>
        </is>
      </c>
      <c r="E697" t="inlineStr">
        <is>
          <t>LINDESBERG</t>
        </is>
      </c>
      <c r="G697" t="n">
        <v>1.4</v>
      </c>
      <c r="H697" t="n">
        <v>0</v>
      </c>
      <c r="I697" t="n">
        <v>0</v>
      </c>
      <c r="J697" t="n">
        <v>0</v>
      </c>
      <c r="K697" t="n">
        <v>0</v>
      </c>
      <c r="L697" t="n">
        <v>0</v>
      </c>
      <c r="M697" t="n">
        <v>0</v>
      </c>
      <c r="N697" t="n">
        <v>0</v>
      </c>
      <c r="O697" t="n">
        <v>0</v>
      </c>
      <c r="P697" t="n">
        <v>0</v>
      </c>
      <c r="Q697" t="n">
        <v>0</v>
      </c>
      <c r="R697" s="2" t="inlineStr"/>
    </row>
    <row r="698" ht="15" customHeight="1">
      <c r="A698" t="inlineStr">
        <is>
          <t>A 27702-2025</t>
        </is>
      </c>
      <c r="B698" s="1" t="n">
        <v>45813.68209490741</v>
      </c>
      <c r="C698" s="1" t="n">
        <v>45963</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41582-2021</t>
        </is>
      </c>
      <c r="B699" s="1" t="n">
        <v>44425.40297453704</v>
      </c>
      <c r="C699" s="1" t="n">
        <v>45963</v>
      </c>
      <c r="D699" t="inlineStr">
        <is>
          <t>ÖREBRO LÄN</t>
        </is>
      </c>
      <c r="E699" t="inlineStr">
        <is>
          <t>LINDESBERG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6511-2025</t>
        </is>
      </c>
      <c r="B700" s="1" t="n">
        <v>45699.65424768518</v>
      </c>
      <c r="C700" s="1" t="n">
        <v>45963</v>
      </c>
      <c r="D700" t="inlineStr">
        <is>
          <t>ÖREBRO LÄN</t>
        </is>
      </c>
      <c r="E700" t="inlineStr">
        <is>
          <t>LINDESBERG</t>
        </is>
      </c>
      <c r="G700" t="n">
        <v>9.1</v>
      </c>
      <c r="H700" t="n">
        <v>0</v>
      </c>
      <c r="I700" t="n">
        <v>0</v>
      </c>
      <c r="J700" t="n">
        <v>0</v>
      </c>
      <c r="K700" t="n">
        <v>0</v>
      </c>
      <c r="L700" t="n">
        <v>0</v>
      </c>
      <c r="M700" t="n">
        <v>0</v>
      </c>
      <c r="N700" t="n">
        <v>0</v>
      </c>
      <c r="O700" t="n">
        <v>0</v>
      </c>
      <c r="P700" t="n">
        <v>0</v>
      </c>
      <c r="Q700" t="n">
        <v>0</v>
      </c>
      <c r="R700" s="2" t="inlineStr"/>
    </row>
    <row r="701" ht="15" customHeight="1">
      <c r="A701" t="inlineStr">
        <is>
          <t>A 38460-2024</t>
        </is>
      </c>
      <c r="B701" s="1" t="n">
        <v>45546.46497685185</v>
      </c>
      <c r="C701" s="1" t="n">
        <v>45963</v>
      </c>
      <c r="D701" t="inlineStr">
        <is>
          <t>ÖREBRO LÄN</t>
        </is>
      </c>
      <c r="E701" t="inlineStr">
        <is>
          <t>LINDESBERG</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24916-2022</t>
        </is>
      </c>
      <c r="B702" s="1" t="n">
        <v>44728</v>
      </c>
      <c r="C702" s="1" t="n">
        <v>45963</v>
      </c>
      <c r="D702" t="inlineStr">
        <is>
          <t>ÖREBRO LÄN</t>
        </is>
      </c>
      <c r="E702" t="inlineStr">
        <is>
          <t>LINDESBERG</t>
        </is>
      </c>
      <c r="G702" t="n">
        <v>8.1</v>
      </c>
      <c r="H702" t="n">
        <v>0</v>
      </c>
      <c r="I702" t="n">
        <v>0</v>
      </c>
      <c r="J702" t="n">
        <v>0</v>
      </c>
      <c r="K702" t="n">
        <v>0</v>
      </c>
      <c r="L702" t="n">
        <v>0</v>
      </c>
      <c r="M702" t="n">
        <v>0</v>
      </c>
      <c r="N702" t="n">
        <v>0</v>
      </c>
      <c r="O702" t="n">
        <v>0</v>
      </c>
      <c r="P702" t="n">
        <v>0</v>
      </c>
      <c r="Q702" t="n">
        <v>0</v>
      </c>
      <c r="R702" s="2" t="inlineStr"/>
    </row>
    <row r="703" ht="15" customHeight="1">
      <c r="A703" t="inlineStr">
        <is>
          <t>A 5677-2025</t>
        </is>
      </c>
      <c r="B703" s="1" t="n">
        <v>45694</v>
      </c>
      <c r="C703" s="1" t="n">
        <v>45963</v>
      </c>
      <c r="D703" t="inlineStr">
        <is>
          <t>ÖREBRO LÄN</t>
        </is>
      </c>
      <c r="E703" t="inlineStr">
        <is>
          <t>LINDESBERG</t>
        </is>
      </c>
      <c r="G703" t="n">
        <v>1.6</v>
      </c>
      <c r="H703" t="n">
        <v>0</v>
      </c>
      <c r="I703" t="n">
        <v>0</v>
      </c>
      <c r="J703" t="n">
        <v>0</v>
      </c>
      <c r="K703" t="n">
        <v>0</v>
      </c>
      <c r="L703" t="n">
        <v>0</v>
      </c>
      <c r="M703" t="n">
        <v>0</v>
      </c>
      <c r="N703" t="n">
        <v>0</v>
      </c>
      <c r="O703" t="n">
        <v>0</v>
      </c>
      <c r="P703" t="n">
        <v>0</v>
      </c>
      <c r="Q703" t="n">
        <v>0</v>
      </c>
      <c r="R703" s="2" t="inlineStr"/>
    </row>
    <row r="704" ht="15" customHeight="1">
      <c r="A704" t="inlineStr">
        <is>
          <t>A 47155-2024</t>
        </is>
      </c>
      <c r="B704" s="1" t="n">
        <v>45586</v>
      </c>
      <c r="C704" s="1" t="n">
        <v>45963</v>
      </c>
      <c r="D704" t="inlineStr">
        <is>
          <t>ÖREBRO LÄN</t>
        </is>
      </c>
      <c r="E704" t="inlineStr">
        <is>
          <t>LINDESBERG</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1681-2025</t>
        </is>
      </c>
      <c r="B705" s="1" t="n">
        <v>45670.69458333333</v>
      </c>
      <c r="C705" s="1" t="n">
        <v>45963</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36670-2024</t>
        </is>
      </c>
      <c r="B706" s="1" t="n">
        <v>45537.64621527777</v>
      </c>
      <c r="C706" s="1" t="n">
        <v>45963</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48265-2021</t>
        </is>
      </c>
      <c r="B707" s="1" t="n">
        <v>44449</v>
      </c>
      <c r="C707" s="1" t="n">
        <v>45963</v>
      </c>
      <c r="D707" t="inlineStr">
        <is>
          <t>ÖREBRO LÄN</t>
        </is>
      </c>
      <c r="E707" t="inlineStr">
        <is>
          <t>LINDESBERG</t>
        </is>
      </c>
      <c r="G707" t="n">
        <v>23.7</v>
      </c>
      <c r="H707" t="n">
        <v>0</v>
      </c>
      <c r="I707" t="n">
        <v>0</v>
      </c>
      <c r="J707" t="n">
        <v>0</v>
      </c>
      <c r="K707" t="n">
        <v>0</v>
      </c>
      <c r="L707" t="n">
        <v>0</v>
      </c>
      <c r="M707" t="n">
        <v>0</v>
      </c>
      <c r="N707" t="n">
        <v>0</v>
      </c>
      <c r="O707" t="n">
        <v>0</v>
      </c>
      <c r="P707" t="n">
        <v>0</v>
      </c>
      <c r="Q707" t="n">
        <v>0</v>
      </c>
      <c r="R707" s="2" t="inlineStr"/>
    </row>
    <row r="708" ht="15" customHeight="1">
      <c r="A708" t="inlineStr">
        <is>
          <t>A 67016-2021</t>
        </is>
      </c>
      <c r="B708" s="1" t="n">
        <v>44522</v>
      </c>
      <c r="C708" s="1" t="n">
        <v>45963</v>
      </c>
      <c r="D708" t="inlineStr">
        <is>
          <t>ÖREBRO LÄN</t>
        </is>
      </c>
      <c r="E708" t="inlineStr">
        <is>
          <t>LINDESBERG</t>
        </is>
      </c>
      <c r="G708" t="n">
        <v>8</v>
      </c>
      <c r="H708" t="n">
        <v>0</v>
      </c>
      <c r="I708" t="n">
        <v>0</v>
      </c>
      <c r="J708" t="n">
        <v>0</v>
      </c>
      <c r="K708" t="n">
        <v>0</v>
      </c>
      <c r="L708" t="n">
        <v>0</v>
      </c>
      <c r="M708" t="n">
        <v>0</v>
      </c>
      <c r="N708" t="n">
        <v>0</v>
      </c>
      <c r="O708" t="n">
        <v>0</v>
      </c>
      <c r="P708" t="n">
        <v>0</v>
      </c>
      <c r="Q708" t="n">
        <v>0</v>
      </c>
      <c r="R708" s="2" t="inlineStr"/>
    </row>
    <row r="709" ht="15" customHeight="1">
      <c r="A709" t="inlineStr">
        <is>
          <t>A 35366-2025</t>
        </is>
      </c>
      <c r="B709" s="1" t="n">
        <v>45854</v>
      </c>
      <c r="C709" s="1" t="n">
        <v>45963</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7026-2024</t>
        </is>
      </c>
      <c r="B710" s="1" t="n">
        <v>45343.58587962963</v>
      </c>
      <c r="C710" s="1" t="n">
        <v>45963</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4013-2025</t>
        </is>
      </c>
      <c r="B711" s="1" t="n">
        <v>45684.5790162037</v>
      </c>
      <c r="C711" s="1" t="n">
        <v>45963</v>
      </c>
      <c r="D711" t="inlineStr">
        <is>
          <t>ÖREBRO LÄN</t>
        </is>
      </c>
      <c r="E711" t="inlineStr">
        <is>
          <t>LINDESBERG</t>
        </is>
      </c>
      <c r="G711" t="n">
        <v>0.9</v>
      </c>
      <c r="H711" t="n">
        <v>0</v>
      </c>
      <c r="I711" t="n">
        <v>0</v>
      </c>
      <c r="J711" t="n">
        <v>0</v>
      </c>
      <c r="K711" t="n">
        <v>0</v>
      </c>
      <c r="L711" t="n">
        <v>0</v>
      </c>
      <c r="M711" t="n">
        <v>0</v>
      </c>
      <c r="N711" t="n">
        <v>0</v>
      </c>
      <c r="O711" t="n">
        <v>0</v>
      </c>
      <c r="P711" t="n">
        <v>0</v>
      </c>
      <c r="Q711" t="n">
        <v>0</v>
      </c>
      <c r="R711" s="2" t="inlineStr"/>
    </row>
    <row r="712" ht="15" customHeight="1">
      <c r="A712" t="inlineStr">
        <is>
          <t>A 35292-2025</t>
        </is>
      </c>
      <c r="B712" s="1" t="n">
        <v>45854</v>
      </c>
      <c r="C712" s="1" t="n">
        <v>45963</v>
      </c>
      <c r="D712" t="inlineStr">
        <is>
          <t>ÖREBRO LÄN</t>
        </is>
      </c>
      <c r="E712" t="inlineStr">
        <is>
          <t>LINDESBERG</t>
        </is>
      </c>
      <c r="G712" t="n">
        <v>1</v>
      </c>
      <c r="H712" t="n">
        <v>0</v>
      </c>
      <c r="I712" t="n">
        <v>0</v>
      </c>
      <c r="J712" t="n">
        <v>0</v>
      </c>
      <c r="K712" t="n">
        <v>0</v>
      </c>
      <c r="L712" t="n">
        <v>0</v>
      </c>
      <c r="M712" t="n">
        <v>0</v>
      </c>
      <c r="N712" t="n">
        <v>0</v>
      </c>
      <c r="O712" t="n">
        <v>0</v>
      </c>
      <c r="P712" t="n">
        <v>0</v>
      </c>
      <c r="Q712" t="n">
        <v>0</v>
      </c>
      <c r="R712" s="2" t="inlineStr"/>
    </row>
    <row r="713" ht="15" customHeight="1">
      <c r="A713" t="inlineStr">
        <is>
          <t>A 33978-2023</t>
        </is>
      </c>
      <c r="B713" s="1" t="n">
        <v>45134.68158564815</v>
      </c>
      <c r="C713" s="1" t="n">
        <v>45963</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55272-2023</t>
        </is>
      </c>
      <c r="B714" s="1" t="n">
        <v>45237.67819444444</v>
      </c>
      <c r="C714" s="1" t="n">
        <v>45963</v>
      </c>
      <c r="D714" t="inlineStr">
        <is>
          <t>ÖREBRO LÄN</t>
        </is>
      </c>
      <c r="E714" t="inlineStr">
        <is>
          <t>LINDESBERG</t>
        </is>
      </c>
      <c r="G714" t="n">
        <v>2.4</v>
      </c>
      <c r="H714" t="n">
        <v>0</v>
      </c>
      <c r="I714" t="n">
        <v>0</v>
      </c>
      <c r="J714" t="n">
        <v>0</v>
      </c>
      <c r="K714" t="n">
        <v>0</v>
      </c>
      <c r="L714" t="n">
        <v>0</v>
      </c>
      <c r="M714" t="n">
        <v>0</v>
      </c>
      <c r="N714" t="n">
        <v>0</v>
      </c>
      <c r="O714" t="n">
        <v>0</v>
      </c>
      <c r="P714" t="n">
        <v>0</v>
      </c>
      <c r="Q714" t="n">
        <v>0</v>
      </c>
      <c r="R714" s="2" t="inlineStr"/>
    </row>
    <row r="715" ht="15" customHeight="1">
      <c r="A715" t="inlineStr">
        <is>
          <t>A 38509-2025</t>
        </is>
      </c>
      <c r="B715" s="1" t="n">
        <v>45884.38858796296</v>
      </c>
      <c r="C715" s="1" t="n">
        <v>45963</v>
      </c>
      <c r="D715" t="inlineStr">
        <is>
          <t>ÖREBRO LÄN</t>
        </is>
      </c>
      <c r="E715" t="inlineStr">
        <is>
          <t>LINDESBERG</t>
        </is>
      </c>
      <c r="G715" t="n">
        <v>14.9</v>
      </c>
      <c r="H715" t="n">
        <v>0</v>
      </c>
      <c r="I715" t="n">
        <v>0</v>
      </c>
      <c r="J715" t="n">
        <v>0</v>
      </c>
      <c r="K715" t="n">
        <v>0</v>
      </c>
      <c r="L715" t="n">
        <v>0</v>
      </c>
      <c r="M715" t="n">
        <v>0</v>
      </c>
      <c r="N715" t="n">
        <v>0</v>
      </c>
      <c r="O715" t="n">
        <v>0</v>
      </c>
      <c r="P715" t="n">
        <v>0</v>
      </c>
      <c r="Q715" t="n">
        <v>0</v>
      </c>
      <c r="R715" s="2" t="inlineStr"/>
    </row>
    <row r="716" ht="15" customHeight="1">
      <c r="A716" t="inlineStr">
        <is>
          <t>A 12307-2025</t>
        </is>
      </c>
      <c r="B716" s="1" t="n">
        <v>45729.76231481481</v>
      </c>
      <c r="C716" s="1" t="n">
        <v>45963</v>
      </c>
      <c r="D716" t="inlineStr">
        <is>
          <t>ÖREBRO LÄN</t>
        </is>
      </c>
      <c r="E716" t="inlineStr">
        <is>
          <t>LINDESBERG</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10111-2022</t>
        </is>
      </c>
      <c r="B717" s="1" t="n">
        <v>44621.85737268518</v>
      </c>
      <c r="C717" s="1" t="n">
        <v>45963</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35710-2025</t>
        </is>
      </c>
      <c r="B718" s="1" t="n">
        <v>45860.3857175926</v>
      </c>
      <c r="C718" s="1" t="n">
        <v>45963</v>
      </c>
      <c r="D718" t="inlineStr">
        <is>
          <t>ÖREBRO LÄN</t>
        </is>
      </c>
      <c r="E718" t="inlineStr">
        <is>
          <t>LINDESBERG</t>
        </is>
      </c>
      <c r="G718" t="n">
        <v>3.2</v>
      </c>
      <c r="H718" t="n">
        <v>0</v>
      </c>
      <c r="I718" t="n">
        <v>0</v>
      </c>
      <c r="J718" t="n">
        <v>0</v>
      </c>
      <c r="K718" t="n">
        <v>0</v>
      </c>
      <c r="L718" t="n">
        <v>0</v>
      </c>
      <c r="M718" t="n">
        <v>0</v>
      </c>
      <c r="N718" t="n">
        <v>0</v>
      </c>
      <c r="O718" t="n">
        <v>0</v>
      </c>
      <c r="P718" t="n">
        <v>0</v>
      </c>
      <c r="Q718" t="n">
        <v>0</v>
      </c>
      <c r="R718" s="2" t="inlineStr"/>
    </row>
    <row r="719" ht="15" customHeight="1">
      <c r="A719" t="inlineStr">
        <is>
          <t>A 15852-2025</t>
        </is>
      </c>
      <c r="B719" s="1" t="n">
        <v>45749</v>
      </c>
      <c r="C719" s="1" t="n">
        <v>45963</v>
      </c>
      <c r="D719" t="inlineStr">
        <is>
          <t>ÖREBRO LÄN</t>
        </is>
      </c>
      <c r="E719" t="inlineStr">
        <is>
          <t>LINDESBERG</t>
        </is>
      </c>
      <c r="G719" t="n">
        <v>8.9</v>
      </c>
      <c r="H719" t="n">
        <v>0</v>
      </c>
      <c r="I719" t="n">
        <v>0</v>
      </c>
      <c r="J719" t="n">
        <v>0</v>
      </c>
      <c r="K719" t="n">
        <v>0</v>
      </c>
      <c r="L719" t="n">
        <v>0</v>
      </c>
      <c r="M719" t="n">
        <v>0</v>
      </c>
      <c r="N719" t="n">
        <v>0</v>
      </c>
      <c r="O719" t="n">
        <v>0</v>
      </c>
      <c r="P719" t="n">
        <v>0</v>
      </c>
      <c r="Q719" t="n">
        <v>0</v>
      </c>
      <c r="R719" s="2" t="inlineStr"/>
    </row>
    <row r="720" ht="15" customHeight="1">
      <c r="A720" t="inlineStr">
        <is>
          <t>A 14231-2023</t>
        </is>
      </c>
      <c r="B720" s="1" t="n">
        <v>45009.64217592592</v>
      </c>
      <c r="C720" s="1" t="n">
        <v>45963</v>
      </c>
      <c r="D720" t="inlineStr">
        <is>
          <t>ÖREBRO LÄN</t>
        </is>
      </c>
      <c r="E720" t="inlineStr">
        <is>
          <t>LINDESBERG</t>
        </is>
      </c>
      <c r="G720" t="n">
        <v>4.3</v>
      </c>
      <c r="H720" t="n">
        <v>0</v>
      </c>
      <c r="I720" t="n">
        <v>0</v>
      </c>
      <c r="J720" t="n">
        <v>0</v>
      </c>
      <c r="K720" t="n">
        <v>0</v>
      </c>
      <c r="L720" t="n">
        <v>0</v>
      </c>
      <c r="M720" t="n">
        <v>0</v>
      </c>
      <c r="N720" t="n">
        <v>0</v>
      </c>
      <c r="O720" t="n">
        <v>0</v>
      </c>
      <c r="P720" t="n">
        <v>0</v>
      </c>
      <c r="Q720" t="n">
        <v>0</v>
      </c>
      <c r="R720" s="2" t="inlineStr"/>
    </row>
    <row r="721" ht="15" customHeight="1">
      <c r="A721" t="inlineStr">
        <is>
          <t>A 35702-2025</t>
        </is>
      </c>
      <c r="B721" s="1" t="n">
        <v>45860.36222222223</v>
      </c>
      <c r="C721" s="1" t="n">
        <v>45963</v>
      </c>
      <c r="D721" t="inlineStr">
        <is>
          <t>ÖREBRO LÄN</t>
        </is>
      </c>
      <c r="E721" t="inlineStr">
        <is>
          <t>LINDESBERG</t>
        </is>
      </c>
      <c r="G721" t="n">
        <v>5.3</v>
      </c>
      <c r="H721" t="n">
        <v>0</v>
      </c>
      <c r="I721" t="n">
        <v>0</v>
      </c>
      <c r="J721" t="n">
        <v>0</v>
      </c>
      <c r="K721" t="n">
        <v>0</v>
      </c>
      <c r="L721" t="n">
        <v>0</v>
      </c>
      <c r="M721" t="n">
        <v>0</v>
      </c>
      <c r="N721" t="n">
        <v>0</v>
      </c>
      <c r="O721" t="n">
        <v>0</v>
      </c>
      <c r="P721" t="n">
        <v>0</v>
      </c>
      <c r="Q721" t="n">
        <v>0</v>
      </c>
      <c r="R721" s="2" t="inlineStr"/>
    </row>
    <row r="722" ht="15" customHeight="1">
      <c r="A722" t="inlineStr">
        <is>
          <t>A 484-2022</t>
        </is>
      </c>
      <c r="B722" s="1" t="n">
        <v>44566</v>
      </c>
      <c r="C722" s="1" t="n">
        <v>45963</v>
      </c>
      <c r="D722" t="inlineStr">
        <is>
          <t>ÖREBRO LÄN</t>
        </is>
      </c>
      <c r="E722" t="inlineStr">
        <is>
          <t>LINDESBERG</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8834-2023</t>
        </is>
      </c>
      <c r="B723" s="1" t="n">
        <v>44978</v>
      </c>
      <c r="C723" s="1" t="n">
        <v>45963</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51071-2022</t>
        </is>
      </c>
      <c r="B724" s="1" t="n">
        <v>44868.36924768519</v>
      </c>
      <c r="C724" s="1" t="n">
        <v>45963</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47304-2024</t>
        </is>
      </c>
      <c r="B725" s="1" t="n">
        <v>45587</v>
      </c>
      <c r="C725" s="1" t="n">
        <v>45963</v>
      </c>
      <c r="D725" t="inlineStr">
        <is>
          <t>ÖREBRO LÄN</t>
        </is>
      </c>
      <c r="E725" t="inlineStr">
        <is>
          <t>LINDESBERG</t>
        </is>
      </c>
      <c r="G725" t="n">
        <v>1</v>
      </c>
      <c r="H725" t="n">
        <v>0</v>
      </c>
      <c r="I725" t="n">
        <v>0</v>
      </c>
      <c r="J725" t="n">
        <v>0</v>
      </c>
      <c r="K725" t="n">
        <v>0</v>
      </c>
      <c r="L725" t="n">
        <v>0</v>
      </c>
      <c r="M725" t="n">
        <v>0</v>
      </c>
      <c r="N725" t="n">
        <v>0</v>
      </c>
      <c r="O725" t="n">
        <v>0</v>
      </c>
      <c r="P725" t="n">
        <v>0</v>
      </c>
      <c r="Q725" t="n">
        <v>0</v>
      </c>
      <c r="R725" s="2" t="inlineStr"/>
    </row>
    <row r="726" ht="15" customHeight="1">
      <c r="A726" t="inlineStr">
        <is>
          <t>A 60926-2024</t>
        </is>
      </c>
      <c r="B726" s="1" t="n">
        <v>45645</v>
      </c>
      <c r="C726" s="1" t="n">
        <v>45963</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1383-2025</t>
        </is>
      </c>
      <c r="B727" s="1" t="n">
        <v>45667</v>
      </c>
      <c r="C727" s="1" t="n">
        <v>45963</v>
      </c>
      <c r="D727" t="inlineStr">
        <is>
          <t>ÖREBRO LÄN</t>
        </is>
      </c>
      <c r="E727" t="inlineStr">
        <is>
          <t>LINDESBERG</t>
        </is>
      </c>
      <c r="G727" t="n">
        <v>5</v>
      </c>
      <c r="H727" t="n">
        <v>0</v>
      </c>
      <c r="I727" t="n">
        <v>0</v>
      </c>
      <c r="J727" t="n">
        <v>0</v>
      </c>
      <c r="K727" t="n">
        <v>0</v>
      </c>
      <c r="L727" t="n">
        <v>0</v>
      </c>
      <c r="M727" t="n">
        <v>0</v>
      </c>
      <c r="N727" t="n">
        <v>0</v>
      </c>
      <c r="O727" t="n">
        <v>0</v>
      </c>
      <c r="P727" t="n">
        <v>0</v>
      </c>
      <c r="Q727" t="n">
        <v>0</v>
      </c>
      <c r="R727" s="2" t="inlineStr"/>
    </row>
    <row r="728" ht="15" customHeight="1">
      <c r="A728" t="inlineStr">
        <is>
          <t>A 36253-2024</t>
        </is>
      </c>
      <c r="B728" s="1" t="n">
        <v>45534.54032407407</v>
      </c>
      <c r="C728" s="1" t="n">
        <v>45963</v>
      </c>
      <c r="D728" t="inlineStr">
        <is>
          <t>ÖREBRO LÄN</t>
        </is>
      </c>
      <c r="E728" t="inlineStr">
        <is>
          <t>LINDESBERG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46757-2025</t>
        </is>
      </c>
      <c r="B729" s="1" t="n">
        <v>45926.62039351852</v>
      </c>
      <c r="C729" s="1" t="n">
        <v>45963</v>
      </c>
      <c r="D729" t="inlineStr">
        <is>
          <t>ÖREBRO LÄN</t>
        </is>
      </c>
      <c r="E729" t="inlineStr">
        <is>
          <t>LINDESBERG</t>
        </is>
      </c>
      <c r="G729" t="n">
        <v>7.9</v>
      </c>
      <c r="H729" t="n">
        <v>0</v>
      </c>
      <c r="I729" t="n">
        <v>0</v>
      </c>
      <c r="J729" t="n">
        <v>0</v>
      </c>
      <c r="K729" t="n">
        <v>0</v>
      </c>
      <c r="L729" t="n">
        <v>0</v>
      </c>
      <c r="M729" t="n">
        <v>0</v>
      </c>
      <c r="N729" t="n">
        <v>0</v>
      </c>
      <c r="O729" t="n">
        <v>0</v>
      </c>
      <c r="P729" t="n">
        <v>0</v>
      </c>
      <c r="Q729" t="n">
        <v>0</v>
      </c>
      <c r="R729" s="2" t="inlineStr"/>
    </row>
    <row r="730" ht="15" customHeight="1">
      <c r="A730" t="inlineStr">
        <is>
          <t>A 1395-2025</t>
        </is>
      </c>
      <c r="B730" s="1" t="n">
        <v>45667</v>
      </c>
      <c r="C730" s="1" t="n">
        <v>45963</v>
      </c>
      <c r="D730" t="inlineStr">
        <is>
          <t>ÖREBRO LÄN</t>
        </is>
      </c>
      <c r="E730" t="inlineStr">
        <is>
          <t>LINDESBERG</t>
        </is>
      </c>
      <c r="G730" t="n">
        <v>4.6</v>
      </c>
      <c r="H730" t="n">
        <v>0</v>
      </c>
      <c r="I730" t="n">
        <v>0</v>
      </c>
      <c r="J730" t="n">
        <v>0</v>
      </c>
      <c r="K730" t="n">
        <v>0</v>
      </c>
      <c r="L730" t="n">
        <v>0</v>
      </c>
      <c r="M730" t="n">
        <v>0</v>
      </c>
      <c r="N730" t="n">
        <v>0</v>
      </c>
      <c r="O730" t="n">
        <v>0</v>
      </c>
      <c r="P730" t="n">
        <v>0</v>
      </c>
      <c r="Q730" t="n">
        <v>0</v>
      </c>
      <c r="R730" s="2" t="inlineStr"/>
    </row>
    <row r="731" ht="15" customHeight="1">
      <c r="A731" t="inlineStr">
        <is>
          <t>A 1405-2025</t>
        </is>
      </c>
      <c r="B731" s="1" t="n">
        <v>45667</v>
      </c>
      <c r="C731" s="1" t="n">
        <v>45963</v>
      </c>
      <c r="D731" t="inlineStr">
        <is>
          <t>ÖREBRO LÄN</t>
        </is>
      </c>
      <c r="E731" t="inlineStr">
        <is>
          <t>LINDESBERG</t>
        </is>
      </c>
      <c r="F731" t="inlineStr">
        <is>
          <t>Allmännings- och besparingsskogar</t>
        </is>
      </c>
      <c r="G731" t="n">
        <v>3.1</v>
      </c>
      <c r="H731" t="n">
        <v>0</v>
      </c>
      <c r="I731" t="n">
        <v>0</v>
      </c>
      <c r="J731" t="n">
        <v>0</v>
      </c>
      <c r="K731" t="n">
        <v>0</v>
      </c>
      <c r="L731" t="n">
        <v>0</v>
      </c>
      <c r="M731" t="n">
        <v>0</v>
      </c>
      <c r="N731" t="n">
        <v>0</v>
      </c>
      <c r="O731" t="n">
        <v>0</v>
      </c>
      <c r="P731" t="n">
        <v>0</v>
      </c>
      <c r="Q731" t="n">
        <v>0</v>
      </c>
      <c r="R731" s="2" t="inlineStr"/>
    </row>
    <row r="732" ht="15" customHeight="1">
      <c r="A732" t="inlineStr">
        <is>
          <t>A 34434-2023</t>
        </is>
      </c>
      <c r="B732" s="1" t="n">
        <v>45139.63480324074</v>
      </c>
      <c r="C732" s="1" t="n">
        <v>45963</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45078-2024</t>
        </is>
      </c>
      <c r="B733" s="1" t="n">
        <v>45575.57104166667</v>
      </c>
      <c r="C733" s="1" t="n">
        <v>45963</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30514-2025</t>
        </is>
      </c>
      <c r="B734" s="1" t="n">
        <v>45831</v>
      </c>
      <c r="C734" s="1" t="n">
        <v>45963</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45173-2024</t>
        </is>
      </c>
      <c r="B735" s="1" t="n">
        <v>45575.65721064815</v>
      </c>
      <c r="C735" s="1" t="n">
        <v>45963</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30512-2025</t>
        </is>
      </c>
      <c r="B736" s="1" t="n">
        <v>45831</v>
      </c>
      <c r="C736" s="1" t="n">
        <v>45963</v>
      </c>
      <c r="D736" t="inlineStr">
        <is>
          <t>ÖREBRO LÄN</t>
        </is>
      </c>
      <c r="E736" t="inlineStr">
        <is>
          <t>LINDESBERG</t>
        </is>
      </c>
      <c r="G736" t="n">
        <v>4.5</v>
      </c>
      <c r="H736" t="n">
        <v>0</v>
      </c>
      <c r="I736" t="n">
        <v>0</v>
      </c>
      <c r="J736" t="n">
        <v>0</v>
      </c>
      <c r="K736" t="n">
        <v>0</v>
      </c>
      <c r="L736" t="n">
        <v>0</v>
      </c>
      <c r="M736" t="n">
        <v>0</v>
      </c>
      <c r="N736" t="n">
        <v>0</v>
      </c>
      <c r="O736" t="n">
        <v>0</v>
      </c>
      <c r="P736" t="n">
        <v>0</v>
      </c>
      <c r="Q736" t="n">
        <v>0</v>
      </c>
      <c r="R736" s="2" t="inlineStr"/>
    </row>
    <row r="737" ht="15" customHeight="1">
      <c r="A737" t="inlineStr">
        <is>
          <t>A 38861-2025</t>
        </is>
      </c>
      <c r="B737" s="1" t="n">
        <v>45887.56101851852</v>
      </c>
      <c r="C737" s="1" t="n">
        <v>45963</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6723-2022</t>
        </is>
      </c>
      <c r="B738" s="1" t="n">
        <v>44602.45162037037</v>
      </c>
      <c r="C738" s="1" t="n">
        <v>45963</v>
      </c>
      <c r="D738" t="inlineStr">
        <is>
          <t>ÖREBRO LÄN</t>
        </is>
      </c>
      <c r="E738" t="inlineStr">
        <is>
          <t>LINDESBERG</t>
        </is>
      </c>
      <c r="G738" t="n">
        <v>4.2</v>
      </c>
      <c r="H738" t="n">
        <v>0</v>
      </c>
      <c r="I738" t="n">
        <v>0</v>
      </c>
      <c r="J738" t="n">
        <v>0</v>
      </c>
      <c r="K738" t="n">
        <v>0</v>
      </c>
      <c r="L738" t="n">
        <v>0</v>
      </c>
      <c r="M738" t="n">
        <v>0</v>
      </c>
      <c r="N738" t="n">
        <v>0</v>
      </c>
      <c r="O738" t="n">
        <v>0</v>
      </c>
      <c r="P738" t="n">
        <v>0</v>
      </c>
      <c r="Q738" t="n">
        <v>0</v>
      </c>
      <c r="R738" s="2" t="inlineStr"/>
    </row>
    <row r="739" ht="15" customHeight="1">
      <c r="A739" t="inlineStr">
        <is>
          <t>A 36572-2025</t>
        </is>
      </c>
      <c r="B739" s="1" t="n">
        <v>45870</v>
      </c>
      <c r="C739" s="1" t="n">
        <v>45963</v>
      </c>
      <c r="D739" t="inlineStr">
        <is>
          <t>ÖREBRO LÄN</t>
        </is>
      </c>
      <c r="E739" t="inlineStr">
        <is>
          <t>LINDESBERG</t>
        </is>
      </c>
      <c r="G739" t="n">
        <v>11.9</v>
      </c>
      <c r="H739" t="n">
        <v>0</v>
      </c>
      <c r="I739" t="n">
        <v>0</v>
      </c>
      <c r="J739" t="n">
        <v>0</v>
      </c>
      <c r="K739" t="n">
        <v>0</v>
      </c>
      <c r="L739" t="n">
        <v>0</v>
      </c>
      <c r="M739" t="n">
        <v>0</v>
      </c>
      <c r="N739" t="n">
        <v>0</v>
      </c>
      <c r="O739" t="n">
        <v>0</v>
      </c>
      <c r="P739" t="n">
        <v>0</v>
      </c>
      <c r="Q739" t="n">
        <v>0</v>
      </c>
      <c r="R739" s="2" t="inlineStr"/>
    </row>
    <row r="740" ht="15" customHeight="1">
      <c r="A740" t="inlineStr">
        <is>
          <t>A 36574-2025</t>
        </is>
      </c>
      <c r="B740" s="1" t="n">
        <v>45870</v>
      </c>
      <c r="C740" s="1" t="n">
        <v>45963</v>
      </c>
      <c r="D740" t="inlineStr">
        <is>
          <t>ÖREBRO LÄN</t>
        </is>
      </c>
      <c r="E740" t="inlineStr">
        <is>
          <t>LINDESBERG</t>
        </is>
      </c>
      <c r="G740" t="n">
        <v>4</v>
      </c>
      <c r="H740" t="n">
        <v>0</v>
      </c>
      <c r="I740" t="n">
        <v>0</v>
      </c>
      <c r="J740" t="n">
        <v>0</v>
      </c>
      <c r="K740" t="n">
        <v>0</v>
      </c>
      <c r="L740" t="n">
        <v>0</v>
      </c>
      <c r="M740" t="n">
        <v>0</v>
      </c>
      <c r="N740" t="n">
        <v>0</v>
      </c>
      <c r="O740" t="n">
        <v>0</v>
      </c>
      <c r="P740" t="n">
        <v>0</v>
      </c>
      <c r="Q740" t="n">
        <v>0</v>
      </c>
      <c r="R740" s="2" t="inlineStr"/>
    </row>
    <row r="741" ht="15" customHeight="1">
      <c r="A741" t="inlineStr">
        <is>
          <t>A 28470-2023</t>
        </is>
      </c>
      <c r="B741" s="1" t="n">
        <v>45103</v>
      </c>
      <c r="C741" s="1" t="n">
        <v>45963</v>
      </c>
      <c r="D741" t="inlineStr">
        <is>
          <t>ÖREBRO LÄN</t>
        </is>
      </c>
      <c r="E741" t="inlineStr">
        <is>
          <t>LINDESBERG</t>
        </is>
      </c>
      <c r="G741" t="n">
        <v>6.7</v>
      </c>
      <c r="H741" t="n">
        <v>0</v>
      </c>
      <c r="I741" t="n">
        <v>0</v>
      </c>
      <c r="J741" t="n">
        <v>0</v>
      </c>
      <c r="K741" t="n">
        <v>0</v>
      </c>
      <c r="L741" t="n">
        <v>0</v>
      </c>
      <c r="M741" t="n">
        <v>0</v>
      </c>
      <c r="N741" t="n">
        <v>0</v>
      </c>
      <c r="O741" t="n">
        <v>0</v>
      </c>
      <c r="P741" t="n">
        <v>0</v>
      </c>
      <c r="Q741" t="n">
        <v>0</v>
      </c>
      <c r="R741" s="2" t="inlineStr"/>
    </row>
    <row r="742" ht="15" customHeight="1">
      <c r="A742" t="inlineStr">
        <is>
          <t>A 36577-2025</t>
        </is>
      </c>
      <c r="B742" s="1" t="n">
        <v>45870</v>
      </c>
      <c r="C742" s="1" t="n">
        <v>45963</v>
      </c>
      <c r="D742" t="inlineStr">
        <is>
          <t>ÖREBRO LÄN</t>
        </is>
      </c>
      <c r="E742" t="inlineStr">
        <is>
          <t>LINDESBERG</t>
        </is>
      </c>
      <c r="G742" t="n">
        <v>3.7</v>
      </c>
      <c r="H742" t="n">
        <v>0</v>
      </c>
      <c r="I742" t="n">
        <v>0</v>
      </c>
      <c r="J742" t="n">
        <v>0</v>
      </c>
      <c r="K742" t="n">
        <v>0</v>
      </c>
      <c r="L742" t="n">
        <v>0</v>
      </c>
      <c r="M742" t="n">
        <v>0</v>
      </c>
      <c r="N742" t="n">
        <v>0</v>
      </c>
      <c r="O742" t="n">
        <v>0</v>
      </c>
      <c r="P742" t="n">
        <v>0</v>
      </c>
      <c r="Q742" t="n">
        <v>0</v>
      </c>
      <c r="R742" s="2" t="inlineStr"/>
    </row>
    <row r="743" ht="15" customHeight="1">
      <c r="A743" t="inlineStr">
        <is>
          <t>A 39429-2025</t>
        </is>
      </c>
      <c r="B743" s="1" t="n">
        <v>45889.67577546297</v>
      </c>
      <c r="C743" s="1" t="n">
        <v>45963</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32097-2024</t>
        </is>
      </c>
      <c r="B744" s="1" t="n">
        <v>45511.39445601852</v>
      </c>
      <c r="C744" s="1" t="n">
        <v>45963</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26340-2022</t>
        </is>
      </c>
      <c r="B745" s="1" t="n">
        <v>44735.62539351852</v>
      </c>
      <c r="C745" s="1" t="n">
        <v>45963</v>
      </c>
      <c r="D745" t="inlineStr">
        <is>
          <t>ÖREBRO LÄN</t>
        </is>
      </c>
      <c r="E745" t="inlineStr">
        <is>
          <t>LINDESBERG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47676-2025</t>
        </is>
      </c>
      <c r="B746" s="1" t="n">
        <v>45931.57756944445</v>
      </c>
      <c r="C746" s="1" t="n">
        <v>45963</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36579-2025</t>
        </is>
      </c>
      <c r="B747" s="1" t="n">
        <v>45870</v>
      </c>
      <c r="C747" s="1" t="n">
        <v>45963</v>
      </c>
      <c r="D747" t="inlineStr">
        <is>
          <t>ÖREBRO LÄN</t>
        </is>
      </c>
      <c r="E747" t="inlineStr">
        <is>
          <t>LINDESBERG</t>
        </is>
      </c>
      <c r="G747" t="n">
        <v>6</v>
      </c>
      <c r="H747" t="n">
        <v>0</v>
      </c>
      <c r="I747" t="n">
        <v>0</v>
      </c>
      <c r="J747" t="n">
        <v>0</v>
      </c>
      <c r="K747" t="n">
        <v>0</v>
      </c>
      <c r="L747" t="n">
        <v>0</v>
      </c>
      <c r="M747" t="n">
        <v>0</v>
      </c>
      <c r="N747" t="n">
        <v>0</v>
      </c>
      <c r="O747" t="n">
        <v>0</v>
      </c>
      <c r="P747" t="n">
        <v>0</v>
      </c>
      <c r="Q747" t="n">
        <v>0</v>
      </c>
      <c r="R747" s="2" t="inlineStr"/>
    </row>
    <row r="748" ht="15" customHeight="1">
      <c r="A748" t="inlineStr">
        <is>
          <t>A 47678-2025</t>
        </is>
      </c>
      <c r="B748" s="1" t="n">
        <v>45931.57967592592</v>
      </c>
      <c r="C748" s="1" t="n">
        <v>45963</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30534-2023</t>
        </is>
      </c>
      <c r="B749" s="1" t="n">
        <v>45111</v>
      </c>
      <c r="C749" s="1" t="n">
        <v>45963</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39421-2025</t>
        </is>
      </c>
      <c r="B750" s="1" t="n">
        <v>45889.66935185185</v>
      </c>
      <c r="C750" s="1" t="n">
        <v>45963</v>
      </c>
      <c r="D750" t="inlineStr">
        <is>
          <t>ÖREBRO LÄN</t>
        </is>
      </c>
      <c r="E750" t="inlineStr">
        <is>
          <t>LINDESBERG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39424-2025</t>
        </is>
      </c>
      <c r="B751" s="1" t="n">
        <v>45889.67290509259</v>
      </c>
      <c r="C751" s="1" t="n">
        <v>45963</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3994-2023</t>
        </is>
      </c>
      <c r="B752" s="1" t="n">
        <v>44950</v>
      </c>
      <c r="C752" s="1" t="n">
        <v>45963</v>
      </c>
      <c r="D752" t="inlineStr">
        <is>
          <t>ÖREBRO LÄN</t>
        </is>
      </c>
      <c r="E752" t="inlineStr">
        <is>
          <t>LINDESBERG</t>
        </is>
      </c>
      <c r="G752" t="n">
        <v>4.8</v>
      </c>
      <c r="H752" t="n">
        <v>0</v>
      </c>
      <c r="I752" t="n">
        <v>0</v>
      </c>
      <c r="J752" t="n">
        <v>0</v>
      </c>
      <c r="K752" t="n">
        <v>0</v>
      </c>
      <c r="L752" t="n">
        <v>0</v>
      </c>
      <c r="M752" t="n">
        <v>0</v>
      </c>
      <c r="N752" t="n">
        <v>0</v>
      </c>
      <c r="O752" t="n">
        <v>0</v>
      </c>
      <c r="P752" t="n">
        <v>0</v>
      </c>
      <c r="Q752" t="n">
        <v>0</v>
      </c>
      <c r="R752" s="2" t="inlineStr"/>
    </row>
    <row r="753" ht="15" customHeight="1">
      <c r="A753" t="inlineStr">
        <is>
          <t>A 36859-2025</t>
        </is>
      </c>
      <c r="B753" s="1" t="n">
        <v>45874.40503472222</v>
      </c>
      <c r="C753" s="1" t="n">
        <v>45963</v>
      </c>
      <c r="D753" t="inlineStr">
        <is>
          <t>ÖREBRO LÄN</t>
        </is>
      </c>
      <c r="E753" t="inlineStr">
        <is>
          <t>LINDESBERG</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45963</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59631-2023</t>
        </is>
      </c>
      <c r="B755" s="1" t="n">
        <v>45254.68105324074</v>
      </c>
      <c r="C755" s="1" t="n">
        <v>45963</v>
      </c>
      <c r="D755" t="inlineStr">
        <is>
          <t>ÖREBRO LÄN</t>
        </is>
      </c>
      <c r="E755" t="inlineStr">
        <is>
          <t>LINDESBERG</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37497-2025</t>
        </is>
      </c>
      <c r="B756" s="1" t="n">
        <v>45877.64431712963</v>
      </c>
      <c r="C756" s="1" t="n">
        <v>45963</v>
      </c>
      <c r="D756" t="inlineStr">
        <is>
          <t>ÖREBRO LÄN</t>
        </is>
      </c>
      <c r="E756" t="inlineStr">
        <is>
          <t>LINDESBERG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37490-2025</t>
        </is>
      </c>
      <c r="B757" s="1" t="n">
        <v>45877.63989583333</v>
      </c>
      <c r="C757" s="1" t="n">
        <v>45963</v>
      </c>
      <c r="D757" t="inlineStr">
        <is>
          <t>ÖREBRO LÄN</t>
        </is>
      </c>
      <c r="E757" t="inlineStr">
        <is>
          <t>LINDESBERG</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37491-2025</t>
        </is>
      </c>
      <c r="B758" s="1" t="n">
        <v>45877.64144675926</v>
      </c>
      <c r="C758" s="1" t="n">
        <v>45963</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37499-2025</t>
        </is>
      </c>
      <c r="B759" s="1" t="n">
        <v>45877.64605324074</v>
      </c>
      <c r="C759" s="1" t="n">
        <v>45963</v>
      </c>
      <c r="D759" t="inlineStr">
        <is>
          <t>ÖREBRO LÄN</t>
        </is>
      </c>
      <c r="E759" t="inlineStr">
        <is>
          <t>LINDESBERG</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34539-2024</t>
        </is>
      </c>
      <c r="B760" s="1" t="n">
        <v>45525.7374537037</v>
      </c>
      <c r="C760" s="1" t="n">
        <v>45963</v>
      </c>
      <c r="D760" t="inlineStr">
        <is>
          <t>ÖREBRO LÄN</t>
        </is>
      </c>
      <c r="E760" t="inlineStr">
        <is>
          <t>LINDESBERG</t>
        </is>
      </c>
      <c r="G760" t="n">
        <v>5.4</v>
      </c>
      <c r="H760" t="n">
        <v>0</v>
      </c>
      <c r="I760" t="n">
        <v>0</v>
      </c>
      <c r="J760" t="n">
        <v>0</v>
      </c>
      <c r="K760" t="n">
        <v>0</v>
      </c>
      <c r="L760" t="n">
        <v>0</v>
      </c>
      <c r="M760" t="n">
        <v>0</v>
      </c>
      <c r="N760" t="n">
        <v>0</v>
      </c>
      <c r="O760" t="n">
        <v>0</v>
      </c>
      <c r="P760" t="n">
        <v>0</v>
      </c>
      <c r="Q760" t="n">
        <v>0</v>
      </c>
      <c r="R760" s="2" t="inlineStr"/>
    </row>
    <row r="761" ht="15" customHeight="1">
      <c r="A761" t="inlineStr">
        <is>
          <t>A 37503-2025</t>
        </is>
      </c>
      <c r="B761" s="1" t="n">
        <v>45877.65075231482</v>
      </c>
      <c r="C761" s="1" t="n">
        <v>45963</v>
      </c>
      <c r="D761" t="inlineStr">
        <is>
          <t>ÖREBRO LÄN</t>
        </is>
      </c>
      <c r="E761" t="inlineStr">
        <is>
          <t>LINDESBERG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37501-2025</t>
        </is>
      </c>
      <c r="B762" s="1" t="n">
        <v>45877.64847222222</v>
      </c>
      <c r="C762" s="1" t="n">
        <v>45963</v>
      </c>
      <c r="D762" t="inlineStr">
        <is>
          <t>ÖREBRO LÄN</t>
        </is>
      </c>
      <c r="E762" t="inlineStr">
        <is>
          <t>LINDESBERG</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37500-2025</t>
        </is>
      </c>
      <c r="B763" s="1" t="n">
        <v>45877.64776620371</v>
      </c>
      <c r="C763" s="1" t="n">
        <v>45963</v>
      </c>
      <c r="D763" t="inlineStr">
        <is>
          <t>ÖREBRO LÄN</t>
        </is>
      </c>
      <c r="E763" t="inlineStr">
        <is>
          <t>LINDESBERG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37301-2025</t>
        </is>
      </c>
      <c r="B764" s="1" t="n">
        <v>45876.59166666667</v>
      </c>
      <c r="C764" s="1" t="n">
        <v>45963</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37492-2025</t>
        </is>
      </c>
      <c r="B765" s="1" t="n">
        <v>45877.64230324074</v>
      </c>
      <c r="C765" s="1" t="n">
        <v>45963</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41951-2023</t>
        </is>
      </c>
      <c r="B766" s="1" t="n">
        <v>45177.33991898148</v>
      </c>
      <c r="C766" s="1" t="n">
        <v>45963</v>
      </c>
      <c r="D766" t="inlineStr">
        <is>
          <t>ÖREBRO LÄN</t>
        </is>
      </c>
      <c r="E766" t="inlineStr">
        <is>
          <t>LINDESBERG</t>
        </is>
      </c>
      <c r="F766" t="inlineStr">
        <is>
          <t>Kyrkan</t>
        </is>
      </c>
      <c r="G766" t="n">
        <v>3.3</v>
      </c>
      <c r="H766" t="n">
        <v>0</v>
      </c>
      <c r="I766" t="n">
        <v>0</v>
      </c>
      <c r="J766" t="n">
        <v>0</v>
      </c>
      <c r="K766" t="n">
        <v>0</v>
      </c>
      <c r="L766" t="n">
        <v>0</v>
      </c>
      <c r="M766" t="n">
        <v>0</v>
      </c>
      <c r="N766" t="n">
        <v>0</v>
      </c>
      <c r="O766" t="n">
        <v>0</v>
      </c>
      <c r="P766" t="n">
        <v>0</v>
      </c>
      <c r="Q766" t="n">
        <v>0</v>
      </c>
      <c r="R766" s="2" t="inlineStr"/>
    </row>
    <row r="767" ht="15" customHeight="1">
      <c r="A767" t="inlineStr">
        <is>
          <t>A 58603-2023</t>
        </is>
      </c>
      <c r="B767" s="1" t="n">
        <v>45251</v>
      </c>
      <c r="C767" s="1" t="n">
        <v>45963</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37837-2025</t>
        </is>
      </c>
      <c r="B768" s="1" t="n">
        <v>45881.42791666667</v>
      </c>
      <c r="C768" s="1" t="n">
        <v>45963</v>
      </c>
      <c r="D768" t="inlineStr">
        <is>
          <t>ÖREBRO LÄN</t>
        </is>
      </c>
      <c r="E768" t="inlineStr">
        <is>
          <t>LINDESBERG</t>
        </is>
      </c>
      <c r="G768" t="n">
        <v>1.3</v>
      </c>
      <c r="H768" t="n">
        <v>0</v>
      </c>
      <c r="I768" t="n">
        <v>0</v>
      </c>
      <c r="J768" t="n">
        <v>0</v>
      </c>
      <c r="K768" t="n">
        <v>0</v>
      </c>
      <c r="L768" t="n">
        <v>0</v>
      </c>
      <c r="M768" t="n">
        <v>0</v>
      </c>
      <c r="N768" t="n">
        <v>0</v>
      </c>
      <c r="O768" t="n">
        <v>0</v>
      </c>
      <c r="P768" t="n">
        <v>0</v>
      </c>
      <c r="Q768" t="n">
        <v>0</v>
      </c>
      <c r="R768" s="2" t="inlineStr"/>
    </row>
    <row r="769" ht="15" customHeight="1">
      <c r="A769" t="inlineStr">
        <is>
          <t>A 37602-2025</t>
        </is>
      </c>
      <c r="B769" s="1" t="n">
        <v>45880</v>
      </c>
      <c r="C769" s="1" t="n">
        <v>45963</v>
      </c>
      <c r="D769" t="inlineStr">
        <is>
          <t>ÖREBRO LÄN</t>
        </is>
      </c>
      <c r="E769" t="inlineStr">
        <is>
          <t>LINDESBERG</t>
        </is>
      </c>
      <c r="G769" t="n">
        <v>1</v>
      </c>
      <c r="H769" t="n">
        <v>0</v>
      </c>
      <c r="I769" t="n">
        <v>0</v>
      </c>
      <c r="J769" t="n">
        <v>0</v>
      </c>
      <c r="K769" t="n">
        <v>0</v>
      </c>
      <c r="L769" t="n">
        <v>0</v>
      </c>
      <c r="M769" t="n">
        <v>0</v>
      </c>
      <c r="N769" t="n">
        <v>0</v>
      </c>
      <c r="O769" t="n">
        <v>0</v>
      </c>
      <c r="P769" t="n">
        <v>0</v>
      </c>
      <c r="Q769" t="n">
        <v>0</v>
      </c>
      <c r="R769" s="2" t="inlineStr"/>
    </row>
    <row r="770" ht="15" customHeight="1">
      <c r="A770" t="inlineStr">
        <is>
          <t>A 37625-2025</t>
        </is>
      </c>
      <c r="B770" s="1" t="n">
        <v>45880.46056712963</v>
      </c>
      <c r="C770" s="1" t="n">
        <v>45963</v>
      </c>
      <c r="D770" t="inlineStr">
        <is>
          <t>ÖREBRO LÄN</t>
        </is>
      </c>
      <c r="E770" t="inlineStr">
        <is>
          <t>LINDESBERG</t>
        </is>
      </c>
      <c r="G770" t="n">
        <v>12.5</v>
      </c>
      <c r="H770" t="n">
        <v>0</v>
      </c>
      <c r="I770" t="n">
        <v>0</v>
      </c>
      <c r="J770" t="n">
        <v>0</v>
      </c>
      <c r="K770" t="n">
        <v>0</v>
      </c>
      <c r="L770" t="n">
        <v>0</v>
      </c>
      <c r="M770" t="n">
        <v>0</v>
      </c>
      <c r="N770" t="n">
        <v>0</v>
      </c>
      <c r="O770" t="n">
        <v>0</v>
      </c>
      <c r="P770" t="n">
        <v>0</v>
      </c>
      <c r="Q770" t="n">
        <v>0</v>
      </c>
      <c r="R770" s="2" t="inlineStr"/>
    </row>
    <row r="771" ht="15" customHeight="1">
      <c r="A771" t="inlineStr">
        <is>
          <t>A 37552-2025</t>
        </is>
      </c>
      <c r="B771" s="1" t="n">
        <v>45880.28673611111</v>
      </c>
      <c r="C771" s="1" t="n">
        <v>45963</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14187-2024</t>
        </is>
      </c>
      <c r="B772" s="1" t="n">
        <v>45393.35787037037</v>
      </c>
      <c r="C772" s="1" t="n">
        <v>45963</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18418-2025</t>
        </is>
      </c>
      <c r="B773" s="1" t="n">
        <v>45762.61817129629</v>
      </c>
      <c r="C773" s="1" t="n">
        <v>45963</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48061-2025</t>
        </is>
      </c>
      <c r="B774" s="1" t="n">
        <v>45932.68006944445</v>
      </c>
      <c r="C774" s="1" t="n">
        <v>45963</v>
      </c>
      <c r="D774" t="inlineStr">
        <is>
          <t>ÖREBRO LÄN</t>
        </is>
      </c>
      <c r="E774" t="inlineStr">
        <is>
          <t>LINDESBERG</t>
        </is>
      </c>
      <c r="G774" t="n">
        <v>1.5</v>
      </c>
      <c r="H774" t="n">
        <v>0</v>
      </c>
      <c r="I774" t="n">
        <v>0</v>
      </c>
      <c r="J774" t="n">
        <v>0</v>
      </c>
      <c r="K774" t="n">
        <v>0</v>
      </c>
      <c r="L774" t="n">
        <v>0</v>
      </c>
      <c r="M774" t="n">
        <v>0</v>
      </c>
      <c r="N774" t="n">
        <v>0</v>
      </c>
      <c r="O774" t="n">
        <v>0</v>
      </c>
      <c r="P774" t="n">
        <v>0</v>
      </c>
      <c r="Q774" t="n">
        <v>0</v>
      </c>
      <c r="R774" s="2" t="inlineStr"/>
    </row>
    <row r="775" ht="15" customHeight="1">
      <c r="A775" t="inlineStr">
        <is>
          <t>A 29849-2023</t>
        </is>
      </c>
      <c r="B775" s="1" t="n">
        <v>45107</v>
      </c>
      <c r="C775" s="1" t="n">
        <v>45963</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60105-2022</t>
        </is>
      </c>
      <c r="B776" s="1" t="n">
        <v>44902</v>
      </c>
      <c r="C776" s="1" t="n">
        <v>45963</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37935-2025</t>
        </is>
      </c>
      <c r="B777" s="1" t="n">
        <v>45881.59550925926</v>
      </c>
      <c r="C777" s="1" t="n">
        <v>45963</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15094-2025</t>
        </is>
      </c>
      <c r="B778" s="1" t="n">
        <v>45744.32981481482</v>
      </c>
      <c r="C778" s="1" t="n">
        <v>45963</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33427-2024</t>
        </is>
      </c>
      <c r="B779" s="1" t="n">
        <v>45519.52232638889</v>
      </c>
      <c r="C779" s="1" t="n">
        <v>45963</v>
      </c>
      <c r="D779" t="inlineStr">
        <is>
          <t>ÖREBRO LÄN</t>
        </is>
      </c>
      <c r="E779" t="inlineStr">
        <is>
          <t>LINDESBERG</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37553-2025</t>
        </is>
      </c>
      <c r="B780" s="1" t="n">
        <v>45880.3172337963</v>
      </c>
      <c r="C780" s="1" t="n">
        <v>45963</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29894-2023</t>
        </is>
      </c>
      <c r="B781" s="1" t="n">
        <v>45107</v>
      </c>
      <c r="C781" s="1" t="n">
        <v>45963</v>
      </c>
      <c r="D781" t="inlineStr">
        <is>
          <t>ÖREBRO LÄN</t>
        </is>
      </c>
      <c r="E781" t="inlineStr">
        <is>
          <t>LINDESBERG</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48953-2025</t>
        </is>
      </c>
      <c r="B782" s="1" t="n">
        <v>45937.54697916667</v>
      </c>
      <c r="C782" s="1" t="n">
        <v>45963</v>
      </c>
      <c r="D782" t="inlineStr">
        <is>
          <t>ÖREBRO LÄN</t>
        </is>
      </c>
      <c r="E782" t="inlineStr">
        <is>
          <t>LINDESBERG</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46404-2025</t>
        </is>
      </c>
      <c r="B783" s="1" t="n">
        <v>45925.56173611111</v>
      </c>
      <c r="C783" s="1" t="n">
        <v>45963</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64528-2020</t>
        </is>
      </c>
      <c r="B784" s="1" t="n">
        <v>44169</v>
      </c>
      <c r="C784" s="1" t="n">
        <v>45963</v>
      </c>
      <c r="D784" t="inlineStr">
        <is>
          <t>ÖREBRO LÄN</t>
        </is>
      </c>
      <c r="E784" t="inlineStr">
        <is>
          <t>LINDESBERG</t>
        </is>
      </c>
      <c r="F784" t="inlineStr">
        <is>
          <t>Sveaskog</t>
        </is>
      </c>
      <c r="G784" t="n">
        <v>7.1</v>
      </c>
      <c r="H784" t="n">
        <v>0</v>
      </c>
      <c r="I784" t="n">
        <v>0</v>
      </c>
      <c r="J784" t="n">
        <v>0</v>
      </c>
      <c r="K784" t="n">
        <v>0</v>
      </c>
      <c r="L784" t="n">
        <v>0</v>
      </c>
      <c r="M784" t="n">
        <v>0</v>
      </c>
      <c r="N784" t="n">
        <v>0</v>
      </c>
      <c r="O784" t="n">
        <v>0</v>
      </c>
      <c r="P784" t="n">
        <v>0</v>
      </c>
      <c r="Q784" t="n">
        <v>0</v>
      </c>
      <c r="R784" s="2" t="inlineStr"/>
    </row>
    <row r="785" ht="15" customHeight="1">
      <c r="A785" t="inlineStr">
        <is>
          <t>A 48750-2025</t>
        </is>
      </c>
      <c r="B785" s="1" t="n">
        <v>45936.68452546297</v>
      </c>
      <c r="C785" s="1" t="n">
        <v>45963</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40306-2022</t>
        </is>
      </c>
      <c r="B786" s="1" t="n">
        <v>44822</v>
      </c>
      <c r="C786" s="1" t="n">
        <v>45963</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63668-2023</t>
        </is>
      </c>
      <c r="B787" s="1" t="n">
        <v>45274</v>
      </c>
      <c r="C787" s="1" t="n">
        <v>45963</v>
      </c>
      <c r="D787" t="inlineStr">
        <is>
          <t>ÖREBRO LÄN</t>
        </is>
      </c>
      <c r="E787" t="inlineStr">
        <is>
          <t>LINDESBERG</t>
        </is>
      </c>
      <c r="G787" t="n">
        <v>0.7</v>
      </c>
      <c r="H787" t="n">
        <v>0</v>
      </c>
      <c r="I787" t="n">
        <v>0</v>
      </c>
      <c r="J787" t="n">
        <v>0</v>
      </c>
      <c r="K787" t="n">
        <v>0</v>
      </c>
      <c r="L787" t="n">
        <v>0</v>
      </c>
      <c r="M787" t="n">
        <v>0</v>
      </c>
      <c r="N787" t="n">
        <v>0</v>
      </c>
      <c r="O787" t="n">
        <v>0</v>
      </c>
      <c r="P787" t="n">
        <v>0</v>
      </c>
      <c r="Q787" t="n">
        <v>0</v>
      </c>
      <c r="R787" s="2" t="inlineStr"/>
    </row>
    <row r="788" ht="15" customHeight="1">
      <c r="A788" t="inlineStr">
        <is>
          <t>A 49100-2025</t>
        </is>
      </c>
      <c r="B788" s="1" t="n">
        <v>45937.71556712963</v>
      </c>
      <c r="C788" s="1" t="n">
        <v>45963</v>
      </c>
      <c r="D788" t="inlineStr">
        <is>
          <t>ÖREBRO LÄN</t>
        </is>
      </c>
      <c r="E788" t="inlineStr">
        <is>
          <t>LINDESBERG</t>
        </is>
      </c>
      <c r="G788" t="n">
        <v>2.2</v>
      </c>
      <c r="H788" t="n">
        <v>0</v>
      </c>
      <c r="I788" t="n">
        <v>0</v>
      </c>
      <c r="J788" t="n">
        <v>0</v>
      </c>
      <c r="K788" t="n">
        <v>0</v>
      </c>
      <c r="L788" t="n">
        <v>0</v>
      </c>
      <c r="M788" t="n">
        <v>0</v>
      </c>
      <c r="N788" t="n">
        <v>0</v>
      </c>
      <c r="O788" t="n">
        <v>0</v>
      </c>
      <c r="P788" t="n">
        <v>0</v>
      </c>
      <c r="Q788" t="n">
        <v>0</v>
      </c>
      <c r="R788" s="2" t="inlineStr"/>
    </row>
    <row r="789" ht="15" customHeight="1">
      <c r="A789" t="inlineStr">
        <is>
          <t>A 40347-2025</t>
        </is>
      </c>
      <c r="B789" s="1" t="n">
        <v>45895.4790625</v>
      </c>
      <c r="C789" s="1" t="n">
        <v>45963</v>
      </c>
      <c r="D789" t="inlineStr">
        <is>
          <t>ÖREBRO LÄN</t>
        </is>
      </c>
      <c r="E789" t="inlineStr">
        <is>
          <t>LINDESBERG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40346-2025</t>
        </is>
      </c>
      <c r="B790" s="1" t="n">
        <v>45895.47704861111</v>
      </c>
      <c r="C790" s="1" t="n">
        <v>45963</v>
      </c>
      <c r="D790" t="inlineStr">
        <is>
          <t>ÖREBRO LÄN</t>
        </is>
      </c>
      <c r="E790" t="inlineStr">
        <is>
          <t>LINDESBERG</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40351-2025</t>
        </is>
      </c>
      <c r="B791" s="1" t="n">
        <v>45895.48394675926</v>
      </c>
      <c r="C791" s="1" t="n">
        <v>45963</v>
      </c>
      <c r="D791" t="inlineStr">
        <is>
          <t>ÖREBRO LÄN</t>
        </is>
      </c>
      <c r="E791" t="inlineStr">
        <is>
          <t>LINDESBERG</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40366-2025</t>
        </is>
      </c>
      <c r="B792" s="1" t="n">
        <v>45895.49994212963</v>
      </c>
      <c r="C792" s="1" t="n">
        <v>45963</v>
      </c>
      <c r="D792" t="inlineStr">
        <is>
          <t>ÖREBRO LÄN</t>
        </is>
      </c>
      <c r="E792" t="inlineStr">
        <is>
          <t>LINDESBERG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48618-2025</t>
        </is>
      </c>
      <c r="B793" s="1" t="n">
        <v>45936.49026620371</v>
      </c>
      <c r="C793" s="1" t="n">
        <v>45963</v>
      </c>
      <c r="D793" t="inlineStr">
        <is>
          <t>ÖREBRO LÄN</t>
        </is>
      </c>
      <c r="E793" t="inlineStr">
        <is>
          <t>LINDESBERG</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48489-2025</t>
        </is>
      </c>
      <c r="B794" s="1" t="n">
        <v>45936.36637731481</v>
      </c>
      <c r="C794" s="1" t="n">
        <v>45963</v>
      </c>
      <c r="D794" t="inlineStr">
        <is>
          <t>ÖREBRO LÄN</t>
        </is>
      </c>
      <c r="E794" t="inlineStr">
        <is>
          <t>LINDESBERG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48620-2025</t>
        </is>
      </c>
      <c r="B795" s="1" t="n">
        <v>45936.49210648148</v>
      </c>
      <c r="C795" s="1" t="n">
        <v>45963</v>
      </c>
      <c r="D795" t="inlineStr">
        <is>
          <t>ÖREBRO LÄN</t>
        </is>
      </c>
      <c r="E795" t="inlineStr">
        <is>
          <t>LINDESBERG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4539-2025</t>
        </is>
      </c>
      <c r="B796" s="1" t="n">
        <v>45687</v>
      </c>
      <c r="C796" s="1" t="n">
        <v>45963</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48495-2025</t>
        </is>
      </c>
      <c r="B797" s="1" t="n">
        <v>45936.37237268518</v>
      </c>
      <c r="C797" s="1" t="n">
        <v>45963</v>
      </c>
      <c r="D797" t="inlineStr">
        <is>
          <t>ÖREBRO LÄN</t>
        </is>
      </c>
      <c r="E797" t="inlineStr">
        <is>
          <t>LINDESBERG</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44675-2021</t>
        </is>
      </c>
      <c r="B798" s="1" t="n">
        <v>44438</v>
      </c>
      <c r="C798" s="1" t="n">
        <v>45963</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37604-2025</t>
        </is>
      </c>
      <c r="B799" s="1" t="n">
        <v>45880</v>
      </c>
      <c r="C799" s="1" t="n">
        <v>45963</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48971-2025</t>
        </is>
      </c>
      <c r="B800" s="1" t="n">
        <v>45937.56420138889</v>
      </c>
      <c r="C800" s="1" t="n">
        <v>45963</v>
      </c>
      <c r="D800" t="inlineStr">
        <is>
          <t>ÖREBRO LÄN</t>
        </is>
      </c>
      <c r="E800" t="inlineStr">
        <is>
          <t>LINDESBERG</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48993-2025</t>
        </is>
      </c>
      <c r="B801" s="1" t="n">
        <v>45937.58590277778</v>
      </c>
      <c r="C801" s="1" t="n">
        <v>45963</v>
      </c>
      <c r="D801" t="inlineStr">
        <is>
          <t>ÖREBRO LÄN</t>
        </is>
      </c>
      <c r="E801" t="inlineStr">
        <is>
          <t>LINDESBERG</t>
        </is>
      </c>
      <c r="F801" t="inlineStr">
        <is>
          <t>Kyrkan</t>
        </is>
      </c>
      <c r="G801" t="n">
        <v>4</v>
      </c>
      <c r="H801" t="n">
        <v>0</v>
      </c>
      <c r="I801" t="n">
        <v>0</v>
      </c>
      <c r="J801" t="n">
        <v>0</v>
      </c>
      <c r="K801" t="n">
        <v>0</v>
      </c>
      <c r="L801" t="n">
        <v>0</v>
      </c>
      <c r="M801" t="n">
        <v>0</v>
      </c>
      <c r="N801" t="n">
        <v>0</v>
      </c>
      <c r="O801" t="n">
        <v>0</v>
      </c>
      <c r="P801" t="n">
        <v>0</v>
      </c>
      <c r="Q801" t="n">
        <v>0</v>
      </c>
      <c r="R801" s="2" t="inlineStr"/>
    </row>
    <row r="802" ht="15" customHeight="1">
      <c r="A802" t="inlineStr">
        <is>
          <t>A 48497-2025</t>
        </is>
      </c>
      <c r="B802" s="1" t="n">
        <v>45936.37523148148</v>
      </c>
      <c r="C802" s="1" t="n">
        <v>45963</v>
      </c>
      <c r="D802" t="inlineStr">
        <is>
          <t>ÖREBRO LÄN</t>
        </is>
      </c>
      <c r="E802" t="inlineStr">
        <is>
          <t>LINDESBERG</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46484-2025</t>
        </is>
      </c>
      <c r="B803" s="1" t="n">
        <v>45925.70290509259</v>
      </c>
      <c r="C803" s="1" t="n">
        <v>45963</v>
      </c>
      <c r="D803" t="inlineStr">
        <is>
          <t>ÖREBRO LÄN</t>
        </is>
      </c>
      <c r="E803" t="inlineStr">
        <is>
          <t>LINDESBERG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59633-2023</t>
        </is>
      </c>
      <c r="B804" s="1" t="n">
        <v>45254</v>
      </c>
      <c r="C804" s="1" t="n">
        <v>45963</v>
      </c>
      <c r="D804" t="inlineStr">
        <is>
          <t>ÖREBRO LÄN</t>
        </is>
      </c>
      <c r="E804" t="inlineStr">
        <is>
          <t>LINDESBERG</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48867-2025</t>
        </is>
      </c>
      <c r="B805" s="1" t="n">
        <v>45937.4484837963</v>
      </c>
      <c r="C805" s="1" t="n">
        <v>45963</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40357-2025</t>
        </is>
      </c>
      <c r="B806" s="1" t="n">
        <v>45895.48927083334</v>
      </c>
      <c r="C806" s="1" t="n">
        <v>45963</v>
      </c>
      <c r="D806" t="inlineStr">
        <is>
          <t>ÖREBRO LÄN</t>
        </is>
      </c>
      <c r="E806" t="inlineStr">
        <is>
          <t>LINDESBERG</t>
        </is>
      </c>
      <c r="F806" t="inlineStr">
        <is>
          <t>Sveaskog</t>
        </is>
      </c>
      <c r="G806" t="n">
        <v>2.7</v>
      </c>
      <c r="H806" t="n">
        <v>0</v>
      </c>
      <c r="I806" t="n">
        <v>0</v>
      </c>
      <c r="J806" t="n">
        <v>0</v>
      </c>
      <c r="K806" t="n">
        <v>0</v>
      </c>
      <c r="L806" t="n">
        <v>0</v>
      </c>
      <c r="M806" t="n">
        <v>0</v>
      </c>
      <c r="N806" t="n">
        <v>0</v>
      </c>
      <c r="O806" t="n">
        <v>0</v>
      </c>
      <c r="P806" t="n">
        <v>0</v>
      </c>
      <c r="Q806" t="n">
        <v>0</v>
      </c>
      <c r="R806" s="2" t="inlineStr"/>
    </row>
    <row r="807" ht="15" customHeight="1">
      <c r="A807" t="inlineStr">
        <is>
          <t>A 13416-2025</t>
        </is>
      </c>
      <c r="B807" s="1" t="n">
        <v>45736.308125</v>
      </c>
      <c r="C807" s="1" t="n">
        <v>45963</v>
      </c>
      <c r="D807" t="inlineStr">
        <is>
          <t>ÖREBRO LÄN</t>
        </is>
      </c>
      <c r="E807" t="inlineStr">
        <is>
          <t>LINDESBERG</t>
        </is>
      </c>
      <c r="G807" t="n">
        <v>2.2</v>
      </c>
      <c r="H807" t="n">
        <v>0</v>
      </c>
      <c r="I807" t="n">
        <v>0</v>
      </c>
      <c r="J807" t="n">
        <v>0</v>
      </c>
      <c r="K807" t="n">
        <v>0</v>
      </c>
      <c r="L807" t="n">
        <v>0</v>
      </c>
      <c r="M807" t="n">
        <v>0</v>
      </c>
      <c r="N807" t="n">
        <v>0</v>
      </c>
      <c r="O807" t="n">
        <v>0</v>
      </c>
      <c r="P807" t="n">
        <v>0</v>
      </c>
      <c r="Q807" t="n">
        <v>0</v>
      </c>
      <c r="R807" s="2" t="inlineStr"/>
    </row>
    <row r="808" ht="15" customHeight="1">
      <c r="A808" t="inlineStr">
        <is>
          <t>A 48975-2025</t>
        </is>
      </c>
      <c r="B808" s="1" t="n">
        <v>45937.56798611111</v>
      </c>
      <c r="C808" s="1" t="n">
        <v>45963</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27051-2023</t>
        </is>
      </c>
      <c r="B809" s="1" t="n">
        <v>45095</v>
      </c>
      <c r="C809" s="1" t="n">
        <v>45963</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43801-2024</t>
        </is>
      </c>
      <c r="B810" s="1" t="n">
        <v>45571.71736111111</v>
      </c>
      <c r="C810" s="1" t="n">
        <v>45963</v>
      </c>
      <c r="D810" t="inlineStr">
        <is>
          <t>ÖREBRO LÄN</t>
        </is>
      </c>
      <c r="E810" t="inlineStr">
        <is>
          <t>LINDESBERG</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49133-2025</t>
        </is>
      </c>
      <c r="B811" s="1" t="n">
        <v>45937.92319444445</v>
      </c>
      <c r="C811" s="1" t="n">
        <v>45963</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49707-2025</t>
        </is>
      </c>
      <c r="B812" s="1" t="n">
        <v>45939.67951388889</v>
      </c>
      <c r="C812" s="1" t="n">
        <v>45963</v>
      </c>
      <c r="D812" t="inlineStr">
        <is>
          <t>ÖREBRO LÄN</t>
        </is>
      </c>
      <c r="E812" t="inlineStr">
        <is>
          <t>LINDESBERG</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45072-2024</t>
        </is>
      </c>
      <c r="B813" s="1" t="n">
        <v>45575.56686342593</v>
      </c>
      <c r="C813" s="1" t="n">
        <v>45963</v>
      </c>
      <c r="D813" t="inlineStr">
        <is>
          <t>ÖREBRO LÄN</t>
        </is>
      </c>
      <c r="E813" t="inlineStr">
        <is>
          <t>LINDESBERG</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45075-2024</t>
        </is>
      </c>
      <c r="B814" s="1" t="n">
        <v>45575.56820601852</v>
      </c>
      <c r="C814" s="1" t="n">
        <v>45963</v>
      </c>
      <c r="D814" t="inlineStr">
        <is>
          <t>ÖREBRO LÄN</t>
        </is>
      </c>
      <c r="E814" t="inlineStr">
        <is>
          <t>LINDESBERG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61405-2022</t>
        </is>
      </c>
      <c r="B815" s="1" t="n">
        <v>44916</v>
      </c>
      <c r="C815" s="1" t="n">
        <v>45963</v>
      </c>
      <c r="D815" t="inlineStr">
        <is>
          <t>ÖREBRO LÄN</t>
        </is>
      </c>
      <c r="E815" t="inlineStr">
        <is>
          <t>LINDESBERG</t>
        </is>
      </c>
      <c r="G815" t="n">
        <v>4.4</v>
      </c>
      <c r="H815" t="n">
        <v>0</v>
      </c>
      <c r="I815" t="n">
        <v>0</v>
      </c>
      <c r="J815" t="n">
        <v>0</v>
      </c>
      <c r="K815" t="n">
        <v>0</v>
      </c>
      <c r="L815" t="n">
        <v>0</v>
      </c>
      <c r="M815" t="n">
        <v>0</v>
      </c>
      <c r="N815" t="n">
        <v>0</v>
      </c>
      <c r="O815" t="n">
        <v>0</v>
      </c>
      <c r="P815" t="n">
        <v>0</v>
      </c>
      <c r="Q815" t="n">
        <v>0</v>
      </c>
      <c r="R815" s="2" t="inlineStr"/>
    </row>
    <row r="816" ht="15" customHeight="1">
      <c r="A816" t="inlineStr">
        <is>
          <t>A 40563-2023</t>
        </is>
      </c>
      <c r="B816" s="1" t="n">
        <v>45170.45921296296</v>
      </c>
      <c r="C816" s="1" t="n">
        <v>45963</v>
      </c>
      <c r="D816" t="inlineStr">
        <is>
          <t>ÖREBRO LÄN</t>
        </is>
      </c>
      <c r="E816" t="inlineStr">
        <is>
          <t>LINDESBERG</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38613-2024</t>
        </is>
      </c>
      <c r="B817" s="1" t="n">
        <v>45546.68743055555</v>
      </c>
      <c r="C817" s="1" t="n">
        <v>45963</v>
      </c>
      <c r="D817" t="inlineStr">
        <is>
          <t>ÖREBRO LÄN</t>
        </is>
      </c>
      <c r="E817" t="inlineStr">
        <is>
          <t>LINDESBERG</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49183-2025</t>
        </is>
      </c>
      <c r="B818" s="1" t="n">
        <v>45938.39741898148</v>
      </c>
      <c r="C818" s="1" t="n">
        <v>45963</v>
      </c>
      <c r="D818" t="inlineStr">
        <is>
          <t>ÖREBRO LÄN</t>
        </is>
      </c>
      <c r="E818" t="inlineStr">
        <is>
          <t>LINDESBERG</t>
        </is>
      </c>
      <c r="G818" t="n">
        <v>4.4</v>
      </c>
      <c r="H818" t="n">
        <v>0</v>
      </c>
      <c r="I818" t="n">
        <v>0</v>
      </c>
      <c r="J818" t="n">
        <v>0</v>
      </c>
      <c r="K818" t="n">
        <v>0</v>
      </c>
      <c r="L818" t="n">
        <v>0</v>
      </c>
      <c r="M818" t="n">
        <v>0</v>
      </c>
      <c r="N818" t="n">
        <v>0</v>
      </c>
      <c r="O818" t="n">
        <v>0</v>
      </c>
      <c r="P818" t="n">
        <v>0</v>
      </c>
      <c r="Q818" t="n">
        <v>0</v>
      </c>
      <c r="R818" s="2" t="inlineStr"/>
    </row>
    <row r="819" ht="15" customHeight="1">
      <c r="A819" t="inlineStr">
        <is>
          <t>A 49358-2023</t>
        </is>
      </c>
      <c r="B819" s="1" t="n">
        <v>45211</v>
      </c>
      <c r="C819" s="1" t="n">
        <v>45963</v>
      </c>
      <c r="D819" t="inlineStr">
        <is>
          <t>ÖREBRO LÄN</t>
        </is>
      </c>
      <c r="E819" t="inlineStr">
        <is>
          <t>LINDESBERG</t>
        </is>
      </c>
      <c r="F819" t="inlineStr">
        <is>
          <t>Sveaskog</t>
        </is>
      </c>
      <c r="G819" t="n">
        <v>4.7</v>
      </c>
      <c r="H819" t="n">
        <v>0</v>
      </c>
      <c r="I819" t="n">
        <v>0</v>
      </c>
      <c r="J819" t="n">
        <v>0</v>
      </c>
      <c r="K819" t="n">
        <v>0</v>
      </c>
      <c r="L819" t="n">
        <v>0</v>
      </c>
      <c r="M819" t="n">
        <v>0</v>
      </c>
      <c r="N819" t="n">
        <v>0</v>
      </c>
      <c r="O819" t="n">
        <v>0</v>
      </c>
      <c r="P819" t="n">
        <v>0</v>
      </c>
      <c r="Q819" t="n">
        <v>0</v>
      </c>
      <c r="R819" s="2" t="inlineStr"/>
    </row>
    <row r="820" ht="15" customHeight="1">
      <c r="A820" t="inlineStr">
        <is>
          <t>A 49946-2025</t>
        </is>
      </c>
      <c r="B820" s="1" t="n">
        <v>45940.69862268519</v>
      </c>
      <c r="C820" s="1" t="n">
        <v>45963</v>
      </c>
      <c r="D820" t="inlineStr">
        <is>
          <t>ÖREBRO LÄN</t>
        </is>
      </c>
      <c r="E820" t="inlineStr">
        <is>
          <t>LINDESBERG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49943-2025</t>
        </is>
      </c>
      <c r="B821" s="1" t="n">
        <v>45940.69521990741</v>
      </c>
      <c r="C821" s="1" t="n">
        <v>45963</v>
      </c>
      <c r="D821" t="inlineStr">
        <is>
          <t>ÖREBRO LÄN</t>
        </is>
      </c>
      <c r="E821" t="inlineStr">
        <is>
          <t>LINDESBERG</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41340-2025</t>
        </is>
      </c>
      <c r="B822" s="1" t="n">
        <v>45899.38057870371</v>
      </c>
      <c r="C822" s="1" t="n">
        <v>45963</v>
      </c>
      <c r="D822" t="inlineStr">
        <is>
          <t>ÖREBRO LÄN</t>
        </is>
      </c>
      <c r="E822" t="inlineStr">
        <is>
          <t>LINDESBERG</t>
        </is>
      </c>
      <c r="G822" t="n">
        <v>16.5</v>
      </c>
      <c r="H822" t="n">
        <v>0</v>
      </c>
      <c r="I822" t="n">
        <v>0</v>
      </c>
      <c r="J822" t="n">
        <v>0</v>
      </c>
      <c r="K822" t="n">
        <v>0</v>
      </c>
      <c r="L822" t="n">
        <v>0</v>
      </c>
      <c r="M822" t="n">
        <v>0</v>
      </c>
      <c r="N822" t="n">
        <v>0</v>
      </c>
      <c r="O822" t="n">
        <v>0</v>
      </c>
      <c r="P822" t="n">
        <v>0</v>
      </c>
      <c r="Q822" t="n">
        <v>0</v>
      </c>
      <c r="R822" s="2" t="inlineStr"/>
    </row>
    <row r="823" ht="15" customHeight="1">
      <c r="A823" t="inlineStr">
        <is>
          <t>A 72331-2021</t>
        </is>
      </c>
      <c r="B823" s="1" t="n">
        <v>44544</v>
      </c>
      <c r="C823" s="1" t="n">
        <v>45963</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41027-2025</t>
        </is>
      </c>
      <c r="B824" s="1" t="n">
        <v>45898.37138888889</v>
      </c>
      <c r="C824" s="1" t="n">
        <v>45963</v>
      </c>
      <c r="D824" t="inlineStr">
        <is>
          <t>ÖREBRO LÄN</t>
        </is>
      </c>
      <c r="E824" t="inlineStr">
        <is>
          <t>LINDESBERG</t>
        </is>
      </c>
      <c r="G824" t="n">
        <v>4.7</v>
      </c>
      <c r="H824" t="n">
        <v>0</v>
      </c>
      <c r="I824" t="n">
        <v>0</v>
      </c>
      <c r="J824" t="n">
        <v>0</v>
      </c>
      <c r="K824" t="n">
        <v>0</v>
      </c>
      <c r="L824" t="n">
        <v>0</v>
      </c>
      <c r="M824" t="n">
        <v>0</v>
      </c>
      <c r="N824" t="n">
        <v>0</v>
      </c>
      <c r="O824" t="n">
        <v>0</v>
      </c>
      <c r="P824" t="n">
        <v>0</v>
      </c>
      <c r="Q824" t="n">
        <v>0</v>
      </c>
      <c r="R824" s="2" t="inlineStr"/>
    </row>
    <row r="825" ht="15" customHeight="1">
      <c r="A825" t="inlineStr">
        <is>
          <t>A 49947-2025</t>
        </is>
      </c>
      <c r="B825" s="1" t="n">
        <v>45940.70018518518</v>
      </c>
      <c r="C825" s="1" t="n">
        <v>45963</v>
      </c>
      <c r="D825" t="inlineStr">
        <is>
          <t>ÖREBRO LÄN</t>
        </is>
      </c>
      <c r="E825" t="inlineStr">
        <is>
          <t>LINDESBERG</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50086-2025</t>
        </is>
      </c>
      <c r="B826" s="1" t="n">
        <v>45943.47649305555</v>
      </c>
      <c r="C826" s="1" t="n">
        <v>45963</v>
      </c>
      <c r="D826" t="inlineStr">
        <is>
          <t>ÖREBRO LÄN</t>
        </is>
      </c>
      <c r="E826" t="inlineStr">
        <is>
          <t>LINDESBERG</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50073-2025</t>
        </is>
      </c>
      <c r="B827" s="1" t="n">
        <v>45943.4603125</v>
      </c>
      <c r="C827" s="1" t="n">
        <v>45963</v>
      </c>
      <c r="D827" t="inlineStr">
        <is>
          <t>ÖREBRO LÄN</t>
        </is>
      </c>
      <c r="E827" t="inlineStr">
        <is>
          <t>LINDESBERG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54663-2021</t>
        </is>
      </c>
      <c r="B828" s="1" t="n">
        <v>44473.6343287037</v>
      </c>
      <c r="C828" s="1" t="n">
        <v>45963</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57795-2021</t>
        </is>
      </c>
      <c r="B829" s="1" t="n">
        <v>44484</v>
      </c>
      <c r="C829" s="1" t="n">
        <v>45963</v>
      </c>
      <c r="D829" t="inlineStr">
        <is>
          <t>ÖREBRO LÄN</t>
        </is>
      </c>
      <c r="E829" t="inlineStr">
        <is>
          <t>LINDESBERG</t>
        </is>
      </c>
      <c r="G829" t="n">
        <v>39.4</v>
      </c>
      <c r="H829" t="n">
        <v>0</v>
      </c>
      <c r="I829" t="n">
        <v>0</v>
      </c>
      <c r="J829" t="n">
        <v>0</v>
      </c>
      <c r="K829" t="n">
        <v>0</v>
      </c>
      <c r="L829" t="n">
        <v>0</v>
      </c>
      <c r="M829" t="n">
        <v>0</v>
      </c>
      <c r="N829" t="n">
        <v>0</v>
      </c>
      <c r="O829" t="n">
        <v>0</v>
      </c>
      <c r="P829" t="n">
        <v>0</v>
      </c>
      <c r="Q829" t="n">
        <v>0</v>
      </c>
      <c r="R829" s="2" t="inlineStr"/>
    </row>
    <row r="830" ht="15" customHeight="1">
      <c r="A830" t="inlineStr">
        <is>
          <t>A 27031-2024</t>
        </is>
      </c>
      <c r="B830" s="1" t="n">
        <v>45471.42659722222</v>
      </c>
      <c r="C830" s="1" t="n">
        <v>45963</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49944-2025</t>
        </is>
      </c>
      <c r="B831" s="1" t="n">
        <v>45940.69643518519</v>
      </c>
      <c r="C831" s="1" t="n">
        <v>45963</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50072-2025</t>
        </is>
      </c>
      <c r="B832" s="1" t="n">
        <v>45943.45966435185</v>
      </c>
      <c r="C832" s="1" t="n">
        <v>45963</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41889-2025</t>
        </is>
      </c>
      <c r="B833" s="1" t="n">
        <v>45903.37475694445</v>
      </c>
      <c r="C833" s="1" t="n">
        <v>45963</v>
      </c>
      <c r="D833" t="inlineStr">
        <is>
          <t>ÖREBRO LÄN</t>
        </is>
      </c>
      <c r="E833" t="inlineStr">
        <is>
          <t>LINDESBERG</t>
        </is>
      </c>
      <c r="F833" t="inlineStr">
        <is>
          <t>Sveaskog</t>
        </is>
      </c>
      <c r="G833" t="n">
        <v>7.7</v>
      </c>
      <c r="H833" t="n">
        <v>0</v>
      </c>
      <c r="I833" t="n">
        <v>0</v>
      </c>
      <c r="J833" t="n">
        <v>0</v>
      </c>
      <c r="K833" t="n">
        <v>0</v>
      </c>
      <c r="L833" t="n">
        <v>0</v>
      </c>
      <c r="M833" t="n">
        <v>0</v>
      </c>
      <c r="N833" t="n">
        <v>0</v>
      </c>
      <c r="O833" t="n">
        <v>0</v>
      </c>
      <c r="P833" t="n">
        <v>0</v>
      </c>
      <c r="Q833" t="n">
        <v>0</v>
      </c>
      <c r="R833" s="2" t="inlineStr"/>
    </row>
    <row r="834" ht="15" customHeight="1">
      <c r="A834" t="inlineStr">
        <is>
          <t>A 41653-2025</t>
        </is>
      </c>
      <c r="B834" s="1" t="n">
        <v>45902.3406712963</v>
      </c>
      <c r="C834" s="1" t="n">
        <v>45963</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50933-2025</t>
        </is>
      </c>
      <c r="B835" s="1" t="n">
        <v>45946.68859953704</v>
      </c>
      <c r="C835" s="1" t="n">
        <v>45963</v>
      </c>
      <c r="D835" t="inlineStr">
        <is>
          <t>ÖREBRO LÄN</t>
        </is>
      </c>
      <c r="E835" t="inlineStr">
        <is>
          <t>LINDESBERG</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50936-2025</t>
        </is>
      </c>
      <c r="B836" s="1" t="n">
        <v>45946.69616898148</v>
      </c>
      <c r="C836" s="1" t="n">
        <v>45963</v>
      </c>
      <c r="D836" t="inlineStr">
        <is>
          <t>ÖREBRO LÄN</t>
        </is>
      </c>
      <c r="E836" t="inlineStr">
        <is>
          <t>LINDESBERG</t>
        </is>
      </c>
      <c r="G836" t="n">
        <v>2.9</v>
      </c>
      <c r="H836" t="n">
        <v>0</v>
      </c>
      <c r="I836" t="n">
        <v>0</v>
      </c>
      <c r="J836" t="n">
        <v>0</v>
      </c>
      <c r="K836" t="n">
        <v>0</v>
      </c>
      <c r="L836" t="n">
        <v>0</v>
      </c>
      <c r="M836" t="n">
        <v>0</v>
      </c>
      <c r="N836" t="n">
        <v>0</v>
      </c>
      <c r="O836" t="n">
        <v>0</v>
      </c>
      <c r="P836" t="n">
        <v>0</v>
      </c>
      <c r="Q836" t="n">
        <v>0</v>
      </c>
      <c r="R836" s="2" t="inlineStr"/>
    </row>
    <row r="837" ht="15" customHeight="1">
      <c r="A837" t="inlineStr">
        <is>
          <t>A 51186-2025</t>
        </is>
      </c>
      <c r="B837" s="1" t="n">
        <v>45947.62353009259</v>
      </c>
      <c r="C837" s="1" t="n">
        <v>45963</v>
      </c>
      <c r="D837" t="inlineStr">
        <is>
          <t>ÖREBRO LÄN</t>
        </is>
      </c>
      <c r="E837" t="inlineStr">
        <is>
          <t>LINDESBERG</t>
        </is>
      </c>
      <c r="G837" t="n">
        <v>1</v>
      </c>
      <c r="H837" t="n">
        <v>0</v>
      </c>
      <c r="I837" t="n">
        <v>0</v>
      </c>
      <c r="J837" t="n">
        <v>0</v>
      </c>
      <c r="K837" t="n">
        <v>0</v>
      </c>
      <c r="L837" t="n">
        <v>0</v>
      </c>
      <c r="M837" t="n">
        <v>0</v>
      </c>
      <c r="N837" t="n">
        <v>0</v>
      </c>
      <c r="O837" t="n">
        <v>0</v>
      </c>
      <c r="P837" t="n">
        <v>0</v>
      </c>
      <c r="Q837" t="n">
        <v>0</v>
      </c>
      <c r="R837" s="2" t="inlineStr"/>
    </row>
    <row r="838" ht="15" customHeight="1">
      <c r="A838" t="inlineStr">
        <is>
          <t>A 51030-2025</t>
        </is>
      </c>
      <c r="B838" s="1" t="n">
        <v>45947.40105324074</v>
      </c>
      <c r="C838" s="1" t="n">
        <v>45963</v>
      </c>
      <c r="D838" t="inlineStr">
        <is>
          <t>ÖREBRO LÄN</t>
        </is>
      </c>
      <c r="E838" t="inlineStr">
        <is>
          <t>LINDESBERG</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51172-2025</t>
        </is>
      </c>
      <c r="B839" s="1" t="n">
        <v>45947.60508101852</v>
      </c>
      <c r="C839" s="1" t="n">
        <v>45963</v>
      </c>
      <c r="D839" t="inlineStr">
        <is>
          <t>ÖREBRO LÄN</t>
        </is>
      </c>
      <c r="E839" t="inlineStr">
        <is>
          <t>LINDESBERG</t>
        </is>
      </c>
      <c r="F839" t="inlineStr">
        <is>
          <t>Kyrkan</t>
        </is>
      </c>
      <c r="G839" t="n">
        <v>0.9</v>
      </c>
      <c r="H839" t="n">
        <v>0</v>
      </c>
      <c r="I839" t="n">
        <v>0</v>
      </c>
      <c r="J839" t="n">
        <v>0</v>
      </c>
      <c r="K839" t="n">
        <v>0</v>
      </c>
      <c r="L839" t="n">
        <v>0</v>
      </c>
      <c r="M839" t="n">
        <v>0</v>
      </c>
      <c r="N839" t="n">
        <v>0</v>
      </c>
      <c r="O839" t="n">
        <v>0</v>
      </c>
      <c r="P839" t="n">
        <v>0</v>
      </c>
      <c r="Q839" t="n">
        <v>0</v>
      </c>
      <c r="R839" s="2" t="inlineStr"/>
    </row>
    <row r="840" ht="15" customHeight="1">
      <c r="A840" t="inlineStr">
        <is>
          <t>A 50765-2025</t>
        </is>
      </c>
      <c r="B840" s="1" t="n">
        <v>45946.44216435185</v>
      </c>
      <c r="C840" s="1" t="n">
        <v>45963</v>
      </c>
      <c r="D840" t="inlineStr">
        <is>
          <t>ÖREBRO LÄN</t>
        </is>
      </c>
      <c r="E840" t="inlineStr">
        <is>
          <t>LINDESBERG</t>
        </is>
      </c>
      <c r="F840" t="inlineStr">
        <is>
          <t>Sveaskog</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42630-2025</t>
        </is>
      </c>
      <c r="B841" s="1" t="n">
        <v>45905.89143518519</v>
      </c>
      <c r="C841" s="1" t="n">
        <v>45963</v>
      </c>
      <c r="D841" t="inlineStr">
        <is>
          <t>ÖREBRO LÄN</t>
        </is>
      </c>
      <c r="E841" t="inlineStr">
        <is>
          <t>LINDESBERG</t>
        </is>
      </c>
      <c r="F841" t="inlineStr">
        <is>
          <t>Sveaskog</t>
        </is>
      </c>
      <c r="G841" t="n">
        <v>9.9</v>
      </c>
      <c r="H841" t="n">
        <v>0</v>
      </c>
      <c r="I841" t="n">
        <v>0</v>
      </c>
      <c r="J841" t="n">
        <v>0</v>
      </c>
      <c r="K841" t="n">
        <v>0</v>
      </c>
      <c r="L841" t="n">
        <v>0</v>
      </c>
      <c r="M841" t="n">
        <v>0</v>
      </c>
      <c r="N841" t="n">
        <v>0</v>
      </c>
      <c r="O841" t="n">
        <v>0</v>
      </c>
      <c r="P841" t="n">
        <v>0</v>
      </c>
      <c r="Q841" t="n">
        <v>0</v>
      </c>
      <c r="R841" s="2" t="inlineStr"/>
    </row>
    <row r="842" ht="15" customHeight="1">
      <c r="A842" t="inlineStr">
        <is>
          <t>A 42631-2025</t>
        </is>
      </c>
      <c r="B842" s="1" t="n">
        <v>45905.89236111111</v>
      </c>
      <c r="C842" s="1" t="n">
        <v>45963</v>
      </c>
      <c r="D842" t="inlineStr">
        <is>
          <t>ÖREBRO LÄN</t>
        </is>
      </c>
      <c r="E842" t="inlineStr">
        <is>
          <t>LINDESBERG</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42632-2025</t>
        </is>
      </c>
      <c r="B843" s="1" t="n">
        <v>45905.89329861111</v>
      </c>
      <c r="C843" s="1" t="n">
        <v>45963</v>
      </c>
      <c r="D843" t="inlineStr">
        <is>
          <t>ÖREBRO LÄN</t>
        </is>
      </c>
      <c r="E843" t="inlineStr">
        <is>
          <t>LINDESBERG</t>
        </is>
      </c>
      <c r="F843" t="inlineStr">
        <is>
          <t>Sveaskog</t>
        </is>
      </c>
      <c r="G843" t="n">
        <v>6.7</v>
      </c>
      <c r="H843" t="n">
        <v>0</v>
      </c>
      <c r="I843" t="n">
        <v>0</v>
      </c>
      <c r="J843" t="n">
        <v>0</v>
      </c>
      <c r="K843" t="n">
        <v>0</v>
      </c>
      <c r="L843" t="n">
        <v>0</v>
      </c>
      <c r="M843" t="n">
        <v>0</v>
      </c>
      <c r="N843" t="n">
        <v>0</v>
      </c>
      <c r="O843" t="n">
        <v>0</v>
      </c>
      <c r="P843" t="n">
        <v>0</v>
      </c>
      <c r="Q843" t="n">
        <v>0</v>
      </c>
      <c r="R843" s="2" t="inlineStr"/>
    </row>
    <row r="844" ht="15" customHeight="1">
      <c r="A844" t="inlineStr">
        <is>
          <t>A 37843-2025</t>
        </is>
      </c>
      <c r="B844" s="1" t="n">
        <v>45881.43759259259</v>
      </c>
      <c r="C844" s="1" t="n">
        <v>45963</v>
      </c>
      <c r="D844" t="inlineStr">
        <is>
          <t>ÖREBRO LÄN</t>
        </is>
      </c>
      <c r="E844" t="inlineStr">
        <is>
          <t>LINDESBERG</t>
        </is>
      </c>
      <c r="G844" t="n">
        <v>5.2</v>
      </c>
      <c r="H844" t="n">
        <v>0</v>
      </c>
      <c r="I844" t="n">
        <v>0</v>
      </c>
      <c r="J844" t="n">
        <v>0</v>
      </c>
      <c r="K844" t="n">
        <v>0</v>
      </c>
      <c r="L844" t="n">
        <v>0</v>
      </c>
      <c r="M844" t="n">
        <v>0</v>
      </c>
      <c r="N844" t="n">
        <v>0</v>
      </c>
      <c r="O844" t="n">
        <v>0</v>
      </c>
      <c r="P844" t="n">
        <v>0</v>
      </c>
      <c r="Q844" t="n">
        <v>0</v>
      </c>
      <c r="R844" s="2" t="inlineStr"/>
    </row>
    <row r="845" ht="15" customHeight="1">
      <c r="A845" t="inlineStr">
        <is>
          <t>A 52102-2025</t>
        </is>
      </c>
      <c r="B845" s="1" t="n">
        <v>45952.68358796297</v>
      </c>
      <c r="C845" s="1" t="n">
        <v>45963</v>
      </c>
      <c r="D845" t="inlineStr">
        <is>
          <t>ÖREBRO LÄN</t>
        </is>
      </c>
      <c r="E845" t="inlineStr">
        <is>
          <t>LINDESBERG</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51851-2025</t>
        </is>
      </c>
      <c r="B846" s="1" t="n">
        <v>45952.35611111111</v>
      </c>
      <c r="C846" s="1" t="n">
        <v>45963</v>
      </c>
      <c r="D846" t="inlineStr">
        <is>
          <t>ÖREBRO LÄN</t>
        </is>
      </c>
      <c r="E846" t="inlineStr">
        <is>
          <t>LINDESBERG</t>
        </is>
      </c>
      <c r="G846" t="n">
        <v>6.9</v>
      </c>
      <c r="H846" t="n">
        <v>0</v>
      </c>
      <c r="I846" t="n">
        <v>0</v>
      </c>
      <c r="J846" t="n">
        <v>0</v>
      </c>
      <c r="K846" t="n">
        <v>0</v>
      </c>
      <c r="L846" t="n">
        <v>0</v>
      </c>
      <c r="M846" t="n">
        <v>0</v>
      </c>
      <c r="N846" t="n">
        <v>0</v>
      </c>
      <c r="O846" t="n">
        <v>0</v>
      </c>
      <c r="P846" t="n">
        <v>0</v>
      </c>
      <c r="Q846" t="n">
        <v>0</v>
      </c>
      <c r="R846" s="2" t="inlineStr"/>
    </row>
    <row r="847" ht="15" customHeight="1">
      <c r="A847" t="inlineStr">
        <is>
          <t>A 52104-2025</t>
        </is>
      </c>
      <c r="B847" s="1" t="n">
        <v>45952.68524305556</v>
      </c>
      <c r="C847" s="1" t="n">
        <v>45963</v>
      </c>
      <c r="D847" t="inlineStr">
        <is>
          <t>ÖREBRO LÄN</t>
        </is>
      </c>
      <c r="E847" t="inlineStr">
        <is>
          <t>LINDESBERG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52298-2025</t>
        </is>
      </c>
      <c r="B848" s="1" t="n">
        <v>45953.61387731481</v>
      </c>
      <c r="C848" s="1" t="n">
        <v>45963</v>
      </c>
      <c r="D848" t="inlineStr">
        <is>
          <t>ÖREBRO LÄN</t>
        </is>
      </c>
      <c r="E848" t="inlineStr">
        <is>
          <t>LINDESBERG</t>
        </is>
      </c>
      <c r="G848" t="n">
        <v>18.2</v>
      </c>
      <c r="H848" t="n">
        <v>0</v>
      </c>
      <c r="I848" t="n">
        <v>0</v>
      </c>
      <c r="J848" t="n">
        <v>0</v>
      </c>
      <c r="K848" t="n">
        <v>0</v>
      </c>
      <c r="L848" t="n">
        <v>0</v>
      </c>
      <c r="M848" t="n">
        <v>0</v>
      </c>
      <c r="N848" t="n">
        <v>0</v>
      </c>
      <c r="O848" t="n">
        <v>0</v>
      </c>
      <c r="P848" t="n">
        <v>0</v>
      </c>
      <c r="Q848" t="n">
        <v>0</v>
      </c>
      <c r="R848" s="2" t="inlineStr"/>
    </row>
    <row r="849" ht="15" customHeight="1">
      <c r="A849" t="inlineStr">
        <is>
          <t>A 52098-2025</t>
        </is>
      </c>
      <c r="B849" s="1" t="n">
        <v>45952.68001157408</v>
      </c>
      <c r="C849" s="1" t="n">
        <v>45963</v>
      </c>
      <c r="D849" t="inlineStr">
        <is>
          <t>ÖREBRO LÄN</t>
        </is>
      </c>
      <c r="E849" t="inlineStr">
        <is>
          <t>LINDESBERG</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52103-2025</t>
        </is>
      </c>
      <c r="B850" s="1" t="n">
        <v>45952.68439814815</v>
      </c>
      <c r="C850" s="1" t="n">
        <v>45963</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52117-2025</t>
        </is>
      </c>
      <c r="B851" s="1" t="n">
        <v>45952.70765046297</v>
      </c>
      <c r="C851" s="1" t="n">
        <v>45963</v>
      </c>
      <c r="D851" t="inlineStr">
        <is>
          <t>ÖREBRO LÄN</t>
        </is>
      </c>
      <c r="E851" t="inlineStr">
        <is>
          <t>LINDESBERG</t>
        </is>
      </c>
      <c r="G851" t="n">
        <v>4.6</v>
      </c>
      <c r="H851" t="n">
        <v>0</v>
      </c>
      <c r="I851" t="n">
        <v>0</v>
      </c>
      <c r="J851" t="n">
        <v>0</v>
      </c>
      <c r="K851" t="n">
        <v>0</v>
      </c>
      <c r="L851" t="n">
        <v>0</v>
      </c>
      <c r="M851" t="n">
        <v>0</v>
      </c>
      <c r="N851" t="n">
        <v>0</v>
      </c>
      <c r="O851" t="n">
        <v>0</v>
      </c>
      <c r="P851" t="n">
        <v>0</v>
      </c>
      <c r="Q851" t="n">
        <v>0</v>
      </c>
      <c r="R851" s="2" t="inlineStr"/>
    </row>
    <row r="852" ht="15" customHeight="1">
      <c r="A852" t="inlineStr">
        <is>
          <t>A 52101-2025</t>
        </is>
      </c>
      <c r="B852" s="1" t="n">
        <v>45952.68271990741</v>
      </c>
      <c r="C852" s="1" t="n">
        <v>45963</v>
      </c>
      <c r="D852" t="inlineStr">
        <is>
          <t>ÖREBRO LÄN</t>
        </is>
      </c>
      <c r="E852" t="inlineStr">
        <is>
          <t>LINDESBERG</t>
        </is>
      </c>
      <c r="F852" t="inlineStr">
        <is>
          <t>Sveaskog</t>
        </is>
      </c>
      <c r="G852" t="n">
        <v>10.9</v>
      </c>
      <c r="H852" t="n">
        <v>0</v>
      </c>
      <c r="I852" t="n">
        <v>0</v>
      </c>
      <c r="J852" t="n">
        <v>0</v>
      </c>
      <c r="K852" t="n">
        <v>0</v>
      </c>
      <c r="L852" t="n">
        <v>0</v>
      </c>
      <c r="M852" t="n">
        <v>0</v>
      </c>
      <c r="N852" t="n">
        <v>0</v>
      </c>
      <c r="O852" t="n">
        <v>0</v>
      </c>
      <c r="P852" t="n">
        <v>0</v>
      </c>
      <c r="Q852" t="n">
        <v>0</v>
      </c>
      <c r="R852" s="2" t="inlineStr"/>
    </row>
    <row r="853" ht="15" customHeight="1">
      <c r="A853" t="inlineStr">
        <is>
          <t>A 52401-2025</t>
        </is>
      </c>
      <c r="B853" s="1" t="n">
        <v>45954.35075231481</v>
      </c>
      <c r="C853" s="1" t="n">
        <v>45963</v>
      </c>
      <c r="D853" t="inlineStr">
        <is>
          <t>ÖREBRO LÄN</t>
        </is>
      </c>
      <c r="E853" t="inlineStr">
        <is>
          <t>LINDESBERG</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43847-2025</t>
        </is>
      </c>
      <c r="B854" s="1" t="n">
        <v>45912.63751157407</v>
      </c>
      <c r="C854" s="1" t="n">
        <v>45963</v>
      </c>
      <c r="D854" t="inlineStr">
        <is>
          <t>ÖREBRO LÄN</t>
        </is>
      </c>
      <c r="E854" t="inlineStr">
        <is>
          <t>LINDESBERG</t>
        </is>
      </c>
      <c r="F854" t="inlineStr">
        <is>
          <t>Sveaskog</t>
        </is>
      </c>
      <c r="G854" t="n">
        <v>3.4</v>
      </c>
      <c r="H854" t="n">
        <v>0</v>
      </c>
      <c r="I854" t="n">
        <v>0</v>
      </c>
      <c r="J854" t="n">
        <v>0</v>
      </c>
      <c r="K854" t="n">
        <v>0</v>
      </c>
      <c r="L854" t="n">
        <v>0</v>
      </c>
      <c r="M854" t="n">
        <v>0</v>
      </c>
      <c r="N854" t="n">
        <v>0</v>
      </c>
      <c r="O854" t="n">
        <v>0</v>
      </c>
      <c r="P854" t="n">
        <v>0</v>
      </c>
      <c r="Q854" t="n">
        <v>0</v>
      </c>
      <c r="R854" s="2" t="inlineStr"/>
    </row>
    <row r="855" ht="15" customHeight="1">
      <c r="A855" t="inlineStr">
        <is>
          <t>A 52402-2025</t>
        </is>
      </c>
      <c r="B855" s="1" t="n">
        <v>45954.35387731482</v>
      </c>
      <c r="C855" s="1" t="n">
        <v>45963</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44077-2025</t>
        </is>
      </c>
      <c r="B856" s="1" t="n">
        <v>45915.54983796296</v>
      </c>
      <c r="C856" s="1" t="n">
        <v>45963</v>
      </c>
      <c r="D856" t="inlineStr">
        <is>
          <t>ÖREBRO LÄN</t>
        </is>
      </c>
      <c r="E856" t="inlineStr">
        <is>
          <t>LINDESBERG</t>
        </is>
      </c>
      <c r="G856" t="n">
        <v>4.2</v>
      </c>
      <c r="H856" t="n">
        <v>0</v>
      </c>
      <c r="I856" t="n">
        <v>0</v>
      </c>
      <c r="J856" t="n">
        <v>0</v>
      </c>
      <c r="K856" t="n">
        <v>0</v>
      </c>
      <c r="L856" t="n">
        <v>0</v>
      </c>
      <c r="M856" t="n">
        <v>0</v>
      </c>
      <c r="N856" t="n">
        <v>0</v>
      </c>
      <c r="O856" t="n">
        <v>0</v>
      </c>
      <c r="P856" t="n">
        <v>0</v>
      </c>
      <c r="Q856" t="n">
        <v>0</v>
      </c>
      <c r="R856" s="2" t="inlineStr"/>
    </row>
    <row r="857" ht="15" customHeight="1">
      <c r="A857" t="inlineStr">
        <is>
          <t>A 44041-2025</t>
        </is>
      </c>
      <c r="B857" s="1" t="n">
        <v>45915.49238425926</v>
      </c>
      <c r="C857" s="1" t="n">
        <v>45963</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43837-2025</t>
        </is>
      </c>
      <c r="B858" s="1" t="n">
        <v>45912.63451388889</v>
      </c>
      <c r="C858" s="1" t="n">
        <v>45963</v>
      </c>
      <c r="D858" t="inlineStr">
        <is>
          <t>ÖREBRO LÄN</t>
        </is>
      </c>
      <c r="E858" t="inlineStr">
        <is>
          <t>LINDESBERG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43836-2025</t>
        </is>
      </c>
      <c r="B859" s="1" t="n">
        <v>45912.63359953704</v>
      </c>
      <c r="C859" s="1" t="n">
        <v>45963</v>
      </c>
      <c r="D859" t="inlineStr">
        <is>
          <t>ÖREBRO LÄN</t>
        </is>
      </c>
      <c r="E859" t="inlineStr">
        <is>
          <t>LINDESBERG</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52730-2025</t>
        </is>
      </c>
      <c r="B860" s="1" t="n">
        <v>45957.36386574074</v>
      </c>
      <c r="C860" s="1" t="n">
        <v>45963</v>
      </c>
      <c r="D860" t="inlineStr">
        <is>
          <t>ÖREBRO LÄN</t>
        </is>
      </c>
      <c r="E860" t="inlineStr">
        <is>
          <t>LINDESBERG</t>
        </is>
      </c>
      <c r="F860" t="inlineStr">
        <is>
          <t>Sveaskog</t>
        </is>
      </c>
      <c r="G860" t="n">
        <v>5</v>
      </c>
      <c r="H860" t="n">
        <v>0</v>
      </c>
      <c r="I860" t="n">
        <v>0</v>
      </c>
      <c r="J860" t="n">
        <v>0</v>
      </c>
      <c r="K860" t="n">
        <v>0</v>
      </c>
      <c r="L860" t="n">
        <v>0</v>
      </c>
      <c r="M860" t="n">
        <v>0</v>
      </c>
      <c r="N860" t="n">
        <v>0</v>
      </c>
      <c r="O860" t="n">
        <v>0</v>
      </c>
      <c r="P860" t="n">
        <v>0</v>
      </c>
      <c r="Q860" t="n">
        <v>0</v>
      </c>
      <c r="R860" s="2" t="inlineStr"/>
    </row>
    <row r="861" ht="15" customHeight="1">
      <c r="A861" t="inlineStr">
        <is>
          <t>A 44067-2025</t>
        </is>
      </c>
      <c r="B861" s="1" t="n">
        <v>45915.54439814815</v>
      </c>
      <c r="C861" s="1" t="n">
        <v>45963</v>
      </c>
      <c r="D861" t="inlineStr">
        <is>
          <t>ÖREBRO LÄN</t>
        </is>
      </c>
      <c r="E861" t="inlineStr">
        <is>
          <t>LINDESBERG</t>
        </is>
      </c>
      <c r="G861" t="n">
        <v>2.8</v>
      </c>
      <c r="H861" t="n">
        <v>0</v>
      </c>
      <c r="I861" t="n">
        <v>0</v>
      </c>
      <c r="J861" t="n">
        <v>0</v>
      </c>
      <c r="K861" t="n">
        <v>0</v>
      </c>
      <c r="L861" t="n">
        <v>0</v>
      </c>
      <c r="M861" t="n">
        <v>0</v>
      </c>
      <c r="N861" t="n">
        <v>0</v>
      </c>
      <c r="O861" t="n">
        <v>0</v>
      </c>
      <c r="P861" t="n">
        <v>0</v>
      </c>
      <c r="Q861" t="n">
        <v>0</v>
      </c>
      <c r="R861" s="2" t="inlineStr"/>
    </row>
    <row r="862" ht="15" customHeight="1">
      <c r="A862" t="inlineStr">
        <is>
          <t>A 44545-2025</t>
        </is>
      </c>
      <c r="B862" s="1" t="n">
        <v>45917.31780092593</v>
      </c>
      <c r="C862" s="1" t="n">
        <v>45963</v>
      </c>
      <c r="D862" t="inlineStr">
        <is>
          <t>ÖREBRO LÄN</t>
        </is>
      </c>
      <c r="E862" t="inlineStr">
        <is>
          <t>LINDESBERG</t>
        </is>
      </c>
      <c r="F862" t="inlineStr">
        <is>
          <t>Kommuner</t>
        </is>
      </c>
      <c r="G862" t="n">
        <v>2.3</v>
      </c>
      <c r="H862" t="n">
        <v>0</v>
      </c>
      <c r="I862" t="n">
        <v>0</v>
      </c>
      <c r="J862" t="n">
        <v>0</v>
      </c>
      <c r="K862" t="n">
        <v>0</v>
      </c>
      <c r="L862" t="n">
        <v>0</v>
      </c>
      <c r="M862" t="n">
        <v>0</v>
      </c>
      <c r="N862" t="n">
        <v>0</v>
      </c>
      <c r="O862" t="n">
        <v>0</v>
      </c>
      <c r="P862" t="n">
        <v>0</v>
      </c>
      <c r="Q862" t="n">
        <v>0</v>
      </c>
      <c r="R862" s="2" t="inlineStr"/>
    </row>
    <row r="863" ht="15" customHeight="1">
      <c r="A863" t="inlineStr">
        <is>
          <t>A 53187-2025</t>
        </is>
      </c>
      <c r="B863" s="1" t="n">
        <v>45958.55577546296</v>
      </c>
      <c r="C863" s="1" t="n">
        <v>45963</v>
      </c>
      <c r="D863" t="inlineStr">
        <is>
          <t>ÖREBRO LÄN</t>
        </is>
      </c>
      <c r="E863" t="inlineStr">
        <is>
          <t>LINDESBERG</t>
        </is>
      </c>
      <c r="F863" t="inlineStr">
        <is>
          <t>Kommuner</t>
        </is>
      </c>
      <c r="G863" t="n">
        <v>2.7</v>
      </c>
      <c r="H863" t="n">
        <v>0</v>
      </c>
      <c r="I863" t="n">
        <v>0</v>
      </c>
      <c r="J863" t="n">
        <v>0</v>
      </c>
      <c r="K863" t="n">
        <v>0</v>
      </c>
      <c r="L863" t="n">
        <v>0</v>
      </c>
      <c r="M863" t="n">
        <v>0</v>
      </c>
      <c r="N863" t="n">
        <v>0</v>
      </c>
      <c r="O863" t="n">
        <v>0</v>
      </c>
      <c r="P863" t="n">
        <v>0</v>
      </c>
      <c r="Q863" t="n">
        <v>0</v>
      </c>
      <c r="R863" s="2" t="inlineStr"/>
    </row>
    <row r="864" ht="15" customHeight="1">
      <c r="A864" t="inlineStr">
        <is>
          <t>A 53288-2025</t>
        </is>
      </c>
      <c r="B864" s="1" t="n">
        <v>45958.79287037037</v>
      </c>
      <c r="C864" s="1" t="n">
        <v>45963</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53723-2025</t>
        </is>
      </c>
      <c r="B865" s="1" t="n">
        <v>45960.62986111111</v>
      </c>
      <c r="C865" s="1" t="n">
        <v>45963</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c r="A866" t="inlineStr">
        <is>
          <t>A 53721-2025</t>
        </is>
      </c>
      <c r="B866" s="1" t="n">
        <v>45960.62436342592</v>
      </c>
      <c r="C866" s="1" t="n">
        <v>45963</v>
      </c>
      <c r="D866" t="inlineStr">
        <is>
          <t>ÖREBRO LÄN</t>
        </is>
      </c>
      <c r="E866" t="inlineStr">
        <is>
          <t>LINDESBERG</t>
        </is>
      </c>
      <c r="G866" t="n">
        <v>3.3</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2025-11-02T10:06:26Z</dcterms:created>
  <dcterms:modified xmlns:dcterms="http://purl.org/dc/terms/" xmlns:xsi="http://www.w3.org/2001/XMLSchema-instance" xsi:type="dcterms:W3CDTF">2025-11-02T10:06:27Z</dcterms:modified>
</cp:coreProperties>
</file>