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46060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46060</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46060</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46060</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46060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46060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46060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46060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46060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46060</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42636-2025</t>
        </is>
      </c>
      <c r="B21" s="1" t="n">
        <v>45905.90789351852</v>
      </c>
      <c r="C21" s="1" t="n">
        <v>46060</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46060</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46060</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46060</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46060</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46060</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46060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46060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46060</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46060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46060</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46060</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46060</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46060</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46060</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46060</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46060</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53686-2024</t>
        </is>
      </c>
      <c r="B38" s="1" t="n">
        <v>45615</v>
      </c>
      <c r="C38" s="1" t="n">
        <v>46060</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38380-2024</t>
        </is>
      </c>
      <c r="B39" s="1" t="n">
        <v>45546.28121527778</v>
      </c>
      <c r="C39" s="1" t="n">
        <v>46060</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46060</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46060</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46060</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46060</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46060</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46060</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46060</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61129-2024</t>
        </is>
      </c>
      <c r="B47" s="1" t="n">
        <v>45645</v>
      </c>
      <c r="C47" s="1" t="n">
        <v>46060</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46060</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3729-2023</t>
        </is>
      </c>
      <c r="B49" s="1" t="n">
        <v>44949</v>
      </c>
      <c r="C49" s="1" t="n">
        <v>46060</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46060</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31052-2025</t>
        </is>
      </c>
      <c r="B51" s="1" t="n">
        <v>45832.56153935185</v>
      </c>
      <c r="C51" s="1" t="n">
        <v>46060</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64513-2023</t>
        </is>
      </c>
      <c r="B52" s="1" t="n">
        <v>45281</v>
      </c>
      <c r="C52" s="1" t="n">
        <v>46060</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46060</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48956-2025</t>
        </is>
      </c>
      <c r="B54" s="1" t="n">
        <v>45937.54982638889</v>
      </c>
      <c r="C54" s="1" t="n">
        <v>46060</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50777-2025</t>
        </is>
      </c>
      <c r="B55" s="1" t="n">
        <v>45946.45171296296</v>
      </c>
      <c r="C55" s="1" t="n">
        <v>46060</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50766-2025</t>
        </is>
      </c>
      <c r="B56" s="1" t="n">
        <v>45946.44423611111</v>
      </c>
      <c r="C56" s="1" t="n">
        <v>46060</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50768-2025</t>
        </is>
      </c>
      <c r="B57" s="1" t="n">
        <v>45946.44790509259</v>
      </c>
      <c r="C57" s="1" t="n">
        <v>46060</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36669-2024</t>
        </is>
      </c>
      <c r="B58" s="1" t="n">
        <v>45537.64484953704</v>
      </c>
      <c r="C58" s="1" t="n">
        <v>46060</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52105-2025</t>
        </is>
      </c>
      <c r="B59" s="1" t="n">
        <v>45952.68596064814</v>
      </c>
      <c r="C59" s="1" t="n">
        <v>46060</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46060</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67013-2021</t>
        </is>
      </c>
      <c r="B61" s="1" t="n">
        <v>44522</v>
      </c>
      <c r="C61" s="1" t="n">
        <v>46060</v>
      </c>
      <c r="D61" t="inlineStr">
        <is>
          <t>ÖREBRO LÄN</t>
        </is>
      </c>
      <c r="E61" t="inlineStr">
        <is>
          <t>LINDESBERG</t>
        </is>
      </c>
      <c r="G61" t="n">
        <v>0.5</v>
      </c>
      <c r="H61" t="n">
        <v>0</v>
      </c>
      <c r="I61" t="n">
        <v>0</v>
      </c>
      <c r="J61" t="n">
        <v>1</v>
      </c>
      <c r="K61" t="n">
        <v>0</v>
      </c>
      <c r="L61" t="n">
        <v>0</v>
      </c>
      <c r="M61" t="n">
        <v>0</v>
      </c>
      <c r="N61" t="n">
        <v>0</v>
      </c>
      <c r="O61" t="n">
        <v>1</v>
      </c>
      <c r="P61" t="n">
        <v>0</v>
      </c>
      <c r="Q61" t="n">
        <v>1</v>
      </c>
      <c r="R61" s="2" t="inlineStr">
        <is>
          <t>Skogsklocka</t>
        </is>
      </c>
      <c r="S61">
        <f>HYPERLINK("https://klasma.github.io/Logging_1885/artfynd/A 67013-2021 artfynd.xlsx", "A 67013-2021")</f>
        <v/>
      </c>
      <c r="T61">
        <f>HYPERLINK("https://klasma.github.io/Logging_1885/kartor/A 67013-2021 karta.png", "A 67013-2021")</f>
        <v/>
      </c>
      <c r="V61">
        <f>HYPERLINK("https://klasma.github.io/Logging_1885/klagomål/A 67013-2021 FSC-klagomål.docx", "A 67013-2021")</f>
        <v/>
      </c>
      <c r="W61">
        <f>HYPERLINK("https://klasma.github.io/Logging_1885/klagomålsmail/A 67013-2021 FSC-klagomål mail.docx", "A 67013-2021")</f>
        <v/>
      </c>
      <c r="X61">
        <f>HYPERLINK("https://klasma.github.io/Logging_1885/tillsyn/A 67013-2021 tillsynsbegäran.docx", "A 67013-2021")</f>
        <v/>
      </c>
      <c r="Y61">
        <f>HYPERLINK("https://klasma.github.io/Logging_1885/tillsynsmail/A 67013-2021 tillsynsbegäran mail.docx", "A 67013-2021")</f>
        <v/>
      </c>
    </row>
    <row r="62" ht="15" customHeight="1">
      <c r="A62" t="inlineStr">
        <is>
          <t>A 54092-2025</t>
        </is>
      </c>
      <c r="B62" s="1" t="n">
        <v>45964.3965625</v>
      </c>
      <c r="C62" s="1" t="n">
        <v>46060</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37834-2025</t>
        </is>
      </c>
      <c r="B63" s="1" t="n">
        <v>45881.42446759259</v>
      </c>
      <c r="C63" s="1" t="n">
        <v>46060</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57362-2025</t>
        </is>
      </c>
      <c r="B64" s="1" t="n">
        <v>45980.37108796297</v>
      </c>
      <c r="C64" s="1" t="n">
        <v>46060</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46060</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54857-2024</t>
        </is>
      </c>
      <c r="B66" s="1" t="n">
        <v>45618.58876157407</v>
      </c>
      <c r="C66" s="1" t="n">
        <v>46060</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46060</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2829-2026</t>
        </is>
      </c>
      <c r="B68" s="1" t="n">
        <v>46038.45296296296</v>
      </c>
      <c r="C68" s="1" t="n">
        <v>46060</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28569-2024</t>
        </is>
      </c>
      <c r="B69" s="1" t="n">
        <v>45478.39592592593</v>
      </c>
      <c r="C69" s="1" t="n">
        <v>46060</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53600-2024</t>
        </is>
      </c>
      <c r="B70" s="1" t="n">
        <v>45614.68596064814</v>
      </c>
      <c r="C70" s="1" t="n">
        <v>46060</v>
      </c>
      <c r="D70" t="inlineStr">
        <is>
          <t>ÖREBRO LÄN</t>
        </is>
      </c>
      <c r="E70" t="inlineStr">
        <is>
          <t>LINDESBERG</t>
        </is>
      </c>
      <c r="G70" t="n">
        <v>2.2</v>
      </c>
      <c r="H70" t="n">
        <v>1</v>
      </c>
      <c r="I70" t="n">
        <v>0</v>
      </c>
      <c r="J70" t="n">
        <v>0</v>
      </c>
      <c r="K70" t="n">
        <v>0</v>
      </c>
      <c r="L70" t="n">
        <v>1</v>
      </c>
      <c r="M70" t="n">
        <v>0</v>
      </c>
      <c r="N70" t="n">
        <v>0</v>
      </c>
      <c r="O70" t="n">
        <v>1</v>
      </c>
      <c r="P70" t="n">
        <v>1</v>
      </c>
      <c r="Q70" t="n">
        <v>1</v>
      </c>
      <c r="R70" s="2" t="inlineStr">
        <is>
          <t>Asknätfjäril</t>
        </is>
      </c>
      <c r="S70">
        <f>HYPERLINK("https://klasma.github.io/Logging_1885/artfynd/A 53600-2024 artfynd.xlsx", "A 53600-2024")</f>
        <v/>
      </c>
      <c r="T70">
        <f>HYPERLINK("https://klasma.github.io/Logging_1885/kartor/A 53600-2024 karta.png", "A 53600-2024")</f>
        <v/>
      </c>
      <c r="V70">
        <f>HYPERLINK("https://klasma.github.io/Logging_1885/klagomål/A 53600-2024 FSC-klagomål.docx", "A 53600-2024")</f>
        <v/>
      </c>
      <c r="W70">
        <f>HYPERLINK("https://klasma.github.io/Logging_1885/klagomålsmail/A 53600-2024 FSC-klagomål mail.docx", "A 53600-2024")</f>
        <v/>
      </c>
      <c r="X70">
        <f>HYPERLINK("https://klasma.github.io/Logging_1885/tillsyn/A 53600-2024 tillsynsbegäran.docx", "A 53600-2024")</f>
        <v/>
      </c>
      <c r="Y70">
        <f>HYPERLINK("https://klasma.github.io/Logging_1885/tillsynsmail/A 53600-2024 tillsynsbegäran mail.docx", "A 53600-2024")</f>
        <v/>
      </c>
    </row>
    <row r="71" ht="15" customHeight="1">
      <c r="A71" t="inlineStr">
        <is>
          <t>A 70466-2021</t>
        </is>
      </c>
      <c r="B71" s="1" t="n">
        <v>44536</v>
      </c>
      <c r="C71" s="1" t="n">
        <v>46060</v>
      </c>
      <c r="D71" t="inlineStr">
        <is>
          <t>ÖREBRO LÄN</t>
        </is>
      </c>
      <c r="E71" t="inlineStr">
        <is>
          <t>LINDESBERG</t>
        </is>
      </c>
      <c r="G71" t="n">
        <v>4.4</v>
      </c>
      <c r="H71" t="n">
        <v>1</v>
      </c>
      <c r="I71" t="n">
        <v>0</v>
      </c>
      <c r="J71" t="n">
        <v>0</v>
      </c>
      <c r="K71" t="n">
        <v>1</v>
      </c>
      <c r="L71" t="n">
        <v>0</v>
      </c>
      <c r="M71" t="n">
        <v>0</v>
      </c>
      <c r="N71" t="n">
        <v>0</v>
      </c>
      <c r="O71" t="n">
        <v>1</v>
      </c>
      <c r="P71" t="n">
        <v>1</v>
      </c>
      <c r="Q71" t="n">
        <v>1</v>
      </c>
      <c r="R71" s="2" t="inlineStr">
        <is>
          <t>Knärot</t>
        </is>
      </c>
      <c r="S71">
        <f>HYPERLINK("https://klasma.github.io/Logging_1885/artfynd/A 70466-2021 artfynd.xlsx", "A 70466-2021")</f>
        <v/>
      </c>
      <c r="T71">
        <f>HYPERLINK("https://klasma.github.io/Logging_1885/kartor/A 70466-2021 karta.png", "A 70466-2021")</f>
        <v/>
      </c>
      <c r="U71">
        <f>HYPERLINK("https://klasma.github.io/Logging_1885/knärot/A 70466-2021 karta knärot.png", "A 70466-2021")</f>
        <v/>
      </c>
      <c r="V71">
        <f>HYPERLINK("https://klasma.github.io/Logging_1885/klagomål/A 70466-2021 FSC-klagomål.docx", "A 70466-2021")</f>
        <v/>
      </c>
      <c r="W71">
        <f>HYPERLINK("https://klasma.github.io/Logging_1885/klagomålsmail/A 70466-2021 FSC-klagomål mail.docx", "A 70466-2021")</f>
        <v/>
      </c>
      <c r="X71">
        <f>HYPERLINK("https://klasma.github.io/Logging_1885/tillsyn/A 70466-2021 tillsynsbegäran.docx", "A 70466-2021")</f>
        <v/>
      </c>
      <c r="Y71">
        <f>HYPERLINK("https://klasma.github.io/Logging_1885/tillsynsmail/A 70466-2021 tillsynsbegäran mail.docx", "A 70466-2021")</f>
        <v/>
      </c>
    </row>
    <row r="72" ht="15" customHeight="1">
      <c r="A72" t="inlineStr">
        <is>
          <t>A 58206-2023</t>
        </is>
      </c>
      <c r="B72" s="1" t="n">
        <v>45250</v>
      </c>
      <c r="C72" s="1" t="n">
        <v>46060</v>
      </c>
      <c r="D72" t="inlineStr">
        <is>
          <t>ÖREBRO LÄN</t>
        </is>
      </c>
      <c r="E72" t="inlineStr">
        <is>
          <t>LINDESBERG</t>
        </is>
      </c>
      <c r="F72" t="inlineStr">
        <is>
          <t>Sveaskog</t>
        </is>
      </c>
      <c r="G72" t="n">
        <v>1.4</v>
      </c>
      <c r="H72" t="n">
        <v>1</v>
      </c>
      <c r="I72" t="n">
        <v>0</v>
      </c>
      <c r="J72" t="n">
        <v>0</v>
      </c>
      <c r="K72" t="n">
        <v>0</v>
      </c>
      <c r="L72" t="n">
        <v>0</v>
      </c>
      <c r="M72" t="n">
        <v>0</v>
      </c>
      <c r="N72" t="n">
        <v>0</v>
      </c>
      <c r="O72" t="n">
        <v>0</v>
      </c>
      <c r="P72" t="n">
        <v>0</v>
      </c>
      <c r="Q72" t="n">
        <v>1</v>
      </c>
      <c r="R72" s="2" t="inlineStr">
        <is>
          <t>Fläcknycklar</t>
        </is>
      </c>
      <c r="S72">
        <f>HYPERLINK("https://klasma.github.io/Logging_1885/artfynd/A 58206-2023 artfynd.xlsx", "A 58206-2023")</f>
        <v/>
      </c>
      <c r="T72">
        <f>HYPERLINK("https://klasma.github.io/Logging_1885/kartor/A 58206-2023 karta.png", "A 58206-2023")</f>
        <v/>
      </c>
      <c r="V72">
        <f>HYPERLINK("https://klasma.github.io/Logging_1885/klagomål/A 58206-2023 FSC-klagomål.docx", "A 58206-2023")</f>
        <v/>
      </c>
      <c r="W72">
        <f>HYPERLINK("https://klasma.github.io/Logging_1885/klagomålsmail/A 58206-2023 FSC-klagomål mail.docx", "A 58206-2023")</f>
        <v/>
      </c>
      <c r="X72">
        <f>HYPERLINK("https://klasma.github.io/Logging_1885/tillsyn/A 58206-2023 tillsynsbegäran.docx", "A 58206-2023")</f>
        <v/>
      </c>
      <c r="Y72">
        <f>HYPERLINK("https://klasma.github.io/Logging_1885/tillsynsmail/A 58206-2023 tillsynsbegäran mail.docx", "A 58206-2023")</f>
        <v/>
      </c>
    </row>
    <row r="73" ht="15" customHeight="1">
      <c r="A73" t="inlineStr">
        <is>
          <t>A 28787-2023</t>
        </is>
      </c>
      <c r="B73" s="1" t="n">
        <v>45104.3483912037</v>
      </c>
      <c r="C73" s="1" t="n">
        <v>46060</v>
      </c>
      <c r="D73" t="inlineStr">
        <is>
          <t>ÖREBRO LÄN</t>
        </is>
      </c>
      <c r="E73" t="inlineStr">
        <is>
          <t>LINDESBERG</t>
        </is>
      </c>
      <c r="F73" t="inlineStr">
        <is>
          <t>Sveaskog</t>
        </is>
      </c>
      <c r="G73" t="n">
        <v>0.5</v>
      </c>
      <c r="H73" t="n">
        <v>1</v>
      </c>
      <c r="I73" t="n">
        <v>0</v>
      </c>
      <c r="J73" t="n">
        <v>0</v>
      </c>
      <c r="K73" t="n">
        <v>0</v>
      </c>
      <c r="L73" t="n">
        <v>0</v>
      </c>
      <c r="M73" t="n">
        <v>0</v>
      </c>
      <c r="N73" t="n">
        <v>0</v>
      </c>
      <c r="O73" t="n">
        <v>0</v>
      </c>
      <c r="P73" t="n">
        <v>0</v>
      </c>
      <c r="Q73" t="n">
        <v>1</v>
      </c>
      <c r="R73" s="2" t="inlineStr">
        <is>
          <t>Fläcknycklar</t>
        </is>
      </c>
      <c r="S73">
        <f>HYPERLINK("https://klasma.github.io/Logging_1885/artfynd/A 28787-2023 artfynd.xlsx", "A 28787-2023")</f>
        <v/>
      </c>
      <c r="T73">
        <f>HYPERLINK("https://klasma.github.io/Logging_1885/kartor/A 28787-2023 karta.png", "A 28787-2023")</f>
        <v/>
      </c>
      <c r="V73">
        <f>HYPERLINK("https://klasma.github.io/Logging_1885/klagomål/A 28787-2023 FSC-klagomål.docx", "A 28787-2023")</f>
        <v/>
      </c>
      <c r="W73">
        <f>HYPERLINK("https://klasma.github.io/Logging_1885/klagomålsmail/A 28787-2023 FSC-klagomål mail.docx", "A 28787-2023")</f>
        <v/>
      </c>
      <c r="X73">
        <f>HYPERLINK("https://klasma.github.io/Logging_1885/tillsyn/A 28787-2023 tillsynsbegäran.docx", "A 28787-2023")</f>
        <v/>
      </c>
      <c r="Y73">
        <f>HYPERLINK("https://klasma.github.io/Logging_1885/tillsynsmail/A 28787-2023 tillsynsbegäran mail.docx", "A 28787-2023")</f>
        <v/>
      </c>
    </row>
    <row r="74" ht="15" customHeight="1">
      <c r="A74" t="inlineStr">
        <is>
          <t>A 27900-2024</t>
        </is>
      </c>
      <c r="B74" s="1" t="n">
        <v>45475.92849537037</v>
      </c>
      <c r="C74" s="1" t="n">
        <v>46060</v>
      </c>
      <c r="D74" t="inlineStr">
        <is>
          <t>ÖREBRO LÄN</t>
        </is>
      </c>
      <c r="E74" t="inlineStr">
        <is>
          <t>LINDESBERG</t>
        </is>
      </c>
      <c r="F74" t="inlineStr">
        <is>
          <t>Sveaskog</t>
        </is>
      </c>
      <c r="G74" t="n">
        <v>4.1</v>
      </c>
      <c r="H74" t="n">
        <v>1</v>
      </c>
      <c r="I74" t="n">
        <v>0</v>
      </c>
      <c r="J74" t="n">
        <v>0</v>
      </c>
      <c r="K74" t="n">
        <v>0</v>
      </c>
      <c r="L74" t="n">
        <v>0</v>
      </c>
      <c r="M74" t="n">
        <v>0</v>
      </c>
      <c r="N74" t="n">
        <v>0</v>
      </c>
      <c r="O74" t="n">
        <v>0</v>
      </c>
      <c r="P74" t="n">
        <v>0</v>
      </c>
      <c r="Q74" t="n">
        <v>1</v>
      </c>
      <c r="R74" s="2" t="inlineStr">
        <is>
          <t>Fläcknycklar</t>
        </is>
      </c>
      <c r="S74">
        <f>HYPERLINK("https://klasma.github.io/Logging_1885/artfynd/A 27900-2024 artfynd.xlsx", "A 27900-2024")</f>
        <v/>
      </c>
      <c r="T74">
        <f>HYPERLINK("https://klasma.github.io/Logging_1885/kartor/A 27900-2024 karta.png", "A 27900-2024")</f>
        <v/>
      </c>
      <c r="V74">
        <f>HYPERLINK("https://klasma.github.io/Logging_1885/klagomål/A 27900-2024 FSC-klagomål.docx", "A 27900-2024")</f>
        <v/>
      </c>
      <c r="W74">
        <f>HYPERLINK("https://klasma.github.io/Logging_1885/klagomålsmail/A 27900-2024 FSC-klagomål mail.docx", "A 27900-2024")</f>
        <v/>
      </c>
      <c r="X74">
        <f>HYPERLINK("https://klasma.github.io/Logging_1885/tillsyn/A 27900-2024 tillsynsbegäran.docx", "A 27900-2024")</f>
        <v/>
      </c>
      <c r="Y74">
        <f>HYPERLINK("https://klasma.github.io/Logging_1885/tillsynsmail/A 27900-2024 tillsynsbegäran mail.docx", "A 27900-2024")</f>
        <v/>
      </c>
    </row>
    <row r="75" ht="15" customHeight="1">
      <c r="A75" t="inlineStr">
        <is>
          <t>A 53598-2024</t>
        </is>
      </c>
      <c r="B75" s="1" t="n">
        <v>45614.68287037037</v>
      </c>
      <c r="C75" s="1" t="n">
        <v>46060</v>
      </c>
      <c r="D75" t="inlineStr">
        <is>
          <t>ÖREBRO LÄN</t>
        </is>
      </c>
      <c r="E75" t="inlineStr">
        <is>
          <t>LINDESBERG</t>
        </is>
      </c>
      <c r="G75" t="n">
        <v>3.1</v>
      </c>
      <c r="H75" t="n">
        <v>1</v>
      </c>
      <c r="I75" t="n">
        <v>0</v>
      </c>
      <c r="J75" t="n">
        <v>0</v>
      </c>
      <c r="K75" t="n">
        <v>0</v>
      </c>
      <c r="L75" t="n">
        <v>1</v>
      </c>
      <c r="M75" t="n">
        <v>0</v>
      </c>
      <c r="N75" t="n">
        <v>0</v>
      </c>
      <c r="O75" t="n">
        <v>1</v>
      </c>
      <c r="P75" t="n">
        <v>1</v>
      </c>
      <c r="Q75" t="n">
        <v>1</v>
      </c>
      <c r="R75" s="2" t="inlineStr">
        <is>
          <t>Asknätfjäril</t>
        </is>
      </c>
      <c r="S75">
        <f>HYPERLINK("https://klasma.github.io/Logging_1885/artfynd/A 53598-2024 artfynd.xlsx", "A 53598-2024")</f>
        <v/>
      </c>
      <c r="T75">
        <f>HYPERLINK("https://klasma.github.io/Logging_1885/kartor/A 53598-2024 karta.png", "A 53598-2024")</f>
        <v/>
      </c>
      <c r="V75">
        <f>HYPERLINK("https://klasma.github.io/Logging_1885/klagomål/A 53598-2024 FSC-klagomål.docx", "A 53598-2024")</f>
        <v/>
      </c>
      <c r="W75">
        <f>HYPERLINK("https://klasma.github.io/Logging_1885/klagomålsmail/A 53598-2024 FSC-klagomål mail.docx", "A 53598-2024")</f>
        <v/>
      </c>
      <c r="X75">
        <f>HYPERLINK("https://klasma.github.io/Logging_1885/tillsyn/A 53598-2024 tillsynsbegäran.docx", "A 53598-2024")</f>
        <v/>
      </c>
      <c r="Y75">
        <f>HYPERLINK("https://klasma.github.io/Logging_1885/tillsynsmail/A 53598-2024 tillsynsbegäran mail.docx", "A 53598-2024")</f>
        <v/>
      </c>
    </row>
    <row r="76" ht="15" customHeight="1">
      <c r="A76" t="inlineStr">
        <is>
          <t>A 21440-2025</t>
        </is>
      </c>
      <c r="B76" s="1" t="n">
        <v>45782.5300462963</v>
      </c>
      <c r="C76" s="1" t="n">
        <v>46060</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21779-2025</t>
        </is>
      </c>
      <c r="B77" s="1" t="n">
        <v>45783.66537037037</v>
      </c>
      <c r="C77" s="1" t="n">
        <v>46060</v>
      </c>
      <c r="D77" t="inlineStr">
        <is>
          <t>ÖREBRO LÄN</t>
        </is>
      </c>
      <c r="E77" t="inlineStr">
        <is>
          <t>LINDESBERG</t>
        </is>
      </c>
      <c r="G77" t="n">
        <v>8.5</v>
      </c>
      <c r="H77" t="n">
        <v>1</v>
      </c>
      <c r="I77" t="n">
        <v>0</v>
      </c>
      <c r="J77" t="n">
        <v>0</v>
      </c>
      <c r="K77" t="n">
        <v>0</v>
      </c>
      <c r="L77" t="n">
        <v>0</v>
      </c>
      <c r="M77" t="n">
        <v>0</v>
      </c>
      <c r="N77" t="n">
        <v>0</v>
      </c>
      <c r="O77" t="n">
        <v>0</v>
      </c>
      <c r="P77" t="n">
        <v>0</v>
      </c>
      <c r="Q77" t="n">
        <v>1</v>
      </c>
      <c r="R77" s="2" t="inlineStr">
        <is>
          <t>Mindre vattensalamander</t>
        </is>
      </c>
      <c r="S77">
        <f>HYPERLINK("https://klasma.github.io/Logging_1885/artfynd/A 21779-2025 artfynd.xlsx", "A 21779-2025")</f>
        <v/>
      </c>
      <c r="T77">
        <f>HYPERLINK("https://klasma.github.io/Logging_1885/kartor/A 21779-2025 karta.png", "A 21779-2025")</f>
        <v/>
      </c>
      <c r="V77">
        <f>HYPERLINK("https://klasma.github.io/Logging_1885/klagomål/A 21779-2025 FSC-klagomål.docx", "A 21779-2025")</f>
        <v/>
      </c>
      <c r="W77">
        <f>HYPERLINK("https://klasma.github.io/Logging_1885/klagomålsmail/A 21779-2025 FSC-klagomål mail.docx", "A 21779-2025")</f>
        <v/>
      </c>
      <c r="X77">
        <f>HYPERLINK("https://klasma.github.io/Logging_1885/tillsyn/A 21779-2025 tillsynsbegäran.docx", "A 21779-2025")</f>
        <v/>
      </c>
      <c r="Y77">
        <f>HYPERLINK("https://klasma.github.io/Logging_1885/tillsynsmail/A 21779-2025 tillsynsbegäran mail.docx", "A 21779-2025")</f>
        <v/>
      </c>
    </row>
    <row r="78" ht="15" customHeight="1">
      <c r="A78" t="inlineStr">
        <is>
          <t>A 10963-2021</t>
        </is>
      </c>
      <c r="B78" s="1" t="n">
        <v>44260.30453703704</v>
      </c>
      <c r="C78" s="1" t="n">
        <v>46060</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7738-2021</t>
        </is>
      </c>
      <c r="B79" s="1" t="n">
        <v>44242</v>
      </c>
      <c r="C79" s="1" t="n">
        <v>46060</v>
      </c>
      <c r="D79" t="inlineStr">
        <is>
          <t>ÖREBRO LÄN</t>
        </is>
      </c>
      <c r="E79" t="inlineStr">
        <is>
          <t>LINDESBERG</t>
        </is>
      </c>
      <c r="G79" t="n">
        <v>1.1</v>
      </c>
      <c r="H79" t="n">
        <v>0</v>
      </c>
      <c r="I79" t="n">
        <v>0</v>
      </c>
      <c r="J79" t="n">
        <v>0</v>
      </c>
      <c r="K79" t="n">
        <v>0</v>
      </c>
      <c r="L79" t="n">
        <v>0</v>
      </c>
      <c r="M79" t="n">
        <v>0</v>
      </c>
      <c r="N79" t="n">
        <v>0</v>
      </c>
      <c r="O79" t="n">
        <v>0</v>
      </c>
      <c r="P79" t="n">
        <v>0</v>
      </c>
      <c r="Q79" t="n">
        <v>0</v>
      </c>
      <c r="R79" s="2" t="inlineStr"/>
    </row>
    <row r="80" ht="15" customHeight="1">
      <c r="A80" t="inlineStr">
        <is>
          <t>A 16990-2021</t>
        </is>
      </c>
      <c r="B80" s="1" t="n">
        <v>44295.61297453703</v>
      </c>
      <c r="C80" s="1" t="n">
        <v>46060</v>
      </c>
      <c r="D80" t="inlineStr">
        <is>
          <t>ÖREBRO LÄN</t>
        </is>
      </c>
      <c r="E80" t="inlineStr">
        <is>
          <t>LINDESBERG</t>
        </is>
      </c>
      <c r="G80" t="n">
        <v>0.8</v>
      </c>
      <c r="H80" t="n">
        <v>0</v>
      </c>
      <c r="I80" t="n">
        <v>0</v>
      </c>
      <c r="J80" t="n">
        <v>0</v>
      </c>
      <c r="K80" t="n">
        <v>0</v>
      </c>
      <c r="L80" t="n">
        <v>0</v>
      </c>
      <c r="M80" t="n">
        <v>0</v>
      </c>
      <c r="N80" t="n">
        <v>0</v>
      </c>
      <c r="O80" t="n">
        <v>0</v>
      </c>
      <c r="P80" t="n">
        <v>0</v>
      </c>
      <c r="Q80" t="n">
        <v>0</v>
      </c>
      <c r="R80" s="2" t="inlineStr"/>
    </row>
    <row r="81" ht="15" customHeight="1">
      <c r="A81" t="inlineStr">
        <is>
          <t>A 56049-2022</t>
        </is>
      </c>
      <c r="B81" s="1" t="n">
        <v>44889.5746875</v>
      </c>
      <c r="C81" s="1" t="n">
        <v>46060</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12609-2021</t>
        </is>
      </c>
      <c r="B82" s="1" t="n">
        <v>44267</v>
      </c>
      <c r="C82" s="1" t="n">
        <v>46060</v>
      </c>
      <c r="D82" t="inlineStr">
        <is>
          <t>ÖREBRO LÄN</t>
        </is>
      </c>
      <c r="E82" t="inlineStr">
        <is>
          <t>LINDESBERG</t>
        </is>
      </c>
      <c r="G82" t="n">
        <v>10.9</v>
      </c>
      <c r="H82" t="n">
        <v>0</v>
      </c>
      <c r="I82" t="n">
        <v>0</v>
      </c>
      <c r="J82" t="n">
        <v>0</v>
      </c>
      <c r="K82" t="n">
        <v>0</v>
      </c>
      <c r="L82" t="n">
        <v>0</v>
      </c>
      <c r="M82" t="n">
        <v>0</v>
      </c>
      <c r="N82" t="n">
        <v>0</v>
      </c>
      <c r="O82" t="n">
        <v>0</v>
      </c>
      <c r="P82" t="n">
        <v>0</v>
      </c>
      <c r="Q82" t="n">
        <v>0</v>
      </c>
      <c r="R82" s="2" t="inlineStr"/>
    </row>
    <row r="83" ht="15" customHeight="1">
      <c r="A83" t="inlineStr">
        <is>
          <t>A 43154-2021</t>
        </is>
      </c>
      <c r="B83" s="1" t="n">
        <v>44431.69783564815</v>
      </c>
      <c r="C83" s="1" t="n">
        <v>46060</v>
      </c>
      <c r="D83" t="inlineStr">
        <is>
          <t>ÖREBRO LÄN</t>
        </is>
      </c>
      <c r="E83" t="inlineStr">
        <is>
          <t>LINDESBERG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46060</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46060</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47336-2021</t>
        </is>
      </c>
      <c r="B86" s="1" t="n">
        <v>44447.51184027778</v>
      </c>
      <c r="C86" s="1" t="n">
        <v>46060</v>
      </c>
      <c r="D86" t="inlineStr">
        <is>
          <t>ÖREBRO LÄN</t>
        </is>
      </c>
      <c r="E86" t="inlineStr">
        <is>
          <t>LINDESBERG</t>
        </is>
      </c>
      <c r="F86" t="inlineStr">
        <is>
          <t>Kommuner</t>
        </is>
      </c>
      <c r="G86" t="n">
        <v>3.6</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46060</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46060</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46060</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46570-2021</t>
        </is>
      </c>
      <c r="B90" s="1" t="n">
        <v>44445.4953587963</v>
      </c>
      <c r="C90" s="1" t="n">
        <v>46060</v>
      </c>
      <c r="D90" t="inlineStr">
        <is>
          <t>ÖREBRO LÄN</t>
        </is>
      </c>
      <c r="E90" t="inlineStr">
        <is>
          <t>LINDESBERG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46060</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46060</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46060</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46060</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46060</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46060</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46060</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46060</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46060</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46060</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46060</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46060</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46060</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46060</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46060</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46060</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46060</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46060</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46060</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46060</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46060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46060</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46060</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46060</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46060</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46060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46060</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46060</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46060</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46060</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46060</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46060</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46060</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46060</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46060</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46060</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46060</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46060</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46060</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46060</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46060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46060</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46060</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46060</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46060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46060</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46060</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46060</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46060</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46060</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46060</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46060</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46060</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46060</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46060</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46060</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46060</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46060</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46060</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46060</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46060</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46060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46060</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46060</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46060</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46060</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46060</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43453-2021</t>
        </is>
      </c>
      <c r="B158" s="1" t="n">
        <v>44432.68241898148</v>
      </c>
      <c r="C158" s="1" t="n">
        <v>46060</v>
      </c>
      <c r="D158" t="inlineStr">
        <is>
          <t>ÖREBRO LÄN</t>
        </is>
      </c>
      <c r="E158" t="inlineStr">
        <is>
          <t>LINDESBERG</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46060</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5338-2022</t>
        </is>
      </c>
      <c r="B160" s="1" t="n">
        <v>44594</v>
      </c>
      <c r="C160" s="1" t="n">
        <v>46060</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46060</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46060</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46060</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60900-2021</t>
        </is>
      </c>
      <c r="B164" s="1" t="n">
        <v>44497</v>
      </c>
      <c r="C164" s="1" t="n">
        <v>46060</v>
      </c>
      <c r="D164" t="inlineStr">
        <is>
          <t>ÖREBRO LÄN</t>
        </is>
      </c>
      <c r="E164" t="inlineStr">
        <is>
          <t>LINDESBERG</t>
        </is>
      </c>
      <c r="G164" t="n">
        <v>7.3</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46060</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46060</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46060</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16600-2022</t>
        </is>
      </c>
      <c r="B168" s="1" t="n">
        <v>44672</v>
      </c>
      <c r="C168" s="1" t="n">
        <v>46060</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41207-2022</t>
        </is>
      </c>
      <c r="B169" s="1" t="n">
        <v>44825.99293981482</v>
      </c>
      <c r="C169" s="1" t="n">
        <v>46060</v>
      </c>
      <c r="D169" t="inlineStr">
        <is>
          <t>ÖREBRO LÄN</t>
        </is>
      </c>
      <c r="E169" t="inlineStr">
        <is>
          <t>LINDESBERG</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44677-2021</t>
        </is>
      </c>
      <c r="B170" s="1" t="n">
        <v>44438.30614583333</v>
      </c>
      <c r="C170" s="1" t="n">
        <v>46060</v>
      </c>
      <c r="D170" t="inlineStr">
        <is>
          <t>ÖREBRO LÄN</t>
        </is>
      </c>
      <c r="E170" t="inlineStr">
        <is>
          <t>LINDESBERG</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46060</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46060</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46060</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46060</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23661-2021</t>
        </is>
      </c>
      <c r="B175" s="1" t="n">
        <v>44334.60293981482</v>
      </c>
      <c r="C175" s="1" t="n">
        <v>46060</v>
      </c>
      <c r="D175" t="inlineStr">
        <is>
          <t>ÖREBRO LÄN</t>
        </is>
      </c>
      <c r="E175" t="inlineStr">
        <is>
          <t>LINDESBERG</t>
        </is>
      </c>
      <c r="G175" t="n">
        <v>4.7</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46060</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36221-2021</t>
        </is>
      </c>
      <c r="B177" s="1" t="n">
        <v>44389</v>
      </c>
      <c r="C177" s="1" t="n">
        <v>46060</v>
      </c>
      <c r="D177" t="inlineStr">
        <is>
          <t>ÖREBRO LÄN</t>
        </is>
      </c>
      <c r="E177" t="inlineStr">
        <is>
          <t>LINDESBERG</t>
        </is>
      </c>
      <c r="G177" t="n">
        <v>5.9</v>
      </c>
      <c r="H177" t="n">
        <v>0</v>
      </c>
      <c r="I177" t="n">
        <v>0</v>
      </c>
      <c r="J177" t="n">
        <v>0</v>
      </c>
      <c r="K177" t="n">
        <v>0</v>
      </c>
      <c r="L177" t="n">
        <v>0</v>
      </c>
      <c r="M177" t="n">
        <v>0</v>
      </c>
      <c r="N177" t="n">
        <v>0</v>
      </c>
      <c r="O177" t="n">
        <v>0</v>
      </c>
      <c r="P177" t="n">
        <v>0</v>
      </c>
      <c r="Q177" t="n">
        <v>0</v>
      </c>
      <c r="R177" s="2" t="inlineStr"/>
    </row>
    <row r="178" ht="15" customHeight="1">
      <c r="A178" t="inlineStr">
        <is>
          <t>A 47044-2021</t>
        </is>
      </c>
      <c r="B178" s="1" t="n">
        <v>44446</v>
      </c>
      <c r="C178" s="1" t="n">
        <v>46060</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56123-2022</t>
        </is>
      </c>
      <c r="B179" s="1" t="n">
        <v>44889.68100694445</v>
      </c>
      <c r="C179" s="1" t="n">
        <v>46060</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46060</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46060</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46060</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46060</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46060</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46060</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46060</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12511-2021</t>
        </is>
      </c>
      <c r="B187" s="1" t="n">
        <v>44268.55900462963</v>
      </c>
      <c r="C187" s="1" t="n">
        <v>46060</v>
      </c>
      <c r="D187" t="inlineStr">
        <is>
          <t>ÖREBRO LÄN</t>
        </is>
      </c>
      <c r="E187" t="inlineStr">
        <is>
          <t>LINDESBERG</t>
        </is>
      </c>
      <c r="G187" t="n">
        <v>5.2</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46060</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46060</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46060</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23158-2021</t>
        </is>
      </c>
      <c r="B191" s="1" t="n">
        <v>44332.74105324074</v>
      </c>
      <c r="C191" s="1" t="n">
        <v>46060</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46060</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46060</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46060</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46060</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46060</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48363-2021</t>
        </is>
      </c>
      <c r="B197" s="1" t="n">
        <v>44451</v>
      </c>
      <c r="C197" s="1" t="n">
        <v>46060</v>
      </c>
      <c r="D197" t="inlineStr">
        <is>
          <t>ÖREBRO LÄN</t>
        </is>
      </c>
      <c r="E197" t="inlineStr">
        <is>
          <t>LINDESBERG</t>
        </is>
      </c>
      <c r="G197" t="n">
        <v>2.7</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46060</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46060</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12615-2021</t>
        </is>
      </c>
      <c r="B200" s="1" t="n">
        <v>44267</v>
      </c>
      <c r="C200" s="1" t="n">
        <v>46060</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33084-2021</t>
        </is>
      </c>
      <c r="B201" s="1" t="n">
        <v>44376</v>
      </c>
      <c r="C201" s="1" t="n">
        <v>46060</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7598-2022</t>
        </is>
      </c>
      <c r="B202" s="1" t="n">
        <v>44607.64115740741</v>
      </c>
      <c r="C202" s="1" t="n">
        <v>46060</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35990-2021</t>
        </is>
      </c>
      <c r="B203" s="1" t="n">
        <v>44389</v>
      </c>
      <c r="C203" s="1" t="n">
        <v>46060</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71090-2021</t>
        </is>
      </c>
      <c r="B204" s="1" t="n">
        <v>44539.31923611111</v>
      </c>
      <c r="C204" s="1" t="n">
        <v>46060</v>
      </c>
      <c r="D204" t="inlineStr">
        <is>
          <t>ÖREBRO LÄN</t>
        </is>
      </c>
      <c r="E204" t="inlineStr">
        <is>
          <t>LINDESBERG</t>
        </is>
      </c>
      <c r="G204" t="n">
        <v>4.3</v>
      </c>
      <c r="H204" t="n">
        <v>0</v>
      </c>
      <c r="I204" t="n">
        <v>0</v>
      </c>
      <c r="J204" t="n">
        <v>0</v>
      </c>
      <c r="K204" t="n">
        <v>0</v>
      </c>
      <c r="L204" t="n">
        <v>0</v>
      </c>
      <c r="M204" t="n">
        <v>0</v>
      </c>
      <c r="N204" t="n">
        <v>0</v>
      </c>
      <c r="O204" t="n">
        <v>0</v>
      </c>
      <c r="P204" t="n">
        <v>0</v>
      </c>
      <c r="Q204" t="n">
        <v>0</v>
      </c>
      <c r="R204" s="2" t="inlineStr"/>
    </row>
    <row r="205" ht="15" customHeight="1">
      <c r="A205" t="inlineStr">
        <is>
          <t>A 71092-2021</t>
        </is>
      </c>
      <c r="B205" s="1" t="n">
        <v>44539</v>
      </c>
      <c r="C205" s="1" t="n">
        <v>46060</v>
      </c>
      <c r="D205" t="inlineStr">
        <is>
          <t>ÖREBRO LÄN</t>
        </is>
      </c>
      <c r="E205" t="inlineStr">
        <is>
          <t>LINDESBERG</t>
        </is>
      </c>
      <c r="G205" t="n">
        <v>0.8</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46060</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13943-2022</t>
        </is>
      </c>
      <c r="B207" s="1" t="n">
        <v>44650.47945601852</v>
      </c>
      <c r="C207" s="1" t="n">
        <v>46060</v>
      </c>
      <c r="D207" t="inlineStr">
        <is>
          <t>ÖREBRO LÄN</t>
        </is>
      </c>
      <c r="E207" t="inlineStr">
        <is>
          <t>LINDESBERG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44479.58512731481</v>
      </c>
      <c r="C208" s="1" t="n">
        <v>46060</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46060</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44636.46935185185</v>
      </c>
      <c r="C210" s="1" t="n">
        <v>46060</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46060</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46060</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59006-2021</t>
        </is>
      </c>
      <c r="B213" s="1" t="n">
        <v>44490</v>
      </c>
      <c r="C213" s="1" t="n">
        <v>46060</v>
      </c>
      <c r="D213" t="inlineStr">
        <is>
          <t>ÖREBRO LÄN</t>
        </is>
      </c>
      <c r="E213" t="inlineStr">
        <is>
          <t>LINDESBERG</t>
        </is>
      </c>
      <c r="G213" t="n">
        <v>5.6</v>
      </c>
      <c r="H213" t="n">
        <v>0</v>
      </c>
      <c r="I213" t="n">
        <v>0</v>
      </c>
      <c r="J213" t="n">
        <v>0</v>
      </c>
      <c r="K213" t="n">
        <v>0</v>
      </c>
      <c r="L213" t="n">
        <v>0</v>
      </c>
      <c r="M213" t="n">
        <v>0</v>
      </c>
      <c r="N213" t="n">
        <v>0</v>
      </c>
      <c r="O213" t="n">
        <v>0</v>
      </c>
      <c r="P213" t="n">
        <v>0</v>
      </c>
      <c r="Q213" t="n">
        <v>0</v>
      </c>
      <c r="R213" s="2" t="inlineStr"/>
    </row>
    <row r="214" ht="15" customHeight="1">
      <c r="A214" t="inlineStr">
        <is>
          <t>A 32818-2022</t>
        </is>
      </c>
      <c r="B214" s="1" t="n">
        <v>44784.38697916667</v>
      </c>
      <c r="C214" s="1" t="n">
        <v>46060</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2406-2024</t>
        </is>
      </c>
      <c r="B215" s="1" t="n">
        <v>45310</v>
      </c>
      <c r="C215" s="1" t="n">
        <v>46060</v>
      </c>
      <c r="D215" t="inlineStr">
        <is>
          <t>ÖREBRO LÄN</t>
        </is>
      </c>
      <c r="E215" t="inlineStr">
        <is>
          <t>LINDESBERG</t>
        </is>
      </c>
      <c r="G215" t="n">
        <v>16.1</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46060</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13417-2025</t>
        </is>
      </c>
      <c r="B217" s="1" t="n">
        <v>45736.30940972222</v>
      </c>
      <c r="C217" s="1" t="n">
        <v>46060</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35230-2024</t>
        </is>
      </c>
      <c r="B218" s="1" t="n">
        <v>45530</v>
      </c>
      <c r="C218" s="1" t="n">
        <v>46060</v>
      </c>
      <c r="D218" t="inlineStr">
        <is>
          <t>ÖREBRO LÄN</t>
        </is>
      </c>
      <c r="E218" t="inlineStr">
        <is>
          <t>LINDESBERG</t>
        </is>
      </c>
      <c r="G218" t="n">
        <v>1.7</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46060</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65194-2023</t>
        </is>
      </c>
      <c r="B220" s="1" t="n">
        <v>45289</v>
      </c>
      <c r="C220" s="1" t="n">
        <v>46060</v>
      </c>
      <c r="D220" t="inlineStr">
        <is>
          <t>ÖREBRO LÄN</t>
        </is>
      </c>
      <c r="E220" t="inlineStr">
        <is>
          <t>LINDESBERG</t>
        </is>
      </c>
      <c r="G220" t="n">
        <v>1</v>
      </c>
      <c r="H220" t="n">
        <v>0</v>
      </c>
      <c r="I220" t="n">
        <v>0</v>
      </c>
      <c r="J220" t="n">
        <v>0</v>
      </c>
      <c r="K220" t="n">
        <v>0</v>
      </c>
      <c r="L220" t="n">
        <v>0</v>
      </c>
      <c r="M220" t="n">
        <v>0</v>
      </c>
      <c r="N220" t="n">
        <v>0</v>
      </c>
      <c r="O220" t="n">
        <v>0</v>
      </c>
      <c r="P220" t="n">
        <v>0</v>
      </c>
      <c r="Q220" t="n">
        <v>0</v>
      </c>
      <c r="R220" s="2" t="inlineStr"/>
    </row>
    <row r="221" ht="15" customHeight="1">
      <c r="A221" t="inlineStr">
        <is>
          <t>A 46603-2021</t>
        </is>
      </c>
      <c r="B221" s="1" t="n">
        <v>44445</v>
      </c>
      <c r="C221" s="1" t="n">
        <v>46060</v>
      </c>
      <c r="D221" t="inlineStr">
        <is>
          <t>ÖREBRO LÄN</t>
        </is>
      </c>
      <c r="E221" t="inlineStr">
        <is>
          <t>LINDESBERG</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20954-2024</t>
        </is>
      </c>
      <c r="B222" s="1" t="n">
        <v>45439.56605324074</v>
      </c>
      <c r="C222" s="1" t="n">
        <v>46060</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46060</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46060</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46060</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46060</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46060</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44378.46403935185</v>
      </c>
      <c r="C228" s="1" t="n">
        <v>46060</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17895-2022</t>
        </is>
      </c>
      <c r="B229" s="1" t="n">
        <v>44683</v>
      </c>
      <c r="C229" s="1" t="n">
        <v>46060</v>
      </c>
      <c r="D229" t="inlineStr">
        <is>
          <t>ÖREBRO LÄN</t>
        </is>
      </c>
      <c r="E229" t="inlineStr">
        <is>
          <t>LINDESBERG</t>
        </is>
      </c>
      <c r="G229" t="n">
        <v>1.3</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46060</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51539-2024</t>
        </is>
      </c>
      <c r="B231" s="1" t="n">
        <v>45604.58837962963</v>
      </c>
      <c r="C231" s="1" t="n">
        <v>46060</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8213-2023</t>
        </is>
      </c>
      <c r="B232" s="1" t="n">
        <v>44974.55693287037</v>
      </c>
      <c r="C232" s="1" t="n">
        <v>46060</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15752-2024</t>
        </is>
      </c>
      <c r="B233" s="1" t="n">
        <v>45404.55681712963</v>
      </c>
      <c r="C233" s="1" t="n">
        <v>46060</v>
      </c>
      <c r="D233" t="inlineStr">
        <is>
          <t>ÖREBRO LÄN</t>
        </is>
      </c>
      <c r="E233" t="inlineStr">
        <is>
          <t>LINDESBERG</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16618-2023</t>
        </is>
      </c>
      <c r="B234" s="1" t="n">
        <v>45030</v>
      </c>
      <c r="C234" s="1" t="n">
        <v>46060</v>
      </c>
      <c r="D234" t="inlineStr">
        <is>
          <t>ÖREBRO LÄN</t>
        </is>
      </c>
      <c r="E234" t="inlineStr">
        <is>
          <t>LINDESBERG</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53046-2024</t>
        </is>
      </c>
      <c r="B235" s="1" t="n">
        <v>45611.44960648148</v>
      </c>
      <c r="C235" s="1" t="n">
        <v>46060</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2569-2023</t>
        </is>
      </c>
      <c r="B236" s="1" t="n">
        <v>44943.73792824074</v>
      </c>
      <c r="C236" s="1" t="n">
        <v>46060</v>
      </c>
      <c r="D236" t="inlineStr">
        <is>
          <t>ÖREBRO LÄN</t>
        </is>
      </c>
      <c r="E236" t="inlineStr">
        <is>
          <t>LINDESBERG</t>
        </is>
      </c>
      <c r="G236" t="n">
        <v>2.3</v>
      </c>
      <c r="H236" t="n">
        <v>0</v>
      </c>
      <c r="I236" t="n">
        <v>0</v>
      </c>
      <c r="J236" t="n">
        <v>0</v>
      </c>
      <c r="K236" t="n">
        <v>0</v>
      </c>
      <c r="L236" t="n">
        <v>0</v>
      </c>
      <c r="M236" t="n">
        <v>0</v>
      </c>
      <c r="N236" t="n">
        <v>0</v>
      </c>
      <c r="O236" t="n">
        <v>0</v>
      </c>
      <c r="P236" t="n">
        <v>0</v>
      </c>
      <c r="Q236" t="n">
        <v>0</v>
      </c>
      <c r="R236" s="2" t="inlineStr"/>
    </row>
    <row r="237" ht="15" customHeight="1">
      <c r="A237" t="inlineStr">
        <is>
          <t>A 12692-2024</t>
        </is>
      </c>
      <c r="B237" s="1" t="n">
        <v>45384.43418981481</v>
      </c>
      <c r="C237" s="1" t="n">
        <v>46060</v>
      </c>
      <c r="D237" t="inlineStr">
        <is>
          <t>ÖREBRO LÄN</t>
        </is>
      </c>
      <c r="E237" t="inlineStr">
        <is>
          <t>LINDESBERG</t>
        </is>
      </c>
      <c r="G237" t="n">
        <v>5.2</v>
      </c>
      <c r="H237" t="n">
        <v>0</v>
      </c>
      <c r="I237" t="n">
        <v>0</v>
      </c>
      <c r="J237" t="n">
        <v>0</v>
      </c>
      <c r="K237" t="n">
        <v>0</v>
      </c>
      <c r="L237" t="n">
        <v>0</v>
      </c>
      <c r="M237" t="n">
        <v>0</v>
      </c>
      <c r="N237" t="n">
        <v>0</v>
      </c>
      <c r="O237" t="n">
        <v>0</v>
      </c>
      <c r="P237" t="n">
        <v>0</v>
      </c>
      <c r="Q237" t="n">
        <v>0</v>
      </c>
      <c r="R237" s="2" t="inlineStr"/>
    </row>
    <row r="238" ht="15" customHeight="1">
      <c r="A238" t="inlineStr">
        <is>
          <t>A 61594-2024</t>
        </is>
      </c>
      <c r="B238" s="1" t="n">
        <v>45646.63482638889</v>
      </c>
      <c r="C238" s="1" t="n">
        <v>46060</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37507-2023</t>
        </is>
      </c>
      <c r="B239" s="1" t="n">
        <v>45158.41768518519</v>
      </c>
      <c r="C239" s="1" t="n">
        <v>46060</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17115-2025</t>
        </is>
      </c>
      <c r="B240" s="1" t="n">
        <v>45755.68247685185</v>
      </c>
      <c r="C240" s="1" t="n">
        <v>46060</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46060</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34676-2023</t>
        </is>
      </c>
      <c r="B242" s="1" t="n">
        <v>45140</v>
      </c>
      <c r="C242" s="1" t="n">
        <v>46060</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46039-2024</t>
        </is>
      </c>
      <c r="B243" s="1" t="n">
        <v>45580.73525462963</v>
      </c>
      <c r="C243" s="1" t="n">
        <v>46060</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46647-2024</t>
        </is>
      </c>
      <c r="B244" s="1" t="n">
        <v>45583</v>
      </c>
      <c r="C244" s="1" t="n">
        <v>46060</v>
      </c>
      <c r="D244" t="inlineStr">
        <is>
          <t>ÖREBRO LÄN</t>
        </is>
      </c>
      <c r="E244" t="inlineStr">
        <is>
          <t>LINDESBERG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16447-2025</t>
        </is>
      </c>
      <c r="B245" s="1" t="n">
        <v>45751.50498842593</v>
      </c>
      <c r="C245" s="1" t="n">
        <v>46060</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53189-2023</t>
        </is>
      </c>
      <c r="B246" s="1" t="n">
        <v>45194</v>
      </c>
      <c r="C246" s="1" t="n">
        <v>46060</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43247-2023</t>
        </is>
      </c>
      <c r="B247" s="1" t="n">
        <v>45183.48666666666</v>
      </c>
      <c r="C247" s="1" t="n">
        <v>46060</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47535-2022</t>
        </is>
      </c>
      <c r="B248" s="1" t="n">
        <v>44853.79818287037</v>
      </c>
      <c r="C248" s="1" t="n">
        <v>46060</v>
      </c>
      <c r="D248" t="inlineStr">
        <is>
          <t>ÖREBRO LÄN</t>
        </is>
      </c>
      <c r="E248" t="inlineStr">
        <is>
          <t>LINDESBERG</t>
        </is>
      </c>
      <c r="G248" t="n">
        <v>3</v>
      </c>
      <c r="H248" t="n">
        <v>0</v>
      </c>
      <c r="I248" t="n">
        <v>0</v>
      </c>
      <c r="J248" t="n">
        <v>0</v>
      </c>
      <c r="K248" t="n">
        <v>0</v>
      </c>
      <c r="L248" t="n">
        <v>0</v>
      </c>
      <c r="M248" t="n">
        <v>0</v>
      </c>
      <c r="N248" t="n">
        <v>0</v>
      </c>
      <c r="O248" t="n">
        <v>0</v>
      </c>
      <c r="P248" t="n">
        <v>0</v>
      </c>
      <c r="Q248" t="n">
        <v>0</v>
      </c>
      <c r="R248" s="2" t="inlineStr"/>
    </row>
    <row r="249" ht="15" customHeight="1">
      <c r="A249" t="inlineStr">
        <is>
          <t>A 43433-2024</t>
        </is>
      </c>
      <c r="B249" s="1" t="n">
        <v>45568.64523148148</v>
      </c>
      <c r="C249" s="1" t="n">
        <v>46060</v>
      </c>
      <c r="D249" t="inlineStr">
        <is>
          <t>ÖREBRO LÄN</t>
        </is>
      </c>
      <c r="E249" t="inlineStr">
        <is>
          <t>LINDESBERG</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23649-2023</t>
        </is>
      </c>
      <c r="B250" s="1" t="n">
        <v>45074</v>
      </c>
      <c r="C250" s="1" t="n">
        <v>46060</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45041-2024</t>
        </is>
      </c>
      <c r="B251" s="1" t="n">
        <v>45575.53690972222</v>
      </c>
      <c r="C251" s="1" t="n">
        <v>46060</v>
      </c>
      <c r="D251" t="inlineStr">
        <is>
          <t>ÖREBRO LÄN</t>
        </is>
      </c>
      <c r="E251" t="inlineStr">
        <is>
          <t>LINDESBERG</t>
        </is>
      </c>
      <c r="F251" t="inlineStr">
        <is>
          <t>Sveaskog</t>
        </is>
      </c>
      <c r="G251" t="n">
        <v>0.3</v>
      </c>
      <c r="H251" t="n">
        <v>0</v>
      </c>
      <c r="I251" t="n">
        <v>0</v>
      </c>
      <c r="J251" t="n">
        <v>0</v>
      </c>
      <c r="K251" t="n">
        <v>0</v>
      </c>
      <c r="L251" t="n">
        <v>0</v>
      </c>
      <c r="M251" t="n">
        <v>0</v>
      </c>
      <c r="N251" t="n">
        <v>0</v>
      </c>
      <c r="O251" t="n">
        <v>0</v>
      </c>
      <c r="P251" t="n">
        <v>0</v>
      </c>
      <c r="Q251" t="n">
        <v>0</v>
      </c>
      <c r="R251" s="2" t="inlineStr"/>
    </row>
    <row r="252" ht="15" customHeight="1">
      <c r="A252" t="inlineStr">
        <is>
          <t>A 45068-2024</t>
        </is>
      </c>
      <c r="B252" s="1" t="n">
        <v>45575.56256944445</v>
      </c>
      <c r="C252" s="1" t="n">
        <v>46060</v>
      </c>
      <c r="D252" t="inlineStr">
        <is>
          <t>ÖREBRO LÄN</t>
        </is>
      </c>
      <c r="E252" t="inlineStr">
        <is>
          <t>LINDESBERG</t>
        </is>
      </c>
      <c r="F252" t="inlineStr">
        <is>
          <t>Sveaskog</t>
        </is>
      </c>
      <c r="G252" t="n">
        <v>16.5</v>
      </c>
      <c r="H252" t="n">
        <v>0</v>
      </c>
      <c r="I252" t="n">
        <v>0</v>
      </c>
      <c r="J252" t="n">
        <v>0</v>
      </c>
      <c r="K252" t="n">
        <v>0</v>
      </c>
      <c r="L252" t="n">
        <v>0</v>
      </c>
      <c r="M252" t="n">
        <v>0</v>
      </c>
      <c r="N252" t="n">
        <v>0</v>
      </c>
      <c r="O252" t="n">
        <v>0</v>
      </c>
      <c r="P252" t="n">
        <v>0</v>
      </c>
      <c r="Q252" t="n">
        <v>0</v>
      </c>
      <c r="R252" s="2" t="inlineStr"/>
    </row>
    <row r="253" ht="15" customHeight="1">
      <c r="A253" t="inlineStr">
        <is>
          <t>A 1490-2024</t>
        </is>
      </c>
      <c r="B253" s="1" t="n">
        <v>45305</v>
      </c>
      <c r="C253" s="1" t="n">
        <v>46060</v>
      </c>
      <c r="D253" t="inlineStr">
        <is>
          <t>ÖREBRO LÄN</t>
        </is>
      </c>
      <c r="E253" t="inlineStr">
        <is>
          <t>LINDESBERG</t>
        </is>
      </c>
      <c r="G253" t="n">
        <v>17.6</v>
      </c>
      <c r="H253" t="n">
        <v>0</v>
      </c>
      <c r="I253" t="n">
        <v>0</v>
      </c>
      <c r="J253" t="n">
        <v>0</v>
      </c>
      <c r="K253" t="n">
        <v>0</v>
      </c>
      <c r="L253" t="n">
        <v>0</v>
      </c>
      <c r="M253" t="n">
        <v>0</v>
      </c>
      <c r="N253" t="n">
        <v>0</v>
      </c>
      <c r="O253" t="n">
        <v>0</v>
      </c>
      <c r="P253" t="n">
        <v>0</v>
      </c>
      <c r="Q253" t="n">
        <v>0</v>
      </c>
      <c r="R253" s="2" t="inlineStr"/>
    </row>
    <row r="254" ht="15" customHeight="1">
      <c r="A254" t="inlineStr">
        <is>
          <t>A 29938-2024</t>
        </is>
      </c>
      <c r="B254" s="1" t="n">
        <v>45488.41480324074</v>
      </c>
      <c r="C254" s="1" t="n">
        <v>46060</v>
      </c>
      <c r="D254" t="inlineStr">
        <is>
          <t>ÖREBRO LÄN</t>
        </is>
      </c>
      <c r="E254" t="inlineStr">
        <is>
          <t>LINDESBERG</t>
        </is>
      </c>
      <c r="G254" t="n">
        <v>4</v>
      </c>
      <c r="H254" t="n">
        <v>0</v>
      </c>
      <c r="I254" t="n">
        <v>0</v>
      </c>
      <c r="J254" t="n">
        <v>0</v>
      </c>
      <c r="K254" t="n">
        <v>0</v>
      </c>
      <c r="L254" t="n">
        <v>0</v>
      </c>
      <c r="M254" t="n">
        <v>0</v>
      </c>
      <c r="N254" t="n">
        <v>0</v>
      </c>
      <c r="O254" t="n">
        <v>0</v>
      </c>
      <c r="P254" t="n">
        <v>0</v>
      </c>
      <c r="Q254" t="n">
        <v>0</v>
      </c>
      <c r="R254" s="2" t="inlineStr"/>
    </row>
    <row r="255" ht="15" customHeight="1">
      <c r="A255" t="inlineStr">
        <is>
          <t>A 23102-2023</t>
        </is>
      </c>
      <c r="B255" s="1" t="n">
        <v>45075.44152777778</v>
      </c>
      <c r="C255" s="1" t="n">
        <v>46060</v>
      </c>
      <c r="D255" t="inlineStr">
        <is>
          <t>ÖREBRO LÄN</t>
        </is>
      </c>
      <c r="E255" t="inlineStr">
        <is>
          <t>LINDESBERG</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2414-2024</t>
        </is>
      </c>
      <c r="B256" s="1" t="n">
        <v>45310.87931712963</v>
      </c>
      <c r="C256" s="1" t="n">
        <v>46060</v>
      </c>
      <c r="D256" t="inlineStr">
        <is>
          <t>ÖREBRO LÄN</t>
        </is>
      </c>
      <c r="E256" t="inlineStr">
        <is>
          <t>LINDESBERG</t>
        </is>
      </c>
      <c r="G256" t="n">
        <v>7.2</v>
      </c>
      <c r="H256" t="n">
        <v>0</v>
      </c>
      <c r="I256" t="n">
        <v>0</v>
      </c>
      <c r="J256" t="n">
        <v>0</v>
      </c>
      <c r="K256" t="n">
        <v>0</v>
      </c>
      <c r="L256" t="n">
        <v>0</v>
      </c>
      <c r="M256" t="n">
        <v>0</v>
      </c>
      <c r="N256" t="n">
        <v>0</v>
      </c>
      <c r="O256" t="n">
        <v>0</v>
      </c>
      <c r="P256" t="n">
        <v>0</v>
      </c>
      <c r="Q256" t="n">
        <v>0</v>
      </c>
      <c r="R256" s="2" t="inlineStr"/>
    </row>
    <row r="257" ht="15" customHeight="1">
      <c r="A257" t="inlineStr">
        <is>
          <t>A 7201-2024</t>
        </is>
      </c>
      <c r="B257" s="1" t="n">
        <v>45344.6027662037</v>
      </c>
      <c r="C257" s="1" t="n">
        <v>46060</v>
      </c>
      <c r="D257" t="inlineStr">
        <is>
          <t>ÖREBRO LÄN</t>
        </is>
      </c>
      <c r="E257" t="inlineStr">
        <is>
          <t>LINDESBERG</t>
        </is>
      </c>
      <c r="G257" t="n">
        <v>4.7</v>
      </c>
      <c r="H257" t="n">
        <v>0</v>
      </c>
      <c r="I257" t="n">
        <v>0</v>
      </c>
      <c r="J257" t="n">
        <v>0</v>
      </c>
      <c r="K257" t="n">
        <v>0</v>
      </c>
      <c r="L257" t="n">
        <v>0</v>
      </c>
      <c r="M257" t="n">
        <v>0</v>
      </c>
      <c r="N257" t="n">
        <v>0</v>
      </c>
      <c r="O257" t="n">
        <v>0</v>
      </c>
      <c r="P257" t="n">
        <v>0</v>
      </c>
      <c r="Q257" t="n">
        <v>0</v>
      </c>
      <c r="R257" s="2" t="inlineStr"/>
    </row>
    <row r="258" ht="15" customHeight="1">
      <c r="A258" t="inlineStr">
        <is>
          <t>A 52284-2024</t>
        </is>
      </c>
      <c r="B258" s="1" t="n">
        <v>45608</v>
      </c>
      <c r="C258" s="1" t="n">
        <v>46060</v>
      </c>
      <c r="D258" t="inlineStr">
        <is>
          <t>ÖREBRO LÄN</t>
        </is>
      </c>
      <c r="E258" t="inlineStr">
        <is>
          <t>LINDESBERG</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5080-2024</t>
        </is>
      </c>
      <c r="B259" s="1" t="n">
        <v>45330</v>
      </c>
      <c r="C259" s="1" t="n">
        <v>46060</v>
      </c>
      <c r="D259" t="inlineStr">
        <is>
          <t>ÖREBRO LÄN</t>
        </is>
      </c>
      <c r="E259" t="inlineStr">
        <is>
          <t>LINDESBERG</t>
        </is>
      </c>
      <c r="G259" t="n">
        <v>1.5</v>
      </c>
      <c r="H259" t="n">
        <v>0</v>
      </c>
      <c r="I259" t="n">
        <v>0</v>
      </c>
      <c r="J259" t="n">
        <v>0</v>
      </c>
      <c r="K259" t="n">
        <v>0</v>
      </c>
      <c r="L259" t="n">
        <v>0</v>
      </c>
      <c r="M259" t="n">
        <v>0</v>
      </c>
      <c r="N259" t="n">
        <v>0</v>
      </c>
      <c r="O259" t="n">
        <v>0</v>
      </c>
      <c r="P259" t="n">
        <v>0</v>
      </c>
      <c r="Q259" t="n">
        <v>0</v>
      </c>
      <c r="R259" s="2" t="inlineStr"/>
    </row>
    <row r="260" ht="15" customHeight="1">
      <c r="A260" t="inlineStr">
        <is>
          <t>A 52930-2024</t>
        </is>
      </c>
      <c r="B260" s="1" t="n">
        <v>45610.7466087963</v>
      </c>
      <c r="C260" s="1" t="n">
        <v>46060</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56579-2023</t>
        </is>
      </c>
      <c r="B261" s="1" t="n">
        <v>45243.62420138889</v>
      </c>
      <c r="C261" s="1" t="n">
        <v>46060</v>
      </c>
      <c r="D261" t="inlineStr">
        <is>
          <t>ÖREBRO LÄN</t>
        </is>
      </c>
      <c r="E261" t="inlineStr">
        <is>
          <t>LINDESBERG</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56582-2023</t>
        </is>
      </c>
      <c r="B262" s="1" t="n">
        <v>45243</v>
      </c>
      <c r="C262" s="1" t="n">
        <v>46060</v>
      </c>
      <c r="D262" t="inlineStr">
        <is>
          <t>ÖREBRO LÄN</t>
        </is>
      </c>
      <c r="E262" t="inlineStr">
        <is>
          <t>LINDESBERG</t>
        </is>
      </c>
      <c r="F262" t="inlineStr">
        <is>
          <t>Naturvårdsverket</t>
        </is>
      </c>
      <c r="G262" t="n">
        <v>2.3</v>
      </c>
      <c r="H262" t="n">
        <v>0</v>
      </c>
      <c r="I262" t="n">
        <v>0</v>
      </c>
      <c r="J262" t="n">
        <v>0</v>
      </c>
      <c r="K262" t="n">
        <v>0</v>
      </c>
      <c r="L262" t="n">
        <v>0</v>
      </c>
      <c r="M262" t="n">
        <v>0</v>
      </c>
      <c r="N262" t="n">
        <v>0</v>
      </c>
      <c r="O262" t="n">
        <v>0</v>
      </c>
      <c r="P262" t="n">
        <v>0</v>
      </c>
      <c r="Q262" t="n">
        <v>0</v>
      </c>
      <c r="R262" s="2" t="inlineStr"/>
    </row>
    <row r="263" ht="15" customHeight="1">
      <c r="A263" t="inlineStr">
        <is>
          <t>A 15895-2025</t>
        </is>
      </c>
      <c r="B263" s="1" t="n">
        <v>45749</v>
      </c>
      <c r="C263" s="1" t="n">
        <v>46060</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41947-2023</t>
        </is>
      </c>
      <c r="B264" s="1" t="n">
        <v>45177.31795138889</v>
      </c>
      <c r="C264" s="1" t="n">
        <v>46060</v>
      </c>
      <c r="D264" t="inlineStr">
        <is>
          <t>ÖREBRO LÄN</t>
        </is>
      </c>
      <c r="E264" t="inlineStr">
        <is>
          <t>LINDESBERG</t>
        </is>
      </c>
      <c r="F264" t="inlineStr">
        <is>
          <t>Kyrkan</t>
        </is>
      </c>
      <c r="G264" t="n">
        <v>0.7</v>
      </c>
      <c r="H264" t="n">
        <v>0</v>
      </c>
      <c r="I264" t="n">
        <v>0</v>
      </c>
      <c r="J264" t="n">
        <v>0</v>
      </c>
      <c r="K264" t="n">
        <v>0</v>
      </c>
      <c r="L264" t="n">
        <v>0</v>
      </c>
      <c r="M264" t="n">
        <v>0</v>
      </c>
      <c r="N264" t="n">
        <v>0</v>
      </c>
      <c r="O264" t="n">
        <v>0</v>
      </c>
      <c r="P264" t="n">
        <v>0</v>
      </c>
      <c r="Q264" t="n">
        <v>0</v>
      </c>
      <c r="R264" s="2" t="inlineStr"/>
    </row>
    <row r="265" ht="15" customHeight="1">
      <c r="A265" t="inlineStr">
        <is>
          <t>A 4440-2024</t>
        </is>
      </c>
      <c r="B265" s="1" t="n">
        <v>45327</v>
      </c>
      <c r="C265" s="1" t="n">
        <v>46060</v>
      </c>
      <c r="D265" t="inlineStr">
        <is>
          <t>ÖREBRO LÄN</t>
        </is>
      </c>
      <c r="E265" t="inlineStr">
        <is>
          <t>LINDESBERG</t>
        </is>
      </c>
      <c r="F265" t="inlineStr">
        <is>
          <t>BillerudKorsnäs AB</t>
        </is>
      </c>
      <c r="G265" t="n">
        <v>2</v>
      </c>
      <c r="H265" t="n">
        <v>0</v>
      </c>
      <c r="I265" t="n">
        <v>0</v>
      </c>
      <c r="J265" t="n">
        <v>0</v>
      </c>
      <c r="K265" t="n">
        <v>0</v>
      </c>
      <c r="L265" t="n">
        <v>0</v>
      </c>
      <c r="M265" t="n">
        <v>0</v>
      </c>
      <c r="N265" t="n">
        <v>0</v>
      </c>
      <c r="O265" t="n">
        <v>0</v>
      </c>
      <c r="P265" t="n">
        <v>0</v>
      </c>
      <c r="Q265" t="n">
        <v>0</v>
      </c>
      <c r="R265" s="2" t="inlineStr"/>
    </row>
    <row r="266" ht="15" customHeight="1">
      <c r="A266" t="inlineStr">
        <is>
          <t>A 37738-2024</t>
        </is>
      </c>
      <c r="B266" s="1" t="n">
        <v>45541.66916666667</v>
      </c>
      <c r="C266" s="1" t="n">
        <v>46060</v>
      </c>
      <c r="D266" t="inlineStr">
        <is>
          <t>ÖREBRO LÄN</t>
        </is>
      </c>
      <c r="E266" t="inlineStr">
        <is>
          <t>LINDESBERG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15899-2025</t>
        </is>
      </c>
      <c r="B267" s="1" t="n">
        <v>45749.42258101852</v>
      </c>
      <c r="C267" s="1" t="n">
        <v>46060</v>
      </c>
      <c r="D267" t="inlineStr">
        <is>
          <t>ÖREBRO LÄN</t>
        </is>
      </c>
      <c r="E267" t="inlineStr">
        <is>
          <t>LINDESBERG</t>
        </is>
      </c>
      <c r="G267" t="n">
        <v>6.6</v>
      </c>
      <c r="H267" t="n">
        <v>0</v>
      </c>
      <c r="I267" t="n">
        <v>0</v>
      </c>
      <c r="J267" t="n">
        <v>0</v>
      </c>
      <c r="K267" t="n">
        <v>0</v>
      </c>
      <c r="L267" t="n">
        <v>0</v>
      </c>
      <c r="M267" t="n">
        <v>0</v>
      </c>
      <c r="N267" t="n">
        <v>0</v>
      </c>
      <c r="O267" t="n">
        <v>0</v>
      </c>
      <c r="P267" t="n">
        <v>0</v>
      </c>
      <c r="Q267" t="n">
        <v>0</v>
      </c>
      <c r="R267" s="2" t="inlineStr"/>
    </row>
    <row r="268" ht="15" customHeight="1">
      <c r="A268" t="inlineStr">
        <is>
          <t>A 10825-2021</t>
        </is>
      </c>
      <c r="B268" s="1" t="n">
        <v>44259</v>
      </c>
      <c r="C268" s="1" t="n">
        <v>46060</v>
      </c>
      <c r="D268" t="inlineStr">
        <is>
          <t>ÖREBRO LÄN</t>
        </is>
      </c>
      <c r="E268" t="inlineStr">
        <is>
          <t>LINDESBERG</t>
        </is>
      </c>
      <c r="G268" t="n">
        <v>7.4</v>
      </c>
      <c r="H268" t="n">
        <v>0</v>
      </c>
      <c r="I268" t="n">
        <v>0</v>
      </c>
      <c r="J268" t="n">
        <v>0</v>
      </c>
      <c r="K268" t="n">
        <v>0</v>
      </c>
      <c r="L268" t="n">
        <v>0</v>
      </c>
      <c r="M268" t="n">
        <v>0</v>
      </c>
      <c r="N268" t="n">
        <v>0</v>
      </c>
      <c r="O268" t="n">
        <v>0</v>
      </c>
      <c r="P268" t="n">
        <v>0</v>
      </c>
      <c r="Q268" t="n">
        <v>0</v>
      </c>
      <c r="R268" s="2" t="inlineStr"/>
    </row>
    <row r="269" ht="15" customHeight="1">
      <c r="A269" t="inlineStr">
        <is>
          <t>A 27434-2023</t>
        </is>
      </c>
      <c r="B269" s="1" t="n">
        <v>45097.38688657407</v>
      </c>
      <c r="C269" s="1" t="n">
        <v>46060</v>
      </c>
      <c r="D269" t="inlineStr">
        <is>
          <t>ÖREBRO LÄN</t>
        </is>
      </c>
      <c r="E269" t="inlineStr">
        <is>
          <t>LINDESBERG</t>
        </is>
      </c>
      <c r="G269" t="n">
        <v>10.7</v>
      </c>
      <c r="H269" t="n">
        <v>0</v>
      </c>
      <c r="I269" t="n">
        <v>0</v>
      </c>
      <c r="J269" t="n">
        <v>0</v>
      </c>
      <c r="K269" t="n">
        <v>0</v>
      </c>
      <c r="L269" t="n">
        <v>0</v>
      </c>
      <c r="M269" t="n">
        <v>0</v>
      </c>
      <c r="N269" t="n">
        <v>0</v>
      </c>
      <c r="O269" t="n">
        <v>0</v>
      </c>
      <c r="P269" t="n">
        <v>0</v>
      </c>
      <c r="Q269" t="n">
        <v>0</v>
      </c>
      <c r="R269" s="2" t="inlineStr"/>
    </row>
    <row r="270" ht="15" customHeight="1">
      <c r="A270" t="inlineStr">
        <is>
          <t>A 56561-2023</t>
        </is>
      </c>
      <c r="B270" s="1" t="n">
        <v>45243</v>
      </c>
      <c r="C270" s="1" t="n">
        <v>46060</v>
      </c>
      <c r="D270" t="inlineStr">
        <is>
          <t>ÖREBRO LÄN</t>
        </is>
      </c>
      <c r="E270" t="inlineStr">
        <is>
          <t>LINDESBERG</t>
        </is>
      </c>
      <c r="G270" t="n">
        <v>1.9</v>
      </c>
      <c r="H270" t="n">
        <v>0</v>
      </c>
      <c r="I270" t="n">
        <v>0</v>
      </c>
      <c r="J270" t="n">
        <v>0</v>
      </c>
      <c r="K270" t="n">
        <v>0</v>
      </c>
      <c r="L270" t="n">
        <v>0</v>
      </c>
      <c r="M270" t="n">
        <v>0</v>
      </c>
      <c r="N270" t="n">
        <v>0</v>
      </c>
      <c r="O270" t="n">
        <v>0</v>
      </c>
      <c r="P270" t="n">
        <v>0</v>
      </c>
      <c r="Q270" t="n">
        <v>0</v>
      </c>
      <c r="R270" s="2" t="inlineStr"/>
    </row>
    <row r="271" ht="15" customHeight="1">
      <c r="A271" t="inlineStr">
        <is>
          <t>A 15933-2025</t>
        </is>
      </c>
      <c r="B271" s="1" t="n">
        <v>45749.47251157407</v>
      </c>
      <c r="C271" s="1" t="n">
        <v>46060</v>
      </c>
      <c r="D271" t="inlineStr">
        <is>
          <t>ÖREBRO LÄN</t>
        </is>
      </c>
      <c r="E271" t="inlineStr">
        <is>
          <t>LINDESBERG</t>
        </is>
      </c>
      <c r="G271" t="n">
        <v>6.1</v>
      </c>
      <c r="H271" t="n">
        <v>0</v>
      </c>
      <c r="I271" t="n">
        <v>0</v>
      </c>
      <c r="J271" t="n">
        <v>0</v>
      </c>
      <c r="K271" t="n">
        <v>0</v>
      </c>
      <c r="L271" t="n">
        <v>0</v>
      </c>
      <c r="M271" t="n">
        <v>0</v>
      </c>
      <c r="N271" t="n">
        <v>0</v>
      </c>
      <c r="O271" t="n">
        <v>0</v>
      </c>
      <c r="P271" t="n">
        <v>0</v>
      </c>
      <c r="Q271" t="n">
        <v>0</v>
      </c>
      <c r="R271" s="2" t="inlineStr"/>
    </row>
    <row r="272" ht="15" customHeight="1">
      <c r="A272" t="inlineStr">
        <is>
          <t>A 10564-2023</t>
        </is>
      </c>
      <c r="B272" s="1" t="n">
        <v>44988</v>
      </c>
      <c r="C272" s="1" t="n">
        <v>46060</v>
      </c>
      <c r="D272" t="inlineStr">
        <is>
          <t>ÖREBRO LÄN</t>
        </is>
      </c>
      <c r="E272" t="inlineStr">
        <is>
          <t>LINDESBERG</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15936-2025</t>
        </is>
      </c>
      <c r="B273" s="1" t="n">
        <v>45749.4737962963</v>
      </c>
      <c r="C273" s="1" t="n">
        <v>46060</v>
      </c>
      <c r="D273" t="inlineStr">
        <is>
          <t>ÖREBRO LÄN</t>
        </is>
      </c>
      <c r="E273" t="inlineStr">
        <is>
          <t>LINDESBERG</t>
        </is>
      </c>
      <c r="G273" t="n">
        <v>22.3</v>
      </c>
      <c r="H273" t="n">
        <v>0</v>
      </c>
      <c r="I273" t="n">
        <v>0</v>
      </c>
      <c r="J273" t="n">
        <v>0</v>
      </c>
      <c r="K273" t="n">
        <v>0</v>
      </c>
      <c r="L273" t="n">
        <v>0</v>
      </c>
      <c r="M273" t="n">
        <v>0</v>
      </c>
      <c r="N273" t="n">
        <v>0</v>
      </c>
      <c r="O273" t="n">
        <v>0</v>
      </c>
      <c r="P273" t="n">
        <v>0</v>
      </c>
      <c r="Q273" t="n">
        <v>0</v>
      </c>
      <c r="R273" s="2" t="inlineStr"/>
    </row>
    <row r="274" ht="15" customHeight="1">
      <c r="A274" t="inlineStr">
        <is>
          <t>A 62968-2023</t>
        </is>
      </c>
      <c r="B274" s="1" t="n">
        <v>45272.57385416667</v>
      </c>
      <c r="C274" s="1" t="n">
        <v>46060</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30830-2024</t>
        </is>
      </c>
      <c r="B275" s="1" t="n">
        <v>45497</v>
      </c>
      <c r="C275" s="1" t="n">
        <v>46060</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36291-2022</t>
        </is>
      </c>
      <c r="B276" s="1" t="n">
        <v>44803.64361111111</v>
      </c>
      <c r="C276" s="1" t="n">
        <v>46060</v>
      </c>
      <c r="D276" t="inlineStr">
        <is>
          <t>ÖREBRO LÄN</t>
        </is>
      </c>
      <c r="E276" t="inlineStr">
        <is>
          <t>LINDESBERG</t>
        </is>
      </c>
      <c r="G276" t="n">
        <v>3.8</v>
      </c>
      <c r="H276" t="n">
        <v>0</v>
      </c>
      <c r="I276" t="n">
        <v>0</v>
      </c>
      <c r="J276" t="n">
        <v>0</v>
      </c>
      <c r="K276" t="n">
        <v>0</v>
      </c>
      <c r="L276" t="n">
        <v>0</v>
      </c>
      <c r="M276" t="n">
        <v>0</v>
      </c>
      <c r="N276" t="n">
        <v>0</v>
      </c>
      <c r="O276" t="n">
        <v>0</v>
      </c>
      <c r="P276" t="n">
        <v>0</v>
      </c>
      <c r="Q276" t="n">
        <v>0</v>
      </c>
      <c r="R276" s="2" t="inlineStr"/>
    </row>
    <row r="277" ht="15" customHeight="1">
      <c r="A277" t="inlineStr">
        <is>
          <t>A 10836-2024</t>
        </is>
      </c>
      <c r="B277" s="1" t="n">
        <v>45369</v>
      </c>
      <c r="C277" s="1" t="n">
        <v>46060</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24944-2024</t>
        </is>
      </c>
      <c r="B278" s="1" t="n">
        <v>45461.62924768519</v>
      </c>
      <c r="C278" s="1" t="n">
        <v>46060</v>
      </c>
      <c r="D278" t="inlineStr">
        <is>
          <t>ÖREBRO LÄN</t>
        </is>
      </c>
      <c r="E278" t="inlineStr">
        <is>
          <t>LINDESBERG</t>
        </is>
      </c>
      <c r="F278" t="inlineStr">
        <is>
          <t>Kyrkan</t>
        </is>
      </c>
      <c r="G278" t="n">
        <v>13.7</v>
      </c>
      <c r="H278" t="n">
        <v>0</v>
      </c>
      <c r="I278" t="n">
        <v>0</v>
      </c>
      <c r="J278" t="n">
        <v>0</v>
      </c>
      <c r="K278" t="n">
        <v>0</v>
      </c>
      <c r="L278" t="n">
        <v>0</v>
      </c>
      <c r="M278" t="n">
        <v>0</v>
      </c>
      <c r="N278" t="n">
        <v>0</v>
      </c>
      <c r="O278" t="n">
        <v>0</v>
      </c>
      <c r="P278" t="n">
        <v>0</v>
      </c>
      <c r="Q278" t="n">
        <v>0</v>
      </c>
      <c r="R278" s="2" t="inlineStr"/>
    </row>
    <row r="279" ht="15" customHeight="1">
      <c r="A279" t="inlineStr">
        <is>
          <t>A 33716-2021</t>
        </is>
      </c>
      <c r="B279" s="1" t="n">
        <v>44378.46857638889</v>
      </c>
      <c r="C279" s="1" t="n">
        <v>46060</v>
      </c>
      <c r="D279" t="inlineStr">
        <is>
          <t>ÖREBRO LÄN</t>
        </is>
      </c>
      <c r="E279" t="inlineStr">
        <is>
          <t>LINDESBERG</t>
        </is>
      </c>
      <c r="G279" t="n">
        <v>4.6</v>
      </c>
      <c r="H279" t="n">
        <v>0</v>
      </c>
      <c r="I279" t="n">
        <v>0</v>
      </c>
      <c r="J279" t="n">
        <v>0</v>
      </c>
      <c r="K279" t="n">
        <v>0</v>
      </c>
      <c r="L279" t="n">
        <v>0</v>
      </c>
      <c r="M279" t="n">
        <v>0</v>
      </c>
      <c r="N279" t="n">
        <v>0</v>
      </c>
      <c r="O279" t="n">
        <v>0</v>
      </c>
      <c r="P279" t="n">
        <v>0</v>
      </c>
      <c r="Q279" t="n">
        <v>0</v>
      </c>
      <c r="R279" s="2" t="inlineStr"/>
    </row>
    <row r="280" ht="15" customHeight="1">
      <c r="A280" t="inlineStr">
        <is>
          <t>A 23536-2023</t>
        </is>
      </c>
      <c r="B280" s="1" t="n">
        <v>45077</v>
      </c>
      <c r="C280" s="1" t="n">
        <v>46060</v>
      </c>
      <c r="D280" t="inlineStr">
        <is>
          <t>ÖREBRO LÄN</t>
        </is>
      </c>
      <c r="E280" t="inlineStr">
        <is>
          <t>LINDESBERG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38552-2023</t>
        </is>
      </c>
      <c r="B281" s="1" t="n">
        <v>45162.5978125</v>
      </c>
      <c r="C281" s="1" t="n">
        <v>46060</v>
      </c>
      <c r="D281" t="inlineStr">
        <is>
          <t>ÖREBRO LÄN</t>
        </is>
      </c>
      <c r="E281" t="inlineStr">
        <is>
          <t>LINDESBERG</t>
        </is>
      </c>
      <c r="G281" t="n">
        <v>10.4</v>
      </c>
      <c r="H281" t="n">
        <v>0</v>
      </c>
      <c r="I281" t="n">
        <v>0</v>
      </c>
      <c r="J281" t="n">
        <v>0</v>
      </c>
      <c r="K281" t="n">
        <v>0</v>
      </c>
      <c r="L281" t="n">
        <v>0</v>
      </c>
      <c r="M281" t="n">
        <v>0</v>
      </c>
      <c r="N281" t="n">
        <v>0</v>
      </c>
      <c r="O281" t="n">
        <v>0</v>
      </c>
      <c r="P281" t="n">
        <v>0</v>
      </c>
      <c r="Q281" t="n">
        <v>0</v>
      </c>
      <c r="R281" s="2" t="inlineStr"/>
    </row>
    <row r="282" ht="15" customHeight="1">
      <c r="A282" t="inlineStr">
        <is>
          <t>A 15213-2025</t>
        </is>
      </c>
      <c r="B282" s="1" t="n">
        <v>45744.57851851852</v>
      </c>
      <c r="C282" s="1" t="n">
        <v>46060</v>
      </c>
      <c r="D282" t="inlineStr">
        <is>
          <t>ÖREBRO LÄN</t>
        </is>
      </c>
      <c r="E282" t="inlineStr">
        <is>
          <t>LINDESBERG</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19914-2024</t>
        </is>
      </c>
      <c r="B283" s="1" t="n">
        <v>45433.58099537037</v>
      </c>
      <c r="C283" s="1" t="n">
        <v>46060</v>
      </c>
      <c r="D283" t="inlineStr">
        <is>
          <t>ÖREBRO LÄN</t>
        </is>
      </c>
      <c r="E283" t="inlineStr">
        <is>
          <t>LINDESBERG</t>
        </is>
      </c>
      <c r="G283" t="n">
        <v>1.1</v>
      </c>
      <c r="H283" t="n">
        <v>0</v>
      </c>
      <c r="I283" t="n">
        <v>0</v>
      </c>
      <c r="J283" t="n">
        <v>0</v>
      </c>
      <c r="K283" t="n">
        <v>0</v>
      </c>
      <c r="L283" t="n">
        <v>0</v>
      </c>
      <c r="M283" t="n">
        <v>0</v>
      </c>
      <c r="N283" t="n">
        <v>0</v>
      </c>
      <c r="O283" t="n">
        <v>0</v>
      </c>
      <c r="P283" t="n">
        <v>0</v>
      </c>
      <c r="Q283" t="n">
        <v>0</v>
      </c>
      <c r="R283" s="2" t="inlineStr"/>
    </row>
    <row r="284" ht="15" customHeight="1">
      <c r="A284" t="inlineStr">
        <is>
          <t>A 4999-2025</t>
        </is>
      </c>
      <c r="B284" s="1" t="n">
        <v>45691.36253472222</v>
      </c>
      <c r="C284" s="1" t="n">
        <v>46060</v>
      </c>
      <c r="D284" t="inlineStr">
        <is>
          <t>ÖREBRO LÄN</t>
        </is>
      </c>
      <c r="E284" t="inlineStr">
        <is>
          <t>LINDESBERG</t>
        </is>
      </c>
      <c r="G284" t="n">
        <v>4.7</v>
      </c>
      <c r="H284" t="n">
        <v>0</v>
      </c>
      <c r="I284" t="n">
        <v>0</v>
      </c>
      <c r="J284" t="n">
        <v>0</v>
      </c>
      <c r="K284" t="n">
        <v>0</v>
      </c>
      <c r="L284" t="n">
        <v>0</v>
      </c>
      <c r="M284" t="n">
        <v>0</v>
      </c>
      <c r="N284" t="n">
        <v>0</v>
      </c>
      <c r="O284" t="n">
        <v>0</v>
      </c>
      <c r="P284" t="n">
        <v>0</v>
      </c>
      <c r="Q284" t="n">
        <v>0</v>
      </c>
      <c r="R284" s="2" t="inlineStr"/>
    </row>
    <row r="285" ht="15" customHeight="1">
      <c r="A285" t="inlineStr">
        <is>
          <t>A 15941-2025</t>
        </is>
      </c>
      <c r="B285" s="1" t="n">
        <v>45749</v>
      </c>
      <c r="C285" s="1" t="n">
        <v>46060</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55631-2022</t>
        </is>
      </c>
      <c r="B286" s="1" t="n">
        <v>44888.4577662037</v>
      </c>
      <c r="C286" s="1" t="n">
        <v>46060</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12250-2025</t>
        </is>
      </c>
      <c r="B287" s="1" t="n">
        <v>45729.60775462963</v>
      </c>
      <c r="C287" s="1" t="n">
        <v>46060</v>
      </c>
      <c r="D287" t="inlineStr">
        <is>
          <t>ÖREBRO LÄN</t>
        </is>
      </c>
      <c r="E287" t="inlineStr">
        <is>
          <t>LINDESBERG</t>
        </is>
      </c>
      <c r="G287" t="n">
        <v>3.4</v>
      </c>
      <c r="H287" t="n">
        <v>0</v>
      </c>
      <c r="I287" t="n">
        <v>0</v>
      </c>
      <c r="J287" t="n">
        <v>0</v>
      </c>
      <c r="K287" t="n">
        <v>0</v>
      </c>
      <c r="L287" t="n">
        <v>0</v>
      </c>
      <c r="M287" t="n">
        <v>0</v>
      </c>
      <c r="N287" t="n">
        <v>0</v>
      </c>
      <c r="O287" t="n">
        <v>0</v>
      </c>
      <c r="P287" t="n">
        <v>0</v>
      </c>
      <c r="Q287" t="n">
        <v>0</v>
      </c>
      <c r="R287" s="2" t="inlineStr"/>
    </row>
    <row r="288" ht="15" customHeight="1">
      <c r="A288" t="inlineStr">
        <is>
          <t>A 265-2023</t>
        </is>
      </c>
      <c r="B288" s="1" t="n">
        <v>44928</v>
      </c>
      <c r="C288" s="1" t="n">
        <v>46060</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60115-2022</t>
        </is>
      </c>
      <c r="B289" s="1" t="n">
        <v>44902</v>
      </c>
      <c r="C289" s="1" t="n">
        <v>46060</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48231-2024</t>
        </is>
      </c>
      <c r="B290" s="1" t="n">
        <v>45590.37590277778</v>
      </c>
      <c r="C290" s="1" t="n">
        <v>46060</v>
      </c>
      <c r="D290" t="inlineStr">
        <is>
          <t>ÖREBRO LÄN</t>
        </is>
      </c>
      <c r="E290" t="inlineStr">
        <is>
          <t>LINDESBERG</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29975-2023</t>
        </is>
      </c>
      <c r="B291" s="1" t="n">
        <v>45108.7553587963</v>
      </c>
      <c r="C291" s="1" t="n">
        <v>46060</v>
      </c>
      <c r="D291" t="inlineStr">
        <is>
          <t>ÖREBRO LÄN</t>
        </is>
      </c>
      <c r="E291" t="inlineStr">
        <is>
          <t>LINDESBERG</t>
        </is>
      </c>
      <c r="G291" t="n">
        <v>6.4</v>
      </c>
      <c r="H291" t="n">
        <v>0</v>
      </c>
      <c r="I291" t="n">
        <v>0</v>
      </c>
      <c r="J291" t="n">
        <v>0</v>
      </c>
      <c r="K291" t="n">
        <v>0</v>
      </c>
      <c r="L291" t="n">
        <v>0</v>
      </c>
      <c r="M291" t="n">
        <v>0</v>
      </c>
      <c r="N291" t="n">
        <v>0</v>
      </c>
      <c r="O291" t="n">
        <v>0</v>
      </c>
      <c r="P291" t="n">
        <v>0</v>
      </c>
      <c r="Q291" t="n">
        <v>0</v>
      </c>
      <c r="R291" s="2" t="inlineStr"/>
    </row>
    <row r="292" ht="15" customHeight="1">
      <c r="A292" t="inlineStr">
        <is>
          <t>A 25643-2025</t>
        </is>
      </c>
      <c r="B292" s="1" t="n">
        <v>45803</v>
      </c>
      <c r="C292" s="1" t="n">
        <v>46060</v>
      </c>
      <c r="D292" t="inlineStr">
        <is>
          <t>ÖREBRO LÄN</t>
        </is>
      </c>
      <c r="E292" t="inlineStr">
        <is>
          <t>LINDESBERG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15212-2025</t>
        </is>
      </c>
      <c r="B293" s="1" t="n">
        <v>45744.57673611111</v>
      </c>
      <c r="C293" s="1" t="n">
        <v>46060</v>
      </c>
      <c r="D293" t="inlineStr">
        <is>
          <t>ÖREBRO LÄN</t>
        </is>
      </c>
      <c r="E293" t="inlineStr">
        <is>
          <t>LINDESBERG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40905-2023</t>
        </is>
      </c>
      <c r="B294" s="1" t="n">
        <v>45173.39315972223</v>
      </c>
      <c r="C294" s="1" t="n">
        <v>46060</v>
      </c>
      <c r="D294" t="inlineStr">
        <is>
          <t>ÖREBRO LÄN</t>
        </is>
      </c>
      <c r="E294" t="inlineStr">
        <is>
          <t>LINDESBERG</t>
        </is>
      </c>
      <c r="G294" t="n">
        <v>0.5</v>
      </c>
      <c r="H294" t="n">
        <v>0</v>
      </c>
      <c r="I294" t="n">
        <v>0</v>
      </c>
      <c r="J294" t="n">
        <v>0</v>
      </c>
      <c r="K294" t="n">
        <v>0</v>
      </c>
      <c r="L294" t="n">
        <v>0</v>
      </c>
      <c r="M294" t="n">
        <v>0</v>
      </c>
      <c r="N294" t="n">
        <v>0</v>
      </c>
      <c r="O294" t="n">
        <v>0</v>
      </c>
      <c r="P294" t="n">
        <v>0</v>
      </c>
      <c r="Q294" t="n">
        <v>0</v>
      </c>
      <c r="R294" s="2" t="inlineStr"/>
    </row>
    <row r="295" ht="15" customHeight="1">
      <c r="A295" t="inlineStr">
        <is>
          <t>A 40085-2023</t>
        </is>
      </c>
      <c r="B295" s="1" t="n">
        <v>45168.92155092592</v>
      </c>
      <c r="C295" s="1" t="n">
        <v>46060</v>
      </c>
      <c r="D295" t="inlineStr">
        <is>
          <t>ÖREBRO LÄN</t>
        </is>
      </c>
      <c r="E295" t="inlineStr">
        <is>
          <t>LINDESBERG</t>
        </is>
      </c>
      <c r="G295" t="n">
        <v>6.1</v>
      </c>
      <c r="H295" t="n">
        <v>0</v>
      </c>
      <c r="I295" t="n">
        <v>0</v>
      </c>
      <c r="J295" t="n">
        <v>0</v>
      </c>
      <c r="K295" t="n">
        <v>0</v>
      </c>
      <c r="L295" t="n">
        <v>0</v>
      </c>
      <c r="M295" t="n">
        <v>0</v>
      </c>
      <c r="N295" t="n">
        <v>0</v>
      </c>
      <c r="O295" t="n">
        <v>0</v>
      </c>
      <c r="P295" t="n">
        <v>0</v>
      </c>
      <c r="Q295" t="n">
        <v>0</v>
      </c>
      <c r="R295" s="2" t="inlineStr"/>
    </row>
    <row r="296" ht="15" customHeight="1">
      <c r="A296" t="inlineStr">
        <is>
          <t>A 40117-2023</t>
        </is>
      </c>
      <c r="B296" s="1" t="n">
        <v>45168.94197916667</v>
      </c>
      <c r="C296" s="1" t="n">
        <v>46060</v>
      </c>
      <c r="D296" t="inlineStr">
        <is>
          <t>ÖREBRO LÄN</t>
        </is>
      </c>
      <c r="E296" t="inlineStr">
        <is>
          <t>LINDESBERG</t>
        </is>
      </c>
      <c r="G296" t="n">
        <v>2.3</v>
      </c>
      <c r="H296" t="n">
        <v>0</v>
      </c>
      <c r="I296" t="n">
        <v>0</v>
      </c>
      <c r="J296" t="n">
        <v>0</v>
      </c>
      <c r="K296" t="n">
        <v>0</v>
      </c>
      <c r="L296" t="n">
        <v>0</v>
      </c>
      <c r="M296" t="n">
        <v>0</v>
      </c>
      <c r="N296" t="n">
        <v>0</v>
      </c>
      <c r="O296" t="n">
        <v>0</v>
      </c>
      <c r="P296" t="n">
        <v>0</v>
      </c>
      <c r="Q296" t="n">
        <v>0</v>
      </c>
      <c r="R296" s="2" t="inlineStr"/>
    </row>
    <row r="297" ht="15" customHeight="1">
      <c r="A297" t="inlineStr">
        <is>
          <t>A 21390-2024</t>
        </is>
      </c>
      <c r="B297" s="1" t="n">
        <v>45441.30899305556</v>
      </c>
      <c r="C297" s="1" t="n">
        <v>46060</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21392-2024</t>
        </is>
      </c>
      <c r="B298" s="1" t="n">
        <v>45441.30998842593</v>
      </c>
      <c r="C298" s="1" t="n">
        <v>46060</v>
      </c>
      <c r="D298" t="inlineStr">
        <is>
          <t>ÖREBRO LÄN</t>
        </is>
      </c>
      <c r="E298" t="inlineStr">
        <is>
          <t>LINDESBERG</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25842-2025</t>
        </is>
      </c>
      <c r="B299" s="1" t="n">
        <v>45804.45474537037</v>
      </c>
      <c r="C299" s="1" t="n">
        <v>46060</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26016-2025</t>
        </is>
      </c>
      <c r="B300" s="1" t="n">
        <v>45804.67795138889</v>
      </c>
      <c r="C300" s="1" t="n">
        <v>46060</v>
      </c>
      <c r="D300" t="inlineStr">
        <is>
          <t>ÖREBRO LÄN</t>
        </is>
      </c>
      <c r="E300" t="inlineStr">
        <is>
          <t>LINDESBERG</t>
        </is>
      </c>
      <c r="G300" t="n">
        <v>10</v>
      </c>
      <c r="H300" t="n">
        <v>0</v>
      </c>
      <c r="I300" t="n">
        <v>0</v>
      </c>
      <c r="J300" t="n">
        <v>0</v>
      </c>
      <c r="K300" t="n">
        <v>0</v>
      </c>
      <c r="L300" t="n">
        <v>0</v>
      </c>
      <c r="M300" t="n">
        <v>0</v>
      </c>
      <c r="N300" t="n">
        <v>0</v>
      </c>
      <c r="O300" t="n">
        <v>0</v>
      </c>
      <c r="P300" t="n">
        <v>0</v>
      </c>
      <c r="Q300" t="n">
        <v>0</v>
      </c>
      <c r="R300" s="2" t="inlineStr"/>
    </row>
    <row r="301" ht="15" customHeight="1">
      <c r="A301" t="inlineStr">
        <is>
          <t>A 9966-2023</t>
        </is>
      </c>
      <c r="B301" s="1" t="n">
        <v>44979</v>
      </c>
      <c r="C301" s="1" t="n">
        <v>46060</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38861-2025</t>
        </is>
      </c>
      <c r="B302" s="1" t="n">
        <v>45887.56101851852</v>
      </c>
      <c r="C302" s="1" t="n">
        <v>46060</v>
      </c>
      <c r="D302" t="inlineStr">
        <is>
          <t>ÖREBRO LÄN</t>
        </is>
      </c>
      <c r="E302" t="inlineStr">
        <is>
          <t>LINDESBERG</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25843-2025</t>
        </is>
      </c>
      <c r="B303" s="1" t="n">
        <v>45804.45584490741</v>
      </c>
      <c r="C303" s="1" t="n">
        <v>46060</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46060</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39429-2025</t>
        </is>
      </c>
      <c r="B305" s="1" t="n">
        <v>45889.67577546297</v>
      </c>
      <c r="C305" s="1" t="n">
        <v>46060</v>
      </c>
      <c r="D305" t="inlineStr">
        <is>
          <t>ÖREBRO LÄN</t>
        </is>
      </c>
      <c r="E305" t="inlineStr">
        <is>
          <t>LINDESBERG</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39421-2025</t>
        </is>
      </c>
      <c r="B306" s="1" t="n">
        <v>45889.66935185185</v>
      </c>
      <c r="C306" s="1" t="n">
        <v>46060</v>
      </c>
      <c r="D306" t="inlineStr">
        <is>
          <t>ÖREBRO LÄN</t>
        </is>
      </c>
      <c r="E306" t="inlineStr">
        <is>
          <t>LINDESBERG</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39424-2025</t>
        </is>
      </c>
      <c r="B307" s="1" t="n">
        <v>45889.67290509259</v>
      </c>
      <c r="C307" s="1" t="n">
        <v>46060</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17823-2021</t>
        </is>
      </c>
      <c r="B308" s="1" t="n">
        <v>44300</v>
      </c>
      <c r="C308" s="1" t="n">
        <v>46060</v>
      </c>
      <c r="D308" t="inlineStr">
        <is>
          <t>ÖREBRO LÄN</t>
        </is>
      </c>
      <c r="E308" t="inlineStr">
        <is>
          <t>LINDESBERG</t>
        </is>
      </c>
      <c r="G308" t="n">
        <v>3.9</v>
      </c>
      <c r="H308" t="n">
        <v>0</v>
      </c>
      <c r="I308" t="n">
        <v>0</v>
      </c>
      <c r="J308" t="n">
        <v>0</v>
      </c>
      <c r="K308" t="n">
        <v>0</v>
      </c>
      <c r="L308" t="n">
        <v>0</v>
      </c>
      <c r="M308" t="n">
        <v>0</v>
      </c>
      <c r="N308" t="n">
        <v>0</v>
      </c>
      <c r="O308" t="n">
        <v>0</v>
      </c>
      <c r="P308" t="n">
        <v>0</v>
      </c>
      <c r="Q308" t="n">
        <v>0</v>
      </c>
      <c r="R308" s="2" t="inlineStr"/>
    </row>
    <row r="309" ht="15" customHeight="1">
      <c r="A309" t="inlineStr">
        <is>
          <t>A 56507-2021</t>
        </is>
      </c>
      <c r="B309" s="1" t="n">
        <v>44480.58034722223</v>
      </c>
      <c r="C309" s="1" t="n">
        <v>46060</v>
      </c>
      <c r="D309" t="inlineStr">
        <is>
          <t>ÖREBRO LÄN</t>
        </is>
      </c>
      <c r="E309" t="inlineStr">
        <is>
          <t>LINDESBERG</t>
        </is>
      </c>
      <c r="G309" t="n">
        <v>2.3</v>
      </c>
      <c r="H309" t="n">
        <v>0</v>
      </c>
      <c r="I309" t="n">
        <v>0</v>
      </c>
      <c r="J309" t="n">
        <v>0</v>
      </c>
      <c r="K309" t="n">
        <v>0</v>
      </c>
      <c r="L309" t="n">
        <v>0</v>
      </c>
      <c r="M309" t="n">
        <v>0</v>
      </c>
      <c r="N309" t="n">
        <v>0</v>
      </c>
      <c r="O309" t="n">
        <v>0</v>
      </c>
      <c r="P309" t="n">
        <v>0</v>
      </c>
      <c r="Q309" t="n">
        <v>0</v>
      </c>
      <c r="R309" s="2" t="inlineStr"/>
    </row>
    <row r="310" ht="15" customHeight="1">
      <c r="A310" t="inlineStr">
        <is>
          <t>A 27296-2025</t>
        </is>
      </c>
      <c r="B310" s="1" t="n">
        <v>45812.56952546296</v>
      </c>
      <c r="C310" s="1" t="n">
        <v>46060</v>
      </c>
      <c r="D310" t="inlineStr">
        <is>
          <t>ÖREBRO LÄN</t>
        </is>
      </c>
      <c r="E310" t="inlineStr">
        <is>
          <t>LINDESBERG</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47069-2023</t>
        </is>
      </c>
      <c r="B311" s="1" t="n">
        <v>45201</v>
      </c>
      <c r="C311" s="1" t="n">
        <v>46060</v>
      </c>
      <c r="D311" t="inlineStr">
        <is>
          <t>ÖREBRO LÄN</t>
        </is>
      </c>
      <c r="E311" t="inlineStr">
        <is>
          <t>LINDESBERG</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47074-2023</t>
        </is>
      </c>
      <c r="B312" s="1" t="n">
        <v>45201.60283564815</v>
      </c>
      <c r="C312" s="1" t="n">
        <v>46060</v>
      </c>
      <c r="D312" t="inlineStr">
        <is>
          <t>ÖREBRO LÄN</t>
        </is>
      </c>
      <c r="E312" t="inlineStr">
        <is>
          <t>LINDESBERG</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4997-2024</t>
        </is>
      </c>
      <c r="B313" s="1" t="n">
        <v>45329</v>
      </c>
      <c r="C313" s="1" t="n">
        <v>46060</v>
      </c>
      <c r="D313" t="inlineStr">
        <is>
          <t>ÖREBRO LÄN</t>
        </is>
      </c>
      <c r="E313" t="inlineStr">
        <is>
          <t>LINDESBERG</t>
        </is>
      </c>
      <c r="F313" t="inlineStr">
        <is>
          <t>BillerudKorsnäs AB</t>
        </is>
      </c>
      <c r="G313" t="n">
        <v>3</v>
      </c>
      <c r="H313" t="n">
        <v>0</v>
      </c>
      <c r="I313" t="n">
        <v>0</v>
      </c>
      <c r="J313" t="n">
        <v>0</v>
      </c>
      <c r="K313" t="n">
        <v>0</v>
      </c>
      <c r="L313" t="n">
        <v>0</v>
      </c>
      <c r="M313" t="n">
        <v>0</v>
      </c>
      <c r="N313" t="n">
        <v>0</v>
      </c>
      <c r="O313" t="n">
        <v>0</v>
      </c>
      <c r="P313" t="n">
        <v>0</v>
      </c>
      <c r="Q313" t="n">
        <v>0</v>
      </c>
      <c r="R313" s="2" t="inlineStr"/>
    </row>
    <row r="314" ht="15" customHeight="1">
      <c r="A314" t="inlineStr">
        <is>
          <t>A 33284-2024</t>
        </is>
      </c>
      <c r="B314" s="1" t="n">
        <v>45518.71721064814</v>
      </c>
      <c r="C314" s="1" t="n">
        <v>46060</v>
      </c>
      <c r="D314" t="inlineStr">
        <is>
          <t>ÖREBRO LÄN</t>
        </is>
      </c>
      <c r="E314" t="inlineStr">
        <is>
          <t>LINDESBERG</t>
        </is>
      </c>
      <c r="G314" t="n">
        <v>1.7</v>
      </c>
      <c r="H314" t="n">
        <v>0</v>
      </c>
      <c r="I314" t="n">
        <v>0</v>
      </c>
      <c r="J314" t="n">
        <v>0</v>
      </c>
      <c r="K314" t="n">
        <v>0</v>
      </c>
      <c r="L314" t="n">
        <v>0</v>
      </c>
      <c r="M314" t="n">
        <v>0</v>
      </c>
      <c r="N314" t="n">
        <v>0</v>
      </c>
      <c r="O314" t="n">
        <v>0</v>
      </c>
      <c r="P314" t="n">
        <v>0</v>
      </c>
      <c r="Q314" t="n">
        <v>0</v>
      </c>
      <c r="R314" s="2" t="inlineStr"/>
    </row>
    <row r="315" ht="15" customHeight="1">
      <c r="A315" t="inlineStr">
        <is>
          <t>A 27300-2025</t>
        </is>
      </c>
      <c r="B315" s="1" t="n">
        <v>45812.57143518519</v>
      </c>
      <c r="C315" s="1" t="n">
        <v>46060</v>
      </c>
      <c r="D315" t="inlineStr">
        <is>
          <t>ÖREBRO LÄN</t>
        </is>
      </c>
      <c r="E315" t="inlineStr">
        <is>
          <t>LINDESBERG</t>
        </is>
      </c>
      <c r="F315" t="inlineStr">
        <is>
          <t>Sveaskog</t>
        </is>
      </c>
      <c r="G315" t="n">
        <v>19.7</v>
      </c>
      <c r="H315" t="n">
        <v>0</v>
      </c>
      <c r="I315" t="n">
        <v>0</v>
      </c>
      <c r="J315" t="n">
        <v>0</v>
      </c>
      <c r="K315" t="n">
        <v>0</v>
      </c>
      <c r="L315" t="n">
        <v>0</v>
      </c>
      <c r="M315" t="n">
        <v>0</v>
      </c>
      <c r="N315" t="n">
        <v>0</v>
      </c>
      <c r="O315" t="n">
        <v>0</v>
      </c>
      <c r="P315" t="n">
        <v>0</v>
      </c>
      <c r="Q315" t="n">
        <v>0</v>
      </c>
      <c r="R315" s="2" t="inlineStr"/>
    </row>
    <row r="316" ht="15" customHeight="1">
      <c r="A316" t="inlineStr">
        <is>
          <t>A 27309-2025</t>
        </is>
      </c>
      <c r="B316" s="1" t="n">
        <v>45812.57452546297</v>
      </c>
      <c r="C316" s="1" t="n">
        <v>46060</v>
      </c>
      <c r="D316" t="inlineStr">
        <is>
          <t>ÖREBRO LÄN</t>
        </is>
      </c>
      <c r="E316" t="inlineStr">
        <is>
          <t>LINDESBERG</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27311-2025</t>
        </is>
      </c>
      <c r="B317" s="1" t="n">
        <v>45812.57604166667</v>
      </c>
      <c r="C317" s="1" t="n">
        <v>46060</v>
      </c>
      <c r="D317" t="inlineStr">
        <is>
          <t>ÖREBRO LÄN</t>
        </is>
      </c>
      <c r="E317" t="inlineStr">
        <is>
          <t>LINDESBERG</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38696-2024</t>
        </is>
      </c>
      <c r="B318" s="1" t="n">
        <v>45547.36590277778</v>
      </c>
      <c r="C318" s="1" t="n">
        <v>46060</v>
      </c>
      <c r="D318" t="inlineStr">
        <is>
          <t>ÖREBRO LÄN</t>
        </is>
      </c>
      <c r="E318" t="inlineStr">
        <is>
          <t>LINDESBERG</t>
        </is>
      </c>
      <c r="G318" t="n">
        <v>2</v>
      </c>
      <c r="H318" t="n">
        <v>0</v>
      </c>
      <c r="I318" t="n">
        <v>0</v>
      </c>
      <c r="J318" t="n">
        <v>0</v>
      </c>
      <c r="K318" t="n">
        <v>0</v>
      </c>
      <c r="L318" t="n">
        <v>0</v>
      </c>
      <c r="M318" t="n">
        <v>0</v>
      </c>
      <c r="N318" t="n">
        <v>0</v>
      </c>
      <c r="O318" t="n">
        <v>0</v>
      </c>
      <c r="P318" t="n">
        <v>0</v>
      </c>
      <c r="Q318" t="n">
        <v>0</v>
      </c>
      <c r="R318" s="2" t="inlineStr"/>
    </row>
    <row r="319" ht="15" customHeight="1">
      <c r="A319" t="inlineStr">
        <is>
          <t>A 19219-2023</t>
        </is>
      </c>
      <c r="B319" s="1" t="n">
        <v>45048</v>
      </c>
      <c r="C319" s="1" t="n">
        <v>46060</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1742-2022</t>
        </is>
      </c>
      <c r="B320" s="1" t="n">
        <v>44574.50425925926</v>
      </c>
      <c r="C320" s="1" t="n">
        <v>46060</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46060</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46060</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40351-2025</t>
        </is>
      </c>
      <c r="B323" s="1" t="n">
        <v>45895.48394675926</v>
      </c>
      <c r="C323" s="1" t="n">
        <v>46060</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40366-2025</t>
        </is>
      </c>
      <c r="B324" s="1" t="n">
        <v>45895.49994212963</v>
      </c>
      <c r="C324" s="1" t="n">
        <v>46060</v>
      </c>
      <c r="D324" t="inlineStr">
        <is>
          <t>ÖREBRO LÄN</t>
        </is>
      </c>
      <c r="E324" t="inlineStr">
        <is>
          <t>LINDESBERG</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28040-2025</t>
        </is>
      </c>
      <c r="B325" s="1" t="n">
        <v>45817.6455324074</v>
      </c>
      <c r="C325" s="1" t="n">
        <v>46060</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37604-2025</t>
        </is>
      </c>
      <c r="B326" s="1" t="n">
        <v>45880</v>
      </c>
      <c r="C326" s="1" t="n">
        <v>46060</v>
      </c>
      <c r="D326" t="inlineStr">
        <is>
          <t>ÖREBRO LÄN</t>
        </is>
      </c>
      <c r="E326" t="inlineStr">
        <is>
          <t>LINDESBERG</t>
        </is>
      </c>
      <c r="G326" t="n">
        <v>6.3</v>
      </c>
      <c r="H326" t="n">
        <v>0</v>
      </c>
      <c r="I326" t="n">
        <v>0</v>
      </c>
      <c r="J326" t="n">
        <v>0</v>
      </c>
      <c r="K326" t="n">
        <v>0</v>
      </c>
      <c r="L326" t="n">
        <v>0</v>
      </c>
      <c r="M326" t="n">
        <v>0</v>
      </c>
      <c r="N326" t="n">
        <v>0</v>
      </c>
      <c r="O326" t="n">
        <v>0</v>
      </c>
      <c r="P326" t="n">
        <v>0</v>
      </c>
      <c r="Q326" t="n">
        <v>0</v>
      </c>
      <c r="R326" s="2" t="inlineStr"/>
    </row>
    <row r="327" ht="15" customHeight="1">
      <c r="A327" t="inlineStr">
        <is>
          <t>A 52928-2024</t>
        </is>
      </c>
      <c r="B327" s="1" t="n">
        <v>45610</v>
      </c>
      <c r="C327" s="1" t="n">
        <v>46060</v>
      </c>
      <c r="D327" t="inlineStr">
        <is>
          <t>ÖREBRO LÄN</t>
        </is>
      </c>
      <c r="E327" t="inlineStr">
        <is>
          <t>LINDESBERG</t>
        </is>
      </c>
      <c r="G327" t="n">
        <v>8.6</v>
      </c>
      <c r="H327" t="n">
        <v>0</v>
      </c>
      <c r="I327" t="n">
        <v>0</v>
      </c>
      <c r="J327" t="n">
        <v>0</v>
      </c>
      <c r="K327" t="n">
        <v>0</v>
      </c>
      <c r="L327" t="n">
        <v>0</v>
      </c>
      <c r="M327" t="n">
        <v>0</v>
      </c>
      <c r="N327" t="n">
        <v>0</v>
      </c>
      <c r="O327" t="n">
        <v>0</v>
      </c>
      <c r="P327" t="n">
        <v>0</v>
      </c>
      <c r="Q327" t="n">
        <v>0</v>
      </c>
      <c r="R327" s="2" t="inlineStr"/>
    </row>
    <row r="328" ht="15" customHeight="1">
      <c r="A328" t="inlineStr">
        <is>
          <t>A 40357-2025</t>
        </is>
      </c>
      <c r="B328" s="1" t="n">
        <v>45895.48927083334</v>
      </c>
      <c r="C328" s="1" t="n">
        <v>46060</v>
      </c>
      <c r="D328" t="inlineStr">
        <is>
          <t>ÖREBRO LÄN</t>
        </is>
      </c>
      <c r="E328" t="inlineStr">
        <is>
          <t>LINDESBERG</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73500-2021</t>
        </is>
      </c>
      <c r="B329" s="1" t="n">
        <v>44551</v>
      </c>
      <c r="C329" s="1" t="n">
        <v>46060</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16864-2022</t>
        </is>
      </c>
      <c r="B330" s="1" t="n">
        <v>44675</v>
      </c>
      <c r="C330" s="1" t="n">
        <v>46060</v>
      </c>
      <c r="D330" t="inlineStr">
        <is>
          <t>ÖREBRO LÄN</t>
        </is>
      </c>
      <c r="E330" t="inlineStr">
        <is>
          <t>LINDESBERG</t>
        </is>
      </c>
      <c r="F330" t="inlineStr">
        <is>
          <t>Kyrkan</t>
        </is>
      </c>
      <c r="G330" t="n">
        <v>1.7</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46060</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46060</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41889-2025</t>
        </is>
      </c>
      <c r="B333" s="1" t="n">
        <v>45903.37475694445</v>
      </c>
      <c r="C333" s="1" t="n">
        <v>46060</v>
      </c>
      <c r="D333" t="inlineStr">
        <is>
          <t>ÖREBRO LÄN</t>
        </is>
      </c>
      <c r="E333" t="inlineStr">
        <is>
          <t>LINDESBERG</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11953-2024</t>
        </is>
      </c>
      <c r="B334" s="1" t="n">
        <v>45376.70292824074</v>
      </c>
      <c r="C334" s="1" t="n">
        <v>46060</v>
      </c>
      <c r="D334" t="inlineStr">
        <is>
          <t>ÖREBRO LÄN</t>
        </is>
      </c>
      <c r="E334" t="inlineStr">
        <is>
          <t>LINDESBERG</t>
        </is>
      </c>
      <c r="G334" t="n">
        <v>5.7</v>
      </c>
      <c r="H334" t="n">
        <v>0</v>
      </c>
      <c r="I334" t="n">
        <v>0</v>
      </c>
      <c r="J334" t="n">
        <v>0</v>
      </c>
      <c r="K334" t="n">
        <v>0</v>
      </c>
      <c r="L334" t="n">
        <v>0</v>
      </c>
      <c r="M334" t="n">
        <v>0</v>
      </c>
      <c r="N334" t="n">
        <v>0</v>
      </c>
      <c r="O334" t="n">
        <v>0</v>
      </c>
      <c r="P334" t="n">
        <v>0</v>
      </c>
      <c r="Q334" t="n">
        <v>0</v>
      </c>
      <c r="R334" s="2" t="inlineStr"/>
    </row>
    <row r="335" ht="15" customHeight="1">
      <c r="A335" t="inlineStr">
        <is>
          <t>A 50170-2022</t>
        </is>
      </c>
      <c r="B335" s="1" t="n">
        <v>44865.600625</v>
      </c>
      <c r="C335" s="1" t="n">
        <v>46060</v>
      </c>
      <c r="D335" t="inlineStr">
        <is>
          <t>ÖREBRO LÄN</t>
        </is>
      </c>
      <c r="E335" t="inlineStr">
        <is>
          <t>LINDESBERG</t>
        </is>
      </c>
      <c r="G335" t="n">
        <v>2.1</v>
      </c>
      <c r="H335" t="n">
        <v>0</v>
      </c>
      <c r="I335" t="n">
        <v>0</v>
      </c>
      <c r="J335" t="n">
        <v>0</v>
      </c>
      <c r="K335" t="n">
        <v>0</v>
      </c>
      <c r="L335" t="n">
        <v>0</v>
      </c>
      <c r="M335" t="n">
        <v>0</v>
      </c>
      <c r="N335" t="n">
        <v>0</v>
      </c>
      <c r="O335" t="n">
        <v>0</v>
      </c>
      <c r="P335" t="n">
        <v>0</v>
      </c>
      <c r="Q335" t="n">
        <v>0</v>
      </c>
      <c r="R335" s="2" t="inlineStr"/>
    </row>
    <row r="336" ht="15" customHeight="1">
      <c r="A336" t="inlineStr">
        <is>
          <t>A 28877-2025</t>
        </is>
      </c>
      <c r="B336" s="1" t="n">
        <v>45820.61684027778</v>
      </c>
      <c r="C336" s="1" t="n">
        <v>46060</v>
      </c>
      <c r="D336" t="inlineStr">
        <is>
          <t>ÖREBRO LÄN</t>
        </is>
      </c>
      <c r="E336" t="inlineStr">
        <is>
          <t>LINDESBERG</t>
        </is>
      </c>
      <c r="G336" t="n">
        <v>4.4</v>
      </c>
      <c r="H336" t="n">
        <v>0</v>
      </c>
      <c r="I336" t="n">
        <v>0</v>
      </c>
      <c r="J336" t="n">
        <v>0</v>
      </c>
      <c r="K336" t="n">
        <v>0</v>
      </c>
      <c r="L336" t="n">
        <v>0</v>
      </c>
      <c r="M336" t="n">
        <v>0</v>
      </c>
      <c r="N336" t="n">
        <v>0</v>
      </c>
      <c r="O336" t="n">
        <v>0</v>
      </c>
      <c r="P336" t="n">
        <v>0</v>
      </c>
      <c r="Q336" t="n">
        <v>0</v>
      </c>
      <c r="R336" s="2" t="inlineStr"/>
    </row>
    <row r="337" ht="15" customHeight="1">
      <c r="A337" t="inlineStr">
        <is>
          <t>A 41653-2025</t>
        </is>
      </c>
      <c r="B337" s="1" t="n">
        <v>45902.3406712963</v>
      </c>
      <c r="C337" s="1" t="n">
        <v>46060</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28991-2025</t>
        </is>
      </c>
      <c r="B338" s="1" t="n">
        <v>45821.37199074074</v>
      </c>
      <c r="C338" s="1" t="n">
        <v>46060</v>
      </c>
      <c r="D338" t="inlineStr">
        <is>
          <t>ÖREBRO LÄN</t>
        </is>
      </c>
      <c r="E338" t="inlineStr">
        <is>
          <t>LINDESBERG</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29049-2025</t>
        </is>
      </c>
      <c r="B339" s="1" t="n">
        <v>45821.46135416667</v>
      </c>
      <c r="C339" s="1" t="n">
        <v>46060</v>
      </c>
      <c r="D339" t="inlineStr">
        <is>
          <t>ÖREBRO LÄN</t>
        </is>
      </c>
      <c r="E339" t="inlineStr">
        <is>
          <t>LINDESBERG</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29051-2025</t>
        </is>
      </c>
      <c r="B340" s="1" t="n">
        <v>45821.46486111111</v>
      </c>
      <c r="C340" s="1" t="n">
        <v>46060</v>
      </c>
      <c r="D340" t="inlineStr">
        <is>
          <t>ÖREBRO LÄN</t>
        </is>
      </c>
      <c r="E340" t="inlineStr">
        <is>
          <t>LINDESBERG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29037-2025</t>
        </is>
      </c>
      <c r="B341" s="1" t="n">
        <v>45821.44521990741</v>
      </c>
      <c r="C341" s="1" t="n">
        <v>46060</v>
      </c>
      <c r="D341" t="inlineStr">
        <is>
          <t>ÖREBRO LÄN</t>
        </is>
      </c>
      <c r="E341" t="inlineStr">
        <is>
          <t>LINDESBERG</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28469-2023</t>
        </is>
      </c>
      <c r="B342" s="1" t="n">
        <v>45103</v>
      </c>
      <c r="C342" s="1" t="n">
        <v>46060</v>
      </c>
      <c r="D342" t="inlineStr">
        <is>
          <t>ÖREBRO LÄN</t>
        </is>
      </c>
      <c r="E342" t="inlineStr">
        <is>
          <t>LINDESBERG</t>
        </is>
      </c>
      <c r="G342" t="n">
        <v>0.3</v>
      </c>
      <c r="H342" t="n">
        <v>0</v>
      </c>
      <c r="I342" t="n">
        <v>0</v>
      </c>
      <c r="J342" t="n">
        <v>0</v>
      </c>
      <c r="K342" t="n">
        <v>0</v>
      </c>
      <c r="L342" t="n">
        <v>0</v>
      </c>
      <c r="M342" t="n">
        <v>0</v>
      </c>
      <c r="N342" t="n">
        <v>0</v>
      </c>
      <c r="O342" t="n">
        <v>0</v>
      </c>
      <c r="P342" t="n">
        <v>0</v>
      </c>
      <c r="Q342" t="n">
        <v>0</v>
      </c>
      <c r="R342" s="2" t="inlineStr"/>
    </row>
    <row r="343" ht="15" customHeight="1">
      <c r="A343" t="inlineStr">
        <is>
          <t>A 72706-2021</t>
        </is>
      </c>
      <c r="B343" s="1" t="n">
        <v>44546.67222222222</v>
      </c>
      <c r="C343" s="1" t="n">
        <v>46060</v>
      </c>
      <c r="D343" t="inlineStr">
        <is>
          <t>ÖREBRO LÄN</t>
        </is>
      </c>
      <c r="E343" t="inlineStr">
        <is>
          <t>LINDESBERG</t>
        </is>
      </c>
      <c r="G343" t="n">
        <v>1.7</v>
      </c>
      <c r="H343" t="n">
        <v>0</v>
      </c>
      <c r="I343" t="n">
        <v>0</v>
      </c>
      <c r="J343" t="n">
        <v>0</v>
      </c>
      <c r="K343" t="n">
        <v>0</v>
      </c>
      <c r="L343" t="n">
        <v>0</v>
      </c>
      <c r="M343" t="n">
        <v>0</v>
      </c>
      <c r="N343" t="n">
        <v>0</v>
      </c>
      <c r="O343" t="n">
        <v>0</v>
      </c>
      <c r="P343" t="n">
        <v>0</v>
      </c>
      <c r="Q343" t="n">
        <v>0</v>
      </c>
      <c r="R343" s="2" t="inlineStr"/>
    </row>
    <row r="344" ht="15" customHeight="1">
      <c r="A344" t="inlineStr">
        <is>
          <t>A 45481-2023</t>
        </is>
      </c>
      <c r="B344" s="1" t="n">
        <v>45194</v>
      </c>
      <c r="C344" s="1" t="n">
        <v>46060</v>
      </c>
      <c r="D344" t="inlineStr">
        <is>
          <t>ÖREBRO LÄN</t>
        </is>
      </c>
      <c r="E344" t="inlineStr">
        <is>
          <t>LINDESBERG</t>
        </is>
      </c>
      <c r="G344" t="n">
        <v>2.1</v>
      </c>
      <c r="H344" t="n">
        <v>0</v>
      </c>
      <c r="I344" t="n">
        <v>0</v>
      </c>
      <c r="J344" t="n">
        <v>0</v>
      </c>
      <c r="K344" t="n">
        <v>0</v>
      </c>
      <c r="L344" t="n">
        <v>0</v>
      </c>
      <c r="M344" t="n">
        <v>0</v>
      </c>
      <c r="N344" t="n">
        <v>0</v>
      </c>
      <c r="O344" t="n">
        <v>0</v>
      </c>
      <c r="P344" t="n">
        <v>0</v>
      </c>
      <c r="Q344" t="n">
        <v>0</v>
      </c>
      <c r="R344" s="2" t="inlineStr"/>
    </row>
    <row r="345" ht="15" customHeight="1">
      <c r="A345" t="inlineStr">
        <is>
          <t>A 59766-2022</t>
        </is>
      </c>
      <c r="B345" s="1" t="n">
        <v>44908.49152777778</v>
      </c>
      <c r="C345" s="1" t="n">
        <v>46060</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27013-2024</t>
        </is>
      </c>
      <c r="B346" s="1" t="n">
        <v>45471.40384259259</v>
      </c>
      <c r="C346" s="1" t="n">
        <v>46060</v>
      </c>
      <c r="D346" t="inlineStr">
        <is>
          <t>ÖREBRO LÄN</t>
        </is>
      </c>
      <c r="E346" t="inlineStr">
        <is>
          <t>LINDESBERG</t>
        </is>
      </c>
      <c r="G346" t="n">
        <v>5.2</v>
      </c>
      <c r="H346" t="n">
        <v>0</v>
      </c>
      <c r="I346" t="n">
        <v>0</v>
      </c>
      <c r="J346" t="n">
        <v>0</v>
      </c>
      <c r="K346" t="n">
        <v>0</v>
      </c>
      <c r="L346" t="n">
        <v>0</v>
      </c>
      <c r="M346" t="n">
        <v>0</v>
      </c>
      <c r="N346" t="n">
        <v>0</v>
      </c>
      <c r="O346" t="n">
        <v>0</v>
      </c>
      <c r="P346" t="n">
        <v>0</v>
      </c>
      <c r="Q346" t="n">
        <v>0</v>
      </c>
      <c r="R346" s="2" t="inlineStr"/>
    </row>
    <row r="347" ht="15" customHeight="1">
      <c r="A347" t="inlineStr">
        <is>
          <t>A 42630-2025</t>
        </is>
      </c>
      <c r="B347" s="1" t="n">
        <v>45905.89143518519</v>
      </c>
      <c r="C347" s="1" t="n">
        <v>46060</v>
      </c>
      <c r="D347" t="inlineStr">
        <is>
          <t>ÖREBRO LÄN</t>
        </is>
      </c>
      <c r="E347" t="inlineStr">
        <is>
          <t>LINDESBERG</t>
        </is>
      </c>
      <c r="F347" t="inlineStr">
        <is>
          <t>Sveaskog</t>
        </is>
      </c>
      <c r="G347" t="n">
        <v>9.9</v>
      </c>
      <c r="H347" t="n">
        <v>0</v>
      </c>
      <c r="I347" t="n">
        <v>0</v>
      </c>
      <c r="J347" t="n">
        <v>0</v>
      </c>
      <c r="K347" t="n">
        <v>0</v>
      </c>
      <c r="L347" t="n">
        <v>0</v>
      </c>
      <c r="M347" t="n">
        <v>0</v>
      </c>
      <c r="N347" t="n">
        <v>0</v>
      </c>
      <c r="O347" t="n">
        <v>0</v>
      </c>
      <c r="P347" t="n">
        <v>0</v>
      </c>
      <c r="Q347" t="n">
        <v>0</v>
      </c>
      <c r="R347" s="2" t="inlineStr"/>
    </row>
    <row r="348" ht="15" customHeight="1">
      <c r="A348" t="inlineStr">
        <is>
          <t>A 42631-2025</t>
        </is>
      </c>
      <c r="B348" s="1" t="n">
        <v>45905.89236111111</v>
      </c>
      <c r="C348" s="1" t="n">
        <v>46060</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7990-2025</t>
        </is>
      </c>
      <c r="B349" s="1" t="n">
        <v>45707</v>
      </c>
      <c r="C349" s="1" t="n">
        <v>46060</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27134-2024</t>
        </is>
      </c>
      <c r="B350" s="1" t="n">
        <v>45471.52878472222</v>
      </c>
      <c r="C350" s="1" t="n">
        <v>46060</v>
      </c>
      <c r="D350" t="inlineStr">
        <is>
          <t>ÖREBRO LÄN</t>
        </is>
      </c>
      <c r="E350" t="inlineStr">
        <is>
          <t>LINDESBERG</t>
        </is>
      </c>
      <c r="G350" t="n">
        <v>0.7</v>
      </c>
      <c r="H350" t="n">
        <v>0</v>
      </c>
      <c r="I350" t="n">
        <v>0</v>
      </c>
      <c r="J350" t="n">
        <v>0</v>
      </c>
      <c r="K350" t="n">
        <v>0</v>
      </c>
      <c r="L350" t="n">
        <v>0</v>
      </c>
      <c r="M350" t="n">
        <v>0</v>
      </c>
      <c r="N350" t="n">
        <v>0</v>
      </c>
      <c r="O350" t="n">
        <v>0</v>
      </c>
      <c r="P350" t="n">
        <v>0</v>
      </c>
      <c r="Q350" t="n">
        <v>0</v>
      </c>
      <c r="R350" s="2" t="inlineStr"/>
    </row>
    <row r="351" ht="15" customHeight="1">
      <c r="A351" t="inlineStr">
        <is>
          <t>A 42632-2025</t>
        </is>
      </c>
      <c r="B351" s="1" t="n">
        <v>45905.89329861111</v>
      </c>
      <c r="C351" s="1" t="n">
        <v>46060</v>
      </c>
      <c r="D351" t="inlineStr">
        <is>
          <t>ÖREBRO LÄN</t>
        </is>
      </c>
      <c r="E351" t="inlineStr">
        <is>
          <t>LINDESBERG</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36121-2023</t>
        </is>
      </c>
      <c r="B352" s="1" t="n">
        <v>45148</v>
      </c>
      <c r="C352" s="1" t="n">
        <v>46060</v>
      </c>
      <c r="D352" t="inlineStr">
        <is>
          <t>ÖREBRO LÄN</t>
        </is>
      </c>
      <c r="E352" t="inlineStr">
        <is>
          <t>LINDESBERG</t>
        </is>
      </c>
      <c r="G352" t="n">
        <v>7.1</v>
      </c>
      <c r="H352" t="n">
        <v>0</v>
      </c>
      <c r="I352" t="n">
        <v>0</v>
      </c>
      <c r="J352" t="n">
        <v>0</v>
      </c>
      <c r="K352" t="n">
        <v>0</v>
      </c>
      <c r="L352" t="n">
        <v>0</v>
      </c>
      <c r="M352" t="n">
        <v>0</v>
      </c>
      <c r="N352" t="n">
        <v>0</v>
      </c>
      <c r="O352" t="n">
        <v>0</v>
      </c>
      <c r="P352" t="n">
        <v>0</v>
      </c>
      <c r="Q352" t="n">
        <v>0</v>
      </c>
      <c r="R352" s="2" t="inlineStr"/>
    </row>
    <row r="353" ht="15" customHeight="1">
      <c r="A353" t="inlineStr">
        <is>
          <t>A 37843-2025</t>
        </is>
      </c>
      <c r="B353" s="1" t="n">
        <v>45881.43759259259</v>
      </c>
      <c r="C353" s="1" t="n">
        <v>46060</v>
      </c>
      <c r="D353" t="inlineStr">
        <is>
          <t>ÖREBRO LÄN</t>
        </is>
      </c>
      <c r="E353" t="inlineStr">
        <is>
          <t>LINDESBERG</t>
        </is>
      </c>
      <c r="G353" t="n">
        <v>5.2</v>
      </c>
      <c r="H353" t="n">
        <v>0</v>
      </c>
      <c r="I353" t="n">
        <v>0</v>
      </c>
      <c r="J353" t="n">
        <v>0</v>
      </c>
      <c r="K353" t="n">
        <v>0</v>
      </c>
      <c r="L353" t="n">
        <v>0</v>
      </c>
      <c r="M353" t="n">
        <v>0</v>
      </c>
      <c r="N353" t="n">
        <v>0</v>
      </c>
      <c r="O353" t="n">
        <v>0</v>
      </c>
      <c r="P353" t="n">
        <v>0</v>
      </c>
      <c r="Q353" t="n">
        <v>0</v>
      </c>
      <c r="R353" s="2" t="inlineStr"/>
    </row>
    <row r="354" ht="15" customHeight="1">
      <c r="A354" t="inlineStr">
        <is>
          <t>A 36280-2023</t>
        </is>
      </c>
      <c r="B354" s="1" t="n">
        <v>45152.34586805556</v>
      </c>
      <c r="C354" s="1" t="n">
        <v>46060</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30341-2025</t>
        </is>
      </c>
      <c r="B355" s="1" t="n">
        <v>45827.51862268519</v>
      </c>
      <c r="C355" s="1" t="n">
        <v>46060</v>
      </c>
      <c r="D355" t="inlineStr">
        <is>
          <t>ÖREBRO LÄN</t>
        </is>
      </c>
      <c r="E355" t="inlineStr">
        <is>
          <t>LINDESBERG</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30000-2025</t>
        </is>
      </c>
      <c r="B356" s="1" t="n">
        <v>45826.52024305556</v>
      </c>
      <c r="C356" s="1" t="n">
        <v>46060</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46060</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46060</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30381-2025</t>
        </is>
      </c>
      <c r="B359" s="1" t="n">
        <v>45827.56939814815</v>
      </c>
      <c r="C359" s="1" t="n">
        <v>46060</v>
      </c>
      <c r="D359" t="inlineStr">
        <is>
          <t>ÖREBRO LÄN</t>
        </is>
      </c>
      <c r="E359" t="inlineStr">
        <is>
          <t>LINDESBERG</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2103-2022</t>
        </is>
      </c>
      <c r="B360" s="1" t="n">
        <v>44577.81121527778</v>
      </c>
      <c r="C360" s="1" t="n">
        <v>46060</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44077-2025</t>
        </is>
      </c>
      <c r="B361" s="1" t="n">
        <v>45915.54983796296</v>
      </c>
      <c r="C361" s="1" t="n">
        <v>46060</v>
      </c>
      <c r="D361" t="inlineStr">
        <is>
          <t>ÖREBRO LÄN</t>
        </is>
      </c>
      <c r="E361" t="inlineStr">
        <is>
          <t>LINDESBERG</t>
        </is>
      </c>
      <c r="G361" t="n">
        <v>4.2</v>
      </c>
      <c r="H361" t="n">
        <v>0</v>
      </c>
      <c r="I361" t="n">
        <v>0</v>
      </c>
      <c r="J361" t="n">
        <v>0</v>
      </c>
      <c r="K361" t="n">
        <v>0</v>
      </c>
      <c r="L361" t="n">
        <v>0</v>
      </c>
      <c r="M361" t="n">
        <v>0</v>
      </c>
      <c r="N361" t="n">
        <v>0</v>
      </c>
      <c r="O361" t="n">
        <v>0</v>
      </c>
      <c r="P361" t="n">
        <v>0</v>
      </c>
      <c r="Q361" t="n">
        <v>0</v>
      </c>
      <c r="R361" s="2" t="inlineStr"/>
    </row>
    <row r="362" ht="15" customHeight="1">
      <c r="A362" t="inlineStr">
        <is>
          <t>A 44041-2025</t>
        </is>
      </c>
      <c r="B362" s="1" t="n">
        <v>45915.49238425926</v>
      </c>
      <c r="C362" s="1" t="n">
        <v>46060</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13968-2025</t>
        </is>
      </c>
      <c r="B363" s="1" t="n">
        <v>45738.42981481482</v>
      </c>
      <c r="C363" s="1" t="n">
        <v>46060</v>
      </c>
      <c r="D363" t="inlineStr">
        <is>
          <t>ÖREBRO LÄN</t>
        </is>
      </c>
      <c r="E363" t="inlineStr">
        <is>
          <t>LINDESBERG</t>
        </is>
      </c>
      <c r="G363" t="n">
        <v>1.5</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46060</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33424-2024</t>
        </is>
      </c>
      <c r="B365" s="1" t="n">
        <v>45519.51627314815</v>
      </c>
      <c r="C365" s="1" t="n">
        <v>46060</v>
      </c>
      <c r="D365" t="inlineStr">
        <is>
          <t>ÖREBRO LÄN</t>
        </is>
      </c>
      <c r="E365" t="inlineStr">
        <is>
          <t>LINDESBERG</t>
        </is>
      </c>
      <c r="F365" t="inlineStr">
        <is>
          <t>Sveaskog</t>
        </is>
      </c>
      <c r="G365" t="n">
        <v>0.1</v>
      </c>
      <c r="H365" t="n">
        <v>0</v>
      </c>
      <c r="I365" t="n">
        <v>0</v>
      </c>
      <c r="J365" t="n">
        <v>0</v>
      </c>
      <c r="K365" t="n">
        <v>0</v>
      </c>
      <c r="L365" t="n">
        <v>0</v>
      </c>
      <c r="M365" t="n">
        <v>0</v>
      </c>
      <c r="N365" t="n">
        <v>0</v>
      </c>
      <c r="O365" t="n">
        <v>0</v>
      </c>
      <c r="P365" t="n">
        <v>0</v>
      </c>
      <c r="Q365" t="n">
        <v>0</v>
      </c>
      <c r="R365" s="2" t="inlineStr"/>
    </row>
    <row r="366" ht="15" customHeight="1">
      <c r="A366" t="inlineStr">
        <is>
          <t>A 57911-2022</t>
        </is>
      </c>
      <c r="B366" s="1" t="n">
        <v>44900.36149305556</v>
      </c>
      <c r="C366" s="1" t="n">
        <v>46060</v>
      </c>
      <c r="D366" t="inlineStr">
        <is>
          <t>ÖREBRO LÄN</t>
        </is>
      </c>
      <c r="E366" t="inlineStr">
        <is>
          <t>LINDESBERG</t>
        </is>
      </c>
      <c r="G366" t="n">
        <v>4.9</v>
      </c>
      <c r="H366" t="n">
        <v>0</v>
      </c>
      <c r="I366" t="n">
        <v>0</v>
      </c>
      <c r="J366" t="n">
        <v>0</v>
      </c>
      <c r="K366" t="n">
        <v>0</v>
      </c>
      <c r="L366" t="n">
        <v>0</v>
      </c>
      <c r="M366" t="n">
        <v>0</v>
      </c>
      <c r="N366" t="n">
        <v>0</v>
      </c>
      <c r="O366" t="n">
        <v>0</v>
      </c>
      <c r="P366" t="n">
        <v>0</v>
      </c>
      <c r="Q366" t="n">
        <v>0</v>
      </c>
      <c r="R366" s="2" t="inlineStr"/>
    </row>
    <row r="367" ht="15" customHeight="1">
      <c r="A367" t="inlineStr">
        <is>
          <t>A 30340-2025</t>
        </is>
      </c>
      <c r="B367" s="1" t="n">
        <v>45827.51753472222</v>
      </c>
      <c r="C367" s="1" t="n">
        <v>46060</v>
      </c>
      <c r="D367" t="inlineStr">
        <is>
          <t>ÖREBRO LÄN</t>
        </is>
      </c>
      <c r="E367" t="inlineStr">
        <is>
          <t>LINDESBERG</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30342-2025</t>
        </is>
      </c>
      <c r="B368" s="1" t="n">
        <v>45827.51956018519</v>
      </c>
      <c r="C368" s="1" t="n">
        <v>46060</v>
      </c>
      <c r="D368" t="inlineStr">
        <is>
          <t>ÖREBRO LÄN</t>
        </is>
      </c>
      <c r="E368" t="inlineStr">
        <is>
          <t>LINDESBERG</t>
        </is>
      </c>
      <c r="F368" t="inlineStr">
        <is>
          <t>Sveaskog</t>
        </is>
      </c>
      <c r="G368" t="n">
        <v>2.8</v>
      </c>
      <c r="H368" t="n">
        <v>0</v>
      </c>
      <c r="I368" t="n">
        <v>0</v>
      </c>
      <c r="J368" t="n">
        <v>0</v>
      </c>
      <c r="K368" t="n">
        <v>0</v>
      </c>
      <c r="L368" t="n">
        <v>0</v>
      </c>
      <c r="M368" t="n">
        <v>0</v>
      </c>
      <c r="N368" t="n">
        <v>0</v>
      </c>
      <c r="O368" t="n">
        <v>0</v>
      </c>
      <c r="P368" t="n">
        <v>0</v>
      </c>
      <c r="Q368" t="n">
        <v>0</v>
      </c>
      <c r="R368" s="2" t="inlineStr"/>
    </row>
    <row r="369" ht="15" customHeight="1">
      <c r="A369" t="inlineStr">
        <is>
          <t>A 28032-2023</t>
        </is>
      </c>
      <c r="B369" s="1" t="n">
        <v>45099</v>
      </c>
      <c r="C369" s="1" t="n">
        <v>46060</v>
      </c>
      <c r="D369" t="inlineStr">
        <is>
          <t>ÖREBRO LÄN</t>
        </is>
      </c>
      <c r="E369" t="inlineStr">
        <is>
          <t>LINDESBERG</t>
        </is>
      </c>
      <c r="F369" t="inlineStr">
        <is>
          <t>Kyrkan</t>
        </is>
      </c>
      <c r="G369" t="n">
        <v>0.7</v>
      </c>
      <c r="H369" t="n">
        <v>0</v>
      </c>
      <c r="I369" t="n">
        <v>0</v>
      </c>
      <c r="J369" t="n">
        <v>0</v>
      </c>
      <c r="K369" t="n">
        <v>0</v>
      </c>
      <c r="L369" t="n">
        <v>0</v>
      </c>
      <c r="M369" t="n">
        <v>0</v>
      </c>
      <c r="N369" t="n">
        <v>0</v>
      </c>
      <c r="O369" t="n">
        <v>0</v>
      </c>
      <c r="P369" t="n">
        <v>0</v>
      </c>
      <c r="Q369" t="n">
        <v>0</v>
      </c>
      <c r="R369" s="2" t="inlineStr"/>
    </row>
    <row r="370" ht="15" customHeight="1">
      <c r="A370" t="inlineStr">
        <is>
          <t>A 62608-2021</t>
        </is>
      </c>
      <c r="B370" s="1" t="n">
        <v>44503</v>
      </c>
      <c r="C370" s="1" t="n">
        <v>46060</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43836-2025</t>
        </is>
      </c>
      <c r="B371" s="1" t="n">
        <v>45912.63359953704</v>
      </c>
      <c r="C371" s="1" t="n">
        <v>46060</v>
      </c>
      <c r="D371" t="inlineStr">
        <is>
          <t>ÖREBRO LÄN</t>
        </is>
      </c>
      <c r="E371" t="inlineStr">
        <is>
          <t>LINDESBERG</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44067-2025</t>
        </is>
      </c>
      <c r="B372" s="1" t="n">
        <v>45915.54439814815</v>
      </c>
      <c r="C372" s="1" t="n">
        <v>46060</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44545-2025</t>
        </is>
      </c>
      <c r="B373" s="1" t="n">
        <v>45917.31780092593</v>
      </c>
      <c r="C373" s="1" t="n">
        <v>46060</v>
      </c>
      <c r="D373" t="inlineStr">
        <is>
          <t>ÖREBRO LÄN</t>
        </is>
      </c>
      <c r="E373" t="inlineStr">
        <is>
          <t>LINDESBERG</t>
        </is>
      </c>
      <c r="F373" t="inlineStr">
        <is>
          <t>Kommuner</t>
        </is>
      </c>
      <c r="G373" t="n">
        <v>2.3</v>
      </c>
      <c r="H373" t="n">
        <v>0</v>
      </c>
      <c r="I373" t="n">
        <v>0</v>
      </c>
      <c r="J373" t="n">
        <v>0</v>
      </c>
      <c r="K373" t="n">
        <v>0</v>
      </c>
      <c r="L373" t="n">
        <v>0</v>
      </c>
      <c r="M373" t="n">
        <v>0</v>
      </c>
      <c r="N373" t="n">
        <v>0</v>
      </c>
      <c r="O373" t="n">
        <v>0</v>
      </c>
      <c r="P373" t="n">
        <v>0</v>
      </c>
      <c r="Q373" t="n">
        <v>0</v>
      </c>
      <c r="R373" s="2" t="inlineStr"/>
    </row>
    <row r="374" ht="15" customHeight="1">
      <c r="A374" t="inlineStr">
        <is>
          <t>A 73860-2021</t>
        </is>
      </c>
      <c r="B374" s="1" t="n">
        <v>44553.35407407407</v>
      </c>
      <c r="C374" s="1" t="n">
        <v>46060</v>
      </c>
      <c r="D374" t="inlineStr">
        <is>
          <t>ÖREBRO LÄN</t>
        </is>
      </c>
      <c r="E374" t="inlineStr">
        <is>
          <t>LINDESBERG</t>
        </is>
      </c>
      <c r="G374" t="n">
        <v>12.7</v>
      </c>
      <c r="H374" t="n">
        <v>0</v>
      </c>
      <c r="I374" t="n">
        <v>0</v>
      </c>
      <c r="J374" t="n">
        <v>0</v>
      </c>
      <c r="K374" t="n">
        <v>0</v>
      </c>
      <c r="L374" t="n">
        <v>0</v>
      </c>
      <c r="M374" t="n">
        <v>0</v>
      </c>
      <c r="N374" t="n">
        <v>0</v>
      </c>
      <c r="O374" t="n">
        <v>0</v>
      </c>
      <c r="P374" t="n">
        <v>0</v>
      </c>
      <c r="Q374" t="n">
        <v>0</v>
      </c>
      <c r="R374" s="2" t="inlineStr"/>
    </row>
    <row r="375" ht="15" customHeight="1">
      <c r="A375" t="inlineStr">
        <is>
          <t>A 49094-2024</t>
        </is>
      </c>
      <c r="B375" s="1" t="n">
        <v>45594.63747685185</v>
      </c>
      <c r="C375" s="1" t="n">
        <v>46060</v>
      </c>
      <c r="D375" t="inlineStr">
        <is>
          <t>ÖREBRO LÄN</t>
        </is>
      </c>
      <c r="E375" t="inlineStr">
        <is>
          <t>LINDESBERG</t>
        </is>
      </c>
      <c r="G375" t="n">
        <v>3.8</v>
      </c>
      <c r="H375" t="n">
        <v>0</v>
      </c>
      <c r="I375" t="n">
        <v>0</v>
      </c>
      <c r="J375" t="n">
        <v>0</v>
      </c>
      <c r="K375" t="n">
        <v>0</v>
      </c>
      <c r="L375" t="n">
        <v>0</v>
      </c>
      <c r="M375" t="n">
        <v>0</v>
      </c>
      <c r="N375" t="n">
        <v>0</v>
      </c>
      <c r="O375" t="n">
        <v>0</v>
      </c>
      <c r="P375" t="n">
        <v>0</v>
      </c>
      <c r="Q375" t="n">
        <v>0</v>
      </c>
      <c r="R375" s="2" t="inlineStr"/>
    </row>
    <row r="376" ht="15" customHeight="1">
      <c r="A376" t="inlineStr">
        <is>
          <t>A 3803-2023</t>
        </is>
      </c>
      <c r="B376" s="1" t="n">
        <v>44951.5830324074</v>
      </c>
      <c r="C376" s="1" t="n">
        <v>46060</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30339-2025</t>
        </is>
      </c>
      <c r="B377" s="1" t="n">
        <v>45827.51628472222</v>
      </c>
      <c r="C377" s="1" t="n">
        <v>46060</v>
      </c>
      <c r="D377" t="inlineStr">
        <is>
          <t>ÖREBRO LÄN</t>
        </is>
      </c>
      <c r="E377" t="inlineStr">
        <is>
          <t>LINDESBERG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11581-2024</t>
        </is>
      </c>
      <c r="B378" s="1" t="n">
        <v>45373.34383101852</v>
      </c>
      <c r="C378" s="1" t="n">
        <v>46060</v>
      </c>
      <c r="D378" t="inlineStr">
        <is>
          <t>ÖREBRO LÄN</t>
        </is>
      </c>
      <c r="E378" t="inlineStr">
        <is>
          <t>LINDESBERG</t>
        </is>
      </c>
      <c r="F378" t="inlineStr">
        <is>
          <t>BillerudKorsnäs AB</t>
        </is>
      </c>
      <c r="G378" t="n">
        <v>3.9</v>
      </c>
      <c r="H378" t="n">
        <v>0</v>
      </c>
      <c r="I378" t="n">
        <v>0</v>
      </c>
      <c r="J378" t="n">
        <v>0</v>
      </c>
      <c r="K378" t="n">
        <v>0</v>
      </c>
      <c r="L378" t="n">
        <v>0</v>
      </c>
      <c r="M378" t="n">
        <v>0</v>
      </c>
      <c r="N378" t="n">
        <v>0</v>
      </c>
      <c r="O378" t="n">
        <v>0</v>
      </c>
      <c r="P378" t="n">
        <v>0</v>
      </c>
      <c r="Q378" t="n">
        <v>0</v>
      </c>
      <c r="R378" s="2" t="inlineStr"/>
    </row>
    <row r="379" ht="15" customHeight="1">
      <c r="A379" t="inlineStr">
        <is>
          <t>A 34029-2024</t>
        </is>
      </c>
      <c r="B379" s="1" t="n">
        <v>45523</v>
      </c>
      <c r="C379" s="1" t="n">
        <v>46060</v>
      </c>
      <c r="D379" t="inlineStr">
        <is>
          <t>ÖREBRO LÄN</t>
        </is>
      </c>
      <c r="E379" t="inlineStr">
        <is>
          <t>LINDESBERG</t>
        </is>
      </c>
      <c r="G379" t="n">
        <v>1.9</v>
      </c>
      <c r="H379" t="n">
        <v>0</v>
      </c>
      <c r="I379" t="n">
        <v>0</v>
      </c>
      <c r="J379" t="n">
        <v>0</v>
      </c>
      <c r="K379" t="n">
        <v>0</v>
      </c>
      <c r="L379" t="n">
        <v>0</v>
      </c>
      <c r="M379" t="n">
        <v>0</v>
      </c>
      <c r="N379" t="n">
        <v>0</v>
      </c>
      <c r="O379" t="n">
        <v>0</v>
      </c>
      <c r="P379" t="n">
        <v>0</v>
      </c>
      <c r="Q379" t="n">
        <v>0</v>
      </c>
      <c r="R379" s="2" t="inlineStr"/>
    </row>
    <row r="380" ht="15" customHeight="1">
      <c r="A380" t="inlineStr">
        <is>
          <t>A 33507-2023</t>
        </is>
      </c>
      <c r="B380" s="1" t="n">
        <v>45131</v>
      </c>
      <c r="C380" s="1" t="n">
        <v>46060</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24030-2023</t>
        </is>
      </c>
      <c r="B381" s="1" t="n">
        <v>45078.82620370371</v>
      </c>
      <c r="C381" s="1" t="n">
        <v>46060</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21986-2023</t>
        </is>
      </c>
      <c r="B382" s="1" t="n">
        <v>45068</v>
      </c>
      <c r="C382" s="1" t="n">
        <v>46060</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44010-2023</t>
        </is>
      </c>
      <c r="B383" s="1" t="n">
        <v>45188</v>
      </c>
      <c r="C383" s="1" t="n">
        <v>46060</v>
      </c>
      <c r="D383" t="inlineStr">
        <is>
          <t>ÖREBRO LÄN</t>
        </is>
      </c>
      <c r="E383" t="inlineStr">
        <is>
          <t>LINDESBERG</t>
        </is>
      </c>
      <c r="G383" t="n">
        <v>2.3</v>
      </c>
      <c r="H383" t="n">
        <v>0</v>
      </c>
      <c r="I383" t="n">
        <v>0</v>
      </c>
      <c r="J383" t="n">
        <v>0</v>
      </c>
      <c r="K383" t="n">
        <v>0</v>
      </c>
      <c r="L383" t="n">
        <v>0</v>
      </c>
      <c r="M383" t="n">
        <v>0</v>
      </c>
      <c r="N383" t="n">
        <v>0</v>
      </c>
      <c r="O383" t="n">
        <v>0</v>
      </c>
      <c r="P383" t="n">
        <v>0</v>
      </c>
      <c r="Q383" t="n">
        <v>0</v>
      </c>
      <c r="R383" s="2" t="inlineStr"/>
    </row>
    <row r="384" ht="15" customHeight="1">
      <c r="A384" t="inlineStr">
        <is>
          <t>A 50986-2023</t>
        </is>
      </c>
      <c r="B384" s="1" t="n">
        <v>45218</v>
      </c>
      <c r="C384" s="1" t="n">
        <v>46060</v>
      </c>
      <c r="D384" t="inlineStr">
        <is>
          <t>ÖREBRO LÄN</t>
        </is>
      </c>
      <c r="E384" t="inlineStr">
        <is>
          <t>LINDESBERG</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61969-2023</t>
        </is>
      </c>
      <c r="B385" s="1" t="n">
        <v>45266.58394675926</v>
      </c>
      <c r="C385" s="1" t="n">
        <v>46060</v>
      </c>
      <c r="D385" t="inlineStr">
        <is>
          <t>ÖREBRO LÄN</t>
        </is>
      </c>
      <c r="E385" t="inlineStr">
        <is>
          <t>LINDESBERG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40450-2023</t>
        </is>
      </c>
      <c r="B386" s="1" t="n">
        <v>45170</v>
      </c>
      <c r="C386" s="1" t="n">
        <v>46060</v>
      </c>
      <c r="D386" t="inlineStr">
        <is>
          <t>ÖREBRO LÄN</t>
        </is>
      </c>
      <c r="E386" t="inlineStr">
        <is>
          <t>LINDESBERG</t>
        </is>
      </c>
      <c r="F386" t="inlineStr">
        <is>
          <t>Kyrkan</t>
        </is>
      </c>
      <c r="G386" t="n">
        <v>4.3</v>
      </c>
      <c r="H386" t="n">
        <v>0</v>
      </c>
      <c r="I386" t="n">
        <v>0</v>
      </c>
      <c r="J386" t="n">
        <v>0</v>
      </c>
      <c r="K386" t="n">
        <v>0</v>
      </c>
      <c r="L386" t="n">
        <v>0</v>
      </c>
      <c r="M386" t="n">
        <v>0</v>
      </c>
      <c r="N386" t="n">
        <v>0</v>
      </c>
      <c r="O386" t="n">
        <v>0</v>
      </c>
      <c r="P386" t="n">
        <v>0</v>
      </c>
      <c r="Q386" t="n">
        <v>0</v>
      </c>
      <c r="R386" s="2" t="inlineStr"/>
    </row>
    <row r="387" ht="15" customHeight="1">
      <c r="A387" t="inlineStr">
        <is>
          <t>A 53062-2023</t>
        </is>
      </c>
      <c r="B387" s="1" t="n">
        <v>45227.31859953704</v>
      </c>
      <c r="C387" s="1" t="n">
        <v>46060</v>
      </c>
      <c r="D387" t="inlineStr">
        <is>
          <t>ÖREBRO LÄN</t>
        </is>
      </c>
      <c r="E387" t="inlineStr">
        <is>
          <t>LINDESBERG</t>
        </is>
      </c>
      <c r="G387" t="n">
        <v>3.1</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46060</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46060</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46404-2025</t>
        </is>
      </c>
      <c r="B390" s="1" t="n">
        <v>45925.56173611111</v>
      </c>
      <c r="C390" s="1" t="n">
        <v>46060</v>
      </c>
      <c r="D390" t="inlineStr">
        <is>
          <t>ÖREBRO LÄN</t>
        </is>
      </c>
      <c r="E390" t="inlineStr">
        <is>
          <t>LINDESBERG</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12739-2024</t>
        </is>
      </c>
      <c r="B391" s="1" t="n">
        <v>45384</v>
      </c>
      <c r="C391" s="1" t="n">
        <v>46060</v>
      </c>
      <c r="D391" t="inlineStr">
        <is>
          <t>ÖREBRO LÄN</t>
        </is>
      </c>
      <c r="E391" t="inlineStr">
        <is>
          <t>LINDESBERG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31000-2025</t>
        </is>
      </c>
      <c r="B392" s="1" t="n">
        <v>45832.49325231482</v>
      </c>
      <c r="C392" s="1" t="n">
        <v>46060</v>
      </c>
      <c r="D392" t="inlineStr">
        <is>
          <t>ÖREBRO LÄN</t>
        </is>
      </c>
      <c r="E392" t="inlineStr">
        <is>
          <t>LINDESBERG</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31018-2025</t>
        </is>
      </c>
      <c r="B393" s="1" t="n">
        <v>45832.51255787037</v>
      </c>
      <c r="C393" s="1" t="n">
        <v>46060</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31049-2025</t>
        </is>
      </c>
      <c r="B394" s="1" t="n">
        <v>45832.55810185185</v>
      </c>
      <c r="C394" s="1" t="n">
        <v>46060</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45056-2024</t>
        </is>
      </c>
      <c r="B395" s="1" t="n">
        <v>45575.55273148148</v>
      </c>
      <c r="C395" s="1" t="n">
        <v>46060</v>
      </c>
      <c r="D395" t="inlineStr">
        <is>
          <t>ÖREBRO LÄN</t>
        </is>
      </c>
      <c r="E395" t="inlineStr">
        <is>
          <t>LINDESBERG</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45058-2024</t>
        </is>
      </c>
      <c r="B396" s="1" t="n">
        <v>45575.5547337963</v>
      </c>
      <c r="C396" s="1" t="n">
        <v>46060</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45063-2024</t>
        </is>
      </c>
      <c r="B397" s="1" t="n">
        <v>45575.55684027778</v>
      </c>
      <c r="C397" s="1" t="n">
        <v>46060</v>
      </c>
      <c r="D397" t="inlineStr">
        <is>
          <t>ÖREBRO LÄN</t>
        </is>
      </c>
      <c r="E397" t="inlineStr">
        <is>
          <t>LINDESBERG</t>
        </is>
      </c>
      <c r="F397" t="inlineStr">
        <is>
          <t>Sveaskog</t>
        </is>
      </c>
      <c r="G397" t="n">
        <v>3.3</v>
      </c>
      <c r="H397" t="n">
        <v>0</v>
      </c>
      <c r="I397" t="n">
        <v>0</v>
      </c>
      <c r="J397" t="n">
        <v>0</v>
      </c>
      <c r="K397" t="n">
        <v>0</v>
      </c>
      <c r="L397" t="n">
        <v>0</v>
      </c>
      <c r="M397" t="n">
        <v>0</v>
      </c>
      <c r="N397" t="n">
        <v>0</v>
      </c>
      <c r="O397" t="n">
        <v>0</v>
      </c>
      <c r="P397" t="n">
        <v>0</v>
      </c>
      <c r="Q397" t="n">
        <v>0</v>
      </c>
      <c r="R397" s="2" t="inlineStr"/>
    </row>
    <row r="398" ht="15" customHeight="1">
      <c r="A398" t="inlineStr">
        <is>
          <t>A 31213-2025</t>
        </is>
      </c>
      <c r="B398" s="1" t="n">
        <v>45832.72778935185</v>
      </c>
      <c r="C398" s="1" t="n">
        <v>46060</v>
      </c>
      <c r="D398" t="inlineStr">
        <is>
          <t>ÖREBRO LÄN</t>
        </is>
      </c>
      <c r="E398" t="inlineStr">
        <is>
          <t>LINDESBERG</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31085-2025</t>
        </is>
      </c>
      <c r="B399" s="1" t="n">
        <v>45832.5902662037</v>
      </c>
      <c r="C399" s="1" t="n">
        <v>46060</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31215-2025</t>
        </is>
      </c>
      <c r="B400" s="1" t="n">
        <v>45832.74418981482</v>
      </c>
      <c r="C400" s="1" t="n">
        <v>46060</v>
      </c>
      <c r="D400" t="inlineStr">
        <is>
          <t>ÖREBRO LÄN</t>
        </is>
      </c>
      <c r="E400" t="inlineStr">
        <is>
          <t>LINDESBERG</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9198-2025</t>
        </is>
      </c>
      <c r="B401" s="1" t="n">
        <v>45714</v>
      </c>
      <c r="C401" s="1" t="n">
        <v>46060</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60492-2024</t>
        </is>
      </c>
      <c r="B402" s="1" t="n">
        <v>45642</v>
      </c>
      <c r="C402" s="1" t="n">
        <v>46060</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46484-2025</t>
        </is>
      </c>
      <c r="B403" s="1" t="n">
        <v>45925.70290509259</v>
      </c>
      <c r="C403" s="1" t="n">
        <v>46060</v>
      </c>
      <c r="D403" t="inlineStr">
        <is>
          <t>ÖREBRO LÄN</t>
        </is>
      </c>
      <c r="E403" t="inlineStr">
        <is>
          <t>LINDESBERG</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31003-2025</t>
        </is>
      </c>
      <c r="B404" s="1" t="n">
        <v>45832.49579861111</v>
      </c>
      <c r="C404" s="1" t="n">
        <v>46060</v>
      </c>
      <c r="D404" t="inlineStr">
        <is>
          <t>ÖREBRO LÄN</t>
        </is>
      </c>
      <c r="E404" t="inlineStr">
        <is>
          <t>LINDESBERG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31014-2025</t>
        </is>
      </c>
      <c r="B405" s="1" t="n">
        <v>45832.51028935185</v>
      </c>
      <c r="C405" s="1" t="n">
        <v>46060</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26093-2023</t>
        </is>
      </c>
      <c r="B406" s="1" t="n">
        <v>45091.39362268519</v>
      </c>
      <c r="C406" s="1" t="n">
        <v>46060</v>
      </c>
      <c r="D406" t="inlineStr">
        <is>
          <t>ÖREBRO LÄN</t>
        </is>
      </c>
      <c r="E406" t="inlineStr">
        <is>
          <t>LINDESBERG</t>
        </is>
      </c>
      <c r="G406" t="n">
        <v>0.4</v>
      </c>
      <c r="H406" t="n">
        <v>0</v>
      </c>
      <c r="I406" t="n">
        <v>0</v>
      </c>
      <c r="J406" t="n">
        <v>0</v>
      </c>
      <c r="K406" t="n">
        <v>0</v>
      </c>
      <c r="L406" t="n">
        <v>0</v>
      </c>
      <c r="M406" t="n">
        <v>0</v>
      </c>
      <c r="N406" t="n">
        <v>0</v>
      </c>
      <c r="O406" t="n">
        <v>0</v>
      </c>
      <c r="P406" t="n">
        <v>0</v>
      </c>
      <c r="Q406" t="n">
        <v>0</v>
      </c>
      <c r="R406" s="2" t="inlineStr"/>
    </row>
    <row r="407" ht="15" customHeight="1">
      <c r="A407" t="inlineStr">
        <is>
          <t>A 47066-2023</t>
        </is>
      </c>
      <c r="B407" s="1" t="n">
        <v>45201</v>
      </c>
      <c r="C407" s="1" t="n">
        <v>46060</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54859-2024</t>
        </is>
      </c>
      <c r="B408" s="1" t="n">
        <v>45618.58962962963</v>
      </c>
      <c r="C408" s="1" t="n">
        <v>46060</v>
      </c>
      <c r="D408" t="inlineStr">
        <is>
          <t>ÖREBRO LÄN</t>
        </is>
      </c>
      <c r="E408" t="inlineStr">
        <is>
          <t>LINDESBERG</t>
        </is>
      </c>
      <c r="F408" t="inlineStr">
        <is>
          <t>Sveaskog</t>
        </is>
      </c>
      <c r="G408" t="n">
        <v>5.3</v>
      </c>
      <c r="H408" t="n">
        <v>0</v>
      </c>
      <c r="I408" t="n">
        <v>0</v>
      </c>
      <c r="J408" t="n">
        <v>0</v>
      </c>
      <c r="K408" t="n">
        <v>0</v>
      </c>
      <c r="L408" t="n">
        <v>0</v>
      </c>
      <c r="M408" t="n">
        <v>0</v>
      </c>
      <c r="N408" t="n">
        <v>0</v>
      </c>
      <c r="O408" t="n">
        <v>0</v>
      </c>
      <c r="P408" t="n">
        <v>0</v>
      </c>
      <c r="Q408" t="n">
        <v>0</v>
      </c>
      <c r="R408" s="2" t="inlineStr"/>
    </row>
    <row r="409" ht="15" customHeight="1">
      <c r="A409" t="inlineStr">
        <is>
          <t>A 36773-2024</t>
        </is>
      </c>
      <c r="B409" s="1" t="n">
        <v>45538</v>
      </c>
      <c r="C409" s="1" t="n">
        <v>46060</v>
      </c>
      <c r="D409" t="inlineStr">
        <is>
          <t>ÖREBRO LÄN</t>
        </is>
      </c>
      <c r="E409" t="inlineStr">
        <is>
          <t>LINDESBERG</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59804-2023</t>
        </is>
      </c>
      <c r="B410" s="1" t="n">
        <v>45257.48188657407</v>
      </c>
      <c r="C410" s="1" t="n">
        <v>46060</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40758-2021</t>
        </is>
      </c>
      <c r="B411" s="1" t="n">
        <v>44420</v>
      </c>
      <c r="C411" s="1" t="n">
        <v>46060</v>
      </c>
      <c r="D411" t="inlineStr">
        <is>
          <t>ÖREBRO LÄN</t>
        </is>
      </c>
      <c r="E411" t="inlineStr">
        <is>
          <t>LINDESBERG</t>
        </is>
      </c>
      <c r="G411" t="n">
        <v>5</v>
      </c>
      <c r="H411" t="n">
        <v>0</v>
      </c>
      <c r="I411" t="n">
        <v>0</v>
      </c>
      <c r="J411" t="n">
        <v>0</v>
      </c>
      <c r="K411" t="n">
        <v>0</v>
      </c>
      <c r="L411" t="n">
        <v>0</v>
      </c>
      <c r="M411" t="n">
        <v>0</v>
      </c>
      <c r="N411" t="n">
        <v>0</v>
      </c>
      <c r="O411" t="n">
        <v>0</v>
      </c>
      <c r="P411" t="n">
        <v>0</v>
      </c>
      <c r="Q411" t="n">
        <v>0</v>
      </c>
      <c r="R411" s="2" t="inlineStr"/>
    </row>
    <row r="412" ht="15" customHeight="1">
      <c r="A412" t="inlineStr">
        <is>
          <t>A 32284-2025</t>
        </is>
      </c>
      <c r="B412" s="1" t="n">
        <v>45835.68443287037</v>
      </c>
      <c r="C412" s="1" t="n">
        <v>46060</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61691-2023</t>
        </is>
      </c>
      <c r="B413" s="1" t="n">
        <v>45265.64142361111</v>
      </c>
      <c r="C413" s="1" t="n">
        <v>46060</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row>
    <row r="414" ht="15" customHeight="1">
      <c r="A414" t="inlineStr">
        <is>
          <t>A 4298-2025</t>
        </is>
      </c>
      <c r="B414" s="1" t="n">
        <v>45685</v>
      </c>
      <c r="C414" s="1" t="n">
        <v>46060</v>
      </c>
      <c r="D414" t="inlineStr">
        <is>
          <t>ÖREBRO LÄN</t>
        </is>
      </c>
      <c r="E414" t="inlineStr">
        <is>
          <t>LINDESBERG</t>
        </is>
      </c>
      <c r="G414" t="n">
        <v>13.5</v>
      </c>
      <c r="H414" t="n">
        <v>0</v>
      </c>
      <c r="I414" t="n">
        <v>0</v>
      </c>
      <c r="J414" t="n">
        <v>0</v>
      </c>
      <c r="K414" t="n">
        <v>0</v>
      </c>
      <c r="L414" t="n">
        <v>0</v>
      </c>
      <c r="M414" t="n">
        <v>0</v>
      </c>
      <c r="N414" t="n">
        <v>0</v>
      </c>
      <c r="O414" t="n">
        <v>0</v>
      </c>
      <c r="P414" t="n">
        <v>0</v>
      </c>
      <c r="Q414" t="n">
        <v>0</v>
      </c>
      <c r="R414" s="2" t="inlineStr"/>
    </row>
    <row r="415" ht="15" customHeight="1">
      <c r="A415" t="inlineStr">
        <is>
          <t>A 53597-2024</t>
        </is>
      </c>
      <c r="B415" s="1" t="n">
        <v>45614.68083333333</v>
      </c>
      <c r="C415" s="1" t="n">
        <v>46060</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43081-2021</t>
        </is>
      </c>
      <c r="B416" s="1" t="n">
        <v>44431</v>
      </c>
      <c r="C416" s="1" t="n">
        <v>46060</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32002-2023</t>
        </is>
      </c>
      <c r="B417" s="1" t="n">
        <v>45119.46452546296</v>
      </c>
      <c r="C417" s="1" t="n">
        <v>46060</v>
      </c>
      <c r="D417" t="inlineStr">
        <is>
          <t>ÖREBRO LÄN</t>
        </is>
      </c>
      <c r="E417" t="inlineStr">
        <is>
          <t>LINDESBERG</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7661-2024</t>
        </is>
      </c>
      <c r="B418" s="1" t="n">
        <v>45348</v>
      </c>
      <c r="C418" s="1" t="n">
        <v>46060</v>
      </c>
      <c r="D418" t="inlineStr">
        <is>
          <t>ÖREBRO LÄN</t>
        </is>
      </c>
      <c r="E418" t="inlineStr">
        <is>
          <t>LINDESBERG</t>
        </is>
      </c>
      <c r="G418" t="n">
        <v>4.1</v>
      </c>
      <c r="H418" t="n">
        <v>0</v>
      </c>
      <c r="I418" t="n">
        <v>0</v>
      </c>
      <c r="J418" t="n">
        <v>0</v>
      </c>
      <c r="K418" t="n">
        <v>0</v>
      </c>
      <c r="L418" t="n">
        <v>0</v>
      </c>
      <c r="M418" t="n">
        <v>0</v>
      </c>
      <c r="N418" t="n">
        <v>0</v>
      </c>
      <c r="O418" t="n">
        <v>0</v>
      </c>
      <c r="P418" t="n">
        <v>0</v>
      </c>
      <c r="Q418" t="n">
        <v>0</v>
      </c>
      <c r="R418" s="2" t="inlineStr"/>
    </row>
    <row r="419" ht="15" customHeight="1">
      <c r="A419" t="inlineStr">
        <is>
          <t>A 46757-2025</t>
        </is>
      </c>
      <c r="B419" s="1" t="n">
        <v>45926.62039351852</v>
      </c>
      <c r="C419" s="1" t="n">
        <v>46060</v>
      </c>
      <c r="D419" t="inlineStr">
        <is>
          <t>ÖREBRO LÄN</t>
        </is>
      </c>
      <c r="E419" t="inlineStr">
        <is>
          <t>LINDESBERG</t>
        </is>
      </c>
      <c r="G419" t="n">
        <v>7.9</v>
      </c>
      <c r="H419" t="n">
        <v>0</v>
      </c>
      <c r="I419" t="n">
        <v>0</v>
      </c>
      <c r="J419" t="n">
        <v>0</v>
      </c>
      <c r="K419" t="n">
        <v>0</v>
      </c>
      <c r="L419" t="n">
        <v>0</v>
      </c>
      <c r="M419" t="n">
        <v>0</v>
      </c>
      <c r="N419" t="n">
        <v>0</v>
      </c>
      <c r="O419" t="n">
        <v>0</v>
      </c>
      <c r="P419" t="n">
        <v>0</v>
      </c>
      <c r="Q419" t="n">
        <v>0</v>
      </c>
      <c r="R419" s="2" t="inlineStr"/>
    </row>
    <row r="420" ht="15" customHeight="1">
      <c r="A420" t="inlineStr">
        <is>
          <t>A 12278-2025</t>
        </is>
      </c>
      <c r="B420" s="1" t="n">
        <v>45729.65171296296</v>
      </c>
      <c r="C420" s="1" t="n">
        <v>46060</v>
      </c>
      <c r="D420" t="inlineStr">
        <is>
          <t>ÖREBRO LÄN</t>
        </is>
      </c>
      <c r="E420" t="inlineStr">
        <is>
          <t>LINDESBERG</t>
        </is>
      </c>
      <c r="G420" t="n">
        <v>3.2</v>
      </c>
      <c r="H420" t="n">
        <v>0</v>
      </c>
      <c r="I420" t="n">
        <v>0</v>
      </c>
      <c r="J420" t="n">
        <v>0</v>
      </c>
      <c r="K420" t="n">
        <v>0</v>
      </c>
      <c r="L420" t="n">
        <v>0</v>
      </c>
      <c r="M420" t="n">
        <v>0</v>
      </c>
      <c r="N420" t="n">
        <v>0</v>
      </c>
      <c r="O420" t="n">
        <v>0</v>
      </c>
      <c r="P420" t="n">
        <v>0</v>
      </c>
      <c r="Q420" t="n">
        <v>0</v>
      </c>
      <c r="R420" s="2" t="inlineStr"/>
    </row>
    <row r="421" ht="15" customHeight="1">
      <c r="A421" t="inlineStr">
        <is>
          <t>A 34237-2023</t>
        </is>
      </c>
      <c r="B421" s="1" t="n">
        <v>45138</v>
      </c>
      <c r="C421" s="1" t="n">
        <v>46060</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46060</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47676-2025</t>
        </is>
      </c>
      <c r="B423" s="1" t="n">
        <v>45931.57756944445</v>
      </c>
      <c r="C423" s="1" t="n">
        <v>46060</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29942-2024</t>
        </is>
      </c>
      <c r="B424" s="1" t="n">
        <v>45488.42258101852</v>
      </c>
      <c r="C424" s="1" t="n">
        <v>46060</v>
      </c>
      <c r="D424" t="inlineStr">
        <is>
          <t>ÖREBRO LÄN</t>
        </is>
      </c>
      <c r="E424" t="inlineStr">
        <is>
          <t>LINDESBERG</t>
        </is>
      </c>
      <c r="G424" t="n">
        <v>2.4</v>
      </c>
      <c r="H424" t="n">
        <v>0</v>
      </c>
      <c r="I424" t="n">
        <v>0</v>
      </c>
      <c r="J424" t="n">
        <v>0</v>
      </c>
      <c r="K424" t="n">
        <v>0</v>
      </c>
      <c r="L424" t="n">
        <v>0</v>
      </c>
      <c r="M424" t="n">
        <v>0</v>
      </c>
      <c r="N424" t="n">
        <v>0</v>
      </c>
      <c r="O424" t="n">
        <v>0</v>
      </c>
      <c r="P424" t="n">
        <v>0</v>
      </c>
      <c r="Q424" t="n">
        <v>0</v>
      </c>
      <c r="R424" s="2" t="inlineStr"/>
    </row>
    <row r="425" ht="15" customHeight="1">
      <c r="A425" t="inlineStr">
        <is>
          <t>A 3294-2024</t>
        </is>
      </c>
      <c r="B425" s="1" t="n">
        <v>45316</v>
      </c>
      <c r="C425" s="1" t="n">
        <v>46060</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14185-2024</t>
        </is>
      </c>
      <c r="B426" s="1" t="n">
        <v>45393.3562962963</v>
      </c>
      <c r="C426" s="1" t="n">
        <v>46060</v>
      </c>
      <c r="D426" t="inlineStr">
        <is>
          <t>ÖREBRO LÄN</t>
        </is>
      </c>
      <c r="E426" t="inlineStr">
        <is>
          <t>LINDESBERG</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14190-2024</t>
        </is>
      </c>
      <c r="B427" s="1" t="n">
        <v>45393.36060185185</v>
      </c>
      <c r="C427" s="1" t="n">
        <v>46060</v>
      </c>
      <c r="D427" t="inlineStr">
        <is>
          <t>ÖREBRO LÄN</t>
        </is>
      </c>
      <c r="E427" t="inlineStr">
        <is>
          <t>LINDESBERG</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32504-2025</t>
        </is>
      </c>
      <c r="B428" s="1" t="n">
        <v>45838.46456018519</v>
      </c>
      <c r="C428" s="1" t="n">
        <v>46060</v>
      </c>
      <c r="D428" t="inlineStr">
        <is>
          <t>ÖREBRO LÄN</t>
        </is>
      </c>
      <c r="E428" t="inlineStr">
        <is>
          <t>LINDESBERG</t>
        </is>
      </c>
      <c r="F428" t="inlineStr">
        <is>
          <t>Sveaskog</t>
        </is>
      </c>
      <c r="G428" t="n">
        <v>16.9</v>
      </c>
      <c r="H428" t="n">
        <v>0</v>
      </c>
      <c r="I428" t="n">
        <v>0</v>
      </c>
      <c r="J428" t="n">
        <v>0</v>
      </c>
      <c r="K428" t="n">
        <v>0</v>
      </c>
      <c r="L428" t="n">
        <v>0</v>
      </c>
      <c r="M428" t="n">
        <v>0</v>
      </c>
      <c r="N428" t="n">
        <v>0</v>
      </c>
      <c r="O428" t="n">
        <v>0</v>
      </c>
      <c r="P428" t="n">
        <v>0</v>
      </c>
      <c r="Q428" t="n">
        <v>0</v>
      </c>
      <c r="R428" s="2" t="inlineStr"/>
    </row>
    <row r="429" ht="15" customHeight="1">
      <c r="A429" t="inlineStr">
        <is>
          <t>A 32502-2025</t>
        </is>
      </c>
      <c r="B429" s="1" t="n">
        <v>45838.46408564815</v>
      </c>
      <c r="C429" s="1" t="n">
        <v>46060</v>
      </c>
      <c r="D429" t="inlineStr">
        <is>
          <t>ÖREBRO LÄN</t>
        </is>
      </c>
      <c r="E429" t="inlineStr">
        <is>
          <t>LINDESBERG</t>
        </is>
      </c>
      <c r="F429" t="inlineStr">
        <is>
          <t>Sveaskog</t>
        </is>
      </c>
      <c r="G429" t="n">
        <v>17.7</v>
      </c>
      <c r="H429" t="n">
        <v>0</v>
      </c>
      <c r="I429" t="n">
        <v>0</v>
      </c>
      <c r="J429" t="n">
        <v>0</v>
      </c>
      <c r="K429" t="n">
        <v>0</v>
      </c>
      <c r="L429" t="n">
        <v>0</v>
      </c>
      <c r="M429" t="n">
        <v>0</v>
      </c>
      <c r="N429" t="n">
        <v>0</v>
      </c>
      <c r="O429" t="n">
        <v>0</v>
      </c>
      <c r="P429" t="n">
        <v>0</v>
      </c>
      <c r="Q429" t="n">
        <v>0</v>
      </c>
      <c r="R429" s="2" t="inlineStr"/>
    </row>
    <row r="430" ht="15" customHeight="1">
      <c r="A430" t="inlineStr">
        <is>
          <t>A 51656-2023</t>
        </is>
      </c>
      <c r="B430" s="1" t="n">
        <v>45222</v>
      </c>
      <c r="C430" s="1" t="n">
        <v>46060</v>
      </c>
      <c r="D430" t="inlineStr">
        <is>
          <t>ÖREBRO LÄN</t>
        </is>
      </c>
      <c r="E430" t="inlineStr">
        <is>
          <t>LINDESBERG</t>
        </is>
      </c>
      <c r="G430" t="n">
        <v>1.2</v>
      </c>
      <c r="H430" t="n">
        <v>0</v>
      </c>
      <c r="I430" t="n">
        <v>0</v>
      </c>
      <c r="J430" t="n">
        <v>0</v>
      </c>
      <c r="K430" t="n">
        <v>0</v>
      </c>
      <c r="L430" t="n">
        <v>0</v>
      </c>
      <c r="M430" t="n">
        <v>0</v>
      </c>
      <c r="N430" t="n">
        <v>0</v>
      </c>
      <c r="O430" t="n">
        <v>0</v>
      </c>
      <c r="P430" t="n">
        <v>0</v>
      </c>
      <c r="Q430" t="n">
        <v>0</v>
      </c>
      <c r="R430" s="2" t="inlineStr"/>
    </row>
    <row r="431" ht="15" customHeight="1">
      <c r="A431" t="inlineStr">
        <is>
          <t>A 32727-2024</t>
        </is>
      </c>
      <c r="B431" s="1" t="n">
        <v>45516.4221412037</v>
      </c>
      <c r="C431" s="1" t="n">
        <v>46060</v>
      </c>
      <c r="D431" t="inlineStr">
        <is>
          <t>ÖREBRO LÄN</t>
        </is>
      </c>
      <c r="E431" t="inlineStr">
        <is>
          <t>LINDESBERG</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48061-2025</t>
        </is>
      </c>
      <c r="B432" s="1" t="n">
        <v>45932.68006944445</v>
      </c>
      <c r="C432" s="1" t="n">
        <v>46060</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3732-2023</t>
        </is>
      </c>
      <c r="B433" s="1" t="n">
        <v>44949</v>
      </c>
      <c r="C433" s="1" t="n">
        <v>46060</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48750-2025</t>
        </is>
      </c>
      <c r="B434" s="1" t="n">
        <v>45936.68452546297</v>
      </c>
      <c r="C434" s="1" t="n">
        <v>46060</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48620-2025</t>
        </is>
      </c>
      <c r="B435" s="1" t="n">
        <v>45936.49210648148</v>
      </c>
      <c r="C435" s="1" t="n">
        <v>46060</v>
      </c>
      <c r="D435" t="inlineStr">
        <is>
          <t>ÖREBRO LÄN</t>
        </is>
      </c>
      <c r="E435" t="inlineStr">
        <is>
          <t>LINDESBERG</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57069-2022</t>
        </is>
      </c>
      <c r="B436" s="1" t="n">
        <v>44895</v>
      </c>
      <c r="C436" s="1" t="n">
        <v>46060</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48497-2025</t>
        </is>
      </c>
      <c r="B437" s="1" t="n">
        <v>45936.37523148148</v>
      </c>
      <c r="C437" s="1" t="n">
        <v>46060</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48489-2025</t>
        </is>
      </c>
      <c r="B438" s="1" t="n">
        <v>45936.36637731481</v>
      </c>
      <c r="C438" s="1" t="n">
        <v>46060</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48618-2025</t>
        </is>
      </c>
      <c r="B439" s="1" t="n">
        <v>45936.49026620371</v>
      </c>
      <c r="C439" s="1" t="n">
        <v>46060</v>
      </c>
      <c r="D439" t="inlineStr">
        <is>
          <t>ÖREBRO LÄN</t>
        </is>
      </c>
      <c r="E439" t="inlineStr">
        <is>
          <t>LINDESBERG</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4067-2024</t>
        </is>
      </c>
      <c r="B440" s="1" t="n">
        <v>45323</v>
      </c>
      <c r="C440" s="1" t="n">
        <v>46060</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48495-2025</t>
        </is>
      </c>
      <c r="B441" s="1" t="n">
        <v>45936.37237268518</v>
      </c>
      <c r="C441" s="1" t="n">
        <v>46060</v>
      </c>
      <c r="D441" t="inlineStr">
        <is>
          <t>ÖREBRO LÄN</t>
        </is>
      </c>
      <c r="E441" t="inlineStr">
        <is>
          <t>LINDESBERG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29500-2023</t>
        </is>
      </c>
      <c r="B442" s="1" t="n">
        <v>45106</v>
      </c>
      <c r="C442" s="1" t="n">
        <v>46060</v>
      </c>
      <c r="D442" t="inlineStr">
        <is>
          <t>ÖREBRO LÄN</t>
        </is>
      </c>
      <c r="E442" t="inlineStr">
        <is>
          <t>LINDESBERG</t>
        </is>
      </c>
      <c r="G442" t="n">
        <v>1.6</v>
      </c>
      <c r="H442" t="n">
        <v>0</v>
      </c>
      <c r="I442" t="n">
        <v>0</v>
      </c>
      <c r="J442" t="n">
        <v>0</v>
      </c>
      <c r="K442" t="n">
        <v>0</v>
      </c>
      <c r="L442" t="n">
        <v>0</v>
      </c>
      <c r="M442" t="n">
        <v>0</v>
      </c>
      <c r="N442" t="n">
        <v>0</v>
      </c>
      <c r="O442" t="n">
        <v>0</v>
      </c>
      <c r="P442" t="n">
        <v>0</v>
      </c>
      <c r="Q442" t="n">
        <v>0</v>
      </c>
      <c r="R442" s="2" t="inlineStr"/>
    </row>
    <row r="443" ht="15" customHeight="1">
      <c r="A443" t="inlineStr">
        <is>
          <t>A 48867-2025</t>
        </is>
      </c>
      <c r="B443" s="1" t="n">
        <v>45937.4484837963</v>
      </c>
      <c r="C443" s="1" t="n">
        <v>46060</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48953-2025</t>
        </is>
      </c>
      <c r="B444" s="1" t="n">
        <v>45937.54697916667</v>
      </c>
      <c r="C444" s="1" t="n">
        <v>46060</v>
      </c>
      <c r="D444" t="inlineStr">
        <is>
          <t>ÖREBRO LÄN</t>
        </is>
      </c>
      <c r="E444" t="inlineStr">
        <is>
          <t>LINDESBERG</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33046-2025</t>
        </is>
      </c>
      <c r="B445" s="1" t="n">
        <v>45840</v>
      </c>
      <c r="C445" s="1" t="n">
        <v>46060</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48971-2025</t>
        </is>
      </c>
      <c r="B446" s="1" t="n">
        <v>45937.56420138889</v>
      </c>
      <c r="C446" s="1" t="n">
        <v>46060</v>
      </c>
      <c r="D446" t="inlineStr">
        <is>
          <t>ÖREBRO LÄN</t>
        </is>
      </c>
      <c r="E446" t="inlineStr">
        <is>
          <t>LINDESBERG</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48975-2025</t>
        </is>
      </c>
      <c r="B447" s="1" t="n">
        <v>45937.56798611111</v>
      </c>
      <c r="C447" s="1" t="n">
        <v>46060</v>
      </c>
      <c r="D447" t="inlineStr">
        <is>
          <t>ÖREBRO LÄN</t>
        </is>
      </c>
      <c r="E447" t="inlineStr">
        <is>
          <t>LINDESBERG</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10823-2023</t>
        </is>
      </c>
      <c r="B448" s="1" t="n">
        <v>44990</v>
      </c>
      <c r="C448" s="1" t="n">
        <v>46060</v>
      </c>
      <c r="D448" t="inlineStr">
        <is>
          <t>ÖREBRO LÄN</t>
        </is>
      </c>
      <c r="E448" t="inlineStr">
        <is>
          <t>LINDESBERG</t>
        </is>
      </c>
      <c r="G448" t="n">
        <v>1.8</v>
      </c>
      <c r="H448" t="n">
        <v>0</v>
      </c>
      <c r="I448" t="n">
        <v>0</v>
      </c>
      <c r="J448" t="n">
        <v>0</v>
      </c>
      <c r="K448" t="n">
        <v>0</v>
      </c>
      <c r="L448" t="n">
        <v>0</v>
      </c>
      <c r="M448" t="n">
        <v>0</v>
      </c>
      <c r="N448" t="n">
        <v>0</v>
      </c>
      <c r="O448" t="n">
        <v>0</v>
      </c>
      <c r="P448" t="n">
        <v>0</v>
      </c>
      <c r="Q448" t="n">
        <v>0</v>
      </c>
      <c r="R448" s="2" t="inlineStr"/>
    </row>
    <row r="449" ht="15" customHeight="1">
      <c r="A449" t="inlineStr">
        <is>
          <t>A 49100-2025</t>
        </is>
      </c>
      <c r="B449" s="1" t="n">
        <v>45937.71556712963</v>
      </c>
      <c r="C449" s="1" t="n">
        <v>46060</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49133-2025</t>
        </is>
      </c>
      <c r="B450" s="1" t="n">
        <v>45937.92319444445</v>
      </c>
      <c r="C450" s="1" t="n">
        <v>46060</v>
      </c>
      <c r="D450" t="inlineStr">
        <is>
          <t>ÖREBRO LÄN</t>
        </is>
      </c>
      <c r="E450" t="inlineStr">
        <is>
          <t>LINDESBERG</t>
        </is>
      </c>
      <c r="G450" t="n">
        <v>5</v>
      </c>
      <c r="H450" t="n">
        <v>0</v>
      </c>
      <c r="I450" t="n">
        <v>0</v>
      </c>
      <c r="J450" t="n">
        <v>0</v>
      </c>
      <c r="K450" t="n">
        <v>0</v>
      </c>
      <c r="L450" t="n">
        <v>0</v>
      </c>
      <c r="M450" t="n">
        <v>0</v>
      </c>
      <c r="N450" t="n">
        <v>0</v>
      </c>
      <c r="O450" t="n">
        <v>0</v>
      </c>
      <c r="P450" t="n">
        <v>0</v>
      </c>
      <c r="Q450" t="n">
        <v>0</v>
      </c>
      <c r="R450" s="2" t="inlineStr"/>
    </row>
    <row r="451" ht="15" customHeight="1">
      <c r="A451" t="inlineStr">
        <is>
          <t>A 8902-2024</t>
        </is>
      </c>
      <c r="B451" s="1" t="n">
        <v>45357.34521990741</v>
      </c>
      <c r="C451" s="1" t="n">
        <v>46060</v>
      </c>
      <c r="D451" t="inlineStr">
        <is>
          <t>ÖREBRO LÄN</t>
        </is>
      </c>
      <c r="E451" t="inlineStr">
        <is>
          <t>LINDESBERG</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27702-2025</t>
        </is>
      </c>
      <c r="B452" s="1" t="n">
        <v>45813</v>
      </c>
      <c r="C452" s="1" t="n">
        <v>46060</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48993-2025</t>
        </is>
      </c>
      <c r="B453" s="1" t="n">
        <v>45937.58590277778</v>
      </c>
      <c r="C453" s="1" t="n">
        <v>46060</v>
      </c>
      <c r="D453" t="inlineStr">
        <is>
          <t>ÖREBRO LÄN</t>
        </is>
      </c>
      <c r="E453" t="inlineStr">
        <is>
          <t>LINDESBERG</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49183-2025</t>
        </is>
      </c>
      <c r="B454" s="1" t="n">
        <v>45938.39741898148</v>
      </c>
      <c r="C454" s="1" t="n">
        <v>46060</v>
      </c>
      <c r="D454" t="inlineStr">
        <is>
          <t>ÖREBRO LÄN</t>
        </is>
      </c>
      <c r="E454" t="inlineStr">
        <is>
          <t>LINDESBERG</t>
        </is>
      </c>
      <c r="G454" t="n">
        <v>4.4</v>
      </c>
      <c r="H454" t="n">
        <v>0</v>
      </c>
      <c r="I454" t="n">
        <v>0</v>
      </c>
      <c r="J454" t="n">
        <v>0</v>
      </c>
      <c r="K454" t="n">
        <v>0</v>
      </c>
      <c r="L454" t="n">
        <v>0</v>
      </c>
      <c r="M454" t="n">
        <v>0</v>
      </c>
      <c r="N454" t="n">
        <v>0</v>
      </c>
      <c r="O454" t="n">
        <v>0</v>
      </c>
      <c r="P454" t="n">
        <v>0</v>
      </c>
      <c r="Q454" t="n">
        <v>0</v>
      </c>
      <c r="R454" s="2" t="inlineStr"/>
    </row>
    <row r="455" ht="15" customHeight="1">
      <c r="A455" t="inlineStr">
        <is>
          <t>A 40305-2024</t>
        </is>
      </c>
      <c r="B455" s="1" t="n">
        <v>45554.71863425926</v>
      </c>
      <c r="C455" s="1" t="n">
        <v>46060</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34004-2025</t>
        </is>
      </c>
      <c r="B456" s="1" t="n">
        <v>45844.5775</v>
      </c>
      <c r="C456" s="1" t="n">
        <v>46060</v>
      </c>
      <c r="D456" t="inlineStr">
        <is>
          <t>ÖREBRO LÄN</t>
        </is>
      </c>
      <c r="E456" t="inlineStr">
        <is>
          <t>LINDESBERG</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49707-2025</t>
        </is>
      </c>
      <c r="B457" s="1" t="n">
        <v>45939.67951388889</v>
      </c>
      <c r="C457" s="1" t="n">
        <v>46060</v>
      </c>
      <c r="D457" t="inlineStr">
        <is>
          <t>ÖREBRO LÄN</t>
        </is>
      </c>
      <c r="E457" t="inlineStr">
        <is>
          <t>LINDESBERG</t>
        </is>
      </c>
      <c r="F457" t="inlineStr">
        <is>
          <t>Kommuner</t>
        </is>
      </c>
      <c r="G457" t="n">
        <v>0.6</v>
      </c>
      <c r="H457" t="n">
        <v>0</v>
      </c>
      <c r="I457" t="n">
        <v>0</v>
      </c>
      <c r="J457" t="n">
        <v>0</v>
      </c>
      <c r="K457" t="n">
        <v>0</v>
      </c>
      <c r="L457" t="n">
        <v>0</v>
      </c>
      <c r="M457" t="n">
        <v>0</v>
      </c>
      <c r="N457" t="n">
        <v>0</v>
      </c>
      <c r="O457" t="n">
        <v>0</v>
      </c>
      <c r="P457" t="n">
        <v>0</v>
      </c>
      <c r="Q457" t="n">
        <v>0</v>
      </c>
      <c r="R457" s="2" t="inlineStr"/>
    </row>
    <row r="458" ht="15" customHeight="1">
      <c r="A458" t="inlineStr">
        <is>
          <t>A 19436-2025</t>
        </is>
      </c>
      <c r="B458" s="1" t="n">
        <v>45769.98449074074</v>
      </c>
      <c r="C458" s="1" t="n">
        <v>46060</v>
      </c>
      <c r="D458" t="inlineStr">
        <is>
          <t>ÖREBRO LÄN</t>
        </is>
      </c>
      <c r="E458" t="inlineStr">
        <is>
          <t>LINDESBERG</t>
        </is>
      </c>
      <c r="G458" t="n">
        <v>1.2</v>
      </c>
      <c r="H458" t="n">
        <v>0</v>
      </c>
      <c r="I458" t="n">
        <v>0</v>
      </c>
      <c r="J458" t="n">
        <v>0</v>
      </c>
      <c r="K458" t="n">
        <v>0</v>
      </c>
      <c r="L458" t="n">
        <v>0</v>
      </c>
      <c r="M458" t="n">
        <v>0</v>
      </c>
      <c r="N458" t="n">
        <v>0</v>
      </c>
      <c r="O458" t="n">
        <v>0</v>
      </c>
      <c r="P458" t="n">
        <v>0</v>
      </c>
      <c r="Q458" t="n">
        <v>0</v>
      </c>
      <c r="R458" s="2" t="inlineStr"/>
    </row>
    <row r="459" ht="15" customHeight="1">
      <c r="A459" t="inlineStr">
        <is>
          <t>A 22829-2023</t>
        </is>
      </c>
      <c r="B459" s="1" t="n">
        <v>45072.42776620371</v>
      </c>
      <c r="C459" s="1" t="n">
        <v>46060</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34104-2025</t>
        </is>
      </c>
      <c r="B460" s="1" t="n">
        <v>45845.49216435185</v>
      </c>
      <c r="C460" s="1" t="n">
        <v>46060</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49946-2025</t>
        </is>
      </c>
      <c r="B461" s="1" t="n">
        <v>45940.69862268519</v>
      </c>
      <c r="C461" s="1" t="n">
        <v>46060</v>
      </c>
      <c r="D461" t="inlineStr">
        <is>
          <t>ÖREBRO LÄN</t>
        </is>
      </c>
      <c r="E461" t="inlineStr">
        <is>
          <t>LINDESBERG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28463-2024</t>
        </is>
      </c>
      <c r="B462" s="1" t="n">
        <v>45477.70315972222</v>
      </c>
      <c r="C462" s="1" t="n">
        <v>46060</v>
      </c>
      <c r="D462" t="inlineStr">
        <is>
          <t>ÖREBRO LÄN</t>
        </is>
      </c>
      <c r="E462" t="inlineStr">
        <is>
          <t>LINDESBERG</t>
        </is>
      </c>
      <c r="G462" t="n">
        <v>6.3</v>
      </c>
      <c r="H462" t="n">
        <v>0</v>
      </c>
      <c r="I462" t="n">
        <v>0</v>
      </c>
      <c r="J462" t="n">
        <v>0</v>
      </c>
      <c r="K462" t="n">
        <v>0</v>
      </c>
      <c r="L462" t="n">
        <v>0</v>
      </c>
      <c r="M462" t="n">
        <v>0</v>
      </c>
      <c r="N462" t="n">
        <v>0</v>
      </c>
      <c r="O462" t="n">
        <v>0</v>
      </c>
      <c r="P462" t="n">
        <v>0</v>
      </c>
      <c r="Q462" t="n">
        <v>0</v>
      </c>
      <c r="R462" s="2" t="inlineStr"/>
    </row>
    <row r="463" ht="15" customHeight="1">
      <c r="A463" t="inlineStr">
        <is>
          <t>A 49943-2025</t>
        </is>
      </c>
      <c r="B463" s="1" t="n">
        <v>45940.69521990741</v>
      </c>
      <c r="C463" s="1" t="n">
        <v>46060</v>
      </c>
      <c r="D463" t="inlineStr">
        <is>
          <t>ÖREBRO LÄN</t>
        </is>
      </c>
      <c r="E463" t="inlineStr">
        <is>
          <t>LINDESBERG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33574-2024</t>
        </is>
      </c>
      <c r="B464" s="1" t="n">
        <v>45520.32887731482</v>
      </c>
      <c r="C464" s="1" t="n">
        <v>46060</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15822-2024</t>
        </is>
      </c>
      <c r="B465" s="1" t="n">
        <v>45404.68190972223</v>
      </c>
      <c r="C465" s="1" t="n">
        <v>46060</v>
      </c>
      <c r="D465" t="inlineStr">
        <is>
          <t>ÖREBRO LÄN</t>
        </is>
      </c>
      <c r="E465" t="inlineStr">
        <is>
          <t>LINDESBERG</t>
        </is>
      </c>
      <c r="F465" t="inlineStr">
        <is>
          <t>Sveaskog</t>
        </is>
      </c>
      <c r="G465" t="n">
        <v>6.7</v>
      </c>
      <c r="H465" t="n">
        <v>0</v>
      </c>
      <c r="I465" t="n">
        <v>0</v>
      </c>
      <c r="J465" t="n">
        <v>0</v>
      </c>
      <c r="K465" t="n">
        <v>0</v>
      </c>
      <c r="L465" t="n">
        <v>0</v>
      </c>
      <c r="M465" t="n">
        <v>0</v>
      </c>
      <c r="N465" t="n">
        <v>0</v>
      </c>
      <c r="O465" t="n">
        <v>0</v>
      </c>
      <c r="P465" t="n">
        <v>0</v>
      </c>
      <c r="Q465" t="n">
        <v>0</v>
      </c>
      <c r="R465" s="2" t="inlineStr"/>
    </row>
    <row r="466" ht="15" customHeight="1">
      <c r="A466" t="inlineStr">
        <is>
          <t>A 49944-2025</t>
        </is>
      </c>
      <c r="B466" s="1" t="n">
        <v>45940.69643518519</v>
      </c>
      <c r="C466" s="1" t="n">
        <v>46060</v>
      </c>
      <c r="D466" t="inlineStr">
        <is>
          <t>ÖREBRO LÄN</t>
        </is>
      </c>
      <c r="E466" t="inlineStr">
        <is>
          <t>LINDESBERG</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49947-2025</t>
        </is>
      </c>
      <c r="B467" s="1" t="n">
        <v>45940.70018518518</v>
      </c>
      <c r="C467" s="1" t="n">
        <v>46060</v>
      </c>
      <c r="D467" t="inlineStr">
        <is>
          <t>ÖREBRO LÄN</t>
        </is>
      </c>
      <c r="E467" t="inlineStr">
        <is>
          <t>LINDESBERG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59052-2023</t>
        </is>
      </c>
      <c r="B468" s="1" t="n">
        <v>45252.78021990741</v>
      </c>
      <c r="C468" s="1" t="n">
        <v>46060</v>
      </c>
      <c r="D468" t="inlineStr">
        <is>
          <t>ÖREBRO LÄN</t>
        </is>
      </c>
      <c r="E468" t="inlineStr">
        <is>
          <t>LINDESBERG</t>
        </is>
      </c>
      <c r="G468" t="n">
        <v>4.2</v>
      </c>
      <c r="H468" t="n">
        <v>0</v>
      </c>
      <c r="I468" t="n">
        <v>0</v>
      </c>
      <c r="J468" t="n">
        <v>0</v>
      </c>
      <c r="K468" t="n">
        <v>0</v>
      </c>
      <c r="L468" t="n">
        <v>0</v>
      </c>
      <c r="M468" t="n">
        <v>0</v>
      </c>
      <c r="N468" t="n">
        <v>0</v>
      </c>
      <c r="O468" t="n">
        <v>0</v>
      </c>
      <c r="P468" t="n">
        <v>0</v>
      </c>
      <c r="Q468" t="n">
        <v>0</v>
      </c>
      <c r="R468" s="2" t="inlineStr"/>
    </row>
    <row r="469" ht="15" customHeight="1">
      <c r="A469" t="inlineStr">
        <is>
          <t>A 2107-2022</t>
        </is>
      </c>
      <c r="B469" s="1" t="n">
        <v>44577.83484953704</v>
      </c>
      <c r="C469" s="1" t="n">
        <v>46060</v>
      </c>
      <c r="D469" t="inlineStr">
        <is>
          <t>ÖREBRO LÄN</t>
        </is>
      </c>
      <c r="E469" t="inlineStr">
        <is>
          <t>LINDESBERG</t>
        </is>
      </c>
      <c r="G469" t="n">
        <v>2.9</v>
      </c>
      <c r="H469" t="n">
        <v>0</v>
      </c>
      <c r="I469" t="n">
        <v>0</v>
      </c>
      <c r="J469" t="n">
        <v>0</v>
      </c>
      <c r="K469" t="n">
        <v>0</v>
      </c>
      <c r="L469" t="n">
        <v>0</v>
      </c>
      <c r="M469" t="n">
        <v>0</v>
      </c>
      <c r="N469" t="n">
        <v>0</v>
      </c>
      <c r="O469" t="n">
        <v>0</v>
      </c>
      <c r="P469" t="n">
        <v>0</v>
      </c>
      <c r="Q469" t="n">
        <v>0</v>
      </c>
      <c r="R469" s="2" t="inlineStr"/>
    </row>
    <row r="470" ht="15" customHeight="1">
      <c r="A470" t="inlineStr">
        <is>
          <t>A 50072-2025</t>
        </is>
      </c>
      <c r="B470" s="1" t="n">
        <v>45943.45966435185</v>
      </c>
      <c r="C470" s="1" t="n">
        <v>46060</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50086-2025</t>
        </is>
      </c>
      <c r="B471" s="1" t="n">
        <v>45943.47649305555</v>
      </c>
      <c r="C471" s="1" t="n">
        <v>46060</v>
      </c>
      <c r="D471" t="inlineStr">
        <is>
          <t>ÖREBRO LÄN</t>
        </is>
      </c>
      <c r="E471" t="inlineStr">
        <is>
          <t>LINDESBERG</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23603-2023</t>
        </is>
      </c>
      <c r="B472" s="1" t="n">
        <v>45077</v>
      </c>
      <c r="C472" s="1" t="n">
        <v>46060</v>
      </c>
      <c r="D472" t="inlineStr">
        <is>
          <t>ÖREBRO LÄN</t>
        </is>
      </c>
      <c r="E472" t="inlineStr">
        <is>
          <t>LINDESBERG</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23607-2023</t>
        </is>
      </c>
      <c r="B473" s="1" t="n">
        <v>45077</v>
      </c>
      <c r="C473" s="1" t="n">
        <v>46060</v>
      </c>
      <c r="D473" t="inlineStr">
        <is>
          <t>ÖREBRO LÄN</t>
        </is>
      </c>
      <c r="E473" t="inlineStr">
        <is>
          <t>LINDESBERG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23612-2023</t>
        </is>
      </c>
      <c r="B474" s="1" t="n">
        <v>45077</v>
      </c>
      <c r="C474" s="1" t="n">
        <v>46060</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34002-2025</t>
        </is>
      </c>
      <c r="B475" s="1" t="n">
        <v>45844.57328703703</v>
      </c>
      <c r="C475" s="1" t="n">
        <v>46060</v>
      </c>
      <c r="D475" t="inlineStr">
        <is>
          <t>ÖREBRO LÄN</t>
        </is>
      </c>
      <c r="E475" t="inlineStr">
        <is>
          <t>LINDESBERG</t>
        </is>
      </c>
      <c r="F475" t="inlineStr">
        <is>
          <t>Sveaskog</t>
        </is>
      </c>
      <c r="G475" t="n">
        <v>4.6</v>
      </c>
      <c r="H475" t="n">
        <v>0</v>
      </c>
      <c r="I475" t="n">
        <v>0</v>
      </c>
      <c r="J475" t="n">
        <v>0</v>
      </c>
      <c r="K475" t="n">
        <v>0</v>
      </c>
      <c r="L475" t="n">
        <v>0</v>
      </c>
      <c r="M475" t="n">
        <v>0</v>
      </c>
      <c r="N475" t="n">
        <v>0</v>
      </c>
      <c r="O475" t="n">
        <v>0</v>
      </c>
      <c r="P475" t="n">
        <v>0</v>
      </c>
      <c r="Q475" t="n">
        <v>0</v>
      </c>
      <c r="R475" s="2" t="inlineStr"/>
    </row>
    <row r="476" ht="15" customHeight="1">
      <c r="A476" t="inlineStr">
        <is>
          <t>A 34003-2025</t>
        </is>
      </c>
      <c r="B476" s="1" t="n">
        <v>45844.57527777777</v>
      </c>
      <c r="C476" s="1" t="n">
        <v>46060</v>
      </c>
      <c r="D476" t="inlineStr">
        <is>
          <t>ÖREBRO LÄN</t>
        </is>
      </c>
      <c r="E476" t="inlineStr">
        <is>
          <t>LINDESBERG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50073-2025</t>
        </is>
      </c>
      <c r="B477" s="1" t="n">
        <v>45943.4603125</v>
      </c>
      <c r="C477" s="1" t="n">
        <v>46060</v>
      </c>
      <c r="D477" t="inlineStr">
        <is>
          <t>ÖREBRO LÄN</t>
        </is>
      </c>
      <c r="E477" t="inlineStr">
        <is>
          <t>LINDESBERG</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34097-2025</t>
        </is>
      </c>
      <c r="B478" s="1" t="n">
        <v>45845.4855787037</v>
      </c>
      <c r="C478" s="1" t="n">
        <v>46060</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34267-2025</t>
        </is>
      </c>
      <c r="B479" s="1" t="n">
        <v>45845.76005787037</v>
      </c>
      <c r="C479" s="1" t="n">
        <v>46060</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34264-2025</t>
        </is>
      </c>
      <c r="B480" s="1" t="n">
        <v>45845.75200231482</v>
      </c>
      <c r="C480" s="1" t="n">
        <v>46060</v>
      </c>
      <c r="D480" t="inlineStr">
        <is>
          <t>ÖREBRO LÄN</t>
        </is>
      </c>
      <c r="E480" t="inlineStr">
        <is>
          <t>LINDESBERG</t>
        </is>
      </c>
      <c r="G480" t="n">
        <v>3.9</v>
      </c>
      <c r="H480" t="n">
        <v>0</v>
      </c>
      <c r="I480" t="n">
        <v>0</v>
      </c>
      <c r="J480" t="n">
        <v>0</v>
      </c>
      <c r="K480" t="n">
        <v>0</v>
      </c>
      <c r="L480" t="n">
        <v>0</v>
      </c>
      <c r="M480" t="n">
        <v>0</v>
      </c>
      <c r="N480" t="n">
        <v>0</v>
      </c>
      <c r="O480" t="n">
        <v>0</v>
      </c>
      <c r="P480" t="n">
        <v>0</v>
      </c>
      <c r="Q480" t="n">
        <v>0</v>
      </c>
      <c r="R480" s="2" t="inlineStr"/>
    </row>
    <row r="481" ht="15" customHeight="1">
      <c r="A481" t="inlineStr">
        <is>
          <t>A 23641-2024</t>
        </is>
      </c>
      <c r="B481" s="1" t="n">
        <v>45454.49679398148</v>
      </c>
      <c r="C481" s="1" t="n">
        <v>46060</v>
      </c>
      <c r="D481" t="inlineStr">
        <is>
          <t>ÖREBRO LÄN</t>
        </is>
      </c>
      <c r="E481" t="inlineStr">
        <is>
          <t>LINDESBERG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46219-2022</t>
        </is>
      </c>
      <c r="B482" s="1" t="n">
        <v>44846</v>
      </c>
      <c r="C482" s="1" t="n">
        <v>46060</v>
      </c>
      <c r="D482" t="inlineStr">
        <is>
          <t>ÖREBRO LÄN</t>
        </is>
      </c>
      <c r="E482" t="inlineStr">
        <is>
          <t>LINDESBERG</t>
        </is>
      </c>
      <c r="G482" t="n">
        <v>6</v>
      </c>
      <c r="H482" t="n">
        <v>0</v>
      </c>
      <c r="I482" t="n">
        <v>0</v>
      </c>
      <c r="J482" t="n">
        <v>0</v>
      </c>
      <c r="K482" t="n">
        <v>0</v>
      </c>
      <c r="L482" t="n">
        <v>0</v>
      </c>
      <c r="M482" t="n">
        <v>0</v>
      </c>
      <c r="N482" t="n">
        <v>0</v>
      </c>
      <c r="O482" t="n">
        <v>0</v>
      </c>
      <c r="P482" t="n">
        <v>0</v>
      </c>
      <c r="Q482" t="n">
        <v>0</v>
      </c>
      <c r="R482" s="2" t="inlineStr"/>
    </row>
    <row r="483" ht="15" customHeight="1">
      <c r="A483" t="inlineStr">
        <is>
          <t>A 51186-2025</t>
        </is>
      </c>
      <c r="B483" s="1" t="n">
        <v>45947.62353009259</v>
      </c>
      <c r="C483" s="1" t="n">
        <v>46060</v>
      </c>
      <c r="D483" t="inlineStr">
        <is>
          <t>ÖREBRO LÄN</t>
        </is>
      </c>
      <c r="E483" t="inlineStr">
        <is>
          <t>LINDESBERG</t>
        </is>
      </c>
      <c r="G483" t="n">
        <v>1</v>
      </c>
      <c r="H483" t="n">
        <v>0</v>
      </c>
      <c r="I483" t="n">
        <v>0</v>
      </c>
      <c r="J483" t="n">
        <v>0</v>
      </c>
      <c r="K483" t="n">
        <v>0</v>
      </c>
      <c r="L483" t="n">
        <v>0</v>
      </c>
      <c r="M483" t="n">
        <v>0</v>
      </c>
      <c r="N483" t="n">
        <v>0</v>
      </c>
      <c r="O483" t="n">
        <v>0</v>
      </c>
      <c r="P483" t="n">
        <v>0</v>
      </c>
      <c r="Q483" t="n">
        <v>0</v>
      </c>
      <c r="R483" s="2" t="inlineStr"/>
    </row>
    <row r="484" ht="15" customHeight="1">
      <c r="A484" t="inlineStr">
        <is>
          <t>A 10057-2025</t>
        </is>
      </c>
      <c r="B484" s="1" t="n">
        <v>45719.52871527777</v>
      </c>
      <c r="C484" s="1" t="n">
        <v>46060</v>
      </c>
      <c r="D484" t="inlineStr">
        <is>
          <t>ÖREBRO LÄN</t>
        </is>
      </c>
      <c r="E484" t="inlineStr">
        <is>
          <t>LINDESBERG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51172-2025</t>
        </is>
      </c>
      <c r="B485" s="1" t="n">
        <v>45947.60508101852</v>
      </c>
      <c r="C485" s="1" t="n">
        <v>46060</v>
      </c>
      <c r="D485" t="inlineStr">
        <is>
          <t>ÖREBRO LÄN</t>
        </is>
      </c>
      <c r="E485" t="inlineStr">
        <is>
          <t>LINDESBERG</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50933-2025</t>
        </is>
      </c>
      <c r="B486" s="1" t="n">
        <v>45946.68859953704</v>
      </c>
      <c r="C486" s="1" t="n">
        <v>46060</v>
      </c>
      <c r="D486" t="inlineStr">
        <is>
          <t>ÖREBRO LÄN</t>
        </is>
      </c>
      <c r="E486" t="inlineStr">
        <is>
          <t>LINDESBERG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54862-2024</t>
        </is>
      </c>
      <c r="B487" s="1" t="n">
        <v>45618</v>
      </c>
      <c r="C487" s="1" t="n">
        <v>46060</v>
      </c>
      <c r="D487" t="inlineStr">
        <is>
          <t>ÖREBRO LÄN</t>
        </is>
      </c>
      <c r="E487" t="inlineStr">
        <is>
          <t>LINDESBERG</t>
        </is>
      </c>
      <c r="F487" t="inlineStr">
        <is>
          <t>Sveaskog</t>
        </is>
      </c>
      <c r="G487" t="n">
        <v>12.2</v>
      </c>
      <c r="H487" t="n">
        <v>0</v>
      </c>
      <c r="I487" t="n">
        <v>0</v>
      </c>
      <c r="J487" t="n">
        <v>0</v>
      </c>
      <c r="K487" t="n">
        <v>0</v>
      </c>
      <c r="L487" t="n">
        <v>0</v>
      </c>
      <c r="M487" t="n">
        <v>0</v>
      </c>
      <c r="N487" t="n">
        <v>0</v>
      </c>
      <c r="O487" t="n">
        <v>0</v>
      </c>
      <c r="P487" t="n">
        <v>0</v>
      </c>
      <c r="Q487" t="n">
        <v>0</v>
      </c>
      <c r="R487" s="2" t="inlineStr"/>
    </row>
    <row r="488" ht="15" customHeight="1">
      <c r="A488" t="inlineStr">
        <is>
          <t>A 50765-2025</t>
        </is>
      </c>
      <c r="B488" s="1" t="n">
        <v>45946.44216435185</v>
      </c>
      <c r="C488" s="1" t="n">
        <v>46060</v>
      </c>
      <c r="D488" t="inlineStr">
        <is>
          <t>ÖREBRO LÄN</t>
        </is>
      </c>
      <c r="E488" t="inlineStr">
        <is>
          <t>LINDESBERG</t>
        </is>
      </c>
      <c r="F488" t="inlineStr">
        <is>
          <t>Sveaskog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51030-2025</t>
        </is>
      </c>
      <c r="B489" s="1" t="n">
        <v>45947.40105324074</v>
      </c>
      <c r="C489" s="1" t="n">
        <v>46060</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50936-2025</t>
        </is>
      </c>
      <c r="B490" s="1" t="n">
        <v>45946.69616898148</v>
      </c>
      <c r="C490" s="1" t="n">
        <v>46060</v>
      </c>
      <c r="D490" t="inlineStr">
        <is>
          <t>ÖREBRO LÄN</t>
        </is>
      </c>
      <c r="E490" t="inlineStr">
        <is>
          <t>LINDESBERG</t>
        </is>
      </c>
      <c r="G490" t="n">
        <v>2.9</v>
      </c>
      <c r="H490" t="n">
        <v>0</v>
      </c>
      <c r="I490" t="n">
        <v>0</v>
      </c>
      <c r="J490" t="n">
        <v>0</v>
      </c>
      <c r="K490" t="n">
        <v>0</v>
      </c>
      <c r="L490" t="n">
        <v>0</v>
      </c>
      <c r="M490" t="n">
        <v>0</v>
      </c>
      <c r="N490" t="n">
        <v>0</v>
      </c>
      <c r="O490" t="n">
        <v>0</v>
      </c>
      <c r="P490" t="n">
        <v>0</v>
      </c>
      <c r="Q490" t="n">
        <v>0</v>
      </c>
      <c r="R490" s="2" t="inlineStr"/>
    </row>
    <row r="491" ht="15" customHeight="1">
      <c r="A491" t="inlineStr">
        <is>
          <t>A 5358-2022</t>
        </is>
      </c>
      <c r="B491" s="1" t="n">
        <v>44594.84091435185</v>
      </c>
      <c r="C491" s="1" t="n">
        <v>46060</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24916-2022</t>
        </is>
      </c>
      <c r="B492" s="1" t="n">
        <v>44728</v>
      </c>
      <c r="C492" s="1" t="n">
        <v>46060</v>
      </c>
      <c r="D492" t="inlineStr">
        <is>
          <t>ÖREBRO LÄN</t>
        </is>
      </c>
      <c r="E492" t="inlineStr">
        <is>
          <t>LINDESBERG</t>
        </is>
      </c>
      <c r="G492" t="n">
        <v>8.1</v>
      </c>
      <c r="H492" t="n">
        <v>0</v>
      </c>
      <c r="I492" t="n">
        <v>0</v>
      </c>
      <c r="J492" t="n">
        <v>0</v>
      </c>
      <c r="K492" t="n">
        <v>0</v>
      </c>
      <c r="L492" t="n">
        <v>0</v>
      </c>
      <c r="M492" t="n">
        <v>0</v>
      </c>
      <c r="N492" t="n">
        <v>0</v>
      </c>
      <c r="O492" t="n">
        <v>0</v>
      </c>
      <c r="P492" t="n">
        <v>0</v>
      </c>
      <c r="Q492" t="n">
        <v>0</v>
      </c>
      <c r="R492" s="2" t="inlineStr"/>
    </row>
    <row r="493" ht="15" customHeight="1">
      <c r="A493" t="inlineStr">
        <is>
          <t>A 5677-2025</t>
        </is>
      </c>
      <c r="B493" s="1" t="n">
        <v>45694</v>
      </c>
      <c r="C493" s="1" t="n">
        <v>46060</v>
      </c>
      <c r="D493" t="inlineStr">
        <is>
          <t>ÖREBRO LÄN</t>
        </is>
      </c>
      <c r="E493" t="inlineStr">
        <is>
          <t>LINDESBERG</t>
        </is>
      </c>
      <c r="G493" t="n">
        <v>1.6</v>
      </c>
      <c r="H493" t="n">
        <v>0</v>
      </c>
      <c r="I493" t="n">
        <v>0</v>
      </c>
      <c r="J493" t="n">
        <v>0</v>
      </c>
      <c r="K493" t="n">
        <v>0</v>
      </c>
      <c r="L493" t="n">
        <v>0</v>
      </c>
      <c r="M493" t="n">
        <v>0</v>
      </c>
      <c r="N493" t="n">
        <v>0</v>
      </c>
      <c r="O493" t="n">
        <v>0</v>
      </c>
      <c r="P493" t="n">
        <v>0</v>
      </c>
      <c r="Q493" t="n">
        <v>0</v>
      </c>
      <c r="R493" s="2" t="inlineStr"/>
    </row>
    <row r="494" ht="15" customHeight="1">
      <c r="A494" t="inlineStr">
        <is>
          <t>A 60943-2024</t>
        </is>
      </c>
      <c r="B494" s="1" t="n">
        <v>45645.3737962963</v>
      </c>
      <c r="C494" s="1" t="n">
        <v>46060</v>
      </c>
      <c r="D494" t="inlineStr">
        <is>
          <t>ÖREBRO LÄN</t>
        </is>
      </c>
      <c r="E494" t="inlineStr">
        <is>
          <t>LINDESBERG</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1681-2025</t>
        </is>
      </c>
      <c r="B495" s="1" t="n">
        <v>45670.69458333333</v>
      </c>
      <c r="C495" s="1" t="n">
        <v>46060</v>
      </c>
      <c r="D495" t="inlineStr">
        <is>
          <t>ÖREBRO LÄN</t>
        </is>
      </c>
      <c r="E495" t="inlineStr">
        <is>
          <t>LINDESBERG</t>
        </is>
      </c>
      <c r="G495" t="n">
        <v>1.9</v>
      </c>
      <c r="H495" t="n">
        <v>0</v>
      </c>
      <c r="I495" t="n">
        <v>0</v>
      </c>
      <c r="J495" t="n">
        <v>0</v>
      </c>
      <c r="K495" t="n">
        <v>0</v>
      </c>
      <c r="L495" t="n">
        <v>0</v>
      </c>
      <c r="M495" t="n">
        <v>0</v>
      </c>
      <c r="N495" t="n">
        <v>0</v>
      </c>
      <c r="O495" t="n">
        <v>0</v>
      </c>
      <c r="P495" t="n">
        <v>0</v>
      </c>
      <c r="Q495" t="n">
        <v>0</v>
      </c>
      <c r="R495" s="2" t="inlineStr"/>
    </row>
    <row r="496" ht="15" customHeight="1">
      <c r="A496" t="inlineStr">
        <is>
          <t>A 36670-2024</t>
        </is>
      </c>
      <c r="B496" s="1" t="n">
        <v>45537.64621527777</v>
      </c>
      <c r="C496" s="1" t="n">
        <v>46060</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35366-2025</t>
        </is>
      </c>
      <c r="B497" s="1" t="n">
        <v>45854</v>
      </c>
      <c r="C497" s="1" t="n">
        <v>46060</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41948-2023</t>
        </is>
      </c>
      <c r="B498" s="1" t="n">
        <v>45177.33091435185</v>
      </c>
      <c r="C498" s="1" t="n">
        <v>46060</v>
      </c>
      <c r="D498" t="inlineStr">
        <is>
          <t>ÖREBRO LÄN</t>
        </is>
      </c>
      <c r="E498" t="inlineStr">
        <is>
          <t>LINDESBERG</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44804-2024</t>
        </is>
      </c>
      <c r="B499" s="1" t="n">
        <v>45574.65189814815</v>
      </c>
      <c r="C499" s="1" t="n">
        <v>46060</v>
      </c>
      <c r="D499" t="inlineStr">
        <is>
          <t>ÖREBRO LÄN</t>
        </is>
      </c>
      <c r="E499" t="inlineStr">
        <is>
          <t>LINDESBERG</t>
        </is>
      </c>
      <c r="F499" t="inlineStr">
        <is>
          <t>Sveaskog</t>
        </is>
      </c>
      <c r="G499" t="n">
        <v>5.7</v>
      </c>
      <c r="H499" t="n">
        <v>0</v>
      </c>
      <c r="I499" t="n">
        <v>0</v>
      </c>
      <c r="J499" t="n">
        <v>0</v>
      </c>
      <c r="K499" t="n">
        <v>0</v>
      </c>
      <c r="L499" t="n">
        <v>0</v>
      </c>
      <c r="M499" t="n">
        <v>0</v>
      </c>
      <c r="N499" t="n">
        <v>0</v>
      </c>
      <c r="O499" t="n">
        <v>0</v>
      </c>
      <c r="P499" t="n">
        <v>0</v>
      </c>
      <c r="Q499" t="n">
        <v>0</v>
      </c>
      <c r="R499" s="2" t="inlineStr"/>
    </row>
    <row r="500" ht="15" customHeight="1">
      <c r="A500" t="inlineStr">
        <is>
          <t>A 35292-2025</t>
        </is>
      </c>
      <c r="B500" s="1" t="n">
        <v>45854</v>
      </c>
      <c r="C500" s="1" t="n">
        <v>46060</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26778-2023</t>
        </is>
      </c>
      <c r="B501" s="1" t="n">
        <v>45093.48221064815</v>
      </c>
      <c r="C501" s="1" t="n">
        <v>46060</v>
      </c>
      <c r="D501" t="inlineStr">
        <is>
          <t>ÖREBRO LÄN</t>
        </is>
      </c>
      <c r="E501" t="inlineStr">
        <is>
          <t>LINDESBERG</t>
        </is>
      </c>
      <c r="G501" t="n">
        <v>7.5</v>
      </c>
      <c r="H501" t="n">
        <v>0</v>
      </c>
      <c r="I501" t="n">
        <v>0</v>
      </c>
      <c r="J501" t="n">
        <v>0</v>
      </c>
      <c r="K501" t="n">
        <v>0</v>
      </c>
      <c r="L501" t="n">
        <v>0</v>
      </c>
      <c r="M501" t="n">
        <v>0</v>
      </c>
      <c r="N501" t="n">
        <v>0</v>
      </c>
      <c r="O501" t="n">
        <v>0</v>
      </c>
      <c r="P501" t="n">
        <v>0</v>
      </c>
      <c r="Q501" t="n">
        <v>0</v>
      </c>
      <c r="R501" s="2" t="inlineStr"/>
    </row>
    <row r="502" ht="15" customHeight="1">
      <c r="A502" t="inlineStr">
        <is>
          <t>A 35710-2025</t>
        </is>
      </c>
      <c r="B502" s="1" t="n">
        <v>45860.3857175926</v>
      </c>
      <c r="C502" s="1" t="n">
        <v>46060</v>
      </c>
      <c r="D502" t="inlineStr">
        <is>
          <t>ÖREBRO LÄN</t>
        </is>
      </c>
      <c r="E502" t="inlineStr">
        <is>
          <t>LINDESBERG</t>
        </is>
      </c>
      <c r="G502" t="n">
        <v>3.2</v>
      </c>
      <c r="H502" t="n">
        <v>0</v>
      </c>
      <c r="I502" t="n">
        <v>0</v>
      </c>
      <c r="J502" t="n">
        <v>0</v>
      </c>
      <c r="K502" t="n">
        <v>0</v>
      </c>
      <c r="L502" t="n">
        <v>0</v>
      </c>
      <c r="M502" t="n">
        <v>0</v>
      </c>
      <c r="N502" t="n">
        <v>0</v>
      </c>
      <c r="O502" t="n">
        <v>0</v>
      </c>
      <c r="P502" t="n">
        <v>0</v>
      </c>
      <c r="Q502" t="n">
        <v>0</v>
      </c>
      <c r="R502" s="2" t="inlineStr"/>
    </row>
    <row r="503" ht="15" customHeight="1">
      <c r="A503" t="inlineStr">
        <is>
          <t>A 35702-2025</t>
        </is>
      </c>
      <c r="B503" s="1" t="n">
        <v>45860.36222222223</v>
      </c>
      <c r="C503" s="1" t="n">
        <v>46060</v>
      </c>
      <c r="D503" t="inlineStr">
        <is>
          <t>ÖREBRO LÄN</t>
        </is>
      </c>
      <c r="E503" t="inlineStr">
        <is>
          <t>LINDESBERG</t>
        </is>
      </c>
      <c r="G503" t="n">
        <v>5.3</v>
      </c>
      <c r="H503" t="n">
        <v>0</v>
      </c>
      <c r="I503" t="n">
        <v>0</v>
      </c>
      <c r="J503" t="n">
        <v>0</v>
      </c>
      <c r="K503" t="n">
        <v>0</v>
      </c>
      <c r="L503" t="n">
        <v>0</v>
      </c>
      <c r="M503" t="n">
        <v>0</v>
      </c>
      <c r="N503" t="n">
        <v>0</v>
      </c>
      <c r="O503" t="n">
        <v>0</v>
      </c>
      <c r="P503" t="n">
        <v>0</v>
      </c>
      <c r="Q503" t="n">
        <v>0</v>
      </c>
      <c r="R503" s="2" t="inlineStr"/>
    </row>
    <row r="504" ht="15" customHeight="1">
      <c r="A504" t="inlineStr">
        <is>
          <t>A 47304-2024</t>
        </is>
      </c>
      <c r="B504" s="1" t="n">
        <v>45587</v>
      </c>
      <c r="C504" s="1" t="n">
        <v>46060</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52102-2025</t>
        </is>
      </c>
      <c r="B505" s="1" t="n">
        <v>45952.68358796297</v>
      </c>
      <c r="C505" s="1" t="n">
        <v>46060</v>
      </c>
      <c r="D505" t="inlineStr">
        <is>
          <t>ÖREBRO LÄN</t>
        </is>
      </c>
      <c r="E505" t="inlineStr">
        <is>
          <t>LINDESBERG</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19392-2025</t>
        </is>
      </c>
      <c r="B506" s="1" t="n">
        <v>45769.66260416667</v>
      </c>
      <c r="C506" s="1" t="n">
        <v>46060</v>
      </c>
      <c r="D506" t="inlineStr">
        <is>
          <t>ÖREBRO LÄN</t>
        </is>
      </c>
      <c r="E506" t="inlineStr">
        <is>
          <t>LINDESBERG</t>
        </is>
      </c>
      <c r="G506" t="n">
        <v>6.5</v>
      </c>
      <c r="H506" t="n">
        <v>0</v>
      </c>
      <c r="I506" t="n">
        <v>0</v>
      </c>
      <c r="J506" t="n">
        <v>0</v>
      </c>
      <c r="K506" t="n">
        <v>0</v>
      </c>
      <c r="L506" t="n">
        <v>0</v>
      </c>
      <c r="M506" t="n">
        <v>0</v>
      </c>
      <c r="N506" t="n">
        <v>0</v>
      </c>
      <c r="O506" t="n">
        <v>0</v>
      </c>
      <c r="P506" t="n">
        <v>0</v>
      </c>
      <c r="Q506" t="n">
        <v>0</v>
      </c>
      <c r="R506" s="2" t="inlineStr"/>
    </row>
    <row r="507" ht="15" customHeight="1">
      <c r="A507" t="inlineStr">
        <is>
          <t>A 61597-2023</t>
        </is>
      </c>
      <c r="B507" s="1" t="n">
        <v>45265.49225694445</v>
      </c>
      <c r="C507" s="1" t="n">
        <v>46060</v>
      </c>
      <c r="D507" t="inlineStr">
        <is>
          <t>ÖREBRO LÄN</t>
        </is>
      </c>
      <c r="E507" t="inlineStr">
        <is>
          <t>LINDESBERG</t>
        </is>
      </c>
      <c r="G507" t="n">
        <v>10.3</v>
      </c>
      <c r="H507" t="n">
        <v>0</v>
      </c>
      <c r="I507" t="n">
        <v>0</v>
      </c>
      <c r="J507" t="n">
        <v>0</v>
      </c>
      <c r="K507" t="n">
        <v>0</v>
      </c>
      <c r="L507" t="n">
        <v>0</v>
      </c>
      <c r="M507" t="n">
        <v>0</v>
      </c>
      <c r="N507" t="n">
        <v>0</v>
      </c>
      <c r="O507" t="n">
        <v>0</v>
      </c>
      <c r="P507" t="n">
        <v>0</v>
      </c>
      <c r="Q507" t="n">
        <v>0</v>
      </c>
      <c r="R507" s="2" t="inlineStr"/>
    </row>
    <row r="508" ht="15" customHeight="1">
      <c r="A508" t="inlineStr">
        <is>
          <t>A 52117-2025</t>
        </is>
      </c>
      <c r="B508" s="1" t="n">
        <v>45952.70765046297</v>
      </c>
      <c r="C508" s="1" t="n">
        <v>46060</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52098-2025</t>
        </is>
      </c>
      <c r="B509" s="1" t="n">
        <v>45952.68001157408</v>
      </c>
      <c r="C509" s="1" t="n">
        <v>46060</v>
      </c>
      <c r="D509" t="inlineStr">
        <is>
          <t>ÖREBRO LÄN</t>
        </is>
      </c>
      <c r="E509" t="inlineStr">
        <is>
          <t>LINDESBERG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52103-2025</t>
        </is>
      </c>
      <c r="B510" s="1" t="n">
        <v>45952.68439814815</v>
      </c>
      <c r="C510" s="1" t="n">
        <v>46060</v>
      </c>
      <c r="D510" t="inlineStr">
        <is>
          <t>ÖREBRO LÄN</t>
        </is>
      </c>
      <c r="E510" t="inlineStr">
        <is>
          <t>LINDESBERG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7211-2024</t>
        </is>
      </c>
      <c r="B511" s="1" t="n">
        <v>45344.623125</v>
      </c>
      <c r="C511" s="1" t="n">
        <v>46060</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41582-2021</t>
        </is>
      </c>
      <c r="B512" s="1" t="n">
        <v>44425.40297453704</v>
      </c>
      <c r="C512" s="1" t="n">
        <v>46060</v>
      </c>
      <c r="D512" t="inlineStr">
        <is>
          <t>ÖREBRO LÄN</t>
        </is>
      </c>
      <c r="E512" t="inlineStr">
        <is>
          <t>LINDESBERG</t>
        </is>
      </c>
      <c r="F512" t="inlineStr">
        <is>
          <t>Sveaskog</t>
        </is>
      </c>
      <c r="G512" t="n">
        <v>5.2</v>
      </c>
      <c r="H512" t="n">
        <v>0</v>
      </c>
      <c r="I512" t="n">
        <v>0</v>
      </c>
      <c r="J512" t="n">
        <v>0</v>
      </c>
      <c r="K512" t="n">
        <v>0</v>
      </c>
      <c r="L512" t="n">
        <v>0</v>
      </c>
      <c r="M512" t="n">
        <v>0</v>
      </c>
      <c r="N512" t="n">
        <v>0</v>
      </c>
      <c r="O512" t="n">
        <v>0</v>
      </c>
      <c r="P512" t="n">
        <v>0</v>
      </c>
      <c r="Q512" t="n">
        <v>0</v>
      </c>
      <c r="R512" s="2" t="inlineStr"/>
    </row>
    <row r="513" ht="15" customHeight="1">
      <c r="A513" t="inlineStr">
        <is>
          <t>A 36253-2024</t>
        </is>
      </c>
      <c r="B513" s="1" t="n">
        <v>45534.54032407407</v>
      </c>
      <c r="C513" s="1" t="n">
        <v>46060</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6511-2025</t>
        </is>
      </c>
      <c r="B514" s="1" t="n">
        <v>45699.65424768518</v>
      </c>
      <c r="C514" s="1" t="n">
        <v>46060</v>
      </c>
      <c r="D514" t="inlineStr">
        <is>
          <t>ÖREBRO LÄN</t>
        </is>
      </c>
      <c r="E514" t="inlineStr">
        <is>
          <t>LINDESBERG</t>
        </is>
      </c>
      <c r="G514" t="n">
        <v>9.1</v>
      </c>
      <c r="H514" t="n">
        <v>0</v>
      </c>
      <c r="I514" t="n">
        <v>0</v>
      </c>
      <c r="J514" t="n">
        <v>0</v>
      </c>
      <c r="K514" t="n">
        <v>0</v>
      </c>
      <c r="L514" t="n">
        <v>0</v>
      </c>
      <c r="M514" t="n">
        <v>0</v>
      </c>
      <c r="N514" t="n">
        <v>0</v>
      </c>
      <c r="O514" t="n">
        <v>0</v>
      </c>
      <c r="P514" t="n">
        <v>0</v>
      </c>
      <c r="Q514" t="n">
        <v>0</v>
      </c>
      <c r="R514" s="2" t="inlineStr"/>
    </row>
    <row r="515" ht="15" customHeight="1">
      <c r="A515" t="inlineStr">
        <is>
          <t>A 52101-2025</t>
        </is>
      </c>
      <c r="B515" s="1" t="n">
        <v>45952.68271990741</v>
      </c>
      <c r="C515" s="1" t="n">
        <v>46060</v>
      </c>
      <c r="D515" t="inlineStr">
        <is>
          <t>ÖREBRO LÄN</t>
        </is>
      </c>
      <c r="E515" t="inlineStr">
        <is>
          <t>LINDESBERG</t>
        </is>
      </c>
      <c r="F515" t="inlineStr">
        <is>
          <t>Sveaskog</t>
        </is>
      </c>
      <c r="G515" t="n">
        <v>10.9</v>
      </c>
      <c r="H515" t="n">
        <v>0</v>
      </c>
      <c r="I515" t="n">
        <v>0</v>
      </c>
      <c r="J515" t="n">
        <v>0</v>
      </c>
      <c r="K515" t="n">
        <v>0</v>
      </c>
      <c r="L515" t="n">
        <v>0</v>
      </c>
      <c r="M515" t="n">
        <v>0</v>
      </c>
      <c r="N515" t="n">
        <v>0</v>
      </c>
      <c r="O515" t="n">
        <v>0</v>
      </c>
      <c r="P515" t="n">
        <v>0</v>
      </c>
      <c r="Q515" t="n">
        <v>0</v>
      </c>
      <c r="R515" s="2" t="inlineStr"/>
    </row>
    <row r="516" ht="15" customHeight="1">
      <c r="A516" t="inlineStr">
        <is>
          <t>A 52104-2025</t>
        </is>
      </c>
      <c r="B516" s="1" t="n">
        <v>45952.68524305556</v>
      </c>
      <c r="C516" s="1" t="n">
        <v>46060</v>
      </c>
      <c r="D516" t="inlineStr">
        <is>
          <t>ÖREBRO LÄN</t>
        </is>
      </c>
      <c r="E516" t="inlineStr">
        <is>
          <t>LINDESBERG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38460-2024</t>
        </is>
      </c>
      <c r="B517" s="1" t="n">
        <v>45546.46497685185</v>
      </c>
      <c r="C517" s="1" t="n">
        <v>46060</v>
      </c>
      <c r="D517" t="inlineStr">
        <is>
          <t>ÖREBRO LÄN</t>
        </is>
      </c>
      <c r="E517" t="inlineStr">
        <is>
          <t>LINDESBERG</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52298-2025</t>
        </is>
      </c>
      <c r="B518" s="1" t="n">
        <v>45953.61387731481</v>
      </c>
      <c r="C518" s="1" t="n">
        <v>46060</v>
      </c>
      <c r="D518" t="inlineStr">
        <is>
          <t>ÖREBRO LÄN</t>
        </is>
      </c>
      <c r="E518" t="inlineStr">
        <is>
          <t>LINDESBERG</t>
        </is>
      </c>
      <c r="G518" t="n">
        <v>18.2</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46060</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45173-2024</t>
        </is>
      </c>
      <c r="B520" s="1" t="n">
        <v>45575.65721064815</v>
      </c>
      <c r="C520" s="1" t="n">
        <v>46060</v>
      </c>
      <c r="D520" t="inlineStr">
        <is>
          <t>ÖREBRO LÄN</t>
        </is>
      </c>
      <c r="E520" t="inlineStr">
        <is>
          <t>LINDESBERG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48265-2021</t>
        </is>
      </c>
      <c r="B521" s="1" t="n">
        <v>44449</v>
      </c>
      <c r="C521" s="1" t="n">
        <v>46060</v>
      </c>
      <c r="D521" t="inlineStr">
        <is>
          <t>ÖREBRO LÄN</t>
        </is>
      </c>
      <c r="E521" t="inlineStr">
        <is>
          <t>LINDESBERG</t>
        </is>
      </c>
      <c r="G521" t="n">
        <v>23.7</v>
      </c>
      <c r="H521" t="n">
        <v>0</v>
      </c>
      <c r="I521" t="n">
        <v>0</v>
      </c>
      <c r="J521" t="n">
        <v>0</v>
      </c>
      <c r="K521" t="n">
        <v>0</v>
      </c>
      <c r="L521" t="n">
        <v>0</v>
      </c>
      <c r="M521" t="n">
        <v>0</v>
      </c>
      <c r="N521" t="n">
        <v>0</v>
      </c>
      <c r="O521" t="n">
        <v>0</v>
      </c>
      <c r="P521" t="n">
        <v>0</v>
      </c>
      <c r="Q521" t="n">
        <v>0</v>
      </c>
      <c r="R521" s="2" t="inlineStr"/>
    </row>
    <row r="522" ht="15" customHeight="1">
      <c r="A522" t="inlineStr">
        <is>
          <t>A 52730-2025</t>
        </is>
      </c>
      <c r="B522" s="1" t="n">
        <v>45957.36386574074</v>
      </c>
      <c r="C522" s="1" t="n">
        <v>46060</v>
      </c>
      <c r="D522" t="inlineStr">
        <is>
          <t>ÖREBRO LÄN</t>
        </is>
      </c>
      <c r="E522" t="inlineStr">
        <is>
          <t>LINDESBERG</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67016-2021</t>
        </is>
      </c>
      <c r="B523" s="1" t="n">
        <v>44522</v>
      </c>
      <c r="C523" s="1" t="n">
        <v>46060</v>
      </c>
      <c r="D523" t="inlineStr">
        <is>
          <t>ÖREBRO LÄN</t>
        </is>
      </c>
      <c r="E523" t="inlineStr">
        <is>
          <t>LINDESBERG</t>
        </is>
      </c>
      <c r="G523" t="n">
        <v>8</v>
      </c>
      <c r="H523" t="n">
        <v>0</v>
      </c>
      <c r="I523" t="n">
        <v>0</v>
      </c>
      <c r="J523" t="n">
        <v>0</v>
      </c>
      <c r="K523" t="n">
        <v>0</v>
      </c>
      <c r="L523" t="n">
        <v>0</v>
      </c>
      <c r="M523" t="n">
        <v>0</v>
      </c>
      <c r="N523" t="n">
        <v>0</v>
      </c>
      <c r="O523" t="n">
        <v>0</v>
      </c>
      <c r="P523" t="n">
        <v>0</v>
      </c>
      <c r="Q523" t="n">
        <v>0</v>
      </c>
      <c r="R523" s="2" t="inlineStr"/>
    </row>
    <row r="524" ht="15" customHeight="1">
      <c r="A524" t="inlineStr">
        <is>
          <t>A 30512-2025</t>
        </is>
      </c>
      <c r="B524" s="1" t="n">
        <v>45831</v>
      </c>
      <c r="C524" s="1" t="n">
        <v>46060</v>
      </c>
      <c r="D524" t="inlineStr">
        <is>
          <t>ÖREBRO LÄN</t>
        </is>
      </c>
      <c r="E524" t="inlineStr">
        <is>
          <t>LINDESBERG</t>
        </is>
      </c>
      <c r="G524" t="n">
        <v>4.5</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46060</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7026-2024</t>
        </is>
      </c>
      <c r="B526" s="1" t="n">
        <v>45343.58587962963</v>
      </c>
      <c r="C526" s="1" t="n">
        <v>46060</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36574-2025</t>
        </is>
      </c>
      <c r="B527" s="1" t="n">
        <v>45870</v>
      </c>
      <c r="C527" s="1" t="n">
        <v>46060</v>
      </c>
      <c r="D527" t="inlineStr">
        <is>
          <t>ÖREBRO LÄN</t>
        </is>
      </c>
      <c r="E527" t="inlineStr">
        <is>
          <t>LINDESBERG</t>
        </is>
      </c>
      <c r="G527" t="n">
        <v>4</v>
      </c>
      <c r="H527" t="n">
        <v>0</v>
      </c>
      <c r="I527" t="n">
        <v>0</v>
      </c>
      <c r="J527" t="n">
        <v>0</v>
      </c>
      <c r="K527" t="n">
        <v>0</v>
      </c>
      <c r="L527" t="n">
        <v>0</v>
      </c>
      <c r="M527" t="n">
        <v>0</v>
      </c>
      <c r="N527" t="n">
        <v>0</v>
      </c>
      <c r="O527" t="n">
        <v>0</v>
      </c>
      <c r="P527" t="n">
        <v>0</v>
      </c>
      <c r="Q527" t="n">
        <v>0</v>
      </c>
      <c r="R527" s="2" t="inlineStr"/>
    </row>
    <row r="528" ht="15" customHeight="1">
      <c r="A528" t="inlineStr">
        <is>
          <t>A 4013-2025</t>
        </is>
      </c>
      <c r="B528" s="1" t="n">
        <v>45684.5790162037</v>
      </c>
      <c r="C528" s="1" t="n">
        <v>46060</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33978-2023</t>
        </is>
      </c>
      <c r="B529" s="1" t="n">
        <v>45134.68158564815</v>
      </c>
      <c r="C529" s="1" t="n">
        <v>46060</v>
      </c>
      <c r="D529" t="inlineStr">
        <is>
          <t>ÖREBRO LÄN</t>
        </is>
      </c>
      <c r="E529" t="inlineStr">
        <is>
          <t>LINDESBERG</t>
        </is>
      </c>
      <c r="G529" t="n">
        <v>4.1</v>
      </c>
      <c r="H529" t="n">
        <v>0</v>
      </c>
      <c r="I529" t="n">
        <v>0</v>
      </c>
      <c r="J529" t="n">
        <v>0</v>
      </c>
      <c r="K529" t="n">
        <v>0</v>
      </c>
      <c r="L529" t="n">
        <v>0</v>
      </c>
      <c r="M529" t="n">
        <v>0</v>
      </c>
      <c r="N529" t="n">
        <v>0</v>
      </c>
      <c r="O529" t="n">
        <v>0</v>
      </c>
      <c r="P529" t="n">
        <v>0</v>
      </c>
      <c r="Q529" t="n">
        <v>0</v>
      </c>
      <c r="R529" s="2" t="inlineStr"/>
    </row>
    <row r="530" ht="15" customHeight="1">
      <c r="A530" t="inlineStr">
        <is>
          <t>A 36577-2025</t>
        </is>
      </c>
      <c r="B530" s="1" t="n">
        <v>45870</v>
      </c>
      <c r="C530" s="1" t="n">
        <v>46060</v>
      </c>
      <c r="D530" t="inlineStr">
        <is>
          <t>ÖREBRO LÄN</t>
        </is>
      </c>
      <c r="E530" t="inlineStr">
        <is>
          <t>LINDESBERG</t>
        </is>
      </c>
      <c r="G530" t="n">
        <v>3.7</v>
      </c>
      <c r="H530" t="n">
        <v>0</v>
      </c>
      <c r="I530" t="n">
        <v>0</v>
      </c>
      <c r="J530" t="n">
        <v>0</v>
      </c>
      <c r="K530" t="n">
        <v>0</v>
      </c>
      <c r="L530" t="n">
        <v>0</v>
      </c>
      <c r="M530" t="n">
        <v>0</v>
      </c>
      <c r="N530" t="n">
        <v>0</v>
      </c>
      <c r="O530" t="n">
        <v>0</v>
      </c>
      <c r="P530" t="n">
        <v>0</v>
      </c>
      <c r="Q530" t="n">
        <v>0</v>
      </c>
      <c r="R530" s="2" t="inlineStr"/>
    </row>
    <row r="531" ht="15" customHeight="1">
      <c r="A531" t="inlineStr">
        <is>
          <t>A 52401-2025</t>
        </is>
      </c>
      <c r="B531" s="1" t="n">
        <v>45954.35075231481</v>
      </c>
      <c r="C531" s="1" t="n">
        <v>46060</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52402-2025</t>
        </is>
      </c>
      <c r="B532" s="1" t="n">
        <v>45954.35387731482</v>
      </c>
      <c r="C532" s="1" t="n">
        <v>46060</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55272-2023</t>
        </is>
      </c>
      <c r="B533" s="1" t="n">
        <v>45237.67819444444</v>
      </c>
      <c r="C533" s="1" t="n">
        <v>46060</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12307-2025</t>
        </is>
      </c>
      <c r="B534" s="1" t="n">
        <v>45729.76231481481</v>
      </c>
      <c r="C534" s="1" t="n">
        <v>46060</v>
      </c>
      <c r="D534" t="inlineStr">
        <is>
          <t>ÖREBRO LÄN</t>
        </is>
      </c>
      <c r="E534" t="inlineStr">
        <is>
          <t>LINDESBERG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15852-2025</t>
        </is>
      </c>
      <c r="B535" s="1" t="n">
        <v>45749</v>
      </c>
      <c r="C535" s="1" t="n">
        <v>46060</v>
      </c>
      <c r="D535" t="inlineStr">
        <is>
          <t>ÖREBRO LÄN</t>
        </is>
      </c>
      <c r="E535" t="inlineStr">
        <is>
          <t>LINDESBERG</t>
        </is>
      </c>
      <c r="G535" t="n">
        <v>8.9</v>
      </c>
      <c r="H535" t="n">
        <v>0</v>
      </c>
      <c r="I535" t="n">
        <v>0</v>
      </c>
      <c r="J535" t="n">
        <v>0</v>
      </c>
      <c r="K535" t="n">
        <v>0</v>
      </c>
      <c r="L535" t="n">
        <v>0</v>
      </c>
      <c r="M535" t="n">
        <v>0</v>
      </c>
      <c r="N535" t="n">
        <v>0</v>
      </c>
      <c r="O535" t="n">
        <v>0</v>
      </c>
      <c r="P535" t="n">
        <v>0</v>
      </c>
      <c r="Q535" t="n">
        <v>0</v>
      </c>
      <c r="R535" s="2" t="inlineStr"/>
    </row>
    <row r="536" ht="15" customHeight="1">
      <c r="A536" t="inlineStr">
        <is>
          <t>A 53288-2025</t>
        </is>
      </c>
      <c r="B536" s="1" t="n">
        <v>45958.79287037037</v>
      </c>
      <c r="C536" s="1" t="n">
        <v>46060</v>
      </c>
      <c r="D536" t="inlineStr">
        <is>
          <t>ÖREBRO LÄN</t>
        </is>
      </c>
      <c r="E536" t="inlineStr">
        <is>
          <t>LINDESBERG</t>
        </is>
      </c>
      <c r="G536" t="n">
        <v>2.3</v>
      </c>
      <c r="H536" t="n">
        <v>0</v>
      </c>
      <c r="I536" t="n">
        <v>0</v>
      </c>
      <c r="J536" t="n">
        <v>0</v>
      </c>
      <c r="K536" t="n">
        <v>0</v>
      </c>
      <c r="L536" t="n">
        <v>0</v>
      </c>
      <c r="M536" t="n">
        <v>0</v>
      </c>
      <c r="N536" t="n">
        <v>0</v>
      </c>
      <c r="O536" t="n">
        <v>0</v>
      </c>
      <c r="P536" t="n">
        <v>0</v>
      </c>
      <c r="Q536" t="n">
        <v>0</v>
      </c>
      <c r="R536" s="2" t="inlineStr"/>
    </row>
    <row r="537" ht="15" customHeight="1">
      <c r="A537" t="inlineStr">
        <is>
          <t>A 8834-2023</t>
        </is>
      </c>
      <c r="B537" s="1" t="n">
        <v>44978</v>
      </c>
      <c r="C537" s="1" t="n">
        <v>46060</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53187-2025</t>
        </is>
      </c>
      <c r="B538" s="1" t="n">
        <v>45958.55577546296</v>
      </c>
      <c r="C538" s="1" t="n">
        <v>46060</v>
      </c>
      <c r="D538" t="inlineStr">
        <is>
          <t>ÖREBRO LÄN</t>
        </is>
      </c>
      <c r="E538" t="inlineStr">
        <is>
          <t>LINDESBERG</t>
        </is>
      </c>
      <c r="F538" t="inlineStr">
        <is>
          <t>Kommuner</t>
        </is>
      </c>
      <c r="G538" t="n">
        <v>2.7</v>
      </c>
      <c r="H538" t="n">
        <v>0</v>
      </c>
      <c r="I538" t="n">
        <v>0</v>
      </c>
      <c r="J538" t="n">
        <v>0</v>
      </c>
      <c r="K538" t="n">
        <v>0</v>
      </c>
      <c r="L538" t="n">
        <v>0</v>
      </c>
      <c r="M538" t="n">
        <v>0</v>
      </c>
      <c r="N538" t="n">
        <v>0</v>
      </c>
      <c r="O538" t="n">
        <v>0</v>
      </c>
      <c r="P538" t="n">
        <v>0</v>
      </c>
      <c r="Q538" t="n">
        <v>0</v>
      </c>
      <c r="R538" s="2" t="inlineStr"/>
    </row>
    <row r="539" ht="15" customHeight="1">
      <c r="A539" t="inlineStr">
        <is>
          <t>A 36579-2025</t>
        </is>
      </c>
      <c r="B539" s="1" t="n">
        <v>45870</v>
      </c>
      <c r="C539" s="1" t="n">
        <v>46060</v>
      </c>
      <c r="D539" t="inlineStr">
        <is>
          <t>ÖREBRO LÄN</t>
        </is>
      </c>
      <c r="E539" t="inlineStr">
        <is>
          <t>LINDESBERG</t>
        </is>
      </c>
      <c r="G539" t="n">
        <v>6</v>
      </c>
      <c r="H539" t="n">
        <v>0</v>
      </c>
      <c r="I539" t="n">
        <v>0</v>
      </c>
      <c r="J539" t="n">
        <v>0</v>
      </c>
      <c r="K539" t="n">
        <v>0</v>
      </c>
      <c r="L539" t="n">
        <v>0</v>
      </c>
      <c r="M539" t="n">
        <v>0</v>
      </c>
      <c r="N539" t="n">
        <v>0</v>
      </c>
      <c r="O539" t="n">
        <v>0</v>
      </c>
      <c r="P539" t="n">
        <v>0</v>
      </c>
      <c r="Q539" t="n">
        <v>0</v>
      </c>
      <c r="R539" s="2" t="inlineStr"/>
    </row>
    <row r="540" ht="15" customHeight="1">
      <c r="A540" t="inlineStr">
        <is>
          <t>A 51071-2022</t>
        </is>
      </c>
      <c r="B540" s="1" t="n">
        <v>44868.36924768519</v>
      </c>
      <c r="C540" s="1" t="n">
        <v>46060</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60926-2024</t>
        </is>
      </c>
      <c r="B541" s="1" t="n">
        <v>45645</v>
      </c>
      <c r="C541" s="1" t="n">
        <v>46060</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1383-2025</t>
        </is>
      </c>
      <c r="B542" s="1" t="n">
        <v>45667</v>
      </c>
      <c r="C542" s="1" t="n">
        <v>46060</v>
      </c>
      <c r="D542" t="inlineStr">
        <is>
          <t>ÖREBRO LÄN</t>
        </is>
      </c>
      <c r="E542" t="inlineStr">
        <is>
          <t>LINDESBERG</t>
        </is>
      </c>
      <c r="G542" t="n">
        <v>5</v>
      </c>
      <c r="H542" t="n">
        <v>0</v>
      </c>
      <c r="I542" t="n">
        <v>0</v>
      </c>
      <c r="J542" t="n">
        <v>0</v>
      </c>
      <c r="K542" t="n">
        <v>0</v>
      </c>
      <c r="L542" t="n">
        <v>0</v>
      </c>
      <c r="M542" t="n">
        <v>0</v>
      </c>
      <c r="N542" t="n">
        <v>0</v>
      </c>
      <c r="O542" t="n">
        <v>0</v>
      </c>
      <c r="P542" t="n">
        <v>0</v>
      </c>
      <c r="Q542" t="n">
        <v>0</v>
      </c>
      <c r="R542" s="2" t="inlineStr"/>
    </row>
    <row r="543" ht="15" customHeight="1">
      <c r="A543" t="inlineStr">
        <is>
          <t>A 35229-2024</t>
        </is>
      </c>
      <c r="B543" s="1" t="n">
        <v>45530</v>
      </c>
      <c r="C543" s="1" t="n">
        <v>46060</v>
      </c>
      <c r="D543" t="inlineStr">
        <is>
          <t>ÖREBRO LÄN</t>
        </is>
      </c>
      <c r="E543" t="inlineStr">
        <is>
          <t>LINDESBERG</t>
        </is>
      </c>
      <c r="G543" t="n">
        <v>0.8</v>
      </c>
      <c r="H543" t="n">
        <v>0</v>
      </c>
      <c r="I543" t="n">
        <v>0</v>
      </c>
      <c r="J543" t="n">
        <v>0</v>
      </c>
      <c r="K543" t="n">
        <v>0</v>
      </c>
      <c r="L543" t="n">
        <v>0</v>
      </c>
      <c r="M543" t="n">
        <v>0</v>
      </c>
      <c r="N543" t="n">
        <v>0</v>
      </c>
      <c r="O543" t="n">
        <v>0</v>
      </c>
      <c r="P543" t="n">
        <v>0</v>
      </c>
      <c r="Q543" t="n">
        <v>0</v>
      </c>
      <c r="R543" s="2" t="inlineStr"/>
    </row>
    <row r="544" ht="15" customHeight="1">
      <c r="A544" t="inlineStr">
        <is>
          <t>A 50285-2022</t>
        </is>
      </c>
      <c r="B544" s="1" t="n">
        <v>44865.87770833333</v>
      </c>
      <c r="C544" s="1" t="n">
        <v>46060</v>
      </c>
      <c r="D544" t="inlineStr">
        <is>
          <t>ÖREBRO LÄN</t>
        </is>
      </c>
      <c r="E544" t="inlineStr">
        <is>
          <t>LINDESBERG</t>
        </is>
      </c>
      <c r="G544" t="n">
        <v>2.5</v>
      </c>
      <c r="H544" t="n">
        <v>0</v>
      </c>
      <c r="I544" t="n">
        <v>0</v>
      </c>
      <c r="J544" t="n">
        <v>0</v>
      </c>
      <c r="K544" t="n">
        <v>0</v>
      </c>
      <c r="L544" t="n">
        <v>0</v>
      </c>
      <c r="M544" t="n">
        <v>0</v>
      </c>
      <c r="N544" t="n">
        <v>0</v>
      </c>
      <c r="O544" t="n">
        <v>0</v>
      </c>
      <c r="P544" t="n">
        <v>0</v>
      </c>
      <c r="Q544" t="n">
        <v>0</v>
      </c>
      <c r="R544" s="2" t="inlineStr"/>
    </row>
    <row r="545" ht="15" customHeight="1">
      <c r="A545" t="inlineStr">
        <is>
          <t>A 10822-2023</t>
        </is>
      </c>
      <c r="B545" s="1" t="n">
        <v>44990</v>
      </c>
      <c r="C545" s="1" t="n">
        <v>46060</v>
      </c>
      <c r="D545" t="inlineStr">
        <is>
          <t>ÖREBRO LÄN</t>
        </is>
      </c>
      <c r="E545" t="inlineStr">
        <is>
          <t>LINDESBERG</t>
        </is>
      </c>
      <c r="G545" t="n">
        <v>1.3</v>
      </c>
      <c r="H545" t="n">
        <v>0</v>
      </c>
      <c r="I545" t="n">
        <v>0</v>
      </c>
      <c r="J545" t="n">
        <v>0</v>
      </c>
      <c r="K545" t="n">
        <v>0</v>
      </c>
      <c r="L545" t="n">
        <v>0</v>
      </c>
      <c r="M545" t="n">
        <v>0</v>
      </c>
      <c r="N545" t="n">
        <v>0</v>
      </c>
      <c r="O545" t="n">
        <v>0</v>
      </c>
      <c r="P545" t="n">
        <v>0</v>
      </c>
      <c r="Q545" t="n">
        <v>0</v>
      </c>
      <c r="R545" s="2" t="inlineStr"/>
    </row>
    <row r="546" ht="15" customHeight="1">
      <c r="A546" t="inlineStr">
        <is>
          <t>A 36859-2025</t>
        </is>
      </c>
      <c r="B546" s="1" t="n">
        <v>45874.40503472222</v>
      </c>
      <c r="C546" s="1" t="n">
        <v>46060</v>
      </c>
      <c r="D546" t="inlineStr">
        <is>
          <t>ÖREBRO LÄN</t>
        </is>
      </c>
      <c r="E546" t="inlineStr">
        <is>
          <t>LINDESBERG</t>
        </is>
      </c>
      <c r="F546" t="inlineStr">
        <is>
          <t>Övriga Aktiebolag</t>
        </is>
      </c>
      <c r="G546" t="n">
        <v>1.4</v>
      </c>
      <c r="H546" t="n">
        <v>0</v>
      </c>
      <c r="I546" t="n">
        <v>0</v>
      </c>
      <c r="J546" t="n">
        <v>0</v>
      </c>
      <c r="K546" t="n">
        <v>0</v>
      </c>
      <c r="L546" t="n">
        <v>0</v>
      </c>
      <c r="M546" t="n">
        <v>0</v>
      </c>
      <c r="N546" t="n">
        <v>0</v>
      </c>
      <c r="O546" t="n">
        <v>0</v>
      </c>
      <c r="P546" t="n">
        <v>0</v>
      </c>
      <c r="Q546" t="n">
        <v>0</v>
      </c>
      <c r="R546" s="2" t="inlineStr"/>
    </row>
    <row r="547" ht="15" customHeight="1">
      <c r="A547" t="inlineStr">
        <is>
          <t>A 3233-2023</t>
        </is>
      </c>
      <c r="B547" s="1" t="n">
        <v>44946</v>
      </c>
      <c r="C547" s="1" t="n">
        <v>46060</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15325-2024</t>
        </is>
      </c>
      <c r="B548" s="1" t="n">
        <v>45400.6709837963</v>
      </c>
      <c r="C548" s="1" t="n">
        <v>46060</v>
      </c>
      <c r="D548" t="inlineStr">
        <is>
          <t>ÖREBRO LÄN</t>
        </is>
      </c>
      <c r="E548" t="inlineStr">
        <is>
          <t>LINDESBERG</t>
        </is>
      </c>
      <c r="F548" t="inlineStr">
        <is>
          <t>Sveaskog</t>
        </is>
      </c>
      <c r="G548" t="n">
        <v>0.3</v>
      </c>
      <c r="H548" t="n">
        <v>0</v>
      </c>
      <c r="I548" t="n">
        <v>0</v>
      </c>
      <c r="J548" t="n">
        <v>0</v>
      </c>
      <c r="K548" t="n">
        <v>0</v>
      </c>
      <c r="L548" t="n">
        <v>0</v>
      </c>
      <c r="M548" t="n">
        <v>0</v>
      </c>
      <c r="N548" t="n">
        <v>0</v>
      </c>
      <c r="O548" t="n">
        <v>0</v>
      </c>
      <c r="P548" t="n">
        <v>0</v>
      </c>
      <c r="Q548" t="n">
        <v>0</v>
      </c>
      <c r="R548" s="2" t="inlineStr"/>
    </row>
    <row r="549" ht="15" customHeight="1">
      <c r="A549" t="inlineStr">
        <is>
          <t>A 40970-2023</t>
        </is>
      </c>
      <c r="B549" s="1" t="n">
        <v>45173</v>
      </c>
      <c r="C549" s="1" t="n">
        <v>46060</v>
      </c>
      <c r="D549" t="inlineStr">
        <is>
          <t>ÖREBRO LÄN</t>
        </is>
      </c>
      <c r="E549" t="inlineStr">
        <is>
          <t>LINDESBERG</t>
        </is>
      </c>
      <c r="G549" t="n">
        <v>2.1</v>
      </c>
      <c r="H549" t="n">
        <v>0</v>
      </c>
      <c r="I549" t="n">
        <v>0</v>
      </c>
      <c r="J549" t="n">
        <v>0</v>
      </c>
      <c r="K549" t="n">
        <v>0</v>
      </c>
      <c r="L549" t="n">
        <v>0</v>
      </c>
      <c r="M549" t="n">
        <v>0</v>
      </c>
      <c r="N549" t="n">
        <v>0</v>
      </c>
      <c r="O549" t="n">
        <v>0</v>
      </c>
      <c r="P549" t="n">
        <v>0</v>
      </c>
      <c r="Q549" t="n">
        <v>0</v>
      </c>
      <c r="R549" s="2" t="inlineStr"/>
    </row>
    <row r="550" ht="15" customHeight="1">
      <c r="A550" t="inlineStr">
        <is>
          <t>A 37497-2025</t>
        </is>
      </c>
      <c r="B550" s="1" t="n">
        <v>45877.64431712963</v>
      </c>
      <c r="C550" s="1" t="n">
        <v>46060</v>
      </c>
      <c r="D550" t="inlineStr">
        <is>
          <t>ÖREBRO LÄN</t>
        </is>
      </c>
      <c r="E550" t="inlineStr">
        <is>
          <t>LINDESBERG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37490-2025</t>
        </is>
      </c>
      <c r="B551" s="1" t="n">
        <v>45877.63989583333</v>
      </c>
      <c r="C551" s="1" t="n">
        <v>46060</v>
      </c>
      <c r="D551" t="inlineStr">
        <is>
          <t>ÖREBRO LÄN</t>
        </is>
      </c>
      <c r="E551" t="inlineStr">
        <is>
          <t>LINDESBERG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37491-2025</t>
        </is>
      </c>
      <c r="B552" s="1" t="n">
        <v>45877.64144675926</v>
      </c>
      <c r="C552" s="1" t="n">
        <v>46060</v>
      </c>
      <c r="D552" t="inlineStr">
        <is>
          <t>ÖREBRO LÄN</t>
        </is>
      </c>
      <c r="E552" t="inlineStr">
        <is>
          <t>LINDESBERG</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37499-2025</t>
        </is>
      </c>
      <c r="B553" s="1" t="n">
        <v>45877.64605324074</v>
      </c>
      <c r="C553" s="1" t="n">
        <v>46060</v>
      </c>
      <c r="D553" t="inlineStr">
        <is>
          <t>ÖREBRO LÄN</t>
        </is>
      </c>
      <c r="E553" t="inlineStr">
        <is>
          <t>LINDESBERG</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37503-2025</t>
        </is>
      </c>
      <c r="B554" s="1" t="n">
        <v>45877.65075231482</v>
      </c>
      <c r="C554" s="1" t="n">
        <v>46060</v>
      </c>
      <c r="D554" t="inlineStr">
        <is>
          <t>ÖREBRO LÄN</t>
        </is>
      </c>
      <c r="E554" t="inlineStr">
        <is>
          <t>LINDESBERG</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37501-2025</t>
        </is>
      </c>
      <c r="B555" s="1" t="n">
        <v>45877.64847222222</v>
      </c>
      <c r="C555" s="1" t="n">
        <v>46060</v>
      </c>
      <c r="D555" t="inlineStr">
        <is>
          <t>ÖREBRO LÄN</t>
        </is>
      </c>
      <c r="E555" t="inlineStr">
        <is>
          <t>LINDESBERG</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34093-2022</t>
        </is>
      </c>
      <c r="B556" s="1" t="n">
        <v>44791</v>
      </c>
      <c r="C556" s="1" t="n">
        <v>46060</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58662-2022</t>
        </is>
      </c>
      <c r="B557" s="1" t="n">
        <v>44902</v>
      </c>
      <c r="C557" s="1" t="n">
        <v>46060</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37500-2025</t>
        </is>
      </c>
      <c r="B558" s="1" t="n">
        <v>45877.64776620371</v>
      </c>
      <c r="C558" s="1" t="n">
        <v>46060</v>
      </c>
      <c r="D558" t="inlineStr">
        <is>
          <t>ÖREBRO LÄN</t>
        </is>
      </c>
      <c r="E558" t="inlineStr">
        <is>
          <t>LINDESBERG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37301-2025</t>
        </is>
      </c>
      <c r="B559" s="1" t="n">
        <v>45876.59166666667</v>
      </c>
      <c r="C559" s="1" t="n">
        <v>46060</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37492-2025</t>
        </is>
      </c>
      <c r="B560" s="1" t="n">
        <v>45877.64230324074</v>
      </c>
      <c r="C560" s="1" t="n">
        <v>46060</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53721-2025</t>
        </is>
      </c>
      <c r="B561" s="1" t="n">
        <v>45960</v>
      </c>
      <c r="C561" s="1" t="n">
        <v>46060</v>
      </c>
      <c r="D561" t="inlineStr">
        <is>
          <t>ÖREBRO LÄN</t>
        </is>
      </c>
      <c r="E561" t="inlineStr">
        <is>
          <t>LINDESBERG</t>
        </is>
      </c>
      <c r="G561" t="n">
        <v>3.3</v>
      </c>
      <c r="H561" t="n">
        <v>0</v>
      </c>
      <c r="I561" t="n">
        <v>0</v>
      </c>
      <c r="J561" t="n">
        <v>0</v>
      </c>
      <c r="K561" t="n">
        <v>0</v>
      </c>
      <c r="L561" t="n">
        <v>0</v>
      </c>
      <c r="M561" t="n">
        <v>0</v>
      </c>
      <c r="N561" t="n">
        <v>0</v>
      </c>
      <c r="O561" t="n">
        <v>0</v>
      </c>
      <c r="P561" t="n">
        <v>0</v>
      </c>
      <c r="Q561" t="n">
        <v>0</v>
      </c>
      <c r="R561" s="2" t="inlineStr"/>
    </row>
    <row r="562" ht="15" customHeight="1">
      <c r="A562" t="inlineStr">
        <is>
          <t>A 53723-2025</t>
        </is>
      </c>
      <c r="B562" s="1" t="n">
        <v>45960.62986111111</v>
      </c>
      <c r="C562" s="1" t="n">
        <v>46060</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37837-2025</t>
        </is>
      </c>
      <c r="B563" s="1" t="n">
        <v>45881.42791666667</v>
      </c>
      <c r="C563" s="1" t="n">
        <v>46060</v>
      </c>
      <c r="D563" t="inlineStr">
        <is>
          <t>ÖREBRO LÄN</t>
        </is>
      </c>
      <c r="E563" t="inlineStr">
        <is>
          <t>LINDESBERG</t>
        </is>
      </c>
      <c r="G563" t="n">
        <v>1.3</v>
      </c>
      <c r="H563" t="n">
        <v>0</v>
      </c>
      <c r="I563" t="n">
        <v>0</v>
      </c>
      <c r="J563" t="n">
        <v>0</v>
      </c>
      <c r="K563" t="n">
        <v>0</v>
      </c>
      <c r="L563" t="n">
        <v>0</v>
      </c>
      <c r="M563" t="n">
        <v>0</v>
      </c>
      <c r="N563" t="n">
        <v>0</v>
      </c>
      <c r="O563" t="n">
        <v>0</v>
      </c>
      <c r="P563" t="n">
        <v>0</v>
      </c>
      <c r="Q563" t="n">
        <v>0</v>
      </c>
      <c r="R563" s="2" t="inlineStr"/>
    </row>
    <row r="564" ht="15" customHeight="1">
      <c r="A564" t="inlineStr">
        <is>
          <t>A 37602-2025</t>
        </is>
      </c>
      <c r="B564" s="1" t="n">
        <v>45880</v>
      </c>
      <c r="C564" s="1" t="n">
        <v>46060</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37625-2025</t>
        </is>
      </c>
      <c r="B565" s="1" t="n">
        <v>45880.46056712963</v>
      </c>
      <c r="C565" s="1" t="n">
        <v>46060</v>
      </c>
      <c r="D565" t="inlineStr">
        <is>
          <t>ÖREBRO LÄN</t>
        </is>
      </c>
      <c r="E565" t="inlineStr">
        <is>
          <t>LINDESBERG</t>
        </is>
      </c>
      <c r="G565" t="n">
        <v>12.5</v>
      </c>
      <c r="H565" t="n">
        <v>0</v>
      </c>
      <c r="I565" t="n">
        <v>0</v>
      </c>
      <c r="J565" t="n">
        <v>0</v>
      </c>
      <c r="K565" t="n">
        <v>0</v>
      </c>
      <c r="L565" t="n">
        <v>0</v>
      </c>
      <c r="M565" t="n">
        <v>0</v>
      </c>
      <c r="N565" t="n">
        <v>0</v>
      </c>
      <c r="O565" t="n">
        <v>0</v>
      </c>
      <c r="P565" t="n">
        <v>0</v>
      </c>
      <c r="Q565" t="n">
        <v>0</v>
      </c>
      <c r="R565" s="2" t="inlineStr"/>
    </row>
    <row r="566" ht="15" customHeight="1">
      <c r="A566" t="inlineStr">
        <is>
          <t>A 15060-2024</t>
        </is>
      </c>
      <c r="B566" s="1" t="n">
        <v>45399.56596064815</v>
      </c>
      <c r="C566" s="1" t="n">
        <v>46060</v>
      </c>
      <c r="D566" t="inlineStr">
        <is>
          <t>ÖREBRO LÄN</t>
        </is>
      </c>
      <c r="E566" t="inlineStr">
        <is>
          <t>LINDESBERG</t>
        </is>
      </c>
      <c r="F566" t="inlineStr">
        <is>
          <t>Sveaskog</t>
        </is>
      </c>
      <c r="G566" t="n">
        <v>3.8</v>
      </c>
      <c r="H566" t="n">
        <v>0</v>
      </c>
      <c r="I566" t="n">
        <v>0</v>
      </c>
      <c r="J566" t="n">
        <v>0</v>
      </c>
      <c r="K566" t="n">
        <v>0</v>
      </c>
      <c r="L566" t="n">
        <v>0</v>
      </c>
      <c r="M566" t="n">
        <v>0</v>
      </c>
      <c r="N566" t="n">
        <v>0</v>
      </c>
      <c r="O566" t="n">
        <v>0</v>
      </c>
      <c r="P566" t="n">
        <v>0</v>
      </c>
      <c r="Q566" t="n">
        <v>0</v>
      </c>
      <c r="R566" s="2" t="inlineStr"/>
    </row>
    <row r="567" ht="15" customHeight="1">
      <c r="A567" t="inlineStr">
        <is>
          <t>A 37552-2025</t>
        </is>
      </c>
      <c r="B567" s="1" t="n">
        <v>45880.28673611111</v>
      </c>
      <c r="C567" s="1" t="n">
        <v>46060</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54249-2025</t>
        </is>
      </c>
      <c r="B568" s="1" t="n">
        <v>45964.64599537037</v>
      </c>
      <c r="C568" s="1" t="n">
        <v>46060</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54070-2025</t>
        </is>
      </c>
      <c r="B569" s="1" t="n">
        <v>45964.34680555556</v>
      </c>
      <c r="C569" s="1" t="n">
        <v>46060</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28031-2023</t>
        </is>
      </c>
      <c r="B570" s="1" t="n">
        <v>45099.27354166667</v>
      </c>
      <c r="C570" s="1" t="n">
        <v>46060</v>
      </c>
      <c r="D570" t="inlineStr">
        <is>
          <t>ÖREBRO LÄN</t>
        </is>
      </c>
      <c r="E570" t="inlineStr">
        <is>
          <t>LINDESBERG</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4310-2025</t>
        </is>
      </c>
      <c r="B571" s="1" t="n">
        <v>45685</v>
      </c>
      <c r="C571" s="1" t="n">
        <v>46060</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19026-2021</t>
        </is>
      </c>
      <c r="B572" s="1" t="n">
        <v>44308</v>
      </c>
      <c r="C572" s="1" t="n">
        <v>46060</v>
      </c>
      <c r="D572" t="inlineStr">
        <is>
          <t>ÖREBRO LÄN</t>
        </is>
      </c>
      <c r="E572" t="inlineStr">
        <is>
          <t>LINDESBERG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37935-2025</t>
        </is>
      </c>
      <c r="B573" s="1" t="n">
        <v>45881.59550925926</v>
      </c>
      <c r="C573" s="1" t="n">
        <v>46060</v>
      </c>
      <c r="D573" t="inlineStr">
        <is>
          <t>ÖREBRO LÄN</t>
        </is>
      </c>
      <c r="E573" t="inlineStr">
        <is>
          <t>LINDESBERG</t>
        </is>
      </c>
      <c r="G573" t="n">
        <v>5.1</v>
      </c>
      <c r="H573" t="n">
        <v>0</v>
      </c>
      <c r="I573" t="n">
        <v>0</v>
      </c>
      <c r="J573" t="n">
        <v>0</v>
      </c>
      <c r="K573" t="n">
        <v>0</v>
      </c>
      <c r="L573" t="n">
        <v>0</v>
      </c>
      <c r="M573" t="n">
        <v>0</v>
      </c>
      <c r="N573" t="n">
        <v>0</v>
      </c>
      <c r="O573" t="n">
        <v>0</v>
      </c>
      <c r="P573" t="n">
        <v>0</v>
      </c>
      <c r="Q573" t="n">
        <v>0</v>
      </c>
      <c r="R573" s="2" t="inlineStr"/>
    </row>
    <row r="574" ht="15" customHeight="1">
      <c r="A574" t="inlineStr">
        <is>
          <t>A 54072-2025</t>
        </is>
      </c>
      <c r="B574" s="1" t="n">
        <v>45964.3550925926</v>
      </c>
      <c r="C574" s="1" t="n">
        <v>46060</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54250-2025</t>
        </is>
      </c>
      <c r="B575" s="1" t="n">
        <v>45964.64709490741</v>
      </c>
      <c r="C575" s="1" t="n">
        <v>46060</v>
      </c>
      <c r="D575" t="inlineStr">
        <is>
          <t>ÖREBRO LÄN</t>
        </is>
      </c>
      <c r="E575" t="inlineStr">
        <is>
          <t>LINDESBERG</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54251-2025</t>
        </is>
      </c>
      <c r="B576" s="1" t="n">
        <v>45964.64778935185</v>
      </c>
      <c r="C576" s="1" t="n">
        <v>46060</v>
      </c>
      <c r="D576" t="inlineStr">
        <is>
          <t>ÖREBRO LÄN</t>
        </is>
      </c>
      <c r="E576" t="inlineStr">
        <is>
          <t>LINDESBERG</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37553-2025</t>
        </is>
      </c>
      <c r="B577" s="1" t="n">
        <v>45880.3172337963</v>
      </c>
      <c r="C577" s="1" t="n">
        <v>46060</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54240-2025</t>
        </is>
      </c>
      <c r="B578" s="1" t="n">
        <v>45964.62796296296</v>
      </c>
      <c r="C578" s="1" t="n">
        <v>46060</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47110-2024</t>
        </is>
      </c>
      <c r="B579" s="1" t="n">
        <v>45586.55451388889</v>
      </c>
      <c r="C579" s="1" t="n">
        <v>46060</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27440-2023</t>
        </is>
      </c>
      <c r="B580" s="1" t="n">
        <v>45097.39893518519</v>
      </c>
      <c r="C580" s="1" t="n">
        <v>46060</v>
      </c>
      <c r="D580" t="inlineStr">
        <is>
          <t>ÖREBRO LÄN</t>
        </is>
      </c>
      <c r="E580" t="inlineStr">
        <is>
          <t>LINDESBERG</t>
        </is>
      </c>
      <c r="G580" t="n">
        <v>6.6</v>
      </c>
      <c r="H580" t="n">
        <v>0</v>
      </c>
      <c r="I580" t="n">
        <v>0</v>
      </c>
      <c r="J580" t="n">
        <v>0</v>
      </c>
      <c r="K580" t="n">
        <v>0</v>
      </c>
      <c r="L580" t="n">
        <v>0</v>
      </c>
      <c r="M580" t="n">
        <v>0</v>
      </c>
      <c r="N580" t="n">
        <v>0</v>
      </c>
      <c r="O580" t="n">
        <v>0</v>
      </c>
      <c r="P580" t="n">
        <v>0</v>
      </c>
      <c r="Q580" t="n">
        <v>0</v>
      </c>
      <c r="R580" s="2" t="inlineStr"/>
    </row>
    <row r="581" ht="15" customHeight="1">
      <c r="A581" t="inlineStr">
        <is>
          <t>A 55065-2025</t>
        </is>
      </c>
      <c r="B581" s="1" t="n">
        <v>45967.7096875</v>
      </c>
      <c r="C581" s="1" t="n">
        <v>46060</v>
      </c>
      <c r="D581" t="inlineStr">
        <is>
          <t>ÖREBRO LÄN</t>
        </is>
      </c>
      <c r="E581" t="inlineStr">
        <is>
          <t>LINDESBERG</t>
        </is>
      </c>
      <c r="G581" t="n">
        <v>3.5</v>
      </c>
      <c r="H581" t="n">
        <v>0</v>
      </c>
      <c r="I581" t="n">
        <v>0</v>
      </c>
      <c r="J581" t="n">
        <v>0</v>
      </c>
      <c r="K581" t="n">
        <v>0</v>
      </c>
      <c r="L581" t="n">
        <v>0</v>
      </c>
      <c r="M581" t="n">
        <v>0</v>
      </c>
      <c r="N581" t="n">
        <v>0</v>
      </c>
      <c r="O581" t="n">
        <v>0</v>
      </c>
      <c r="P581" t="n">
        <v>0</v>
      </c>
      <c r="Q581" t="n">
        <v>0</v>
      </c>
      <c r="R581" s="2" t="inlineStr"/>
    </row>
    <row r="582" ht="15" customHeight="1">
      <c r="A582" t="inlineStr">
        <is>
          <t>A 39137-2024</t>
        </is>
      </c>
      <c r="B582" s="1" t="n">
        <v>45548</v>
      </c>
      <c r="C582" s="1" t="n">
        <v>46060</v>
      </c>
      <c r="D582" t="inlineStr">
        <is>
          <t>ÖREBRO LÄN</t>
        </is>
      </c>
      <c r="E582" t="inlineStr">
        <is>
          <t>LINDESBERG</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39152-2024</t>
        </is>
      </c>
      <c r="B583" s="1" t="n">
        <v>45548</v>
      </c>
      <c r="C583" s="1" t="n">
        <v>46060</v>
      </c>
      <c r="D583" t="inlineStr">
        <is>
          <t>ÖREBRO LÄN</t>
        </is>
      </c>
      <c r="E583" t="inlineStr">
        <is>
          <t>LINDESBERG</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21245-2024</t>
        </is>
      </c>
      <c r="B584" s="1" t="n">
        <v>45440</v>
      </c>
      <c r="C584" s="1" t="n">
        <v>46060</v>
      </c>
      <c r="D584" t="inlineStr">
        <is>
          <t>ÖREBRO LÄN</t>
        </is>
      </c>
      <c r="E584" t="inlineStr">
        <is>
          <t>LINDESBERG</t>
        </is>
      </c>
      <c r="G584" t="n">
        <v>2</v>
      </c>
      <c r="H584" t="n">
        <v>0</v>
      </c>
      <c r="I584" t="n">
        <v>0</v>
      </c>
      <c r="J584" t="n">
        <v>0</v>
      </c>
      <c r="K584" t="n">
        <v>0</v>
      </c>
      <c r="L584" t="n">
        <v>0</v>
      </c>
      <c r="M584" t="n">
        <v>0</v>
      </c>
      <c r="N584" t="n">
        <v>0</v>
      </c>
      <c r="O584" t="n">
        <v>0</v>
      </c>
      <c r="P584" t="n">
        <v>0</v>
      </c>
      <c r="Q584" t="n">
        <v>0</v>
      </c>
      <c r="R584" s="2" t="inlineStr"/>
    </row>
    <row r="585" ht="15" customHeight="1">
      <c r="A585" t="inlineStr">
        <is>
          <t>A 55255-2025</t>
        </is>
      </c>
      <c r="B585" s="1" t="n">
        <v>45968.63695601852</v>
      </c>
      <c r="C585" s="1" t="n">
        <v>46060</v>
      </c>
      <c r="D585" t="inlineStr">
        <is>
          <t>ÖREBRO LÄN</t>
        </is>
      </c>
      <c r="E585" t="inlineStr">
        <is>
          <t>LINDESBERG</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4603-2024</t>
        </is>
      </c>
      <c r="B586" s="1" t="n">
        <v>45328</v>
      </c>
      <c r="C586" s="1" t="n">
        <v>46060</v>
      </c>
      <c r="D586" t="inlineStr">
        <is>
          <t>ÖREBRO LÄN</t>
        </is>
      </c>
      <c r="E586" t="inlineStr">
        <is>
          <t>LINDESBERG</t>
        </is>
      </c>
      <c r="F586" t="inlineStr">
        <is>
          <t>BillerudKorsnäs AB</t>
        </is>
      </c>
      <c r="G586" t="n">
        <v>4.3</v>
      </c>
      <c r="H586" t="n">
        <v>0</v>
      </c>
      <c r="I586" t="n">
        <v>0</v>
      </c>
      <c r="J586" t="n">
        <v>0</v>
      </c>
      <c r="K586" t="n">
        <v>0</v>
      </c>
      <c r="L586" t="n">
        <v>0</v>
      </c>
      <c r="M586" t="n">
        <v>0</v>
      </c>
      <c r="N586" t="n">
        <v>0</v>
      </c>
      <c r="O586" t="n">
        <v>0</v>
      </c>
      <c r="P586" t="n">
        <v>0</v>
      </c>
      <c r="Q586" t="n">
        <v>0</v>
      </c>
      <c r="R586" s="2" t="inlineStr"/>
    </row>
    <row r="587" ht="15" customHeight="1">
      <c r="A587" t="inlineStr">
        <is>
          <t>A 61601-2024</t>
        </is>
      </c>
      <c r="B587" s="1" t="n">
        <v>45646.63839120371</v>
      </c>
      <c r="C587" s="1" t="n">
        <v>46060</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6604-2024</t>
        </is>
      </c>
      <c r="B588" s="1" t="n">
        <v>45341.56577546296</v>
      </c>
      <c r="C588" s="1" t="n">
        <v>46060</v>
      </c>
      <c r="D588" t="inlineStr">
        <is>
          <t>ÖREBRO LÄN</t>
        </is>
      </c>
      <c r="E588" t="inlineStr">
        <is>
          <t>LINDESBERG</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55477-2025</t>
        </is>
      </c>
      <c r="B589" s="1" t="n">
        <v>45971.56197916667</v>
      </c>
      <c r="C589" s="1" t="n">
        <v>46060</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55490-2025</t>
        </is>
      </c>
      <c r="B590" s="1" t="n">
        <v>45971.57659722222</v>
      </c>
      <c r="C590" s="1" t="n">
        <v>46060</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42410-2024</t>
        </is>
      </c>
      <c r="B591" s="1" t="n">
        <v>45565</v>
      </c>
      <c r="C591" s="1" t="n">
        <v>46060</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9140-2025</t>
        </is>
      </c>
      <c r="B592" s="1" t="n">
        <v>45714.31533564815</v>
      </c>
      <c r="C592" s="1" t="n">
        <v>46060</v>
      </c>
      <c r="D592" t="inlineStr">
        <is>
          <t>ÖREBRO LÄN</t>
        </is>
      </c>
      <c r="E592" t="inlineStr">
        <is>
          <t>LINDESBERG</t>
        </is>
      </c>
      <c r="G592" t="n">
        <v>0.8</v>
      </c>
      <c r="H592" t="n">
        <v>0</v>
      </c>
      <c r="I592" t="n">
        <v>0</v>
      </c>
      <c r="J592" t="n">
        <v>0</v>
      </c>
      <c r="K592" t="n">
        <v>0</v>
      </c>
      <c r="L592" t="n">
        <v>0</v>
      </c>
      <c r="M592" t="n">
        <v>0</v>
      </c>
      <c r="N592" t="n">
        <v>0</v>
      </c>
      <c r="O592" t="n">
        <v>0</v>
      </c>
      <c r="P592" t="n">
        <v>0</v>
      </c>
      <c r="Q592" t="n">
        <v>0</v>
      </c>
      <c r="R592" s="2" t="inlineStr"/>
    </row>
    <row r="593" ht="15" customHeight="1">
      <c r="A593" t="inlineStr">
        <is>
          <t>A 8139-2023</t>
        </is>
      </c>
      <c r="B593" s="1" t="n">
        <v>44970</v>
      </c>
      <c r="C593" s="1" t="n">
        <v>46060</v>
      </c>
      <c r="D593" t="inlineStr">
        <is>
          <t>ÖREBRO LÄN</t>
        </is>
      </c>
      <c r="E593" t="inlineStr">
        <is>
          <t>LINDESBERG</t>
        </is>
      </c>
      <c r="G593" t="n">
        <v>3.6</v>
      </c>
      <c r="H593" t="n">
        <v>0</v>
      </c>
      <c r="I593" t="n">
        <v>0</v>
      </c>
      <c r="J593" t="n">
        <v>0</v>
      </c>
      <c r="K593" t="n">
        <v>0</v>
      </c>
      <c r="L593" t="n">
        <v>0</v>
      </c>
      <c r="M593" t="n">
        <v>0</v>
      </c>
      <c r="N593" t="n">
        <v>0</v>
      </c>
      <c r="O593" t="n">
        <v>0</v>
      </c>
      <c r="P593" t="n">
        <v>0</v>
      </c>
      <c r="Q593" t="n">
        <v>0</v>
      </c>
      <c r="R593" s="2" t="inlineStr"/>
    </row>
    <row r="594" ht="15" customHeight="1">
      <c r="A594" t="inlineStr">
        <is>
          <t>A 38534-2025</t>
        </is>
      </c>
      <c r="B594" s="1" t="n">
        <v>45884</v>
      </c>
      <c r="C594" s="1" t="n">
        <v>46060</v>
      </c>
      <c r="D594" t="inlineStr">
        <is>
          <t>ÖREBRO LÄN</t>
        </is>
      </c>
      <c r="E594" t="inlineStr">
        <is>
          <t>LINDESBERG</t>
        </is>
      </c>
      <c r="G594" t="n">
        <v>4.9</v>
      </c>
      <c r="H594" t="n">
        <v>0</v>
      </c>
      <c r="I594" t="n">
        <v>0</v>
      </c>
      <c r="J594" t="n">
        <v>0</v>
      </c>
      <c r="K594" t="n">
        <v>0</v>
      </c>
      <c r="L594" t="n">
        <v>0</v>
      </c>
      <c r="M594" t="n">
        <v>0</v>
      </c>
      <c r="N594" t="n">
        <v>0</v>
      </c>
      <c r="O594" t="n">
        <v>0</v>
      </c>
      <c r="P594" t="n">
        <v>0</v>
      </c>
      <c r="Q594" t="n">
        <v>0</v>
      </c>
      <c r="R594" s="2" t="inlineStr"/>
    </row>
    <row r="595" ht="15" customHeight="1">
      <c r="A595" t="inlineStr">
        <is>
          <t>A 56306-2025</t>
        </is>
      </c>
      <c r="B595" s="1" t="n">
        <v>45974.61217592593</v>
      </c>
      <c r="C595" s="1" t="n">
        <v>46060</v>
      </c>
      <c r="D595" t="inlineStr">
        <is>
          <t>ÖREBRO LÄN</t>
        </is>
      </c>
      <c r="E595" t="inlineStr">
        <is>
          <t>LINDESBERG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56308-2025</t>
        </is>
      </c>
      <c r="B596" s="1" t="n">
        <v>45974.61344907407</v>
      </c>
      <c r="C596" s="1" t="n">
        <v>46060</v>
      </c>
      <c r="D596" t="inlineStr">
        <is>
          <t>ÖREBRO LÄN</t>
        </is>
      </c>
      <c r="E596" t="inlineStr">
        <is>
          <t>LINDESBERG</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56232-2025</t>
        </is>
      </c>
      <c r="B597" s="1" t="n">
        <v>45974.53239583333</v>
      </c>
      <c r="C597" s="1" t="n">
        <v>46060</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53168-2023</t>
        </is>
      </c>
      <c r="B598" s="1" t="n">
        <v>45229</v>
      </c>
      <c r="C598" s="1" t="n">
        <v>46060</v>
      </c>
      <c r="D598" t="inlineStr">
        <is>
          <t>ÖREBRO LÄN</t>
        </is>
      </c>
      <c r="E598" t="inlineStr">
        <is>
          <t>LINDESBERG</t>
        </is>
      </c>
      <c r="G598" t="n">
        <v>1.5</v>
      </c>
      <c r="H598" t="n">
        <v>0</v>
      </c>
      <c r="I598" t="n">
        <v>0</v>
      </c>
      <c r="J598" t="n">
        <v>0</v>
      </c>
      <c r="K598" t="n">
        <v>0</v>
      </c>
      <c r="L598" t="n">
        <v>0</v>
      </c>
      <c r="M598" t="n">
        <v>0</v>
      </c>
      <c r="N598" t="n">
        <v>0</v>
      </c>
      <c r="O598" t="n">
        <v>0</v>
      </c>
      <c r="P598" t="n">
        <v>0</v>
      </c>
      <c r="Q598" t="n">
        <v>0</v>
      </c>
      <c r="R598" s="2" t="inlineStr"/>
    </row>
    <row r="599" ht="15" customHeight="1">
      <c r="A599" t="inlineStr">
        <is>
          <t>A 56226-2025</t>
        </is>
      </c>
      <c r="B599" s="1" t="n">
        <v>45974.51283564815</v>
      </c>
      <c r="C599" s="1" t="n">
        <v>46060</v>
      </c>
      <c r="D599" t="inlineStr">
        <is>
          <t>ÖREBRO LÄN</t>
        </is>
      </c>
      <c r="E599" t="inlineStr">
        <is>
          <t>LINDESBERG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36748-2024</t>
        </is>
      </c>
      <c r="B600" s="1" t="n">
        <v>45538.34460648148</v>
      </c>
      <c r="C600" s="1" t="n">
        <v>46060</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38509-2025</t>
        </is>
      </c>
      <c r="B601" s="1" t="n">
        <v>45884.38858796296</v>
      </c>
      <c r="C601" s="1" t="n">
        <v>46060</v>
      </c>
      <c r="D601" t="inlineStr">
        <is>
          <t>ÖREBRO LÄN</t>
        </is>
      </c>
      <c r="E601" t="inlineStr">
        <is>
          <t>LINDESBERG</t>
        </is>
      </c>
      <c r="G601" t="n">
        <v>14.9</v>
      </c>
      <c r="H601" t="n">
        <v>0</v>
      </c>
      <c r="I601" t="n">
        <v>0</v>
      </c>
      <c r="J601" t="n">
        <v>0</v>
      </c>
      <c r="K601" t="n">
        <v>0</v>
      </c>
      <c r="L601" t="n">
        <v>0</v>
      </c>
      <c r="M601" t="n">
        <v>0</v>
      </c>
      <c r="N601" t="n">
        <v>0</v>
      </c>
      <c r="O601" t="n">
        <v>0</v>
      </c>
      <c r="P601" t="n">
        <v>0</v>
      </c>
      <c r="Q601" t="n">
        <v>0</v>
      </c>
      <c r="R601" s="2" t="inlineStr"/>
    </row>
    <row r="602" ht="15" customHeight="1">
      <c r="A602" t="inlineStr">
        <is>
          <t>A 28082-2021</t>
        </is>
      </c>
      <c r="B602" s="1" t="n">
        <v>44355</v>
      </c>
      <c r="C602" s="1" t="n">
        <v>46060</v>
      </c>
      <c r="D602" t="inlineStr">
        <is>
          <t>ÖREBRO LÄN</t>
        </is>
      </c>
      <c r="E602" t="inlineStr">
        <is>
          <t>LINDESBERG</t>
        </is>
      </c>
      <c r="F602" t="inlineStr">
        <is>
          <t>Sveaskog</t>
        </is>
      </c>
      <c r="G602" t="n">
        <v>9.9</v>
      </c>
      <c r="H602" t="n">
        <v>0</v>
      </c>
      <c r="I602" t="n">
        <v>0</v>
      </c>
      <c r="J602" t="n">
        <v>0</v>
      </c>
      <c r="K602" t="n">
        <v>0</v>
      </c>
      <c r="L602" t="n">
        <v>0</v>
      </c>
      <c r="M602" t="n">
        <v>0</v>
      </c>
      <c r="N602" t="n">
        <v>0</v>
      </c>
      <c r="O602" t="n">
        <v>0</v>
      </c>
      <c r="P602" t="n">
        <v>0</v>
      </c>
      <c r="Q602" t="n">
        <v>0</v>
      </c>
      <c r="R602" s="2" t="inlineStr"/>
    </row>
    <row r="603" ht="15" customHeight="1">
      <c r="A603" t="inlineStr">
        <is>
          <t>A 56982-2025</t>
        </is>
      </c>
      <c r="B603" s="1" t="n">
        <v>45978.71075231482</v>
      </c>
      <c r="C603" s="1" t="n">
        <v>46060</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64427-2021</t>
        </is>
      </c>
      <c r="B604" s="1" t="n">
        <v>44511</v>
      </c>
      <c r="C604" s="1" t="n">
        <v>46060</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47620-2023</t>
        </is>
      </c>
      <c r="B605" s="1" t="n">
        <v>45203.510625</v>
      </c>
      <c r="C605" s="1" t="n">
        <v>46060</v>
      </c>
      <c r="D605" t="inlineStr">
        <is>
          <t>ÖREBRO LÄN</t>
        </is>
      </c>
      <c r="E605" t="inlineStr">
        <is>
          <t>LINDESBERG</t>
        </is>
      </c>
      <c r="G605" t="n">
        <v>2.7</v>
      </c>
      <c r="H605" t="n">
        <v>0</v>
      </c>
      <c r="I605" t="n">
        <v>0</v>
      </c>
      <c r="J605" t="n">
        <v>0</v>
      </c>
      <c r="K605" t="n">
        <v>0</v>
      </c>
      <c r="L605" t="n">
        <v>0</v>
      </c>
      <c r="M605" t="n">
        <v>0</v>
      </c>
      <c r="N605" t="n">
        <v>0</v>
      </c>
      <c r="O605" t="n">
        <v>0</v>
      </c>
      <c r="P605" t="n">
        <v>0</v>
      </c>
      <c r="Q605" t="n">
        <v>0</v>
      </c>
      <c r="R605" s="2" t="inlineStr"/>
    </row>
    <row r="606" ht="15" customHeight="1">
      <c r="A606" t="inlineStr">
        <is>
          <t>A 53352-2023</t>
        </is>
      </c>
      <c r="B606" s="1" t="n">
        <v>45229.66262731481</v>
      </c>
      <c r="C606" s="1" t="n">
        <v>46060</v>
      </c>
      <c r="D606" t="inlineStr">
        <is>
          <t>ÖREBRO LÄN</t>
        </is>
      </c>
      <c r="E606" t="inlineStr">
        <is>
          <t>LINDESBERG</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57299-2025</t>
        </is>
      </c>
      <c r="B607" s="1" t="n">
        <v>45979.81347222222</v>
      </c>
      <c r="C607" s="1" t="n">
        <v>46060</v>
      </c>
      <c r="D607" t="inlineStr">
        <is>
          <t>ÖREBRO LÄN</t>
        </is>
      </c>
      <c r="E607" t="inlineStr">
        <is>
          <t>LINDESBERG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57317-2025</t>
        </is>
      </c>
      <c r="B608" s="1" t="n">
        <v>45980.01226851852</v>
      </c>
      <c r="C608" s="1" t="n">
        <v>46060</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57300-2025</t>
        </is>
      </c>
      <c r="B609" s="1" t="n">
        <v>45979.81403935186</v>
      </c>
      <c r="C609" s="1" t="n">
        <v>46060</v>
      </c>
      <c r="D609" t="inlineStr">
        <is>
          <t>ÖREBRO LÄN</t>
        </is>
      </c>
      <c r="E609" t="inlineStr">
        <is>
          <t>LINDESBERG</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46060</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57361-2025</t>
        </is>
      </c>
      <c r="B611" s="1" t="n">
        <v>45980.36988425926</v>
      </c>
      <c r="C611" s="1" t="n">
        <v>46060</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57313-2025</t>
        </is>
      </c>
      <c r="B612" s="1" t="n">
        <v>45979.97458333334</v>
      </c>
      <c r="C612" s="1" t="n">
        <v>46060</v>
      </c>
      <c r="D612" t="inlineStr">
        <is>
          <t>ÖREBRO LÄN</t>
        </is>
      </c>
      <c r="E612" t="inlineStr">
        <is>
          <t>LINDESBERG</t>
        </is>
      </c>
      <c r="F612" t="inlineStr">
        <is>
          <t>Sveaskog</t>
        </is>
      </c>
      <c r="G612" t="n">
        <v>9.1</v>
      </c>
      <c r="H612" t="n">
        <v>0</v>
      </c>
      <c r="I612" t="n">
        <v>0</v>
      </c>
      <c r="J612" t="n">
        <v>0</v>
      </c>
      <c r="K612" t="n">
        <v>0</v>
      </c>
      <c r="L612" t="n">
        <v>0</v>
      </c>
      <c r="M612" t="n">
        <v>0</v>
      </c>
      <c r="N612" t="n">
        <v>0</v>
      </c>
      <c r="O612" t="n">
        <v>0</v>
      </c>
      <c r="P612" t="n">
        <v>0</v>
      </c>
      <c r="Q612" t="n">
        <v>0</v>
      </c>
      <c r="R612" s="2" t="inlineStr"/>
    </row>
    <row r="613" ht="15" customHeight="1">
      <c r="A613" t="inlineStr">
        <is>
          <t>A 57314-2025</t>
        </is>
      </c>
      <c r="B613" s="1" t="n">
        <v>45980.00710648148</v>
      </c>
      <c r="C613" s="1" t="n">
        <v>46060</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57315-2025</t>
        </is>
      </c>
      <c r="B614" s="1" t="n">
        <v>45980.00753472222</v>
      </c>
      <c r="C614" s="1" t="n">
        <v>46060</v>
      </c>
      <c r="D614" t="inlineStr">
        <is>
          <t>ÖREBRO LÄN</t>
        </is>
      </c>
      <c r="E614" t="inlineStr">
        <is>
          <t>LINDESBERG</t>
        </is>
      </c>
      <c r="F614" t="inlineStr">
        <is>
          <t>Sveaskog</t>
        </is>
      </c>
      <c r="G614" t="n">
        <v>2.5</v>
      </c>
      <c r="H614" t="n">
        <v>0</v>
      </c>
      <c r="I614" t="n">
        <v>0</v>
      </c>
      <c r="J614" t="n">
        <v>0</v>
      </c>
      <c r="K614" t="n">
        <v>0</v>
      </c>
      <c r="L614" t="n">
        <v>0</v>
      </c>
      <c r="M614" t="n">
        <v>0</v>
      </c>
      <c r="N614" t="n">
        <v>0</v>
      </c>
      <c r="O614" t="n">
        <v>0</v>
      </c>
      <c r="P614" t="n">
        <v>0</v>
      </c>
      <c r="Q614" t="n">
        <v>0</v>
      </c>
      <c r="R614" s="2" t="inlineStr"/>
    </row>
    <row r="615" ht="15" customHeight="1">
      <c r="A615" t="inlineStr">
        <is>
          <t>A 57316-2025</t>
        </is>
      </c>
      <c r="B615" s="1" t="n">
        <v>45980.0115625</v>
      </c>
      <c r="C615" s="1" t="n">
        <v>46060</v>
      </c>
      <c r="D615" t="inlineStr">
        <is>
          <t>ÖREBRO LÄN</t>
        </is>
      </c>
      <c r="E615" t="inlineStr">
        <is>
          <t>LINDESBERG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57320-2025</t>
        </is>
      </c>
      <c r="B616" s="1" t="n">
        <v>45980.01553240741</v>
      </c>
      <c r="C616" s="1" t="n">
        <v>46060</v>
      </c>
      <c r="D616" t="inlineStr">
        <is>
          <t>ÖREBRO LÄN</t>
        </is>
      </c>
      <c r="E616" t="inlineStr">
        <is>
          <t>LINDESBERG</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57363-2025</t>
        </is>
      </c>
      <c r="B617" s="1" t="n">
        <v>45980.3716087963</v>
      </c>
      <c r="C617" s="1" t="n">
        <v>46060</v>
      </c>
      <c r="D617" t="inlineStr">
        <is>
          <t>ÖREBRO LÄN</t>
        </is>
      </c>
      <c r="E617" t="inlineStr">
        <is>
          <t>LINDESBERG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57356-2025</t>
        </is>
      </c>
      <c r="B618" s="1" t="n">
        <v>45980.36633101852</v>
      </c>
      <c r="C618" s="1" t="n">
        <v>46060</v>
      </c>
      <c r="D618" t="inlineStr">
        <is>
          <t>ÖREBRO LÄN</t>
        </is>
      </c>
      <c r="E618" t="inlineStr">
        <is>
          <t>LINDESBERG</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57358-2025</t>
        </is>
      </c>
      <c r="B619" s="1" t="n">
        <v>45980.36679398148</v>
      </c>
      <c r="C619" s="1" t="n">
        <v>46060</v>
      </c>
      <c r="D619" t="inlineStr">
        <is>
          <t>ÖREBRO LÄN</t>
        </is>
      </c>
      <c r="E619" t="inlineStr">
        <is>
          <t>LINDESBERG</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44602.45490740741</v>
      </c>
      <c r="C620" s="1" t="n">
        <v>46060</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44803-2024</t>
        </is>
      </c>
      <c r="B621" s="1" t="n">
        <v>45574.65087962963</v>
      </c>
      <c r="C621" s="1" t="n">
        <v>46060</v>
      </c>
      <c r="D621" t="inlineStr">
        <is>
          <t>ÖREBRO LÄN</t>
        </is>
      </c>
      <c r="E621" t="inlineStr">
        <is>
          <t>LINDESBERG</t>
        </is>
      </c>
      <c r="F621" t="inlineStr">
        <is>
          <t>Sveaskog</t>
        </is>
      </c>
      <c r="G621" t="n">
        <v>6.8</v>
      </c>
      <c r="H621" t="n">
        <v>0</v>
      </c>
      <c r="I621" t="n">
        <v>0</v>
      </c>
      <c r="J621" t="n">
        <v>0</v>
      </c>
      <c r="K621" t="n">
        <v>0</v>
      </c>
      <c r="L621" t="n">
        <v>0</v>
      </c>
      <c r="M621" t="n">
        <v>0</v>
      </c>
      <c r="N621" t="n">
        <v>0</v>
      </c>
      <c r="O621" t="n">
        <v>0</v>
      </c>
      <c r="P621" t="n">
        <v>0</v>
      </c>
      <c r="Q621" t="n">
        <v>0</v>
      </c>
      <c r="R621" s="2" t="inlineStr"/>
    </row>
    <row r="622" ht="15" customHeight="1">
      <c r="A622" t="inlineStr">
        <is>
          <t>A 58166-2025</t>
        </is>
      </c>
      <c r="B622" s="1" t="n">
        <v>45982.71017361111</v>
      </c>
      <c r="C622" s="1" t="n">
        <v>46060</v>
      </c>
      <c r="D622" t="inlineStr">
        <is>
          <t>ÖREBRO LÄN</t>
        </is>
      </c>
      <c r="E622" t="inlineStr">
        <is>
          <t>LINDESBERG</t>
        </is>
      </c>
      <c r="G622" t="n">
        <v>2.5</v>
      </c>
      <c r="H622" t="n">
        <v>0</v>
      </c>
      <c r="I622" t="n">
        <v>0</v>
      </c>
      <c r="J622" t="n">
        <v>0</v>
      </c>
      <c r="K622" t="n">
        <v>0</v>
      </c>
      <c r="L622" t="n">
        <v>0</v>
      </c>
      <c r="M622" t="n">
        <v>0</v>
      </c>
      <c r="N622" t="n">
        <v>0</v>
      </c>
      <c r="O622" t="n">
        <v>0</v>
      </c>
      <c r="P622" t="n">
        <v>0</v>
      </c>
      <c r="Q622" t="n">
        <v>0</v>
      </c>
      <c r="R622" s="2" t="inlineStr"/>
    </row>
    <row r="623" ht="15" customHeight="1">
      <c r="A623" t="inlineStr">
        <is>
          <t>A 25012-2023</t>
        </is>
      </c>
      <c r="B623" s="1" t="n">
        <v>45085</v>
      </c>
      <c r="C623" s="1" t="n">
        <v>46060</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13969-2025</t>
        </is>
      </c>
      <c r="B624" s="1" t="n">
        <v>45738.43714120371</v>
      </c>
      <c r="C624" s="1" t="n">
        <v>46060</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53366-2023</t>
        </is>
      </c>
      <c r="B625" s="1" t="n">
        <v>45229</v>
      </c>
      <c r="C625" s="1" t="n">
        <v>46060</v>
      </c>
      <c r="D625" t="inlineStr">
        <is>
          <t>ÖREBRO LÄN</t>
        </is>
      </c>
      <c r="E625" t="inlineStr">
        <is>
          <t>LINDESBERG</t>
        </is>
      </c>
      <c r="G625" t="n">
        <v>1.9</v>
      </c>
      <c r="H625" t="n">
        <v>0</v>
      </c>
      <c r="I625" t="n">
        <v>0</v>
      </c>
      <c r="J625" t="n">
        <v>0</v>
      </c>
      <c r="K625" t="n">
        <v>0</v>
      </c>
      <c r="L625" t="n">
        <v>0</v>
      </c>
      <c r="M625" t="n">
        <v>0</v>
      </c>
      <c r="N625" t="n">
        <v>0</v>
      </c>
      <c r="O625" t="n">
        <v>0</v>
      </c>
      <c r="P625" t="n">
        <v>0</v>
      </c>
      <c r="Q625" t="n">
        <v>0</v>
      </c>
      <c r="R625" s="2" t="inlineStr"/>
    </row>
    <row r="626" ht="15" customHeight="1">
      <c r="A626" t="inlineStr">
        <is>
          <t>A 42430-2024</t>
        </is>
      </c>
      <c r="B626" s="1" t="n">
        <v>45565.40700231482</v>
      </c>
      <c r="C626" s="1" t="n">
        <v>46060</v>
      </c>
      <c r="D626" t="inlineStr">
        <is>
          <t>ÖREBRO LÄN</t>
        </is>
      </c>
      <c r="E626" t="inlineStr">
        <is>
          <t>LINDESBERG</t>
        </is>
      </c>
      <c r="G626" t="n">
        <v>4</v>
      </c>
      <c r="H626" t="n">
        <v>0</v>
      </c>
      <c r="I626" t="n">
        <v>0</v>
      </c>
      <c r="J626" t="n">
        <v>0</v>
      </c>
      <c r="K626" t="n">
        <v>0</v>
      </c>
      <c r="L626" t="n">
        <v>0</v>
      </c>
      <c r="M626" t="n">
        <v>0</v>
      </c>
      <c r="N626" t="n">
        <v>0</v>
      </c>
      <c r="O626" t="n">
        <v>0</v>
      </c>
      <c r="P626" t="n">
        <v>0</v>
      </c>
      <c r="Q626" t="n">
        <v>0</v>
      </c>
      <c r="R626" s="2" t="inlineStr"/>
    </row>
    <row r="627" ht="15" customHeight="1">
      <c r="A627" t="inlineStr">
        <is>
          <t>A 58963-2025</t>
        </is>
      </c>
      <c r="B627" s="1" t="n">
        <v>45987.60012731481</v>
      </c>
      <c r="C627" s="1" t="n">
        <v>46060</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36754-2024</t>
        </is>
      </c>
      <c r="B628" s="1" t="n">
        <v>45538.34796296297</v>
      </c>
      <c r="C628" s="1" t="n">
        <v>46060</v>
      </c>
      <c r="D628" t="inlineStr">
        <is>
          <t>ÖREBRO LÄN</t>
        </is>
      </c>
      <c r="E628" t="inlineStr">
        <is>
          <t>LINDESBERG</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1354-2024</t>
        </is>
      </c>
      <c r="B629" s="1" t="n">
        <v>45303</v>
      </c>
      <c r="C629" s="1" t="n">
        <v>46060</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27001-2024</t>
        </is>
      </c>
      <c r="B630" s="1" t="n">
        <v>45471.38995370371</v>
      </c>
      <c r="C630" s="1" t="n">
        <v>46060</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26067-2022</t>
        </is>
      </c>
      <c r="B631" s="1" t="n">
        <v>44734.64337962963</v>
      </c>
      <c r="C631" s="1" t="n">
        <v>46060</v>
      </c>
      <c r="D631" t="inlineStr">
        <is>
          <t>ÖREBRO LÄN</t>
        </is>
      </c>
      <c r="E631" t="inlineStr">
        <is>
          <t>LINDESBERG</t>
        </is>
      </c>
      <c r="G631" t="n">
        <v>3.1</v>
      </c>
      <c r="H631" t="n">
        <v>0</v>
      </c>
      <c r="I631" t="n">
        <v>0</v>
      </c>
      <c r="J631" t="n">
        <v>0</v>
      </c>
      <c r="K631" t="n">
        <v>0</v>
      </c>
      <c r="L631" t="n">
        <v>0</v>
      </c>
      <c r="M631" t="n">
        <v>0</v>
      </c>
      <c r="N631" t="n">
        <v>0</v>
      </c>
      <c r="O631" t="n">
        <v>0</v>
      </c>
      <c r="P631" t="n">
        <v>0</v>
      </c>
      <c r="Q631" t="n">
        <v>0</v>
      </c>
      <c r="R631" s="2" t="inlineStr"/>
    </row>
    <row r="632" ht="15" customHeight="1">
      <c r="A632" t="inlineStr">
        <is>
          <t>A 59395-2022</t>
        </is>
      </c>
      <c r="B632" s="1" t="n">
        <v>44906.73321759259</v>
      </c>
      <c r="C632" s="1" t="n">
        <v>46060</v>
      </c>
      <c r="D632" t="inlineStr">
        <is>
          <t>ÖREBRO LÄN</t>
        </is>
      </c>
      <c r="E632" t="inlineStr">
        <is>
          <t>LINDESBERG</t>
        </is>
      </c>
      <c r="G632" t="n">
        <v>4.3</v>
      </c>
      <c r="H632" t="n">
        <v>0</v>
      </c>
      <c r="I632" t="n">
        <v>0</v>
      </c>
      <c r="J632" t="n">
        <v>0</v>
      </c>
      <c r="K632" t="n">
        <v>0</v>
      </c>
      <c r="L632" t="n">
        <v>0</v>
      </c>
      <c r="M632" t="n">
        <v>0</v>
      </c>
      <c r="N632" t="n">
        <v>0</v>
      </c>
      <c r="O632" t="n">
        <v>0</v>
      </c>
      <c r="P632" t="n">
        <v>0</v>
      </c>
      <c r="Q632" t="n">
        <v>0</v>
      </c>
      <c r="R632" s="2" t="inlineStr"/>
    </row>
    <row r="633" ht="15" customHeight="1">
      <c r="A633" t="inlineStr">
        <is>
          <t>A 19043-2023</t>
        </is>
      </c>
      <c r="B633" s="1" t="n">
        <v>45047.7181712963</v>
      </c>
      <c r="C633" s="1" t="n">
        <v>46060</v>
      </c>
      <c r="D633" t="inlineStr">
        <is>
          <t>ÖREBRO LÄN</t>
        </is>
      </c>
      <c r="E633" t="inlineStr">
        <is>
          <t>LINDESBERG</t>
        </is>
      </c>
      <c r="G633" t="n">
        <v>2.6</v>
      </c>
      <c r="H633" t="n">
        <v>0</v>
      </c>
      <c r="I633" t="n">
        <v>0</v>
      </c>
      <c r="J633" t="n">
        <v>0</v>
      </c>
      <c r="K633" t="n">
        <v>0</v>
      </c>
      <c r="L633" t="n">
        <v>0</v>
      </c>
      <c r="M633" t="n">
        <v>0</v>
      </c>
      <c r="N633" t="n">
        <v>0</v>
      </c>
      <c r="O633" t="n">
        <v>0</v>
      </c>
      <c r="P633" t="n">
        <v>0</v>
      </c>
      <c r="Q633" t="n">
        <v>0</v>
      </c>
      <c r="R633" s="2" t="inlineStr"/>
    </row>
    <row r="634" ht="15" customHeight="1">
      <c r="A634" t="inlineStr">
        <is>
          <t>A 41343-2021</t>
        </is>
      </c>
      <c r="B634" s="1" t="n">
        <v>44424.61709490741</v>
      </c>
      <c r="C634" s="1" t="n">
        <v>46060</v>
      </c>
      <c r="D634" t="inlineStr">
        <is>
          <t>ÖREBRO LÄN</t>
        </is>
      </c>
      <c r="E634" t="inlineStr">
        <is>
          <t>LINDESBERG</t>
        </is>
      </c>
      <c r="G634" t="n">
        <v>8.9</v>
      </c>
      <c r="H634" t="n">
        <v>0</v>
      </c>
      <c r="I634" t="n">
        <v>0</v>
      </c>
      <c r="J634" t="n">
        <v>0</v>
      </c>
      <c r="K634" t="n">
        <v>0</v>
      </c>
      <c r="L634" t="n">
        <v>0</v>
      </c>
      <c r="M634" t="n">
        <v>0</v>
      </c>
      <c r="N634" t="n">
        <v>0</v>
      </c>
      <c r="O634" t="n">
        <v>0</v>
      </c>
      <c r="P634" t="n">
        <v>0</v>
      </c>
      <c r="Q634" t="n">
        <v>0</v>
      </c>
      <c r="R634" s="2" t="inlineStr"/>
    </row>
    <row r="635" ht="15" customHeight="1">
      <c r="A635" t="inlineStr">
        <is>
          <t>A 878-2026</t>
        </is>
      </c>
      <c r="B635" s="1" t="n">
        <v>46030.44277777777</v>
      </c>
      <c r="C635" s="1" t="n">
        <v>46060</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43416-2024</t>
        </is>
      </c>
      <c r="B636" s="1" t="n">
        <v>45568.62625</v>
      </c>
      <c r="C636" s="1" t="n">
        <v>46060</v>
      </c>
      <c r="D636" t="inlineStr">
        <is>
          <t>ÖREBRO LÄN</t>
        </is>
      </c>
      <c r="E636" t="inlineStr">
        <is>
          <t>LINDESBERG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10654-2023</t>
        </is>
      </c>
      <c r="B637" s="1" t="n">
        <v>44984</v>
      </c>
      <c r="C637" s="1" t="n">
        <v>46060</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63125-2023</t>
        </is>
      </c>
      <c r="B638" s="1" t="n">
        <v>45273</v>
      </c>
      <c r="C638" s="1" t="n">
        <v>46060</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911-2026</t>
        </is>
      </c>
      <c r="B639" s="1" t="n">
        <v>46030.47725694445</v>
      </c>
      <c r="C639" s="1" t="n">
        <v>46060</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14454-2024</t>
        </is>
      </c>
      <c r="B640" s="1" t="n">
        <v>45394.51289351852</v>
      </c>
      <c r="C640" s="1" t="n">
        <v>46060</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6752-2021</t>
        </is>
      </c>
      <c r="B641" s="1" t="n">
        <v>44236</v>
      </c>
      <c r="C641" s="1" t="n">
        <v>46060</v>
      </c>
      <c r="D641" t="inlineStr">
        <is>
          <t>ÖREBRO LÄN</t>
        </is>
      </c>
      <c r="E641" t="inlineStr">
        <is>
          <t>LINDESBERG</t>
        </is>
      </c>
      <c r="G641" t="n">
        <v>2.6</v>
      </c>
      <c r="H641" t="n">
        <v>0</v>
      </c>
      <c r="I641" t="n">
        <v>0</v>
      </c>
      <c r="J641" t="n">
        <v>0</v>
      </c>
      <c r="K641" t="n">
        <v>0</v>
      </c>
      <c r="L641" t="n">
        <v>0</v>
      </c>
      <c r="M641" t="n">
        <v>0</v>
      </c>
      <c r="N641" t="n">
        <v>0</v>
      </c>
      <c r="O641" t="n">
        <v>0</v>
      </c>
      <c r="P641" t="n">
        <v>0</v>
      </c>
      <c r="Q641" t="n">
        <v>0</v>
      </c>
      <c r="R641" s="2" t="inlineStr"/>
      <c r="U641">
        <f>HYPERLINK("https://klasma.github.io/Logging_1885/knärot/A 6752-2021 karta knärot.png", "A 6752-2021")</f>
        <v/>
      </c>
      <c r="V641">
        <f>HYPERLINK("https://klasma.github.io/Logging_1885/klagomål/A 6752-2021 FSC-klagomål.docx", "A 6752-2021")</f>
        <v/>
      </c>
      <c r="W641">
        <f>HYPERLINK("https://klasma.github.io/Logging_1885/klagomålsmail/A 6752-2021 FSC-klagomål mail.docx", "A 6752-2021")</f>
        <v/>
      </c>
      <c r="X641">
        <f>HYPERLINK("https://klasma.github.io/Logging_1885/tillsyn/A 6752-2021 tillsynsbegäran.docx", "A 6752-2021")</f>
        <v/>
      </c>
      <c r="Y641">
        <f>HYPERLINK("https://klasma.github.io/Logging_1885/tillsynsmail/A 6752-2021 tillsynsbegäran mail.docx", "A 6752-2021")</f>
        <v/>
      </c>
    </row>
    <row r="642" ht="15" customHeight="1">
      <c r="A642" t="inlineStr">
        <is>
          <t>A 61960-2024</t>
        </is>
      </c>
      <c r="B642" s="1" t="n">
        <v>45653.53664351852</v>
      </c>
      <c r="C642" s="1" t="n">
        <v>46060</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34436-2023</t>
        </is>
      </c>
      <c r="B643" s="1" t="n">
        <v>45139.64328703703</v>
      </c>
      <c r="C643" s="1" t="n">
        <v>46060</v>
      </c>
      <c r="D643" t="inlineStr">
        <is>
          <t>ÖREBRO LÄN</t>
        </is>
      </c>
      <c r="E643" t="inlineStr">
        <is>
          <t>LINDESBERG</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54860-2024</t>
        </is>
      </c>
      <c r="B644" s="1" t="n">
        <v>45618.59219907408</v>
      </c>
      <c r="C644" s="1" t="n">
        <v>46060</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1749-2026</t>
        </is>
      </c>
      <c r="B645" s="1" t="n">
        <v>46034.65601851852</v>
      </c>
      <c r="C645" s="1" t="n">
        <v>46060</v>
      </c>
      <c r="D645" t="inlineStr">
        <is>
          <t>ÖREBRO LÄN</t>
        </is>
      </c>
      <c r="E645" t="inlineStr">
        <is>
          <t>LINDESBERG</t>
        </is>
      </c>
      <c r="G645" t="n">
        <v>2.2</v>
      </c>
      <c r="H645" t="n">
        <v>0</v>
      </c>
      <c r="I645" t="n">
        <v>0</v>
      </c>
      <c r="J645" t="n">
        <v>0</v>
      </c>
      <c r="K645" t="n">
        <v>0</v>
      </c>
      <c r="L645" t="n">
        <v>0</v>
      </c>
      <c r="M645" t="n">
        <v>0</v>
      </c>
      <c r="N645" t="n">
        <v>0</v>
      </c>
      <c r="O645" t="n">
        <v>0</v>
      </c>
      <c r="P645" t="n">
        <v>0</v>
      </c>
      <c r="Q645" t="n">
        <v>0</v>
      </c>
      <c r="R645" s="2" t="inlineStr"/>
    </row>
    <row r="646" ht="15" customHeight="1">
      <c r="A646" t="inlineStr">
        <is>
          <t>A 1160-2026</t>
        </is>
      </c>
      <c r="B646" s="1" t="n">
        <v>46031</v>
      </c>
      <c r="C646" s="1" t="n">
        <v>46060</v>
      </c>
      <c r="D646" t="inlineStr">
        <is>
          <t>ÖREBRO LÄN</t>
        </is>
      </c>
      <c r="E646" t="inlineStr">
        <is>
          <t>LINDESBERG</t>
        </is>
      </c>
      <c r="G646" t="n">
        <v>12.2</v>
      </c>
      <c r="H646" t="n">
        <v>0</v>
      </c>
      <c r="I646" t="n">
        <v>0</v>
      </c>
      <c r="J646" t="n">
        <v>0</v>
      </c>
      <c r="K646" t="n">
        <v>0</v>
      </c>
      <c r="L646" t="n">
        <v>0</v>
      </c>
      <c r="M646" t="n">
        <v>0</v>
      </c>
      <c r="N646" t="n">
        <v>0</v>
      </c>
      <c r="O646" t="n">
        <v>0</v>
      </c>
      <c r="P646" t="n">
        <v>0</v>
      </c>
      <c r="Q646" t="n">
        <v>0</v>
      </c>
      <c r="R646" s="2" t="inlineStr"/>
    </row>
    <row r="647" ht="15" customHeight="1">
      <c r="A647" t="inlineStr">
        <is>
          <t>A 6181-2025</t>
        </is>
      </c>
      <c r="B647" s="1" t="n">
        <v>45698</v>
      </c>
      <c r="C647" s="1" t="n">
        <v>46060</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8612-2024</t>
        </is>
      </c>
      <c r="B648" s="1" t="n">
        <v>45355.70009259259</v>
      </c>
      <c r="C648" s="1" t="n">
        <v>46060</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7126-2025</t>
        </is>
      </c>
      <c r="B649" s="1" t="n">
        <v>45702</v>
      </c>
      <c r="C649" s="1" t="n">
        <v>46060</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9961-2023</t>
        </is>
      </c>
      <c r="B650" s="1" t="n">
        <v>44979</v>
      </c>
      <c r="C650" s="1" t="n">
        <v>46060</v>
      </c>
      <c r="D650" t="inlineStr">
        <is>
          <t>ÖREBRO LÄN</t>
        </is>
      </c>
      <c r="E650" t="inlineStr">
        <is>
          <t>LINDESBERG</t>
        </is>
      </c>
      <c r="G650" t="n">
        <v>4.8</v>
      </c>
      <c r="H650" t="n">
        <v>0</v>
      </c>
      <c r="I650" t="n">
        <v>0</v>
      </c>
      <c r="J650" t="n">
        <v>0</v>
      </c>
      <c r="K650" t="n">
        <v>0</v>
      </c>
      <c r="L650" t="n">
        <v>0</v>
      </c>
      <c r="M650" t="n">
        <v>0</v>
      </c>
      <c r="N650" t="n">
        <v>0</v>
      </c>
      <c r="O650" t="n">
        <v>0</v>
      </c>
      <c r="P650" t="n">
        <v>0</v>
      </c>
      <c r="Q650" t="n">
        <v>0</v>
      </c>
      <c r="R650" s="2" t="inlineStr"/>
    </row>
    <row r="651" ht="15" customHeight="1">
      <c r="A651" t="inlineStr">
        <is>
          <t>A 21084-2021</t>
        </is>
      </c>
      <c r="B651" s="1" t="n">
        <v>44319</v>
      </c>
      <c r="C651" s="1" t="n">
        <v>46060</v>
      </c>
      <c r="D651" t="inlineStr">
        <is>
          <t>ÖREBRO LÄN</t>
        </is>
      </c>
      <c r="E651" t="inlineStr">
        <is>
          <t>LINDESBERG</t>
        </is>
      </c>
      <c r="G651" t="n">
        <v>3.1</v>
      </c>
      <c r="H651" t="n">
        <v>0</v>
      </c>
      <c r="I651" t="n">
        <v>0</v>
      </c>
      <c r="J651" t="n">
        <v>0</v>
      </c>
      <c r="K651" t="n">
        <v>0</v>
      </c>
      <c r="L651" t="n">
        <v>0</v>
      </c>
      <c r="M651" t="n">
        <v>0</v>
      </c>
      <c r="N651" t="n">
        <v>0</v>
      </c>
      <c r="O651" t="n">
        <v>0</v>
      </c>
      <c r="P651" t="n">
        <v>0</v>
      </c>
      <c r="Q651" t="n">
        <v>0</v>
      </c>
      <c r="R651" s="2" t="inlineStr"/>
    </row>
    <row r="652" ht="15" customHeight="1">
      <c r="A652" t="inlineStr">
        <is>
          <t>A 2556-2026</t>
        </is>
      </c>
      <c r="B652" s="1" t="n">
        <v>46035</v>
      </c>
      <c r="C652" s="1" t="n">
        <v>46060</v>
      </c>
      <c r="D652" t="inlineStr">
        <is>
          <t>ÖREBRO LÄN</t>
        </is>
      </c>
      <c r="E652" t="inlineStr">
        <is>
          <t>LINDESBERG</t>
        </is>
      </c>
      <c r="G652" t="n">
        <v>3.4</v>
      </c>
      <c r="H652" t="n">
        <v>0</v>
      </c>
      <c r="I652" t="n">
        <v>0</v>
      </c>
      <c r="J652" t="n">
        <v>0</v>
      </c>
      <c r="K652" t="n">
        <v>0</v>
      </c>
      <c r="L652" t="n">
        <v>0</v>
      </c>
      <c r="M652" t="n">
        <v>0</v>
      </c>
      <c r="N652" t="n">
        <v>0</v>
      </c>
      <c r="O652" t="n">
        <v>0</v>
      </c>
      <c r="P652" t="n">
        <v>0</v>
      </c>
      <c r="Q652" t="n">
        <v>0</v>
      </c>
      <c r="R652" s="2" t="inlineStr"/>
    </row>
    <row r="653" ht="15" customHeight="1">
      <c r="A653" t="inlineStr">
        <is>
          <t>A 60400-2025</t>
        </is>
      </c>
      <c r="B653" s="1" t="n">
        <v>45995</v>
      </c>
      <c r="C653" s="1" t="n">
        <v>46060</v>
      </c>
      <c r="D653" t="inlineStr">
        <is>
          <t>ÖREBRO LÄN</t>
        </is>
      </c>
      <c r="E653" t="inlineStr">
        <is>
          <t>LINDESBERG</t>
        </is>
      </c>
      <c r="G653" t="n">
        <v>11.2</v>
      </c>
      <c r="H653" t="n">
        <v>0</v>
      </c>
      <c r="I653" t="n">
        <v>0</v>
      </c>
      <c r="J653" t="n">
        <v>0</v>
      </c>
      <c r="K653" t="n">
        <v>0</v>
      </c>
      <c r="L653" t="n">
        <v>0</v>
      </c>
      <c r="M653" t="n">
        <v>0</v>
      </c>
      <c r="N653" t="n">
        <v>0</v>
      </c>
      <c r="O653" t="n">
        <v>0</v>
      </c>
      <c r="P653" t="n">
        <v>0</v>
      </c>
      <c r="Q653" t="n">
        <v>0</v>
      </c>
      <c r="R653" s="2" t="inlineStr"/>
    </row>
    <row r="654" ht="15" customHeight="1">
      <c r="A654" t="inlineStr">
        <is>
          <t>A 2704-2026</t>
        </is>
      </c>
      <c r="B654" s="1" t="n">
        <v>46037.69133101852</v>
      </c>
      <c r="C654" s="1" t="n">
        <v>46060</v>
      </c>
      <c r="D654" t="inlineStr">
        <is>
          <t>ÖREBRO LÄN</t>
        </is>
      </c>
      <c r="E654" t="inlineStr">
        <is>
          <t>LINDESBERG</t>
        </is>
      </c>
      <c r="G654" t="n">
        <v>1.9</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46060</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5047-2023</t>
        </is>
      </c>
      <c r="B656" s="1" t="n">
        <v>44958.58982638889</v>
      </c>
      <c r="C656" s="1" t="n">
        <v>46060</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2902-2026</t>
        </is>
      </c>
      <c r="B657" s="1" t="n">
        <v>46038.55849537037</v>
      </c>
      <c r="C657" s="1" t="n">
        <v>46060</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2949-2026</t>
        </is>
      </c>
      <c r="B658" s="1" t="n">
        <v>46038.59640046296</v>
      </c>
      <c r="C658" s="1" t="n">
        <v>46060</v>
      </c>
      <c r="D658" t="inlineStr">
        <is>
          <t>ÖREBRO LÄN</t>
        </is>
      </c>
      <c r="E658" t="inlineStr">
        <is>
          <t>LINDESBERG</t>
        </is>
      </c>
      <c r="G658" t="n">
        <v>4</v>
      </c>
      <c r="H658" t="n">
        <v>0</v>
      </c>
      <c r="I658" t="n">
        <v>0</v>
      </c>
      <c r="J658" t="n">
        <v>0</v>
      </c>
      <c r="K658" t="n">
        <v>0</v>
      </c>
      <c r="L658" t="n">
        <v>0</v>
      </c>
      <c r="M658" t="n">
        <v>0</v>
      </c>
      <c r="N658" t="n">
        <v>0</v>
      </c>
      <c r="O658" t="n">
        <v>0</v>
      </c>
      <c r="P658" t="n">
        <v>0</v>
      </c>
      <c r="Q658" t="n">
        <v>0</v>
      </c>
      <c r="R658" s="2" t="inlineStr"/>
    </row>
    <row r="659" ht="15" customHeight="1">
      <c r="A659" t="inlineStr">
        <is>
          <t>A 3227-2026</t>
        </is>
      </c>
      <c r="B659" s="1" t="n">
        <v>46041.54181712963</v>
      </c>
      <c r="C659" s="1" t="n">
        <v>46060</v>
      </c>
      <c r="D659" t="inlineStr">
        <is>
          <t>ÖREBRO LÄN</t>
        </is>
      </c>
      <c r="E659" t="inlineStr">
        <is>
          <t>LINDESBERG</t>
        </is>
      </c>
      <c r="G659" t="n">
        <v>4.4</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46060</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18590-2023</t>
        </is>
      </c>
      <c r="B661" s="1" t="n">
        <v>45043.40300925926</v>
      </c>
      <c r="C661" s="1" t="n">
        <v>46060</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5784-2025</t>
        </is>
      </c>
      <c r="B662" s="1" t="n">
        <v>45694</v>
      </c>
      <c r="C662" s="1" t="n">
        <v>46060</v>
      </c>
      <c r="D662" t="inlineStr">
        <is>
          <t>ÖREBRO LÄN</t>
        </is>
      </c>
      <c r="E662" t="inlineStr">
        <is>
          <t>LINDESBERG</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60806-2025</t>
        </is>
      </c>
      <c r="B663" s="1" t="n">
        <v>45999.43730324074</v>
      </c>
      <c r="C663" s="1" t="n">
        <v>46060</v>
      </c>
      <c r="D663" t="inlineStr">
        <is>
          <t>ÖREBRO LÄN</t>
        </is>
      </c>
      <c r="E663" t="inlineStr">
        <is>
          <t>LINDESBERG</t>
        </is>
      </c>
      <c r="G663" t="n">
        <v>7.9</v>
      </c>
      <c r="H663" t="n">
        <v>0</v>
      </c>
      <c r="I663" t="n">
        <v>0</v>
      </c>
      <c r="J663" t="n">
        <v>0</v>
      </c>
      <c r="K663" t="n">
        <v>0</v>
      </c>
      <c r="L663" t="n">
        <v>0</v>
      </c>
      <c r="M663" t="n">
        <v>0</v>
      </c>
      <c r="N663" t="n">
        <v>0</v>
      </c>
      <c r="O663" t="n">
        <v>0</v>
      </c>
      <c r="P663" t="n">
        <v>0</v>
      </c>
      <c r="Q663" t="n">
        <v>0</v>
      </c>
      <c r="R663" s="2" t="inlineStr"/>
    </row>
    <row r="664" ht="15" customHeight="1">
      <c r="A664" t="inlineStr">
        <is>
          <t>A 16448-2025</t>
        </is>
      </c>
      <c r="B664" s="1" t="n">
        <v>45751.5056712963</v>
      </c>
      <c r="C664" s="1" t="n">
        <v>46060</v>
      </c>
      <c r="D664" t="inlineStr">
        <is>
          <t>ÖREBRO LÄN</t>
        </is>
      </c>
      <c r="E664" t="inlineStr">
        <is>
          <t>LINDESBERG</t>
        </is>
      </c>
      <c r="G664" t="n">
        <v>20.1</v>
      </c>
      <c r="H664" t="n">
        <v>0</v>
      </c>
      <c r="I664" t="n">
        <v>0</v>
      </c>
      <c r="J664" t="n">
        <v>0</v>
      </c>
      <c r="K664" t="n">
        <v>0</v>
      </c>
      <c r="L664" t="n">
        <v>0</v>
      </c>
      <c r="M664" t="n">
        <v>0</v>
      </c>
      <c r="N664" t="n">
        <v>0</v>
      </c>
      <c r="O664" t="n">
        <v>0</v>
      </c>
      <c r="P664" t="n">
        <v>0</v>
      </c>
      <c r="Q664" t="n">
        <v>0</v>
      </c>
      <c r="R664" s="2" t="inlineStr"/>
    </row>
    <row r="665" ht="15" customHeight="1">
      <c r="A665" t="inlineStr">
        <is>
          <t>A 54432-2023</t>
        </is>
      </c>
      <c r="B665" s="1" t="n">
        <v>45233.42121527778</v>
      </c>
      <c r="C665" s="1" t="n">
        <v>46060</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2859-2026</t>
        </is>
      </c>
      <c r="B666" s="1" t="n">
        <v>46038.49269675926</v>
      </c>
      <c r="C666" s="1" t="n">
        <v>46060</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9436-2023</t>
        </is>
      </c>
      <c r="B667" s="1" t="n">
        <v>44981</v>
      </c>
      <c r="C667" s="1" t="n">
        <v>46060</v>
      </c>
      <c r="D667" t="inlineStr">
        <is>
          <t>ÖREBRO LÄN</t>
        </is>
      </c>
      <c r="E667" t="inlineStr">
        <is>
          <t>LINDESBERG</t>
        </is>
      </c>
      <c r="G667" t="n">
        <v>2.8</v>
      </c>
      <c r="H667" t="n">
        <v>0</v>
      </c>
      <c r="I667" t="n">
        <v>0</v>
      </c>
      <c r="J667" t="n">
        <v>0</v>
      </c>
      <c r="K667" t="n">
        <v>0</v>
      </c>
      <c r="L667" t="n">
        <v>0</v>
      </c>
      <c r="M667" t="n">
        <v>0</v>
      </c>
      <c r="N667" t="n">
        <v>0</v>
      </c>
      <c r="O667" t="n">
        <v>0</v>
      </c>
      <c r="P667" t="n">
        <v>0</v>
      </c>
      <c r="Q667" t="n">
        <v>0</v>
      </c>
      <c r="R667" s="2" t="inlineStr"/>
    </row>
    <row r="668" ht="15" customHeight="1">
      <c r="A668" t="inlineStr">
        <is>
          <t>A 60200-2024</t>
        </is>
      </c>
      <c r="B668" s="1" t="n">
        <v>45642.66184027777</v>
      </c>
      <c r="C668" s="1" t="n">
        <v>46060</v>
      </c>
      <c r="D668" t="inlineStr">
        <is>
          <t>ÖREBRO LÄN</t>
        </is>
      </c>
      <c r="E668" t="inlineStr">
        <is>
          <t>LINDESBERG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3315-2026</t>
        </is>
      </c>
      <c r="B669" s="1" t="n">
        <v>46041.68443287037</v>
      </c>
      <c r="C669" s="1" t="n">
        <v>46060</v>
      </c>
      <c r="D669" t="inlineStr">
        <is>
          <t>ÖREBRO LÄN</t>
        </is>
      </c>
      <c r="E669" t="inlineStr">
        <is>
          <t>LINDESBERG</t>
        </is>
      </c>
      <c r="G669" t="n">
        <v>7.6</v>
      </c>
      <c r="H669" t="n">
        <v>0</v>
      </c>
      <c r="I669" t="n">
        <v>0</v>
      </c>
      <c r="J669" t="n">
        <v>0</v>
      </c>
      <c r="K669" t="n">
        <v>0</v>
      </c>
      <c r="L669" t="n">
        <v>0</v>
      </c>
      <c r="M669" t="n">
        <v>0</v>
      </c>
      <c r="N669" t="n">
        <v>0</v>
      </c>
      <c r="O669" t="n">
        <v>0</v>
      </c>
      <c r="P669" t="n">
        <v>0</v>
      </c>
      <c r="Q669" t="n">
        <v>0</v>
      </c>
      <c r="R669" s="2" t="inlineStr"/>
    </row>
    <row r="670" ht="15" customHeight="1">
      <c r="A670" t="inlineStr">
        <is>
          <t>A 2958-2026</t>
        </is>
      </c>
      <c r="B670" s="1" t="n">
        <v>46038.61067129629</v>
      </c>
      <c r="C670" s="1" t="n">
        <v>46060</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46060</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36747-2024</t>
        </is>
      </c>
      <c r="B672" s="1" t="n">
        <v>45538.34193287037</v>
      </c>
      <c r="C672" s="1" t="n">
        <v>46060</v>
      </c>
      <c r="D672" t="inlineStr">
        <is>
          <t>ÖREBRO LÄN</t>
        </is>
      </c>
      <c r="E672" t="inlineStr">
        <is>
          <t>LINDESBERG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13305-2023</t>
        </is>
      </c>
      <c r="B673" s="1" t="n">
        <v>45005.35967592592</v>
      </c>
      <c r="C673" s="1" t="n">
        <v>46060</v>
      </c>
      <c r="D673" t="inlineStr">
        <is>
          <t>ÖREBRO LÄN</t>
        </is>
      </c>
      <c r="E673" t="inlineStr">
        <is>
          <t>LINDESBERG</t>
        </is>
      </c>
      <c r="G673" t="n">
        <v>5.5</v>
      </c>
      <c r="H673" t="n">
        <v>0</v>
      </c>
      <c r="I673" t="n">
        <v>0</v>
      </c>
      <c r="J673" t="n">
        <v>0</v>
      </c>
      <c r="K673" t="n">
        <v>0</v>
      </c>
      <c r="L673" t="n">
        <v>0</v>
      </c>
      <c r="M673" t="n">
        <v>0</v>
      </c>
      <c r="N673" t="n">
        <v>0</v>
      </c>
      <c r="O673" t="n">
        <v>0</v>
      </c>
      <c r="P673" t="n">
        <v>0</v>
      </c>
      <c r="Q673" t="n">
        <v>0</v>
      </c>
      <c r="R673" s="2" t="inlineStr"/>
    </row>
    <row r="674" ht="15" customHeight="1">
      <c r="A674" t="inlineStr">
        <is>
          <t>A 13368-2023</t>
        </is>
      </c>
      <c r="B674" s="1" t="n">
        <v>45005.47820601852</v>
      </c>
      <c r="C674" s="1" t="n">
        <v>46060</v>
      </c>
      <c r="D674" t="inlineStr">
        <is>
          <t>ÖREBRO LÄN</t>
        </is>
      </c>
      <c r="E674" t="inlineStr">
        <is>
          <t>LINDESBERG</t>
        </is>
      </c>
      <c r="F674" t="inlineStr">
        <is>
          <t>Kommuner</t>
        </is>
      </c>
      <c r="G674" t="n">
        <v>0.7</v>
      </c>
      <c r="H674" t="n">
        <v>0</v>
      </c>
      <c r="I674" t="n">
        <v>0</v>
      </c>
      <c r="J674" t="n">
        <v>0</v>
      </c>
      <c r="K674" t="n">
        <v>0</v>
      </c>
      <c r="L674" t="n">
        <v>0</v>
      </c>
      <c r="M674" t="n">
        <v>0</v>
      </c>
      <c r="N674" t="n">
        <v>0</v>
      </c>
      <c r="O674" t="n">
        <v>0</v>
      </c>
      <c r="P674" t="n">
        <v>0</v>
      </c>
      <c r="Q674" t="n">
        <v>0</v>
      </c>
      <c r="R674" s="2" t="inlineStr"/>
    </row>
    <row r="675" ht="15" customHeight="1">
      <c r="A675" t="inlineStr">
        <is>
          <t>A 56912-2024</t>
        </is>
      </c>
      <c r="B675" s="1" t="n">
        <v>45628.59233796296</v>
      </c>
      <c r="C675" s="1" t="n">
        <v>46060</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15745-2024</t>
        </is>
      </c>
      <c r="B676" s="1" t="n">
        <v>45404.55239583334</v>
      </c>
      <c r="C676" s="1" t="n">
        <v>46060</v>
      </c>
      <c r="D676" t="inlineStr">
        <is>
          <t>ÖREBRO LÄN</t>
        </is>
      </c>
      <c r="E676" t="inlineStr">
        <is>
          <t>LINDESBERG</t>
        </is>
      </c>
      <c r="F676" t="inlineStr">
        <is>
          <t>Sveaskog</t>
        </is>
      </c>
      <c r="G676" t="n">
        <v>6.2</v>
      </c>
      <c r="H676" t="n">
        <v>0</v>
      </c>
      <c r="I676" t="n">
        <v>0</v>
      </c>
      <c r="J676" t="n">
        <v>0</v>
      </c>
      <c r="K676" t="n">
        <v>0</v>
      </c>
      <c r="L676" t="n">
        <v>0</v>
      </c>
      <c r="M676" t="n">
        <v>0</v>
      </c>
      <c r="N676" t="n">
        <v>0</v>
      </c>
      <c r="O676" t="n">
        <v>0</v>
      </c>
      <c r="P676" t="n">
        <v>0</v>
      </c>
      <c r="Q676" t="n">
        <v>0</v>
      </c>
      <c r="R676" s="2" t="inlineStr"/>
    </row>
    <row r="677" ht="15" customHeight="1">
      <c r="A677" t="inlineStr">
        <is>
          <t>A 15750-2024</t>
        </is>
      </c>
      <c r="B677" s="1" t="n">
        <v>45404.55601851852</v>
      </c>
      <c r="C677" s="1" t="n">
        <v>46060</v>
      </c>
      <c r="D677" t="inlineStr">
        <is>
          <t>ÖREBRO LÄN</t>
        </is>
      </c>
      <c r="E677" t="inlineStr">
        <is>
          <t>LINDESBERG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72698-2021</t>
        </is>
      </c>
      <c r="B678" s="1" t="n">
        <v>44546.6679050926</v>
      </c>
      <c r="C678" s="1" t="n">
        <v>46060</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19110-2025</t>
        </is>
      </c>
      <c r="B679" s="1" t="n">
        <v>45768.49947916667</v>
      </c>
      <c r="C679" s="1" t="n">
        <v>46060</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46678-2023</t>
        </is>
      </c>
      <c r="B680" s="1" t="n">
        <v>45194</v>
      </c>
      <c r="C680" s="1" t="n">
        <v>46060</v>
      </c>
      <c r="D680" t="inlineStr">
        <is>
          <t>ÖREBRO LÄN</t>
        </is>
      </c>
      <c r="E680" t="inlineStr">
        <is>
          <t>LINDESBERG</t>
        </is>
      </c>
      <c r="G680" t="n">
        <v>1.4</v>
      </c>
      <c r="H680" t="n">
        <v>0</v>
      </c>
      <c r="I680" t="n">
        <v>0</v>
      </c>
      <c r="J680" t="n">
        <v>0</v>
      </c>
      <c r="K680" t="n">
        <v>0</v>
      </c>
      <c r="L680" t="n">
        <v>0</v>
      </c>
      <c r="M680" t="n">
        <v>0</v>
      </c>
      <c r="N680" t="n">
        <v>0</v>
      </c>
      <c r="O680" t="n">
        <v>0</v>
      </c>
      <c r="P680" t="n">
        <v>0</v>
      </c>
      <c r="Q680" t="n">
        <v>0</v>
      </c>
      <c r="R680" s="2" t="inlineStr"/>
    </row>
    <row r="681" ht="15" customHeight="1">
      <c r="A681" t="inlineStr">
        <is>
          <t>A 23579-2022</t>
        </is>
      </c>
      <c r="B681" s="1" t="n">
        <v>44721.52627314815</v>
      </c>
      <c r="C681" s="1" t="n">
        <v>46060</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53054-2022</t>
        </is>
      </c>
      <c r="B682" s="1" t="n">
        <v>44876.35706018518</v>
      </c>
      <c r="C682" s="1" t="n">
        <v>46060</v>
      </c>
      <c r="D682" t="inlineStr">
        <is>
          <t>ÖREBRO LÄN</t>
        </is>
      </c>
      <c r="E682" t="inlineStr">
        <is>
          <t>LINDESBERG</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20467-2023</t>
        </is>
      </c>
      <c r="B683" s="1" t="n">
        <v>45057</v>
      </c>
      <c r="C683" s="1" t="n">
        <v>46060</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35140-2023</t>
        </is>
      </c>
      <c r="B684" s="1" t="n">
        <v>45145</v>
      </c>
      <c r="C684" s="1" t="n">
        <v>46060</v>
      </c>
      <c r="D684" t="inlineStr">
        <is>
          <t>ÖREBRO LÄN</t>
        </is>
      </c>
      <c r="E684" t="inlineStr">
        <is>
          <t>LINDESBERG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3660-2026</t>
        </is>
      </c>
      <c r="B685" s="1" t="n">
        <v>46043.38744212963</v>
      </c>
      <c r="C685" s="1" t="n">
        <v>46060</v>
      </c>
      <c r="D685" t="inlineStr">
        <is>
          <t>ÖREBRO LÄN</t>
        </is>
      </c>
      <c r="E685" t="inlineStr">
        <is>
          <t>LINDESBERG</t>
        </is>
      </c>
      <c r="G685" t="n">
        <v>3.4</v>
      </c>
      <c r="H685" t="n">
        <v>0</v>
      </c>
      <c r="I685" t="n">
        <v>0</v>
      </c>
      <c r="J685" t="n">
        <v>0</v>
      </c>
      <c r="K685" t="n">
        <v>0</v>
      </c>
      <c r="L685" t="n">
        <v>0</v>
      </c>
      <c r="M685" t="n">
        <v>0</v>
      </c>
      <c r="N685" t="n">
        <v>0</v>
      </c>
      <c r="O685" t="n">
        <v>0</v>
      </c>
      <c r="P685" t="n">
        <v>0</v>
      </c>
      <c r="Q685" t="n">
        <v>0</v>
      </c>
      <c r="R685" s="2" t="inlineStr"/>
    </row>
    <row r="686" ht="15" customHeight="1">
      <c r="A686" t="inlineStr">
        <is>
          <t>A 38762-2021</t>
        </is>
      </c>
      <c r="B686" s="1" t="n">
        <v>44410.61837962963</v>
      </c>
      <c r="C686" s="1" t="n">
        <v>46060</v>
      </c>
      <c r="D686" t="inlineStr">
        <is>
          <t>ÖREBRO LÄN</t>
        </is>
      </c>
      <c r="E686" t="inlineStr">
        <is>
          <t>LINDESBERG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61761-2025</t>
        </is>
      </c>
      <c r="B687" s="1" t="n">
        <v>46002.62465277778</v>
      </c>
      <c r="C687" s="1" t="n">
        <v>46060</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39419-2023</t>
        </is>
      </c>
      <c r="B688" s="1" t="n">
        <v>45166.68493055556</v>
      </c>
      <c r="C688" s="1" t="n">
        <v>46060</v>
      </c>
      <c r="D688" t="inlineStr">
        <is>
          <t>ÖREBRO LÄN</t>
        </is>
      </c>
      <c r="E688" t="inlineStr">
        <is>
          <t>LINDESBERG</t>
        </is>
      </c>
      <c r="F688" t="inlineStr">
        <is>
          <t>Sveaskog</t>
        </is>
      </c>
      <c r="G688" t="n">
        <v>0.4</v>
      </c>
      <c r="H688" t="n">
        <v>0</v>
      </c>
      <c r="I688" t="n">
        <v>0</v>
      </c>
      <c r="J688" t="n">
        <v>0</v>
      </c>
      <c r="K688" t="n">
        <v>0</v>
      </c>
      <c r="L688" t="n">
        <v>0</v>
      </c>
      <c r="M688" t="n">
        <v>0</v>
      </c>
      <c r="N688" t="n">
        <v>0</v>
      </c>
      <c r="O688" t="n">
        <v>0</v>
      </c>
      <c r="P688" t="n">
        <v>0</v>
      </c>
      <c r="Q688" t="n">
        <v>0</v>
      </c>
      <c r="R688" s="2" t="inlineStr"/>
    </row>
    <row r="689" ht="15" customHeight="1">
      <c r="A689" t="inlineStr">
        <is>
          <t>A 61745-2025</t>
        </is>
      </c>
      <c r="B689" s="1" t="n">
        <v>46002.60324074074</v>
      </c>
      <c r="C689" s="1" t="n">
        <v>46060</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6470-2024</t>
        </is>
      </c>
      <c r="B690" s="1" t="n">
        <v>45338</v>
      </c>
      <c r="C690" s="1" t="n">
        <v>46060</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58697-2024</t>
        </is>
      </c>
      <c r="B691" s="1" t="n">
        <v>45635.63706018519</v>
      </c>
      <c r="C691" s="1" t="n">
        <v>46060</v>
      </c>
      <c r="D691" t="inlineStr">
        <is>
          <t>ÖREBRO LÄN</t>
        </is>
      </c>
      <c r="E691" t="inlineStr">
        <is>
          <t>LINDESBERG</t>
        </is>
      </c>
      <c r="G691" t="n">
        <v>25.1</v>
      </c>
      <c r="H691" t="n">
        <v>0</v>
      </c>
      <c r="I691" t="n">
        <v>0</v>
      </c>
      <c r="J691" t="n">
        <v>0</v>
      </c>
      <c r="K691" t="n">
        <v>0</v>
      </c>
      <c r="L691" t="n">
        <v>0</v>
      </c>
      <c r="M691" t="n">
        <v>0</v>
      </c>
      <c r="N691" t="n">
        <v>0</v>
      </c>
      <c r="O691" t="n">
        <v>0</v>
      </c>
      <c r="P691" t="n">
        <v>0</v>
      </c>
      <c r="Q691" t="n">
        <v>0</v>
      </c>
      <c r="R691" s="2" t="inlineStr"/>
    </row>
    <row r="692" ht="15" customHeight="1">
      <c r="A692" t="inlineStr">
        <is>
          <t>A 45978-2021</t>
        </is>
      </c>
      <c r="B692" s="1" t="n">
        <v>44441.70047453704</v>
      </c>
      <c r="C692" s="1" t="n">
        <v>46060</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61758-2025</t>
        </is>
      </c>
      <c r="B693" s="1" t="n">
        <v>46002.61762731482</v>
      </c>
      <c r="C693" s="1" t="n">
        <v>46060</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11218-2025</t>
        </is>
      </c>
      <c r="B694" s="1" t="n">
        <v>45726.33763888889</v>
      </c>
      <c r="C694" s="1" t="n">
        <v>46060</v>
      </c>
      <c r="D694" t="inlineStr">
        <is>
          <t>ÖREBRO LÄN</t>
        </is>
      </c>
      <c r="E694" t="inlineStr">
        <is>
          <t>LINDESBERG</t>
        </is>
      </c>
      <c r="G694" t="n">
        <v>0.4</v>
      </c>
      <c r="H694" t="n">
        <v>0</v>
      </c>
      <c r="I694" t="n">
        <v>0</v>
      </c>
      <c r="J694" t="n">
        <v>0</v>
      </c>
      <c r="K694" t="n">
        <v>0</v>
      </c>
      <c r="L694" t="n">
        <v>0</v>
      </c>
      <c r="M694" t="n">
        <v>0</v>
      </c>
      <c r="N694" t="n">
        <v>0</v>
      </c>
      <c r="O694" t="n">
        <v>0</v>
      </c>
      <c r="P694" t="n">
        <v>0</v>
      </c>
      <c r="Q694" t="n">
        <v>0</v>
      </c>
      <c r="R694" s="2" t="inlineStr"/>
    </row>
    <row r="695" ht="15" customHeight="1">
      <c r="A695" t="inlineStr">
        <is>
          <t>A 11220-2025</t>
        </is>
      </c>
      <c r="B695" s="1" t="n">
        <v>45726.34090277777</v>
      </c>
      <c r="C695" s="1" t="n">
        <v>46060</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37616-2023</t>
        </is>
      </c>
      <c r="B696" s="1" t="n">
        <v>45159.44525462963</v>
      </c>
      <c r="C696" s="1" t="n">
        <v>46060</v>
      </c>
      <c r="D696" t="inlineStr">
        <is>
          <t>ÖREBRO LÄN</t>
        </is>
      </c>
      <c r="E696" t="inlineStr">
        <is>
          <t>LINDESBERG</t>
        </is>
      </c>
      <c r="G696" t="n">
        <v>5.3</v>
      </c>
      <c r="H696" t="n">
        <v>0</v>
      </c>
      <c r="I696" t="n">
        <v>0</v>
      </c>
      <c r="J696" t="n">
        <v>0</v>
      </c>
      <c r="K696" t="n">
        <v>0</v>
      </c>
      <c r="L696" t="n">
        <v>0</v>
      </c>
      <c r="M696" t="n">
        <v>0</v>
      </c>
      <c r="N696" t="n">
        <v>0</v>
      </c>
      <c r="O696" t="n">
        <v>0</v>
      </c>
      <c r="P696" t="n">
        <v>0</v>
      </c>
      <c r="Q696" t="n">
        <v>0</v>
      </c>
      <c r="R696" s="2" t="inlineStr"/>
    </row>
    <row r="697" ht="15" customHeight="1">
      <c r="A697" t="inlineStr">
        <is>
          <t>A 28562-2023</t>
        </is>
      </c>
      <c r="B697" s="1" t="n">
        <v>45103.53614583334</v>
      </c>
      <c r="C697" s="1" t="n">
        <v>46060</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58050-2025</t>
        </is>
      </c>
      <c r="B698" s="1" t="n">
        <v>45982</v>
      </c>
      <c r="C698" s="1" t="n">
        <v>46060</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58056-2025</t>
        </is>
      </c>
      <c r="B699" s="1" t="n">
        <v>45982</v>
      </c>
      <c r="C699" s="1" t="n">
        <v>46060</v>
      </c>
      <c r="D699" t="inlineStr">
        <is>
          <t>ÖREBRO LÄN</t>
        </is>
      </c>
      <c r="E699" t="inlineStr">
        <is>
          <t>LINDESBERG</t>
        </is>
      </c>
      <c r="G699" t="n">
        <v>0.9</v>
      </c>
      <c r="H699" t="n">
        <v>0</v>
      </c>
      <c r="I699" t="n">
        <v>0</v>
      </c>
      <c r="J699" t="n">
        <v>0</v>
      </c>
      <c r="K699" t="n">
        <v>0</v>
      </c>
      <c r="L699" t="n">
        <v>0</v>
      </c>
      <c r="M699" t="n">
        <v>0</v>
      </c>
      <c r="N699" t="n">
        <v>0</v>
      </c>
      <c r="O699" t="n">
        <v>0</v>
      </c>
      <c r="P699" t="n">
        <v>0</v>
      </c>
      <c r="Q699" t="n">
        <v>0</v>
      </c>
      <c r="R699" s="2" t="inlineStr"/>
    </row>
    <row r="700" ht="15" customHeight="1">
      <c r="A700" t="inlineStr">
        <is>
          <t>A 21016-2023</t>
        </is>
      </c>
      <c r="B700" s="1" t="n">
        <v>45061.53414351852</v>
      </c>
      <c r="C700" s="1" t="n">
        <v>46060</v>
      </c>
      <c r="D700" t="inlineStr">
        <is>
          <t>ÖREBRO LÄN</t>
        </is>
      </c>
      <c r="E700" t="inlineStr">
        <is>
          <t>LINDESBERG</t>
        </is>
      </c>
      <c r="G700" t="n">
        <v>8.1</v>
      </c>
      <c r="H700" t="n">
        <v>0</v>
      </c>
      <c r="I700" t="n">
        <v>0</v>
      </c>
      <c r="J700" t="n">
        <v>0</v>
      </c>
      <c r="K700" t="n">
        <v>0</v>
      </c>
      <c r="L700" t="n">
        <v>0</v>
      </c>
      <c r="M700" t="n">
        <v>0</v>
      </c>
      <c r="N700" t="n">
        <v>0</v>
      </c>
      <c r="O700" t="n">
        <v>0</v>
      </c>
      <c r="P700" t="n">
        <v>0</v>
      </c>
      <c r="Q700" t="n">
        <v>0</v>
      </c>
      <c r="R700" s="2" t="inlineStr"/>
    </row>
    <row r="701" ht="15" customHeight="1">
      <c r="A701" t="inlineStr">
        <is>
          <t>A 62383-2025</t>
        </is>
      </c>
      <c r="B701" s="1" t="n">
        <v>46007.3708449074</v>
      </c>
      <c r="C701" s="1" t="n">
        <v>46060</v>
      </c>
      <c r="D701" t="inlineStr">
        <is>
          <t>ÖREBRO LÄN</t>
        </is>
      </c>
      <c r="E701" t="inlineStr">
        <is>
          <t>LINDESBERG</t>
        </is>
      </c>
      <c r="G701" t="n">
        <v>3.5</v>
      </c>
      <c r="H701" t="n">
        <v>0</v>
      </c>
      <c r="I701" t="n">
        <v>0</v>
      </c>
      <c r="J701" t="n">
        <v>0</v>
      </c>
      <c r="K701" t="n">
        <v>0</v>
      </c>
      <c r="L701" t="n">
        <v>0</v>
      </c>
      <c r="M701" t="n">
        <v>0</v>
      </c>
      <c r="N701" t="n">
        <v>0</v>
      </c>
      <c r="O701" t="n">
        <v>0</v>
      </c>
      <c r="P701" t="n">
        <v>0</v>
      </c>
      <c r="Q701" t="n">
        <v>0</v>
      </c>
      <c r="R701" s="2" t="inlineStr"/>
    </row>
    <row r="702" ht="15" customHeight="1">
      <c r="A702" t="inlineStr">
        <is>
          <t>A 5235-2026</t>
        </is>
      </c>
      <c r="B702" s="1" t="n">
        <v>46049.84017361111</v>
      </c>
      <c r="C702" s="1" t="n">
        <v>46060</v>
      </c>
      <c r="D702" t="inlineStr">
        <is>
          <t>ÖREBRO LÄN</t>
        </is>
      </c>
      <c r="E702" t="inlineStr">
        <is>
          <t>LINDESBERG</t>
        </is>
      </c>
      <c r="G702" t="n">
        <v>4.8</v>
      </c>
      <c r="H702" t="n">
        <v>0</v>
      </c>
      <c r="I702" t="n">
        <v>0</v>
      </c>
      <c r="J702" t="n">
        <v>0</v>
      </c>
      <c r="K702" t="n">
        <v>0</v>
      </c>
      <c r="L702" t="n">
        <v>0</v>
      </c>
      <c r="M702" t="n">
        <v>0</v>
      </c>
      <c r="N702" t="n">
        <v>0</v>
      </c>
      <c r="O702" t="n">
        <v>0</v>
      </c>
      <c r="P702" t="n">
        <v>0</v>
      </c>
      <c r="Q702" t="n">
        <v>0</v>
      </c>
      <c r="R702" s="2" t="inlineStr"/>
    </row>
    <row r="703" ht="15" customHeight="1">
      <c r="A703" t="inlineStr">
        <is>
          <t>A 610-2026</t>
        </is>
      </c>
      <c r="B703" s="1" t="n">
        <v>46029</v>
      </c>
      <c r="C703" s="1" t="n">
        <v>46060</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64084-2023</t>
        </is>
      </c>
      <c r="B704" s="1" t="n">
        <v>45279</v>
      </c>
      <c r="C704" s="1" t="n">
        <v>46060</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33886-2024</t>
        </is>
      </c>
      <c r="B705" s="1" t="n">
        <v>45523.31621527778</v>
      </c>
      <c r="C705" s="1" t="n">
        <v>46060</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43046-2022</t>
        </is>
      </c>
      <c r="B706" s="1" t="n">
        <v>44833</v>
      </c>
      <c r="C706" s="1" t="n">
        <v>46060</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62866-2023</t>
        </is>
      </c>
      <c r="B707" s="1" t="n">
        <v>45272.36168981482</v>
      </c>
      <c r="C707" s="1" t="n">
        <v>46060</v>
      </c>
      <c r="D707" t="inlineStr">
        <is>
          <t>ÖREBRO LÄN</t>
        </is>
      </c>
      <c r="E707" t="inlineStr">
        <is>
          <t>LINDESBERG</t>
        </is>
      </c>
      <c r="G707" t="n">
        <v>14.5</v>
      </c>
      <c r="H707" t="n">
        <v>0</v>
      </c>
      <c r="I707" t="n">
        <v>0</v>
      </c>
      <c r="J707" t="n">
        <v>0</v>
      </c>
      <c r="K707" t="n">
        <v>0</v>
      </c>
      <c r="L707" t="n">
        <v>0</v>
      </c>
      <c r="M707" t="n">
        <v>0</v>
      </c>
      <c r="N707" t="n">
        <v>0</v>
      </c>
      <c r="O707" t="n">
        <v>0</v>
      </c>
      <c r="P707" t="n">
        <v>0</v>
      </c>
      <c r="Q707" t="n">
        <v>0</v>
      </c>
      <c r="R707" s="2" t="inlineStr"/>
    </row>
    <row r="708" ht="15" customHeight="1">
      <c r="A708" t="inlineStr">
        <is>
          <t>A 62246-2025</t>
        </is>
      </c>
      <c r="B708" s="1" t="n">
        <v>46006.60633101852</v>
      </c>
      <c r="C708" s="1" t="n">
        <v>46060</v>
      </c>
      <c r="D708" t="inlineStr">
        <is>
          <t>ÖREBRO LÄN</t>
        </is>
      </c>
      <c r="E708" t="inlineStr">
        <is>
          <t>LINDESBERG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6-2023</t>
        </is>
      </c>
      <c r="B709" s="1" t="n">
        <v>44927.72487268518</v>
      </c>
      <c r="C709" s="1" t="n">
        <v>46060</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13729-2025</t>
        </is>
      </c>
      <c r="B710" s="1" t="n">
        <v>45737.3846412037</v>
      </c>
      <c r="C710" s="1" t="n">
        <v>46060</v>
      </c>
      <c r="D710" t="inlineStr">
        <is>
          <t>ÖREBRO LÄN</t>
        </is>
      </c>
      <c r="E710" t="inlineStr">
        <is>
          <t>LINDESBERG</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41353-2024</t>
        </is>
      </c>
      <c r="B711" s="1" t="n">
        <v>45559</v>
      </c>
      <c r="C711" s="1" t="n">
        <v>46060</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63508-2023</t>
        </is>
      </c>
      <c r="B712" s="1" t="n">
        <v>45274</v>
      </c>
      <c r="C712" s="1" t="n">
        <v>46060</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63083-2025</t>
        </is>
      </c>
      <c r="B713" s="1" t="n">
        <v>46009.67175925926</v>
      </c>
      <c r="C713" s="1" t="n">
        <v>46060</v>
      </c>
      <c r="D713" t="inlineStr">
        <is>
          <t>ÖREBRO LÄN</t>
        </is>
      </c>
      <c r="E713" t="inlineStr">
        <is>
          <t>LINDESBERG</t>
        </is>
      </c>
      <c r="G713" t="n">
        <v>0.7</v>
      </c>
      <c r="H713" t="n">
        <v>0</v>
      </c>
      <c r="I713" t="n">
        <v>0</v>
      </c>
      <c r="J713" t="n">
        <v>0</v>
      </c>
      <c r="K713" t="n">
        <v>0</v>
      </c>
      <c r="L713" t="n">
        <v>0</v>
      </c>
      <c r="M713" t="n">
        <v>0</v>
      </c>
      <c r="N713" t="n">
        <v>0</v>
      </c>
      <c r="O713" t="n">
        <v>0</v>
      </c>
      <c r="P713" t="n">
        <v>0</v>
      </c>
      <c r="Q713" t="n">
        <v>0</v>
      </c>
      <c r="R713" s="2" t="inlineStr"/>
    </row>
    <row r="714" ht="15" customHeight="1">
      <c r="A714" t="inlineStr">
        <is>
          <t>A 36136-2023</t>
        </is>
      </c>
      <c r="B714" s="1" t="n">
        <v>45149</v>
      </c>
      <c r="C714" s="1" t="n">
        <v>46060</v>
      </c>
      <c r="D714" t="inlineStr">
        <is>
          <t>ÖREBRO LÄN</t>
        </is>
      </c>
      <c r="E714" t="inlineStr">
        <is>
          <t>LINDESBERG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63078-2025</t>
        </is>
      </c>
      <c r="B715" s="1" t="n">
        <v>46009</v>
      </c>
      <c r="C715" s="1" t="n">
        <v>46060</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46060</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34025-2024</t>
        </is>
      </c>
      <c r="B717" s="1" t="n">
        <v>45523.58565972222</v>
      </c>
      <c r="C717" s="1" t="n">
        <v>46060</v>
      </c>
      <c r="D717" t="inlineStr">
        <is>
          <t>ÖREBRO LÄN</t>
        </is>
      </c>
      <c r="E717" t="inlineStr">
        <is>
          <t>LINDESBERG</t>
        </is>
      </c>
      <c r="G717" t="n">
        <v>1.3</v>
      </c>
      <c r="H717" t="n">
        <v>0</v>
      </c>
      <c r="I717" t="n">
        <v>0</v>
      </c>
      <c r="J717" t="n">
        <v>0</v>
      </c>
      <c r="K717" t="n">
        <v>0</v>
      </c>
      <c r="L717" t="n">
        <v>0</v>
      </c>
      <c r="M717" t="n">
        <v>0</v>
      </c>
      <c r="N717" t="n">
        <v>0</v>
      </c>
      <c r="O717" t="n">
        <v>0</v>
      </c>
      <c r="P717" t="n">
        <v>0</v>
      </c>
      <c r="Q717" t="n">
        <v>0</v>
      </c>
      <c r="R717" s="2" t="inlineStr"/>
    </row>
    <row r="718" ht="15" customHeight="1">
      <c r="A718" t="inlineStr">
        <is>
          <t>A 19077-2025</t>
        </is>
      </c>
      <c r="B718" s="1" t="n">
        <v>45766.33309027777</v>
      </c>
      <c r="C718" s="1" t="n">
        <v>46060</v>
      </c>
      <c r="D718" t="inlineStr">
        <is>
          <t>ÖREBRO LÄN</t>
        </is>
      </c>
      <c r="E718" t="inlineStr">
        <is>
          <t>LINDESBERG</t>
        </is>
      </c>
      <c r="G718" t="n">
        <v>0</v>
      </c>
      <c r="H718" t="n">
        <v>0</v>
      </c>
      <c r="I718" t="n">
        <v>0</v>
      </c>
      <c r="J718" t="n">
        <v>0</v>
      </c>
      <c r="K718" t="n">
        <v>0</v>
      </c>
      <c r="L718" t="n">
        <v>0</v>
      </c>
      <c r="M718" t="n">
        <v>0</v>
      </c>
      <c r="N718" t="n">
        <v>0</v>
      </c>
      <c r="O718" t="n">
        <v>0</v>
      </c>
      <c r="P718" t="n">
        <v>0</v>
      </c>
      <c r="Q718" t="n">
        <v>0</v>
      </c>
      <c r="R718" s="2" t="inlineStr"/>
    </row>
    <row r="719" ht="15" customHeight="1">
      <c r="A719" t="inlineStr">
        <is>
          <t>A 62603-2025</t>
        </is>
      </c>
      <c r="B719" s="1" t="n">
        <v>46008.25765046296</v>
      </c>
      <c r="C719" s="1" t="n">
        <v>46060</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5717-2026</t>
        </is>
      </c>
      <c r="B720" s="1" t="n">
        <v>46051.53689814815</v>
      </c>
      <c r="C720" s="1" t="n">
        <v>46060</v>
      </c>
      <c r="D720" t="inlineStr">
        <is>
          <t>ÖREBRO LÄN</t>
        </is>
      </c>
      <c r="E720" t="inlineStr">
        <is>
          <t>LINDESBERG</t>
        </is>
      </c>
      <c r="G720" t="n">
        <v>6</v>
      </c>
      <c r="H720" t="n">
        <v>0</v>
      </c>
      <c r="I720" t="n">
        <v>0</v>
      </c>
      <c r="J720" t="n">
        <v>0</v>
      </c>
      <c r="K720" t="n">
        <v>0</v>
      </c>
      <c r="L720" t="n">
        <v>0</v>
      </c>
      <c r="M720" t="n">
        <v>0</v>
      </c>
      <c r="N720" t="n">
        <v>0</v>
      </c>
      <c r="O720" t="n">
        <v>0</v>
      </c>
      <c r="P720" t="n">
        <v>0</v>
      </c>
      <c r="Q720" t="n">
        <v>0</v>
      </c>
      <c r="R720" s="2" t="inlineStr"/>
    </row>
    <row r="721" ht="15" customHeight="1">
      <c r="A721" t="inlineStr">
        <is>
          <t>A 13884-2023</t>
        </is>
      </c>
      <c r="B721" s="1" t="n">
        <v>45007</v>
      </c>
      <c r="C721" s="1" t="n">
        <v>46060</v>
      </c>
      <c r="D721" t="inlineStr">
        <is>
          <t>ÖREBRO LÄN</t>
        </is>
      </c>
      <c r="E721" t="inlineStr">
        <is>
          <t>LINDESBERG</t>
        </is>
      </c>
      <c r="F721" t="inlineStr">
        <is>
          <t>Kommuner</t>
        </is>
      </c>
      <c r="G721" t="n">
        <v>7.7</v>
      </c>
      <c r="H721" t="n">
        <v>0</v>
      </c>
      <c r="I721" t="n">
        <v>0</v>
      </c>
      <c r="J721" t="n">
        <v>0</v>
      </c>
      <c r="K721" t="n">
        <v>0</v>
      </c>
      <c r="L721" t="n">
        <v>0</v>
      </c>
      <c r="M721" t="n">
        <v>0</v>
      </c>
      <c r="N721" t="n">
        <v>0</v>
      </c>
      <c r="O721" t="n">
        <v>0</v>
      </c>
      <c r="P721" t="n">
        <v>0</v>
      </c>
      <c r="Q721" t="n">
        <v>0</v>
      </c>
      <c r="R721" s="2" t="inlineStr"/>
    </row>
    <row r="722" ht="15" customHeight="1">
      <c r="A722" t="inlineStr">
        <is>
          <t>A 50275-2024</t>
        </is>
      </c>
      <c r="B722" s="1" t="n">
        <v>45600.60071759259</v>
      </c>
      <c r="C722" s="1" t="n">
        <v>46060</v>
      </c>
      <c r="D722" t="inlineStr">
        <is>
          <t>ÖREBRO LÄN</t>
        </is>
      </c>
      <c r="E722" t="inlineStr">
        <is>
          <t>LINDESBERG</t>
        </is>
      </c>
      <c r="G722" t="n">
        <v>4.3</v>
      </c>
      <c r="H722" t="n">
        <v>0</v>
      </c>
      <c r="I722" t="n">
        <v>0</v>
      </c>
      <c r="J722" t="n">
        <v>0</v>
      </c>
      <c r="K722" t="n">
        <v>0</v>
      </c>
      <c r="L722" t="n">
        <v>0</v>
      </c>
      <c r="M722" t="n">
        <v>0</v>
      </c>
      <c r="N722" t="n">
        <v>0</v>
      </c>
      <c r="O722" t="n">
        <v>0</v>
      </c>
      <c r="P722" t="n">
        <v>0</v>
      </c>
      <c r="Q722" t="n">
        <v>0</v>
      </c>
      <c r="R722" s="2" t="inlineStr"/>
    </row>
    <row r="723" ht="15" customHeight="1">
      <c r="A723" t="inlineStr">
        <is>
          <t>A 17463-2023</t>
        </is>
      </c>
      <c r="B723" s="1" t="n">
        <v>45036</v>
      </c>
      <c r="C723" s="1" t="n">
        <v>46060</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62604-2025</t>
        </is>
      </c>
      <c r="B724" s="1" t="n">
        <v>46008.26085648148</v>
      </c>
      <c r="C724" s="1" t="n">
        <v>46060</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10712-2021</t>
        </is>
      </c>
      <c r="B725" s="1" t="n">
        <v>44258</v>
      </c>
      <c r="C725" s="1" t="n">
        <v>46060</v>
      </c>
      <c r="D725" t="inlineStr">
        <is>
          <t>ÖREBRO LÄN</t>
        </is>
      </c>
      <c r="E725" t="inlineStr">
        <is>
          <t>LINDESBERG</t>
        </is>
      </c>
      <c r="G725" t="n">
        <v>0.7</v>
      </c>
      <c r="H725" t="n">
        <v>0</v>
      </c>
      <c r="I725" t="n">
        <v>0</v>
      </c>
      <c r="J725" t="n">
        <v>0</v>
      </c>
      <c r="K725" t="n">
        <v>0</v>
      </c>
      <c r="L725" t="n">
        <v>0</v>
      </c>
      <c r="M725" t="n">
        <v>0</v>
      </c>
      <c r="N725" t="n">
        <v>0</v>
      </c>
      <c r="O725" t="n">
        <v>0</v>
      </c>
      <c r="P725" t="n">
        <v>0</v>
      </c>
      <c r="Q725" t="n">
        <v>0</v>
      </c>
      <c r="R725" s="2" t="inlineStr"/>
    </row>
    <row r="726" ht="15" customHeight="1">
      <c r="A726" t="inlineStr">
        <is>
          <t>A 14522-2025</t>
        </is>
      </c>
      <c r="B726" s="1" t="n">
        <v>45741.64491898148</v>
      </c>
      <c r="C726" s="1" t="n">
        <v>46060</v>
      </c>
      <c r="D726" t="inlineStr">
        <is>
          <t>ÖREBRO LÄN</t>
        </is>
      </c>
      <c r="E726" t="inlineStr">
        <is>
          <t>LINDESBERG</t>
        </is>
      </c>
      <c r="G726" t="n">
        <v>4.5</v>
      </c>
      <c r="H726" t="n">
        <v>0</v>
      </c>
      <c r="I726" t="n">
        <v>0</v>
      </c>
      <c r="J726" t="n">
        <v>0</v>
      </c>
      <c r="K726" t="n">
        <v>0</v>
      </c>
      <c r="L726" t="n">
        <v>0</v>
      </c>
      <c r="M726" t="n">
        <v>0</v>
      </c>
      <c r="N726" t="n">
        <v>0</v>
      </c>
      <c r="O726" t="n">
        <v>0</v>
      </c>
      <c r="P726" t="n">
        <v>0</v>
      </c>
      <c r="Q726" t="n">
        <v>0</v>
      </c>
      <c r="R726" s="2" t="inlineStr"/>
    </row>
    <row r="727" ht="15" customHeight="1">
      <c r="A727" t="inlineStr">
        <is>
          <t>A 36001-2021</t>
        </is>
      </c>
      <c r="B727" s="1" t="n">
        <v>44389</v>
      </c>
      <c r="C727" s="1" t="n">
        <v>46060</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33280-2024</t>
        </is>
      </c>
      <c r="B728" s="1" t="n">
        <v>45518.71048611111</v>
      </c>
      <c r="C728" s="1" t="n">
        <v>46060</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33281-2024</t>
        </is>
      </c>
      <c r="B729" s="1" t="n">
        <v>45518.71202546296</v>
      </c>
      <c r="C729" s="1" t="n">
        <v>46060</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33283-2024</t>
        </is>
      </c>
      <c r="B730" s="1" t="n">
        <v>45518.71591435185</v>
      </c>
      <c r="C730" s="1" t="n">
        <v>46060</v>
      </c>
      <c r="D730" t="inlineStr">
        <is>
          <t>ÖREBRO LÄN</t>
        </is>
      </c>
      <c r="E730" t="inlineStr">
        <is>
          <t>LINDESBERG</t>
        </is>
      </c>
      <c r="G730" t="n">
        <v>3.9</v>
      </c>
      <c r="H730" t="n">
        <v>0</v>
      </c>
      <c r="I730" t="n">
        <v>0</v>
      </c>
      <c r="J730" t="n">
        <v>0</v>
      </c>
      <c r="K730" t="n">
        <v>0</v>
      </c>
      <c r="L730" t="n">
        <v>0</v>
      </c>
      <c r="M730" t="n">
        <v>0</v>
      </c>
      <c r="N730" t="n">
        <v>0</v>
      </c>
      <c r="O730" t="n">
        <v>0</v>
      </c>
      <c r="P730" t="n">
        <v>0</v>
      </c>
      <c r="Q730" t="n">
        <v>0</v>
      </c>
      <c r="R730" s="2" t="inlineStr"/>
    </row>
    <row r="731" ht="15" customHeight="1">
      <c r="A731" t="inlineStr">
        <is>
          <t>A 39140-2024</t>
        </is>
      </c>
      <c r="B731" s="1" t="n">
        <v>45548</v>
      </c>
      <c r="C731" s="1" t="n">
        <v>46060</v>
      </c>
      <c r="D731" t="inlineStr">
        <is>
          <t>ÖREBRO LÄN</t>
        </is>
      </c>
      <c r="E731" t="inlineStr">
        <is>
          <t>LINDESBERG</t>
        </is>
      </c>
      <c r="F731" t="inlineStr">
        <is>
          <t>Sveaskog</t>
        </is>
      </c>
      <c r="G731" t="n">
        <v>1.5</v>
      </c>
      <c r="H731" t="n">
        <v>0</v>
      </c>
      <c r="I731" t="n">
        <v>0</v>
      </c>
      <c r="J731" t="n">
        <v>0</v>
      </c>
      <c r="K731" t="n">
        <v>0</v>
      </c>
      <c r="L731" t="n">
        <v>0</v>
      </c>
      <c r="M731" t="n">
        <v>0</v>
      </c>
      <c r="N731" t="n">
        <v>0</v>
      </c>
      <c r="O731" t="n">
        <v>0</v>
      </c>
      <c r="P731" t="n">
        <v>0</v>
      </c>
      <c r="Q731" t="n">
        <v>0</v>
      </c>
      <c r="R731" s="2" t="inlineStr"/>
    </row>
    <row r="732" ht="15" customHeight="1">
      <c r="A732" t="inlineStr">
        <is>
          <t>A 63526-2025</t>
        </is>
      </c>
      <c r="B732" s="1" t="n">
        <v>46013</v>
      </c>
      <c r="C732" s="1" t="n">
        <v>46060</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5928-2026</t>
        </is>
      </c>
      <c r="B733" s="1" t="n">
        <v>46052.46519675926</v>
      </c>
      <c r="C733" s="1" t="n">
        <v>46060</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61736-2025</t>
        </is>
      </c>
      <c r="B734" s="1" t="n">
        <v>46002</v>
      </c>
      <c r="C734" s="1" t="n">
        <v>46060</v>
      </c>
      <c r="D734" t="inlineStr">
        <is>
          <t>ÖREBRO LÄN</t>
        </is>
      </c>
      <c r="E734" t="inlineStr">
        <is>
          <t>LINDESBERG</t>
        </is>
      </c>
      <c r="G734" t="n">
        <v>4.5</v>
      </c>
      <c r="H734" t="n">
        <v>0</v>
      </c>
      <c r="I734" t="n">
        <v>0</v>
      </c>
      <c r="J734" t="n">
        <v>0</v>
      </c>
      <c r="K734" t="n">
        <v>0</v>
      </c>
      <c r="L734" t="n">
        <v>0</v>
      </c>
      <c r="M734" t="n">
        <v>0</v>
      </c>
      <c r="N734" t="n">
        <v>0</v>
      </c>
      <c r="O734" t="n">
        <v>0</v>
      </c>
      <c r="P734" t="n">
        <v>0</v>
      </c>
      <c r="Q734" t="n">
        <v>0</v>
      </c>
      <c r="R734" s="2" t="inlineStr"/>
    </row>
    <row r="735" ht="15" customHeight="1">
      <c r="A735" t="inlineStr">
        <is>
          <t>A 61739-2025</t>
        </is>
      </c>
      <c r="B735" s="1" t="n">
        <v>46002</v>
      </c>
      <c r="C735" s="1" t="n">
        <v>46060</v>
      </c>
      <c r="D735" t="inlineStr">
        <is>
          <t>ÖREBRO LÄN</t>
        </is>
      </c>
      <c r="E735" t="inlineStr">
        <is>
          <t>LINDESBERG</t>
        </is>
      </c>
      <c r="G735" t="n">
        <v>5.3</v>
      </c>
      <c r="H735" t="n">
        <v>0</v>
      </c>
      <c r="I735" t="n">
        <v>0</v>
      </c>
      <c r="J735" t="n">
        <v>0</v>
      </c>
      <c r="K735" t="n">
        <v>0</v>
      </c>
      <c r="L735" t="n">
        <v>0</v>
      </c>
      <c r="M735" t="n">
        <v>0</v>
      </c>
      <c r="N735" t="n">
        <v>0</v>
      </c>
      <c r="O735" t="n">
        <v>0</v>
      </c>
      <c r="P735" t="n">
        <v>0</v>
      </c>
      <c r="Q735" t="n">
        <v>0</v>
      </c>
      <c r="R735" s="2" t="inlineStr"/>
    </row>
    <row r="736" ht="15" customHeight="1">
      <c r="A736" t="inlineStr">
        <is>
          <t>A 3659-2026</t>
        </is>
      </c>
      <c r="B736" s="1" t="n">
        <v>46043</v>
      </c>
      <c r="C736" s="1" t="n">
        <v>46060</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3951-2026</t>
        </is>
      </c>
      <c r="B737" s="1" t="n">
        <v>46044</v>
      </c>
      <c r="C737" s="1" t="n">
        <v>46060</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32928-2023</t>
        </is>
      </c>
      <c r="B738" s="1" t="n">
        <v>45125.41458333333</v>
      </c>
      <c r="C738" s="1" t="n">
        <v>46060</v>
      </c>
      <c r="D738" t="inlineStr">
        <is>
          <t>ÖREBRO LÄN</t>
        </is>
      </c>
      <c r="E738" t="inlineStr">
        <is>
          <t>LINDESBERG</t>
        </is>
      </c>
      <c r="G738" t="n">
        <v>4.8</v>
      </c>
      <c r="H738" t="n">
        <v>0</v>
      </c>
      <c r="I738" t="n">
        <v>0</v>
      </c>
      <c r="J738" t="n">
        <v>0</v>
      </c>
      <c r="K738" t="n">
        <v>0</v>
      </c>
      <c r="L738" t="n">
        <v>0</v>
      </c>
      <c r="M738" t="n">
        <v>0</v>
      </c>
      <c r="N738" t="n">
        <v>0</v>
      </c>
      <c r="O738" t="n">
        <v>0</v>
      </c>
      <c r="P738" t="n">
        <v>0</v>
      </c>
      <c r="Q738" t="n">
        <v>0</v>
      </c>
      <c r="R738" s="2" t="inlineStr"/>
    </row>
    <row r="739" ht="15" customHeight="1">
      <c r="A739" t="inlineStr">
        <is>
          <t>A 32994-2023</t>
        </is>
      </c>
      <c r="B739" s="1" t="n">
        <v>45113</v>
      </c>
      <c r="C739" s="1" t="n">
        <v>46060</v>
      </c>
      <c r="D739" t="inlineStr">
        <is>
          <t>ÖREBRO LÄN</t>
        </is>
      </c>
      <c r="E739" t="inlineStr">
        <is>
          <t>LINDESBERG</t>
        </is>
      </c>
      <c r="G739" t="n">
        <v>2.3</v>
      </c>
      <c r="H739" t="n">
        <v>0</v>
      </c>
      <c r="I739" t="n">
        <v>0</v>
      </c>
      <c r="J739" t="n">
        <v>0</v>
      </c>
      <c r="K739" t="n">
        <v>0</v>
      </c>
      <c r="L739" t="n">
        <v>0</v>
      </c>
      <c r="M739" t="n">
        <v>0</v>
      </c>
      <c r="N739" t="n">
        <v>0</v>
      </c>
      <c r="O739" t="n">
        <v>0</v>
      </c>
      <c r="P739" t="n">
        <v>0</v>
      </c>
      <c r="Q739" t="n">
        <v>0</v>
      </c>
      <c r="R739" s="2" t="inlineStr"/>
    </row>
    <row r="740" ht="15" customHeight="1">
      <c r="A740" t="inlineStr">
        <is>
          <t>A 45062-2022</t>
        </is>
      </c>
      <c r="B740" s="1" t="n">
        <v>44841</v>
      </c>
      <c r="C740" s="1" t="n">
        <v>46060</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6616-2026</t>
        </is>
      </c>
      <c r="B741" s="1" t="n">
        <v>46056.49075231481</v>
      </c>
      <c r="C741" s="1" t="n">
        <v>46060</v>
      </c>
      <c r="D741" t="inlineStr">
        <is>
          <t>ÖREBRO LÄN</t>
        </is>
      </c>
      <c r="E741" t="inlineStr">
        <is>
          <t>LINDESBERG</t>
        </is>
      </c>
      <c r="G741" t="n">
        <v>9</v>
      </c>
      <c r="H741" t="n">
        <v>0</v>
      </c>
      <c r="I741" t="n">
        <v>0</v>
      </c>
      <c r="J741" t="n">
        <v>0</v>
      </c>
      <c r="K741" t="n">
        <v>0</v>
      </c>
      <c r="L741" t="n">
        <v>0</v>
      </c>
      <c r="M741" t="n">
        <v>0</v>
      </c>
      <c r="N741" t="n">
        <v>0</v>
      </c>
      <c r="O741" t="n">
        <v>0</v>
      </c>
      <c r="P741" t="n">
        <v>0</v>
      </c>
      <c r="Q741" t="n">
        <v>0</v>
      </c>
      <c r="R741" s="2" t="inlineStr"/>
    </row>
    <row r="742" ht="15" customHeight="1">
      <c r="A742" t="inlineStr">
        <is>
          <t>A 6520-2026</t>
        </is>
      </c>
      <c r="B742" s="1" t="n">
        <v>46056.40149305556</v>
      </c>
      <c r="C742" s="1" t="n">
        <v>46060</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21012-2023</t>
        </is>
      </c>
      <c r="B743" s="1" t="n">
        <v>45061.52474537037</v>
      </c>
      <c r="C743" s="1" t="n">
        <v>46060</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6524-2026</t>
        </is>
      </c>
      <c r="B744" s="1" t="n">
        <v>46056.40425925926</v>
      </c>
      <c r="C744" s="1" t="n">
        <v>46060</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40456-2023</t>
        </is>
      </c>
      <c r="B745" s="1" t="n">
        <v>45170</v>
      </c>
      <c r="C745" s="1" t="n">
        <v>46060</v>
      </c>
      <c r="D745" t="inlineStr">
        <is>
          <t>ÖREBRO LÄN</t>
        </is>
      </c>
      <c r="E745" t="inlineStr">
        <is>
          <t>LINDESBERG</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42282-2024</t>
        </is>
      </c>
      <c r="B746" s="1" t="n">
        <v>45562.61158564815</v>
      </c>
      <c r="C746" s="1" t="n">
        <v>46060</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32262-2021</t>
        </is>
      </c>
      <c r="B747" s="1" t="n">
        <v>44371.47609953704</v>
      </c>
      <c r="C747" s="1" t="n">
        <v>46060</v>
      </c>
      <c r="D747" t="inlineStr">
        <is>
          <t>ÖREBRO LÄN</t>
        </is>
      </c>
      <c r="E747" t="inlineStr">
        <is>
          <t>LINDESBERG</t>
        </is>
      </c>
      <c r="G747" t="n">
        <v>0.9</v>
      </c>
      <c r="H747" t="n">
        <v>0</v>
      </c>
      <c r="I747" t="n">
        <v>0</v>
      </c>
      <c r="J747" t="n">
        <v>0</v>
      </c>
      <c r="K747" t="n">
        <v>0</v>
      </c>
      <c r="L747" t="n">
        <v>0</v>
      </c>
      <c r="M747" t="n">
        <v>0</v>
      </c>
      <c r="N747" t="n">
        <v>0</v>
      </c>
      <c r="O747" t="n">
        <v>0</v>
      </c>
      <c r="P747" t="n">
        <v>0</v>
      </c>
      <c r="Q747" t="n">
        <v>0</v>
      </c>
      <c r="R747" s="2" t="inlineStr"/>
    </row>
    <row r="748" ht="15" customHeight="1">
      <c r="A748" t="inlineStr">
        <is>
          <t>A 27576-2024</t>
        </is>
      </c>
      <c r="B748" s="1" t="n">
        <v>45474.65005787037</v>
      </c>
      <c r="C748" s="1" t="n">
        <v>46060</v>
      </c>
      <c r="D748" t="inlineStr">
        <is>
          <t>ÖREBRO LÄN</t>
        </is>
      </c>
      <c r="E748" t="inlineStr">
        <is>
          <t>LINDESBERG</t>
        </is>
      </c>
      <c r="F748" t="inlineStr">
        <is>
          <t>Kyrkan</t>
        </is>
      </c>
      <c r="G748" t="n">
        <v>1.3</v>
      </c>
      <c r="H748" t="n">
        <v>0</v>
      </c>
      <c r="I748" t="n">
        <v>0</v>
      </c>
      <c r="J748" t="n">
        <v>0</v>
      </c>
      <c r="K748" t="n">
        <v>0</v>
      </c>
      <c r="L748" t="n">
        <v>0</v>
      </c>
      <c r="M748" t="n">
        <v>0</v>
      </c>
      <c r="N748" t="n">
        <v>0</v>
      </c>
      <c r="O748" t="n">
        <v>0</v>
      </c>
      <c r="P748" t="n">
        <v>0</v>
      </c>
      <c r="Q748" t="n">
        <v>0</v>
      </c>
      <c r="R748" s="2" t="inlineStr"/>
    </row>
    <row r="749" ht="15" customHeight="1">
      <c r="A749" t="inlineStr">
        <is>
          <t>A 32099-2024</t>
        </is>
      </c>
      <c r="B749" s="1" t="n">
        <v>45511.40297453704</v>
      </c>
      <c r="C749" s="1" t="n">
        <v>46060</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6989-2026</t>
        </is>
      </c>
      <c r="B750" s="1" t="n">
        <v>46057.60342592592</v>
      </c>
      <c r="C750" s="1" t="n">
        <v>46060</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8836-2023</t>
        </is>
      </c>
      <c r="B751" s="1" t="n">
        <v>44978</v>
      </c>
      <c r="C751" s="1" t="n">
        <v>46060</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5772-2023</t>
        </is>
      </c>
      <c r="B752" s="1" t="n">
        <v>44963.37709490741</v>
      </c>
      <c r="C752" s="1" t="n">
        <v>46060</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3026-2026</t>
        </is>
      </c>
      <c r="B753" s="1" t="n">
        <v>46038</v>
      </c>
      <c r="C753" s="1" t="n">
        <v>46060</v>
      </c>
      <c r="D753" t="inlineStr">
        <is>
          <t>ÖREBRO LÄN</t>
        </is>
      </c>
      <c r="E753" t="inlineStr">
        <is>
          <t>LINDESBERG</t>
        </is>
      </c>
      <c r="G753" t="n">
        <v>10.3</v>
      </c>
      <c r="H753" t="n">
        <v>0</v>
      </c>
      <c r="I753" t="n">
        <v>0</v>
      </c>
      <c r="J753" t="n">
        <v>0</v>
      </c>
      <c r="K753" t="n">
        <v>0</v>
      </c>
      <c r="L753" t="n">
        <v>0</v>
      </c>
      <c r="M753" t="n">
        <v>0</v>
      </c>
      <c r="N753" t="n">
        <v>0</v>
      </c>
      <c r="O753" t="n">
        <v>0</v>
      </c>
      <c r="P753" t="n">
        <v>0</v>
      </c>
      <c r="Q753" t="n">
        <v>0</v>
      </c>
      <c r="R753" s="2" t="inlineStr"/>
    </row>
    <row r="754" ht="15" customHeight="1">
      <c r="A754" t="inlineStr">
        <is>
          <t>A 36024-2021</t>
        </is>
      </c>
      <c r="B754" s="1" t="n">
        <v>44389</v>
      </c>
      <c r="C754" s="1" t="n">
        <v>46060</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7098-2026</t>
        </is>
      </c>
      <c r="B755" s="1" t="n">
        <v>46058.35196759259</v>
      </c>
      <c r="C755" s="1" t="n">
        <v>46060</v>
      </c>
      <c r="D755" t="inlineStr">
        <is>
          <t>ÖREBRO LÄN</t>
        </is>
      </c>
      <c r="E755" t="inlineStr">
        <is>
          <t>LINDESBERG</t>
        </is>
      </c>
      <c r="G755" t="n">
        <v>1.9</v>
      </c>
      <c r="H755" t="n">
        <v>0</v>
      </c>
      <c r="I755" t="n">
        <v>0</v>
      </c>
      <c r="J755" t="n">
        <v>0</v>
      </c>
      <c r="K755" t="n">
        <v>0</v>
      </c>
      <c r="L755" t="n">
        <v>0</v>
      </c>
      <c r="M755" t="n">
        <v>0</v>
      </c>
      <c r="N755" t="n">
        <v>0</v>
      </c>
      <c r="O755" t="n">
        <v>0</v>
      </c>
      <c r="P755" t="n">
        <v>0</v>
      </c>
      <c r="Q755" t="n">
        <v>0</v>
      </c>
      <c r="R755" s="2" t="inlineStr"/>
    </row>
    <row r="756" ht="15" customHeight="1">
      <c r="A756" t="inlineStr">
        <is>
          <t>A 11559-2024</t>
        </is>
      </c>
      <c r="B756" s="1" t="n">
        <v>45373.30434027778</v>
      </c>
      <c r="C756" s="1" t="n">
        <v>46060</v>
      </c>
      <c r="D756" t="inlineStr">
        <is>
          <t>ÖREBRO LÄN</t>
        </is>
      </c>
      <c r="E756" t="inlineStr">
        <is>
          <t>LINDESBERG</t>
        </is>
      </c>
      <c r="F756" t="inlineStr">
        <is>
          <t>BillerudKorsnäs AB</t>
        </is>
      </c>
      <c r="G756" t="n">
        <v>1.9</v>
      </c>
      <c r="H756" t="n">
        <v>0</v>
      </c>
      <c r="I756" t="n">
        <v>0</v>
      </c>
      <c r="J756" t="n">
        <v>0</v>
      </c>
      <c r="K756" t="n">
        <v>0</v>
      </c>
      <c r="L756" t="n">
        <v>0</v>
      </c>
      <c r="M756" t="n">
        <v>0</v>
      </c>
      <c r="N756" t="n">
        <v>0</v>
      </c>
      <c r="O756" t="n">
        <v>0</v>
      </c>
      <c r="P756" t="n">
        <v>0</v>
      </c>
      <c r="Q756" t="n">
        <v>0</v>
      </c>
      <c r="R756" s="2" t="inlineStr"/>
    </row>
    <row r="757" ht="15" customHeight="1">
      <c r="A757" t="inlineStr">
        <is>
          <t>A 13472-2023</t>
        </is>
      </c>
      <c r="B757" s="1" t="n">
        <v>45005</v>
      </c>
      <c r="C757" s="1" t="n">
        <v>46060</v>
      </c>
      <c r="D757" t="inlineStr">
        <is>
          <t>ÖREBRO LÄN</t>
        </is>
      </c>
      <c r="E757" t="inlineStr">
        <is>
          <t>LINDESBERG</t>
        </is>
      </c>
      <c r="G757" t="n">
        <v>2.5</v>
      </c>
      <c r="H757" t="n">
        <v>0</v>
      </c>
      <c r="I757" t="n">
        <v>0</v>
      </c>
      <c r="J757" t="n">
        <v>0</v>
      </c>
      <c r="K757" t="n">
        <v>0</v>
      </c>
      <c r="L757" t="n">
        <v>0</v>
      </c>
      <c r="M757" t="n">
        <v>0</v>
      </c>
      <c r="N757" t="n">
        <v>0</v>
      </c>
      <c r="O757" t="n">
        <v>0</v>
      </c>
      <c r="P757" t="n">
        <v>0</v>
      </c>
      <c r="Q757" t="n">
        <v>0</v>
      </c>
      <c r="R757" s="2" t="inlineStr"/>
    </row>
    <row r="758" ht="15" customHeight="1">
      <c r="A758" t="inlineStr">
        <is>
          <t>A 7202-2026</t>
        </is>
      </c>
      <c r="B758" s="1" t="n">
        <v>46058.52864583334</v>
      </c>
      <c r="C758" s="1" t="n">
        <v>46060</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7069-2026</t>
        </is>
      </c>
      <c r="B759" s="1" t="n">
        <v>46058.30956018518</v>
      </c>
      <c r="C759" s="1" t="n">
        <v>46060</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17087-2023</t>
        </is>
      </c>
      <c r="B760" s="1" t="n">
        <v>45034.5174537037</v>
      </c>
      <c r="C760" s="1" t="n">
        <v>46060</v>
      </c>
      <c r="D760" t="inlineStr">
        <is>
          <t>ÖREBRO LÄN</t>
        </is>
      </c>
      <c r="E760" t="inlineStr">
        <is>
          <t>LINDESBERG</t>
        </is>
      </c>
      <c r="G760" t="n">
        <v>2.7</v>
      </c>
      <c r="H760" t="n">
        <v>0</v>
      </c>
      <c r="I760" t="n">
        <v>0</v>
      </c>
      <c r="J760" t="n">
        <v>0</v>
      </c>
      <c r="K760" t="n">
        <v>0</v>
      </c>
      <c r="L760" t="n">
        <v>0</v>
      </c>
      <c r="M760" t="n">
        <v>0</v>
      </c>
      <c r="N760" t="n">
        <v>0</v>
      </c>
      <c r="O760" t="n">
        <v>0</v>
      </c>
      <c r="P760" t="n">
        <v>0</v>
      </c>
      <c r="Q760" t="n">
        <v>0</v>
      </c>
      <c r="R760" s="2" t="inlineStr"/>
    </row>
    <row r="761" ht="15" customHeight="1">
      <c r="A761" t="inlineStr">
        <is>
          <t>A 7121-2026</t>
        </is>
      </c>
      <c r="B761" s="1" t="n">
        <v>46058.38300925926</v>
      </c>
      <c r="C761" s="1" t="n">
        <v>46060</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61222-2022</t>
        </is>
      </c>
      <c r="B762" s="1" t="n">
        <v>44909</v>
      </c>
      <c r="C762" s="1" t="n">
        <v>46060</v>
      </c>
      <c r="D762" t="inlineStr">
        <is>
          <t>ÖREBRO LÄN</t>
        </is>
      </c>
      <c r="E762" t="inlineStr">
        <is>
          <t>LINDESBERG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46484-2024</t>
        </is>
      </c>
      <c r="B763" s="1" t="n">
        <v>45582.57542824074</v>
      </c>
      <c r="C763" s="1" t="n">
        <v>46060</v>
      </c>
      <c r="D763" t="inlineStr">
        <is>
          <t>ÖREBRO LÄN</t>
        </is>
      </c>
      <c r="E763" t="inlineStr">
        <is>
          <t>LINDESBERG</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41576-2021</t>
        </is>
      </c>
      <c r="B764" s="1" t="n">
        <v>44425</v>
      </c>
      <c r="C764" s="1" t="n">
        <v>46060</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58741-2024</t>
        </is>
      </c>
      <c r="B765" s="1" t="n">
        <v>45635.69581018519</v>
      </c>
      <c r="C765" s="1" t="n">
        <v>46060</v>
      </c>
      <c r="D765" t="inlineStr">
        <is>
          <t>ÖREBRO LÄN</t>
        </is>
      </c>
      <c r="E765" t="inlineStr">
        <is>
          <t>LINDESBERG</t>
        </is>
      </c>
      <c r="G765" t="n">
        <v>1.5</v>
      </c>
      <c r="H765" t="n">
        <v>0</v>
      </c>
      <c r="I765" t="n">
        <v>0</v>
      </c>
      <c r="J765" t="n">
        <v>0</v>
      </c>
      <c r="K765" t="n">
        <v>0</v>
      </c>
      <c r="L765" t="n">
        <v>0</v>
      </c>
      <c r="M765" t="n">
        <v>0</v>
      </c>
      <c r="N765" t="n">
        <v>0</v>
      </c>
      <c r="O765" t="n">
        <v>0</v>
      </c>
      <c r="P765" t="n">
        <v>0</v>
      </c>
      <c r="Q765" t="n">
        <v>0</v>
      </c>
      <c r="R765" s="2" t="inlineStr"/>
    </row>
    <row r="766" ht="15" customHeight="1">
      <c r="A766" t="inlineStr">
        <is>
          <t>A 26967-2022</t>
        </is>
      </c>
      <c r="B766" s="1" t="n">
        <v>44740.66997685185</v>
      </c>
      <c r="C766" s="1" t="n">
        <v>46060</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43066-2021</t>
        </is>
      </c>
      <c r="B767" s="1" t="n">
        <v>44431</v>
      </c>
      <c r="C767" s="1" t="n">
        <v>46060</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16791-2024</t>
        </is>
      </c>
      <c r="B768" s="1" t="n">
        <v>45411.42858796296</v>
      </c>
      <c r="C768" s="1" t="n">
        <v>46060</v>
      </c>
      <c r="D768" t="inlineStr">
        <is>
          <t>ÖREBRO LÄN</t>
        </is>
      </c>
      <c r="E768" t="inlineStr">
        <is>
          <t>LINDESBERG</t>
        </is>
      </c>
      <c r="G768" t="n">
        <v>16.1</v>
      </c>
      <c r="H768" t="n">
        <v>0</v>
      </c>
      <c r="I768" t="n">
        <v>0</v>
      </c>
      <c r="J768" t="n">
        <v>0</v>
      </c>
      <c r="K768" t="n">
        <v>0</v>
      </c>
      <c r="L768" t="n">
        <v>0</v>
      </c>
      <c r="M768" t="n">
        <v>0</v>
      </c>
      <c r="N768" t="n">
        <v>0</v>
      </c>
      <c r="O768" t="n">
        <v>0</v>
      </c>
      <c r="P768" t="n">
        <v>0</v>
      </c>
      <c r="Q768" t="n">
        <v>0</v>
      </c>
      <c r="R768" s="2" t="inlineStr"/>
    </row>
    <row r="769" ht="15" customHeight="1">
      <c r="A769" t="inlineStr">
        <is>
          <t>A 45428-2023</t>
        </is>
      </c>
      <c r="B769" s="1" t="n">
        <v>45194</v>
      </c>
      <c r="C769" s="1" t="n">
        <v>46060</v>
      </c>
      <c r="D769" t="inlineStr">
        <is>
          <t>ÖREBRO LÄN</t>
        </is>
      </c>
      <c r="E769" t="inlineStr">
        <is>
          <t>LINDESBERG</t>
        </is>
      </c>
      <c r="G769" t="n">
        <v>7.7</v>
      </c>
      <c r="H769" t="n">
        <v>0</v>
      </c>
      <c r="I769" t="n">
        <v>0</v>
      </c>
      <c r="J769" t="n">
        <v>0</v>
      </c>
      <c r="K769" t="n">
        <v>0</v>
      </c>
      <c r="L769" t="n">
        <v>0</v>
      </c>
      <c r="M769" t="n">
        <v>0</v>
      </c>
      <c r="N769" t="n">
        <v>0</v>
      </c>
      <c r="O769" t="n">
        <v>0</v>
      </c>
      <c r="P769" t="n">
        <v>0</v>
      </c>
      <c r="Q769" t="n">
        <v>0</v>
      </c>
      <c r="R769" s="2" t="inlineStr"/>
    </row>
    <row r="770" ht="15" customHeight="1">
      <c r="A770" t="inlineStr">
        <is>
          <t>A 53897-2024</t>
        </is>
      </c>
      <c r="B770" s="1" t="n">
        <v>45615.69570601852</v>
      </c>
      <c r="C770" s="1" t="n">
        <v>46060</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56907-2024</t>
        </is>
      </c>
      <c r="B771" s="1" t="n">
        <v>45628.58975694444</v>
      </c>
      <c r="C771" s="1" t="n">
        <v>46060</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7992-2025</t>
        </is>
      </c>
      <c r="B772" s="1" t="n">
        <v>45707</v>
      </c>
      <c r="C772" s="1" t="n">
        <v>46060</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17242-2025</t>
        </is>
      </c>
      <c r="B773" s="1" t="n">
        <v>45756.49009259259</v>
      </c>
      <c r="C773" s="1" t="n">
        <v>46060</v>
      </c>
      <c r="D773" t="inlineStr">
        <is>
          <t>ÖREBRO LÄN</t>
        </is>
      </c>
      <c r="E773" t="inlineStr">
        <is>
          <t>LINDESBERG</t>
        </is>
      </c>
      <c r="G773" t="n">
        <v>7.3</v>
      </c>
      <c r="H773" t="n">
        <v>0</v>
      </c>
      <c r="I773" t="n">
        <v>0</v>
      </c>
      <c r="J773" t="n">
        <v>0</v>
      </c>
      <c r="K773" t="n">
        <v>0</v>
      </c>
      <c r="L773" t="n">
        <v>0</v>
      </c>
      <c r="M773" t="n">
        <v>0</v>
      </c>
      <c r="N773" t="n">
        <v>0</v>
      </c>
      <c r="O773" t="n">
        <v>0</v>
      </c>
      <c r="P773" t="n">
        <v>0</v>
      </c>
      <c r="Q773" t="n">
        <v>0</v>
      </c>
      <c r="R773" s="2" t="inlineStr"/>
    </row>
    <row r="774" ht="15" customHeight="1">
      <c r="A774" t="inlineStr">
        <is>
          <t>A 7119-2025</t>
        </is>
      </c>
      <c r="B774" s="1" t="n">
        <v>45702</v>
      </c>
      <c r="C774" s="1" t="n">
        <v>46060</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45060-2024</t>
        </is>
      </c>
      <c r="B775" s="1" t="n">
        <v>45575.55570601852</v>
      </c>
      <c r="C775" s="1" t="n">
        <v>46060</v>
      </c>
      <c r="D775" t="inlineStr">
        <is>
          <t>ÖREBRO LÄN</t>
        </is>
      </c>
      <c r="E775" t="inlineStr">
        <is>
          <t>LINDESBERG</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50972-2023</t>
        </is>
      </c>
      <c r="B776" s="1" t="n">
        <v>45218</v>
      </c>
      <c r="C776" s="1" t="n">
        <v>46060</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50225-2021</t>
        </is>
      </c>
      <c r="B777" s="1" t="n">
        <v>44457</v>
      </c>
      <c r="C777" s="1" t="n">
        <v>46060</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17995-2021</t>
        </is>
      </c>
      <c r="B778" s="1" t="n">
        <v>44301</v>
      </c>
      <c r="C778" s="1" t="n">
        <v>46060</v>
      </c>
      <c r="D778" t="inlineStr">
        <is>
          <t>ÖREBRO LÄN</t>
        </is>
      </c>
      <c r="E778" t="inlineStr">
        <is>
          <t>LINDESBERG</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48244-2024</t>
        </is>
      </c>
      <c r="B779" s="1" t="n">
        <v>45590.39471064815</v>
      </c>
      <c r="C779" s="1" t="n">
        <v>46060</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20210-2024</t>
        </is>
      </c>
      <c r="B780" s="1" t="n">
        <v>45434.65854166666</v>
      </c>
      <c r="C780" s="1" t="n">
        <v>46060</v>
      </c>
      <c r="D780" t="inlineStr">
        <is>
          <t>ÖREBRO LÄN</t>
        </is>
      </c>
      <c r="E780" t="inlineStr">
        <is>
          <t>LINDESBERG</t>
        </is>
      </c>
      <c r="G780" t="n">
        <v>5.5</v>
      </c>
      <c r="H780" t="n">
        <v>0</v>
      </c>
      <c r="I780" t="n">
        <v>0</v>
      </c>
      <c r="J780" t="n">
        <v>0</v>
      </c>
      <c r="K780" t="n">
        <v>0</v>
      </c>
      <c r="L780" t="n">
        <v>0</v>
      </c>
      <c r="M780" t="n">
        <v>0</v>
      </c>
      <c r="N780" t="n">
        <v>0</v>
      </c>
      <c r="O780" t="n">
        <v>0</v>
      </c>
      <c r="P780" t="n">
        <v>0</v>
      </c>
      <c r="Q780" t="n">
        <v>0</v>
      </c>
      <c r="R780" s="2" t="inlineStr"/>
    </row>
    <row r="781" ht="15" customHeight="1">
      <c r="A781" t="inlineStr">
        <is>
          <t>A 24352-2023</t>
        </is>
      </c>
      <c r="B781" s="1" t="n">
        <v>45082.31421296296</v>
      </c>
      <c r="C781" s="1" t="n">
        <v>46060</v>
      </c>
      <c r="D781" t="inlineStr">
        <is>
          <t>ÖREBRO LÄN</t>
        </is>
      </c>
      <c r="E781" t="inlineStr">
        <is>
          <t>LINDESBERG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22824-2023</t>
        </is>
      </c>
      <c r="B782" s="1" t="n">
        <v>45072</v>
      </c>
      <c r="C782" s="1" t="n">
        <v>46060</v>
      </c>
      <c r="D782" t="inlineStr">
        <is>
          <t>ÖREBRO LÄN</t>
        </is>
      </c>
      <c r="E782" t="inlineStr">
        <is>
          <t>LINDESBERG</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36509-2024</t>
        </is>
      </c>
      <c r="B783" s="1" t="n">
        <v>45537.42240740741</v>
      </c>
      <c r="C783" s="1" t="n">
        <v>46060</v>
      </c>
      <c r="D783" t="inlineStr">
        <is>
          <t>ÖREBRO LÄN</t>
        </is>
      </c>
      <c r="E783" t="inlineStr">
        <is>
          <t>LINDESBERG</t>
        </is>
      </c>
      <c r="G783" t="n">
        <v>1.5</v>
      </c>
      <c r="H783" t="n">
        <v>0</v>
      </c>
      <c r="I783" t="n">
        <v>0</v>
      </c>
      <c r="J783" t="n">
        <v>0</v>
      </c>
      <c r="K783" t="n">
        <v>0</v>
      </c>
      <c r="L783" t="n">
        <v>0</v>
      </c>
      <c r="M783" t="n">
        <v>0</v>
      </c>
      <c r="N783" t="n">
        <v>0</v>
      </c>
      <c r="O783" t="n">
        <v>0</v>
      </c>
      <c r="P783" t="n">
        <v>0</v>
      </c>
      <c r="Q783" t="n">
        <v>0</v>
      </c>
      <c r="R783" s="2" t="inlineStr"/>
    </row>
    <row r="784" ht="15" customHeight="1">
      <c r="A784" t="inlineStr">
        <is>
          <t>A 33428-2024</t>
        </is>
      </c>
      <c r="B784" s="1" t="n">
        <v>45519.52319444445</v>
      </c>
      <c r="C784" s="1" t="n">
        <v>46060</v>
      </c>
      <c r="D784" t="inlineStr">
        <is>
          <t>ÖREBRO LÄN</t>
        </is>
      </c>
      <c r="E784" t="inlineStr">
        <is>
          <t>LINDESBERG</t>
        </is>
      </c>
      <c r="F784" t="inlineStr">
        <is>
          <t>Sveaskog</t>
        </is>
      </c>
      <c r="G784" t="n">
        <v>0.2</v>
      </c>
      <c r="H784" t="n">
        <v>0</v>
      </c>
      <c r="I784" t="n">
        <v>0</v>
      </c>
      <c r="J784" t="n">
        <v>0</v>
      </c>
      <c r="K784" t="n">
        <v>0</v>
      </c>
      <c r="L784" t="n">
        <v>0</v>
      </c>
      <c r="M784" t="n">
        <v>0</v>
      </c>
      <c r="N784" t="n">
        <v>0</v>
      </c>
      <c r="O784" t="n">
        <v>0</v>
      </c>
      <c r="P784" t="n">
        <v>0</v>
      </c>
      <c r="Q784" t="n">
        <v>0</v>
      </c>
      <c r="R784" s="2" t="inlineStr"/>
    </row>
    <row r="785" ht="15" customHeight="1">
      <c r="A785" t="inlineStr">
        <is>
          <t>A 17104-2024</t>
        </is>
      </c>
      <c r="B785" s="1" t="n">
        <v>45412.54541666667</v>
      </c>
      <c r="C785" s="1" t="n">
        <v>46060</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13350-2024</t>
        </is>
      </c>
      <c r="B786" s="1" t="n">
        <v>45387.24732638889</v>
      </c>
      <c r="C786" s="1" t="n">
        <v>46060</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13351-2024</t>
        </is>
      </c>
      <c r="B787" s="1" t="n">
        <v>45387.2521875</v>
      </c>
      <c r="C787" s="1" t="n">
        <v>46060</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40303-2024</t>
        </is>
      </c>
      <c r="B788" s="1" t="n">
        <v>45554.7158912037</v>
      </c>
      <c r="C788" s="1" t="n">
        <v>46060</v>
      </c>
      <c r="D788" t="inlineStr">
        <is>
          <t>ÖREBRO LÄN</t>
        </is>
      </c>
      <c r="E788" t="inlineStr">
        <is>
          <t>LINDESBERG</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34838-2023</t>
        </is>
      </c>
      <c r="B789" s="1" t="n">
        <v>45141.76530092592</v>
      </c>
      <c r="C789" s="1" t="n">
        <v>46060</v>
      </c>
      <c r="D789" t="inlineStr">
        <is>
          <t>ÖREBRO LÄN</t>
        </is>
      </c>
      <c r="E789" t="inlineStr">
        <is>
          <t>LINDESBERG</t>
        </is>
      </c>
      <c r="G789" t="n">
        <v>3</v>
      </c>
      <c r="H789" t="n">
        <v>0</v>
      </c>
      <c r="I789" t="n">
        <v>0</v>
      </c>
      <c r="J789" t="n">
        <v>0</v>
      </c>
      <c r="K789" t="n">
        <v>0</v>
      </c>
      <c r="L789" t="n">
        <v>0</v>
      </c>
      <c r="M789" t="n">
        <v>0</v>
      </c>
      <c r="N789" t="n">
        <v>0</v>
      </c>
      <c r="O789" t="n">
        <v>0</v>
      </c>
      <c r="P789" t="n">
        <v>0</v>
      </c>
      <c r="Q789" t="n">
        <v>0</v>
      </c>
      <c r="R789" s="2" t="inlineStr"/>
    </row>
    <row r="790" ht="15" customHeight="1">
      <c r="A790" t="inlineStr">
        <is>
          <t>A 15324-2024</t>
        </is>
      </c>
      <c r="B790" s="1" t="n">
        <v>45400.66995370371</v>
      </c>
      <c r="C790" s="1" t="n">
        <v>46060</v>
      </c>
      <c r="D790" t="inlineStr">
        <is>
          <t>ÖREBRO LÄN</t>
        </is>
      </c>
      <c r="E790" t="inlineStr">
        <is>
          <t>LINDESBERG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36170-2021</t>
        </is>
      </c>
      <c r="B791" s="1" t="n">
        <v>44389</v>
      </c>
      <c r="C791" s="1" t="n">
        <v>46060</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7180-2023</t>
        </is>
      </c>
      <c r="B792" s="1" t="n">
        <v>44970.51849537037</v>
      </c>
      <c r="C792" s="1" t="n">
        <v>46060</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46675-2023</t>
        </is>
      </c>
      <c r="B793" s="1" t="n">
        <v>45194</v>
      </c>
      <c r="C793" s="1" t="n">
        <v>46060</v>
      </c>
      <c r="D793" t="inlineStr">
        <is>
          <t>ÖREBRO LÄN</t>
        </is>
      </c>
      <c r="E793" t="inlineStr">
        <is>
          <t>LINDESBERG</t>
        </is>
      </c>
      <c r="G793" t="n">
        <v>3.8</v>
      </c>
      <c r="H793" t="n">
        <v>0</v>
      </c>
      <c r="I793" t="n">
        <v>0</v>
      </c>
      <c r="J793" t="n">
        <v>0</v>
      </c>
      <c r="K793" t="n">
        <v>0</v>
      </c>
      <c r="L793" t="n">
        <v>0</v>
      </c>
      <c r="M793" t="n">
        <v>0</v>
      </c>
      <c r="N793" t="n">
        <v>0</v>
      </c>
      <c r="O793" t="n">
        <v>0</v>
      </c>
      <c r="P793" t="n">
        <v>0</v>
      </c>
      <c r="Q793" t="n">
        <v>0</v>
      </c>
      <c r="R793" s="2" t="inlineStr"/>
    </row>
    <row r="794" ht="15" customHeight="1">
      <c r="A794" t="inlineStr">
        <is>
          <t>A 50964-2023</t>
        </is>
      </c>
      <c r="B794" s="1" t="n">
        <v>45218.488125</v>
      </c>
      <c r="C794" s="1" t="n">
        <v>46060</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50619-2022</t>
        </is>
      </c>
      <c r="B795" s="1" t="n">
        <v>44866.79668981482</v>
      </c>
      <c r="C795" s="1" t="n">
        <v>46060</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36893-2024</t>
        </is>
      </c>
      <c r="B796" s="1" t="n">
        <v>45538</v>
      </c>
      <c r="C796" s="1" t="n">
        <v>46060</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47155-2024</t>
        </is>
      </c>
      <c r="B797" s="1" t="n">
        <v>45586</v>
      </c>
      <c r="C797" s="1" t="n">
        <v>46060</v>
      </c>
      <c r="D797" t="inlineStr">
        <is>
          <t>ÖREBRO LÄN</t>
        </is>
      </c>
      <c r="E797" t="inlineStr">
        <is>
          <t>LINDESBERG</t>
        </is>
      </c>
      <c r="F797" t="inlineStr">
        <is>
          <t>Sveaskog</t>
        </is>
      </c>
      <c r="G797" t="n">
        <v>5.7</v>
      </c>
      <c r="H797" t="n">
        <v>0</v>
      </c>
      <c r="I797" t="n">
        <v>0</v>
      </c>
      <c r="J797" t="n">
        <v>0</v>
      </c>
      <c r="K797" t="n">
        <v>0</v>
      </c>
      <c r="L797" t="n">
        <v>0</v>
      </c>
      <c r="M797" t="n">
        <v>0</v>
      </c>
      <c r="N797" t="n">
        <v>0</v>
      </c>
      <c r="O797" t="n">
        <v>0</v>
      </c>
      <c r="P797" t="n">
        <v>0</v>
      </c>
      <c r="Q797" t="n">
        <v>0</v>
      </c>
      <c r="R797" s="2" t="inlineStr"/>
    </row>
    <row r="798" ht="15" customHeight="1">
      <c r="A798" t="inlineStr">
        <is>
          <t>A 10111-2022</t>
        </is>
      </c>
      <c r="B798" s="1" t="n">
        <v>44621.85737268518</v>
      </c>
      <c r="C798" s="1" t="n">
        <v>46060</v>
      </c>
      <c r="D798" t="inlineStr">
        <is>
          <t>ÖREBRO LÄN</t>
        </is>
      </c>
      <c r="E798" t="inlineStr">
        <is>
          <t>LINDESBERG</t>
        </is>
      </c>
      <c r="G798" t="n">
        <v>2.4</v>
      </c>
      <c r="H798" t="n">
        <v>0</v>
      </c>
      <c r="I798" t="n">
        <v>0</v>
      </c>
      <c r="J798" t="n">
        <v>0</v>
      </c>
      <c r="K798" t="n">
        <v>0</v>
      </c>
      <c r="L798" t="n">
        <v>0</v>
      </c>
      <c r="M798" t="n">
        <v>0</v>
      </c>
      <c r="N798" t="n">
        <v>0</v>
      </c>
      <c r="O798" t="n">
        <v>0</v>
      </c>
      <c r="P798" t="n">
        <v>0</v>
      </c>
      <c r="Q798" t="n">
        <v>0</v>
      </c>
      <c r="R798" s="2" t="inlineStr"/>
    </row>
    <row r="799" ht="15" customHeight="1">
      <c r="A799" t="inlineStr">
        <is>
          <t>A 14231-2023</t>
        </is>
      </c>
      <c r="B799" s="1" t="n">
        <v>45009.64217592592</v>
      </c>
      <c r="C799" s="1" t="n">
        <v>46060</v>
      </c>
      <c r="D799" t="inlineStr">
        <is>
          <t>ÖREBRO LÄN</t>
        </is>
      </c>
      <c r="E799" t="inlineStr">
        <is>
          <t>LINDESBERG</t>
        </is>
      </c>
      <c r="G799" t="n">
        <v>4.3</v>
      </c>
      <c r="H799" t="n">
        <v>0</v>
      </c>
      <c r="I799" t="n">
        <v>0</v>
      </c>
      <c r="J799" t="n">
        <v>0</v>
      </c>
      <c r="K799" t="n">
        <v>0</v>
      </c>
      <c r="L799" t="n">
        <v>0</v>
      </c>
      <c r="M799" t="n">
        <v>0</v>
      </c>
      <c r="N799" t="n">
        <v>0</v>
      </c>
      <c r="O799" t="n">
        <v>0</v>
      </c>
      <c r="P799" t="n">
        <v>0</v>
      </c>
      <c r="Q799" t="n">
        <v>0</v>
      </c>
      <c r="R799" s="2" t="inlineStr"/>
    </row>
    <row r="800" ht="15" customHeight="1">
      <c r="A800" t="inlineStr">
        <is>
          <t>A 484-2022</t>
        </is>
      </c>
      <c r="B800" s="1" t="n">
        <v>44566</v>
      </c>
      <c r="C800" s="1" t="n">
        <v>46060</v>
      </c>
      <c r="D800" t="inlineStr">
        <is>
          <t>ÖREBRO LÄN</t>
        </is>
      </c>
      <c r="E800" t="inlineStr">
        <is>
          <t>LINDESBERG</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1395-2025</t>
        </is>
      </c>
      <c r="B801" s="1" t="n">
        <v>45667</v>
      </c>
      <c r="C801" s="1" t="n">
        <v>46060</v>
      </c>
      <c r="D801" t="inlineStr">
        <is>
          <t>ÖREBRO LÄN</t>
        </is>
      </c>
      <c r="E801" t="inlineStr">
        <is>
          <t>LINDESBERG</t>
        </is>
      </c>
      <c r="G801" t="n">
        <v>4.6</v>
      </c>
      <c r="H801" t="n">
        <v>0</v>
      </c>
      <c r="I801" t="n">
        <v>0</v>
      </c>
      <c r="J801" t="n">
        <v>0</v>
      </c>
      <c r="K801" t="n">
        <v>0</v>
      </c>
      <c r="L801" t="n">
        <v>0</v>
      </c>
      <c r="M801" t="n">
        <v>0</v>
      </c>
      <c r="N801" t="n">
        <v>0</v>
      </c>
      <c r="O801" t="n">
        <v>0</v>
      </c>
      <c r="P801" t="n">
        <v>0</v>
      </c>
      <c r="Q801" t="n">
        <v>0</v>
      </c>
      <c r="R801" s="2" t="inlineStr"/>
    </row>
    <row r="802" ht="15" customHeight="1">
      <c r="A802" t="inlineStr">
        <is>
          <t>A 1405-2025</t>
        </is>
      </c>
      <c r="B802" s="1" t="n">
        <v>45667</v>
      </c>
      <c r="C802" s="1" t="n">
        <v>46060</v>
      </c>
      <c r="D802" t="inlineStr">
        <is>
          <t>ÖREBRO LÄN</t>
        </is>
      </c>
      <c r="E802" t="inlineStr">
        <is>
          <t>LINDESBERG</t>
        </is>
      </c>
      <c r="F802" t="inlineStr">
        <is>
          <t>Allmännings- och besparingsskogar</t>
        </is>
      </c>
      <c r="G802" t="n">
        <v>3.1</v>
      </c>
      <c r="H802" t="n">
        <v>0</v>
      </c>
      <c r="I802" t="n">
        <v>0</v>
      </c>
      <c r="J802" t="n">
        <v>0</v>
      </c>
      <c r="K802" t="n">
        <v>0</v>
      </c>
      <c r="L802" t="n">
        <v>0</v>
      </c>
      <c r="M802" t="n">
        <v>0</v>
      </c>
      <c r="N802" t="n">
        <v>0</v>
      </c>
      <c r="O802" t="n">
        <v>0</v>
      </c>
      <c r="P802" t="n">
        <v>0</v>
      </c>
      <c r="Q802" t="n">
        <v>0</v>
      </c>
      <c r="R802" s="2" t="inlineStr"/>
    </row>
    <row r="803" ht="15" customHeight="1">
      <c r="A803" t="inlineStr">
        <is>
          <t>A 34434-2023</t>
        </is>
      </c>
      <c r="B803" s="1" t="n">
        <v>45139.63480324074</v>
      </c>
      <c r="C803" s="1" t="n">
        <v>46060</v>
      </c>
      <c r="D803" t="inlineStr">
        <is>
          <t>ÖREBRO LÄN</t>
        </is>
      </c>
      <c r="E803" t="inlineStr">
        <is>
          <t>LINDESBERG</t>
        </is>
      </c>
      <c r="F803" t="inlineStr">
        <is>
          <t>Kyrkan</t>
        </is>
      </c>
      <c r="G803" t="n">
        <v>1.7</v>
      </c>
      <c r="H803" t="n">
        <v>0</v>
      </c>
      <c r="I803" t="n">
        <v>0</v>
      </c>
      <c r="J803" t="n">
        <v>0</v>
      </c>
      <c r="K803" t="n">
        <v>0</v>
      </c>
      <c r="L803" t="n">
        <v>0</v>
      </c>
      <c r="M803" t="n">
        <v>0</v>
      </c>
      <c r="N803" t="n">
        <v>0</v>
      </c>
      <c r="O803" t="n">
        <v>0</v>
      </c>
      <c r="P803" t="n">
        <v>0</v>
      </c>
      <c r="Q803" t="n">
        <v>0</v>
      </c>
      <c r="R803" s="2" t="inlineStr"/>
    </row>
    <row r="804" ht="15" customHeight="1">
      <c r="A804" t="inlineStr">
        <is>
          <t>A 45078-2024</t>
        </is>
      </c>
      <c r="B804" s="1" t="n">
        <v>45575.57104166667</v>
      </c>
      <c r="C804" s="1" t="n">
        <v>46060</v>
      </c>
      <c r="D804" t="inlineStr">
        <is>
          <t>ÖREBRO LÄN</t>
        </is>
      </c>
      <c r="E804" t="inlineStr">
        <is>
          <t>LINDESBERG</t>
        </is>
      </c>
      <c r="G804" t="n">
        <v>1.4</v>
      </c>
      <c r="H804" t="n">
        <v>0</v>
      </c>
      <c r="I804" t="n">
        <v>0</v>
      </c>
      <c r="J804" t="n">
        <v>0</v>
      </c>
      <c r="K804" t="n">
        <v>0</v>
      </c>
      <c r="L804" t="n">
        <v>0</v>
      </c>
      <c r="M804" t="n">
        <v>0</v>
      </c>
      <c r="N804" t="n">
        <v>0</v>
      </c>
      <c r="O804" t="n">
        <v>0</v>
      </c>
      <c r="P804" t="n">
        <v>0</v>
      </c>
      <c r="Q804" t="n">
        <v>0</v>
      </c>
      <c r="R804" s="2" t="inlineStr"/>
    </row>
    <row r="805" ht="15" customHeight="1">
      <c r="A805" t="inlineStr">
        <is>
          <t>A 6723-2022</t>
        </is>
      </c>
      <c r="B805" s="1" t="n">
        <v>44602.45162037037</v>
      </c>
      <c r="C805" s="1" t="n">
        <v>46060</v>
      </c>
      <c r="D805" t="inlineStr">
        <is>
          <t>ÖREBRO LÄN</t>
        </is>
      </c>
      <c r="E805" t="inlineStr">
        <is>
          <t>LINDESBERG</t>
        </is>
      </c>
      <c r="G805" t="n">
        <v>4.2</v>
      </c>
      <c r="H805" t="n">
        <v>0</v>
      </c>
      <c r="I805" t="n">
        <v>0</v>
      </c>
      <c r="J805" t="n">
        <v>0</v>
      </c>
      <c r="K805" t="n">
        <v>0</v>
      </c>
      <c r="L805" t="n">
        <v>0</v>
      </c>
      <c r="M805" t="n">
        <v>0</v>
      </c>
      <c r="N805" t="n">
        <v>0</v>
      </c>
      <c r="O805" t="n">
        <v>0</v>
      </c>
      <c r="P805" t="n">
        <v>0</v>
      </c>
      <c r="Q805" t="n">
        <v>0</v>
      </c>
      <c r="R805" s="2" t="inlineStr"/>
    </row>
    <row r="806" ht="15" customHeight="1">
      <c r="A806" t="inlineStr">
        <is>
          <t>A 28470-2023</t>
        </is>
      </c>
      <c r="B806" s="1" t="n">
        <v>45103</v>
      </c>
      <c r="C806" s="1" t="n">
        <v>46060</v>
      </c>
      <c r="D806" t="inlineStr">
        <is>
          <t>ÖREBRO LÄN</t>
        </is>
      </c>
      <c r="E806" t="inlineStr">
        <is>
          <t>LINDESBERG</t>
        </is>
      </c>
      <c r="G806" t="n">
        <v>6.7</v>
      </c>
      <c r="H806" t="n">
        <v>0</v>
      </c>
      <c r="I806" t="n">
        <v>0</v>
      </c>
      <c r="J806" t="n">
        <v>0</v>
      </c>
      <c r="K806" t="n">
        <v>0</v>
      </c>
      <c r="L806" t="n">
        <v>0</v>
      </c>
      <c r="M806" t="n">
        <v>0</v>
      </c>
      <c r="N806" t="n">
        <v>0</v>
      </c>
      <c r="O806" t="n">
        <v>0</v>
      </c>
      <c r="P806" t="n">
        <v>0</v>
      </c>
      <c r="Q806" t="n">
        <v>0</v>
      </c>
      <c r="R806" s="2" t="inlineStr"/>
    </row>
    <row r="807" ht="15" customHeight="1">
      <c r="A807" t="inlineStr">
        <is>
          <t>A 32097-2024</t>
        </is>
      </c>
      <c r="B807" s="1" t="n">
        <v>45511.39445601852</v>
      </c>
      <c r="C807" s="1" t="n">
        <v>46060</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26340-2022</t>
        </is>
      </c>
      <c r="B808" s="1" t="n">
        <v>44735.62539351852</v>
      </c>
      <c r="C808" s="1" t="n">
        <v>46060</v>
      </c>
      <c r="D808" t="inlineStr">
        <is>
          <t>ÖREBRO LÄN</t>
        </is>
      </c>
      <c r="E808" t="inlineStr">
        <is>
          <t>LINDESBERG</t>
        </is>
      </c>
      <c r="F808" t="inlineStr">
        <is>
          <t>Sveaskog</t>
        </is>
      </c>
      <c r="G808" t="n">
        <v>2.6</v>
      </c>
      <c r="H808" t="n">
        <v>0</v>
      </c>
      <c r="I808" t="n">
        <v>0</v>
      </c>
      <c r="J808" t="n">
        <v>0</v>
      </c>
      <c r="K808" t="n">
        <v>0</v>
      </c>
      <c r="L808" t="n">
        <v>0</v>
      </c>
      <c r="M808" t="n">
        <v>0</v>
      </c>
      <c r="N808" t="n">
        <v>0</v>
      </c>
      <c r="O808" t="n">
        <v>0</v>
      </c>
      <c r="P808" t="n">
        <v>0</v>
      </c>
      <c r="Q808" t="n">
        <v>0</v>
      </c>
      <c r="R808" s="2" t="inlineStr"/>
    </row>
    <row r="809" ht="15" customHeight="1">
      <c r="A809" t="inlineStr">
        <is>
          <t>A 30534-2023</t>
        </is>
      </c>
      <c r="B809" s="1" t="n">
        <v>45111</v>
      </c>
      <c r="C809" s="1" t="n">
        <v>46060</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3994-2023</t>
        </is>
      </c>
      <c r="B810" s="1" t="n">
        <v>44950</v>
      </c>
      <c r="C810" s="1" t="n">
        <v>46060</v>
      </c>
      <c r="D810" t="inlineStr">
        <is>
          <t>ÖREBRO LÄN</t>
        </is>
      </c>
      <c r="E810" t="inlineStr">
        <is>
          <t>LINDESBERG</t>
        </is>
      </c>
      <c r="G810" t="n">
        <v>4.8</v>
      </c>
      <c r="H810" t="n">
        <v>0</v>
      </c>
      <c r="I810" t="n">
        <v>0</v>
      </c>
      <c r="J810" t="n">
        <v>0</v>
      </c>
      <c r="K810" t="n">
        <v>0</v>
      </c>
      <c r="L810" t="n">
        <v>0</v>
      </c>
      <c r="M810" t="n">
        <v>0</v>
      </c>
      <c r="N810" t="n">
        <v>0</v>
      </c>
      <c r="O810" t="n">
        <v>0</v>
      </c>
      <c r="P810" t="n">
        <v>0</v>
      </c>
      <c r="Q810" t="n">
        <v>0</v>
      </c>
      <c r="R810" s="2" t="inlineStr"/>
    </row>
    <row r="811" ht="15" customHeight="1">
      <c r="A811" t="inlineStr">
        <is>
          <t>A 54705-2022</t>
        </is>
      </c>
      <c r="B811" s="1" t="n">
        <v>44883</v>
      </c>
      <c r="C811" s="1" t="n">
        <v>46060</v>
      </c>
      <c r="D811" t="inlineStr">
        <is>
          <t>ÖREBRO LÄN</t>
        </is>
      </c>
      <c r="E811" t="inlineStr">
        <is>
          <t>LINDESBERG</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59631-2023</t>
        </is>
      </c>
      <c r="B812" s="1" t="n">
        <v>45254.68105324074</v>
      </c>
      <c r="C812" s="1" t="n">
        <v>46060</v>
      </c>
      <c r="D812" t="inlineStr">
        <is>
          <t>ÖREBRO LÄN</t>
        </is>
      </c>
      <c r="E812" t="inlineStr">
        <is>
          <t>LINDESBERG</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34539-2024</t>
        </is>
      </c>
      <c r="B813" s="1" t="n">
        <v>45525.7374537037</v>
      </c>
      <c r="C813" s="1" t="n">
        <v>46060</v>
      </c>
      <c r="D813" t="inlineStr">
        <is>
          <t>ÖREBRO LÄN</t>
        </is>
      </c>
      <c r="E813" t="inlineStr">
        <is>
          <t>LINDESBERG</t>
        </is>
      </c>
      <c r="G813" t="n">
        <v>5.4</v>
      </c>
      <c r="H813" t="n">
        <v>0</v>
      </c>
      <c r="I813" t="n">
        <v>0</v>
      </c>
      <c r="J813" t="n">
        <v>0</v>
      </c>
      <c r="K813" t="n">
        <v>0</v>
      </c>
      <c r="L813" t="n">
        <v>0</v>
      </c>
      <c r="M813" t="n">
        <v>0</v>
      </c>
      <c r="N813" t="n">
        <v>0</v>
      </c>
      <c r="O813" t="n">
        <v>0</v>
      </c>
      <c r="P813" t="n">
        <v>0</v>
      </c>
      <c r="Q813" t="n">
        <v>0</v>
      </c>
      <c r="R813" s="2" t="inlineStr"/>
    </row>
    <row r="814" ht="15" customHeight="1">
      <c r="A814" t="inlineStr">
        <is>
          <t>A 41951-2023</t>
        </is>
      </c>
      <c r="B814" s="1" t="n">
        <v>45177.33991898148</v>
      </c>
      <c r="C814" s="1" t="n">
        <v>46060</v>
      </c>
      <c r="D814" t="inlineStr">
        <is>
          <t>ÖREBRO LÄN</t>
        </is>
      </c>
      <c r="E814" t="inlineStr">
        <is>
          <t>LINDESBERG</t>
        </is>
      </c>
      <c r="F814" t="inlineStr">
        <is>
          <t>Kyrkan</t>
        </is>
      </c>
      <c r="G814" t="n">
        <v>3.3</v>
      </c>
      <c r="H814" t="n">
        <v>0</v>
      </c>
      <c r="I814" t="n">
        <v>0</v>
      </c>
      <c r="J814" t="n">
        <v>0</v>
      </c>
      <c r="K814" t="n">
        <v>0</v>
      </c>
      <c r="L814" t="n">
        <v>0</v>
      </c>
      <c r="M814" t="n">
        <v>0</v>
      </c>
      <c r="N814" t="n">
        <v>0</v>
      </c>
      <c r="O814" t="n">
        <v>0</v>
      </c>
      <c r="P814" t="n">
        <v>0</v>
      </c>
      <c r="Q814" t="n">
        <v>0</v>
      </c>
      <c r="R814" s="2" t="inlineStr"/>
    </row>
    <row r="815" ht="15" customHeight="1">
      <c r="A815" t="inlineStr">
        <is>
          <t>A 58603-2023</t>
        </is>
      </c>
      <c r="B815" s="1" t="n">
        <v>45251</v>
      </c>
      <c r="C815" s="1" t="n">
        <v>46060</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14187-2024</t>
        </is>
      </c>
      <c r="B816" s="1" t="n">
        <v>45393.35787037037</v>
      </c>
      <c r="C816" s="1" t="n">
        <v>46060</v>
      </c>
      <c r="D816" t="inlineStr">
        <is>
          <t>ÖREBRO LÄN</t>
        </is>
      </c>
      <c r="E816" t="inlineStr">
        <is>
          <t>LINDESBERG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18418-2025</t>
        </is>
      </c>
      <c r="B817" s="1" t="n">
        <v>45762.61817129629</v>
      </c>
      <c r="C817" s="1" t="n">
        <v>46060</v>
      </c>
      <c r="D817" t="inlineStr">
        <is>
          <t>ÖREBRO LÄN</t>
        </is>
      </c>
      <c r="E817" t="inlineStr">
        <is>
          <t>LINDESBERG</t>
        </is>
      </c>
      <c r="G817" t="n">
        <v>2.3</v>
      </c>
      <c r="H817" t="n">
        <v>0</v>
      </c>
      <c r="I817" t="n">
        <v>0</v>
      </c>
      <c r="J817" t="n">
        <v>0</v>
      </c>
      <c r="K817" t="n">
        <v>0</v>
      </c>
      <c r="L817" t="n">
        <v>0</v>
      </c>
      <c r="M817" t="n">
        <v>0</v>
      </c>
      <c r="N817" t="n">
        <v>0</v>
      </c>
      <c r="O817" t="n">
        <v>0</v>
      </c>
      <c r="P817" t="n">
        <v>0</v>
      </c>
      <c r="Q817" t="n">
        <v>0</v>
      </c>
      <c r="R817" s="2" t="inlineStr"/>
    </row>
    <row r="818" ht="15" customHeight="1">
      <c r="A818" t="inlineStr">
        <is>
          <t>A 29849-2023</t>
        </is>
      </c>
      <c r="B818" s="1" t="n">
        <v>45107</v>
      </c>
      <c r="C818" s="1" t="n">
        <v>46060</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60105-2022</t>
        </is>
      </c>
      <c r="B819" s="1" t="n">
        <v>44902</v>
      </c>
      <c r="C819" s="1" t="n">
        <v>46060</v>
      </c>
      <c r="D819" t="inlineStr">
        <is>
          <t>ÖREBRO LÄN</t>
        </is>
      </c>
      <c r="E819" t="inlineStr">
        <is>
          <t>LINDESBERG</t>
        </is>
      </c>
      <c r="G819" t="n">
        <v>0.5</v>
      </c>
      <c r="H819" t="n">
        <v>0</v>
      </c>
      <c r="I819" t="n">
        <v>0</v>
      </c>
      <c r="J819" t="n">
        <v>0</v>
      </c>
      <c r="K819" t="n">
        <v>0</v>
      </c>
      <c r="L819" t="n">
        <v>0</v>
      </c>
      <c r="M819" t="n">
        <v>0</v>
      </c>
      <c r="N819" t="n">
        <v>0</v>
      </c>
      <c r="O819" t="n">
        <v>0</v>
      </c>
      <c r="P819" t="n">
        <v>0</v>
      </c>
      <c r="Q819" t="n">
        <v>0</v>
      </c>
      <c r="R819" s="2" t="inlineStr"/>
    </row>
    <row r="820" ht="15" customHeight="1">
      <c r="A820" t="inlineStr">
        <is>
          <t>A 15094-2025</t>
        </is>
      </c>
      <c r="B820" s="1" t="n">
        <v>45744.32981481482</v>
      </c>
      <c r="C820" s="1" t="n">
        <v>46060</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33427-2024</t>
        </is>
      </c>
      <c r="B821" s="1" t="n">
        <v>45519.52232638889</v>
      </c>
      <c r="C821" s="1" t="n">
        <v>46060</v>
      </c>
      <c r="D821" t="inlineStr">
        <is>
          <t>ÖREBRO LÄN</t>
        </is>
      </c>
      <c r="E821" t="inlineStr">
        <is>
          <t>LINDESBERG</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29894-2023</t>
        </is>
      </c>
      <c r="B822" s="1" t="n">
        <v>45107</v>
      </c>
      <c r="C822" s="1" t="n">
        <v>46060</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40306-2022</t>
        </is>
      </c>
      <c r="B823" s="1" t="n">
        <v>44822</v>
      </c>
      <c r="C823" s="1" t="n">
        <v>46060</v>
      </c>
      <c r="D823" t="inlineStr">
        <is>
          <t>ÖREBRO LÄN</t>
        </is>
      </c>
      <c r="E823" t="inlineStr">
        <is>
          <t>LINDESBERG</t>
        </is>
      </c>
      <c r="G823" t="n">
        <v>11</v>
      </c>
      <c r="H823" t="n">
        <v>0</v>
      </c>
      <c r="I823" t="n">
        <v>0</v>
      </c>
      <c r="J823" t="n">
        <v>0</v>
      </c>
      <c r="K823" t="n">
        <v>0</v>
      </c>
      <c r="L823" t="n">
        <v>0</v>
      </c>
      <c r="M823" t="n">
        <v>0</v>
      </c>
      <c r="N823" t="n">
        <v>0</v>
      </c>
      <c r="O823" t="n">
        <v>0</v>
      </c>
      <c r="P823" t="n">
        <v>0</v>
      </c>
      <c r="Q823" t="n">
        <v>0</v>
      </c>
      <c r="R823" s="2" t="inlineStr"/>
    </row>
    <row r="824" ht="15" customHeight="1">
      <c r="A824" t="inlineStr">
        <is>
          <t>A 63668-2023</t>
        </is>
      </c>
      <c r="B824" s="1" t="n">
        <v>45274</v>
      </c>
      <c r="C824" s="1" t="n">
        <v>46060</v>
      </c>
      <c r="D824" t="inlineStr">
        <is>
          <t>ÖREBRO LÄN</t>
        </is>
      </c>
      <c r="E824" t="inlineStr">
        <is>
          <t>LINDESBERG</t>
        </is>
      </c>
      <c r="G824" t="n">
        <v>0.7</v>
      </c>
      <c r="H824" t="n">
        <v>0</v>
      </c>
      <c r="I824" t="n">
        <v>0</v>
      </c>
      <c r="J824" t="n">
        <v>0</v>
      </c>
      <c r="K824" t="n">
        <v>0</v>
      </c>
      <c r="L824" t="n">
        <v>0</v>
      </c>
      <c r="M824" t="n">
        <v>0</v>
      </c>
      <c r="N824" t="n">
        <v>0</v>
      </c>
      <c r="O824" t="n">
        <v>0</v>
      </c>
      <c r="P824" t="n">
        <v>0</v>
      </c>
      <c r="Q824" t="n">
        <v>0</v>
      </c>
      <c r="R824" s="2" t="inlineStr"/>
    </row>
    <row r="825" ht="15" customHeight="1">
      <c r="A825" t="inlineStr">
        <is>
          <t>A 4539-2025</t>
        </is>
      </c>
      <c r="B825" s="1" t="n">
        <v>45687</v>
      </c>
      <c r="C825" s="1" t="n">
        <v>46060</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44675-2021</t>
        </is>
      </c>
      <c r="B826" s="1" t="n">
        <v>44438</v>
      </c>
      <c r="C826" s="1" t="n">
        <v>46060</v>
      </c>
      <c r="D826" t="inlineStr">
        <is>
          <t>ÖREBRO LÄN</t>
        </is>
      </c>
      <c r="E826" t="inlineStr">
        <is>
          <t>LINDESBERG</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59633-2023</t>
        </is>
      </c>
      <c r="B827" s="1" t="n">
        <v>45254</v>
      </c>
      <c r="C827" s="1" t="n">
        <v>46060</v>
      </c>
      <c r="D827" t="inlineStr">
        <is>
          <t>ÖREBRO LÄN</t>
        </is>
      </c>
      <c r="E827" t="inlineStr">
        <is>
          <t>LINDESBERG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46060</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27051-2023</t>
        </is>
      </c>
      <c r="B829" s="1" t="n">
        <v>45095</v>
      </c>
      <c r="C829" s="1" t="n">
        <v>46060</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43801-2024</t>
        </is>
      </c>
      <c r="B830" s="1" t="n">
        <v>45571.71736111111</v>
      </c>
      <c r="C830" s="1" t="n">
        <v>46060</v>
      </c>
      <c r="D830" t="inlineStr">
        <is>
          <t>ÖREBRO LÄN</t>
        </is>
      </c>
      <c r="E830" t="inlineStr">
        <is>
          <t>LINDESBERG</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45072-2024</t>
        </is>
      </c>
      <c r="B831" s="1" t="n">
        <v>45575.56686342593</v>
      </c>
      <c r="C831" s="1" t="n">
        <v>46060</v>
      </c>
      <c r="D831" t="inlineStr">
        <is>
          <t>ÖREBRO LÄN</t>
        </is>
      </c>
      <c r="E831" t="inlineStr">
        <is>
          <t>LINDESBERG</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45075-2024</t>
        </is>
      </c>
      <c r="B832" s="1" t="n">
        <v>45575.56820601852</v>
      </c>
      <c r="C832" s="1" t="n">
        <v>46060</v>
      </c>
      <c r="D832" t="inlineStr">
        <is>
          <t>ÖREBRO LÄN</t>
        </is>
      </c>
      <c r="E832" t="inlineStr">
        <is>
          <t>LINDESBERG</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61405-2022</t>
        </is>
      </c>
      <c r="B833" s="1" t="n">
        <v>44916</v>
      </c>
      <c r="C833" s="1" t="n">
        <v>46060</v>
      </c>
      <c r="D833" t="inlineStr">
        <is>
          <t>ÖREBRO LÄN</t>
        </is>
      </c>
      <c r="E833" t="inlineStr">
        <is>
          <t>LINDESBERG</t>
        </is>
      </c>
      <c r="G833" t="n">
        <v>4.4</v>
      </c>
      <c r="H833" t="n">
        <v>0</v>
      </c>
      <c r="I833" t="n">
        <v>0</v>
      </c>
      <c r="J833" t="n">
        <v>0</v>
      </c>
      <c r="K833" t="n">
        <v>0</v>
      </c>
      <c r="L833" t="n">
        <v>0</v>
      </c>
      <c r="M833" t="n">
        <v>0</v>
      </c>
      <c r="N833" t="n">
        <v>0</v>
      </c>
      <c r="O833" t="n">
        <v>0</v>
      </c>
      <c r="P833" t="n">
        <v>0</v>
      </c>
      <c r="Q833" t="n">
        <v>0</v>
      </c>
      <c r="R833" s="2" t="inlineStr"/>
    </row>
    <row r="834" ht="15" customHeight="1">
      <c r="A834" t="inlineStr">
        <is>
          <t>A 40563-2023</t>
        </is>
      </c>
      <c r="B834" s="1" t="n">
        <v>45170.45921296296</v>
      </c>
      <c r="C834" s="1" t="n">
        <v>46060</v>
      </c>
      <c r="D834" t="inlineStr">
        <is>
          <t>ÖREBRO LÄN</t>
        </is>
      </c>
      <c r="E834" t="inlineStr">
        <is>
          <t>LINDESBERG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38613-2024</t>
        </is>
      </c>
      <c r="B835" s="1" t="n">
        <v>45546.68743055555</v>
      </c>
      <c r="C835" s="1" t="n">
        <v>46060</v>
      </c>
      <c r="D835" t="inlineStr">
        <is>
          <t>ÖREBRO LÄN</t>
        </is>
      </c>
      <c r="E835" t="inlineStr">
        <is>
          <t>LINDESBERG</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49358-2023</t>
        </is>
      </c>
      <c r="B836" s="1" t="n">
        <v>45211</v>
      </c>
      <c r="C836" s="1" t="n">
        <v>46060</v>
      </c>
      <c r="D836" t="inlineStr">
        <is>
          <t>ÖREBRO LÄN</t>
        </is>
      </c>
      <c r="E836" t="inlineStr">
        <is>
          <t>LINDESBERG</t>
        </is>
      </c>
      <c r="F836" t="inlineStr">
        <is>
          <t>Sveaskog</t>
        </is>
      </c>
      <c r="G836" t="n">
        <v>4.7</v>
      </c>
      <c r="H836" t="n">
        <v>0</v>
      </c>
      <c r="I836" t="n">
        <v>0</v>
      </c>
      <c r="J836" t="n">
        <v>0</v>
      </c>
      <c r="K836" t="n">
        <v>0</v>
      </c>
      <c r="L836" t="n">
        <v>0</v>
      </c>
      <c r="M836" t="n">
        <v>0</v>
      </c>
      <c r="N836" t="n">
        <v>0</v>
      </c>
      <c r="O836" t="n">
        <v>0</v>
      </c>
      <c r="P836" t="n">
        <v>0</v>
      </c>
      <c r="Q836" t="n">
        <v>0</v>
      </c>
      <c r="R836" s="2" t="inlineStr"/>
    </row>
    <row r="837" ht="15" customHeight="1">
      <c r="A837" t="inlineStr">
        <is>
          <t>A 72331-2021</t>
        </is>
      </c>
      <c r="B837" s="1" t="n">
        <v>44544</v>
      </c>
      <c r="C837" s="1" t="n">
        <v>46060</v>
      </c>
      <c r="D837" t="inlineStr">
        <is>
          <t>ÖREBRO LÄN</t>
        </is>
      </c>
      <c r="E837" t="inlineStr">
        <is>
          <t>LINDESBERG</t>
        </is>
      </c>
      <c r="G837" t="n">
        <v>1.5</v>
      </c>
      <c r="H837" t="n">
        <v>0</v>
      </c>
      <c r="I837" t="n">
        <v>0</v>
      </c>
      <c r="J837" t="n">
        <v>0</v>
      </c>
      <c r="K837" t="n">
        <v>0</v>
      </c>
      <c r="L837" t="n">
        <v>0</v>
      </c>
      <c r="M837" t="n">
        <v>0</v>
      </c>
      <c r="N837" t="n">
        <v>0</v>
      </c>
      <c r="O837" t="n">
        <v>0</v>
      </c>
      <c r="P837" t="n">
        <v>0</v>
      </c>
      <c r="Q837" t="n">
        <v>0</v>
      </c>
      <c r="R837" s="2" t="inlineStr"/>
    </row>
    <row r="838" ht="15" customHeight="1">
      <c r="A838" t="inlineStr">
        <is>
          <t>A 54663-2021</t>
        </is>
      </c>
      <c r="B838" s="1" t="n">
        <v>44473.6343287037</v>
      </c>
      <c r="C838" s="1" t="n">
        <v>46060</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57795-2021</t>
        </is>
      </c>
      <c r="B839" s="1" t="n">
        <v>44484</v>
      </c>
      <c r="C839" s="1" t="n">
        <v>46060</v>
      </c>
      <c r="D839" t="inlineStr">
        <is>
          <t>ÖREBRO LÄN</t>
        </is>
      </c>
      <c r="E839" t="inlineStr">
        <is>
          <t>LINDESBERG</t>
        </is>
      </c>
      <c r="G839" t="n">
        <v>39.4</v>
      </c>
      <c r="H839" t="n">
        <v>0</v>
      </c>
      <c r="I839" t="n">
        <v>0</v>
      </c>
      <c r="J839" t="n">
        <v>0</v>
      </c>
      <c r="K839" t="n">
        <v>0</v>
      </c>
      <c r="L839" t="n">
        <v>0</v>
      </c>
      <c r="M839" t="n">
        <v>0</v>
      </c>
      <c r="N839" t="n">
        <v>0</v>
      </c>
      <c r="O839" t="n">
        <v>0</v>
      </c>
      <c r="P839" t="n">
        <v>0</v>
      </c>
      <c r="Q839" t="n">
        <v>0</v>
      </c>
      <c r="R839" s="2" t="inlineStr"/>
    </row>
    <row r="840" ht="15" customHeight="1">
      <c r="A840" t="inlineStr">
        <is>
          <t>A 27031-2024</t>
        </is>
      </c>
      <c r="B840" s="1" t="n">
        <v>45471.42659722222</v>
      </c>
      <c r="C840" s="1" t="n">
        <v>46060</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27130-2024</t>
        </is>
      </c>
      <c r="B841" s="1" t="n">
        <v>45471.52072916667</v>
      </c>
      <c r="C841" s="1" t="n">
        <v>46060</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6161-2025</t>
        </is>
      </c>
      <c r="B842" s="1" t="n">
        <v>45698</v>
      </c>
      <c r="C842" s="1" t="n">
        <v>46060</v>
      </c>
      <c r="D842" t="inlineStr">
        <is>
          <t>ÖREBRO LÄN</t>
        </is>
      </c>
      <c r="E842" t="inlineStr">
        <is>
          <t>LINDESBERG</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6165-2025</t>
        </is>
      </c>
      <c r="B843" s="1" t="n">
        <v>45698</v>
      </c>
      <c r="C843" s="1" t="n">
        <v>46060</v>
      </c>
      <c r="D843" t="inlineStr">
        <is>
          <t>ÖREBRO LÄN</t>
        </is>
      </c>
      <c r="E843" t="inlineStr">
        <is>
          <t>LINDESBERG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44664-2023</t>
        </is>
      </c>
      <c r="B844" s="1" t="n">
        <v>45189</v>
      </c>
      <c r="C844" s="1" t="n">
        <v>46060</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11366-2024</t>
        </is>
      </c>
      <c r="B845" s="1" t="n">
        <v>45372.40246527778</v>
      </c>
      <c r="C845" s="1" t="n">
        <v>46060</v>
      </c>
      <c r="D845" t="inlineStr">
        <is>
          <t>ÖREBRO LÄN</t>
        </is>
      </c>
      <c r="E845" t="inlineStr">
        <is>
          <t>LINDESBERG</t>
        </is>
      </c>
      <c r="G845" t="n">
        <v>4.4</v>
      </c>
      <c r="H845" t="n">
        <v>0</v>
      </c>
      <c r="I845" t="n">
        <v>0</v>
      </c>
      <c r="J845" t="n">
        <v>0</v>
      </c>
      <c r="K845" t="n">
        <v>0</v>
      </c>
      <c r="L845" t="n">
        <v>0</v>
      </c>
      <c r="M845" t="n">
        <v>0</v>
      </c>
      <c r="N845" t="n">
        <v>0</v>
      </c>
      <c r="O845" t="n">
        <v>0</v>
      </c>
      <c r="P845" t="n">
        <v>0</v>
      </c>
      <c r="Q845" t="n">
        <v>0</v>
      </c>
      <c r="R845" s="2" t="inlineStr"/>
    </row>
    <row r="846" ht="15" customHeight="1">
      <c r="A846" t="inlineStr">
        <is>
          <t>A 24270-2023</t>
        </is>
      </c>
      <c r="B846" s="1" t="n">
        <v>45079</v>
      </c>
      <c r="C846" s="1" t="n">
        <v>46060</v>
      </c>
      <c r="D846" t="inlineStr">
        <is>
          <t>ÖREBRO LÄN</t>
        </is>
      </c>
      <c r="E846" t="inlineStr">
        <is>
          <t>LINDESBERG</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24271-2023</t>
        </is>
      </c>
      <c r="B847" s="1" t="n">
        <v>45079</v>
      </c>
      <c r="C847" s="1" t="n">
        <v>46060</v>
      </c>
      <c r="D847" t="inlineStr">
        <is>
          <t>ÖREBRO LÄN</t>
        </is>
      </c>
      <c r="E847" t="inlineStr">
        <is>
          <t>LINDESBERG</t>
        </is>
      </c>
      <c r="F847" t="inlineStr">
        <is>
          <t>Sveaskog</t>
        </is>
      </c>
      <c r="G847" t="n">
        <v>0.4</v>
      </c>
      <c r="H847" t="n">
        <v>0</v>
      </c>
      <c r="I847" t="n">
        <v>0</v>
      </c>
      <c r="J847" t="n">
        <v>0</v>
      </c>
      <c r="K847" t="n">
        <v>0</v>
      </c>
      <c r="L847" t="n">
        <v>0</v>
      </c>
      <c r="M847" t="n">
        <v>0</v>
      </c>
      <c r="N847" t="n">
        <v>0</v>
      </c>
      <c r="O847" t="n">
        <v>0</v>
      </c>
      <c r="P847" t="n">
        <v>0</v>
      </c>
      <c r="Q847" t="n">
        <v>0</v>
      </c>
      <c r="R847" s="2" t="inlineStr"/>
    </row>
    <row r="848" ht="15" customHeight="1">
      <c r="A848" t="inlineStr">
        <is>
          <t>A 25046-2024</t>
        </is>
      </c>
      <c r="B848" s="1" t="n">
        <v>45462</v>
      </c>
      <c r="C848" s="1" t="n">
        <v>46060</v>
      </c>
      <c r="D848" t="inlineStr">
        <is>
          <t>ÖREBRO LÄN</t>
        </is>
      </c>
      <c r="E848" t="inlineStr">
        <is>
          <t>LINDESBERG</t>
        </is>
      </c>
      <c r="G848" t="n">
        <v>4.1</v>
      </c>
      <c r="H848" t="n">
        <v>0</v>
      </c>
      <c r="I848" t="n">
        <v>0</v>
      </c>
      <c r="J848" t="n">
        <v>0</v>
      </c>
      <c r="K848" t="n">
        <v>0</v>
      </c>
      <c r="L848" t="n">
        <v>0</v>
      </c>
      <c r="M848" t="n">
        <v>0</v>
      </c>
      <c r="N848" t="n">
        <v>0</v>
      </c>
      <c r="O848" t="n">
        <v>0</v>
      </c>
      <c r="P848" t="n">
        <v>0</v>
      </c>
      <c r="Q848" t="n">
        <v>0</v>
      </c>
      <c r="R848" s="2" t="inlineStr"/>
    </row>
    <row r="849" ht="15" customHeight="1">
      <c r="A849" t="inlineStr">
        <is>
          <t>A 45038-2024</t>
        </is>
      </c>
      <c r="B849" s="1" t="n">
        <v>45575.53331018519</v>
      </c>
      <c r="C849" s="1" t="n">
        <v>46060</v>
      </c>
      <c r="D849" t="inlineStr">
        <is>
          <t>ÖREBRO LÄN</t>
        </is>
      </c>
      <c r="E849" t="inlineStr">
        <is>
          <t>LINDESBERG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45046-2024</t>
        </is>
      </c>
      <c r="B850" s="1" t="n">
        <v>45575.54489583334</v>
      </c>
      <c r="C850" s="1" t="n">
        <v>46060</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21468-2024</t>
        </is>
      </c>
      <c r="B851" s="1" t="n">
        <v>45441.48670138889</v>
      </c>
      <c r="C851" s="1" t="n">
        <v>46060</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18610-2021</t>
        </is>
      </c>
      <c r="B852" s="1" t="n">
        <v>44306.6371412037</v>
      </c>
      <c r="C852" s="1" t="n">
        <v>46060</v>
      </c>
      <c r="D852" t="inlineStr">
        <is>
          <t>ÖREBRO LÄN</t>
        </is>
      </c>
      <c r="E852" t="inlineStr">
        <is>
          <t>LINDESBERG</t>
        </is>
      </c>
      <c r="G852" t="n">
        <v>3</v>
      </c>
      <c r="H852" t="n">
        <v>0</v>
      </c>
      <c r="I852" t="n">
        <v>0</v>
      </c>
      <c r="J852" t="n">
        <v>0</v>
      </c>
      <c r="K852" t="n">
        <v>0</v>
      </c>
      <c r="L852" t="n">
        <v>0</v>
      </c>
      <c r="M852" t="n">
        <v>0</v>
      </c>
      <c r="N852" t="n">
        <v>0</v>
      </c>
      <c r="O852" t="n">
        <v>0</v>
      </c>
      <c r="P852" t="n">
        <v>0</v>
      </c>
      <c r="Q852" t="n">
        <v>0</v>
      </c>
      <c r="R852" s="2" t="inlineStr"/>
    </row>
    <row r="853" ht="15" customHeight="1">
      <c r="A853" t="inlineStr">
        <is>
          <t>A 40038-2024</t>
        </is>
      </c>
      <c r="B853" s="1" t="n">
        <v>45553</v>
      </c>
      <c r="C853" s="1" t="n">
        <v>46060</v>
      </c>
      <c r="D853" t="inlineStr">
        <is>
          <t>ÖREBRO LÄN</t>
        </is>
      </c>
      <c r="E853" t="inlineStr">
        <is>
          <t>LINDESBERG</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61360-2024</t>
        </is>
      </c>
      <c r="B854" s="1" t="n">
        <v>45646</v>
      </c>
      <c r="C854" s="1" t="n">
        <v>46060</v>
      </c>
      <c r="D854" t="inlineStr">
        <is>
          <t>ÖREBRO LÄN</t>
        </is>
      </c>
      <c r="E854" t="inlineStr">
        <is>
          <t>LINDESBERG</t>
        </is>
      </c>
      <c r="F854" t="inlineStr">
        <is>
          <t>Sveaskog</t>
        </is>
      </c>
      <c r="G854" t="n">
        <v>6.5</v>
      </c>
      <c r="H854" t="n">
        <v>0</v>
      </c>
      <c r="I854" t="n">
        <v>0</v>
      </c>
      <c r="J854" t="n">
        <v>0</v>
      </c>
      <c r="K854" t="n">
        <v>0</v>
      </c>
      <c r="L854" t="n">
        <v>0</v>
      </c>
      <c r="M854" t="n">
        <v>0</v>
      </c>
      <c r="N854" t="n">
        <v>0</v>
      </c>
      <c r="O854" t="n">
        <v>0</v>
      </c>
      <c r="P854" t="n">
        <v>0</v>
      </c>
      <c r="Q854" t="n">
        <v>0</v>
      </c>
      <c r="R854" s="2" t="inlineStr"/>
    </row>
    <row r="855" ht="15" customHeight="1">
      <c r="A855" t="inlineStr">
        <is>
          <t>A 12276-2025</t>
        </is>
      </c>
      <c r="B855" s="1" t="n">
        <v>45729.65061342593</v>
      </c>
      <c r="C855" s="1" t="n">
        <v>46060</v>
      </c>
      <c r="D855" t="inlineStr">
        <is>
          <t>ÖREBRO LÄN</t>
        </is>
      </c>
      <c r="E855" t="inlineStr">
        <is>
          <t>LINDESBERG</t>
        </is>
      </c>
      <c r="G855" t="n">
        <v>7.6</v>
      </c>
      <c r="H855" t="n">
        <v>0</v>
      </c>
      <c r="I855" t="n">
        <v>0</v>
      </c>
      <c r="J855" t="n">
        <v>0</v>
      </c>
      <c r="K855" t="n">
        <v>0</v>
      </c>
      <c r="L855" t="n">
        <v>0</v>
      </c>
      <c r="M855" t="n">
        <v>0</v>
      </c>
      <c r="N855" t="n">
        <v>0</v>
      </c>
      <c r="O855" t="n">
        <v>0</v>
      </c>
      <c r="P855" t="n">
        <v>0</v>
      </c>
      <c r="Q855" t="n">
        <v>0</v>
      </c>
      <c r="R855" s="2" t="inlineStr"/>
    </row>
    <row r="856" ht="15" customHeight="1">
      <c r="A856" t="inlineStr">
        <is>
          <t>A 14028-2023</t>
        </is>
      </c>
      <c r="B856" s="1" t="n">
        <v>45008</v>
      </c>
      <c r="C856" s="1" t="n">
        <v>46060</v>
      </c>
      <c r="D856" t="inlineStr">
        <is>
          <t>ÖREBRO LÄN</t>
        </is>
      </c>
      <c r="E856" t="inlineStr">
        <is>
          <t>LINDESBERG</t>
        </is>
      </c>
      <c r="F856" t="inlineStr">
        <is>
          <t>Kyrkan</t>
        </is>
      </c>
      <c r="G856" t="n">
        <v>1.1</v>
      </c>
      <c r="H856" t="n">
        <v>0</v>
      </c>
      <c r="I856" t="n">
        <v>0</v>
      </c>
      <c r="J856" t="n">
        <v>0</v>
      </c>
      <c r="K856" t="n">
        <v>0</v>
      </c>
      <c r="L856" t="n">
        <v>0</v>
      </c>
      <c r="M856" t="n">
        <v>0</v>
      </c>
      <c r="N856" t="n">
        <v>0</v>
      </c>
      <c r="O856" t="n">
        <v>0</v>
      </c>
      <c r="P856" t="n">
        <v>0</v>
      </c>
      <c r="Q856" t="n">
        <v>0</v>
      </c>
      <c r="R856" s="2" t="inlineStr"/>
    </row>
    <row r="857" ht="15" customHeight="1">
      <c r="A857" t="inlineStr">
        <is>
          <t>A 31024-2023</t>
        </is>
      </c>
      <c r="B857" s="1" t="n">
        <v>45113</v>
      </c>
      <c r="C857" s="1" t="n">
        <v>46060</v>
      </c>
      <c r="D857" t="inlineStr">
        <is>
          <t>ÖREBRO LÄN</t>
        </is>
      </c>
      <c r="E857" t="inlineStr">
        <is>
          <t>LINDESBERG</t>
        </is>
      </c>
      <c r="G857" t="n">
        <v>5.1</v>
      </c>
      <c r="H857" t="n">
        <v>0</v>
      </c>
      <c r="I857" t="n">
        <v>0</v>
      </c>
      <c r="J857" t="n">
        <v>0</v>
      </c>
      <c r="K857" t="n">
        <v>0</v>
      </c>
      <c r="L857" t="n">
        <v>0</v>
      </c>
      <c r="M857" t="n">
        <v>0</v>
      </c>
      <c r="N857" t="n">
        <v>0</v>
      </c>
      <c r="O857" t="n">
        <v>0</v>
      </c>
      <c r="P857" t="n">
        <v>0</v>
      </c>
      <c r="Q857" t="n">
        <v>0</v>
      </c>
      <c r="R857" s="2" t="inlineStr"/>
    </row>
    <row r="858" ht="15" customHeight="1">
      <c r="A858" t="inlineStr">
        <is>
          <t>A 27052-2023</t>
        </is>
      </c>
      <c r="B858" s="1" t="n">
        <v>45095</v>
      </c>
      <c r="C858" s="1" t="n">
        <v>46060</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12053-2024</t>
        </is>
      </c>
      <c r="B859" s="1" t="n">
        <v>45377.48265046296</v>
      </c>
      <c r="C859" s="1" t="n">
        <v>46060</v>
      </c>
      <c r="D859" t="inlineStr">
        <is>
          <t>ÖREBRO LÄN</t>
        </is>
      </c>
      <c r="E859" t="inlineStr">
        <is>
          <t>LINDESBERG</t>
        </is>
      </c>
      <c r="G859" t="n">
        <v>1.7</v>
      </c>
      <c r="H859" t="n">
        <v>0</v>
      </c>
      <c r="I859" t="n">
        <v>0</v>
      </c>
      <c r="J859" t="n">
        <v>0</v>
      </c>
      <c r="K859" t="n">
        <v>0</v>
      </c>
      <c r="L859" t="n">
        <v>0</v>
      </c>
      <c r="M859" t="n">
        <v>0</v>
      </c>
      <c r="N859" t="n">
        <v>0</v>
      </c>
      <c r="O859" t="n">
        <v>0</v>
      </c>
      <c r="P859" t="n">
        <v>0</v>
      </c>
      <c r="Q859" t="n">
        <v>0</v>
      </c>
      <c r="R859" s="2" t="inlineStr"/>
    </row>
    <row r="860" ht="15" customHeight="1">
      <c r="A860" t="inlineStr">
        <is>
          <t>A 25229-2021</t>
        </is>
      </c>
      <c r="B860" s="1" t="n">
        <v>44342.39703703704</v>
      </c>
      <c r="C860" s="1" t="n">
        <v>46060</v>
      </c>
      <c r="D860" t="inlineStr">
        <is>
          <t>ÖREBRO LÄN</t>
        </is>
      </c>
      <c r="E860" t="inlineStr">
        <is>
          <t>LINDESBERG</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626-2025</t>
        </is>
      </c>
      <c r="B861" s="1" t="n">
        <v>45664</v>
      </c>
      <c r="C861" s="1" t="n">
        <v>46060</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13573-2025</t>
        </is>
      </c>
      <c r="B862" s="1" t="n">
        <v>45736</v>
      </c>
      <c r="C862" s="1" t="n">
        <v>46060</v>
      </c>
      <c r="D862" t="inlineStr">
        <is>
          <t>ÖREBRO LÄN</t>
        </is>
      </c>
      <c r="E862" t="inlineStr">
        <is>
          <t>LINDESBERG</t>
        </is>
      </c>
      <c r="G862" t="n">
        <v>11.7</v>
      </c>
      <c r="H862" t="n">
        <v>0</v>
      </c>
      <c r="I862" t="n">
        <v>0</v>
      </c>
      <c r="J862" t="n">
        <v>0</v>
      </c>
      <c r="K862" t="n">
        <v>0</v>
      </c>
      <c r="L862" t="n">
        <v>0</v>
      </c>
      <c r="M862" t="n">
        <v>0</v>
      </c>
      <c r="N862" t="n">
        <v>0</v>
      </c>
      <c r="O862" t="n">
        <v>0</v>
      </c>
      <c r="P862" t="n">
        <v>0</v>
      </c>
      <c r="Q862" t="n">
        <v>0</v>
      </c>
      <c r="R862" s="2" t="inlineStr"/>
    </row>
    <row r="863" ht="15" customHeight="1">
      <c r="A863" t="inlineStr">
        <is>
          <t>A 63686-2023</t>
        </is>
      </c>
      <c r="B863" s="1" t="n">
        <v>45274</v>
      </c>
      <c r="C863" s="1" t="n">
        <v>46060</v>
      </c>
      <c r="D863" t="inlineStr">
        <is>
          <t>ÖREBRO LÄN</t>
        </is>
      </c>
      <c r="E863" t="inlineStr">
        <is>
          <t>LINDESBERG</t>
        </is>
      </c>
      <c r="G863" t="n">
        <v>0.9</v>
      </c>
      <c r="H863" t="n">
        <v>0</v>
      </c>
      <c r="I863" t="n">
        <v>0</v>
      </c>
      <c r="J863" t="n">
        <v>0</v>
      </c>
      <c r="K863" t="n">
        <v>0</v>
      </c>
      <c r="L863" t="n">
        <v>0</v>
      </c>
      <c r="M863" t="n">
        <v>0</v>
      </c>
      <c r="N863" t="n">
        <v>0</v>
      </c>
      <c r="O863" t="n">
        <v>0</v>
      </c>
      <c r="P863" t="n">
        <v>0</v>
      </c>
      <c r="Q863" t="n">
        <v>0</v>
      </c>
      <c r="R863" s="2" t="inlineStr"/>
    </row>
    <row r="864" ht="15" customHeight="1">
      <c r="A864" t="inlineStr">
        <is>
          <t>A 64365-2023</t>
        </is>
      </c>
      <c r="B864" s="1" t="n">
        <v>45280</v>
      </c>
      <c r="C864" s="1" t="n">
        <v>46060</v>
      </c>
      <c r="D864" t="inlineStr">
        <is>
          <t>ÖREBRO LÄN</t>
        </is>
      </c>
      <c r="E864" t="inlineStr">
        <is>
          <t>LINDESBERG</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12562-2021</t>
        </is>
      </c>
      <c r="B865" s="1" t="n">
        <v>44267</v>
      </c>
      <c r="C865" s="1" t="n">
        <v>46060</v>
      </c>
      <c r="D865" t="inlineStr">
        <is>
          <t>ÖREBRO LÄN</t>
        </is>
      </c>
      <c r="E865" t="inlineStr">
        <is>
          <t>LINDESBERG</t>
        </is>
      </c>
      <c r="G865" t="n">
        <v>30.1</v>
      </c>
      <c r="H865" t="n">
        <v>0</v>
      </c>
      <c r="I865" t="n">
        <v>0</v>
      </c>
      <c r="J865" t="n">
        <v>0</v>
      </c>
      <c r="K865" t="n">
        <v>0</v>
      </c>
      <c r="L865" t="n">
        <v>0</v>
      </c>
      <c r="M865" t="n">
        <v>0</v>
      </c>
      <c r="N865" t="n">
        <v>0</v>
      </c>
      <c r="O865" t="n">
        <v>0</v>
      </c>
      <c r="P865" t="n">
        <v>0</v>
      </c>
      <c r="Q865" t="n">
        <v>0</v>
      </c>
      <c r="R865" s="2" t="inlineStr"/>
    </row>
    <row r="866" ht="15" customHeight="1">
      <c r="A866" t="inlineStr">
        <is>
          <t>A 56217-2022</t>
        </is>
      </c>
      <c r="B866" s="1" t="n">
        <v>44890.46174768519</v>
      </c>
      <c r="C866" s="1" t="n">
        <v>46060</v>
      </c>
      <c r="D866" t="inlineStr">
        <is>
          <t>ÖREBRO LÄN</t>
        </is>
      </c>
      <c r="E866" t="inlineStr">
        <is>
          <t>LINDESBERG</t>
        </is>
      </c>
      <c r="G866" t="n">
        <v>6.9</v>
      </c>
      <c r="H866" t="n">
        <v>0</v>
      </c>
      <c r="I866" t="n">
        <v>0</v>
      </c>
      <c r="J866" t="n">
        <v>0</v>
      </c>
      <c r="K866" t="n">
        <v>0</v>
      </c>
      <c r="L866" t="n">
        <v>0</v>
      </c>
      <c r="M866" t="n">
        <v>0</v>
      </c>
      <c r="N866" t="n">
        <v>0</v>
      </c>
      <c r="O866" t="n">
        <v>0</v>
      </c>
      <c r="P866" t="n">
        <v>0</v>
      </c>
      <c r="Q866" t="n">
        <v>0</v>
      </c>
      <c r="R866" s="2" t="inlineStr"/>
    </row>
    <row r="867" ht="15" customHeight="1">
      <c r="A867" t="inlineStr">
        <is>
          <t>A 5550-2024</t>
        </is>
      </c>
      <c r="B867" s="1" t="n">
        <v>45334</v>
      </c>
      <c r="C867" s="1" t="n">
        <v>46060</v>
      </c>
      <c r="D867" t="inlineStr">
        <is>
          <t>ÖREBRO LÄN</t>
        </is>
      </c>
      <c r="E867" t="inlineStr">
        <is>
          <t>LINDESBERG</t>
        </is>
      </c>
      <c r="G867" t="n">
        <v>0.6</v>
      </c>
      <c r="H867" t="n">
        <v>0</v>
      </c>
      <c r="I867" t="n">
        <v>0</v>
      </c>
      <c r="J867" t="n">
        <v>0</v>
      </c>
      <c r="K867" t="n">
        <v>0</v>
      </c>
      <c r="L867" t="n">
        <v>0</v>
      </c>
      <c r="M867" t="n">
        <v>0</v>
      </c>
      <c r="N867" t="n">
        <v>0</v>
      </c>
      <c r="O867" t="n">
        <v>0</v>
      </c>
      <c r="P867" t="n">
        <v>0</v>
      </c>
      <c r="Q867" t="n">
        <v>0</v>
      </c>
      <c r="R867" s="2" t="inlineStr"/>
    </row>
    <row r="868" ht="15" customHeight="1">
      <c r="A868" t="inlineStr">
        <is>
          <t>A 32829-2024</t>
        </is>
      </c>
      <c r="B868" s="1" t="n">
        <v>45516.59447916667</v>
      </c>
      <c r="C868" s="1" t="n">
        <v>46060</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13823-2021</t>
        </is>
      </c>
      <c r="B869" s="1" t="n">
        <v>44276</v>
      </c>
      <c r="C869" s="1" t="n">
        <v>46060</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29350-2022</t>
        </is>
      </c>
      <c r="B870" s="1" t="n">
        <v>44753</v>
      </c>
      <c r="C870" s="1" t="n">
        <v>46060</v>
      </c>
      <c r="D870" t="inlineStr">
        <is>
          <t>ÖREBRO LÄN</t>
        </is>
      </c>
      <c r="E870" t="inlineStr">
        <is>
          <t>LINDESBERG</t>
        </is>
      </c>
      <c r="G870" t="n">
        <v>7.7</v>
      </c>
      <c r="H870" t="n">
        <v>0</v>
      </c>
      <c r="I870" t="n">
        <v>0</v>
      </c>
      <c r="J870" t="n">
        <v>0</v>
      </c>
      <c r="K870" t="n">
        <v>0</v>
      </c>
      <c r="L870" t="n">
        <v>0</v>
      </c>
      <c r="M870" t="n">
        <v>0</v>
      </c>
      <c r="N870" t="n">
        <v>0</v>
      </c>
      <c r="O870" t="n">
        <v>0</v>
      </c>
      <c r="P870" t="n">
        <v>0</v>
      </c>
      <c r="Q870" t="n">
        <v>0</v>
      </c>
      <c r="R870" s="2" t="inlineStr"/>
    </row>
    <row r="871" ht="15" customHeight="1">
      <c r="A871" t="inlineStr">
        <is>
          <t>A 53510-2024</t>
        </is>
      </c>
      <c r="B871" s="1" t="n">
        <v>45614.5968287037</v>
      </c>
      <c r="C871" s="1" t="n">
        <v>46060</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58710-2023</t>
        </is>
      </c>
      <c r="B872" s="1" t="n">
        <v>45251.696875</v>
      </c>
      <c r="C872" s="1" t="n">
        <v>46060</v>
      </c>
      <c r="D872" t="inlineStr">
        <is>
          <t>ÖREBRO LÄN</t>
        </is>
      </c>
      <c r="E872" t="inlineStr">
        <is>
          <t>LINDESBERG</t>
        </is>
      </c>
      <c r="G872" t="n">
        <v>6.3</v>
      </c>
      <c r="H872" t="n">
        <v>0</v>
      </c>
      <c r="I872" t="n">
        <v>0</v>
      </c>
      <c r="J872" t="n">
        <v>0</v>
      </c>
      <c r="K872" t="n">
        <v>0</v>
      </c>
      <c r="L872" t="n">
        <v>0</v>
      </c>
      <c r="M872" t="n">
        <v>0</v>
      </c>
      <c r="N872" t="n">
        <v>0</v>
      </c>
      <c r="O872" t="n">
        <v>0</v>
      </c>
      <c r="P872" t="n">
        <v>0</v>
      </c>
      <c r="Q872" t="n">
        <v>0</v>
      </c>
      <c r="R872" s="2" t="inlineStr"/>
    </row>
    <row r="873" ht="15" customHeight="1">
      <c r="A873" t="inlineStr">
        <is>
          <t>A 60449-2024</t>
        </is>
      </c>
      <c r="B873" s="1" t="n">
        <v>45643</v>
      </c>
      <c r="C873" s="1" t="n">
        <v>46060</v>
      </c>
      <c r="D873" t="inlineStr">
        <is>
          <t>ÖREBRO LÄN</t>
        </is>
      </c>
      <c r="E873" t="inlineStr">
        <is>
          <t>LINDESBERG</t>
        </is>
      </c>
      <c r="G873" t="n">
        <v>1.2</v>
      </c>
      <c r="H873" t="n">
        <v>0</v>
      </c>
      <c r="I873" t="n">
        <v>0</v>
      </c>
      <c r="J873" t="n">
        <v>0</v>
      </c>
      <c r="K873" t="n">
        <v>0</v>
      </c>
      <c r="L873" t="n">
        <v>0</v>
      </c>
      <c r="M873" t="n">
        <v>0</v>
      </c>
      <c r="N873" t="n">
        <v>0</v>
      </c>
      <c r="O873" t="n">
        <v>0</v>
      </c>
      <c r="P873" t="n">
        <v>0</v>
      </c>
      <c r="Q873" t="n">
        <v>0</v>
      </c>
      <c r="R873" s="2" t="inlineStr"/>
    </row>
    <row r="874" ht="15" customHeight="1">
      <c r="A874" t="inlineStr">
        <is>
          <t>A 15894-2025</t>
        </is>
      </c>
      <c r="B874" s="1" t="n">
        <v>45749</v>
      </c>
      <c r="C874" s="1" t="n">
        <v>46060</v>
      </c>
      <c r="D874" t="inlineStr">
        <is>
          <t>ÖREBRO LÄN</t>
        </is>
      </c>
      <c r="E874" t="inlineStr">
        <is>
          <t>LINDESBERG</t>
        </is>
      </c>
      <c r="G874" t="n">
        <v>1.5</v>
      </c>
      <c r="H874" t="n">
        <v>0</v>
      </c>
      <c r="I874" t="n">
        <v>0</v>
      </c>
      <c r="J874" t="n">
        <v>0</v>
      </c>
      <c r="K874" t="n">
        <v>0</v>
      </c>
      <c r="L874" t="n">
        <v>0</v>
      </c>
      <c r="M874" t="n">
        <v>0</v>
      </c>
      <c r="N874" t="n">
        <v>0</v>
      </c>
      <c r="O874" t="n">
        <v>0</v>
      </c>
      <c r="P874" t="n">
        <v>0</v>
      </c>
      <c r="Q874" t="n">
        <v>0</v>
      </c>
      <c r="R874" s="2" t="inlineStr"/>
    </row>
    <row r="875" ht="15" customHeight="1">
      <c r="A875" t="inlineStr">
        <is>
          <t>A 43529-2024</t>
        </is>
      </c>
      <c r="B875" s="1" t="n">
        <v>45569.35209490741</v>
      </c>
      <c r="C875" s="1" t="n">
        <v>46060</v>
      </c>
      <c r="D875" t="inlineStr">
        <is>
          <t>ÖREBRO LÄN</t>
        </is>
      </c>
      <c r="E875" t="inlineStr">
        <is>
          <t>LINDESBERG</t>
        </is>
      </c>
      <c r="G875" t="n">
        <v>2.8</v>
      </c>
      <c r="H875" t="n">
        <v>0</v>
      </c>
      <c r="I875" t="n">
        <v>0</v>
      </c>
      <c r="J875" t="n">
        <v>0</v>
      </c>
      <c r="K875" t="n">
        <v>0</v>
      </c>
      <c r="L875" t="n">
        <v>0</v>
      </c>
      <c r="M875" t="n">
        <v>0</v>
      </c>
      <c r="N875" t="n">
        <v>0</v>
      </c>
      <c r="O875" t="n">
        <v>0</v>
      </c>
      <c r="P875" t="n">
        <v>0</v>
      </c>
      <c r="Q875" t="n">
        <v>0</v>
      </c>
      <c r="R875" s="2" t="inlineStr"/>
    </row>
    <row r="876" ht="15" customHeight="1">
      <c r="A876" t="inlineStr">
        <is>
          <t>A 54864-2024</t>
        </is>
      </c>
      <c r="B876" s="1" t="n">
        <v>45618.59456018519</v>
      </c>
      <c r="C876" s="1" t="n">
        <v>46060</v>
      </c>
      <c r="D876" t="inlineStr">
        <is>
          <t>ÖREBRO LÄN</t>
        </is>
      </c>
      <c r="E876" t="inlineStr">
        <is>
          <t>LINDESBERG</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46060</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3148-2023</t>
        </is>
      </c>
      <c r="B878" s="1" t="n">
        <v>44946.54424768518</v>
      </c>
      <c r="C878" s="1" t="n">
        <v>46060</v>
      </c>
      <c r="D878" t="inlineStr">
        <is>
          <t>ÖREBRO LÄN</t>
        </is>
      </c>
      <c r="E878" t="inlineStr">
        <is>
          <t>LINDESBERG</t>
        </is>
      </c>
      <c r="G878" t="n">
        <v>5.5</v>
      </c>
      <c r="H878" t="n">
        <v>0</v>
      </c>
      <c r="I878" t="n">
        <v>0</v>
      </c>
      <c r="J878" t="n">
        <v>0</v>
      </c>
      <c r="K878" t="n">
        <v>0</v>
      </c>
      <c r="L878" t="n">
        <v>0</v>
      </c>
      <c r="M878" t="n">
        <v>0</v>
      </c>
      <c r="N878" t="n">
        <v>0</v>
      </c>
      <c r="O878" t="n">
        <v>0</v>
      </c>
      <c r="P878" t="n">
        <v>0</v>
      </c>
      <c r="Q878" t="n">
        <v>0</v>
      </c>
      <c r="R878" s="2" t="inlineStr"/>
    </row>
    <row r="879" ht="15" customHeight="1">
      <c r="A879" t="inlineStr">
        <is>
          <t>A 54855-2024</t>
        </is>
      </c>
      <c r="B879" s="1" t="n">
        <v>45618.58622685185</v>
      </c>
      <c r="C879" s="1" t="n">
        <v>46060</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37432-2022</t>
        </is>
      </c>
      <c r="B880" s="1" t="n">
        <v>44809</v>
      </c>
      <c r="C880" s="1" t="n">
        <v>46060</v>
      </c>
      <c r="D880" t="inlineStr">
        <is>
          <t>ÖREBRO LÄN</t>
        </is>
      </c>
      <c r="E880" t="inlineStr">
        <is>
          <t>LINDESBERG</t>
        </is>
      </c>
      <c r="G880" t="n">
        <v>3.6</v>
      </c>
      <c r="H880" t="n">
        <v>0</v>
      </c>
      <c r="I880" t="n">
        <v>0</v>
      </c>
      <c r="J880" t="n">
        <v>0</v>
      </c>
      <c r="K880" t="n">
        <v>0</v>
      </c>
      <c r="L880" t="n">
        <v>0</v>
      </c>
      <c r="M880" t="n">
        <v>0</v>
      </c>
      <c r="N880" t="n">
        <v>0</v>
      </c>
      <c r="O880" t="n">
        <v>0</v>
      </c>
      <c r="P880" t="n">
        <v>0</v>
      </c>
      <c r="Q880" t="n">
        <v>0</v>
      </c>
      <c r="R880" s="2" t="inlineStr"/>
    </row>
    <row r="881" ht="15" customHeight="1">
      <c r="A881" t="inlineStr">
        <is>
          <t>A 61202-2023</t>
        </is>
      </c>
      <c r="B881" s="1" t="n">
        <v>45264.38084490741</v>
      </c>
      <c r="C881" s="1" t="n">
        <v>46060</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7120-2025</t>
        </is>
      </c>
      <c r="B882" s="1" t="n">
        <v>45702</v>
      </c>
      <c r="C882" s="1" t="n">
        <v>46060</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195-2022</t>
        </is>
      </c>
      <c r="B883" s="1" t="n">
        <v>44564</v>
      </c>
      <c r="C883" s="1" t="n">
        <v>46060</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51379-2023</t>
        </is>
      </c>
      <c r="B884" s="1" t="n">
        <v>45219</v>
      </c>
      <c r="C884" s="1" t="n">
        <v>46060</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16054-2022</t>
        </is>
      </c>
      <c r="B885" s="1" t="n">
        <v>44665</v>
      </c>
      <c r="C885" s="1" t="n">
        <v>46060</v>
      </c>
      <c r="D885" t="inlineStr">
        <is>
          <t>ÖREBRO LÄN</t>
        </is>
      </c>
      <c r="E885" t="inlineStr">
        <is>
          <t>LINDESBERG</t>
        </is>
      </c>
      <c r="G885" t="n">
        <v>6.9</v>
      </c>
      <c r="H885" t="n">
        <v>0</v>
      </c>
      <c r="I885" t="n">
        <v>0</v>
      </c>
      <c r="J885" t="n">
        <v>0</v>
      </c>
      <c r="K885" t="n">
        <v>0</v>
      </c>
      <c r="L885" t="n">
        <v>0</v>
      </c>
      <c r="M885" t="n">
        <v>0</v>
      </c>
      <c r="N885" t="n">
        <v>0</v>
      </c>
      <c r="O885" t="n">
        <v>0</v>
      </c>
      <c r="P885" t="n">
        <v>0</v>
      </c>
      <c r="Q885" t="n">
        <v>0</v>
      </c>
      <c r="R885" s="2" t="inlineStr"/>
    </row>
    <row r="886" ht="15" customHeight="1">
      <c r="A886" t="inlineStr">
        <is>
          <t>A 49544-2023</t>
        </is>
      </c>
      <c r="B886" s="1" t="n">
        <v>45211</v>
      </c>
      <c r="C886" s="1" t="n">
        <v>46060</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48756-2024</t>
        </is>
      </c>
      <c r="B887" s="1" t="n">
        <v>45593.59681712963</v>
      </c>
      <c r="C887" s="1" t="n">
        <v>46060</v>
      </c>
      <c r="D887" t="inlineStr">
        <is>
          <t>ÖREBRO LÄN</t>
        </is>
      </c>
      <c r="E887" t="inlineStr">
        <is>
          <t>LINDESBERG</t>
        </is>
      </c>
      <c r="G887" t="n">
        <v>1.6</v>
      </c>
      <c r="H887" t="n">
        <v>0</v>
      </c>
      <c r="I887" t="n">
        <v>0</v>
      </c>
      <c r="J887" t="n">
        <v>0</v>
      </c>
      <c r="K887" t="n">
        <v>0</v>
      </c>
      <c r="L887" t="n">
        <v>0</v>
      </c>
      <c r="M887" t="n">
        <v>0</v>
      </c>
      <c r="N887" t="n">
        <v>0</v>
      </c>
      <c r="O887" t="n">
        <v>0</v>
      </c>
      <c r="P887" t="n">
        <v>0</v>
      </c>
      <c r="Q887" t="n">
        <v>0</v>
      </c>
      <c r="R887" s="2" t="inlineStr"/>
    </row>
    <row r="888" ht="15" customHeight="1">
      <c r="A888" t="inlineStr">
        <is>
          <t>A 15892-2025</t>
        </is>
      </c>
      <c r="B888" s="1" t="n">
        <v>45749</v>
      </c>
      <c r="C888" s="1" t="n">
        <v>46060</v>
      </c>
      <c r="D888" t="inlineStr">
        <is>
          <t>ÖREBRO LÄN</t>
        </is>
      </c>
      <c r="E888" t="inlineStr">
        <is>
          <t>LINDESBERG</t>
        </is>
      </c>
      <c r="G888" t="n">
        <v>0.8</v>
      </c>
      <c r="H888" t="n">
        <v>0</v>
      </c>
      <c r="I888" t="n">
        <v>0</v>
      </c>
      <c r="J888" t="n">
        <v>0</v>
      </c>
      <c r="K888" t="n">
        <v>0</v>
      </c>
      <c r="L888" t="n">
        <v>0</v>
      </c>
      <c r="M888" t="n">
        <v>0</v>
      </c>
      <c r="N888" t="n">
        <v>0</v>
      </c>
      <c r="O888" t="n">
        <v>0</v>
      </c>
      <c r="P888" t="n">
        <v>0</v>
      </c>
      <c r="Q888" t="n">
        <v>0</v>
      </c>
      <c r="R888" s="2" t="inlineStr"/>
    </row>
    <row r="889" ht="15" customHeight="1">
      <c r="A889" t="inlineStr">
        <is>
          <t>A 23260-2024</t>
        </is>
      </c>
      <c r="B889" s="1" t="n">
        <v>45453.36664351852</v>
      </c>
      <c r="C889" s="1" t="n">
        <v>46060</v>
      </c>
      <c r="D889" t="inlineStr">
        <is>
          <t>ÖREBRO LÄN</t>
        </is>
      </c>
      <c r="E889" t="inlineStr">
        <is>
          <t>LINDESBERG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46607-2021</t>
        </is>
      </c>
      <c r="B890" s="1" t="n">
        <v>44445.55690972223</v>
      </c>
      <c r="C890" s="1" t="n">
        <v>46060</v>
      </c>
      <c r="D890" t="inlineStr">
        <is>
          <t>ÖREBRO LÄN</t>
        </is>
      </c>
      <c r="E890" t="inlineStr">
        <is>
          <t>LINDESBERG</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20930-2025</t>
        </is>
      </c>
      <c r="B891" s="1" t="n">
        <v>45777.42628472222</v>
      </c>
      <c r="C891" s="1" t="n">
        <v>46060</v>
      </c>
      <c r="D891" t="inlineStr">
        <is>
          <t>ÖREBRO LÄN</t>
        </is>
      </c>
      <c r="E891" t="inlineStr">
        <is>
          <t>LINDESBERG</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20923-2025</t>
        </is>
      </c>
      <c r="B892" s="1" t="n">
        <v>45777.41673611111</v>
      </c>
      <c r="C892" s="1" t="n">
        <v>46060</v>
      </c>
      <c r="D892" t="inlineStr">
        <is>
          <t>ÖREBRO LÄN</t>
        </is>
      </c>
      <c r="E892" t="inlineStr">
        <is>
          <t>LINDESBERG</t>
        </is>
      </c>
      <c r="F892" t="inlineStr">
        <is>
          <t>Sveaskog</t>
        </is>
      </c>
      <c r="G892" t="n">
        <v>10.3</v>
      </c>
      <c r="H892" t="n">
        <v>0</v>
      </c>
      <c r="I892" t="n">
        <v>0</v>
      </c>
      <c r="J892" t="n">
        <v>0</v>
      </c>
      <c r="K892" t="n">
        <v>0</v>
      </c>
      <c r="L892" t="n">
        <v>0</v>
      </c>
      <c r="M892" t="n">
        <v>0</v>
      </c>
      <c r="N892" t="n">
        <v>0</v>
      </c>
      <c r="O892" t="n">
        <v>0</v>
      </c>
      <c r="P892" t="n">
        <v>0</v>
      </c>
      <c r="Q892" t="n">
        <v>0</v>
      </c>
      <c r="R892" s="2" t="inlineStr"/>
    </row>
    <row r="893" ht="15" customHeight="1">
      <c r="A893" t="inlineStr">
        <is>
          <t>A 12795-2025</t>
        </is>
      </c>
      <c r="B893" s="1" t="n">
        <v>45733.60959490741</v>
      </c>
      <c r="C893" s="1" t="n">
        <v>46060</v>
      </c>
      <c r="D893" t="inlineStr">
        <is>
          <t>ÖREBRO LÄN</t>
        </is>
      </c>
      <c r="E893" t="inlineStr">
        <is>
          <t>LINDESBERG</t>
        </is>
      </c>
      <c r="G893" t="n">
        <v>10.8</v>
      </c>
      <c r="H893" t="n">
        <v>0</v>
      </c>
      <c r="I893" t="n">
        <v>0</v>
      </c>
      <c r="J893" t="n">
        <v>0</v>
      </c>
      <c r="K893" t="n">
        <v>0</v>
      </c>
      <c r="L893" t="n">
        <v>0</v>
      </c>
      <c r="M893" t="n">
        <v>0</v>
      </c>
      <c r="N893" t="n">
        <v>0</v>
      </c>
      <c r="O893" t="n">
        <v>0</v>
      </c>
      <c r="P893" t="n">
        <v>0</v>
      </c>
      <c r="Q893" t="n">
        <v>0</v>
      </c>
      <c r="R893" s="2" t="inlineStr"/>
    </row>
    <row r="894" ht="15" customHeight="1">
      <c r="A894" t="inlineStr">
        <is>
          <t>A 20944-2025</t>
        </is>
      </c>
      <c r="B894" s="1" t="n">
        <v>45777</v>
      </c>
      <c r="C894" s="1" t="n">
        <v>46060</v>
      </c>
      <c r="D894" t="inlineStr">
        <is>
          <t>ÖREBRO LÄN</t>
        </is>
      </c>
      <c r="E894" t="inlineStr">
        <is>
          <t>LINDESBERG</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20950-2025</t>
        </is>
      </c>
      <c r="B895" s="1" t="n">
        <v>45777.43878472222</v>
      </c>
      <c r="C895" s="1" t="n">
        <v>46060</v>
      </c>
      <c r="D895" t="inlineStr">
        <is>
          <t>ÖREBRO LÄN</t>
        </is>
      </c>
      <c r="E895" t="inlineStr">
        <is>
          <t>LINDESBERG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20804-2025</t>
        </is>
      </c>
      <c r="B896" s="1" t="n">
        <v>45776.65518518518</v>
      </c>
      <c r="C896" s="1" t="n">
        <v>46060</v>
      </c>
      <c r="D896" t="inlineStr">
        <is>
          <t>ÖREBRO LÄN</t>
        </is>
      </c>
      <c r="E896" t="inlineStr">
        <is>
          <t>LINDESBERG</t>
        </is>
      </c>
      <c r="G896" t="n">
        <v>3.2</v>
      </c>
      <c r="H896" t="n">
        <v>0</v>
      </c>
      <c r="I896" t="n">
        <v>0</v>
      </c>
      <c r="J896" t="n">
        <v>0</v>
      </c>
      <c r="K896" t="n">
        <v>0</v>
      </c>
      <c r="L896" t="n">
        <v>0</v>
      </c>
      <c r="M896" t="n">
        <v>0</v>
      </c>
      <c r="N896" t="n">
        <v>0</v>
      </c>
      <c r="O896" t="n">
        <v>0</v>
      </c>
      <c r="P896" t="n">
        <v>0</v>
      </c>
      <c r="Q896" t="n">
        <v>0</v>
      </c>
      <c r="R896" s="2" t="inlineStr"/>
    </row>
    <row r="897" ht="15" customHeight="1">
      <c r="A897" t="inlineStr">
        <is>
          <t>A 21812-2025</t>
        </is>
      </c>
      <c r="B897" s="1" t="n">
        <v>45783.71833333333</v>
      </c>
      <c r="C897" s="1" t="n">
        <v>46060</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43195-2024</t>
        </is>
      </c>
      <c r="B898" s="1" t="n">
        <v>45567.68003472222</v>
      </c>
      <c r="C898" s="1" t="n">
        <v>46060</v>
      </c>
      <c r="D898" t="inlineStr">
        <is>
          <t>ÖREBRO LÄN</t>
        </is>
      </c>
      <c r="E898" t="inlineStr">
        <is>
          <t>LINDESBERG</t>
        </is>
      </c>
      <c r="G898" t="n">
        <v>27.8</v>
      </c>
      <c r="H898" t="n">
        <v>0</v>
      </c>
      <c r="I898" t="n">
        <v>0</v>
      </c>
      <c r="J898" t="n">
        <v>0</v>
      </c>
      <c r="K898" t="n">
        <v>0</v>
      </c>
      <c r="L898" t="n">
        <v>0</v>
      </c>
      <c r="M898" t="n">
        <v>0</v>
      </c>
      <c r="N898" t="n">
        <v>0</v>
      </c>
      <c r="O898" t="n">
        <v>0</v>
      </c>
      <c r="P898" t="n">
        <v>0</v>
      </c>
      <c r="Q898" t="n">
        <v>0</v>
      </c>
      <c r="R898" s="2" t="inlineStr"/>
    </row>
    <row r="899" ht="15" customHeight="1">
      <c r="A899" t="inlineStr">
        <is>
          <t>A 31861-2024</t>
        </is>
      </c>
      <c r="B899" s="1" t="n">
        <v>45509.73383101852</v>
      </c>
      <c r="C899" s="1" t="n">
        <v>46060</v>
      </c>
      <c r="D899" t="inlineStr">
        <is>
          <t>ÖREBRO LÄN</t>
        </is>
      </c>
      <c r="E899" t="inlineStr">
        <is>
          <t>LINDESBERG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24583-2024</t>
        </is>
      </c>
      <c r="B900" s="1" t="n">
        <v>45460.46358796296</v>
      </c>
      <c r="C900" s="1" t="n">
        <v>46060</v>
      </c>
      <c r="D900" t="inlineStr">
        <is>
          <t>ÖREBRO LÄN</t>
        </is>
      </c>
      <c r="E900" t="inlineStr">
        <is>
          <t>LINDESBERG</t>
        </is>
      </c>
      <c r="G900" t="n">
        <v>13.7</v>
      </c>
      <c r="H900" t="n">
        <v>0</v>
      </c>
      <c r="I900" t="n">
        <v>0</v>
      </c>
      <c r="J900" t="n">
        <v>0</v>
      </c>
      <c r="K900" t="n">
        <v>0</v>
      </c>
      <c r="L900" t="n">
        <v>0</v>
      </c>
      <c r="M900" t="n">
        <v>0</v>
      </c>
      <c r="N900" t="n">
        <v>0</v>
      </c>
      <c r="O900" t="n">
        <v>0</v>
      </c>
      <c r="P900" t="n">
        <v>0</v>
      </c>
      <c r="Q900" t="n">
        <v>0</v>
      </c>
      <c r="R900" s="2" t="inlineStr"/>
    </row>
    <row r="901" ht="15" customHeight="1">
      <c r="A901" t="inlineStr">
        <is>
          <t>A 43532-2024</t>
        </is>
      </c>
      <c r="B901" s="1" t="n">
        <v>45569.3533912037</v>
      </c>
      <c r="C901" s="1" t="n">
        <v>46060</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59282-2023</t>
        </is>
      </c>
      <c r="B902" s="1" t="n">
        <v>45253</v>
      </c>
      <c r="C902" s="1" t="n">
        <v>46060</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47601-2023</t>
        </is>
      </c>
      <c r="B903" s="1" t="n">
        <v>45203.45681712963</v>
      </c>
      <c r="C903" s="1" t="n">
        <v>46060</v>
      </c>
      <c r="D903" t="inlineStr">
        <is>
          <t>ÖREBRO LÄN</t>
        </is>
      </c>
      <c r="E903" t="inlineStr">
        <is>
          <t>LINDESBERG</t>
        </is>
      </c>
      <c r="G903" t="n">
        <v>37.6</v>
      </c>
      <c r="H903" t="n">
        <v>0</v>
      </c>
      <c r="I903" t="n">
        <v>0</v>
      </c>
      <c r="J903" t="n">
        <v>0</v>
      </c>
      <c r="K903" t="n">
        <v>0</v>
      </c>
      <c r="L903" t="n">
        <v>0</v>
      </c>
      <c r="M903" t="n">
        <v>0</v>
      </c>
      <c r="N903" t="n">
        <v>0</v>
      </c>
      <c r="O903" t="n">
        <v>0</v>
      </c>
      <c r="P903" t="n">
        <v>0</v>
      </c>
      <c r="Q903" t="n">
        <v>0</v>
      </c>
      <c r="R903" s="2" t="inlineStr"/>
    </row>
    <row r="904" ht="15" customHeight="1">
      <c r="A904" t="inlineStr">
        <is>
          <t>A 22078-2025</t>
        </is>
      </c>
      <c r="B904" s="1" t="n">
        <v>45785.4253125</v>
      </c>
      <c r="C904" s="1" t="n">
        <v>46060</v>
      </c>
      <c r="D904" t="inlineStr">
        <is>
          <t>ÖREBRO LÄN</t>
        </is>
      </c>
      <c r="E904" t="inlineStr">
        <is>
          <t>LINDESBERG</t>
        </is>
      </c>
      <c r="G904" t="n">
        <v>2.4</v>
      </c>
      <c r="H904" t="n">
        <v>0</v>
      </c>
      <c r="I904" t="n">
        <v>0</v>
      </c>
      <c r="J904" t="n">
        <v>0</v>
      </c>
      <c r="K904" t="n">
        <v>0</v>
      </c>
      <c r="L904" t="n">
        <v>0</v>
      </c>
      <c r="M904" t="n">
        <v>0</v>
      </c>
      <c r="N904" t="n">
        <v>0</v>
      </c>
      <c r="O904" t="n">
        <v>0</v>
      </c>
      <c r="P904" t="n">
        <v>0</v>
      </c>
      <c r="Q904" t="n">
        <v>0</v>
      </c>
      <c r="R904" s="2" t="inlineStr"/>
    </row>
    <row r="905" ht="15" customHeight="1">
      <c r="A905" t="inlineStr">
        <is>
          <t>A 53355-2023</t>
        </is>
      </c>
      <c r="B905" s="1" t="n">
        <v>45229.66430555555</v>
      </c>
      <c r="C905" s="1" t="n">
        <v>46060</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62308-2023</t>
        </is>
      </c>
      <c r="B906" s="1" t="n">
        <v>45267.69052083333</v>
      </c>
      <c r="C906" s="1" t="n">
        <v>46060</v>
      </c>
      <c r="D906" t="inlineStr">
        <is>
          <t>ÖREBRO LÄN</t>
        </is>
      </c>
      <c r="E906" t="inlineStr">
        <is>
          <t>LINDESBERG</t>
        </is>
      </c>
      <c r="F906" t="inlineStr">
        <is>
          <t>Naturvårdsverket</t>
        </is>
      </c>
      <c r="G906" t="n">
        <v>3.1</v>
      </c>
      <c r="H906" t="n">
        <v>0</v>
      </c>
      <c r="I906" t="n">
        <v>0</v>
      </c>
      <c r="J906" t="n">
        <v>0</v>
      </c>
      <c r="K906" t="n">
        <v>0</v>
      </c>
      <c r="L906" t="n">
        <v>0</v>
      </c>
      <c r="M906" t="n">
        <v>0</v>
      </c>
      <c r="N906" t="n">
        <v>0</v>
      </c>
      <c r="O906" t="n">
        <v>0</v>
      </c>
      <c r="P906" t="n">
        <v>0</v>
      </c>
      <c r="Q906" t="n">
        <v>0</v>
      </c>
      <c r="R906" s="2" t="inlineStr"/>
    </row>
    <row r="907" ht="15" customHeight="1">
      <c r="A907" t="inlineStr">
        <is>
          <t>A 36680-2024</t>
        </is>
      </c>
      <c r="B907" s="1" t="n">
        <v>45537.65305555556</v>
      </c>
      <c r="C907" s="1" t="n">
        <v>46060</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22543-2025</t>
        </is>
      </c>
      <c r="B908" s="1" t="n">
        <v>45788.42467592593</v>
      </c>
      <c r="C908" s="1" t="n">
        <v>46060</v>
      </c>
      <c r="D908" t="inlineStr">
        <is>
          <t>ÖREBRO LÄN</t>
        </is>
      </c>
      <c r="E908" t="inlineStr">
        <is>
          <t>LINDESBERG</t>
        </is>
      </c>
      <c r="G908" t="n">
        <v>6.7</v>
      </c>
      <c r="H908" t="n">
        <v>0</v>
      </c>
      <c r="I908" t="n">
        <v>0</v>
      </c>
      <c r="J908" t="n">
        <v>0</v>
      </c>
      <c r="K908" t="n">
        <v>0</v>
      </c>
      <c r="L908" t="n">
        <v>0</v>
      </c>
      <c r="M908" t="n">
        <v>0</v>
      </c>
      <c r="N908" t="n">
        <v>0</v>
      </c>
      <c r="O908" t="n">
        <v>0</v>
      </c>
      <c r="P908" t="n">
        <v>0</v>
      </c>
      <c r="Q908" t="n">
        <v>0</v>
      </c>
      <c r="R908" s="2" t="inlineStr"/>
    </row>
    <row r="909" ht="15" customHeight="1">
      <c r="A909" t="inlineStr">
        <is>
          <t>A 36686-2024</t>
        </is>
      </c>
      <c r="B909" s="1" t="n">
        <v>45537.665</v>
      </c>
      <c r="C909" s="1" t="n">
        <v>46060</v>
      </c>
      <c r="D909" t="inlineStr">
        <is>
          <t>ÖREBRO LÄN</t>
        </is>
      </c>
      <c r="E909" t="inlineStr">
        <is>
          <t>LINDESBERG</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28776-2023</t>
        </is>
      </c>
      <c r="B910" s="1" t="n">
        <v>45104.34107638889</v>
      </c>
      <c r="C910" s="1" t="n">
        <v>46060</v>
      </c>
      <c r="D910" t="inlineStr">
        <is>
          <t>ÖREBRO LÄN</t>
        </is>
      </c>
      <c r="E910" t="inlineStr">
        <is>
          <t>LINDESBERG</t>
        </is>
      </c>
      <c r="F910" t="inlineStr">
        <is>
          <t>Sveaskog</t>
        </is>
      </c>
      <c r="G910" t="n">
        <v>4.1</v>
      </c>
      <c r="H910" t="n">
        <v>0</v>
      </c>
      <c r="I910" t="n">
        <v>0</v>
      </c>
      <c r="J910" t="n">
        <v>0</v>
      </c>
      <c r="K910" t="n">
        <v>0</v>
      </c>
      <c r="L910" t="n">
        <v>0</v>
      </c>
      <c r="M910" t="n">
        <v>0</v>
      </c>
      <c r="N910" t="n">
        <v>0</v>
      </c>
      <c r="O910" t="n">
        <v>0</v>
      </c>
      <c r="P910" t="n">
        <v>0</v>
      </c>
      <c r="Q910" t="n">
        <v>0</v>
      </c>
      <c r="R910" s="2" t="inlineStr"/>
    </row>
    <row r="911" ht="15" customHeight="1">
      <c r="A911" t="inlineStr">
        <is>
          <t>A 22438-2025</t>
        </is>
      </c>
      <c r="B911" s="1" t="n">
        <v>45786</v>
      </c>
      <c r="C911" s="1" t="n">
        <v>46060</v>
      </c>
      <c r="D911" t="inlineStr">
        <is>
          <t>ÖREBRO LÄN</t>
        </is>
      </c>
      <c r="E911" t="inlineStr">
        <is>
          <t>LINDESBERG</t>
        </is>
      </c>
      <c r="F911" t="inlineStr">
        <is>
          <t>Sveaskog</t>
        </is>
      </c>
      <c r="G911" t="n">
        <v>6.1</v>
      </c>
      <c r="H911" t="n">
        <v>0</v>
      </c>
      <c r="I911" t="n">
        <v>0</v>
      </c>
      <c r="J911" t="n">
        <v>0</v>
      </c>
      <c r="K911" t="n">
        <v>0</v>
      </c>
      <c r="L911" t="n">
        <v>0</v>
      </c>
      <c r="M911" t="n">
        <v>0</v>
      </c>
      <c r="N911" t="n">
        <v>0</v>
      </c>
      <c r="O911" t="n">
        <v>0</v>
      </c>
      <c r="P911" t="n">
        <v>0</v>
      </c>
      <c r="Q911" t="n">
        <v>0</v>
      </c>
      <c r="R911" s="2" t="inlineStr"/>
    </row>
    <row r="912" ht="15" customHeight="1">
      <c r="A912" t="inlineStr">
        <is>
          <t>A 59641-2024</t>
        </is>
      </c>
      <c r="B912" s="1" t="n">
        <v>45639.30934027778</v>
      </c>
      <c r="C912" s="1" t="n">
        <v>46060</v>
      </c>
      <c r="D912" t="inlineStr">
        <is>
          <t>ÖREBRO LÄN</t>
        </is>
      </c>
      <c r="E912" t="inlineStr">
        <is>
          <t>LINDESBERG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23245-2025</t>
        </is>
      </c>
      <c r="B913" s="1" t="n">
        <v>45791.50862268519</v>
      </c>
      <c r="C913" s="1" t="n">
        <v>46060</v>
      </c>
      <c r="D913" t="inlineStr">
        <is>
          <t>ÖREBRO LÄN</t>
        </is>
      </c>
      <c r="E913" t="inlineStr">
        <is>
          <t>LINDESBERG</t>
        </is>
      </c>
      <c r="G913" t="n">
        <v>6.8</v>
      </c>
      <c r="H913" t="n">
        <v>0</v>
      </c>
      <c r="I913" t="n">
        <v>0</v>
      </c>
      <c r="J913" t="n">
        <v>0</v>
      </c>
      <c r="K913" t="n">
        <v>0</v>
      </c>
      <c r="L913" t="n">
        <v>0</v>
      </c>
      <c r="M913" t="n">
        <v>0</v>
      </c>
      <c r="N913" t="n">
        <v>0</v>
      </c>
      <c r="O913" t="n">
        <v>0</v>
      </c>
      <c r="P913" t="n">
        <v>0</v>
      </c>
      <c r="Q913" t="n">
        <v>0</v>
      </c>
      <c r="R913" s="2" t="inlineStr"/>
    </row>
    <row r="914" ht="15" customHeight="1">
      <c r="A914" t="inlineStr">
        <is>
          <t>A 42707-2023</t>
        </is>
      </c>
      <c r="B914" s="1" t="n">
        <v>45181</v>
      </c>
      <c r="C914" s="1" t="n">
        <v>46060</v>
      </c>
      <c r="D914" t="inlineStr">
        <is>
          <t>ÖREBRO LÄN</t>
        </is>
      </c>
      <c r="E914" t="inlineStr">
        <is>
          <t>LINDESBERG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17779-2024</t>
        </is>
      </c>
      <c r="B915" s="1" t="n">
        <v>45418.66800925926</v>
      </c>
      <c r="C915" s="1" t="n">
        <v>46060</v>
      </c>
      <c r="D915" t="inlineStr">
        <is>
          <t>ÖREBRO LÄN</t>
        </is>
      </c>
      <c r="E915" t="inlineStr">
        <is>
          <t>LINDESBERG</t>
        </is>
      </c>
      <c r="G915" t="n">
        <v>3.7</v>
      </c>
      <c r="H915" t="n">
        <v>0</v>
      </c>
      <c r="I915" t="n">
        <v>0</v>
      </c>
      <c r="J915" t="n">
        <v>0</v>
      </c>
      <c r="K915" t="n">
        <v>0</v>
      </c>
      <c r="L915" t="n">
        <v>0</v>
      </c>
      <c r="M915" t="n">
        <v>0</v>
      </c>
      <c r="N915" t="n">
        <v>0</v>
      </c>
      <c r="O915" t="n">
        <v>0</v>
      </c>
      <c r="P915" t="n">
        <v>0</v>
      </c>
      <c r="Q915" t="n">
        <v>0</v>
      </c>
      <c r="R915" s="2" t="inlineStr"/>
    </row>
    <row r="916" ht="15" customHeight="1">
      <c r="A916" t="inlineStr">
        <is>
          <t>A 54793-2024</t>
        </is>
      </c>
      <c r="B916" s="1" t="n">
        <v>45618</v>
      </c>
      <c r="C916" s="1" t="n">
        <v>46060</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1400-2025</t>
        </is>
      </c>
      <c r="B917" s="1" t="n">
        <v>45667</v>
      </c>
      <c r="C917" s="1" t="n">
        <v>46060</v>
      </c>
      <c r="D917" t="inlineStr">
        <is>
          <t>ÖREBRO LÄN</t>
        </is>
      </c>
      <c r="E917" t="inlineStr">
        <is>
          <t>LINDESBERG</t>
        </is>
      </c>
      <c r="F917" t="inlineStr">
        <is>
          <t>Allmännings- och besparingsskogar</t>
        </is>
      </c>
      <c r="G917" t="n">
        <v>11.3</v>
      </c>
      <c r="H917" t="n">
        <v>0</v>
      </c>
      <c r="I917" t="n">
        <v>0</v>
      </c>
      <c r="J917" t="n">
        <v>0</v>
      </c>
      <c r="K917" t="n">
        <v>0</v>
      </c>
      <c r="L917" t="n">
        <v>0</v>
      </c>
      <c r="M917" t="n">
        <v>0</v>
      </c>
      <c r="N917" t="n">
        <v>0</v>
      </c>
      <c r="O917" t="n">
        <v>0</v>
      </c>
      <c r="P917" t="n">
        <v>0</v>
      </c>
      <c r="Q917" t="n">
        <v>0</v>
      </c>
      <c r="R917" s="2" t="inlineStr"/>
    </row>
    <row r="918" ht="15" customHeight="1">
      <c r="A918" t="inlineStr">
        <is>
          <t>A 21202-2024</t>
        </is>
      </c>
      <c r="B918" s="1" t="n">
        <v>45440.5433912037</v>
      </c>
      <c r="C918" s="1" t="n">
        <v>46060</v>
      </c>
      <c r="D918" t="inlineStr">
        <is>
          <t>ÖREBRO LÄN</t>
        </is>
      </c>
      <c r="E918" t="inlineStr">
        <is>
          <t>LINDESBERG</t>
        </is>
      </c>
      <c r="G918" t="n">
        <v>4</v>
      </c>
      <c r="H918" t="n">
        <v>0</v>
      </c>
      <c r="I918" t="n">
        <v>0</v>
      </c>
      <c r="J918" t="n">
        <v>0</v>
      </c>
      <c r="K918" t="n">
        <v>0</v>
      </c>
      <c r="L918" t="n">
        <v>0</v>
      </c>
      <c r="M918" t="n">
        <v>0</v>
      </c>
      <c r="N918" t="n">
        <v>0</v>
      </c>
      <c r="O918" t="n">
        <v>0</v>
      </c>
      <c r="P918" t="n">
        <v>0</v>
      </c>
      <c r="Q918" t="n">
        <v>0</v>
      </c>
      <c r="R918" s="2" t="inlineStr"/>
    </row>
    <row r="919" ht="15" customHeight="1">
      <c r="A919" t="inlineStr">
        <is>
          <t>A 23835-2025</t>
        </is>
      </c>
      <c r="B919" s="1" t="n">
        <v>45793.61047453704</v>
      </c>
      <c r="C919" s="1" t="n">
        <v>46060</v>
      </c>
      <c r="D919" t="inlineStr">
        <is>
          <t>ÖREBRO LÄN</t>
        </is>
      </c>
      <c r="E919" t="inlineStr">
        <is>
          <t>LINDESBERG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23844-2025</t>
        </is>
      </c>
      <c r="B920" s="1" t="n">
        <v>45793.62422453704</v>
      </c>
      <c r="C920" s="1" t="n">
        <v>46060</v>
      </c>
      <c r="D920" t="inlineStr">
        <is>
          <t>ÖREBRO LÄN</t>
        </is>
      </c>
      <c r="E920" t="inlineStr">
        <is>
          <t>LINDESBERG</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24186-2024</t>
        </is>
      </c>
      <c r="B921" s="1" t="n">
        <v>45456.90869212963</v>
      </c>
      <c r="C921" s="1" t="n">
        <v>46060</v>
      </c>
      <c r="D921" t="inlineStr">
        <is>
          <t>ÖREBRO LÄN</t>
        </is>
      </c>
      <c r="E921" t="inlineStr">
        <is>
          <t>LINDESBERG</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23933-2025</t>
        </is>
      </c>
      <c r="B922" s="1" t="n">
        <v>45795.71300925926</v>
      </c>
      <c r="C922" s="1" t="n">
        <v>46060</v>
      </c>
      <c r="D922" t="inlineStr">
        <is>
          <t>ÖREBRO LÄN</t>
        </is>
      </c>
      <c r="E922" t="inlineStr">
        <is>
          <t>LINDESBERG</t>
        </is>
      </c>
      <c r="G922" t="n">
        <v>2.2</v>
      </c>
      <c r="H922" t="n">
        <v>0</v>
      </c>
      <c r="I922" t="n">
        <v>0</v>
      </c>
      <c r="J922" t="n">
        <v>0</v>
      </c>
      <c r="K922" t="n">
        <v>0</v>
      </c>
      <c r="L922" t="n">
        <v>0</v>
      </c>
      <c r="M922" t="n">
        <v>0</v>
      </c>
      <c r="N922" t="n">
        <v>0</v>
      </c>
      <c r="O922" t="n">
        <v>0</v>
      </c>
      <c r="P922" t="n">
        <v>0</v>
      </c>
      <c r="Q922" t="n">
        <v>0</v>
      </c>
      <c r="R922" s="2" t="inlineStr"/>
    </row>
    <row r="923" ht="15" customHeight="1">
      <c r="A923" t="inlineStr">
        <is>
          <t>A 23932-2025</t>
        </is>
      </c>
      <c r="B923" s="1" t="n">
        <v>45795.70912037037</v>
      </c>
      <c r="C923" s="1" t="n">
        <v>46060</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37125-2023</t>
        </is>
      </c>
      <c r="B924" s="1" t="n">
        <v>45155.5653125</v>
      </c>
      <c r="C924" s="1" t="n">
        <v>46060</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57944-2023</t>
        </is>
      </c>
      <c r="B925" s="1" t="n">
        <v>45244</v>
      </c>
      <c r="C925" s="1" t="n">
        <v>46060</v>
      </c>
      <c r="D925" t="inlineStr">
        <is>
          <t>ÖREBRO LÄN</t>
        </is>
      </c>
      <c r="E925" t="inlineStr">
        <is>
          <t>LINDESBERG</t>
        </is>
      </c>
      <c r="G925" t="n">
        <v>2.4</v>
      </c>
      <c r="H925" t="n">
        <v>0</v>
      </c>
      <c r="I925" t="n">
        <v>0</v>
      </c>
      <c r="J925" t="n">
        <v>0</v>
      </c>
      <c r="K925" t="n">
        <v>0</v>
      </c>
      <c r="L925" t="n">
        <v>0</v>
      </c>
      <c r="M925" t="n">
        <v>0</v>
      </c>
      <c r="N925" t="n">
        <v>0</v>
      </c>
      <c r="O925" t="n">
        <v>0</v>
      </c>
      <c r="P925" t="n">
        <v>0</v>
      </c>
      <c r="Q925" t="n">
        <v>0</v>
      </c>
      <c r="R925" s="2" t="inlineStr"/>
    </row>
    <row r="926" ht="15" customHeight="1">
      <c r="A926" t="inlineStr">
        <is>
          <t>A 24017-2025</t>
        </is>
      </c>
      <c r="B926" s="1" t="n">
        <v>45796.44885416667</v>
      </c>
      <c r="C926" s="1" t="n">
        <v>46060</v>
      </c>
      <c r="D926" t="inlineStr">
        <is>
          <t>ÖREBRO LÄN</t>
        </is>
      </c>
      <c r="E926" t="inlineStr">
        <is>
          <t>LINDESBERG</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23897-2025</t>
        </is>
      </c>
      <c r="B927" s="1" t="n">
        <v>45794.33498842592</v>
      </c>
      <c r="C927" s="1" t="n">
        <v>46060</v>
      </c>
      <c r="D927" t="inlineStr">
        <is>
          <t>ÖREBRO LÄN</t>
        </is>
      </c>
      <c r="E927" t="inlineStr">
        <is>
          <t>LINDESBERG</t>
        </is>
      </c>
      <c r="G927" t="n">
        <v>5.6</v>
      </c>
      <c r="H927" t="n">
        <v>0</v>
      </c>
      <c r="I927" t="n">
        <v>0</v>
      </c>
      <c r="J927" t="n">
        <v>0</v>
      </c>
      <c r="K927" t="n">
        <v>0</v>
      </c>
      <c r="L927" t="n">
        <v>0</v>
      </c>
      <c r="M927" t="n">
        <v>0</v>
      </c>
      <c r="N927" t="n">
        <v>0</v>
      </c>
      <c r="O927" t="n">
        <v>0</v>
      </c>
      <c r="P927" t="n">
        <v>0</v>
      </c>
      <c r="Q927" t="n">
        <v>0</v>
      </c>
      <c r="R927" s="2" t="inlineStr"/>
    </row>
    <row r="928" ht="15" customHeight="1">
      <c r="A928" t="inlineStr">
        <is>
          <t>A 24107-2025</t>
        </is>
      </c>
      <c r="B928" s="1" t="n">
        <v>45796</v>
      </c>
      <c r="C928" s="1" t="n">
        <v>46060</v>
      </c>
      <c r="D928" t="inlineStr">
        <is>
          <t>ÖREBRO LÄN</t>
        </is>
      </c>
      <c r="E928" t="inlineStr">
        <is>
          <t>LINDESBERG</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23898-2025</t>
        </is>
      </c>
      <c r="B929" s="1" t="n">
        <v>45794.3419212963</v>
      </c>
      <c r="C929" s="1" t="n">
        <v>46060</v>
      </c>
      <c r="D929" t="inlineStr">
        <is>
          <t>ÖREBRO LÄN</t>
        </is>
      </c>
      <c r="E929" t="inlineStr">
        <is>
          <t>LINDESBERG</t>
        </is>
      </c>
      <c r="G929" t="n">
        <v>1</v>
      </c>
      <c r="H929" t="n">
        <v>0</v>
      </c>
      <c r="I929" t="n">
        <v>0</v>
      </c>
      <c r="J929" t="n">
        <v>0</v>
      </c>
      <c r="K929" t="n">
        <v>0</v>
      </c>
      <c r="L929" t="n">
        <v>0</v>
      </c>
      <c r="M929" t="n">
        <v>0</v>
      </c>
      <c r="N929" t="n">
        <v>0</v>
      </c>
      <c r="O929" t="n">
        <v>0</v>
      </c>
      <c r="P929" t="n">
        <v>0</v>
      </c>
      <c r="Q929" t="n">
        <v>0</v>
      </c>
      <c r="R929" s="2" t="inlineStr"/>
    </row>
    <row r="930" ht="15" customHeight="1">
      <c r="A930" t="inlineStr">
        <is>
          <t>A 24011-2025</t>
        </is>
      </c>
      <c r="B930" s="1" t="n">
        <v>45796</v>
      </c>
      <c r="C930" s="1" t="n">
        <v>46060</v>
      </c>
      <c r="D930" t="inlineStr">
        <is>
          <t>ÖREBRO LÄN</t>
        </is>
      </c>
      <c r="E930" t="inlineStr">
        <is>
          <t>LINDESBERG</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24020-2025</t>
        </is>
      </c>
      <c r="B931" s="1" t="n">
        <v>45796.45054398148</v>
      </c>
      <c r="C931" s="1" t="n">
        <v>46060</v>
      </c>
      <c r="D931" t="inlineStr">
        <is>
          <t>ÖREBRO LÄN</t>
        </is>
      </c>
      <c r="E931" t="inlineStr">
        <is>
          <t>LINDESBERG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23934-2025</t>
        </is>
      </c>
      <c r="B932" s="1" t="n">
        <v>45795.71547453704</v>
      </c>
      <c r="C932" s="1" t="n">
        <v>46060</v>
      </c>
      <c r="D932" t="inlineStr">
        <is>
          <t>ÖREBRO LÄN</t>
        </is>
      </c>
      <c r="E932" t="inlineStr">
        <is>
          <t>LINDESBERG</t>
        </is>
      </c>
      <c r="G932" t="n">
        <v>1.9</v>
      </c>
      <c r="H932" t="n">
        <v>0</v>
      </c>
      <c r="I932" t="n">
        <v>0</v>
      </c>
      <c r="J932" t="n">
        <v>0</v>
      </c>
      <c r="K932" t="n">
        <v>0</v>
      </c>
      <c r="L932" t="n">
        <v>0</v>
      </c>
      <c r="M932" t="n">
        <v>0</v>
      </c>
      <c r="N932" t="n">
        <v>0</v>
      </c>
      <c r="O932" t="n">
        <v>0</v>
      </c>
      <c r="P932" t="n">
        <v>0</v>
      </c>
      <c r="Q932" t="n">
        <v>0</v>
      </c>
      <c r="R932" s="2" t="inlineStr"/>
    </row>
    <row r="933">
      <c r="A933" t="inlineStr">
        <is>
          <t>A 24043-2024</t>
        </is>
      </c>
      <c r="B933" s="1" t="n">
        <v>45456.48927083334</v>
      </c>
      <c r="C933" s="1" t="n">
        <v>46060</v>
      </c>
      <c r="D933" t="inlineStr">
        <is>
          <t>ÖREBRO LÄN</t>
        </is>
      </c>
      <c r="E933" t="inlineStr">
        <is>
          <t>LINDESBERG</t>
        </is>
      </c>
      <c r="G933" t="n">
        <v>6.2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2026-02-07T13:53:53Z</dcterms:created>
  <dcterms:modified xmlns:dcterms="http://purl.org/dc/terms/" xmlns:xsi="http://www.w3.org/2001/XMLSchema-instance" xsi:type="dcterms:W3CDTF">2026-02-07T13:53:54Z</dcterms:modified>
</cp:coreProperties>
</file>