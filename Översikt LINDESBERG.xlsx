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46025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46025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46025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46025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46025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46025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46025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46025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46025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46025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46025</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46025</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46025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46025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46025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46025</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46025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46025</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46025</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46025</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46025</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50989-2023</t>
        </is>
      </c>
      <c r="B23" s="1" t="n">
        <v>45218</v>
      </c>
      <c r="C23" s="1" t="n">
        <v>46025</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46025</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46025</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46025</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46025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46025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46025</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46025</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46025</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46025</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46025</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46025</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46025</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46025</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46025</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46025</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46025</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46025</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46025</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46025</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46025</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46025</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46025</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46025</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33286-2024</t>
        </is>
      </c>
      <c r="B47" s="1" t="n">
        <v>45518</v>
      </c>
      <c r="C47" s="1" t="n">
        <v>46025</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3729-2023</t>
        </is>
      </c>
      <c r="B48" s="1" t="n">
        <v>44949</v>
      </c>
      <c r="C48" s="1" t="n">
        <v>46025</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31052-2025</t>
        </is>
      </c>
      <c r="B49" s="1" t="n">
        <v>45832.56153935185</v>
      </c>
      <c r="C49" s="1" t="n">
        <v>46025</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30347-2025</t>
        </is>
      </c>
      <c r="B50" s="1" t="n">
        <v>45827.53077546296</v>
      </c>
      <c r="C50" s="1" t="n">
        <v>46025</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45467-2025</t>
        </is>
      </c>
      <c r="B51" s="1" t="n">
        <v>45922.49990740741</v>
      </c>
      <c r="C51" s="1" t="n">
        <v>46025</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36669-2024</t>
        </is>
      </c>
      <c r="B52" s="1" t="n">
        <v>45537.64484953704</v>
      </c>
      <c r="C52" s="1" t="n">
        <v>46025</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48956-2025</t>
        </is>
      </c>
      <c r="B53" s="1" t="n">
        <v>45937.54982638889</v>
      </c>
      <c r="C53" s="1" t="n">
        <v>46025</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50766-2025</t>
        </is>
      </c>
      <c r="B54" s="1" t="n">
        <v>45946.44423611111</v>
      </c>
      <c r="C54" s="1" t="n">
        <v>46025</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46025</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50768-2025</t>
        </is>
      </c>
      <c r="B56" s="1" t="n">
        <v>45946.44790509259</v>
      </c>
      <c r="C56" s="1" t="n">
        <v>46025</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52105-2025</t>
        </is>
      </c>
      <c r="B57" s="1" t="n">
        <v>45952.68596064814</v>
      </c>
      <c r="C57" s="1" t="n">
        <v>46025</v>
      </c>
      <c r="D57" t="inlineStr">
        <is>
          <t>ÖREBRO LÄN</t>
        </is>
      </c>
      <c r="E57" t="inlineStr">
        <is>
          <t>LINDESBERG</t>
        </is>
      </c>
      <c r="F57" t="inlineStr">
        <is>
          <t>Sveaskog</t>
        </is>
      </c>
      <c r="G57" t="n">
        <v>3.8</v>
      </c>
      <c r="H57" t="n">
        <v>1</v>
      </c>
      <c r="I57" t="n">
        <v>0</v>
      </c>
      <c r="J57" t="n">
        <v>0</v>
      </c>
      <c r="K57" t="n">
        <v>0</v>
      </c>
      <c r="L57" t="n">
        <v>0</v>
      </c>
      <c r="M57" t="n">
        <v>0</v>
      </c>
      <c r="N57" t="n">
        <v>0</v>
      </c>
      <c r="O57" t="n">
        <v>0</v>
      </c>
      <c r="P57" t="n">
        <v>0</v>
      </c>
      <c r="Q57" t="n">
        <v>1</v>
      </c>
      <c r="R57" s="2" t="inlineStr">
        <is>
          <t>Revlummer</t>
        </is>
      </c>
      <c r="S57">
        <f>HYPERLINK("https://klasma.github.io/Logging_1885/artfynd/A 52105-2025 artfynd.xlsx", "A 52105-2025")</f>
        <v/>
      </c>
      <c r="T57">
        <f>HYPERLINK("https://klasma.github.io/Logging_1885/kartor/A 52105-2025 karta.png", "A 52105-2025")</f>
        <v/>
      </c>
      <c r="V57">
        <f>HYPERLINK("https://klasma.github.io/Logging_1885/klagomål/A 52105-2025 FSC-klagomål.docx", "A 52105-2025")</f>
        <v/>
      </c>
      <c r="W57">
        <f>HYPERLINK("https://klasma.github.io/Logging_1885/klagomålsmail/A 52105-2025 FSC-klagomål mail.docx", "A 52105-2025")</f>
        <v/>
      </c>
      <c r="X57">
        <f>HYPERLINK("https://klasma.github.io/Logging_1885/tillsyn/A 52105-2025 tillsynsbegäran.docx", "A 52105-2025")</f>
        <v/>
      </c>
      <c r="Y57">
        <f>HYPERLINK("https://klasma.github.io/Logging_1885/tillsynsmail/A 52105-2025 tillsynsbegäran mail.docx", "A 52105-2025")</f>
        <v/>
      </c>
    </row>
    <row r="58" ht="15" customHeight="1">
      <c r="A58" t="inlineStr">
        <is>
          <t>A 52337-2025</t>
        </is>
      </c>
      <c r="B58" s="1" t="n">
        <v>45953.69287037037</v>
      </c>
      <c r="C58" s="1" t="n">
        <v>46025</v>
      </c>
      <c r="D58" t="inlineStr">
        <is>
          <t>ÖREBRO LÄN</t>
        </is>
      </c>
      <c r="E58" t="inlineStr">
        <is>
          <t>LINDESBERG</t>
        </is>
      </c>
      <c r="F58" t="inlineStr">
        <is>
          <t>Sveaskog</t>
        </is>
      </c>
      <c r="G58" t="n">
        <v>3.3</v>
      </c>
      <c r="H58" t="n">
        <v>1</v>
      </c>
      <c r="I58" t="n">
        <v>0</v>
      </c>
      <c r="J58" t="n">
        <v>0</v>
      </c>
      <c r="K58" t="n">
        <v>0</v>
      </c>
      <c r="L58" t="n">
        <v>0</v>
      </c>
      <c r="M58" t="n">
        <v>0</v>
      </c>
      <c r="N58" t="n">
        <v>0</v>
      </c>
      <c r="O58" t="n">
        <v>0</v>
      </c>
      <c r="P58" t="n">
        <v>0</v>
      </c>
      <c r="Q58" t="n">
        <v>1</v>
      </c>
      <c r="R58" s="2" t="inlineStr">
        <is>
          <t>Fläcknycklar</t>
        </is>
      </c>
      <c r="S58">
        <f>HYPERLINK("https://klasma.github.io/Logging_1885/artfynd/A 52337-2025 artfynd.xlsx", "A 52337-2025")</f>
        <v/>
      </c>
      <c r="T58">
        <f>HYPERLINK("https://klasma.github.io/Logging_1885/kartor/A 52337-2025 karta.png", "A 52337-2025")</f>
        <v/>
      </c>
      <c r="V58">
        <f>HYPERLINK("https://klasma.github.io/Logging_1885/klagomål/A 52337-2025 FSC-klagomål.docx", "A 52337-2025")</f>
        <v/>
      </c>
      <c r="W58">
        <f>HYPERLINK("https://klasma.github.io/Logging_1885/klagomålsmail/A 52337-2025 FSC-klagomål mail.docx", "A 52337-2025")</f>
        <v/>
      </c>
      <c r="X58">
        <f>HYPERLINK("https://klasma.github.io/Logging_1885/tillsyn/A 52337-2025 tillsynsbegäran.docx", "A 52337-2025")</f>
        <v/>
      </c>
      <c r="Y58">
        <f>HYPERLINK("https://klasma.github.io/Logging_1885/tillsynsmail/A 52337-2025 tillsynsbegäran mail.docx", "A 52337-2025")</f>
        <v/>
      </c>
    </row>
    <row r="59" ht="15" customHeight="1">
      <c r="A59" t="inlineStr">
        <is>
          <t>A 37834-2025</t>
        </is>
      </c>
      <c r="B59" s="1" t="n">
        <v>45881.42446759259</v>
      </c>
      <c r="C59" s="1" t="n">
        <v>46025</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54092-2025</t>
        </is>
      </c>
      <c r="B60" s="1" t="n">
        <v>45964.3965625</v>
      </c>
      <c r="C60" s="1" t="n">
        <v>46025</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Hagfingersvamp</t>
        </is>
      </c>
      <c r="S60">
        <f>HYPERLINK("https://klasma.github.io/Logging_1885/artfynd/A 54092-2025 artfynd.xlsx", "A 54092-2025")</f>
        <v/>
      </c>
      <c r="T60">
        <f>HYPERLINK("https://klasma.github.io/Logging_1885/kartor/A 54092-2025 karta.png", "A 54092-2025")</f>
        <v/>
      </c>
      <c r="V60">
        <f>HYPERLINK("https://klasma.github.io/Logging_1885/klagomål/A 54092-2025 FSC-klagomål.docx", "A 54092-2025")</f>
        <v/>
      </c>
      <c r="W60">
        <f>HYPERLINK("https://klasma.github.io/Logging_1885/klagomålsmail/A 54092-2025 FSC-klagomål mail.docx", "A 54092-2025")</f>
        <v/>
      </c>
      <c r="X60">
        <f>HYPERLINK("https://klasma.github.io/Logging_1885/tillsyn/A 54092-2025 tillsynsbegäran.docx", "A 54092-2025")</f>
        <v/>
      </c>
      <c r="Y60">
        <f>HYPERLINK("https://klasma.github.io/Logging_1885/tillsynsmail/A 54092-2025 tillsynsbegäran mail.docx", "A 54092-2025")</f>
        <v/>
      </c>
    </row>
    <row r="61" ht="15" customHeight="1">
      <c r="A61" t="inlineStr">
        <is>
          <t>A 28787-2023</t>
        </is>
      </c>
      <c r="B61" s="1" t="n">
        <v>45104.3483912037</v>
      </c>
      <c r="C61" s="1" t="n">
        <v>46025</v>
      </c>
      <c r="D61" t="inlineStr">
        <is>
          <t>ÖREBRO LÄN</t>
        </is>
      </c>
      <c r="E61" t="inlineStr">
        <is>
          <t>LINDESBERG</t>
        </is>
      </c>
      <c r="F61" t="inlineStr">
        <is>
          <t>Sveaskog</t>
        </is>
      </c>
      <c r="G61" t="n">
        <v>0.5</v>
      </c>
      <c r="H61" t="n">
        <v>1</v>
      </c>
      <c r="I61" t="n">
        <v>0</v>
      </c>
      <c r="J61" t="n">
        <v>0</v>
      </c>
      <c r="K61" t="n">
        <v>0</v>
      </c>
      <c r="L61" t="n">
        <v>0</v>
      </c>
      <c r="M61" t="n">
        <v>0</v>
      </c>
      <c r="N61" t="n">
        <v>0</v>
      </c>
      <c r="O61" t="n">
        <v>0</v>
      </c>
      <c r="P61" t="n">
        <v>0</v>
      </c>
      <c r="Q61" t="n">
        <v>1</v>
      </c>
      <c r="R61" s="2" t="inlineStr">
        <is>
          <t>Fläcknycklar</t>
        </is>
      </c>
      <c r="S61">
        <f>HYPERLINK("https://klasma.github.io/Logging_1885/artfynd/A 28787-2023 artfynd.xlsx", "A 28787-2023")</f>
        <v/>
      </c>
      <c r="T61">
        <f>HYPERLINK("https://klasma.github.io/Logging_1885/kartor/A 28787-2023 karta.png", "A 28787-2023")</f>
        <v/>
      </c>
      <c r="V61">
        <f>HYPERLINK("https://klasma.github.io/Logging_1885/klagomål/A 28787-2023 FSC-klagomål.docx", "A 28787-2023")</f>
        <v/>
      </c>
      <c r="W61">
        <f>HYPERLINK("https://klasma.github.io/Logging_1885/klagomålsmail/A 28787-2023 FSC-klagomål mail.docx", "A 28787-2023")</f>
        <v/>
      </c>
      <c r="X61">
        <f>HYPERLINK("https://klasma.github.io/Logging_1885/tillsyn/A 28787-2023 tillsynsbegäran.docx", "A 28787-2023")</f>
        <v/>
      </c>
      <c r="Y61">
        <f>HYPERLINK("https://klasma.github.io/Logging_1885/tillsynsmail/A 28787-2023 tillsynsbegäran mail.docx", "A 28787-2023")</f>
        <v/>
      </c>
    </row>
    <row r="62" ht="15" customHeight="1">
      <c r="A62" t="inlineStr">
        <is>
          <t>A 27900-2024</t>
        </is>
      </c>
      <c r="B62" s="1" t="n">
        <v>45475.92849537037</v>
      </c>
      <c r="C62" s="1" t="n">
        <v>46025</v>
      </c>
      <c r="D62" t="inlineStr">
        <is>
          <t>ÖREBRO LÄN</t>
        </is>
      </c>
      <c r="E62" t="inlineStr">
        <is>
          <t>LINDESBERG</t>
        </is>
      </c>
      <c r="F62" t="inlineStr">
        <is>
          <t>Sveaskog</t>
        </is>
      </c>
      <c r="G62" t="n">
        <v>4.1</v>
      </c>
      <c r="H62" t="n">
        <v>1</v>
      </c>
      <c r="I62" t="n">
        <v>0</v>
      </c>
      <c r="J62" t="n">
        <v>0</v>
      </c>
      <c r="K62" t="n">
        <v>0</v>
      </c>
      <c r="L62" t="n">
        <v>0</v>
      </c>
      <c r="M62" t="n">
        <v>0</v>
      </c>
      <c r="N62" t="n">
        <v>0</v>
      </c>
      <c r="O62" t="n">
        <v>0</v>
      </c>
      <c r="P62" t="n">
        <v>0</v>
      </c>
      <c r="Q62" t="n">
        <v>1</v>
      </c>
      <c r="R62" s="2" t="inlineStr">
        <is>
          <t>Fläcknycklar</t>
        </is>
      </c>
      <c r="S62">
        <f>HYPERLINK("https://klasma.github.io/Logging_1885/artfynd/A 27900-2024 artfynd.xlsx", "A 27900-2024")</f>
        <v/>
      </c>
      <c r="T62">
        <f>HYPERLINK("https://klasma.github.io/Logging_1885/kartor/A 27900-2024 karta.png", "A 27900-2024")</f>
        <v/>
      </c>
      <c r="V62">
        <f>HYPERLINK("https://klasma.github.io/Logging_1885/klagomål/A 27900-2024 FSC-klagomål.docx", "A 27900-2024")</f>
        <v/>
      </c>
      <c r="W62">
        <f>HYPERLINK("https://klasma.github.io/Logging_1885/klagomålsmail/A 27900-2024 FSC-klagomål mail.docx", "A 27900-2024")</f>
        <v/>
      </c>
      <c r="X62">
        <f>HYPERLINK("https://klasma.github.io/Logging_1885/tillsyn/A 27900-2024 tillsynsbegäran.docx", "A 27900-2024")</f>
        <v/>
      </c>
      <c r="Y62">
        <f>HYPERLINK("https://klasma.github.io/Logging_1885/tillsynsmail/A 27900-2024 tillsynsbegäran mail.docx", "A 27900-2024")</f>
        <v/>
      </c>
    </row>
    <row r="63" ht="15" customHeight="1">
      <c r="A63" t="inlineStr">
        <is>
          <t>A 53598-2024</t>
        </is>
      </c>
      <c r="B63" s="1" t="n">
        <v>45614.68287037037</v>
      </c>
      <c r="C63" s="1" t="n">
        <v>46025</v>
      </c>
      <c r="D63" t="inlineStr">
        <is>
          <t>ÖREBRO LÄN</t>
        </is>
      </c>
      <c r="E63" t="inlineStr">
        <is>
          <t>LINDESBERG</t>
        </is>
      </c>
      <c r="G63" t="n">
        <v>3.1</v>
      </c>
      <c r="H63" t="n">
        <v>1</v>
      </c>
      <c r="I63" t="n">
        <v>0</v>
      </c>
      <c r="J63" t="n">
        <v>0</v>
      </c>
      <c r="K63" t="n">
        <v>0</v>
      </c>
      <c r="L63" t="n">
        <v>1</v>
      </c>
      <c r="M63" t="n">
        <v>0</v>
      </c>
      <c r="N63" t="n">
        <v>0</v>
      </c>
      <c r="O63" t="n">
        <v>1</v>
      </c>
      <c r="P63" t="n">
        <v>1</v>
      </c>
      <c r="Q63" t="n">
        <v>1</v>
      </c>
      <c r="R63" s="2" t="inlineStr">
        <is>
          <t>Asknätfjäril</t>
        </is>
      </c>
      <c r="S63">
        <f>HYPERLINK("https://klasma.github.io/Logging_1885/artfynd/A 53598-2024 artfynd.xlsx", "A 53598-2024")</f>
        <v/>
      </c>
      <c r="T63">
        <f>HYPERLINK("https://klasma.github.io/Logging_1885/kartor/A 53598-2024 karta.png", "A 53598-2024")</f>
        <v/>
      </c>
      <c r="V63">
        <f>HYPERLINK("https://klasma.github.io/Logging_1885/klagomål/A 53598-2024 FSC-klagomål.docx", "A 53598-2024")</f>
        <v/>
      </c>
      <c r="W63">
        <f>HYPERLINK("https://klasma.github.io/Logging_1885/klagomålsmail/A 53598-2024 FSC-klagomål mail.docx", "A 53598-2024")</f>
        <v/>
      </c>
      <c r="X63">
        <f>HYPERLINK("https://klasma.github.io/Logging_1885/tillsyn/A 53598-2024 tillsynsbegäran.docx", "A 53598-2024")</f>
        <v/>
      </c>
      <c r="Y63">
        <f>HYPERLINK("https://klasma.github.io/Logging_1885/tillsynsmail/A 53598-2024 tillsynsbegäran mail.docx", "A 53598-2024")</f>
        <v/>
      </c>
    </row>
    <row r="64" ht="15" customHeight="1">
      <c r="A64" t="inlineStr">
        <is>
          <t>A 70466-2021</t>
        </is>
      </c>
      <c r="B64" s="1" t="n">
        <v>44536</v>
      </c>
      <c r="C64" s="1" t="n">
        <v>46025</v>
      </c>
      <c r="D64" t="inlineStr">
        <is>
          <t>ÖREBRO LÄN</t>
        </is>
      </c>
      <c r="E64" t="inlineStr">
        <is>
          <t>LINDESBERG</t>
        </is>
      </c>
      <c r="G64" t="n">
        <v>4.4</v>
      </c>
      <c r="H64" t="n">
        <v>1</v>
      </c>
      <c r="I64" t="n">
        <v>0</v>
      </c>
      <c r="J64" t="n">
        <v>0</v>
      </c>
      <c r="K64" t="n">
        <v>1</v>
      </c>
      <c r="L64" t="n">
        <v>0</v>
      </c>
      <c r="M64" t="n">
        <v>0</v>
      </c>
      <c r="N64" t="n">
        <v>0</v>
      </c>
      <c r="O64" t="n">
        <v>1</v>
      </c>
      <c r="P64" t="n">
        <v>1</v>
      </c>
      <c r="Q64" t="n">
        <v>1</v>
      </c>
      <c r="R64" s="2" t="inlineStr">
        <is>
          <t>Knärot</t>
        </is>
      </c>
      <c r="S64">
        <f>HYPERLINK("https://klasma.github.io/Logging_1885/artfynd/A 70466-2021 artfynd.xlsx", "A 70466-2021")</f>
        <v/>
      </c>
      <c r="T64">
        <f>HYPERLINK("https://klasma.github.io/Logging_1885/kartor/A 70466-2021 karta.png", "A 70466-2021")</f>
        <v/>
      </c>
      <c r="U64">
        <f>HYPERLINK("https://klasma.github.io/Logging_1885/knärot/A 70466-2021 karta knärot.png", "A 70466-2021")</f>
        <v/>
      </c>
      <c r="V64">
        <f>HYPERLINK("https://klasma.github.io/Logging_1885/klagomål/A 70466-2021 FSC-klagomål.docx", "A 70466-2021")</f>
        <v/>
      </c>
      <c r="W64">
        <f>HYPERLINK("https://klasma.github.io/Logging_1885/klagomålsmail/A 70466-2021 FSC-klagomål mail.docx", "A 70466-2021")</f>
        <v/>
      </c>
      <c r="X64">
        <f>HYPERLINK("https://klasma.github.io/Logging_1885/tillsyn/A 70466-2021 tillsynsbegäran.docx", "A 70466-2021")</f>
        <v/>
      </c>
      <c r="Y64">
        <f>HYPERLINK("https://klasma.github.io/Logging_1885/tillsynsmail/A 70466-2021 tillsynsbegäran mail.docx", "A 70466-2021")</f>
        <v/>
      </c>
    </row>
    <row r="65" ht="15" customHeight="1">
      <c r="A65" t="inlineStr">
        <is>
          <t>A 57362-2025</t>
        </is>
      </c>
      <c r="B65" s="1" t="n">
        <v>45980.37108796297</v>
      </c>
      <c r="C65" s="1" t="n">
        <v>46025</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46025</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53600-2024</t>
        </is>
      </c>
      <c r="B67" s="1" t="n">
        <v>45614.68596064814</v>
      </c>
      <c r="C67" s="1" t="n">
        <v>46025</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45051-2024</t>
        </is>
      </c>
      <c r="B68" s="1" t="n">
        <v>45575.54934027778</v>
      </c>
      <c r="C68" s="1" t="n">
        <v>46025</v>
      </c>
      <c r="D68" t="inlineStr">
        <is>
          <t>ÖREBRO LÄN</t>
        </is>
      </c>
      <c r="E68" t="inlineStr">
        <is>
          <t>LINDESBERG</t>
        </is>
      </c>
      <c r="F68" t="inlineStr">
        <is>
          <t>Sveaskog</t>
        </is>
      </c>
      <c r="G68" t="n">
        <v>2.2</v>
      </c>
      <c r="H68" t="n">
        <v>1</v>
      </c>
      <c r="I68" t="n">
        <v>0</v>
      </c>
      <c r="J68" t="n">
        <v>1</v>
      </c>
      <c r="K68" t="n">
        <v>0</v>
      </c>
      <c r="L68" t="n">
        <v>0</v>
      </c>
      <c r="M68" t="n">
        <v>0</v>
      </c>
      <c r="N68" t="n">
        <v>0</v>
      </c>
      <c r="O68" t="n">
        <v>1</v>
      </c>
      <c r="P68" t="n">
        <v>0</v>
      </c>
      <c r="Q68" t="n">
        <v>1</v>
      </c>
      <c r="R68" s="2" t="inlineStr">
        <is>
          <t>Spillkråka</t>
        </is>
      </c>
      <c r="S68">
        <f>HYPERLINK("https://klasma.github.io/Logging_1885/artfynd/A 45051-2024 artfynd.xlsx", "A 45051-2024")</f>
        <v/>
      </c>
      <c r="T68">
        <f>HYPERLINK("https://klasma.github.io/Logging_1885/kartor/A 45051-2024 karta.png", "A 45051-2024")</f>
        <v/>
      </c>
      <c r="V68">
        <f>HYPERLINK("https://klasma.github.io/Logging_1885/klagomål/A 45051-2024 FSC-klagomål.docx", "A 45051-2024")</f>
        <v/>
      </c>
      <c r="W68">
        <f>HYPERLINK("https://klasma.github.io/Logging_1885/klagomålsmail/A 45051-2024 FSC-klagomål mail.docx", "A 45051-2024")</f>
        <v/>
      </c>
      <c r="X68">
        <f>HYPERLINK("https://klasma.github.io/Logging_1885/tillsyn/A 45051-2024 tillsynsbegäran.docx", "A 45051-2024")</f>
        <v/>
      </c>
      <c r="Y68">
        <f>HYPERLINK("https://klasma.github.io/Logging_1885/tillsynsmail/A 45051-2024 tillsynsbegäran mail.docx", "A 45051-2024")</f>
        <v/>
      </c>
      <c r="Z68">
        <f>HYPERLINK("https://klasma.github.io/Logging_1885/fåglar/A 45051-2024 prioriterade fågelarter.docx", "A 45051-2024")</f>
        <v/>
      </c>
    </row>
    <row r="69" ht="15" customHeight="1">
      <c r="A69" t="inlineStr">
        <is>
          <t>A 64513-2023</t>
        </is>
      </c>
      <c r="B69" s="1" t="n">
        <v>45281</v>
      </c>
      <c r="C69" s="1" t="n">
        <v>46025</v>
      </c>
      <c r="D69" t="inlineStr">
        <is>
          <t>ÖREBRO LÄN</t>
        </is>
      </c>
      <c r="E69" t="inlineStr">
        <is>
          <t>LINDESBERG</t>
        </is>
      </c>
      <c r="G69" t="n">
        <v>4.7</v>
      </c>
      <c r="H69" t="n">
        <v>0</v>
      </c>
      <c r="I69" t="n">
        <v>1</v>
      </c>
      <c r="J69" t="n">
        <v>0</v>
      </c>
      <c r="K69" t="n">
        <v>0</v>
      </c>
      <c r="L69" t="n">
        <v>0</v>
      </c>
      <c r="M69" t="n">
        <v>0</v>
      </c>
      <c r="N69" t="n">
        <v>0</v>
      </c>
      <c r="O69" t="n">
        <v>0</v>
      </c>
      <c r="P69" t="n">
        <v>0</v>
      </c>
      <c r="Q69" t="n">
        <v>1</v>
      </c>
      <c r="R69" s="2" t="inlineStr">
        <is>
          <t>Västlig hakmossa</t>
        </is>
      </c>
      <c r="S69">
        <f>HYPERLINK("https://klasma.github.io/Logging_1885/artfynd/A 64513-2023 artfynd.xlsx", "A 64513-2023")</f>
        <v/>
      </c>
      <c r="T69">
        <f>HYPERLINK("https://klasma.github.io/Logging_1885/kartor/A 64513-2023 karta.png", "A 64513-2023")</f>
        <v/>
      </c>
      <c r="V69">
        <f>HYPERLINK("https://klasma.github.io/Logging_1885/klagomål/A 64513-2023 FSC-klagomål.docx", "A 64513-2023")</f>
        <v/>
      </c>
      <c r="W69">
        <f>HYPERLINK("https://klasma.github.io/Logging_1885/klagomålsmail/A 64513-2023 FSC-klagomål mail.docx", "A 64513-2023")</f>
        <v/>
      </c>
      <c r="X69">
        <f>HYPERLINK("https://klasma.github.io/Logging_1885/tillsyn/A 64513-2023 tillsynsbegäran.docx", "A 64513-2023")</f>
        <v/>
      </c>
      <c r="Y69">
        <f>HYPERLINK("https://klasma.github.io/Logging_1885/tillsynsmail/A 64513-2023 tillsynsbegäran mail.docx", "A 64513-2023")</f>
        <v/>
      </c>
    </row>
    <row r="70" ht="15" customHeight="1">
      <c r="A70" t="inlineStr">
        <is>
          <t>A 28569-2024</t>
        </is>
      </c>
      <c r="B70" s="1" t="n">
        <v>45478.39592592593</v>
      </c>
      <c r="C70" s="1" t="n">
        <v>46025</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61129-2024</t>
        </is>
      </c>
      <c r="B71" s="1" t="n">
        <v>45645</v>
      </c>
      <c r="C71" s="1" t="n">
        <v>46025</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46025</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67013-2021</t>
        </is>
      </c>
      <c r="B73" s="1" t="n">
        <v>44522</v>
      </c>
      <c r="C73" s="1" t="n">
        <v>46025</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61132-2024</t>
        </is>
      </c>
      <c r="B74" s="1" t="n">
        <v>45645</v>
      </c>
      <c r="C74" s="1" t="n">
        <v>46025</v>
      </c>
      <c r="D74" t="inlineStr">
        <is>
          <t>ÖREBRO LÄN</t>
        </is>
      </c>
      <c r="E74" t="inlineStr">
        <is>
          <t>LINDESBERG</t>
        </is>
      </c>
      <c r="F74" t="inlineStr">
        <is>
          <t>Sveaskog</t>
        </is>
      </c>
      <c r="G74" t="n">
        <v>2.5</v>
      </c>
      <c r="H74" t="n">
        <v>0</v>
      </c>
      <c r="I74" t="n">
        <v>1</v>
      </c>
      <c r="J74" t="n">
        <v>0</v>
      </c>
      <c r="K74" t="n">
        <v>0</v>
      </c>
      <c r="L74" t="n">
        <v>0</v>
      </c>
      <c r="M74" t="n">
        <v>0</v>
      </c>
      <c r="N74" t="n">
        <v>0</v>
      </c>
      <c r="O74" t="n">
        <v>0</v>
      </c>
      <c r="P74" t="n">
        <v>0</v>
      </c>
      <c r="Q74" t="n">
        <v>1</v>
      </c>
      <c r="R74" s="2" t="inlineStr">
        <is>
          <t>Bollvitmossa</t>
        </is>
      </c>
      <c r="S74">
        <f>HYPERLINK("https://klasma.github.io/Logging_1885/artfynd/A 61132-2024 artfynd.xlsx", "A 61132-2024")</f>
        <v/>
      </c>
      <c r="T74">
        <f>HYPERLINK("https://klasma.github.io/Logging_1885/kartor/A 61132-2024 karta.png", "A 61132-2024")</f>
        <v/>
      </c>
      <c r="V74">
        <f>HYPERLINK("https://klasma.github.io/Logging_1885/klagomål/A 61132-2024 FSC-klagomål.docx", "A 61132-2024")</f>
        <v/>
      </c>
      <c r="W74">
        <f>HYPERLINK("https://klasma.github.io/Logging_1885/klagomålsmail/A 61132-2024 FSC-klagomål mail.docx", "A 61132-2024")</f>
        <v/>
      </c>
      <c r="X74">
        <f>HYPERLINK("https://klasma.github.io/Logging_1885/tillsyn/A 61132-2024 tillsynsbegäran.docx", "A 61132-2024")</f>
        <v/>
      </c>
      <c r="Y74">
        <f>HYPERLINK("https://klasma.github.io/Logging_1885/tillsynsmail/A 61132-2024 tillsynsbegäran mail.docx", "A 61132-2024")</f>
        <v/>
      </c>
    </row>
    <row r="75" ht="15" customHeight="1">
      <c r="A75" t="inlineStr">
        <is>
          <t>A 21440-2025</t>
        </is>
      </c>
      <c r="B75" s="1" t="n">
        <v>45782.5300462963</v>
      </c>
      <c r="C75" s="1" t="n">
        <v>46025</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46025</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46025</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46025</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46025</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46025</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46025</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46025</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46025</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46025</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46025</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46025</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46025</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46025</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46025</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57817-2021</t>
        </is>
      </c>
      <c r="B90" s="1" t="n">
        <v>44484</v>
      </c>
      <c r="C90" s="1" t="n">
        <v>46025</v>
      </c>
      <c r="D90" t="inlineStr">
        <is>
          <t>ÖREBRO LÄN</t>
        </is>
      </c>
      <c r="E90" t="inlineStr">
        <is>
          <t>LINDESBERG</t>
        </is>
      </c>
      <c r="G90" t="n">
        <v>2.3</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46025</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46025</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46025</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46025</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46025</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46025</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46025</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46025</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46025</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46025</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46025</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46025</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46025</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46025</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46025</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46025</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46025</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46025</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46025</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46025</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46025</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46025</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46025</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46025</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46025</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46025</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46025</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46025</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46025</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46025</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46025</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46025</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46025</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46025</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46025</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46025</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46025</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46025</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46025</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46025</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46025</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46025</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46025</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46025</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46025</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46025</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46025</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46025</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46025</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46025</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46025</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46025</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46025</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46025</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46025</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46025</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46025</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46025</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46025</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46025</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46025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46025</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46025</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46025</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46025</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46025</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46025</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46025</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46025</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46025</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46025</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46025</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46025</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46025</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46025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46025</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46025</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46025</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46025</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46025</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46025</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46025</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46025</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46025</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46025</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46025</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46025</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46025</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46025</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46025</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46025</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46025</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46025</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46025</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46025</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46025</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46025</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46025</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46025</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46025</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46025</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46025</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46025</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46025</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46025</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46025</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46025</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46025</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46025</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46025</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46025</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46025</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46025</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46025</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46025</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46025</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46025</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46025</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46025</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46025</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46025</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46025</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46025</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46025</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46025</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46025</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46025</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46025</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46025</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46025</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46025</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46025</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8612-2024</t>
        </is>
      </c>
      <c r="B223" s="1" t="n">
        <v>45355.70009259259</v>
      </c>
      <c r="C223" s="1" t="n">
        <v>46025</v>
      </c>
      <c r="D223" t="inlineStr">
        <is>
          <t>ÖREBRO LÄN</t>
        </is>
      </c>
      <c r="E223" t="inlineStr">
        <is>
          <t>LINDESBERG</t>
        </is>
      </c>
      <c r="G223" t="n">
        <v>4.5</v>
      </c>
      <c r="H223" t="n">
        <v>0</v>
      </c>
      <c r="I223" t="n">
        <v>0</v>
      </c>
      <c r="J223" t="n">
        <v>0</v>
      </c>
      <c r="K223" t="n">
        <v>0</v>
      </c>
      <c r="L223" t="n">
        <v>0</v>
      </c>
      <c r="M223" t="n">
        <v>0</v>
      </c>
      <c r="N223" t="n">
        <v>0</v>
      </c>
      <c r="O223" t="n">
        <v>0</v>
      </c>
      <c r="P223" t="n">
        <v>0</v>
      </c>
      <c r="Q223" t="n">
        <v>0</v>
      </c>
      <c r="R223" s="2" t="inlineStr"/>
    </row>
    <row r="224" ht="15" customHeight="1">
      <c r="A224" t="inlineStr">
        <is>
          <t>A 17104-2024</t>
        </is>
      </c>
      <c r="B224" s="1" t="n">
        <v>45412.54541666667</v>
      </c>
      <c r="C224" s="1" t="n">
        <v>46025</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21084-2021</t>
        </is>
      </c>
      <c r="B225" s="1" t="n">
        <v>44319</v>
      </c>
      <c r="C225" s="1" t="n">
        <v>46025</v>
      </c>
      <c r="D225" t="inlineStr">
        <is>
          <t>ÖREBRO LÄN</t>
        </is>
      </c>
      <c r="E225" t="inlineStr">
        <is>
          <t>LINDESBERG</t>
        </is>
      </c>
      <c r="G225" t="n">
        <v>3.1</v>
      </c>
      <c r="H225" t="n">
        <v>0</v>
      </c>
      <c r="I225" t="n">
        <v>0</v>
      </c>
      <c r="J225" t="n">
        <v>0</v>
      </c>
      <c r="K225" t="n">
        <v>0</v>
      </c>
      <c r="L225" t="n">
        <v>0</v>
      </c>
      <c r="M225" t="n">
        <v>0</v>
      </c>
      <c r="N225" t="n">
        <v>0</v>
      </c>
      <c r="O225" t="n">
        <v>0</v>
      </c>
      <c r="P225" t="n">
        <v>0</v>
      </c>
      <c r="Q225" t="n">
        <v>0</v>
      </c>
      <c r="R225" s="2" t="inlineStr"/>
    </row>
    <row r="226" ht="15" customHeight="1">
      <c r="A226" t="inlineStr">
        <is>
          <t>A 6161-2025</t>
        </is>
      </c>
      <c r="B226" s="1" t="n">
        <v>45698</v>
      </c>
      <c r="C226" s="1" t="n">
        <v>46025</v>
      </c>
      <c r="D226" t="inlineStr">
        <is>
          <t>ÖREBRO LÄN</t>
        </is>
      </c>
      <c r="E226" t="inlineStr">
        <is>
          <t>LINDESBERG</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6165-2025</t>
        </is>
      </c>
      <c r="B227" s="1" t="n">
        <v>45698</v>
      </c>
      <c r="C227" s="1" t="n">
        <v>46025</v>
      </c>
      <c r="D227" t="inlineStr">
        <is>
          <t>ÖREBRO LÄN</t>
        </is>
      </c>
      <c r="E227" t="inlineStr">
        <is>
          <t>LINDESBERG</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6181-2025</t>
        </is>
      </c>
      <c r="B228" s="1" t="n">
        <v>45698</v>
      </c>
      <c r="C228" s="1" t="n">
        <v>46025</v>
      </c>
      <c r="D228" t="inlineStr">
        <is>
          <t>ÖREBRO LÄN</t>
        </is>
      </c>
      <c r="E228" t="inlineStr">
        <is>
          <t>LINDESBERG</t>
        </is>
      </c>
      <c r="G228" t="n">
        <v>2.8</v>
      </c>
      <c r="H228" t="n">
        <v>0</v>
      </c>
      <c r="I228" t="n">
        <v>0</v>
      </c>
      <c r="J228" t="n">
        <v>0</v>
      </c>
      <c r="K228" t="n">
        <v>0</v>
      </c>
      <c r="L228" t="n">
        <v>0</v>
      </c>
      <c r="M228" t="n">
        <v>0</v>
      </c>
      <c r="N228" t="n">
        <v>0</v>
      </c>
      <c r="O228" t="n">
        <v>0</v>
      </c>
      <c r="P228" t="n">
        <v>0</v>
      </c>
      <c r="Q228" t="n">
        <v>0</v>
      </c>
      <c r="R228" s="2" t="inlineStr"/>
    </row>
    <row r="229" ht="15" customHeight="1">
      <c r="A229" t="inlineStr">
        <is>
          <t>A 26093-2023</t>
        </is>
      </c>
      <c r="B229" s="1" t="n">
        <v>45091.39362268519</v>
      </c>
      <c r="C229" s="1" t="n">
        <v>46025</v>
      </c>
      <c r="D229" t="inlineStr">
        <is>
          <t>ÖREBRO LÄN</t>
        </is>
      </c>
      <c r="E229" t="inlineStr">
        <is>
          <t>LINDESBERG</t>
        </is>
      </c>
      <c r="G229" t="n">
        <v>0.4</v>
      </c>
      <c r="H229" t="n">
        <v>0</v>
      </c>
      <c r="I229" t="n">
        <v>0</v>
      </c>
      <c r="J229" t="n">
        <v>0</v>
      </c>
      <c r="K229" t="n">
        <v>0</v>
      </c>
      <c r="L229" t="n">
        <v>0</v>
      </c>
      <c r="M229" t="n">
        <v>0</v>
      </c>
      <c r="N229" t="n">
        <v>0</v>
      </c>
      <c r="O229" t="n">
        <v>0</v>
      </c>
      <c r="P229" t="n">
        <v>0</v>
      </c>
      <c r="Q229" t="n">
        <v>0</v>
      </c>
      <c r="R229" s="2" t="inlineStr"/>
    </row>
    <row r="230" ht="15" customHeight="1">
      <c r="A230" t="inlineStr">
        <is>
          <t>A 17823-2021</t>
        </is>
      </c>
      <c r="B230" s="1" t="n">
        <v>44300</v>
      </c>
      <c r="C230" s="1" t="n">
        <v>46025</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17995-2021</t>
        </is>
      </c>
      <c r="B231" s="1" t="n">
        <v>44301</v>
      </c>
      <c r="C231" s="1" t="n">
        <v>46025</v>
      </c>
      <c r="D231" t="inlineStr">
        <is>
          <t>ÖREBRO LÄN</t>
        </is>
      </c>
      <c r="E231" t="inlineStr">
        <is>
          <t>LINDESBERG</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19914-2024</t>
        </is>
      </c>
      <c r="B232" s="1" t="n">
        <v>45433.58099537037</v>
      </c>
      <c r="C232" s="1" t="n">
        <v>46025</v>
      </c>
      <c r="D232" t="inlineStr">
        <is>
          <t>ÖREBRO LÄN</t>
        </is>
      </c>
      <c r="E232" t="inlineStr">
        <is>
          <t>LINDESBERG</t>
        </is>
      </c>
      <c r="G232" t="n">
        <v>1.1</v>
      </c>
      <c r="H232" t="n">
        <v>0</v>
      </c>
      <c r="I232" t="n">
        <v>0</v>
      </c>
      <c r="J232" t="n">
        <v>0</v>
      </c>
      <c r="K232" t="n">
        <v>0</v>
      </c>
      <c r="L232" t="n">
        <v>0</v>
      </c>
      <c r="M232" t="n">
        <v>0</v>
      </c>
      <c r="N232" t="n">
        <v>0</v>
      </c>
      <c r="O232" t="n">
        <v>0</v>
      </c>
      <c r="P232" t="n">
        <v>0</v>
      </c>
      <c r="Q232" t="n">
        <v>0</v>
      </c>
      <c r="R232" s="2" t="inlineStr"/>
    </row>
    <row r="233" ht="15" customHeight="1">
      <c r="A233" t="inlineStr">
        <is>
          <t>A 51656-2023</t>
        </is>
      </c>
      <c r="B233" s="1" t="n">
        <v>45222</v>
      </c>
      <c r="C233" s="1" t="n">
        <v>46025</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6470-2024</t>
        </is>
      </c>
      <c r="B234" s="1" t="n">
        <v>45338</v>
      </c>
      <c r="C234" s="1" t="n">
        <v>46025</v>
      </c>
      <c r="D234" t="inlineStr">
        <is>
          <t>ÖREBRO LÄN</t>
        </is>
      </c>
      <c r="E234" t="inlineStr">
        <is>
          <t>LINDESBERG</t>
        </is>
      </c>
      <c r="G234" t="n">
        <v>1.2</v>
      </c>
      <c r="H234" t="n">
        <v>0</v>
      </c>
      <c r="I234" t="n">
        <v>0</v>
      </c>
      <c r="J234" t="n">
        <v>0</v>
      </c>
      <c r="K234" t="n">
        <v>0</v>
      </c>
      <c r="L234" t="n">
        <v>0</v>
      </c>
      <c r="M234" t="n">
        <v>0</v>
      </c>
      <c r="N234" t="n">
        <v>0</v>
      </c>
      <c r="O234" t="n">
        <v>0</v>
      </c>
      <c r="P234" t="n">
        <v>0</v>
      </c>
      <c r="Q234" t="n">
        <v>0</v>
      </c>
      <c r="R234" s="2" t="inlineStr"/>
    </row>
    <row r="235" ht="15" customHeight="1">
      <c r="A235" t="inlineStr">
        <is>
          <t>A 12739-2024</t>
        </is>
      </c>
      <c r="B235" s="1" t="n">
        <v>45384</v>
      </c>
      <c r="C235" s="1" t="n">
        <v>46025</v>
      </c>
      <c r="D235" t="inlineStr">
        <is>
          <t>ÖREBRO LÄN</t>
        </is>
      </c>
      <c r="E235" t="inlineStr">
        <is>
          <t>LINDESBERG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56217-2022</t>
        </is>
      </c>
      <c r="B236" s="1" t="n">
        <v>44890.46174768519</v>
      </c>
      <c r="C236" s="1" t="n">
        <v>46025</v>
      </c>
      <c r="D236" t="inlineStr">
        <is>
          <t>ÖREBRO LÄN</t>
        </is>
      </c>
      <c r="E236" t="inlineStr">
        <is>
          <t>LINDESBERG</t>
        </is>
      </c>
      <c r="G236" t="n">
        <v>6.9</v>
      </c>
      <c r="H236" t="n">
        <v>0</v>
      </c>
      <c r="I236" t="n">
        <v>0</v>
      </c>
      <c r="J236" t="n">
        <v>0</v>
      </c>
      <c r="K236" t="n">
        <v>0</v>
      </c>
      <c r="L236" t="n">
        <v>0</v>
      </c>
      <c r="M236" t="n">
        <v>0</v>
      </c>
      <c r="N236" t="n">
        <v>0</v>
      </c>
      <c r="O236" t="n">
        <v>0</v>
      </c>
      <c r="P236" t="n">
        <v>0</v>
      </c>
      <c r="Q236" t="n">
        <v>0</v>
      </c>
      <c r="R236" s="2" t="inlineStr"/>
    </row>
    <row r="237" ht="15" customHeight="1">
      <c r="A237" t="inlineStr">
        <is>
          <t>A 56561-2023</t>
        </is>
      </c>
      <c r="B237" s="1" t="n">
        <v>45243</v>
      </c>
      <c r="C237" s="1" t="n">
        <v>46025</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27134-2024</t>
        </is>
      </c>
      <c r="B238" s="1" t="n">
        <v>45471.52878472222</v>
      </c>
      <c r="C238" s="1" t="n">
        <v>46025</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56579-2023</t>
        </is>
      </c>
      <c r="B239" s="1" t="n">
        <v>45243.62420138889</v>
      </c>
      <c r="C239" s="1" t="n">
        <v>46025</v>
      </c>
      <c r="D239" t="inlineStr">
        <is>
          <t>ÖREBRO LÄN</t>
        </is>
      </c>
      <c r="E239" t="inlineStr">
        <is>
          <t>LINDESBERG</t>
        </is>
      </c>
      <c r="F239" t="inlineStr">
        <is>
          <t>Naturvårdsverket</t>
        </is>
      </c>
      <c r="G239" t="n">
        <v>1.6</v>
      </c>
      <c r="H239" t="n">
        <v>0</v>
      </c>
      <c r="I239" t="n">
        <v>0</v>
      </c>
      <c r="J239" t="n">
        <v>0</v>
      </c>
      <c r="K239" t="n">
        <v>0</v>
      </c>
      <c r="L239" t="n">
        <v>0</v>
      </c>
      <c r="M239" t="n">
        <v>0</v>
      </c>
      <c r="N239" t="n">
        <v>0</v>
      </c>
      <c r="O239" t="n">
        <v>0</v>
      </c>
      <c r="P239" t="n">
        <v>0</v>
      </c>
      <c r="Q239" t="n">
        <v>0</v>
      </c>
      <c r="R239" s="2" t="inlineStr"/>
    </row>
    <row r="240" ht="15" customHeight="1">
      <c r="A240" t="inlineStr">
        <is>
          <t>A 56582-2023</t>
        </is>
      </c>
      <c r="B240" s="1" t="n">
        <v>45243</v>
      </c>
      <c r="C240" s="1" t="n">
        <v>46025</v>
      </c>
      <c r="D240" t="inlineStr">
        <is>
          <t>ÖREBRO LÄN</t>
        </is>
      </c>
      <c r="E240" t="inlineStr">
        <is>
          <t>LINDESBERG</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40305-2024</t>
        </is>
      </c>
      <c r="B241" s="1" t="n">
        <v>45554.71863425926</v>
      </c>
      <c r="C241" s="1" t="n">
        <v>46025</v>
      </c>
      <c r="D241" t="inlineStr">
        <is>
          <t>ÖREBRO LÄN</t>
        </is>
      </c>
      <c r="E241" t="inlineStr">
        <is>
          <t>LINDESBERG</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21012-2023</t>
        </is>
      </c>
      <c r="B242" s="1" t="n">
        <v>45061.52474537037</v>
      </c>
      <c r="C242" s="1" t="n">
        <v>46025</v>
      </c>
      <c r="D242" t="inlineStr">
        <is>
          <t>ÖREBRO LÄN</t>
        </is>
      </c>
      <c r="E242" t="inlineStr">
        <is>
          <t>LINDESBERG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33280-2024</t>
        </is>
      </c>
      <c r="B243" s="1" t="n">
        <v>45518.71048611111</v>
      </c>
      <c r="C243" s="1" t="n">
        <v>46025</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37432-2022</t>
        </is>
      </c>
      <c r="B244" s="1" t="n">
        <v>44809</v>
      </c>
      <c r="C244" s="1" t="n">
        <v>46025</v>
      </c>
      <c r="D244" t="inlineStr">
        <is>
          <t>ÖREBRO LÄN</t>
        </is>
      </c>
      <c r="E244" t="inlineStr">
        <is>
          <t>LINDESBERG</t>
        </is>
      </c>
      <c r="G244" t="n">
        <v>3.6</v>
      </c>
      <c r="H244" t="n">
        <v>0</v>
      </c>
      <c r="I244" t="n">
        <v>0</v>
      </c>
      <c r="J244" t="n">
        <v>0</v>
      </c>
      <c r="K244" t="n">
        <v>0</v>
      </c>
      <c r="L244" t="n">
        <v>0</v>
      </c>
      <c r="M244" t="n">
        <v>0</v>
      </c>
      <c r="N244" t="n">
        <v>0</v>
      </c>
      <c r="O244" t="n">
        <v>0</v>
      </c>
      <c r="P244" t="n">
        <v>0</v>
      </c>
      <c r="Q244" t="n">
        <v>0</v>
      </c>
      <c r="R244" s="2" t="inlineStr"/>
    </row>
    <row r="245" ht="15" customHeight="1">
      <c r="A245" t="inlineStr">
        <is>
          <t>A 53054-2022</t>
        </is>
      </c>
      <c r="B245" s="1" t="n">
        <v>44876.35706018518</v>
      </c>
      <c r="C245" s="1" t="n">
        <v>46025</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24944-2024</t>
        </is>
      </c>
      <c r="B246" s="1" t="n">
        <v>45461.62924768519</v>
      </c>
      <c r="C246" s="1" t="n">
        <v>46025</v>
      </c>
      <c r="D246" t="inlineStr">
        <is>
          <t>ÖREBRO LÄN</t>
        </is>
      </c>
      <c r="E246" t="inlineStr">
        <is>
          <t>LINDESBERG</t>
        </is>
      </c>
      <c r="F246" t="inlineStr">
        <is>
          <t>Kyrkan</t>
        </is>
      </c>
      <c r="G246" t="n">
        <v>13.7</v>
      </c>
      <c r="H246" t="n">
        <v>0</v>
      </c>
      <c r="I246" t="n">
        <v>0</v>
      </c>
      <c r="J246" t="n">
        <v>0</v>
      </c>
      <c r="K246" t="n">
        <v>0</v>
      </c>
      <c r="L246" t="n">
        <v>0</v>
      </c>
      <c r="M246" t="n">
        <v>0</v>
      </c>
      <c r="N246" t="n">
        <v>0</v>
      </c>
      <c r="O246" t="n">
        <v>0</v>
      </c>
      <c r="P246" t="n">
        <v>0</v>
      </c>
      <c r="Q246" t="n">
        <v>0</v>
      </c>
      <c r="R246" s="2" t="inlineStr"/>
    </row>
    <row r="247" ht="15" customHeight="1">
      <c r="A247" t="inlineStr">
        <is>
          <t>A 50619-2022</t>
        </is>
      </c>
      <c r="B247" s="1" t="n">
        <v>44866.79668981482</v>
      </c>
      <c r="C247" s="1" t="n">
        <v>46025</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46603-2021</t>
        </is>
      </c>
      <c r="B248" s="1" t="n">
        <v>44445</v>
      </c>
      <c r="C248" s="1" t="n">
        <v>46025</v>
      </c>
      <c r="D248" t="inlineStr">
        <is>
          <t>ÖREBRO LÄN</t>
        </is>
      </c>
      <c r="E248" t="inlineStr">
        <is>
          <t>LINDESBERG</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23641-2024</t>
        </is>
      </c>
      <c r="B249" s="1" t="n">
        <v>45454.49679398148</v>
      </c>
      <c r="C249" s="1" t="n">
        <v>46025</v>
      </c>
      <c r="D249" t="inlineStr">
        <is>
          <t>ÖREBRO LÄN</t>
        </is>
      </c>
      <c r="E249" t="inlineStr">
        <is>
          <t>LINDESBERG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41343-2021</t>
        </is>
      </c>
      <c r="B250" s="1" t="n">
        <v>44424.61709490741</v>
      </c>
      <c r="C250" s="1" t="n">
        <v>46025</v>
      </c>
      <c r="D250" t="inlineStr">
        <is>
          <t>ÖREBRO LÄN</t>
        </is>
      </c>
      <c r="E250" t="inlineStr">
        <is>
          <t>LINDESBERG</t>
        </is>
      </c>
      <c r="G250" t="n">
        <v>8.9</v>
      </c>
      <c r="H250" t="n">
        <v>0</v>
      </c>
      <c r="I250" t="n">
        <v>0</v>
      </c>
      <c r="J250" t="n">
        <v>0</v>
      </c>
      <c r="K250" t="n">
        <v>0</v>
      </c>
      <c r="L250" t="n">
        <v>0</v>
      </c>
      <c r="M250" t="n">
        <v>0</v>
      </c>
      <c r="N250" t="n">
        <v>0</v>
      </c>
      <c r="O250" t="n">
        <v>0</v>
      </c>
      <c r="P250" t="n">
        <v>0</v>
      </c>
      <c r="Q250" t="n">
        <v>0</v>
      </c>
      <c r="R250" s="2" t="inlineStr"/>
    </row>
    <row r="251" ht="15" customHeight="1">
      <c r="A251" t="inlineStr">
        <is>
          <t>A 58662-2022</t>
        </is>
      </c>
      <c r="B251" s="1" t="n">
        <v>44902</v>
      </c>
      <c r="C251" s="1" t="n">
        <v>46025</v>
      </c>
      <c r="D251" t="inlineStr">
        <is>
          <t>ÖREBRO LÄN</t>
        </is>
      </c>
      <c r="E251" t="inlineStr">
        <is>
          <t>LINDESBERG</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46025</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28032-2023</t>
        </is>
      </c>
      <c r="B253" s="1" t="n">
        <v>45099</v>
      </c>
      <c r="C253" s="1" t="n">
        <v>46025</v>
      </c>
      <c r="D253" t="inlineStr">
        <is>
          <t>ÖREBRO LÄN</t>
        </is>
      </c>
      <c r="E253" t="inlineStr">
        <is>
          <t>LINDESBERG</t>
        </is>
      </c>
      <c r="F253" t="inlineStr">
        <is>
          <t>Kyrkan</t>
        </is>
      </c>
      <c r="G253" t="n">
        <v>0.7</v>
      </c>
      <c r="H253" t="n">
        <v>0</v>
      </c>
      <c r="I253" t="n">
        <v>0</v>
      </c>
      <c r="J253" t="n">
        <v>0</v>
      </c>
      <c r="K253" t="n">
        <v>0</v>
      </c>
      <c r="L253" t="n">
        <v>0</v>
      </c>
      <c r="M253" t="n">
        <v>0</v>
      </c>
      <c r="N253" t="n">
        <v>0</v>
      </c>
      <c r="O253" t="n">
        <v>0</v>
      </c>
      <c r="P253" t="n">
        <v>0</v>
      </c>
      <c r="Q253" t="n">
        <v>0</v>
      </c>
      <c r="R253" s="2" t="inlineStr"/>
    </row>
    <row r="254" ht="15" customHeight="1">
      <c r="A254" t="inlineStr">
        <is>
          <t>A 30767-2023</t>
        </is>
      </c>
      <c r="B254" s="1" t="n">
        <v>45112.67952546296</v>
      </c>
      <c r="C254" s="1" t="n">
        <v>46025</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38762-2021</t>
        </is>
      </c>
      <c r="B255" s="1" t="n">
        <v>44410.61837962963</v>
      </c>
      <c r="C255" s="1" t="n">
        <v>46025</v>
      </c>
      <c r="D255" t="inlineStr">
        <is>
          <t>ÖREBRO LÄN</t>
        </is>
      </c>
      <c r="E255" t="inlineStr">
        <is>
          <t>LINDESBERG</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63508-2023</t>
        </is>
      </c>
      <c r="B256" s="1" t="n">
        <v>45274</v>
      </c>
      <c r="C256" s="1" t="n">
        <v>46025</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36280-2023</t>
        </is>
      </c>
      <c r="B257" s="1" t="n">
        <v>45152.34586805556</v>
      </c>
      <c r="C257" s="1" t="n">
        <v>46025</v>
      </c>
      <c r="D257" t="inlineStr">
        <is>
          <t>ÖREBRO LÄN</t>
        </is>
      </c>
      <c r="E257" t="inlineStr">
        <is>
          <t>LINDESBERG</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33284-2024</t>
        </is>
      </c>
      <c r="B258" s="1" t="n">
        <v>45518.71721064814</v>
      </c>
      <c r="C258" s="1" t="n">
        <v>46025</v>
      </c>
      <c r="D258" t="inlineStr">
        <is>
          <t>ÖREBRO LÄN</t>
        </is>
      </c>
      <c r="E258" t="inlineStr">
        <is>
          <t>LINDESBERG</t>
        </is>
      </c>
      <c r="G258" t="n">
        <v>1.7</v>
      </c>
      <c r="H258" t="n">
        <v>0</v>
      </c>
      <c r="I258" t="n">
        <v>0</v>
      </c>
      <c r="J258" t="n">
        <v>0</v>
      </c>
      <c r="K258" t="n">
        <v>0</v>
      </c>
      <c r="L258" t="n">
        <v>0</v>
      </c>
      <c r="M258" t="n">
        <v>0</v>
      </c>
      <c r="N258" t="n">
        <v>0</v>
      </c>
      <c r="O258" t="n">
        <v>0</v>
      </c>
      <c r="P258" t="n">
        <v>0</v>
      </c>
      <c r="Q258" t="n">
        <v>0</v>
      </c>
      <c r="R258" s="2" t="inlineStr"/>
    </row>
    <row r="259" ht="15" customHeight="1">
      <c r="A259" t="inlineStr">
        <is>
          <t>A 33978-2023</t>
        </is>
      </c>
      <c r="B259" s="1" t="n">
        <v>45134.68158564815</v>
      </c>
      <c r="C259" s="1" t="n">
        <v>46025</v>
      </c>
      <c r="D259" t="inlineStr">
        <is>
          <t>ÖREBRO LÄN</t>
        </is>
      </c>
      <c r="E259" t="inlineStr">
        <is>
          <t>LINDESBERG</t>
        </is>
      </c>
      <c r="G259" t="n">
        <v>4.1</v>
      </c>
      <c r="H259" t="n">
        <v>0</v>
      </c>
      <c r="I259" t="n">
        <v>0</v>
      </c>
      <c r="J259" t="n">
        <v>0</v>
      </c>
      <c r="K259" t="n">
        <v>0</v>
      </c>
      <c r="L259" t="n">
        <v>0</v>
      </c>
      <c r="M259" t="n">
        <v>0</v>
      </c>
      <c r="N259" t="n">
        <v>0</v>
      </c>
      <c r="O259" t="n">
        <v>0</v>
      </c>
      <c r="P259" t="n">
        <v>0</v>
      </c>
      <c r="Q259" t="n">
        <v>0</v>
      </c>
      <c r="R259" s="2" t="inlineStr"/>
    </row>
    <row r="260" ht="15" customHeight="1">
      <c r="A260" t="inlineStr">
        <is>
          <t>A 54705-2022</t>
        </is>
      </c>
      <c r="B260" s="1" t="n">
        <v>44883</v>
      </c>
      <c r="C260" s="1" t="n">
        <v>46025</v>
      </c>
      <c r="D260" t="inlineStr">
        <is>
          <t>ÖREBRO LÄN</t>
        </is>
      </c>
      <c r="E260" t="inlineStr">
        <is>
          <t>LINDESBERG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36015-2021</t>
        </is>
      </c>
      <c r="B261" s="1" t="n">
        <v>44389</v>
      </c>
      <c r="C261" s="1" t="n">
        <v>46025</v>
      </c>
      <c r="D261" t="inlineStr">
        <is>
          <t>ÖREBRO LÄN</t>
        </is>
      </c>
      <c r="E261" t="inlineStr">
        <is>
          <t>LINDESBERG</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36748-2024</t>
        </is>
      </c>
      <c r="B262" s="1" t="n">
        <v>45538.34460648148</v>
      </c>
      <c r="C262" s="1" t="n">
        <v>46025</v>
      </c>
      <c r="D262" t="inlineStr">
        <is>
          <t>ÖREBRO LÄN</t>
        </is>
      </c>
      <c r="E262" t="inlineStr">
        <is>
          <t>LINDESBERG</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21390-2024</t>
        </is>
      </c>
      <c r="B263" s="1" t="n">
        <v>45441.30899305556</v>
      </c>
      <c r="C263" s="1" t="n">
        <v>46025</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21392-2024</t>
        </is>
      </c>
      <c r="B264" s="1" t="n">
        <v>45441.30998842593</v>
      </c>
      <c r="C264" s="1" t="n">
        <v>46025</v>
      </c>
      <c r="D264" t="inlineStr">
        <is>
          <t>ÖREBRO LÄN</t>
        </is>
      </c>
      <c r="E264" t="inlineStr">
        <is>
          <t>LINDESBERG</t>
        </is>
      </c>
      <c r="F264" t="inlineStr">
        <is>
          <t>Sveaskog</t>
        </is>
      </c>
      <c r="G264" t="n">
        <v>0.4</v>
      </c>
      <c r="H264" t="n">
        <v>0</v>
      </c>
      <c r="I264" t="n">
        <v>0</v>
      </c>
      <c r="J264" t="n">
        <v>0</v>
      </c>
      <c r="K264" t="n">
        <v>0</v>
      </c>
      <c r="L264" t="n">
        <v>0</v>
      </c>
      <c r="M264" t="n">
        <v>0</v>
      </c>
      <c r="N264" t="n">
        <v>0</v>
      </c>
      <c r="O264" t="n">
        <v>0</v>
      </c>
      <c r="P264" t="n">
        <v>0</v>
      </c>
      <c r="Q264" t="n">
        <v>0</v>
      </c>
      <c r="R264" s="2" t="inlineStr"/>
    </row>
    <row r="265" ht="15" customHeight="1">
      <c r="A265" t="inlineStr">
        <is>
          <t>A 13305-2023</t>
        </is>
      </c>
      <c r="B265" s="1" t="n">
        <v>45005.35967592592</v>
      </c>
      <c r="C265" s="1" t="n">
        <v>46025</v>
      </c>
      <c r="D265" t="inlineStr">
        <is>
          <t>ÖREBRO LÄN</t>
        </is>
      </c>
      <c r="E265" t="inlineStr">
        <is>
          <t>LINDESBERG</t>
        </is>
      </c>
      <c r="G265" t="n">
        <v>5.5</v>
      </c>
      <c r="H265" t="n">
        <v>0</v>
      </c>
      <c r="I265" t="n">
        <v>0</v>
      </c>
      <c r="J265" t="n">
        <v>0</v>
      </c>
      <c r="K265" t="n">
        <v>0</v>
      </c>
      <c r="L265" t="n">
        <v>0</v>
      </c>
      <c r="M265" t="n">
        <v>0</v>
      </c>
      <c r="N265" t="n">
        <v>0</v>
      </c>
      <c r="O265" t="n">
        <v>0</v>
      </c>
      <c r="P265" t="n">
        <v>0</v>
      </c>
      <c r="Q265" t="n">
        <v>0</v>
      </c>
      <c r="R265" s="2" t="inlineStr"/>
    </row>
    <row r="266" ht="15" customHeight="1">
      <c r="A266" t="inlineStr">
        <is>
          <t>A 13368-2023</t>
        </is>
      </c>
      <c r="B266" s="1" t="n">
        <v>45005.47820601852</v>
      </c>
      <c r="C266" s="1" t="n">
        <v>46025</v>
      </c>
      <c r="D266" t="inlineStr">
        <is>
          <t>ÖREBRO LÄN</t>
        </is>
      </c>
      <c r="E266" t="inlineStr">
        <is>
          <t>LINDESBERG</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21468-2024</t>
        </is>
      </c>
      <c r="B267" s="1" t="n">
        <v>45441.48670138889</v>
      </c>
      <c r="C267" s="1" t="n">
        <v>46025</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54855-2024</t>
        </is>
      </c>
      <c r="B268" s="1" t="n">
        <v>45618.58622685185</v>
      </c>
      <c r="C268" s="1" t="n">
        <v>46025</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6727-2022</t>
        </is>
      </c>
      <c r="B269" s="1" t="n">
        <v>44602.45490740741</v>
      </c>
      <c r="C269" s="1" t="n">
        <v>46025</v>
      </c>
      <c r="D269" t="inlineStr">
        <is>
          <t>ÖREBRO LÄN</t>
        </is>
      </c>
      <c r="E269" t="inlineStr">
        <is>
          <t>LINDESBERG</t>
        </is>
      </c>
      <c r="G269" t="n">
        <v>0.8</v>
      </c>
      <c r="H269" t="n">
        <v>0</v>
      </c>
      <c r="I269" t="n">
        <v>0</v>
      </c>
      <c r="J269" t="n">
        <v>0</v>
      </c>
      <c r="K269" t="n">
        <v>0</v>
      </c>
      <c r="L269" t="n">
        <v>0</v>
      </c>
      <c r="M269" t="n">
        <v>0</v>
      </c>
      <c r="N269" t="n">
        <v>0</v>
      </c>
      <c r="O269" t="n">
        <v>0</v>
      </c>
      <c r="P269" t="n">
        <v>0</v>
      </c>
      <c r="Q269" t="n">
        <v>0</v>
      </c>
      <c r="R269" s="2" t="inlineStr"/>
    </row>
    <row r="270" ht="15" customHeight="1">
      <c r="A270" t="inlineStr">
        <is>
          <t>A 6723-2022</t>
        </is>
      </c>
      <c r="B270" s="1" t="n">
        <v>44602.45162037037</v>
      </c>
      <c r="C270" s="1" t="n">
        <v>46025</v>
      </c>
      <c r="D270" t="inlineStr">
        <is>
          <t>ÖREBRO LÄN</t>
        </is>
      </c>
      <c r="E270" t="inlineStr">
        <is>
          <t>LINDESBERG</t>
        </is>
      </c>
      <c r="G270" t="n">
        <v>4.2</v>
      </c>
      <c r="H270" t="n">
        <v>0</v>
      </c>
      <c r="I270" t="n">
        <v>0</v>
      </c>
      <c r="J270" t="n">
        <v>0</v>
      </c>
      <c r="K270" t="n">
        <v>0</v>
      </c>
      <c r="L270" t="n">
        <v>0</v>
      </c>
      <c r="M270" t="n">
        <v>0</v>
      </c>
      <c r="N270" t="n">
        <v>0</v>
      </c>
      <c r="O270" t="n">
        <v>0</v>
      </c>
      <c r="P270" t="n">
        <v>0</v>
      </c>
      <c r="Q270" t="n">
        <v>0</v>
      </c>
      <c r="R270" s="2" t="inlineStr"/>
    </row>
    <row r="271" ht="15" customHeight="1">
      <c r="A271" t="inlineStr">
        <is>
          <t>A 29942-2024</t>
        </is>
      </c>
      <c r="B271" s="1" t="n">
        <v>45488.42258101852</v>
      </c>
      <c r="C271" s="1" t="n">
        <v>46025</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36893-2024</t>
        </is>
      </c>
      <c r="B272" s="1" t="n">
        <v>45538</v>
      </c>
      <c r="C272" s="1" t="n">
        <v>46025</v>
      </c>
      <c r="D272" t="inlineStr">
        <is>
          <t>ÖREBRO LÄN</t>
        </is>
      </c>
      <c r="E272" t="inlineStr">
        <is>
          <t>LINDESBERG</t>
        </is>
      </c>
      <c r="G272" t="n">
        <v>1.1</v>
      </c>
      <c r="H272" t="n">
        <v>0</v>
      </c>
      <c r="I272" t="n">
        <v>0</v>
      </c>
      <c r="J272" t="n">
        <v>0</v>
      </c>
      <c r="K272" t="n">
        <v>0</v>
      </c>
      <c r="L272" t="n">
        <v>0</v>
      </c>
      <c r="M272" t="n">
        <v>0</v>
      </c>
      <c r="N272" t="n">
        <v>0</v>
      </c>
      <c r="O272" t="n">
        <v>0</v>
      </c>
      <c r="P272" t="n">
        <v>0</v>
      </c>
      <c r="Q272" t="n">
        <v>0</v>
      </c>
      <c r="R272" s="2" t="inlineStr"/>
    </row>
    <row r="273" ht="15" customHeight="1">
      <c r="A273" t="inlineStr">
        <is>
          <t>A 11581-2024</t>
        </is>
      </c>
      <c r="B273" s="1" t="n">
        <v>45373.34383101852</v>
      </c>
      <c r="C273" s="1" t="n">
        <v>46025</v>
      </c>
      <c r="D273" t="inlineStr">
        <is>
          <t>ÖREBRO LÄN</t>
        </is>
      </c>
      <c r="E273" t="inlineStr">
        <is>
          <t>LINDESBERG</t>
        </is>
      </c>
      <c r="F273" t="inlineStr">
        <is>
          <t>BillerudKorsnäs AB</t>
        </is>
      </c>
      <c r="G273" t="n">
        <v>3.9</v>
      </c>
      <c r="H273" t="n">
        <v>0</v>
      </c>
      <c r="I273" t="n">
        <v>0</v>
      </c>
      <c r="J273" t="n">
        <v>0</v>
      </c>
      <c r="K273" t="n">
        <v>0</v>
      </c>
      <c r="L273" t="n">
        <v>0</v>
      </c>
      <c r="M273" t="n">
        <v>0</v>
      </c>
      <c r="N273" t="n">
        <v>0</v>
      </c>
      <c r="O273" t="n">
        <v>0</v>
      </c>
      <c r="P273" t="n">
        <v>0</v>
      </c>
      <c r="Q273" t="n">
        <v>0</v>
      </c>
      <c r="R273" s="2" t="inlineStr"/>
    </row>
    <row r="274" ht="15" customHeight="1">
      <c r="A274" t="inlineStr">
        <is>
          <t>A 4997-2024</t>
        </is>
      </c>
      <c r="B274" s="1" t="n">
        <v>45329</v>
      </c>
      <c r="C274" s="1" t="n">
        <v>46025</v>
      </c>
      <c r="D274" t="inlineStr">
        <is>
          <t>ÖREBRO LÄN</t>
        </is>
      </c>
      <c r="E274" t="inlineStr">
        <is>
          <t>LINDESBERG</t>
        </is>
      </c>
      <c r="F274" t="inlineStr">
        <is>
          <t>BillerudKorsnäs AB</t>
        </is>
      </c>
      <c r="G274" t="n">
        <v>3</v>
      </c>
      <c r="H274" t="n">
        <v>0</v>
      </c>
      <c r="I274" t="n">
        <v>0</v>
      </c>
      <c r="J274" t="n">
        <v>0</v>
      </c>
      <c r="K274" t="n">
        <v>0</v>
      </c>
      <c r="L274" t="n">
        <v>0</v>
      </c>
      <c r="M274" t="n">
        <v>0</v>
      </c>
      <c r="N274" t="n">
        <v>0</v>
      </c>
      <c r="O274" t="n">
        <v>0</v>
      </c>
      <c r="P274" t="n">
        <v>0</v>
      </c>
      <c r="Q274" t="n">
        <v>0</v>
      </c>
      <c r="R274" s="2" t="inlineStr"/>
    </row>
    <row r="275" ht="15" customHeight="1">
      <c r="A275" t="inlineStr">
        <is>
          <t>A 10564-2023</t>
        </is>
      </c>
      <c r="B275" s="1" t="n">
        <v>44988</v>
      </c>
      <c r="C275" s="1" t="n">
        <v>46025</v>
      </c>
      <c r="D275" t="inlineStr">
        <is>
          <t>ÖREBRO LÄN</t>
        </is>
      </c>
      <c r="E275" t="inlineStr">
        <is>
          <t>LINDESBERG</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8834-2023</t>
        </is>
      </c>
      <c r="B276" s="1" t="n">
        <v>44978</v>
      </c>
      <c r="C276" s="1" t="n">
        <v>46025</v>
      </c>
      <c r="D276" t="inlineStr">
        <is>
          <t>ÖREBRO LÄN</t>
        </is>
      </c>
      <c r="E276" t="inlineStr">
        <is>
          <t>LINDESBERG</t>
        </is>
      </c>
      <c r="G276" t="n">
        <v>0.5</v>
      </c>
      <c r="H276" t="n">
        <v>0</v>
      </c>
      <c r="I276" t="n">
        <v>0</v>
      </c>
      <c r="J276" t="n">
        <v>0</v>
      </c>
      <c r="K276" t="n">
        <v>0</v>
      </c>
      <c r="L276" t="n">
        <v>0</v>
      </c>
      <c r="M276" t="n">
        <v>0</v>
      </c>
      <c r="N276" t="n">
        <v>0</v>
      </c>
      <c r="O276" t="n">
        <v>0</v>
      </c>
      <c r="P276" t="n">
        <v>0</v>
      </c>
      <c r="Q276" t="n">
        <v>0</v>
      </c>
      <c r="R276" s="2" t="inlineStr"/>
    </row>
    <row r="277" ht="15" customHeight="1">
      <c r="A277" t="inlineStr">
        <is>
          <t>A 13968-2025</t>
        </is>
      </c>
      <c r="B277" s="1" t="n">
        <v>45738.42981481482</v>
      </c>
      <c r="C277" s="1" t="n">
        <v>46025</v>
      </c>
      <c r="D277" t="inlineStr">
        <is>
          <t>ÖREBRO LÄN</t>
        </is>
      </c>
      <c r="E277" t="inlineStr">
        <is>
          <t>LINDESBERG</t>
        </is>
      </c>
      <c r="G277" t="n">
        <v>1.5</v>
      </c>
      <c r="H277" t="n">
        <v>0</v>
      </c>
      <c r="I277" t="n">
        <v>0</v>
      </c>
      <c r="J277" t="n">
        <v>0</v>
      </c>
      <c r="K277" t="n">
        <v>0</v>
      </c>
      <c r="L277" t="n">
        <v>0</v>
      </c>
      <c r="M277" t="n">
        <v>0</v>
      </c>
      <c r="N277" t="n">
        <v>0</v>
      </c>
      <c r="O277" t="n">
        <v>0</v>
      </c>
      <c r="P277" t="n">
        <v>0</v>
      </c>
      <c r="Q277" t="n">
        <v>0</v>
      </c>
      <c r="R277" s="2" t="inlineStr"/>
    </row>
    <row r="278" ht="15" customHeight="1">
      <c r="A278" t="inlineStr">
        <is>
          <t>A 47110-2024</t>
        </is>
      </c>
      <c r="B278" s="1" t="n">
        <v>45586.55451388889</v>
      </c>
      <c r="C278" s="1" t="n">
        <v>46025</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61222-2022</t>
        </is>
      </c>
      <c r="B279" s="1" t="n">
        <v>44909</v>
      </c>
      <c r="C279" s="1" t="n">
        <v>46025</v>
      </c>
      <c r="D279" t="inlineStr">
        <is>
          <t>ÖREBRO LÄN</t>
        </is>
      </c>
      <c r="E279" t="inlineStr">
        <is>
          <t>LINDESBERG</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72331-2021</t>
        </is>
      </c>
      <c r="B280" s="1" t="n">
        <v>44544</v>
      </c>
      <c r="C280" s="1" t="n">
        <v>46025</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45062-2022</t>
        </is>
      </c>
      <c r="B281" s="1" t="n">
        <v>44841</v>
      </c>
      <c r="C281" s="1" t="n">
        <v>46025</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36754-2024</t>
        </is>
      </c>
      <c r="B282" s="1" t="n">
        <v>45538.34796296297</v>
      </c>
      <c r="C282" s="1" t="n">
        <v>46025</v>
      </c>
      <c r="D282" t="inlineStr">
        <is>
          <t>ÖREBRO LÄN</t>
        </is>
      </c>
      <c r="E282" t="inlineStr">
        <is>
          <t>LINDESBERG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14185-2024</t>
        </is>
      </c>
      <c r="B283" s="1" t="n">
        <v>45393.3562962963</v>
      </c>
      <c r="C283" s="1" t="n">
        <v>46025</v>
      </c>
      <c r="D283" t="inlineStr">
        <is>
          <t>ÖREBRO LÄN</t>
        </is>
      </c>
      <c r="E283" t="inlineStr">
        <is>
          <t>LINDESBERG</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60941-2024</t>
        </is>
      </c>
      <c r="B284" s="1" t="n">
        <v>45645.3712037037</v>
      </c>
      <c r="C284" s="1" t="n">
        <v>46025</v>
      </c>
      <c r="D284" t="inlineStr">
        <is>
          <t>ÖREBRO LÄN</t>
        </is>
      </c>
      <c r="E284" t="inlineStr">
        <is>
          <t>LINDESBERG</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11218-2025</t>
        </is>
      </c>
      <c r="B285" s="1" t="n">
        <v>45726.33763888889</v>
      </c>
      <c r="C285" s="1" t="n">
        <v>46025</v>
      </c>
      <c r="D285" t="inlineStr">
        <is>
          <t>ÖREBRO LÄN</t>
        </is>
      </c>
      <c r="E285" t="inlineStr">
        <is>
          <t>LINDESBERG</t>
        </is>
      </c>
      <c r="G285" t="n">
        <v>0.4</v>
      </c>
      <c r="H285" t="n">
        <v>0</v>
      </c>
      <c r="I285" t="n">
        <v>0</v>
      </c>
      <c r="J285" t="n">
        <v>0</v>
      </c>
      <c r="K285" t="n">
        <v>0</v>
      </c>
      <c r="L285" t="n">
        <v>0</v>
      </c>
      <c r="M285" t="n">
        <v>0</v>
      </c>
      <c r="N285" t="n">
        <v>0</v>
      </c>
      <c r="O285" t="n">
        <v>0</v>
      </c>
      <c r="P285" t="n">
        <v>0</v>
      </c>
      <c r="Q285" t="n">
        <v>0</v>
      </c>
      <c r="R285" s="2" t="inlineStr"/>
    </row>
    <row r="286" ht="15" customHeight="1">
      <c r="A286" t="inlineStr">
        <is>
          <t>A 11220-2025</t>
        </is>
      </c>
      <c r="B286" s="1" t="n">
        <v>45726.34090277777</v>
      </c>
      <c r="C286" s="1" t="n">
        <v>46025</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43801-2024</t>
        </is>
      </c>
      <c r="B287" s="1" t="n">
        <v>45571.71736111111</v>
      </c>
      <c r="C287" s="1" t="n">
        <v>46025</v>
      </c>
      <c r="D287" t="inlineStr">
        <is>
          <t>ÖREBRO LÄN</t>
        </is>
      </c>
      <c r="E287" t="inlineStr">
        <is>
          <t>LINDESBERG</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50964-2023</t>
        </is>
      </c>
      <c r="B288" s="1" t="n">
        <v>45218.488125</v>
      </c>
      <c r="C288" s="1" t="n">
        <v>46025</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33428-2024</t>
        </is>
      </c>
      <c r="B289" s="1" t="n">
        <v>45519.52319444445</v>
      </c>
      <c r="C289" s="1" t="n">
        <v>46025</v>
      </c>
      <c r="D289" t="inlineStr">
        <is>
          <t>ÖREBRO LÄN</t>
        </is>
      </c>
      <c r="E289" t="inlineStr">
        <is>
          <t>LINDESBERG</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33282-2024</t>
        </is>
      </c>
      <c r="B290" s="1" t="n">
        <v>45518.71482638889</v>
      </c>
      <c r="C290" s="1" t="n">
        <v>46025</v>
      </c>
      <c r="D290" t="inlineStr">
        <is>
          <t>ÖREBRO LÄN</t>
        </is>
      </c>
      <c r="E290" t="inlineStr">
        <is>
          <t>LINDESBERG</t>
        </is>
      </c>
      <c r="G290" t="n">
        <v>7.5</v>
      </c>
      <c r="H290" t="n">
        <v>0</v>
      </c>
      <c r="I290" t="n">
        <v>0</v>
      </c>
      <c r="J290" t="n">
        <v>0</v>
      </c>
      <c r="K290" t="n">
        <v>0</v>
      </c>
      <c r="L290" t="n">
        <v>0</v>
      </c>
      <c r="M290" t="n">
        <v>0</v>
      </c>
      <c r="N290" t="n">
        <v>0</v>
      </c>
      <c r="O290" t="n">
        <v>0</v>
      </c>
      <c r="P290" t="n">
        <v>0</v>
      </c>
      <c r="Q290" t="n">
        <v>0</v>
      </c>
      <c r="R290" s="2" t="inlineStr"/>
    </row>
    <row r="291" ht="15" customHeight="1">
      <c r="A291" t="inlineStr">
        <is>
          <t>A 15895-2025</t>
        </is>
      </c>
      <c r="B291" s="1" t="n">
        <v>45749</v>
      </c>
      <c r="C291" s="1" t="n">
        <v>46025</v>
      </c>
      <c r="D291" t="inlineStr">
        <is>
          <t>ÖREBRO LÄN</t>
        </is>
      </c>
      <c r="E291" t="inlineStr">
        <is>
          <t>LINDESBERG</t>
        </is>
      </c>
      <c r="G291" t="n">
        <v>1</v>
      </c>
      <c r="H291" t="n">
        <v>0</v>
      </c>
      <c r="I291" t="n">
        <v>0</v>
      </c>
      <c r="J291" t="n">
        <v>0</v>
      </c>
      <c r="K291" t="n">
        <v>0</v>
      </c>
      <c r="L291" t="n">
        <v>0</v>
      </c>
      <c r="M291" t="n">
        <v>0</v>
      </c>
      <c r="N291" t="n">
        <v>0</v>
      </c>
      <c r="O291" t="n">
        <v>0</v>
      </c>
      <c r="P291" t="n">
        <v>0</v>
      </c>
      <c r="Q291" t="n">
        <v>0</v>
      </c>
      <c r="R291" s="2" t="inlineStr"/>
    </row>
    <row r="292" ht="15" customHeight="1">
      <c r="A292" t="inlineStr">
        <is>
          <t>A 15941-2025</t>
        </is>
      </c>
      <c r="B292" s="1" t="n">
        <v>45749</v>
      </c>
      <c r="C292" s="1" t="n">
        <v>46025</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64365-2023</t>
        </is>
      </c>
      <c r="B293" s="1" t="n">
        <v>45280</v>
      </c>
      <c r="C293" s="1" t="n">
        <v>46025</v>
      </c>
      <c r="D293" t="inlineStr">
        <is>
          <t>ÖREBRO LÄN</t>
        </is>
      </c>
      <c r="E293" t="inlineStr">
        <is>
          <t>LINDESBERG</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37738-2024</t>
        </is>
      </c>
      <c r="B294" s="1" t="n">
        <v>45541.66916666667</v>
      </c>
      <c r="C294" s="1" t="n">
        <v>46025</v>
      </c>
      <c r="D294" t="inlineStr">
        <is>
          <t>ÖREBRO LÄN</t>
        </is>
      </c>
      <c r="E294" t="inlineStr">
        <is>
          <t>LINDESBERG</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54862-2024</t>
        </is>
      </c>
      <c r="B295" s="1" t="n">
        <v>45618</v>
      </c>
      <c r="C295" s="1" t="n">
        <v>46025</v>
      </c>
      <c r="D295" t="inlineStr">
        <is>
          <t>ÖREBRO LÄN</t>
        </is>
      </c>
      <c r="E295" t="inlineStr">
        <is>
          <t>LINDESBERG</t>
        </is>
      </c>
      <c r="F295" t="inlineStr">
        <is>
          <t>Sveaskog</t>
        </is>
      </c>
      <c r="G295" t="n">
        <v>12.2</v>
      </c>
      <c r="H295" t="n">
        <v>0</v>
      </c>
      <c r="I295" t="n">
        <v>0</v>
      </c>
      <c r="J295" t="n">
        <v>0</v>
      </c>
      <c r="K295" t="n">
        <v>0</v>
      </c>
      <c r="L295" t="n">
        <v>0</v>
      </c>
      <c r="M295" t="n">
        <v>0</v>
      </c>
      <c r="N295" t="n">
        <v>0</v>
      </c>
      <c r="O295" t="n">
        <v>0</v>
      </c>
      <c r="P295" t="n">
        <v>0</v>
      </c>
      <c r="Q295" t="n">
        <v>0</v>
      </c>
      <c r="R295" s="2" t="inlineStr"/>
    </row>
    <row r="296" ht="15" customHeight="1">
      <c r="A296" t="inlineStr">
        <is>
          <t>A 73860-2021</t>
        </is>
      </c>
      <c r="B296" s="1" t="n">
        <v>44553.35407407407</v>
      </c>
      <c r="C296" s="1" t="n">
        <v>46025</v>
      </c>
      <c r="D296" t="inlineStr">
        <is>
          <t>ÖREBRO LÄN</t>
        </is>
      </c>
      <c r="E296" t="inlineStr">
        <is>
          <t>LINDESBERG</t>
        </is>
      </c>
      <c r="G296" t="n">
        <v>12.7</v>
      </c>
      <c r="H296" t="n">
        <v>0</v>
      </c>
      <c r="I296" t="n">
        <v>0</v>
      </c>
      <c r="J296" t="n">
        <v>0</v>
      </c>
      <c r="K296" t="n">
        <v>0</v>
      </c>
      <c r="L296" t="n">
        <v>0</v>
      </c>
      <c r="M296" t="n">
        <v>0</v>
      </c>
      <c r="N296" t="n">
        <v>0</v>
      </c>
      <c r="O296" t="n">
        <v>0</v>
      </c>
      <c r="P296" t="n">
        <v>0</v>
      </c>
      <c r="Q296" t="n">
        <v>0</v>
      </c>
      <c r="R296" s="2" t="inlineStr"/>
    </row>
    <row r="297" ht="15" customHeight="1">
      <c r="A297" t="inlineStr">
        <is>
          <t>A 1742-2022</t>
        </is>
      </c>
      <c r="B297" s="1" t="n">
        <v>44574.50425925926</v>
      </c>
      <c r="C297" s="1" t="n">
        <v>46025</v>
      </c>
      <c r="D297" t="inlineStr">
        <is>
          <t>ÖREBRO LÄN</t>
        </is>
      </c>
      <c r="E297" t="inlineStr">
        <is>
          <t>LINDESBERG</t>
        </is>
      </c>
      <c r="G297" t="n">
        <v>0.9</v>
      </c>
      <c r="H297" t="n">
        <v>0</v>
      </c>
      <c r="I297" t="n">
        <v>0</v>
      </c>
      <c r="J297" t="n">
        <v>0</v>
      </c>
      <c r="K297" t="n">
        <v>0</v>
      </c>
      <c r="L297" t="n">
        <v>0</v>
      </c>
      <c r="M297" t="n">
        <v>0</v>
      </c>
      <c r="N297" t="n">
        <v>0</v>
      </c>
      <c r="O297" t="n">
        <v>0</v>
      </c>
      <c r="P297" t="n">
        <v>0</v>
      </c>
      <c r="Q297" t="n">
        <v>0</v>
      </c>
      <c r="R297" s="2" t="inlineStr"/>
    </row>
    <row r="298" ht="15" customHeight="1">
      <c r="A298" t="inlineStr">
        <is>
          <t>A 59766-2022</t>
        </is>
      </c>
      <c r="B298" s="1" t="n">
        <v>44908.49152777778</v>
      </c>
      <c r="C298" s="1" t="n">
        <v>46025</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5358-2022</t>
        </is>
      </c>
      <c r="B299" s="1" t="n">
        <v>44594.84091435185</v>
      </c>
      <c r="C299" s="1" t="n">
        <v>46025</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14522-2025</t>
        </is>
      </c>
      <c r="B300" s="1" t="n">
        <v>45741.64491898148</v>
      </c>
      <c r="C300" s="1" t="n">
        <v>46025</v>
      </c>
      <c r="D300" t="inlineStr">
        <is>
          <t>ÖREBRO LÄN</t>
        </is>
      </c>
      <c r="E300" t="inlineStr">
        <is>
          <t>LINDESBERG</t>
        </is>
      </c>
      <c r="G300" t="n">
        <v>4.5</v>
      </c>
      <c r="H300" t="n">
        <v>0</v>
      </c>
      <c r="I300" t="n">
        <v>0</v>
      </c>
      <c r="J300" t="n">
        <v>0</v>
      </c>
      <c r="K300" t="n">
        <v>0</v>
      </c>
      <c r="L300" t="n">
        <v>0</v>
      </c>
      <c r="M300" t="n">
        <v>0</v>
      </c>
      <c r="N300" t="n">
        <v>0</v>
      </c>
      <c r="O300" t="n">
        <v>0</v>
      </c>
      <c r="P300" t="n">
        <v>0</v>
      </c>
      <c r="Q300" t="n">
        <v>0</v>
      </c>
      <c r="R300" s="2" t="inlineStr"/>
    </row>
    <row r="301" ht="15" customHeight="1">
      <c r="A301" t="inlineStr">
        <is>
          <t>A 13884-2023</t>
        </is>
      </c>
      <c r="B301" s="1" t="n">
        <v>45007</v>
      </c>
      <c r="C301" s="1" t="n">
        <v>46025</v>
      </c>
      <c r="D301" t="inlineStr">
        <is>
          <t>ÖREBRO LÄN</t>
        </is>
      </c>
      <c r="E301" t="inlineStr">
        <is>
          <t>LINDESBERG</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28040-2025</t>
        </is>
      </c>
      <c r="B302" s="1" t="n">
        <v>45817.6455324074</v>
      </c>
      <c r="C302" s="1" t="n">
        <v>46025</v>
      </c>
      <c r="D302" t="inlineStr">
        <is>
          <t>ÖREBRO LÄN</t>
        </is>
      </c>
      <c r="E302" t="inlineStr">
        <is>
          <t>LINDESBERG</t>
        </is>
      </c>
      <c r="G302" t="n">
        <v>1.4</v>
      </c>
      <c r="H302" t="n">
        <v>0</v>
      </c>
      <c r="I302" t="n">
        <v>0</v>
      </c>
      <c r="J302" t="n">
        <v>0</v>
      </c>
      <c r="K302" t="n">
        <v>0</v>
      </c>
      <c r="L302" t="n">
        <v>0</v>
      </c>
      <c r="M302" t="n">
        <v>0</v>
      </c>
      <c r="N302" t="n">
        <v>0</v>
      </c>
      <c r="O302" t="n">
        <v>0</v>
      </c>
      <c r="P302" t="n">
        <v>0</v>
      </c>
      <c r="Q302" t="n">
        <v>0</v>
      </c>
      <c r="R302" s="2" t="inlineStr"/>
    </row>
    <row r="303" ht="15" customHeight="1">
      <c r="A303" t="inlineStr">
        <is>
          <t>A 15324-2024</t>
        </is>
      </c>
      <c r="B303" s="1" t="n">
        <v>45400.66995370371</v>
      </c>
      <c r="C303" s="1" t="n">
        <v>46025</v>
      </c>
      <c r="D303" t="inlineStr">
        <is>
          <t>ÖREBRO LÄN</t>
        </is>
      </c>
      <c r="E303" t="inlineStr">
        <is>
          <t>LINDESBERG</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4539-2025</t>
        </is>
      </c>
      <c r="B304" s="1" t="n">
        <v>45687</v>
      </c>
      <c r="C304" s="1" t="n">
        <v>46025</v>
      </c>
      <c r="D304" t="inlineStr">
        <is>
          <t>ÖREBRO LÄN</t>
        </is>
      </c>
      <c r="E304" t="inlineStr">
        <is>
          <t>LINDESBERG</t>
        </is>
      </c>
      <c r="G304" t="n">
        <v>2.2</v>
      </c>
      <c r="H304" t="n">
        <v>0</v>
      </c>
      <c r="I304" t="n">
        <v>0</v>
      </c>
      <c r="J304" t="n">
        <v>0</v>
      </c>
      <c r="K304" t="n">
        <v>0</v>
      </c>
      <c r="L304" t="n">
        <v>0</v>
      </c>
      <c r="M304" t="n">
        <v>0</v>
      </c>
      <c r="N304" t="n">
        <v>0</v>
      </c>
      <c r="O304" t="n">
        <v>0</v>
      </c>
      <c r="P304" t="n">
        <v>0</v>
      </c>
      <c r="Q304" t="n">
        <v>0</v>
      </c>
      <c r="R304" s="2" t="inlineStr"/>
    </row>
    <row r="305" ht="15" customHeight="1">
      <c r="A305" t="inlineStr">
        <is>
          <t>A 44804-2024</t>
        </is>
      </c>
      <c r="B305" s="1" t="n">
        <v>45574.65189814815</v>
      </c>
      <c r="C305" s="1" t="n">
        <v>46025</v>
      </c>
      <c r="D305" t="inlineStr">
        <is>
          <t>ÖREBRO LÄN</t>
        </is>
      </c>
      <c r="E305" t="inlineStr">
        <is>
          <t>LINDESBERG</t>
        </is>
      </c>
      <c r="F305" t="inlineStr">
        <is>
          <t>Sveaskog</t>
        </is>
      </c>
      <c r="G305" t="n">
        <v>5.7</v>
      </c>
      <c r="H305" t="n">
        <v>0</v>
      </c>
      <c r="I305" t="n">
        <v>0</v>
      </c>
      <c r="J305" t="n">
        <v>0</v>
      </c>
      <c r="K305" t="n">
        <v>0</v>
      </c>
      <c r="L305" t="n">
        <v>0</v>
      </c>
      <c r="M305" t="n">
        <v>0</v>
      </c>
      <c r="N305" t="n">
        <v>0</v>
      </c>
      <c r="O305" t="n">
        <v>0</v>
      </c>
      <c r="P305" t="n">
        <v>0</v>
      </c>
      <c r="Q305" t="n">
        <v>0</v>
      </c>
      <c r="R305" s="2" t="inlineStr"/>
    </row>
    <row r="306" ht="15" customHeight="1">
      <c r="A306" t="inlineStr">
        <is>
          <t>A 28877-2025</t>
        </is>
      </c>
      <c r="B306" s="1" t="n">
        <v>45820.61684027778</v>
      </c>
      <c r="C306" s="1" t="n">
        <v>46025</v>
      </c>
      <c r="D306" t="inlineStr">
        <is>
          <t>ÖREBRO LÄN</t>
        </is>
      </c>
      <c r="E306" t="inlineStr">
        <is>
          <t>LINDESBERG</t>
        </is>
      </c>
      <c r="G306" t="n">
        <v>4.4</v>
      </c>
      <c r="H306" t="n">
        <v>0</v>
      </c>
      <c r="I306" t="n">
        <v>0</v>
      </c>
      <c r="J306" t="n">
        <v>0</v>
      </c>
      <c r="K306" t="n">
        <v>0</v>
      </c>
      <c r="L306" t="n">
        <v>0</v>
      </c>
      <c r="M306" t="n">
        <v>0</v>
      </c>
      <c r="N306" t="n">
        <v>0</v>
      </c>
      <c r="O306" t="n">
        <v>0</v>
      </c>
      <c r="P306" t="n">
        <v>0</v>
      </c>
      <c r="Q306" t="n">
        <v>0</v>
      </c>
      <c r="R306" s="2" t="inlineStr"/>
    </row>
    <row r="307" ht="15" customHeight="1">
      <c r="A307" t="inlineStr">
        <is>
          <t>A 47066-2023</t>
        </is>
      </c>
      <c r="B307" s="1" t="n">
        <v>45201</v>
      </c>
      <c r="C307" s="1" t="n">
        <v>46025</v>
      </c>
      <c r="D307" t="inlineStr">
        <is>
          <t>ÖREBRO LÄN</t>
        </is>
      </c>
      <c r="E307" t="inlineStr">
        <is>
          <t>LINDESBERG</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42410-2024</t>
        </is>
      </c>
      <c r="B308" s="1" t="n">
        <v>45565</v>
      </c>
      <c r="C308" s="1" t="n">
        <v>46025</v>
      </c>
      <c r="D308" t="inlineStr">
        <is>
          <t>ÖREBRO LÄN</t>
        </is>
      </c>
      <c r="E308" t="inlineStr">
        <is>
          <t>LINDESBERG</t>
        </is>
      </c>
      <c r="G308" t="n">
        <v>1.1</v>
      </c>
      <c r="H308" t="n">
        <v>0</v>
      </c>
      <c r="I308" t="n">
        <v>0</v>
      </c>
      <c r="J308" t="n">
        <v>0</v>
      </c>
      <c r="K308" t="n">
        <v>0</v>
      </c>
      <c r="L308" t="n">
        <v>0</v>
      </c>
      <c r="M308" t="n">
        <v>0</v>
      </c>
      <c r="N308" t="n">
        <v>0</v>
      </c>
      <c r="O308" t="n">
        <v>0</v>
      </c>
      <c r="P308" t="n">
        <v>0</v>
      </c>
      <c r="Q308" t="n">
        <v>0</v>
      </c>
      <c r="R308" s="2" t="inlineStr"/>
    </row>
    <row r="309" ht="15" customHeight="1">
      <c r="A309" t="inlineStr">
        <is>
          <t>A 55631-2022</t>
        </is>
      </c>
      <c r="B309" s="1" t="n">
        <v>44888.4577662037</v>
      </c>
      <c r="C309" s="1" t="n">
        <v>46025</v>
      </c>
      <c r="D309" t="inlineStr">
        <is>
          <t>ÖREBRO LÄN</t>
        </is>
      </c>
      <c r="E309" t="inlineStr">
        <is>
          <t>LINDESBERG</t>
        </is>
      </c>
      <c r="G309" t="n">
        <v>4.4</v>
      </c>
      <c r="H309" t="n">
        <v>0</v>
      </c>
      <c r="I309" t="n">
        <v>0</v>
      </c>
      <c r="J309" t="n">
        <v>0</v>
      </c>
      <c r="K309" t="n">
        <v>0</v>
      </c>
      <c r="L309" t="n">
        <v>0</v>
      </c>
      <c r="M309" t="n">
        <v>0</v>
      </c>
      <c r="N309" t="n">
        <v>0</v>
      </c>
      <c r="O309" t="n">
        <v>0</v>
      </c>
      <c r="P309" t="n">
        <v>0</v>
      </c>
      <c r="Q309" t="n">
        <v>0</v>
      </c>
      <c r="R309" s="2" t="inlineStr"/>
    </row>
    <row r="310" ht="15" customHeight="1">
      <c r="A310" t="inlineStr">
        <is>
          <t>A 42282-2024</t>
        </is>
      </c>
      <c r="B310" s="1" t="n">
        <v>45562.61158564815</v>
      </c>
      <c r="C310" s="1" t="n">
        <v>46025</v>
      </c>
      <c r="D310" t="inlineStr">
        <is>
          <t>ÖREBRO LÄN</t>
        </is>
      </c>
      <c r="E310" t="inlineStr">
        <is>
          <t>LINDESBERG</t>
        </is>
      </c>
      <c r="G310" t="n">
        <v>0.8</v>
      </c>
      <c r="H310" t="n">
        <v>0</v>
      </c>
      <c r="I310" t="n">
        <v>0</v>
      </c>
      <c r="J310" t="n">
        <v>0</v>
      </c>
      <c r="K310" t="n">
        <v>0</v>
      </c>
      <c r="L310" t="n">
        <v>0</v>
      </c>
      <c r="M310" t="n">
        <v>0</v>
      </c>
      <c r="N310" t="n">
        <v>0</v>
      </c>
      <c r="O310" t="n">
        <v>0</v>
      </c>
      <c r="P310" t="n">
        <v>0</v>
      </c>
      <c r="Q310" t="n">
        <v>0</v>
      </c>
      <c r="R310" s="2" t="inlineStr"/>
    </row>
    <row r="311" ht="15" customHeight="1">
      <c r="A311" t="inlineStr">
        <is>
          <t>A 42430-2024</t>
        </is>
      </c>
      <c r="B311" s="1" t="n">
        <v>45565.40700231482</v>
      </c>
      <c r="C311" s="1" t="n">
        <v>46025</v>
      </c>
      <c r="D311" t="inlineStr">
        <is>
          <t>ÖREBRO LÄN</t>
        </is>
      </c>
      <c r="E311" t="inlineStr">
        <is>
          <t>LINDESBERG</t>
        </is>
      </c>
      <c r="G311" t="n">
        <v>4</v>
      </c>
      <c r="H311" t="n">
        <v>0</v>
      </c>
      <c r="I311" t="n">
        <v>0</v>
      </c>
      <c r="J311" t="n">
        <v>0</v>
      </c>
      <c r="K311" t="n">
        <v>0</v>
      </c>
      <c r="L311" t="n">
        <v>0</v>
      </c>
      <c r="M311" t="n">
        <v>0</v>
      </c>
      <c r="N311" t="n">
        <v>0</v>
      </c>
      <c r="O311" t="n">
        <v>0</v>
      </c>
      <c r="P311" t="n">
        <v>0</v>
      </c>
      <c r="Q311" t="n">
        <v>0</v>
      </c>
      <c r="R311" s="2" t="inlineStr"/>
    </row>
    <row r="312" ht="15" customHeight="1">
      <c r="A312" t="inlineStr">
        <is>
          <t>A 28991-2025</t>
        </is>
      </c>
      <c r="B312" s="1" t="n">
        <v>45821.37199074074</v>
      </c>
      <c r="C312" s="1" t="n">
        <v>46025</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29037-2025</t>
        </is>
      </c>
      <c r="B313" s="1" t="n">
        <v>45821.44521990741</v>
      </c>
      <c r="C313" s="1" t="n">
        <v>46025</v>
      </c>
      <c r="D313" t="inlineStr">
        <is>
          <t>ÖREBRO LÄN</t>
        </is>
      </c>
      <c r="E313" t="inlineStr">
        <is>
          <t>LINDESBERG</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15822-2024</t>
        </is>
      </c>
      <c r="B314" s="1" t="n">
        <v>45404.68190972223</v>
      </c>
      <c r="C314" s="1" t="n">
        <v>46025</v>
      </c>
      <c r="D314" t="inlineStr">
        <is>
          <t>ÖREBRO LÄN</t>
        </is>
      </c>
      <c r="E314" t="inlineStr">
        <is>
          <t>LINDESBERG</t>
        </is>
      </c>
      <c r="F314" t="inlineStr">
        <is>
          <t>Sveaskog</t>
        </is>
      </c>
      <c r="G314" t="n">
        <v>6.7</v>
      </c>
      <c r="H314" t="n">
        <v>0</v>
      </c>
      <c r="I314" t="n">
        <v>0</v>
      </c>
      <c r="J314" t="n">
        <v>0</v>
      </c>
      <c r="K314" t="n">
        <v>0</v>
      </c>
      <c r="L314" t="n">
        <v>0</v>
      </c>
      <c r="M314" t="n">
        <v>0</v>
      </c>
      <c r="N314" t="n">
        <v>0</v>
      </c>
      <c r="O314" t="n">
        <v>0</v>
      </c>
      <c r="P314" t="n">
        <v>0</v>
      </c>
      <c r="Q314" t="n">
        <v>0</v>
      </c>
      <c r="R314" s="2" t="inlineStr"/>
    </row>
    <row r="315" ht="15" customHeight="1">
      <c r="A315" t="inlineStr">
        <is>
          <t>A 40038-2024</t>
        </is>
      </c>
      <c r="B315" s="1" t="n">
        <v>45553</v>
      </c>
      <c r="C315" s="1" t="n">
        <v>46025</v>
      </c>
      <c r="D315" t="inlineStr">
        <is>
          <t>ÖREBRO LÄN</t>
        </is>
      </c>
      <c r="E315" t="inlineStr">
        <is>
          <t>LINDESBERG</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8213-2023</t>
        </is>
      </c>
      <c r="B316" s="1" t="n">
        <v>44974.55693287037</v>
      </c>
      <c r="C316" s="1" t="n">
        <v>46025</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29051-2025</t>
        </is>
      </c>
      <c r="B317" s="1" t="n">
        <v>45821.46486111111</v>
      </c>
      <c r="C317" s="1" t="n">
        <v>46025</v>
      </c>
      <c r="D317" t="inlineStr">
        <is>
          <t>ÖREBRO LÄN</t>
        </is>
      </c>
      <c r="E317" t="inlineStr">
        <is>
          <t>LINDESBERG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29049-2025</t>
        </is>
      </c>
      <c r="B318" s="1" t="n">
        <v>45821.46135416667</v>
      </c>
      <c r="C318" s="1" t="n">
        <v>46025</v>
      </c>
      <c r="D318" t="inlineStr">
        <is>
          <t>ÖREBRO LÄN</t>
        </is>
      </c>
      <c r="E318" t="inlineStr">
        <is>
          <t>LINDESBERG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38534-2025</t>
        </is>
      </c>
      <c r="B319" s="1" t="n">
        <v>45884</v>
      </c>
      <c r="C319" s="1" t="n">
        <v>46025</v>
      </c>
      <c r="D319" t="inlineStr">
        <is>
          <t>ÖREBRO LÄN</t>
        </is>
      </c>
      <c r="E319" t="inlineStr">
        <is>
          <t>LINDESBERG</t>
        </is>
      </c>
      <c r="G319" t="n">
        <v>4.9</v>
      </c>
      <c r="H319" t="n">
        <v>0</v>
      </c>
      <c r="I319" t="n">
        <v>0</v>
      </c>
      <c r="J319" t="n">
        <v>0</v>
      </c>
      <c r="K319" t="n">
        <v>0</v>
      </c>
      <c r="L319" t="n">
        <v>0</v>
      </c>
      <c r="M319" t="n">
        <v>0</v>
      </c>
      <c r="N319" t="n">
        <v>0</v>
      </c>
      <c r="O319" t="n">
        <v>0</v>
      </c>
      <c r="P319" t="n">
        <v>0</v>
      </c>
      <c r="Q319" t="n">
        <v>0</v>
      </c>
      <c r="R319" s="2" t="inlineStr"/>
    </row>
    <row r="320" ht="15" customHeight="1">
      <c r="A320" t="inlineStr">
        <is>
          <t>A 3732-2023</t>
        </is>
      </c>
      <c r="B320" s="1" t="n">
        <v>44949</v>
      </c>
      <c r="C320" s="1" t="n">
        <v>46025</v>
      </c>
      <c r="D320" t="inlineStr">
        <is>
          <t>ÖREBRO LÄN</t>
        </is>
      </c>
      <c r="E320" t="inlineStr">
        <is>
          <t>LINDESBERG</t>
        </is>
      </c>
      <c r="G320" t="n">
        <v>3.3</v>
      </c>
      <c r="H320" t="n">
        <v>0</v>
      </c>
      <c r="I320" t="n">
        <v>0</v>
      </c>
      <c r="J320" t="n">
        <v>0</v>
      </c>
      <c r="K320" t="n">
        <v>0</v>
      </c>
      <c r="L320" t="n">
        <v>0</v>
      </c>
      <c r="M320" t="n">
        <v>0</v>
      </c>
      <c r="N320" t="n">
        <v>0</v>
      </c>
      <c r="O320" t="n">
        <v>0</v>
      </c>
      <c r="P320" t="n">
        <v>0</v>
      </c>
      <c r="Q320" t="n">
        <v>0</v>
      </c>
      <c r="R320" s="2" t="inlineStr"/>
    </row>
    <row r="321" ht="15" customHeight="1">
      <c r="A321" t="inlineStr">
        <is>
          <t>A 47155-2024</t>
        </is>
      </c>
      <c r="B321" s="1" t="n">
        <v>45586</v>
      </c>
      <c r="C321" s="1" t="n">
        <v>46025</v>
      </c>
      <c r="D321" t="inlineStr">
        <is>
          <t>ÖREBRO LÄN</t>
        </is>
      </c>
      <c r="E321" t="inlineStr">
        <is>
          <t>LINDESBERG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2569-2023</t>
        </is>
      </c>
      <c r="B322" s="1" t="n">
        <v>44943.73792824074</v>
      </c>
      <c r="C322" s="1" t="n">
        <v>46025</v>
      </c>
      <c r="D322" t="inlineStr">
        <is>
          <t>ÖREBRO LÄN</t>
        </is>
      </c>
      <c r="E322" t="inlineStr">
        <is>
          <t>LINDESBERG</t>
        </is>
      </c>
      <c r="G322" t="n">
        <v>2.3</v>
      </c>
      <c r="H322" t="n">
        <v>0</v>
      </c>
      <c r="I322" t="n">
        <v>0</v>
      </c>
      <c r="J322" t="n">
        <v>0</v>
      </c>
      <c r="K322" t="n">
        <v>0</v>
      </c>
      <c r="L322" t="n">
        <v>0</v>
      </c>
      <c r="M322" t="n">
        <v>0</v>
      </c>
      <c r="N322" t="n">
        <v>0</v>
      </c>
      <c r="O322" t="n">
        <v>0</v>
      </c>
      <c r="P322" t="n">
        <v>0</v>
      </c>
      <c r="Q322" t="n">
        <v>0</v>
      </c>
      <c r="R322" s="2" t="inlineStr"/>
    </row>
    <row r="323" ht="15" customHeight="1">
      <c r="A323" t="inlineStr">
        <is>
          <t>A 9966-2023</t>
        </is>
      </c>
      <c r="B323" s="1" t="n">
        <v>44979</v>
      </c>
      <c r="C323" s="1" t="n">
        <v>46025</v>
      </c>
      <c r="D323" t="inlineStr">
        <is>
          <t>ÖREBRO LÄN</t>
        </is>
      </c>
      <c r="E323" t="inlineStr">
        <is>
          <t>LINDESBERG</t>
        </is>
      </c>
      <c r="G323" t="n">
        <v>4.1</v>
      </c>
      <c r="H323" t="n">
        <v>0</v>
      </c>
      <c r="I323" t="n">
        <v>0</v>
      </c>
      <c r="J323" t="n">
        <v>0</v>
      </c>
      <c r="K323" t="n">
        <v>0</v>
      </c>
      <c r="L323" t="n">
        <v>0</v>
      </c>
      <c r="M323" t="n">
        <v>0</v>
      </c>
      <c r="N323" t="n">
        <v>0</v>
      </c>
      <c r="O323" t="n">
        <v>0</v>
      </c>
      <c r="P323" t="n">
        <v>0</v>
      </c>
      <c r="Q323" t="n">
        <v>0</v>
      </c>
      <c r="R323" s="2" t="inlineStr"/>
    </row>
    <row r="324" ht="15" customHeight="1">
      <c r="A324" t="inlineStr">
        <is>
          <t>A 30000-2025</t>
        </is>
      </c>
      <c r="B324" s="1" t="n">
        <v>45826.52024305556</v>
      </c>
      <c r="C324" s="1" t="n">
        <v>46025</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47069-2023</t>
        </is>
      </c>
      <c r="B325" s="1" t="n">
        <v>45201</v>
      </c>
      <c r="C325" s="1" t="n">
        <v>46025</v>
      </c>
      <c r="D325" t="inlineStr">
        <is>
          <t>ÖREBRO LÄN</t>
        </is>
      </c>
      <c r="E325" t="inlineStr">
        <is>
          <t>LINDESBERG</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47074-2023</t>
        </is>
      </c>
      <c r="B326" s="1" t="n">
        <v>45201.60283564815</v>
      </c>
      <c r="C326" s="1" t="n">
        <v>46025</v>
      </c>
      <c r="D326" t="inlineStr">
        <is>
          <t>ÖREBRO LÄN</t>
        </is>
      </c>
      <c r="E326" t="inlineStr">
        <is>
          <t>LINDESBERG</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38861-2025</t>
        </is>
      </c>
      <c r="B327" s="1" t="n">
        <v>45887.56101851852</v>
      </c>
      <c r="C327" s="1" t="n">
        <v>46025</v>
      </c>
      <c r="D327" t="inlineStr">
        <is>
          <t>ÖREBRO LÄN</t>
        </is>
      </c>
      <c r="E327" t="inlineStr">
        <is>
          <t>LINDESBERG</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53352-2023</t>
        </is>
      </c>
      <c r="B328" s="1" t="n">
        <v>45229.66262731481</v>
      </c>
      <c r="C328" s="1" t="n">
        <v>46025</v>
      </c>
      <c r="D328" t="inlineStr">
        <is>
          <t>ÖREBRO LÄN</t>
        </is>
      </c>
      <c r="E328" t="inlineStr">
        <is>
          <t>LINDESBERG</t>
        </is>
      </c>
      <c r="F328" t="inlineStr">
        <is>
          <t>Sveaskog</t>
        </is>
      </c>
      <c r="G328" t="n">
        <v>0.3</v>
      </c>
      <c r="H328" t="n">
        <v>0</v>
      </c>
      <c r="I328" t="n">
        <v>0</v>
      </c>
      <c r="J328" t="n">
        <v>0</v>
      </c>
      <c r="K328" t="n">
        <v>0</v>
      </c>
      <c r="L328" t="n">
        <v>0</v>
      </c>
      <c r="M328" t="n">
        <v>0</v>
      </c>
      <c r="N328" t="n">
        <v>0</v>
      </c>
      <c r="O328" t="n">
        <v>0</v>
      </c>
      <c r="P328" t="n">
        <v>0</v>
      </c>
      <c r="Q328" t="n">
        <v>0</v>
      </c>
      <c r="R328" s="2" t="inlineStr"/>
    </row>
    <row r="329" ht="15" customHeight="1">
      <c r="A329" t="inlineStr">
        <is>
          <t>A 15213-2025</t>
        </is>
      </c>
      <c r="B329" s="1" t="n">
        <v>45744.57851851852</v>
      </c>
      <c r="C329" s="1" t="n">
        <v>46025</v>
      </c>
      <c r="D329" t="inlineStr">
        <is>
          <t>ÖREBRO LÄN</t>
        </is>
      </c>
      <c r="E329" t="inlineStr">
        <is>
          <t>LINDESBERG</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46678-2023</t>
        </is>
      </c>
      <c r="B330" s="1" t="n">
        <v>45194</v>
      </c>
      <c r="C330" s="1" t="n">
        <v>46025</v>
      </c>
      <c r="D330" t="inlineStr">
        <is>
          <t>ÖREBRO LÄN</t>
        </is>
      </c>
      <c r="E330" t="inlineStr">
        <is>
          <t>LINDESBERG</t>
        </is>
      </c>
      <c r="G330" t="n">
        <v>1.4</v>
      </c>
      <c r="H330" t="n">
        <v>0</v>
      </c>
      <c r="I330" t="n">
        <v>0</v>
      </c>
      <c r="J330" t="n">
        <v>0</v>
      </c>
      <c r="K330" t="n">
        <v>0</v>
      </c>
      <c r="L330" t="n">
        <v>0</v>
      </c>
      <c r="M330" t="n">
        <v>0</v>
      </c>
      <c r="N330" t="n">
        <v>0</v>
      </c>
      <c r="O330" t="n">
        <v>0</v>
      </c>
      <c r="P330" t="n">
        <v>0</v>
      </c>
      <c r="Q330" t="n">
        <v>0</v>
      </c>
      <c r="R330" s="2" t="inlineStr"/>
    </row>
    <row r="331" ht="15" customHeight="1">
      <c r="A331" t="inlineStr">
        <is>
          <t>A 26967-2022</t>
        </is>
      </c>
      <c r="B331" s="1" t="n">
        <v>44740.66997685185</v>
      </c>
      <c r="C331" s="1" t="n">
        <v>46025</v>
      </c>
      <c r="D331" t="inlineStr">
        <is>
          <t>ÖREBRO LÄN</t>
        </is>
      </c>
      <c r="E331" t="inlineStr">
        <is>
          <t>LINDESBERG</t>
        </is>
      </c>
      <c r="G331" t="n">
        <v>1.6</v>
      </c>
      <c r="H331" t="n">
        <v>0</v>
      </c>
      <c r="I331" t="n">
        <v>0</v>
      </c>
      <c r="J331" t="n">
        <v>0</v>
      </c>
      <c r="K331" t="n">
        <v>0</v>
      </c>
      <c r="L331" t="n">
        <v>0</v>
      </c>
      <c r="M331" t="n">
        <v>0</v>
      </c>
      <c r="N331" t="n">
        <v>0</v>
      </c>
      <c r="O331" t="n">
        <v>0</v>
      </c>
      <c r="P331" t="n">
        <v>0</v>
      </c>
      <c r="Q331" t="n">
        <v>0</v>
      </c>
      <c r="R331" s="2" t="inlineStr"/>
    </row>
    <row r="332" ht="15" customHeight="1">
      <c r="A332" t="inlineStr">
        <is>
          <t>A 30341-2025</t>
        </is>
      </c>
      <c r="B332" s="1" t="n">
        <v>45827.51862268519</v>
      </c>
      <c r="C332" s="1" t="n">
        <v>46025</v>
      </c>
      <c r="D332" t="inlineStr">
        <is>
          <t>ÖREBRO LÄN</t>
        </is>
      </c>
      <c r="E332" t="inlineStr">
        <is>
          <t>LINDESBERG</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45978-2021</t>
        </is>
      </c>
      <c r="B333" s="1" t="n">
        <v>44441.70047453704</v>
      </c>
      <c r="C333" s="1" t="n">
        <v>46025</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14454-2024</t>
        </is>
      </c>
      <c r="B334" s="1" t="n">
        <v>45394.51289351852</v>
      </c>
      <c r="C334" s="1" t="n">
        <v>46025</v>
      </c>
      <c r="D334" t="inlineStr">
        <is>
          <t>ÖREBRO LÄN</t>
        </is>
      </c>
      <c r="E334" t="inlineStr">
        <is>
          <t>LINDESBERG</t>
        </is>
      </c>
      <c r="G334" t="n">
        <v>1.9</v>
      </c>
      <c r="H334" t="n">
        <v>0</v>
      </c>
      <c r="I334" t="n">
        <v>0</v>
      </c>
      <c r="J334" t="n">
        <v>0</v>
      </c>
      <c r="K334" t="n">
        <v>0</v>
      </c>
      <c r="L334" t="n">
        <v>0</v>
      </c>
      <c r="M334" t="n">
        <v>0</v>
      </c>
      <c r="N334" t="n">
        <v>0</v>
      </c>
      <c r="O334" t="n">
        <v>0</v>
      </c>
      <c r="P334" t="n">
        <v>0</v>
      </c>
      <c r="Q334" t="n">
        <v>0</v>
      </c>
      <c r="R334" s="2" t="inlineStr"/>
    </row>
    <row r="335" ht="15" customHeight="1">
      <c r="A335" t="inlineStr">
        <is>
          <t>A 40303-2024</t>
        </is>
      </c>
      <c r="B335" s="1" t="n">
        <v>45554.7158912037</v>
      </c>
      <c r="C335" s="1" t="n">
        <v>46025</v>
      </c>
      <c r="D335" t="inlineStr">
        <is>
          <t>ÖREBRO LÄN</t>
        </is>
      </c>
      <c r="E335" t="inlineStr">
        <is>
          <t>LINDESBERG</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46484-2024</t>
        </is>
      </c>
      <c r="B336" s="1" t="n">
        <v>45582.57542824074</v>
      </c>
      <c r="C336" s="1" t="n">
        <v>46025</v>
      </c>
      <c r="D336" t="inlineStr">
        <is>
          <t>ÖREBRO LÄN</t>
        </is>
      </c>
      <c r="E336" t="inlineStr">
        <is>
          <t>LINDESBERG</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19436-2025</t>
        </is>
      </c>
      <c r="B337" s="1" t="n">
        <v>45769.98449074074</v>
      </c>
      <c r="C337" s="1" t="n">
        <v>46025</v>
      </c>
      <c r="D337" t="inlineStr">
        <is>
          <t>ÖREBRO LÄN</t>
        </is>
      </c>
      <c r="E337" t="inlineStr">
        <is>
          <t>LINDESBERG</t>
        </is>
      </c>
      <c r="G337" t="n">
        <v>1.2</v>
      </c>
      <c r="H337" t="n">
        <v>0</v>
      </c>
      <c r="I337" t="n">
        <v>0</v>
      </c>
      <c r="J337" t="n">
        <v>0</v>
      </c>
      <c r="K337" t="n">
        <v>0</v>
      </c>
      <c r="L337" t="n">
        <v>0</v>
      </c>
      <c r="M337" t="n">
        <v>0</v>
      </c>
      <c r="N337" t="n">
        <v>0</v>
      </c>
      <c r="O337" t="n">
        <v>0</v>
      </c>
      <c r="P337" t="n">
        <v>0</v>
      </c>
      <c r="Q337" t="n">
        <v>0</v>
      </c>
      <c r="R337" s="2" t="inlineStr"/>
    </row>
    <row r="338" ht="15" customHeight="1">
      <c r="A338" t="inlineStr">
        <is>
          <t>A 39424-2025</t>
        </is>
      </c>
      <c r="B338" s="1" t="n">
        <v>45889.67290509259</v>
      </c>
      <c r="C338" s="1" t="n">
        <v>46025</v>
      </c>
      <c r="D338" t="inlineStr">
        <is>
          <t>ÖREBRO LÄN</t>
        </is>
      </c>
      <c r="E338" t="inlineStr">
        <is>
          <t>LINDESBERG</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39429-2025</t>
        </is>
      </c>
      <c r="B339" s="1" t="n">
        <v>45889.67577546297</v>
      </c>
      <c r="C339" s="1" t="n">
        <v>46025</v>
      </c>
      <c r="D339" t="inlineStr">
        <is>
          <t>ÖREBRO LÄN</t>
        </is>
      </c>
      <c r="E339" t="inlineStr">
        <is>
          <t>LINDESBERG</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39421-2025</t>
        </is>
      </c>
      <c r="B340" s="1" t="n">
        <v>45889.66935185185</v>
      </c>
      <c r="C340" s="1" t="n">
        <v>46025</v>
      </c>
      <c r="D340" t="inlineStr">
        <is>
          <t>ÖREBRO LÄN</t>
        </is>
      </c>
      <c r="E340" t="inlineStr">
        <is>
          <t>LINDESBERG</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30340-2025</t>
        </is>
      </c>
      <c r="B341" s="1" t="n">
        <v>45827.51753472222</v>
      </c>
      <c r="C341" s="1" t="n">
        <v>46025</v>
      </c>
      <c r="D341" t="inlineStr">
        <is>
          <t>ÖREBRO LÄN</t>
        </is>
      </c>
      <c r="E341" t="inlineStr">
        <is>
          <t>LINDESBERG</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30342-2025</t>
        </is>
      </c>
      <c r="B342" s="1" t="n">
        <v>45827.51956018519</v>
      </c>
      <c r="C342" s="1" t="n">
        <v>46025</v>
      </c>
      <c r="D342" t="inlineStr">
        <is>
          <t>ÖREBRO LÄN</t>
        </is>
      </c>
      <c r="E342" t="inlineStr">
        <is>
          <t>LINDESBERG</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30381-2025</t>
        </is>
      </c>
      <c r="B343" s="1" t="n">
        <v>45827.56939814815</v>
      </c>
      <c r="C343" s="1" t="n">
        <v>46025</v>
      </c>
      <c r="D343" t="inlineStr">
        <is>
          <t>ÖREBRO LÄN</t>
        </is>
      </c>
      <c r="E343" t="inlineStr">
        <is>
          <t>LINDESBERG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13350-2024</t>
        </is>
      </c>
      <c r="B344" s="1" t="n">
        <v>45387.24732638889</v>
      </c>
      <c r="C344" s="1" t="n">
        <v>46025</v>
      </c>
      <c r="D344" t="inlineStr">
        <is>
          <t>ÖREBRO LÄN</t>
        </is>
      </c>
      <c r="E344" t="inlineStr">
        <is>
          <t>LINDESBERG</t>
        </is>
      </c>
      <c r="G344" t="n">
        <v>4.1</v>
      </c>
      <c r="H344" t="n">
        <v>0</v>
      </c>
      <c r="I344" t="n">
        <v>0</v>
      </c>
      <c r="J344" t="n">
        <v>0</v>
      </c>
      <c r="K344" t="n">
        <v>0</v>
      </c>
      <c r="L344" t="n">
        <v>0</v>
      </c>
      <c r="M344" t="n">
        <v>0</v>
      </c>
      <c r="N344" t="n">
        <v>0</v>
      </c>
      <c r="O344" t="n">
        <v>0</v>
      </c>
      <c r="P344" t="n">
        <v>0</v>
      </c>
      <c r="Q344" t="n">
        <v>0</v>
      </c>
      <c r="R344" s="2" t="inlineStr"/>
    </row>
    <row r="345" ht="15" customHeight="1">
      <c r="A345" t="inlineStr">
        <is>
          <t>A 13351-2024</t>
        </is>
      </c>
      <c r="B345" s="1" t="n">
        <v>45387.2521875</v>
      </c>
      <c r="C345" s="1" t="n">
        <v>46025</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6752-2021</t>
        </is>
      </c>
      <c r="B346" s="1" t="n">
        <v>44236</v>
      </c>
      <c r="C346" s="1" t="n">
        <v>46025</v>
      </c>
      <c r="D346" t="inlineStr">
        <is>
          <t>ÖREBRO LÄN</t>
        </is>
      </c>
      <c r="E346" t="inlineStr">
        <is>
          <t>LINDESBERG</t>
        </is>
      </c>
      <c r="G346" t="n">
        <v>2.6</v>
      </c>
      <c r="H346" t="n">
        <v>0</v>
      </c>
      <c r="I346" t="n">
        <v>0</v>
      </c>
      <c r="J346" t="n">
        <v>0</v>
      </c>
      <c r="K346" t="n">
        <v>0</v>
      </c>
      <c r="L346" t="n">
        <v>0</v>
      </c>
      <c r="M346" t="n">
        <v>0</v>
      </c>
      <c r="N346" t="n">
        <v>0</v>
      </c>
      <c r="O346" t="n">
        <v>0</v>
      </c>
      <c r="P346" t="n">
        <v>0</v>
      </c>
      <c r="Q346" t="n">
        <v>0</v>
      </c>
      <c r="R346" s="2" t="inlineStr"/>
      <c r="U346">
        <f>HYPERLINK("https://klasma.github.io/Logging_1885/knärot/A 6752-2021 karta knärot.png", "A 6752-2021")</f>
        <v/>
      </c>
      <c r="V346">
        <f>HYPERLINK("https://klasma.github.io/Logging_1885/klagomål/A 6752-2021 FSC-klagomål.docx", "A 6752-2021")</f>
        <v/>
      </c>
      <c r="W346">
        <f>HYPERLINK("https://klasma.github.io/Logging_1885/klagomålsmail/A 6752-2021 FSC-klagomål mail.docx", "A 6752-2021")</f>
        <v/>
      </c>
      <c r="X346">
        <f>HYPERLINK("https://klasma.github.io/Logging_1885/tillsyn/A 6752-2021 tillsynsbegäran.docx", "A 6752-2021")</f>
        <v/>
      </c>
      <c r="Y346">
        <f>HYPERLINK("https://klasma.github.io/Logging_1885/tillsynsmail/A 6752-2021 tillsynsbegäran mail.docx", "A 6752-2021")</f>
        <v/>
      </c>
    </row>
    <row r="347" ht="15" customHeight="1">
      <c r="A347" t="inlineStr">
        <is>
          <t>A 37604-2025</t>
        </is>
      </c>
      <c r="B347" s="1" t="n">
        <v>45880</v>
      </c>
      <c r="C347" s="1" t="n">
        <v>46025</v>
      </c>
      <c r="D347" t="inlineStr">
        <is>
          <t>ÖREBRO LÄN</t>
        </is>
      </c>
      <c r="E347" t="inlineStr">
        <is>
          <t>LINDESBERG</t>
        </is>
      </c>
      <c r="G347" t="n">
        <v>6.3</v>
      </c>
      <c r="H347" t="n">
        <v>0</v>
      </c>
      <c r="I347" t="n">
        <v>0</v>
      </c>
      <c r="J347" t="n">
        <v>0</v>
      </c>
      <c r="K347" t="n">
        <v>0</v>
      </c>
      <c r="L347" t="n">
        <v>0</v>
      </c>
      <c r="M347" t="n">
        <v>0</v>
      </c>
      <c r="N347" t="n">
        <v>0</v>
      </c>
      <c r="O347" t="n">
        <v>0</v>
      </c>
      <c r="P347" t="n">
        <v>0</v>
      </c>
      <c r="Q347" t="n">
        <v>0</v>
      </c>
      <c r="R347" s="2" t="inlineStr"/>
    </row>
    <row r="348" ht="15" customHeight="1">
      <c r="A348" t="inlineStr">
        <is>
          <t>A 30339-2025</t>
        </is>
      </c>
      <c r="B348" s="1" t="n">
        <v>45827.51628472222</v>
      </c>
      <c r="C348" s="1" t="n">
        <v>46025</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12053-2024</t>
        </is>
      </c>
      <c r="B349" s="1" t="n">
        <v>45377.48265046296</v>
      </c>
      <c r="C349" s="1" t="n">
        <v>46025</v>
      </c>
      <c r="D349" t="inlineStr">
        <is>
          <t>ÖREBRO LÄN</t>
        </is>
      </c>
      <c r="E349" t="inlineStr">
        <is>
          <t>LINDESBERG</t>
        </is>
      </c>
      <c r="G349" t="n">
        <v>1.7</v>
      </c>
      <c r="H349" t="n">
        <v>0</v>
      </c>
      <c r="I349" t="n">
        <v>0</v>
      </c>
      <c r="J349" t="n">
        <v>0</v>
      </c>
      <c r="K349" t="n">
        <v>0</v>
      </c>
      <c r="L349" t="n">
        <v>0</v>
      </c>
      <c r="M349" t="n">
        <v>0</v>
      </c>
      <c r="N349" t="n">
        <v>0</v>
      </c>
      <c r="O349" t="n">
        <v>0</v>
      </c>
      <c r="P349" t="n">
        <v>0</v>
      </c>
      <c r="Q349" t="n">
        <v>0</v>
      </c>
      <c r="R349" s="2" t="inlineStr"/>
    </row>
    <row r="350" ht="15" customHeight="1">
      <c r="A350" t="inlineStr">
        <is>
          <t>A 31215-2025</t>
        </is>
      </c>
      <c r="B350" s="1" t="n">
        <v>45832.74418981482</v>
      </c>
      <c r="C350" s="1" t="n">
        <v>46025</v>
      </c>
      <c r="D350" t="inlineStr">
        <is>
          <t>ÖREBRO LÄN</t>
        </is>
      </c>
      <c r="E350" t="inlineStr">
        <is>
          <t>LINDESBERG</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39137-2024</t>
        </is>
      </c>
      <c r="B351" s="1" t="n">
        <v>45548</v>
      </c>
      <c r="C351" s="1" t="n">
        <v>46025</v>
      </c>
      <c r="D351" t="inlineStr">
        <is>
          <t>ÖREBRO LÄN</t>
        </is>
      </c>
      <c r="E351" t="inlineStr">
        <is>
          <t>LINDESBERG</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39152-2024</t>
        </is>
      </c>
      <c r="B352" s="1" t="n">
        <v>45548</v>
      </c>
      <c r="C352" s="1" t="n">
        <v>46025</v>
      </c>
      <c r="D352" t="inlineStr">
        <is>
          <t>ÖREBRO LÄN</t>
        </is>
      </c>
      <c r="E352" t="inlineStr">
        <is>
          <t>LINDESBERG</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40366-2025</t>
        </is>
      </c>
      <c r="B353" s="1" t="n">
        <v>45895.49994212963</v>
      </c>
      <c r="C353" s="1" t="n">
        <v>46025</v>
      </c>
      <c r="D353" t="inlineStr">
        <is>
          <t>ÖREBRO LÄN</t>
        </is>
      </c>
      <c r="E353" t="inlineStr">
        <is>
          <t>LINDESBERG</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34029-2024</t>
        </is>
      </c>
      <c r="B354" s="1" t="n">
        <v>45523</v>
      </c>
      <c r="C354" s="1" t="n">
        <v>46025</v>
      </c>
      <c r="D354" t="inlineStr">
        <is>
          <t>ÖREBRO LÄN</t>
        </is>
      </c>
      <c r="E354" t="inlineStr">
        <is>
          <t>LINDESBERG</t>
        </is>
      </c>
      <c r="G354" t="n">
        <v>1.9</v>
      </c>
      <c r="H354" t="n">
        <v>0</v>
      </c>
      <c r="I354" t="n">
        <v>0</v>
      </c>
      <c r="J354" t="n">
        <v>0</v>
      </c>
      <c r="K354" t="n">
        <v>0</v>
      </c>
      <c r="L354" t="n">
        <v>0</v>
      </c>
      <c r="M354" t="n">
        <v>0</v>
      </c>
      <c r="N354" t="n">
        <v>0</v>
      </c>
      <c r="O354" t="n">
        <v>0</v>
      </c>
      <c r="P354" t="n">
        <v>0</v>
      </c>
      <c r="Q354" t="n">
        <v>0</v>
      </c>
      <c r="R354" s="2" t="inlineStr"/>
    </row>
    <row r="355" ht="15" customHeight="1">
      <c r="A355" t="inlineStr">
        <is>
          <t>A 43529-2024</t>
        </is>
      </c>
      <c r="B355" s="1" t="n">
        <v>45569.35209490741</v>
      </c>
      <c r="C355" s="1" t="n">
        <v>46025</v>
      </c>
      <c r="D355" t="inlineStr">
        <is>
          <t>ÖREBRO LÄN</t>
        </is>
      </c>
      <c r="E355" t="inlineStr">
        <is>
          <t>LINDESBERG</t>
        </is>
      </c>
      <c r="G355" t="n">
        <v>2.8</v>
      </c>
      <c r="H355" t="n">
        <v>0</v>
      </c>
      <c r="I355" t="n">
        <v>0</v>
      </c>
      <c r="J355" t="n">
        <v>0</v>
      </c>
      <c r="K355" t="n">
        <v>0</v>
      </c>
      <c r="L355" t="n">
        <v>0</v>
      </c>
      <c r="M355" t="n">
        <v>0</v>
      </c>
      <c r="N355" t="n">
        <v>0</v>
      </c>
      <c r="O355" t="n">
        <v>0</v>
      </c>
      <c r="P355" t="n">
        <v>0</v>
      </c>
      <c r="Q355" t="n">
        <v>0</v>
      </c>
      <c r="R355" s="2" t="inlineStr"/>
    </row>
    <row r="356" ht="15" customHeight="1">
      <c r="A356" t="inlineStr">
        <is>
          <t>A 31014-2025</t>
        </is>
      </c>
      <c r="B356" s="1" t="n">
        <v>45832.51028935185</v>
      </c>
      <c r="C356" s="1" t="n">
        <v>46025</v>
      </c>
      <c r="D356" t="inlineStr">
        <is>
          <t>ÖREBRO LÄN</t>
        </is>
      </c>
      <c r="E356" t="inlineStr">
        <is>
          <t>LINDESBERG</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40357-2025</t>
        </is>
      </c>
      <c r="B357" s="1" t="n">
        <v>45895.48927083334</v>
      </c>
      <c r="C357" s="1" t="n">
        <v>46025</v>
      </c>
      <c r="D357" t="inlineStr">
        <is>
          <t>ÖREBRO LÄN</t>
        </is>
      </c>
      <c r="E357" t="inlineStr">
        <is>
          <t>LINDESBERG</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40351-2025</t>
        </is>
      </c>
      <c r="B358" s="1" t="n">
        <v>45895.48394675926</v>
      </c>
      <c r="C358" s="1" t="n">
        <v>46025</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31049-2025</t>
        </is>
      </c>
      <c r="B359" s="1" t="n">
        <v>45832.55810185185</v>
      </c>
      <c r="C359" s="1" t="n">
        <v>46025</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46607-2021</t>
        </is>
      </c>
      <c r="B360" s="1" t="n">
        <v>44445.55690972223</v>
      </c>
      <c r="C360" s="1" t="n">
        <v>46025</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40347-2025</t>
        </is>
      </c>
      <c r="B361" s="1" t="n">
        <v>45895.4790625</v>
      </c>
      <c r="C361" s="1" t="n">
        <v>46025</v>
      </c>
      <c r="D361" t="inlineStr">
        <is>
          <t>ÖREBRO LÄN</t>
        </is>
      </c>
      <c r="E361" t="inlineStr">
        <is>
          <t>LINDESBERG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31000-2025</t>
        </is>
      </c>
      <c r="B362" s="1" t="n">
        <v>45832.49325231482</v>
      </c>
      <c r="C362" s="1" t="n">
        <v>46025</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31018-2025</t>
        </is>
      </c>
      <c r="B363" s="1" t="n">
        <v>45832.51255787037</v>
      </c>
      <c r="C363" s="1" t="n">
        <v>46025</v>
      </c>
      <c r="D363" t="inlineStr">
        <is>
          <t>ÖREBRO LÄN</t>
        </is>
      </c>
      <c r="E363" t="inlineStr">
        <is>
          <t>LINDESBERG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40346-2025</t>
        </is>
      </c>
      <c r="B364" s="1" t="n">
        <v>45895.47704861111</v>
      </c>
      <c r="C364" s="1" t="n">
        <v>46025</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27051-2023</t>
        </is>
      </c>
      <c r="B365" s="1" t="n">
        <v>45095</v>
      </c>
      <c r="C365" s="1" t="n">
        <v>46025</v>
      </c>
      <c r="D365" t="inlineStr">
        <is>
          <t>ÖREBRO LÄN</t>
        </is>
      </c>
      <c r="E365" t="inlineStr">
        <is>
          <t>LINDESBERG</t>
        </is>
      </c>
      <c r="G365" t="n">
        <v>1.4</v>
      </c>
      <c r="H365" t="n">
        <v>0</v>
      </c>
      <c r="I365" t="n">
        <v>0</v>
      </c>
      <c r="J365" t="n">
        <v>0</v>
      </c>
      <c r="K365" t="n">
        <v>0</v>
      </c>
      <c r="L365" t="n">
        <v>0</v>
      </c>
      <c r="M365" t="n">
        <v>0</v>
      </c>
      <c r="N365" t="n">
        <v>0</v>
      </c>
      <c r="O365" t="n">
        <v>0</v>
      </c>
      <c r="P365" t="n">
        <v>0</v>
      </c>
      <c r="Q365" t="n">
        <v>0</v>
      </c>
      <c r="R365" s="2" t="inlineStr"/>
    </row>
    <row r="366" ht="15" customHeight="1">
      <c r="A366" t="inlineStr">
        <is>
          <t>A 27052-2023</t>
        </is>
      </c>
      <c r="B366" s="1" t="n">
        <v>45095</v>
      </c>
      <c r="C366" s="1" t="n">
        <v>46025</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31003-2025</t>
        </is>
      </c>
      <c r="B367" s="1" t="n">
        <v>45832.49579861111</v>
      </c>
      <c r="C367" s="1" t="n">
        <v>46025</v>
      </c>
      <c r="D367" t="inlineStr">
        <is>
          <t>ÖREBRO LÄN</t>
        </is>
      </c>
      <c r="E367" t="inlineStr">
        <is>
          <t>LINDESBERG</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58710-2023</t>
        </is>
      </c>
      <c r="B368" s="1" t="n">
        <v>45251.696875</v>
      </c>
      <c r="C368" s="1" t="n">
        <v>46025</v>
      </c>
      <c r="D368" t="inlineStr">
        <is>
          <t>ÖREBRO LÄN</t>
        </is>
      </c>
      <c r="E368" t="inlineStr">
        <is>
          <t>LINDESBERG</t>
        </is>
      </c>
      <c r="G368" t="n">
        <v>6.3</v>
      </c>
      <c r="H368" t="n">
        <v>0</v>
      </c>
      <c r="I368" t="n">
        <v>0</v>
      </c>
      <c r="J368" t="n">
        <v>0</v>
      </c>
      <c r="K368" t="n">
        <v>0</v>
      </c>
      <c r="L368" t="n">
        <v>0</v>
      </c>
      <c r="M368" t="n">
        <v>0</v>
      </c>
      <c r="N368" t="n">
        <v>0</v>
      </c>
      <c r="O368" t="n">
        <v>0</v>
      </c>
      <c r="P368" t="n">
        <v>0</v>
      </c>
      <c r="Q368" t="n">
        <v>0</v>
      </c>
      <c r="R368" s="2" t="inlineStr"/>
    </row>
    <row r="369" ht="15" customHeight="1">
      <c r="A369" t="inlineStr">
        <is>
          <t>A 5772-2023</t>
        </is>
      </c>
      <c r="B369" s="1" t="n">
        <v>44963.37709490741</v>
      </c>
      <c r="C369" s="1" t="n">
        <v>46025</v>
      </c>
      <c r="D369" t="inlineStr">
        <is>
          <t>ÖREBRO LÄN</t>
        </is>
      </c>
      <c r="E369" t="inlineStr">
        <is>
          <t>LINDESBERG</t>
        </is>
      </c>
      <c r="G369" t="n">
        <v>3</v>
      </c>
      <c r="H369" t="n">
        <v>0</v>
      </c>
      <c r="I369" t="n">
        <v>0</v>
      </c>
      <c r="J369" t="n">
        <v>0</v>
      </c>
      <c r="K369" t="n">
        <v>0</v>
      </c>
      <c r="L369" t="n">
        <v>0</v>
      </c>
      <c r="M369" t="n">
        <v>0</v>
      </c>
      <c r="N369" t="n">
        <v>0</v>
      </c>
      <c r="O369" t="n">
        <v>0</v>
      </c>
      <c r="P369" t="n">
        <v>0</v>
      </c>
      <c r="Q369" t="n">
        <v>0</v>
      </c>
      <c r="R369" s="2" t="inlineStr"/>
    </row>
    <row r="370" ht="15" customHeight="1">
      <c r="A370" t="inlineStr">
        <is>
          <t>A 31085-2025</t>
        </is>
      </c>
      <c r="B370" s="1" t="n">
        <v>45832.5902662037</v>
      </c>
      <c r="C370" s="1" t="n">
        <v>46025</v>
      </c>
      <c r="D370" t="inlineStr">
        <is>
          <t>ÖREBRO LÄN</t>
        </is>
      </c>
      <c r="E370" t="inlineStr">
        <is>
          <t>LINDESBERG</t>
        </is>
      </c>
      <c r="F370" t="inlineStr">
        <is>
          <t>Sveaskog</t>
        </is>
      </c>
      <c r="G370" t="n">
        <v>0.3</v>
      </c>
      <c r="H370" t="n">
        <v>0</v>
      </c>
      <c r="I370" t="n">
        <v>0</v>
      </c>
      <c r="J370" t="n">
        <v>0</v>
      </c>
      <c r="K370" t="n">
        <v>0</v>
      </c>
      <c r="L370" t="n">
        <v>0</v>
      </c>
      <c r="M370" t="n">
        <v>0</v>
      </c>
      <c r="N370" t="n">
        <v>0</v>
      </c>
      <c r="O370" t="n">
        <v>0</v>
      </c>
      <c r="P370" t="n">
        <v>0</v>
      </c>
      <c r="Q370" t="n">
        <v>0</v>
      </c>
      <c r="R370" s="2" t="inlineStr"/>
    </row>
    <row r="371" ht="15" customHeight="1">
      <c r="A371" t="inlineStr">
        <is>
          <t>A 20210-2024</t>
        </is>
      </c>
      <c r="B371" s="1" t="n">
        <v>45434.65854166666</v>
      </c>
      <c r="C371" s="1" t="n">
        <v>46025</v>
      </c>
      <c r="D371" t="inlineStr">
        <is>
          <t>ÖREBRO LÄN</t>
        </is>
      </c>
      <c r="E371" t="inlineStr">
        <is>
          <t>LINDESBERG</t>
        </is>
      </c>
      <c r="G371" t="n">
        <v>5.5</v>
      </c>
      <c r="H371" t="n">
        <v>0</v>
      </c>
      <c r="I371" t="n">
        <v>0</v>
      </c>
      <c r="J371" t="n">
        <v>0</v>
      </c>
      <c r="K371" t="n">
        <v>0</v>
      </c>
      <c r="L371" t="n">
        <v>0</v>
      </c>
      <c r="M371" t="n">
        <v>0</v>
      </c>
      <c r="N371" t="n">
        <v>0</v>
      </c>
      <c r="O371" t="n">
        <v>0</v>
      </c>
      <c r="P371" t="n">
        <v>0</v>
      </c>
      <c r="Q371" t="n">
        <v>0</v>
      </c>
      <c r="R371" s="2" t="inlineStr"/>
    </row>
    <row r="372" ht="15" customHeight="1">
      <c r="A372" t="inlineStr">
        <is>
          <t>A 41027-2025</t>
        </is>
      </c>
      <c r="B372" s="1" t="n">
        <v>45898.37138888889</v>
      </c>
      <c r="C372" s="1" t="n">
        <v>46025</v>
      </c>
      <c r="D372" t="inlineStr">
        <is>
          <t>ÖREBRO LÄN</t>
        </is>
      </c>
      <c r="E372" t="inlineStr">
        <is>
          <t>LINDESBERG</t>
        </is>
      </c>
      <c r="G372" t="n">
        <v>4.7</v>
      </c>
      <c r="H372" t="n">
        <v>0</v>
      </c>
      <c r="I372" t="n">
        <v>0</v>
      </c>
      <c r="J372" t="n">
        <v>0</v>
      </c>
      <c r="K372" t="n">
        <v>0</v>
      </c>
      <c r="L372" t="n">
        <v>0</v>
      </c>
      <c r="M372" t="n">
        <v>0</v>
      </c>
      <c r="N372" t="n">
        <v>0</v>
      </c>
      <c r="O372" t="n">
        <v>0</v>
      </c>
      <c r="P372" t="n">
        <v>0</v>
      </c>
      <c r="Q372" t="n">
        <v>0</v>
      </c>
      <c r="R372" s="2" t="inlineStr"/>
    </row>
    <row r="373" ht="15" customHeight="1">
      <c r="A373" t="inlineStr">
        <is>
          <t>A 26340-2022</t>
        </is>
      </c>
      <c r="B373" s="1" t="n">
        <v>44735.62539351852</v>
      </c>
      <c r="C373" s="1" t="n">
        <v>46025</v>
      </c>
      <c r="D373" t="inlineStr">
        <is>
          <t>ÖREBRO LÄN</t>
        </is>
      </c>
      <c r="E373" t="inlineStr">
        <is>
          <t>LINDESBERG</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23536-2023</t>
        </is>
      </c>
      <c r="B374" s="1" t="n">
        <v>45077</v>
      </c>
      <c r="C374" s="1" t="n">
        <v>46025</v>
      </c>
      <c r="D374" t="inlineStr">
        <is>
          <t>ÖREBRO LÄN</t>
        </is>
      </c>
      <c r="E374" t="inlineStr">
        <is>
          <t>LINDESBERG</t>
        </is>
      </c>
      <c r="F374" t="inlineStr">
        <is>
          <t>Kyrkan</t>
        </is>
      </c>
      <c r="G374" t="n">
        <v>0.5</v>
      </c>
      <c r="H374" t="n">
        <v>0</v>
      </c>
      <c r="I374" t="n">
        <v>0</v>
      </c>
      <c r="J374" t="n">
        <v>0</v>
      </c>
      <c r="K374" t="n">
        <v>0</v>
      </c>
      <c r="L374" t="n">
        <v>0</v>
      </c>
      <c r="M374" t="n">
        <v>0</v>
      </c>
      <c r="N374" t="n">
        <v>0</v>
      </c>
      <c r="O374" t="n">
        <v>0</v>
      </c>
      <c r="P374" t="n">
        <v>0</v>
      </c>
      <c r="Q374" t="n">
        <v>0</v>
      </c>
      <c r="R374" s="2" t="inlineStr"/>
    </row>
    <row r="375" ht="15" customHeight="1">
      <c r="A375" t="inlineStr">
        <is>
          <t>A 61969-2023</t>
        </is>
      </c>
      <c r="B375" s="1" t="n">
        <v>45266.58394675926</v>
      </c>
      <c r="C375" s="1" t="n">
        <v>46025</v>
      </c>
      <c r="D375" t="inlineStr">
        <is>
          <t>ÖREBRO LÄN</t>
        </is>
      </c>
      <c r="E375" t="inlineStr">
        <is>
          <t>LINDESBERG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41653-2025</t>
        </is>
      </c>
      <c r="B376" s="1" t="n">
        <v>45902.3406712963</v>
      </c>
      <c r="C376" s="1" t="n">
        <v>46025</v>
      </c>
      <c r="D376" t="inlineStr">
        <is>
          <t>ÖREBRO LÄN</t>
        </is>
      </c>
      <c r="E376" t="inlineStr">
        <is>
          <t>LINDESBERG</t>
        </is>
      </c>
      <c r="G376" t="n">
        <v>1.5</v>
      </c>
      <c r="H376" t="n">
        <v>0</v>
      </c>
      <c r="I376" t="n">
        <v>0</v>
      </c>
      <c r="J376" t="n">
        <v>0</v>
      </c>
      <c r="K376" t="n">
        <v>0</v>
      </c>
      <c r="L376" t="n">
        <v>0</v>
      </c>
      <c r="M376" t="n">
        <v>0</v>
      </c>
      <c r="N376" t="n">
        <v>0</v>
      </c>
      <c r="O376" t="n">
        <v>0</v>
      </c>
      <c r="P376" t="n">
        <v>0</v>
      </c>
      <c r="Q376" t="n">
        <v>0</v>
      </c>
      <c r="R376" s="2" t="inlineStr"/>
    </row>
    <row r="377" ht="15" customHeight="1">
      <c r="A377" t="inlineStr">
        <is>
          <t>A 31213-2025</t>
        </is>
      </c>
      <c r="B377" s="1" t="n">
        <v>45832.72778935185</v>
      </c>
      <c r="C377" s="1" t="n">
        <v>46025</v>
      </c>
      <c r="D377" t="inlineStr">
        <is>
          <t>ÖREBRO LÄN</t>
        </is>
      </c>
      <c r="E377" t="inlineStr">
        <is>
          <t>LINDESBERG</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6962-2023</t>
        </is>
      </c>
      <c r="B378" s="1" t="n">
        <v>44967.60165509259</v>
      </c>
      <c r="C378" s="1" t="n">
        <v>46025</v>
      </c>
      <c r="D378" t="inlineStr">
        <is>
          <t>ÖREBRO LÄN</t>
        </is>
      </c>
      <c r="E378" t="inlineStr">
        <is>
          <t>LINDESBERG</t>
        </is>
      </c>
      <c r="G378" t="n">
        <v>11.4</v>
      </c>
      <c r="H378" t="n">
        <v>0</v>
      </c>
      <c r="I378" t="n">
        <v>0</v>
      </c>
      <c r="J378" t="n">
        <v>0</v>
      </c>
      <c r="K378" t="n">
        <v>0</v>
      </c>
      <c r="L378" t="n">
        <v>0</v>
      </c>
      <c r="M378" t="n">
        <v>0</v>
      </c>
      <c r="N378" t="n">
        <v>0</v>
      </c>
      <c r="O378" t="n">
        <v>0</v>
      </c>
      <c r="P378" t="n">
        <v>0</v>
      </c>
      <c r="Q378" t="n">
        <v>0</v>
      </c>
      <c r="R378" s="2" t="inlineStr"/>
    </row>
    <row r="379" ht="15" customHeight="1">
      <c r="A379" t="inlineStr">
        <is>
          <t>A 41340-2025</t>
        </is>
      </c>
      <c r="B379" s="1" t="n">
        <v>45899.38057870371</v>
      </c>
      <c r="C379" s="1" t="n">
        <v>46025</v>
      </c>
      <c r="D379" t="inlineStr">
        <is>
          <t>ÖREBRO LÄN</t>
        </is>
      </c>
      <c r="E379" t="inlineStr">
        <is>
          <t>LINDESBERG</t>
        </is>
      </c>
      <c r="G379" t="n">
        <v>16.5</v>
      </c>
      <c r="H379" t="n">
        <v>0</v>
      </c>
      <c r="I379" t="n">
        <v>0</v>
      </c>
      <c r="J379" t="n">
        <v>0</v>
      </c>
      <c r="K379" t="n">
        <v>0</v>
      </c>
      <c r="L379" t="n">
        <v>0</v>
      </c>
      <c r="M379" t="n">
        <v>0</v>
      </c>
      <c r="N379" t="n">
        <v>0</v>
      </c>
      <c r="O379" t="n">
        <v>0</v>
      </c>
      <c r="P379" t="n">
        <v>0</v>
      </c>
      <c r="Q379" t="n">
        <v>0</v>
      </c>
      <c r="R379" s="2" t="inlineStr"/>
    </row>
    <row r="380" ht="15" customHeight="1">
      <c r="A380" t="inlineStr">
        <is>
          <t>A 12562-2021</t>
        </is>
      </c>
      <c r="B380" s="1" t="n">
        <v>44267</v>
      </c>
      <c r="C380" s="1" t="n">
        <v>46025</v>
      </c>
      <c r="D380" t="inlineStr">
        <is>
          <t>ÖREBRO LÄN</t>
        </is>
      </c>
      <c r="E380" t="inlineStr">
        <is>
          <t>LINDESBERG</t>
        </is>
      </c>
      <c r="G380" t="n">
        <v>30.1</v>
      </c>
      <c r="H380" t="n">
        <v>0</v>
      </c>
      <c r="I380" t="n">
        <v>0</v>
      </c>
      <c r="J380" t="n">
        <v>0</v>
      </c>
      <c r="K380" t="n">
        <v>0</v>
      </c>
      <c r="L380" t="n">
        <v>0</v>
      </c>
      <c r="M380" t="n">
        <v>0</v>
      </c>
      <c r="N380" t="n">
        <v>0</v>
      </c>
      <c r="O380" t="n">
        <v>0</v>
      </c>
      <c r="P380" t="n">
        <v>0</v>
      </c>
      <c r="Q380" t="n">
        <v>0</v>
      </c>
      <c r="R380" s="2" t="inlineStr"/>
    </row>
    <row r="381" ht="15" customHeight="1">
      <c r="A381" t="inlineStr">
        <is>
          <t>A 7180-2023</t>
        </is>
      </c>
      <c r="B381" s="1" t="n">
        <v>44970.51849537037</v>
      </c>
      <c r="C381" s="1" t="n">
        <v>46025</v>
      </c>
      <c r="D381" t="inlineStr">
        <is>
          <t>ÖREBRO LÄN</t>
        </is>
      </c>
      <c r="E381" t="inlineStr">
        <is>
          <t>LINDESBERG</t>
        </is>
      </c>
      <c r="G381" t="n">
        <v>1.4</v>
      </c>
      <c r="H381" t="n">
        <v>0</v>
      </c>
      <c r="I381" t="n">
        <v>0</v>
      </c>
      <c r="J381" t="n">
        <v>0</v>
      </c>
      <c r="K381" t="n">
        <v>0</v>
      </c>
      <c r="L381" t="n">
        <v>0</v>
      </c>
      <c r="M381" t="n">
        <v>0</v>
      </c>
      <c r="N381" t="n">
        <v>0</v>
      </c>
      <c r="O381" t="n">
        <v>0</v>
      </c>
      <c r="P381" t="n">
        <v>0</v>
      </c>
      <c r="Q381" t="n">
        <v>0</v>
      </c>
      <c r="R381" s="2" t="inlineStr"/>
    </row>
    <row r="382" ht="15" customHeight="1">
      <c r="A382" t="inlineStr">
        <is>
          <t>A 7661-2024</t>
        </is>
      </c>
      <c r="B382" s="1" t="n">
        <v>45348</v>
      </c>
      <c r="C382" s="1" t="n">
        <v>46025</v>
      </c>
      <c r="D382" t="inlineStr">
        <is>
          <t>ÖREBRO LÄN</t>
        </is>
      </c>
      <c r="E382" t="inlineStr">
        <is>
          <t>LINDESBERG</t>
        </is>
      </c>
      <c r="G382" t="n">
        <v>4.1</v>
      </c>
      <c r="H382" t="n">
        <v>0</v>
      </c>
      <c r="I382" t="n">
        <v>0</v>
      </c>
      <c r="J382" t="n">
        <v>0</v>
      </c>
      <c r="K382" t="n">
        <v>0</v>
      </c>
      <c r="L382" t="n">
        <v>0</v>
      </c>
      <c r="M382" t="n">
        <v>0</v>
      </c>
      <c r="N382" t="n">
        <v>0</v>
      </c>
      <c r="O382" t="n">
        <v>0</v>
      </c>
      <c r="P382" t="n">
        <v>0</v>
      </c>
      <c r="Q382" t="n">
        <v>0</v>
      </c>
      <c r="R382" s="2" t="inlineStr"/>
    </row>
    <row r="383" ht="15" customHeight="1">
      <c r="A383" t="inlineStr">
        <is>
          <t>A 41889-2025</t>
        </is>
      </c>
      <c r="B383" s="1" t="n">
        <v>45903.37475694445</v>
      </c>
      <c r="C383" s="1" t="n">
        <v>46025</v>
      </c>
      <c r="D383" t="inlineStr">
        <is>
          <t>ÖREBRO LÄN</t>
        </is>
      </c>
      <c r="E383" t="inlineStr">
        <is>
          <t>LINDESBERG</t>
        </is>
      </c>
      <c r="F383" t="inlineStr">
        <is>
          <t>Sveaskog</t>
        </is>
      </c>
      <c r="G383" t="n">
        <v>7.7</v>
      </c>
      <c r="H383" t="n">
        <v>0</v>
      </c>
      <c r="I383" t="n">
        <v>0</v>
      </c>
      <c r="J383" t="n">
        <v>0</v>
      </c>
      <c r="K383" t="n">
        <v>0</v>
      </c>
      <c r="L383" t="n">
        <v>0</v>
      </c>
      <c r="M383" t="n">
        <v>0</v>
      </c>
      <c r="N383" t="n">
        <v>0</v>
      </c>
      <c r="O383" t="n">
        <v>0</v>
      </c>
      <c r="P383" t="n">
        <v>0</v>
      </c>
      <c r="Q383" t="n">
        <v>0</v>
      </c>
      <c r="R383" s="2" t="inlineStr"/>
    </row>
    <row r="384" ht="15" customHeight="1">
      <c r="A384" t="inlineStr">
        <is>
          <t>A 28031-2023</t>
        </is>
      </c>
      <c r="B384" s="1" t="n">
        <v>45099.27354166667</v>
      </c>
      <c r="C384" s="1" t="n">
        <v>46025</v>
      </c>
      <c r="D384" t="inlineStr">
        <is>
          <t>ÖREBRO LÄN</t>
        </is>
      </c>
      <c r="E384" t="inlineStr">
        <is>
          <t>LINDESBERG</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31221-2025</t>
        </is>
      </c>
      <c r="B385" s="1" t="n">
        <v>45832.76491898148</v>
      </c>
      <c r="C385" s="1" t="n">
        <v>46025</v>
      </c>
      <c r="D385" t="inlineStr">
        <is>
          <t>ÖREBRO LÄN</t>
        </is>
      </c>
      <c r="E385" t="inlineStr">
        <is>
          <t>LINDESBERG</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46039-2024</t>
        </is>
      </c>
      <c r="B386" s="1" t="n">
        <v>45580.73525462963</v>
      </c>
      <c r="C386" s="1" t="n">
        <v>46025</v>
      </c>
      <c r="D386" t="inlineStr">
        <is>
          <t>ÖREBRO LÄN</t>
        </is>
      </c>
      <c r="E386" t="inlineStr">
        <is>
          <t>LINDESBERG</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31220-2025</t>
        </is>
      </c>
      <c r="B387" s="1" t="n">
        <v>45832.76100694444</v>
      </c>
      <c r="C387" s="1" t="n">
        <v>46025</v>
      </c>
      <c r="D387" t="inlineStr">
        <is>
          <t>ÖREBRO LÄN</t>
        </is>
      </c>
      <c r="E387" t="inlineStr">
        <is>
          <t>LINDESBERG</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42630-2025</t>
        </is>
      </c>
      <c r="B388" s="1" t="n">
        <v>45905.89143518519</v>
      </c>
      <c r="C388" s="1" t="n">
        <v>46025</v>
      </c>
      <c r="D388" t="inlineStr">
        <is>
          <t>ÖREBRO LÄN</t>
        </is>
      </c>
      <c r="E388" t="inlineStr">
        <is>
          <t>LINDESBERG</t>
        </is>
      </c>
      <c r="F388" t="inlineStr">
        <is>
          <t>Sveaskog</t>
        </is>
      </c>
      <c r="G388" t="n">
        <v>9.9</v>
      </c>
      <c r="H388" t="n">
        <v>0</v>
      </c>
      <c r="I388" t="n">
        <v>0</v>
      </c>
      <c r="J388" t="n">
        <v>0</v>
      </c>
      <c r="K388" t="n">
        <v>0</v>
      </c>
      <c r="L388" t="n">
        <v>0</v>
      </c>
      <c r="M388" t="n">
        <v>0</v>
      </c>
      <c r="N388" t="n">
        <v>0</v>
      </c>
      <c r="O388" t="n">
        <v>0</v>
      </c>
      <c r="P388" t="n">
        <v>0</v>
      </c>
      <c r="Q388" t="n">
        <v>0</v>
      </c>
      <c r="R388" s="2" t="inlineStr"/>
    </row>
    <row r="389" ht="15" customHeight="1">
      <c r="A389" t="inlineStr">
        <is>
          <t>A 58741-2024</t>
        </is>
      </c>
      <c r="B389" s="1" t="n">
        <v>45635.69581018519</v>
      </c>
      <c r="C389" s="1" t="n">
        <v>46025</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42631-2025</t>
        </is>
      </c>
      <c r="B390" s="1" t="n">
        <v>45905.89236111111</v>
      </c>
      <c r="C390" s="1" t="n">
        <v>46025</v>
      </c>
      <c r="D390" t="inlineStr">
        <is>
          <t>ÖREBRO LÄN</t>
        </is>
      </c>
      <c r="E390" t="inlineStr">
        <is>
          <t>LINDESBERG</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42632-2025</t>
        </is>
      </c>
      <c r="B391" s="1" t="n">
        <v>45905.89329861111</v>
      </c>
      <c r="C391" s="1" t="n">
        <v>46025</v>
      </c>
      <c r="D391" t="inlineStr">
        <is>
          <t>ÖREBRO LÄN</t>
        </is>
      </c>
      <c r="E391" t="inlineStr">
        <is>
          <t>LINDESBERG</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3994-2023</t>
        </is>
      </c>
      <c r="B392" s="1" t="n">
        <v>44950</v>
      </c>
      <c r="C392" s="1" t="n">
        <v>46025</v>
      </c>
      <c r="D392" t="inlineStr">
        <is>
          <t>ÖREBRO LÄN</t>
        </is>
      </c>
      <c r="E392" t="inlineStr">
        <is>
          <t>LINDESBERG</t>
        </is>
      </c>
      <c r="G392" t="n">
        <v>4.8</v>
      </c>
      <c r="H392" t="n">
        <v>0</v>
      </c>
      <c r="I392" t="n">
        <v>0</v>
      </c>
      <c r="J392" t="n">
        <v>0</v>
      </c>
      <c r="K392" t="n">
        <v>0</v>
      </c>
      <c r="L392" t="n">
        <v>0</v>
      </c>
      <c r="M392" t="n">
        <v>0</v>
      </c>
      <c r="N392" t="n">
        <v>0</v>
      </c>
      <c r="O392" t="n">
        <v>0</v>
      </c>
      <c r="P392" t="n">
        <v>0</v>
      </c>
      <c r="Q392" t="n">
        <v>0</v>
      </c>
      <c r="R392" s="2" t="inlineStr"/>
    </row>
    <row r="393" ht="15" customHeight="1">
      <c r="A393" t="inlineStr">
        <is>
          <t>A 49094-2024</t>
        </is>
      </c>
      <c r="B393" s="1" t="n">
        <v>45594.63747685185</v>
      </c>
      <c r="C393" s="1" t="n">
        <v>46025</v>
      </c>
      <c r="D393" t="inlineStr">
        <is>
          <t>ÖREBRO LÄN</t>
        </is>
      </c>
      <c r="E393" t="inlineStr">
        <is>
          <t>LINDESBERG</t>
        </is>
      </c>
      <c r="G393" t="n">
        <v>3.8</v>
      </c>
      <c r="H393" t="n">
        <v>0</v>
      </c>
      <c r="I393" t="n">
        <v>0</v>
      </c>
      <c r="J393" t="n">
        <v>0</v>
      </c>
      <c r="K393" t="n">
        <v>0</v>
      </c>
      <c r="L393" t="n">
        <v>0</v>
      </c>
      <c r="M393" t="n">
        <v>0</v>
      </c>
      <c r="N393" t="n">
        <v>0</v>
      </c>
      <c r="O393" t="n">
        <v>0</v>
      </c>
      <c r="P393" t="n">
        <v>0</v>
      </c>
      <c r="Q393" t="n">
        <v>0</v>
      </c>
      <c r="R393" s="2" t="inlineStr"/>
    </row>
    <row r="394" ht="15" customHeight="1">
      <c r="A394" t="inlineStr">
        <is>
          <t>A 56907-2024</t>
        </is>
      </c>
      <c r="B394" s="1" t="n">
        <v>45628.58975694444</v>
      </c>
      <c r="C394" s="1" t="n">
        <v>46025</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32504-2025</t>
        </is>
      </c>
      <c r="B395" s="1" t="n">
        <v>45838.46456018519</v>
      </c>
      <c r="C395" s="1" t="n">
        <v>46025</v>
      </c>
      <c r="D395" t="inlineStr">
        <is>
          <t>ÖREBRO LÄN</t>
        </is>
      </c>
      <c r="E395" t="inlineStr">
        <is>
          <t>LINDESBERG</t>
        </is>
      </c>
      <c r="F395" t="inlineStr">
        <is>
          <t>Sveaskog</t>
        </is>
      </c>
      <c r="G395" t="n">
        <v>16.9</v>
      </c>
      <c r="H395" t="n">
        <v>0</v>
      </c>
      <c r="I395" t="n">
        <v>0</v>
      </c>
      <c r="J395" t="n">
        <v>0</v>
      </c>
      <c r="K395" t="n">
        <v>0</v>
      </c>
      <c r="L395" t="n">
        <v>0</v>
      </c>
      <c r="M395" t="n">
        <v>0</v>
      </c>
      <c r="N395" t="n">
        <v>0</v>
      </c>
      <c r="O395" t="n">
        <v>0</v>
      </c>
      <c r="P395" t="n">
        <v>0</v>
      </c>
      <c r="Q395" t="n">
        <v>0</v>
      </c>
      <c r="R395" s="2" t="inlineStr"/>
    </row>
    <row r="396" ht="15" customHeight="1">
      <c r="A396" t="inlineStr">
        <is>
          <t>A 7201-2024</t>
        </is>
      </c>
      <c r="B396" s="1" t="n">
        <v>45344.6027662037</v>
      </c>
      <c r="C396" s="1" t="n">
        <v>46025</v>
      </c>
      <c r="D396" t="inlineStr">
        <is>
          <t>ÖREBRO LÄN</t>
        </is>
      </c>
      <c r="E396" t="inlineStr">
        <is>
          <t>LINDESBERG</t>
        </is>
      </c>
      <c r="G396" t="n">
        <v>4.7</v>
      </c>
      <c r="H396" t="n">
        <v>0</v>
      </c>
      <c r="I396" t="n">
        <v>0</v>
      </c>
      <c r="J396" t="n">
        <v>0</v>
      </c>
      <c r="K396" t="n">
        <v>0</v>
      </c>
      <c r="L396" t="n">
        <v>0</v>
      </c>
      <c r="M396" t="n">
        <v>0</v>
      </c>
      <c r="N396" t="n">
        <v>0</v>
      </c>
      <c r="O396" t="n">
        <v>0</v>
      </c>
      <c r="P396" t="n">
        <v>0</v>
      </c>
      <c r="Q396" t="n">
        <v>0</v>
      </c>
      <c r="R396" s="2" t="inlineStr"/>
    </row>
    <row r="397" ht="15" customHeight="1">
      <c r="A397" t="inlineStr">
        <is>
          <t>A 14190-2024</t>
        </is>
      </c>
      <c r="B397" s="1" t="n">
        <v>45393.36060185185</v>
      </c>
      <c r="C397" s="1" t="n">
        <v>46025</v>
      </c>
      <c r="D397" t="inlineStr">
        <is>
          <t>ÖREBRO LÄN</t>
        </is>
      </c>
      <c r="E397" t="inlineStr">
        <is>
          <t>LINDESBERG</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37843-2025</t>
        </is>
      </c>
      <c r="B398" s="1" t="n">
        <v>45881.43759259259</v>
      </c>
      <c r="C398" s="1" t="n">
        <v>46025</v>
      </c>
      <c r="D398" t="inlineStr">
        <is>
          <t>ÖREBRO LÄN</t>
        </is>
      </c>
      <c r="E398" t="inlineStr">
        <is>
          <t>LINDESBERG</t>
        </is>
      </c>
      <c r="G398" t="n">
        <v>5.2</v>
      </c>
      <c r="H398" t="n">
        <v>0</v>
      </c>
      <c r="I398" t="n">
        <v>0</v>
      </c>
      <c r="J398" t="n">
        <v>0</v>
      </c>
      <c r="K398" t="n">
        <v>0</v>
      </c>
      <c r="L398" t="n">
        <v>0</v>
      </c>
      <c r="M398" t="n">
        <v>0</v>
      </c>
      <c r="N398" t="n">
        <v>0</v>
      </c>
      <c r="O398" t="n">
        <v>0</v>
      </c>
      <c r="P398" t="n">
        <v>0</v>
      </c>
      <c r="Q398" t="n">
        <v>0</v>
      </c>
      <c r="R398" s="2" t="inlineStr"/>
    </row>
    <row r="399" ht="15" customHeight="1">
      <c r="A399" t="inlineStr">
        <is>
          <t>A 32284-2025</t>
        </is>
      </c>
      <c r="B399" s="1" t="n">
        <v>45835.68443287037</v>
      </c>
      <c r="C399" s="1" t="n">
        <v>46025</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32502-2025</t>
        </is>
      </c>
      <c r="B400" s="1" t="n">
        <v>45838.46408564815</v>
      </c>
      <c r="C400" s="1" t="n">
        <v>46025</v>
      </c>
      <c r="D400" t="inlineStr">
        <is>
          <t>ÖREBRO LÄN</t>
        </is>
      </c>
      <c r="E400" t="inlineStr">
        <is>
          <t>LINDESBERG</t>
        </is>
      </c>
      <c r="F400" t="inlineStr">
        <is>
          <t>Sveaskog</t>
        </is>
      </c>
      <c r="G400" t="n">
        <v>17.7</v>
      </c>
      <c r="H400" t="n">
        <v>0</v>
      </c>
      <c r="I400" t="n">
        <v>0</v>
      </c>
      <c r="J400" t="n">
        <v>0</v>
      </c>
      <c r="K400" t="n">
        <v>0</v>
      </c>
      <c r="L400" t="n">
        <v>0</v>
      </c>
      <c r="M400" t="n">
        <v>0</v>
      </c>
      <c r="N400" t="n">
        <v>0</v>
      </c>
      <c r="O400" t="n">
        <v>0</v>
      </c>
      <c r="P400" t="n">
        <v>0</v>
      </c>
      <c r="Q400" t="n">
        <v>0</v>
      </c>
      <c r="R400" s="2" t="inlineStr"/>
    </row>
    <row r="401" ht="15" customHeight="1">
      <c r="A401" t="inlineStr">
        <is>
          <t>A 17087-2023</t>
        </is>
      </c>
      <c r="B401" s="1" t="n">
        <v>45034.5174537037</v>
      </c>
      <c r="C401" s="1" t="n">
        <v>46025</v>
      </c>
      <c r="D401" t="inlineStr">
        <is>
          <t>ÖREBRO LÄN</t>
        </is>
      </c>
      <c r="E401" t="inlineStr">
        <is>
          <t>LINDESBERG</t>
        </is>
      </c>
      <c r="G401" t="n">
        <v>2.7</v>
      </c>
      <c r="H401" t="n">
        <v>0</v>
      </c>
      <c r="I401" t="n">
        <v>0</v>
      </c>
      <c r="J401" t="n">
        <v>0</v>
      </c>
      <c r="K401" t="n">
        <v>0</v>
      </c>
      <c r="L401" t="n">
        <v>0</v>
      </c>
      <c r="M401" t="n">
        <v>0</v>
      </c>
      <c r="N401" t="n">
        <v>0</v>
      </c>
      <c r="O401" t="n">
        <v>0</v>
      </c>
      <c r="P401" t="n">
        <v>0</v>
      </c>
      <c r="Q401" t="n">
        <v>0</v>
      </c>
      <c r="R401" s="2" t="inlineStr"/>
    </row>
    <row r="402" ht="15" customHeight="1">
      <c r="A402" t="inlineStr">
        <is>
          <t>A 53189-2023</t>
        </is>
      </c>
      <c r="B402" s="1" t="n">
        <v>45194</v>
      </c>
      <c r="C402" s="1" t="n">
        <v>46025</v>
      </c>
      <c r="D402" t="inlineStr">
        <is>
          <t>ÖREBRO LÄN</t>
        </is>
      </c>
      <c r="E402" t="inlineStr">
        <is>
          <t>LINDESBERG</t>
        </is>
      </c>
      <c r="G402" t="n">
        <v>2</v>
      </c>
      <c r="H402" t="n">
        <v>0</v>
      </c>
      <c r="I402" t="n">
        <v>0</v>
      </c>
      <c r="J402" t="n">
        <v>0</v>
      </c>
      <c r="K402" t="n">
        <v>0</v>
      </c>
      <c r="L402" t="n">
        <v>0</v>
      </c>
      <c r="M402" t="n">
        <v>0</v>
      </c>
      <c r="N402" t="n">
        <v>0</v>
      </c>
      <c r="O402" t="n">
        <v>0</v>
      </c>
      <c r="P402" t="n">
        <v>0</v>
      </c>
      <c r="Q402" t="n">
        <v>0</v>
      </c>
      <c r="R402" s="2" t="inlineStr"/>
    </row>
    <row r="403" ht="15" customHeight="1">
      <c r="A403" t="inlineStr">
        <is>
          <t>A 6001-2021</t>
        </is>
      </c>
      <c r="B403" s="1" t="n">
        <v>44231</v>
      </c>
      <c r="C403" s="1" t="n">
        <v>46025</v>
      </c>
      <c r="D403" t="inlineStr">
        <is>
          <t>ÖREBRO LÄN</t>
        </is>
      </c>
      <c r="E403" t="inlineStr">
        <is>
          <t>LINDESBERG</t>
        </is>
      </c>
      <c r="G403" t="n">
        <v>0.7</v>
      </c>
      <c r="H403" t="n">
        <v>0</v>
      </c>
      <c r="I403" t="n">
        <v>0</v>
      </c>
      <c r="J403" t="n">
        <v>0</v>
      </c>
      <c r="K403" t="n">
        <v>0</v>
      </c>
      <c r="L403" t="n">
        <v>0</v>
      </c>
      <c r="M403" t="n">
        <v>0</v>
      </c>
      <c r="N403" t="n">
        <v>0</v>
      </c>
      <c r="O403" t="n">
        <v>0</v>
      </c>
      <c r="P403" t="n">
        <v>0</v>
      </c>
      <c r="Q403" t="n">
        <v>0</v>
      </c>
      <c r="R403" s="2" t="inlineStr"/>
    </row>
    <row r="404" ht="15" customHeight="1">
      <c r="A404" t="inlineStr">
        <is>
          <t>A 60926-2024</t>
        </is>
      </c>
      <c r="B404" s="1" t="n">
        <v>45645</v>
      </c>
      <c r="C404" s="1" t="n">
        <v>46025</v>
      </c>
      <c r="D404" t="inlineStr">
        <is>
          <t>ÖREBRO LÄN</t>
        </is>
      </c>
      <c r="E404" t="inlineStr">
        <is>
          <t>LINDESBERG</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33046-2025</t>
        </is>
      </c>
      <c r="B405" s="1" t="n">
        <v>45840</v>
      </c>
      <c r="C405" s="1" t="n">
        <v>46025</v>
      </c>
      <c r="D405" t="inlineStr">
        <is>
          <t>ÖREBRO LÄN</t>
        </is>
      </c>
      <c r="E405" t="inlineStr">
        <is>
          <t>LINDESBERG</t>
        </is>
      </c>
      <c r="G405" t="n">
        <v>6.1</v>
      </c>
      <c r="H405" t="n">
        <v>0</v>
      </c>
      <c r="I405" t="n">
        <v>0</v>
      </c>
      <c r="J405" t="n">
        <v>0</v>
      </c>
      <c r="K405" t="n">
        <v>0</v>
      </c>
      <c r="L405" t="n">
        <v>0</v>
      </c>
      <c r="M405" t="n">
        <v>0</v>
      </c>
      <c r="N405" t="n">
        <v>0</v>
      </c>
      <c r="O405" t="n">
        <v>0</v>
      </c>
      <c r="P405" t="n">
        <v>0</v>
      </c>
      <c r="Q405" t="n">
        <v>0</v>
      </c>
      <c r="R405" s="2" t="inlineStr"/>
    </row>
    <row r="406" ht="15" customHeight="1">
      <c r="A406" t="inlineStr">
        <is>
          <t>A 43837-2025</t>
        </is>
      </c>
      <c r="B406" s="1" t="n">
        <v>45912.63451388889</v>
      </c>
      <c r="C406" s="1" t="n">
        <v>46025</v>
      </c>
      <c r="D406" t="inlineStr">
        <is>
          <t>ÖREBRO LÄN</t>
        </is>
      </c>
      <c r="E406" t="inlineStr">
        <is>
          <t>LINDESBERG</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43847-2025</t>
        </is>
      </c>
      <c r="B407" s="1" t="n">
        <v>45912.63751157407</v>
      </c>
      <c r="C407" s="1" t="n">
        <v>46025</v>
      </c>
      <c r="D407" t="inlineStr">
        <is>
          <t>ÖREBRO LÄN</t>
        </is>
      </c>
      <c r="E407" t="inlineStr">
        <is>
          <t>LINDESBERG</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14231-2023</t>
        </is>
      </c>
      <c r="B408" s="1" t="n">
        <v>45009.64217592592</v>
      </c>
      <c r="C408" s="1" t="n">
        <v>46025</v>
      </c>
      <c r="D408" t="inlineStr">
        <is>
          <t>ÖREBRO LÄN</t>
        </is>
      </c>
      <c r="E408" t="inlineStr">
        <is>
          <t>LINDESBERG</t>
        </is>
      </c>
      <c r="G408" t="n">
        <v>4.3</v>
      </c>
      <c r="H408" t="n">
        <v>0</v>
      </c>
      <c r="I408" t="n">
        <v>0</v>
      </c>
      <c r="J408" t="n">
        <v>0</v>
      </c>
      <c r="K408" t="n">
        <v>0</v>
      </c>
      <c r="L408" t="n">
        <v>0</v>
      </c>
      <c r="M408" t="n">
        <v>0</v>
      </c>
      <c r="N408" t="n">
        <v>0</v>
      </c>
      <c r="O408" t="n">
        <v>0</v>
      </c>
      <c r="P408" t="n">
        <v>0</v>
      </c>
      <c r="Q408" t="n">
        <v>0</v>
      </c>
      <c r="R408" s="2" t="inlineStr"/>
    </row>
    <row r="409" ht="15" customHeight="1">
      <c r="A409" t="inlineStr">
        <is>
          <t>A 32727-2024</t>
        </is>
      </c>
      <c r="B409" s="1" t="n">
        <v>45516.4221412037</v>
      </c>
      <c r="C409" s="1" t="n">
        <v>46025</v>
      </c>
      <c r="D409" t="inlineStr">
        <is>
          <t>ÖREBRO LÄN</t>
        </is>
      </c>
      <c r="E409" t="inlineStr">
        <is>
          <t>LINDESBERG</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43836-2025</t>
        </is>
      </c>
      <c r="B410" s="1" t="n">
        <v>45912.63359953704</v>
      </c>
      <c r="C410" s="1" t="n">
        <v>46025</v>
      </c>
      <c r="D410" t="inlineStr">
        <is>
          <t>ÖREBRO LÄN</t>
        </is>
      </c>
      <c r="E410" t="inlineStr">
        <is>
          <t>LINDESBERG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62608-2021</t>
        </is>
      </c>
      <c r="B411" s="1" t="n">
        <v>44503</v>
      </c>
      <c r="C411" s="1" t="n">
        <v>46025</v>
      </c>
      <c r="D411" t="inlineStr">
        <is>
          <t>ÖREBRO LÄN</t>
        </is>
      </c>
      <c r="E411" t="inlineStr">
        <is>
          <t>LINDESBERG</t>
        </is>
      </c>
      <c r="G411" t="n">
        <v>1.4</v>
      </c>
      <c r="H411" t="n">
        <v>0</v>
      </c>
      <c r="I411" t="n">
        <v>0</v>
      </c>
      <c r="J411" t="n">
        <v>0</v>
      </c>
      <c r="K411" t="n">
        <v>0</v>
      </c>
      <c r="L411" t="n">
        <v>0</v>
      </c>
      <c r="M411" t="n">
        <v>0</v>
      </c>
      <c r="N411" t="n">
        <v>0</v>
      </c>
      <c r="O411" t="n">
        <v>0</v>
      </c>
      <c r="P411" t="n">
        <v>0</v>
      </c>
      <c r="Q411" t="n">
        <v>0</v>
      </c>
      <c r="R411" s="2" t="inlineStr"/>
    </row>
    <row r="412" ht="15" customHeight="1">
      <c r="A412" t="inlineStr">
        <is>
          <t>A 35140-2023</t>
        </is>
      </c>
      <c r="B412" s="1" t="n">
        <v>45145</v>
      </c>
      <c r="C412" s="1" t="n">
        <v>46025</v>
      </c>
      <c r="D412" t="inlineStr">
        <is>
          <t>ÖREBRO LÄN</t>
        </is>
      </c>
      <c r="E412" t="inlineStr">
        <is>
          <t>LINDESBERG</t>
        </is>
      </c>
      <c r="F412" t="inlineStr">
        <is>
          <t>Sveaskog</t>
        </is>
      </c>
      <c r="G412" t="n">
        <v>0.4</v>
      </c>
      <c r="H412" t="n">
        <v>0</v>
      </c>
      <c r="I412" t="n">
        <v>0</v>
      </c>
      <c r="J412" t="n">
        <v>0</v>
      </c>
      <c r="K412" t="n">
        <v>0</v>
      </c>
      <c r="L412" t="n">
        <v>0</v>
      </c>
      <c r="M412" t="n">
        <v>0</v>
      </c>
      <c r="N412" t="n">
        <v>0</v>
      </c>
      <c r="O412" t="n">
        <v>0</v>
      </c>
      <c r="P412" t="n">
        <v>0</v>
      </c>
      <c r="Q412" t="n">
        <v>0</v>
      </c>
      <c r="R412" s="2" t="inlineStr"/>
    </row>
    <row r="413" ht="15" customHeight="1">
      <c r="A413" t="inlineStr">
        <is>
          <t>A 37616-2023</t>
        </is>
      </c>
      <c r="B413" s="1" t="n">
        <v>45159.44525462963</v>
      </c>
      <c r="C413" s="1" t="n">
        <v>46025</v>
      </c>
      <c r="D413" t="inlineStr">
        <is>
          <t>ÖREBRO LÄN</t>
        </is>
      </c>
      <c r="E413" t="inlineStr">
        <is>
          <t>LINDESBERG</t>
        </is>
      </c>
      <c r="G413" t="n">
        <v>5.3</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46025</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44077-2025</t>
        </is>
      </c>
      <c r="B415" s="1" t="n">
        <v>45915.54983796296</v>
      </c>
      <c r="C415" s="1" t="n">
        <v>46025</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44067-2025</t>
        </is>
      </c>
      <c r="B416" s="1" t="n">
        <v>45915.54439814815</v>
      </c>
      <c r="C416" s="1" t="n">
        <v>46025</v>
      </c>
      <c r="D416" t="inlineStr">
        <is>
          <t>ÖREBRO LÄN</t>
        </is>
      </c>
      <c r="E416" t="inlineStr">
        <is>
          <t>LINDESBERG</t>
        </is>
      </c>
      <c r="G416" t="n">
        <v>2.8</v>
      </c>
      <c r="H416" t="n">
        <v>0</v>
      </c>
      <c r="I416" t="n">
        <v>0</v>
      </c>
      <c r="J416" t="n">
        <v>0</v>
      </c>
      <c r="K416" t="n">
        <v>0</v>
      </c>
      <c r="L416" t="n">
        <v>0</v>
      </c>
      <c r="M416" t="n">
        <v>0</v>
      </c>
      <c r="N416" t="n">
        <v>0</v>
      </c>
      <c r="O416" t="n">
        <v>0</v>
      </c>
      <c r="P416" t="n">
        <v>0</v>
      </c>
      <c r="Q416" t="n">
        <v>0</v>
      </c>
      <c r="R416" s="2" t="inlineStr"/>
    </row>
    <row r="417" ht="15" customHeight="1">
      <c r="A417" t="inlineStr">
        <is>
          <t>A 29938-2024</t>
        </is>
      </c>
      <c r="B417" s="1" t="n">
        <v>45488.41480324074</v>
      </c>
      <c r="C417" s="1" t="n">
        <v>46025</v>
      </c>
      <c r="D417" t="inlineStr">
        <is>
          <t>ÖREBRO LÄN</t>
        </is>
      </c>
      <c r="E417" t="inlineStr">
        <is>
          <t>LINDESBERG</t>
        </is>
      </c>
      <c r="G417" t="n">
        <v>4</v>
      </c>
      <c r="H417" t="n">
        <v>0</v>
      </c>
      <c r="I417" t="n">
        <v>0</v>
      </c>
      <c r="J417" t="n">
        <v>0</v>
      </c>
      <c r="K417" t="n">
        <v>0</v>
      </c>
      <c r="L417" t="n">
        <v>0</v>
      </c>
      <c r="M417" t="n">
        <v>0</v>
      </c>
      <c r="N417" t="n">
        <v>0</v>
      </c>
      <c r="O417" t="n">
        <v>0</v>
      </c>
      <c r="P417" t="n">
        <v>0</v>
      </c>
      <c r="Q417" t="n">
        <v>0</v>
      </c>
      <c r="R417" s="2" t="inlineStr"/>
    </row>
    <row r="418" ht="15" customHeight="1">
      <c r="A418" t="inlineStr">
        <is>
          <t>A 24030-2023</t>
        </is>
      </c>
      <c r="B418" s="1" t="n">
        <v>45078.82620370371</v>
      </c>
      <c r="C418" s="1" t="n">
        <v>46025</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36747-2024</t>
        </is>
      </c>
      <c r="B419" s="1" t="n">
        <v>45538.34193287037</v>
      </c>
      <c r="C419" s="1" t="n">
        <v>46025</v>
      </c>
      <c r="D419" t="inlineStr">
        <is>
          <t>ÖREBRO LÄN</t>
        </is>
      </c>
      <c r="E419" t="inlineStr">
        <is>
          <t>LINDESBERG</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32097-2024</t>
        </is>
      </c>
      <c r="B420" s="1" t="n">
        <v>45511.39445601852</v>
      </c>
      <c r="C420" s="1" t="n">
        <v>46025</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32099-2024</t>
        </is>
      </c>
      <c r="B421" s="1" t="n">
        <v>45511.40297453704</v>
      </c>
      <c r="C421" s="1" t="n">
        <v>46025</v>
      </c>
      <c r="D421" t="inlineStr">
        <is>
          <t>ÖREBRO LÄN</t>
        </is>
      </c>
      <c r="E421" t="inlineStr">
        <is>
          <t>LINDESBERG</t>
        </is>
      </c>
      <c r="G421" t="n">
        <v>2.3</v>
      </c>
      <c r="H421" t="n">
        <v>0</v>
      </c>
      <c r="I421" t="n">
        <v>0</v>
      </c>
      <c r="J421" t="n">
        <v>0</v>
      </c>
      <c r="K421" t="n">
        <v>0</v>
      </c>
      <c r="L421" t="n">
        <v>0</v>
      </c>
      <c r="M421" t="n">
        <v>0</v>
      </c>
      <c r="N421" t="n">
        <v>0</v>
      </c>
      <c r="O421" t="n">
        <v>0</v>
      </c>
      <c r="P421" t="n">
        <v>0</v>
      </c>
      <c r="Q421" t="n">
        <v>0</v>
      </c>
      <c r="R421" s="2" t="inlineStr"/>
    </row>
    <row r="422" ht="15" customHeight="1">
      <c r="A422" t="inlineStr">
        <is>
          <t>A 61360-2024</t>
        </is>
      </c>
      <c r="B422" s="1" t="n">
        <v>45646</v>
      </c>
      <c r="C422" s="1" t="n">
        <v>46025</v>
      </c>
      <c r="D422" t="inlineStr">
        <is>
          <t>ÖREBRO LÄN</t>
        </is>
      </c>
      <c r="E422" t="inlineStr">
        <is>
          <t>LINDESBERG</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3803-2023</t>
        </is>
      </c>
      <c r="B423" s="1" t="n">
        <v>44951.5830324074</v>
      </c>
      <c r="C423" s="1" t="n">
        <v>46025</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60200-2024</t>
        </is>
      </c>
      <c r="B424" s="1" t="n">
        <v>45642.66184027777</v>
      </c>
      <c r="C424" s="1" t="n">
        <v>46025</v>
      </c>
      <c r="D424" t="inlineStr">
        <is>
          <t>ÖREBRO LÄN</t>
        </is>
      </c>
      <c r="E424" t="inlineStr">
        <is>
          <t>LINDESBERG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44545-2025</t>
        </is>
      </c>
      <c r="B425" s="1" t="n">
        <v>45917.31780092593</v>
      </c>
      <c r="C425" s="1" t="n">
        <v>46025</v>
      </c>
      <c r="D425" t="inlineStr">
        <is>
          <t>ÖREBRO LÄN</t>
        </is>
      </c>
      <c r="E425" t="inlineStr">
        <is>
          <t>LINDESBERG</t>
        </is>
      </c>
      <c r="F425" t="inlineStr">
        <is>
          <t>Kommuner</t>
        </is>
      </c>
      <c r="G425" t="n">
        <v>2.3</v>
      </c>
      <c r="H425" t="n">
        <v>0</v>
      </c>
      <c r="I425" t="n">
        <v>0</v>
      </c>
      <c r="J425" t="n">
        <v>0</v>
      </c>
      <c r="K425" t="n">
        <v>0</v>
      </c>
      <c r="L425" t="n">
        <v>0</v>
      </c>
      <c r="M425" t="n">
        <v>0</v>
      </c>
      <c r="N425" t="n">
        <v>0</v>
      </c>
      <c r="O425" t="n">
        <v>0</v>
      </c>
      <c r="P425" t="n">
        <v>0</v>
      </c>
      <c r="Q425" t="n">
        <v>0</v>
      </c>
      <c r="R425" s="2" t="inlineStr"/>
    </row>
    <row r="426" ht="15" customHeight="1">
      <c r="A426" t="inlineStr">
        <is>
          <t>A 25229-2021</t>
        </is>
      </c>
      <c r="B426" s="1" t="n">
        <v>44342.39703703704</v>
      </c>
      <c r="C426" s="1" t="n">
        <v>46025</v>
      </c>
      <c r="D426" t="inlineStr">
        <is>
          <t>ÖREBRO LÄN</t>
        </is>
      </c>
      <c r="E426" t="inlineStr">
        <is>
          <t>LINDESBERG</t>
        </is>
      </c>
      <c r="F426" t="inlineStr">
        <is>
          <t>Kyrkan</t>
        </is>
      </c>
      <c r="G426" t="n">
        <v>1.5</v>
      </c>
      <c r="H426" t="n">
        <v>0</v>
      </c>
      <c r="I426" t="n">
        <v>0</v>
      </c>
      <c r="J426" t="n">
        <v>0</v>
      </c>
      <c r="K426" t="n">
        <v>0</v>
      </c>
      <c r="L426" t="n">
        <v>0</v>
      </c>
      <c r="M426" t="n">
        <v>0</v>
      </c>
      <c r="N426" t="n">
        <v>0</v>
      </c>
      <c r="O426" t="n">
        <v>0</v>
      </c>
      <c r="P426" t="n">
        <v>0</v>
      </c>
      <c r="Q426" t="n">
        <v>0</v>
      </c>
      <c r="R426" s="2" t="inlineStr"/>
    </row>
    <row r="427" ht="15" customHeight="1">
      <c r="A427" t="inlineStr">
        <is>
          <t>A 34093-2022</t>
        </is>
      </c>
      <c r="B427" s="1" t="n">
        <v>44791</v>
      </c>
      <c r="C427" s="1" t="n">
        <v>46025</v>
      </c>
      <c r="D427" t="inlineStr">
        <is>
          <t>ÖREBRO LÄN</t>
        </is>
      </c>
      <c r="E427" t="inlineStr">
        <is>
          <t>LINDESBERG</t>
        </is>
      </c>
      <c r="G427" t="n">
        <v>3.3</v>
      </c>
      <c r="H427" t="n">
        <v>0</v>
      </c>
      <c r="I427" t="n">
        <v>0</v>
      </c>
      <c r="J427" t="n">
        <v>0</v>
      </c>
      <c r="K427" t="n">
        <v>0</v>
      </c>
      <c r="L427" t="n">
        <v>0</v>
      </c>
      <c r="M427" t="n">
        <v>0</v>
      </c>
      <c r="N427" t="n">
        <v>0</v>
      </c>
      <c r="O427" t="n">
        <v>0</v>
      </c>
      <c r="P427" t="n">
        <v>0</v>
      </c>
      <c r="Q427" t="n">
        <v>0</v>
      </c>
      <c r="R427" s="2" t="inlineStr"/>
    </row>
    <row r="428" ht="15" customHeight="1">
      <c r="A428" t="inlineStr">
        <is>
          <t>A 58697-2024</t>
        </is>
      </c>
      <c r="B428" s="1" t="n">
        <v>45635.63706018519</v>
      </c>
      <c r="C428" s="1" t="n">
        <v>46025</v>
      </c>
      <c r="D428" t="inlineStr">
        <is>
          <t>ÖREBRO LÄN</t>
        </is>
      </c>
      <c r="E428" t="inlineStr">
        <is>
          <t>LINDESBERG</t>
        </is>
      </c>
      <c r="G428" t="n">
        <v>25.1</v>
      </c>
      <c r="H428" t="n">
        <v>0</v>
      </c>
      <c r="I428" t="n">
        <v>0</v>
      </c>
      <c r="J428" t="n">
        <v>0</v>
      </c>
      <c r="K428" t="n">
        <v>0</v>
      </c>
      <c r="L428" t="n">
        <v>0</v>
      </c>
      <c r="M428" t="n">
        <v>0</v>
      </c>
      <c r="N428" t="n">
        <v>0</v>
      </c>
      <c r="O428" t="n">
        <v>0</v>
      </c>
      <c r="P428" t="n">
        <v>0</v>
      </c>
      <c r="Q428" t="n">
        <v>0</v>
      </c>
      <c r="R428" s="2" t="inlineStr"/>
    </row>
    <row r="429" ht="15" customHeight="1">
      <c r="A429" t="inlineStr">
        <is>
          <t>A 33574-2024</t>
        </is>
      </c>
      <c r="B429" s="1" t="n">
        <v>45520.32887731482</v>
      </c>
      <c r="C429" s="1" t="n">
        <v>46025</v>
      </c>
      <c r="D429" t="inlineStr">
        <is>
          <t>ÖREBRO LÄN</t>
        </is>
      </c>
      <c r="E429" t="inlineStr">
        <is>
          <t>LINDESBERG</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34264-2025</t>
        </is>
      </c>
      <c r="B430" s="1" t="n">
        <v>45845.75200231482</v>
      </c>
      <c r="C430" s="1" t="n">
        <v>46025</v>
      </c>
      <c r="D430" t="inlineStr">
        <is>
          <t>ÖREBRO LÄN</t>
        </is>
      </c>
      <c r="E430" t="inlineStr">
        <is>
          <t>LINDESBERG</t>
        </is>
      </c>
      <c r="G430" t="n">
        <v>3.9</v>
      </c>
      <c r="H430" t="n">
        <v>0</v>
      </c>
      <c r="I430" t="n">
        <v>0</v>
      </c>
      <c r="J430" t="n">
        <v>0</v>
      </c>
      <c r="K430" t="n">
        <v>0</v>
      </c>
      <c r="L430" t="n">
        <v>0</v>
      </c>
      <c r="M430" t="n">
        <v>0</v>
      </c>
      <c r="N430" t="n">
        <v>0</v>
      </c>
      <c r="O430" t="n">
        <v>0</v>
      </c>
      <c r="P430" t="n">
        <v>0</v>
      </c>
      <c r="Q430" t="n">
        <v>0</v>
      </c>
      <c r="R430" s="2" t="inlineStr"/>
    </row>
    <row r="431" ht="15" customHeight="1">
      <c r="A431" t="inlineStr">
        <is>
          <t>A 34003-2025</t>
        </is>
      </c>
      <c r="B431" s="1" t="n">
        <v>45844.57527777777</v>
      </c>
      <c r="C431" s="1" t="n">
        <v>46025</v>
      </c>
      <c r="D431" t="inlineStr">
        <is>
          <t>ÖREBRO LÄN</t>
        </is>
      </c>
      <c r="E431" t="inlineStr">
        <is>
          <t>LINDESBERG</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34097-2025</t>
        </is>
      </c>
      <c r="B432" s="1" t="n">
        <v>45845.4855787037</v>
      </c>
      <c r="C432" s="1" t="n">
        <v>46025</v>
      </c>
      <c r="D432" t="inlineStr">
        <is>
          <t>ÖREBRO LÄN</t>
        </is>
      </c>
      <c r="E432" t="inlineStr">
        <is>
          <t>LINDESBERG</t>
        </is>
      </c>
      <c r="G432" t="n">
        <v>1.2</v>
      </c>
      <c r="H432" t="n">
        <v>0</v>
      </c>
      <c r="I432" t="n">
        <v>0</v>
      </c>
      <c r="J432" t="n">
        <v>0</v>
      </c>
      <c r="K432" t="n">
        <v>0</v>
      </c>
      <c r="L432" t="n">
        <v>0</v>
      </c>
      <c r="M432" t="n">
        <v>0</v>
      </c>
      <c r="N432" t="n">
        <v>0</v>
      </c>
      <c r="O432" t="n">
        <v>0</v>
      </c>
      <c r="P432" t="n">
        <v>0</v>
      </c>
      <c r="Q432" t="n">
        <v>0</v>
      </c>
      <c r="R432" s="2" t="inlineStr"/>
    </row>
    <row r="433" ht="15" customHeight="1">
      <c r="A433" t="inlineStr">
        <is>
          <t>A 17115-2025</t>
        </is>
      </c>
      <c r="B433" s="1" t="n">
        <v>45755.68247685185</v>
      </c>
      <c r="C433" s="1" t="n">
        <v>46025</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16054-2022</t>
        </is>
      </c>
      <c r="B434" s="1" t="n">
        <v>44665</v>
      </c>
      <c r="C434" s="1" t="n">
        <v>46025</v>
      </c>
      <c r="D434" t="inlineStr">
        <is>
          <t>ÖREBRO LÄN</t>
        </is>
      </c>
      <c r="E434" t="inlineStr">
        <is>
          <t>LINDESBERG</t>
        </is>
      </c>
      <c r="G434" t="n">
        <v>6.9</v>
      </c>
      <c r="H434" t="n">
        <v>0</v>
      </c>
      <c r="I434" t="n">
        <v>0</v>
      </c>
      <c r="J434" t="n">
        <v>0</v>
      </c>
      <c r="K434" t="n">
        <v>0</v>
      </c>
      <c r="L434" t="n">
        <v>0</v>
      </c>
      <c r="M434" t="n">
        <v>0</v>
      </c>
      <c r="N434" t="n">
        <v>0</v>
      </c>
      <c r="O434" t="n">
        <v>0</v>
      </c>
      <c r="P434" t="n">
        <v>0</v>
      </c>
      <c r="Q434" t="n">
        <v>0</v>
      </c>
      <c r="R434" s="2" t="inlineStr"/>
    </row>
    <row r="435" ht="15" customHeight="1">
      <c r="A435" t="inlineStr">
        <is>
          <t>A 36136-2023</t>
        </is>
      </c>
      <c r="B435" s="1" t="n">
        <v>45149</v>
      </c>
      <c r="C435" s="1" t="n">
        <v>46025</v>
      </c>
      <c r="D435" t="inlineStr">
        <is>
          <t>ÖREBRO LÄN</t>
        </is>
      </c>
      <c r="E435" t="inlineStr">
        <is>
          <t>LINDESBERG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46757-2025</t>
        </is>
      </c>
      <c r="B436" s="1" t="n">
        <v>45926.62039351852</v>
      </c>
      <c r="C436" s="1" t="n">
        <v>46025</v>
      </c>
      <c r="D436" t="inlineStr">
        <is>
          <t>ÖREBRO LÄN</t>
        </is>
      </c>
      <c r="E436" t="inlineStr">
        <is>
          <t>LINDESBERG</t>
        </is>
      </c>
      <c r="G436" t="n">
        <v>7.9</v>
      </c>
      <c r="H436" t="n">
        <v>0</v>
      </c>
      <c r="I436" t="n">
        <v>0</v>
      </c>
      <c r="J436" t="n">
        <v>0</v>
      </c>
      <c r="K436" t="n">
        <v>0</v>
      </c>
      <c r="L436" t="n">
        <v>0</v>
      </c>
      <c r="M436" t="n">
        <v>0</v>
      </c>
      <c r="N436" t="n">
        <v>0</v>
      </c>
      <c r="O436" t="n">
        <v>0</v>
      </c>
      <c r="P436" t="n">
        <v>0</v>
      </c>
      <c r="Q436" t="n">
        <v>0</v>
      </c>
      <c r="R436" s="2" t="inlineStr"/>
    </row>
    <row r="437" ht="15" customHeight="1">
      <c r="A437" t="inlineStr">
        <is>
          <t>A 13573-2025</t>
        </is>
      </c>
      <c r="B437" s="1" t="n">
        <v>45736</v>
      </c>
      <c r="C437" s="1" t="n">
        <v>46025</v>
      </c>
      <c r="D437" t="inlineStr">
        <is>
          <t>ÖREBRO LÄN</t>
        </is>
      </c>
      <c r="E437" t="inlineStr">
        <is>
          <t>LINDESBERG</t>
        </is>
      </c>
      <c r="G437" t="n">
        <v>11.7</v>
      </c>
      <c r="H437" t="n">
        <v>0</v>
      </c>
      <c r="I437" t="n">
        <v>0</v>
      </c>
      <c r="J437" t="n">
        <v>0</v>
      </c>
      <c r="K437" t="n">
        <v>0</v>
      </c>
      <c r="L437" t="n">
        <v>0</v>
      </c>
      <c r="M437" t="n">
        <v>0</v>
      </c>
      <c r="N437" t="n">
        <v>0</v>
      </c>
      <c r="O437" t="n">
        <v>0</v>
      </c>
      <c r="P437" t="n">
        <v>0</v>
      </c>
      <c r="Q437" t="n">
        <v>0</v>
      </c>
      <c r="R437" s="2" t="inlineStr"/>
    </row>
    <row r="438" ht="15" customHeight="1">
      <c r="A438" t="inlineStr">
        <is>
          <t>A 61601-2024</t>
        </is>
      </c>
      <c r="B438" s="1" t="n">
        <v>45646.63839120371</v>
      </c>
      <c r="C438" s="1" t="n">
        <v>46025</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46484-2025</t>
        </is>
      </c>
      <c r="B439" s="1" t="n">
        <v>45925.70290509259</v>
      </c>
      <c r="C439" s="1" t="n">
        <v>46025</v>
      </c>
      <c r="D439" t="inlineStr">
        <is>
          <t>ÖREBRO LÄN</t>
        </is>
      </c>
      <c r="E439" t="inlineStr">
        <is>
          <t>LINDESBERG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34104-2025</t>
        </is>
      </c>
      <c r="B440" s="1" t="n">
        <v>45845.49216435185</v>
      </c>
      <c r="C440" s="1" t="n">
        <v>46025</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34004-2025</t>
        </is>
      </c>
      <c r="B441" s="1" t="n">
        <v>45844.5775</v>
      </c>
      <c r="C441" s="1" t="n">
        <v>46025</v>
      </c>
      <c r="D441" t="inlineStr">
        <is>
          <t>ÖREBRO LÄN</t>
        </is>
      </c>
      <c r="E441" t="inlineStr">
        <is>
          <t>LINDESBERG</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46404-2025</t>
        </is>
      </c>
      <c r="B442" s="1" t="n">
        <v>45925.56173611111</v>
      </c>
      <c r="C442" s="1" t="n">
        <v>46025</v>
      </c>
      <c r="D442" t="inlineStr">
        <is>
          <t>ÖREBRO LÄN</t>
        </is>
      </c>
      <c r="E442" t="inlineStr">
        <is>
          <t>LINDESBERG</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40450-2023</t>
        </is>
      </c>
      <c r="B443" s="1" t="n">
        <v>45170</v>
      </c>
      <c r="C443" s="1" t="n">
        <v>46025</v>
      </c>
      <c r="D443" t="inlineStr">
        <is>
          <t>ÖREBRO LÄN</t>
        </is>
      </c>
      <c r="E443" t="inlineStr">
        <is>
          <t>LINDESBERG</t>
        </is>
      </c>
      <c r="F443" t="inlineStr">
        <is>
          <t>Kyrkan</t>
        </is>
      </c>
      <c r="G443" t="n">
        <v>4.3</v>
      </c>
      <c r="H443" t="n">
        <v>0</v>
      </c>
      <c r="I443" t="n">
        <v>0</v>
      </c>
      <c r="J443" t="n">
        <v>0</v>
      </c>
      <c r="K443" t="n">
        <v>0</v>
      </c>
      <c r="L443" t="n">
        <v>0</v>
      </c>
      <c r="M443" t="n">
        <v>0</v>
      </c>
      <c r="N443" t="n">
        <v>0</v>
      </c>
      <c r="O443" t="n">
        <v>0</v>
      </c>
      <c r="P443" t="n">
        <v>0</v>
      </c>
      <c r="Q443" t="n">
        <v>0</v>
      </c>
      <c r="R443" s="2" t="inlineStr"/>
    </row>
    <row r="444" ht="15" customHeight="1">
      <c r="A444" t="inlineStr">
        <is>
          <t>A 34267-2025</t>
        </is>
      </c>
      <c r="B444" s="1" t="n">
        <v>45845.76005787037</v>
      </c>
      <c r="C444" s="1" t="n">
        <v>46025</v>
      </c>
      <c r="D444" t="inlineStr">
        <is>
          <t>ÖREBRO LÄN</t>
        </is>
      </c>
      <c r="E444" t="inlineStr">
        <is>
          <t>LINDESBERG</t>
        </is>
      </c>
      <c r="G444" t="n">
        <v>4.6</v>
      </c>
      <c r="H444" t="n">
        <v>0</v>
      </c>
      <c r="I444" t="n">
        <v>0</v>
      </c>
      <c r="J444" t="n">
        <v>0</v>
      </c>
      <c r="K444" t="n">
        <v>0</v>
      </c>
      <c r="L444" t="n">
        <v>0</v>
      </c>
      <c r="M444" t="n">
        <v>0</v>
      </c>
      <c r="N444" t="n">
        <v>0</v>
      </c>
      <c r="O444" t="n">
        <v>0</v>
      </c>
      <c r="P444" t="n">
        <v>0</v>
      </c>
      <c r="Q444" t="n">
        <v>0</v>
      </c>
      <c r="R444" s="2" t="inlineStr"/>
    </row>
    <row r="445" ht="15" customHeight="1">
      <c r="A445" t="inlineStr">
        <is>
          <t>A 22824-2023</t>
        </is>
      </c>
      <c r="B445" s="1" t="n">
        <v>45072</v>
      </c>
      <c r="C445" s="1" t="n">
        <v>46025</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72698-2021</t>
        </is>
      </c>
      <c r="B446" s="1" t="n">
        <v>44546.6679050926</v>
      </c>
      <c r="C446" s="1" t="n">
        <v>46025</v>
      </c>
      <c r="D446" t="inlineStr">
        <is>
          <t>ÖREBRO LÄN</t>
        </is>
      </c>
      <c r="E446" t="inlineStr">
        <is>
          <t>LINDESBERG</t>
        </is>
      </c>
      <c r="G446" t="n">
        <v>1.6</v>
      </c>
      <c r="H446" t="n">
        <v>0</v>
      </c>
      <c r="I446" t="n">
        <v>0</v>
      </c>
      <c r="J446" t="n">
        <v>0</v>
      </c>
      <c r="K446" t="n">
        <v>0</v>
      </c>
      <c r="L446" t="n">
        <v>0</v>
      </c>
      <c r="M446" t="n">
        <v>0</v>
      </c>
      <c r="N446" t="n">
        <v>0</v>
      </c>
      <c r="O446" t="n">
        <v>0</v>
      </c>
      <c r="P446" t="n">
        <v>0</v>
      </c>
      <c r="Q446" t="n">
        <v>0</v>
      </c>
      <c r="R446" s="2" t="inlineStr"/>
    </row>
    <row r="447" ht="15" customHeight="1">
      <c r="A447" t="inlineStr">
        <is>
          <t>A 34237-2023</t>
        </is>
      </c>
      <c r="B447" s="1" t="n">
        <v>45138</v>
      </c>
      <c r="C447" s="1" t="n">
        <v>46025</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34002-2025</t>
        </is>
      </c>
      <c r="B448" s="1" t="n">
        <v>45844.57328703703</v>
      </c>
      <c r="C448" s="1" t="n">
        <v>46025</v>
      </c>
      <c r="D448" t="inlineStr">
        <is>
          <t>ÖREBRO LÄN</t>
        </is>
      </c>
      <c r="E448" t="inlineStr">
        <is>
          <t>LINDESBERG</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32994-2023</t>
        </is>
      </c>
      <c r="B449" s="1" t="n">
        <v>45113</v>
      </c>
      <c r="C449" s="1" t="n">
        <v>46025</v>
      </c>
      <c r="D449" t="inlineStr">
        <is>
          <t>ÖREBRO LÄN</t>
        </is>
      </c>
      <c r="E449" t="inlineStr">
        <is>
          <t>LINDESBERG</t>
        </is>
      </c>
      <c r="G449" t="n">
        <v>2.3</v>
      </c>
      <c r="H449" t="n">
        <v>0</v>
      </c>
      <c r="I449" t="n">
        <v>0</v>
      </c>
      <c r="J449" t="n">
        <v>0</v>
      </c>
      <c r="K449" t="n">
        <v>0</v>
      </c>
      <c r="L449" t="n">
        <v>0</v>
      </c>
      <c r="M449" t="n">
        <v>0</v>
      </c>
      <c r="N449" t="n">
        <v>0</v>
      </c>
      <c r="O449" t="n">
        <v>0</v>
      </c>
      <c r="P449" t="n">
        <v>0</v>
      </c>
      <c r="Q449" t="n">
        <v>0</v>
      </c>
      <c r="R449" s="2" t="inlineStr"/>
    </row>
    <row r="450" ht="15" customHeight="1">
      <c r="A450" t="inlineStr">
        <is>
          <t>A 36170-2021</t>
        </is>
      </c>
      <c r="B450" s="1" t="n">
        <v>44389</v>
      </c>
      <c r="C450" s="1" t="n">
        <v>46025</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10822-2023</t>
        </is>
      </c>
      <c r="B451" s="1" t="n">
        <v>44990</v>
      </c>
      <c r="C451" s="1" t="n">
        <v>46025</v>
      </c>
      <c r="D451" t="inlineStr">
        <is>
          <t>ÖREBRO LÄN</t>
        </is>
      </c>
      <c r="E451" t="inlineStr">
        <is>
          <t>LINDESBERG</t>
        </is>
      </c>
      <c r="G451" t="n">
        <v>1.3</v>
      </c>
      <c r="H451" t="n">
        <v>0</v>
      </c>
      <c r="I451" t="n">
        <v>0</v>
      </c>
      <c r="J451" t="n">
        <v>0</v>
      </c>
      <c r="K451" t="n">
        <v>0</v>
      </c>
      <c r="L451" t="n">
        <v>0</v>
      </c>
      <c r="M451" t="n">
        <v>0</v>
      </c>
      <c r="N451" t="n">
        <v>0</v>
      </c>
      <c r="O451" t="n">
        <v>0</v>
      </c>
      <c r="P451" t="n">
        <v>0</v>
      </c>
      <c r="Q451" t="n">
        <v>0</v>
      </c>
      <c r="R451" s="2" t="inlineStr"/>
    </row>
    <row r="452" ht="15" customHeight="1">
      <c r="A452" t="inlineStr">
        <is>
          <t>A 35230-2024</t>
        </is>
      </c>
      <c r="B452" s="1" t="n">
        <v>45530</v>
      </c>
      <c r="C452" s="1" t="n">
        <v>46025</v>
      </c>
      <c r="D452" t="inlineStr">
        <is>
          <t>ÖREBRO LÄN</t>
        </is>
      </c>
      <c r="E452" t="inlineStr">
        <is>
          <t>LINDESBERG</t>
        </is>
      </c>
      <c r="G452" t="n">
        <v>1.7</v>
      </c>
      <c r="H452" t="n">
        <v>0</v>
      </c>
      <c r="I452" t="n">
        <v>0</v>
      </c>
      <c r="J452" t="n">
        <v>0</v>
      </c>
      <c r="K452" t="n">
        <v>0</v>
      </c>
      <c r="L452" t="n">
        <v>0</v>
      </c>
      <c r="M452" t="n">
        <v>0</v>
      </c>
      <c r="N452" t="n">
        <v>0</v>
      </c>
      <c r="O452" t="n">
        <v>0</v>
      </c>
      <c r="P452" t="n">
        <v>0</v>
      </c>
      <c r="Q452" t="n">
        <v>0</v>
      </c>
      <c r="R452" s="2" t="inlineStr"/>
    </row>
    <row r="453" ht="15" customHeight="1">
      <c r="A453" t="inlineStr">
        <is>
          <t>A 48061-2025</t>
        </is>
      </c>
      <c r="B453" s="1" t="n">
        <v>45932.68006944445</v>
      </c>
      <c r="C453" s="1" t="n">
        <v>46025</v>
      </c>
      <c r="D453" t="inlineStr">
        <is>
          <t>ÖREBRO LÄN</t>
        </is>
      </c>
      <c r="E453" t="inlineStr">
        <is>
          <t>LINDESBERG</t>
        </is>
      </c>
      <c r="G453" t="n">
        <v>1.5</v>
      </c>
      <c r="H453" t="n">
        <v>0</v>
      </c>
      <c r="I453" t="n">
        <v>0</v>
      </c>
      <c r="J453" t="n">
        <v>0</v>
      </c>
      <c r="K453" t="n">
        <v>0</v>
      </c>
      <c r="L453" t="n">
        <v>0</v>
      </c>
      <c r="M453" t="n">
        <v>0</v>
      </c>
      <c r="N453" t="n">
        <v>0</v>
      </c>
      <c r="O453" t="n">
        <v>0</v>
      </c>
      <c r="P453" t="n">
        <v>0</v>
      </c>
      <c r="Q453" t="n">
        <v>0</v>
      </c>
      <c r="R453" s="2" t="inlineStr"/>
    </row>
    <row r="454" ht="15" customHeight="1">
      <c r="A454" t="inlineStr">
        <is>
          <t>A 9198-2025</t>
        </is>
      </c>
      <c r="B454" s="1" t="n">
        <v>45714</v>
      </c>
      <c r="C454" s="1" t="n">
        <v>46025</v>
      </c>
      <c r="D454" t="inlineStr">
        <is>
          <t>ÖREBRO LÄN</t>
        </is>
      </c>
      <c r="E454" t="inlineStr">
        <is>
          <t>LINDESBERG</t>
        </is>
      </c>
      <c r="G454" t="n">
        <v>3.3</v>
      </c>
      <c r="H454" t="n">
        <v>0</v>
      </c>
      <c r="I454" t="n">
        <v>0</v>
      </c>
      <c r="J454" t="n">
        <v>0</v>
      </c>
      <c r="K454" t="n">
        <v>0</v>
      </c>
      <c r="L454" t="n">
        <v>0</v>
      </c>
      <c r="M454" t="n">
        <v>0</v>
      </c>
      <c r="N454" t="n">
        <v>0</v>
      </c>
      <c r="O454" t="n">
        <v>0</v>
      </c>
      <c r="P454" t="n">
        <v>0</v>
      </c>
      <c r="Q454" t="n">
        <v>0</v>
      </c>
      <c r="R454" s="2" t="inlineStr"/>
    </row>
    <row r="455" ht="15" customHeight="1">
      <c r="A455" t="inlineStr">
        <is>
          <t>A 47678-2025</t>
        </is>
      </c>
      <c r="B455" s="1" t="n">
        <v>45931.57967592592</v>
      </c>
      <c r="C455" s="1" t="n">
        <v>46025</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16618-2023</t>
        </is>
      </c>
      <c r="B456" s="1" t="n">
        <v>45030</v>
      </c>
      <c r="C456" s="1" t="n">
        <v>46025</v>
      </c>
      <c r="D456" t="inlineStr">
        <is>
          <t>ÖREBRO LÄN</t>
        </is>
      </c>
      <c r="E456" t="inlineStr">
        <is>
          <t>LINDESBERG</t>
        </is>
      </c>
      <c r="F456" t="inlineStr">
        <is>
          <t>Kommuner</t>
        </is>
      </c>
      <c r="G456" t="n">
        <v>4.6</v>
      </c>
      <c r="H456" t="n">
        <v>0</v>
      </c>
      <c r="I456" t="n">
        <v>0</v>
      </c>
      <c r="J456" t="n">
        <v>0</v>
      </c>
      <c r="K456" t="n">
        <v>0</v>
      </c>
      <c r="L456" t="n">
        <v>0</v>
      </c>
      <c r="M456" t="n">
        <v>0</v>
      </c>
      <c r="N456" t="n">
        <v>0</v>
      </c>
      <c r="O456" t="n">
        <v>0</v>
      </c>
      <c r="P456" t="n">
        <v>0</v>
      </c>
      <c r="Q456" t="n">
        <v>0</v>
      </c>
      <c r="R456" s="2" t="inlineStr"/>
    </row>
    <row r="457" ht="15" customHeight="1">
      <c r="A457" t="inlineStr">
        <is>
          <t>A 47676-2025</t>
        </is>
      </c>
      <c r="B457" s="1" t="n">
        <v>45931.57756944445</v>
      </c>
      <c r="C457" s="1" t="n">
        <v>46025</v>
      </c>
      <c r="D457" t="inlineStr">
        <is>
          <t>ÖREBRO LÄN</t>
        </is>
      </c>
      <c r="E457" t="inlineStr">
        <is>
          <t>LINDESBERG</t>
        </is>
      </c>
      <c r="G457" t="n">
        <v>0.8</v>
      </c>
      <c r="H457" t="n">
        <v>0</v>
      </c>
      <c r="I457" t="n">
        <v>0</v>
      </c>
      <c r="J457" t="n">
        <v>0</v>
      </c>
      <c r="K457" t="n">
        <v>0</v>
      </c>
      <c r="L457" t="n">
        <v>0</v>
      </c>
      <c r="M457" t="n">
        <v>0</v>
      </c>
      <c r="N457" t="n">
        <v>0</v>
      </c>
      <c r="O457" t="n">
        <v>0</v>
      </c>
      <c r="P457" t="n">
        <v>0</v>
      </c>
      <c r="Q457" t="n">
        <v>0</v>
      </c>
      <c r="R457" s="2" t="inlineStr"/>
    </row>
    <row r="458" ht="15" customHeight="1">
      <c r="A458" t="inlineStr">
        <is>
          <t>A 4298-2025</t>
        </is>
      </c>
      <c r="B458" s="1" t="n">
        <v>45685</v>
      </c>
      <c r="C458" s="1" t="n">
        <v>46025</v>
      </c>
      <c r="D458" t="inlineStr">
        <is>
          <t>ÖREBRO LÄN</t>
        </is>
      </c>
      <c r="E458" t="inlineStr">
        <is>
          <t>LINDESBERG</t>
        </is>
      </c>
      <c r="G458" t="n">
        <v>13.5</v>
      </c>
      <c r="H458" t="n">
        <v>0</v>
      </c>
      <c r="I458" t="n">
        <v>0</v>
      </c>
      <c r="J458" t="n">
        <v>0</v>
      </c>
      <c r="K458" t="n">
        <v>0</v>
      </c>
      <c r="L458" t="n">
        <v>0</v>
      </c>
      <c r="M458" t="n">
        <v>0</v>
      </c>
      <c r="N458" t="n">
        <v>0</v>
      </c>
      <c r="O458" t="n">
        <v>0</v>
      </c>
      <c r="P458" t="n">
        <v>0</v>
      </c>
      <c r="Q458" t="n">
        <v>0</v>
      </c>
      <c r="R458" s="2" t="inlineStr"/>
    </row>
    <row r="459" ht="15" customHeight="1">
      <c r="A459" t="inlineStr">
        <is>
          <t>A 48489-2025</t>
        </is>
      </c>
      <c r="B459" s="1" t="n">
        <v>45936.36637731481</v>
      </c>
      <c r="C459" s="1" t="n">
        <v>46025</v>
      </c>
      <c r="D459" t="inlineStr">
        <is>
          <t>ÖREBRO LÄN</t>
        </is>
      </c>
      <c r="E459" t="inlineStr">
        <is>
          <t>LINDESBERG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5677-2025</t>
        </is>
      </c>
      <c r="B460" s="1" t="n">
        <v>45694</v>
      </c>
      <c r="C460" s="1" t="n">
        <v>46025</v>
      </c>
      <c r="D460" t="inlineStr">
        <is>
          <t>ÖREBRO LÄN</t>
        </is>
      </c>
      <c r="E460" t="inlineStr">
        <is>
          <t>LINDESBERG</t>
        </is>
      </c>
      <c r="G460" t="n">
        <v>1.6</v>
      </c>
      <c r="H460" t="n">
        <v>0</v>
      </c>
      <c r="I460" t="n">
        <v>0</v>
      </c>
      <c r="J460" t="n">
        <v>0</v>
      </c>
      <c r="K460" t="n">
        <v>0</v>
      </c>
      <c r="L460" t="n">
        <v>0</v>
      </c>
      <c r="M460" t="n">
        <v>0</v>
      </c>
      <c r="N460" t="n">
        <v>0</v>
      </c>
      <c r="O460" t="n">
        <v>0</v>
      </c>
      <c r="P460" t="n">
        <v>0</v>
      </c>
      <c r="Q460" t="n">
        <v>0</v>
      </c>
      <c r="R460" s="2" t="inlineStr"/>
    </row>
    <row r="461" ht="15" customHeight="1">
      <c r="A461" t="inlineStr">
        <is>
          <t>A 4999-2025</t>
        </is>
      </c>
      <c r="B461" s="1" t="n">
        <v>45691.36253472222</v>
      </c>
      <c r="C461" s="1" t="n">
        <v>46025</v>
      </c>
      <c r="D461" t="inlineStr">
        <is>
          <t>ÖREBRO LÄN</t>
        </is>
      </c>
      <c r="E461" t="inlineStr">
        <is>
          <t>LINDESBERG</t>
        </is>
      </c>
      <c r="G461" t="n">
        <v>4.7</v>
      </c>
      <c r="H461" t="n">
        <v>0</v>
      </c>
      <c r="I461" t="n">
        <v>0</v>
      </c>
      <c r="J461" t="n">
        <v>0</v>
      </c>
      <c r="K461" t="n">
        <v>0</v>
      </c>
      <c r="L461" t="n">
        <v>0</v>
      </c>
      <c r="M461" t="n">
        <v>0</v>
      </c>
      <c r="N461" t="n">
        <v>0</v>
      </c>
      <c r="O461" t="n">
        <v>0</v>
      </c>
      <c r="P461" t="n">
        <v>0</v>
      </c>
      <c r="Q461" t="n">
        <v>0</v>
      </c>
      <c r="R461" s="2" t="inlineStr"/>
    </row>
    <row r="462" ht="15" customHeight="1">
      <c r="A462" t="inlineStr">
        <is>
          <t>A 24916-2022</t>
        </is>
      </c>
      <c r="B462" s="1" t="n">
        <v>44728</v>
      </c>
      <c r="C462" s="1" t="n">
        <v>46025</v>
      </c>
      <c r="D462" t="inlineStr">
        <is>
          <t>ÖREBRO LÄN</t>
        </is>
      </c>
      <c r="E462" t="inlineStr">
        <is>
          <t>LINDESBERG</t>
        </is>
      </c>
      <c r="G462" t="n">
        <v>8.1</v>
      </c>
      <c r="H462" t="n">
        <v>0</v>
      </c>
      <c r="I462" t="n">
        <v>0</v>
      </c>
      <c r="J462" t="n">
        <v>0</v>
      </c>
      <c r="K462" t="n">
        <v>0</v>
      </c>
      <c r="L462" t="n">
        <v>0</v>
      </c>
      <c r="M462" t="n">
        <v>0</v>
      </c>
      <c r="N462" t="n">
        <v>0</v>
      </c>
      <c r="O462" t="n">
        <v>0</v>
      </c>
      <c r="P462" t="n">
        <v>0</v>
      </c>
      <c r="Q462" t="n">
        <v>0</v>
      </c>
      <c r="R462" s="2" t="inlineStr"/>
    </row>
    <row r="463" ht="15" customHeight="1">
      <c r="A463" t="inlineStr">
        <is>
          <t>A 48750-2025</t>
        </is>
      </c>
      <c r="B463" s="1" t="n">
        <v>45936.68452546297</v>
      </c>
      <c r="C463" s="1" t="n">
        <v>46025</v>
      </c>
      <c r="D463" t="inlineStr">
        <is>
          <t>ÖREBRO LÄN</t>
        </is>
      </c>
      <c r="E463" t="inlineStr">
        <is>
          <t>LINDESBERG</t>
        </is>
      </c>
      <c r="G463" t="n">
        <v>2.1</v>
      </c>
      <c r="H463" t="n">
        <v>0</v>
      </c>
      <c r="I463" t="n">
        <v>0</v>
      </c>
      <c r="J463" t="n">
        <v>0</v>
      </c>
      <c r="K463" t="n">
        <v>0</v>
      </c>
      <c r="L463" t="n">
        <v>0</v>
      </c>
      <c r="M463" t="n">
        <v>0</v>
      </c>
      <c r="N463" t="n">
        <v>0</v>
      </c>
      <c r="O463" t="n">
        <v>0</v>
      </c>
      <c r="P463" t="n">
        <v>0</v>
      </c>
      <c r="Q463" t="n">
        <v>0</v>
      </c>
      <c r="R463" s="2" t="inlineStr"/>
    </row>
    <row r="464" ht="15" customHeight="1">
      <c r="A464" t="inlineStr">
        <is>
          <t>A 48495-2025</t>
        </is>
      </c>
      <c r="B464" s="1" t="n">
        <v>45936.37237268518</v>
      </c>
      <c r="C464" s="1" t="n">
        <v>46025</v>
      </c>
      <c r="D464" t="inlineStr">
        <is>
          <t>ÖREBRO LÄN</t>
        </is>
      </c>
      <c r="E464" t="inlineStr">
        <is>
          <t>LINDESBERG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15892-2025</t>
        </is>
      </c>
      <c r="B465" s="1" t="n">
        <v>45749</v>
      </c>
      <c r="C465" s="1" t="n">
        <v>46025</v>
      </c>
      <c r="D465" t="inlineStr">
        <is>
          <t>ÖREBRO LÄN</t>
        </is>
      </c>
      <c r="E465" t="inlineStr">
        <is>
          <t>LINDESBERG</t>
        </is>
      </c>
      <c r="G465" t="n">
        <v>0.8</v>
      </c>
      <c r="H465" t="n">
        <v>0</v>
      </c>
      <c r="I465" t="n">
        <v>0</v>
      </c>
      <c r="J465" t="n">
        <v>0</v>
      </c>
      <c r="K465" t="n">
        <v>0</v>
      </c>
      <c r="L465" t="n">
        <v>0</v>
      </c>
      <c r="M465" t="n">
        <v>0</v>
      </c>
      <c r="N465" t="n">
        <v>0</v>
      </c>
      <c r="O465" t="n">
        <v>0</v>
      </c>
      <c r="P465" t="n">
        <v>0</v>
      </c>
      <c r="Q465" t="n">
        <v>0</v>
      </c>
      <c r="R465" s="2" t="inlineStr"/>
    </row>
    <row r="466" ht="15" customHeight="1">
      <c r="A466" t="inlineStr">
        <is>
          <t>A 48618-2025</t>
        </is>
      </c>
      <c r="B466" s="1" t="n">
        <v>45936.49026620371</v>
      </c>
      <c r="C466" s="1" t="n">
        <v>46025</v>
      </c>
      <c r="D466" t="inlineStr">
        <is>
          <t>ÖREBRO LÄN</t>
        </is>
      </c>
      <c r="E466" t="inlineStr">
        <is>
          <t>LINDESBERG</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1681-2025</t>
        </is>
      </c>
      <c r="B467" s="1" t="n">
        <v>45670.69458333333</v>
      </c>
      <c r="C467" s="1" t="n">
        <v>46025</v>
      </c>
      <c r="D467" t="inlineStr">
        <is>
          <t>ÖREBRO LÄN</t>
        </is>
      </c>
      <c r="E467" t="inlineStr">
        <is>
          <t>LINDESBERG</t>
        </is>
      </c>
      <c r="G467" t="n">
        <v>1.9</v>
      </c>
      <c r="H467" t="n">
        <v>0</v>
      </c>
      <c r="I467" t="n">
        <v>0</v>
      </c>
      <c r="J467" t="n">
        <v>0</v>
      </c>
      <c r="K467" t="n">
        <v>0</v>
      </c>
      <c r="L467" t="n">
        <v>0</v>
      </c>
      <c r="M467" t="n">
        <v>0</v>
      </c>
      <c r="N467" t="n">
        <v>0</v>
      </c>
      <c r="O467" t="n">
        <v>0</v>
      </c>
      <c r="P467" t="n">
        <v>0</v>
      </c>
      <c r="Q467" t="n">
        <v>0</v>
      </c>
      <c r="R467" s="2" t="inlineStr"/>
    </row>
    <row r="468" ht="15" customHeight="1">
      <c r="A468" t="inlineStr">
        <is>
          <t>A 45428-2023</t>
        </is>
      </c>
      <c r="B468" s="1" t="n">
        <v>45194</v>
      </c>
      <c r="C468" s="1" t="n">
        <v>46025</v>
      </c>
      <c r="D468" t="inlineStr">
        <is>
          <t>ÖREBRO LÄN</t>
        </is>
      </c>
      <c r="E468" t="inlineStr">
        <is>
          <t>LINDESBERG</t>
        </is>
      </c>
      <c r="G468" t="n">
        <v>7.7</v>
      </c>
      <c r="H468" t="n">
        <v>0</v>
      </c>
      <c r="I468" t="n">
        <v>0</v>
      </c>
      <c r="J468" t="n">
        <v>0</v>
      </c>
      <c r="K468" t="n">
        <v>0</v>
      </c>
      <c r="L468" t="n">
        <v>0</v>
      </c>
      <c r="M468" t="n">
        <v>0</v>
      </c>
      <c r="N468" t="n">
        <v>0</v>
      </c>
      <c r="O468" t="n">
        <v>0</v>
      </c>
      <c r="P468" t="n">
        <v>0</v>
      </c>
      <c r="Q468" t="n">
        <v>0</v>
      </c>
      <c r="R468" s="2" t="inlineStr"/>
    </row>
    <row r="469" ht="15" customHeight="1">
      <c r="A469" t="inlineStr">
        <is>
          <t>A 48497-2025</t>
        </is>
      </c>
      <c r="B469" s="1" t="n">
        <v>45936.37523148148</v>
      </c>
      <c r="C469" s="1" t="n">
        <v>46025</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36670-2024</t>
        </is>
      </c>
      <c r="B470" s="1" t="n">
        <v>45537.64621527777</v>
      </c>
      <c r="C470" s="1" t="n">
        <v>46025</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48620-2025</t>
        </is>
      </c>
      <c r="B471" s="1" t="n">
        <v>45936.49210648148</v>
      </c>
      <c r="C471" s="1" t="n">
        <v>46025</v>
      </c>
      <c r="D471" t="inlineStr">
        <is>
          <t>ÖREBRO LÄN</t>
        </is>
      </c>
      <c r="E471" t="inlineStr">
        <is>
          <t>LINDESBERG</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35292-2025</t>
        </is>
      </c>
      <c r="B472" s="1" t="n">
        <v>45854</v>
      </c>
      <c r="C472" s="1" t="n">
        <v>46025</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48953-2025</t>
        </is>
      </c>
      <c r="B473" s="1" t="n">
        <v>45937.54697916667</v>
      </c>
      <c r="C473" s="1" t="n">
        <v>46025</v>
      </c>
      <c r="D473" t="inlineStr">
        <is>
          <t>ÖREBRO LÄN</t>
        </is>
      </c>
      <c r="E473" t="inlineStr">
        <is>
          <t>LINDESBERG</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48971-2025</t>
        </is>
      </c>
      <c r="B474" s="1" t="n">
        <v>45937.56420138889</v>
      </c>
      <c r="C474" s="1" t="n">
        <v>46025</v>
      </c>
      <c r="D474" t="inlineStr">
        <is>
          <t>ÖREBRO LÄN</t>
        </is>
      </c>
      <c r="E474" t="inlineStr">
        <is>
          <t>LINDESBERG</t>
        </is>
      </c>
      <c r="F474" t="inlineStr">
        <is>
          <t>Sveaskog</t>
        </is>
      </c>
      <c r="G474" t="n">
        <v>4.1</v>
      </c>
      <c r="H474" t="n">
        <v>0</v>
      </c>
      <c r="I474" t="n">
        <v>0</v>
      </c>
      <c r="J474" t="n">
        <v>0</v>
      </c>
      <c r="K474" t="n">
        <v>0</v>
      </c>
      <c r="L474" t="n">
        <v>0</v>
      </c>
      <c r="M474" t="n">
        <v>0</v>
      </c>
      <c r="N474" t="n">
        <v>0</v>
      </c>
      <c r="O474" t="n">
        <v>0</v>
      </c>
      <c r="P474" t="n">
        <v>0</v>
      </c>
      <c r="Q474" t="n">
        <v>0</v>
      </c>
      <c r="R474" s="2" t="inlineStr"/>
    </row>
    <row r="475" ht="15" customHeight="1">
      <c r="A475" t="inlineStr">
        <is>
          <t>A 48975-2025</t>
        </is>
      </c>
      <c r="B475" s="1" t="n">
        <v>45937.56798611111</v>
      </c>
      <c r="C475" s="1" t="n">
        <v>46025</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48993-2025</t>
        </is>
      </c>
      <c r="B476" s="1" t="n">
        <v>45937.58590277778</v>
      </c>
      <c r="C476" s="1" t="n">
        <v>46025</v>
      </c>
      <c r="D476" t="inlineStr">
        <is>
          <t>ÖREBRO LÄN</t>
        </is>
      </c>
      <c r="E476" t="inlineStr">
        <is>
          <t>LINDESBERG</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49183-2025</t>
        </is>
      </c>
      <c r="B477" s="1" t="n">
        <v>45938.39741898148</v>
      </c>
      <c r="C477" s="1" t="n">
        <v>46025</v>
      </c>
      <c r="D477" t="inlineStr">
        <is>
          <t>ÖREBRO LÄN</t>
        </is>
      </c>
      <c r="E477" t="inlineStr">
        <is>
          <t>LINDESBERG</t>
        </is>
      </c>
      <c r="G477" t="n">
        <v>4.4</v>
      </c>
      <c r="H477" t="n">
        <v>0</v>
      </c>
      <c r="I477" t="n">
        <v>0</v>
      </c>
      <c r="J477" t="n">
        <v>0</v>
      </c>
      <c r="K477" t="n">
        <v>0</v>
      </c>
      <c r="L477" t="n">
        <v>0</v>
      </c>
      <c r="M477" t="n">
        <v>0</v>
      </c>
      <c r="N477" t="n">
        <v>0</v>
      </c>
      <c r="O477" t="n">
        <v>0</v>
      </c>
      <c r="P477" t="n">
        <v>0</v>
      </c>
      <c r="Q477" t="n">
        <v>0</v>
      </c>
      <c r="R477" s="2" t="inlineStr"/>
    </row>
    <row r="478" ht="15" customHeight="1">
      <c r="A478" t="inlineStr">
        <is>
          <t>A 28082-2021</t>
        </is>
      </c>
      <c r="B478" s="1" t="n">
        <v>44355</v>
      </c>
      <c r="C478" s="1" t="n">
        <v>46025</v>
      </c>
      <c r="D478" t="inlineStr">
        <is>
          <t>ÖREBRO LÄN</t>
        </is>
      </c>
      <c r="E478" t="inlineStr">
        <is>
          <t>LINDESBERG</t>
        </is>
      </c>
      <c r="F478" t="inlineStr">
        <is>
          <t>Sveaskog</t>
        </is>
      </c>
      <c r="G478" t="n">
        <v>9.9</v>
      </c>
      <c r="H478" t="n">
        <v>0</v>
      </c>
      <c r="I478" t="n">
        <v>0</v>
      </c>
      <c r="J478" t="n">
        <v>0</v>
      </c>
      <c r="K478" t="n">
        <v>0</v>
      </c>
      <c r="L478" t="n">
        <v>0</v>
      </c>
      <c r="M478" t="n">
        <v>0</v>
      </c>
      <c r="N478" t="n">
        <v>0</v>
      </c>
      <c r="O478" t="n">
        <v>0</v>
      </c>
      <c r="P478" t="n">
        <v>0</v>
      </c>
      <c r="Q478" t="n">
        <v>0</v>
      </c>
      <c r="R478" s="2" t="inlineStr"/>
    </row>
    <row r="479" ht="15" customHeight="1">
      <c r="A479" t="inlineStr">
        <is>
          <t>A 57911-2022</t>
        </is>
      </c>
      <c r="B479" s="1" t="n">
        <v>44900.36149305556</v>
      </c>
      <c r="C479" s="1" t="n">
        <v>46025</v>
      </c>
      <c r="D479" t="inlineStr">
        <is>
          <t>ÖREBRO LÄN</t>
        </is>
      </c>
      <c r="E479" t="inlineStr">
        <is>
          <t>LINDESBERG</t>
        </is>
      </c>
      <c r="G479" t="n">
        <v>4.9</v>
      </c>
      <c r="H479" t="n">
        <v>0</v>
      </c>
      <c r="I479" t="n">
        <v>0</v>
      </c>
      <c r="J479" t="n">
        <v>0</v>
      </c>
      <c r="K479" t="n">
        <v>0</v>
      </c>
      <c r="L479" t="n">
        <v>0</v>
      </c>
      <c r="M479" t="n">
        <v>0</v>
      </c>
      <c r="N479" t="n">
        <v>0</v>
      </c>
      <c r="O479" t="n">
        <v>0</v>
      </c>
      <c r="P479" t="n">
        <v>0</v>
      </c>
      <c r="Q479" t="n">
        <v>0</v>
      </c>
      <c r="R479" s="2" t="inlineStr"/>
    </row>
    <row r="480" ht="15" customHeight="1">
      <c r="A480" t="inlineStr">
        <is>
          <t>A 49100-2025</t>
        </is>
      </c>
      <c r="B480" s="1" t="n">
        <v>45937.71556712963</v>
      </c>
      <c r="C480" s="1" t="n">
        <v>46025</v>
      </c>
      <c r="D480" t="inlineStr">
        <is>
          <t>ÖREBRO LÄN</t>
        </is>
      </c>
      <c r="E480" t="inlineStr">
        <is>
          <t>LINDESBERG</t>
        </is>
      </c>
      <c r="G480" t="n">
        <v>2.2</v>
      </c>
      <c r="H480" t="n">
        <v>0</v>
      </c>
      <c r="I480" t="n">
        <v>0</v>
      </c>
      <c r="J480" t="n">
        <v>0</v>
      </c>
      <c r="K480" t="n">
        <v>0</v>
      </c>
      <c r="L480" t="n">
        <v>0</v>
      </c>
      <c r="M480" t="n">
        <v>0</v>
      </c>
      <c r="N480" t="n">
        <v>0</v>
      </c>
      <c r="O480" t="n">
        <v>0</v>
      </c>
      <c r="P480" t="n">
        <v>0</v>
      </c>
      <c r="Q480" t="n">
        <v>0</v>
      </c>
      <c r="R480" s="2" t="inlineStr"/>
    </row>
    <row r="481" ht="15" customHeight="1">
      <c r="A481" t="inlineStr">
        <is>
          <t>A 64427-2021</t>
        </is>
      </c>
      <c r="B481" s="1" t="n">
        <v>44511</v>
      </c>
      <c r="C481" s="1" t="n">
        <v>46025</v>
      </c>
      <c r="D481" t="inlineStr">
        <is>
          <t>ÖREBRO LÄN</t>
        </is>
      </c>
      <c r="E481" t="inlineStr">
        <is>
          <t>LINDESBERG</t>
        </is>
      </c>
      <c r="G481" t="n">
        <v>2.2</v>
      </c>
      <c r="H481" t="n">
        <v>0</v>
      </c>
      <c r="I481" t="n">
        <v>0</v>
      </c>
      <c r="J481" t="n">
        <v>0</v>
      </c>
      <c r="K481" t="n">
        <v>0</v>
      </c>
      <c r="L481" t="n">
        <v>0</v>
      </c>
      <c r="M481" t="n">
        <v>0</v>
      </c>
      <c r="N481" t="n">
        <v>0</v>
      </c>
      <c r="O481" t="n">
        <v>0</v>
      </c>
      <c r="P481" t="n">
        <v>0</v>
      </c>
      <c r="Q481" t="n">
        <v>0</v>
      </c>
      <c r="R481" s="2" t="inlineStr"/>
    </row>
    <row r="482" ht="15" customHeight="1">
      <c r="A482" t="inlineStr">
        <is>
          <t>A 27702-2025</t>
        </is>
      </c>
      <c r="B482" s="1" t="n">
        <v>45813</v>
      </c>
      <c r="C482" s="1" t="n">
        <v>46025</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48867-2025</t>
        </is>
      </c>
      <c r="B483" s="1" t="n">
        <v>45937.4484837963</v>
      </c>
      <c r="C483" s="1" t="n">
        <v>46025</v>
      </c>
      <c r="D483" t="inlineStr">
        <is>
          <t>ÖREBRO LÄN</t>
        </is>
      </c>
      <c r="E483" t="inlineStr">
        <is>
          <t>LINDESBERG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35366-2025</t>
        </is>
      </c>
      <c r="B484" s="1" t="n">
        <v>45854</v>
      </c>
      <c r="C484" s="1" t="n">
        <v>46025</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49133-2025</t>
        </is>
      </c>
      <c r="B485" s="1" t="n">
        <v>45937.92319444445</v>
      </c>
      <c r="C485" s="1" t="n">
        <v>46025</v>
      </c>
      <c r="D485" t="inlineStr">
        <is>
          <t>ÖREBRO LÄN</t>
        </is>
      </c>
      <c r="E485" t="inlineStr">
        <is>
          <t>LINDESBERG</t>
        </is>
      </c>
      <c r="G485" t="n">
        <v>5</v>
      </c>
      <c r="H485" t="n">
        <v>0</v>
      </c>
      <c r="I485" t="n">
        <v>0</v>
      </c>
      <c r="J485" t="n">
        <v>0</v>
      </c>
      <c r="K485" t="n">
        <v>0</v>
      </c>
      <c r="L485" t="n">
        <v>0</v>
      </c>
      <c r="M485" t="n">
        <v>0</v>
      </c>
      <c r="N485" t="n">
        <v>0</v>
      </c>
      <c r="O485" t="n">
        <v>0</v>
      </c>
      <c r="P485" t="n">
        <v>0</v>
      </c>
      <c r="Q485" t="n">
        <v>0</v>
      </c>
      <c r="R485" s="2" t="inlineStr"/>
    </row>
    <row r="486" ht="15" customHeight="1">
      <c r="A486" t="inlineStr">
        <is>
          <t>A 49707-2025</t>
        </is>
      </c>
      <c r="B486" s="1" t="n">
        <v>45939.67951388889</v>
      </c>
      <c r="C486" s="1" t="n">
        <v>46025</v>
      </c>
      <c r="D486" t="inlineStr">
        <is>
          <t>ÖREBRO LÄN</t>
        </is>
      </c>
      <c r="E486" t="inlineStr">
        <is>
          <t>LINDESBERG</t>
        </is>
      </c>
      <c r="F486" t="inlineStr">
        <is>
          <t>Kommuner</t>
        </is>
      </c>
      <c r="G486" t="n">
        <v>0.6</v>
      </c>
      <c r="H486" t="n">
        <v>0</v>
      </c>
      <c r="I486" t="n">
        <v>0</v>
      </c>
      <c r="J486" t="n">
        <v>0</v>
      </c>
      <c r="K486" t="n">
        <v>0</v>
      </c>
      <c r="L486" t="n">
        <v>0</v>
      </c>
      <c r="M486" t="n">
        <v>0</v>
      </c>
      <c r="N486" t="n">
        <v>0</v>
      </c>
      <c r="O486" t="n">
        <v>0</v>
      </c>
      <c r="P486" t="n">
        <v>0</v>
      </c>
      <c r="Q486" t="n">
        <v>0</v>
      </c>
      <c r="R486" s="2" t="inlineStr"/>
    </row>
    <row r="487" ht="15" customHeight="1">
      <c r="A487" t="inlineStr">
        <is>
          <t>A 19077-2025</t>
        </is>
      </c>
      <c r="B487" s="1" t="n">
        <v>45766.33309027777</v>
      </c>
      <c r="C487" s="1" t="n">
        <v>46025</v>
      </c>
      <c r="D487" t="inlineStr">
        <is>
          <t>ÖREBRO LÄN</t>
        </is>
      </c>
      <c r="E487" t="inlineStr">
        <is>
          <t>LINDESBERG</t>
        </is>
      </c>
      <c r="G487" t="n">
        <v>0</v>
      </c>
      <c r="H487" t="n">
        <v>0</v>
      </c>
      <c r="I487" t="n">
        <v>0</v>
      </c>
      <c r="J487" t="n">
        <v>0</v>
      </c>
      <c r="K487" t="n">
        <v>0</v>
      </c>
      <c r="L487" t="n">
        <v>0</v>
      </c>
      <c r="M487" t="n">
        <v>0</v>
      </c>
      <c r="N487" t="n">
        <v>0</v>
      </c>
      <c r="O487" t="n">
        <v>0</v>
      </c>
      <c r="P487" t="n">
        <v>0</v>
      </c>
      <c r="Q487" t="n">
        <v>0</v>
      </c>
      <c r="R487" s="2" t="inlineStr"/>
    </row>
    <row r="488" ht="15" customHeight="1">
      <c r="A488" t="inlineStr">
        <is>
          <t>A 49544-2023</t>
        </is>
      </c>
      <c r="B488" s="1" t="n">
        <v>45211</v>
      </c>
      <c r="C488" s="1" t="n">
        <v>46025</v>
      </c>
      <c r="D488" t="inlineStr">
        <is>
          <t>ÖREBRO LÄN</t>
        </is>
      </c>
      <c r="E488" t="inlineStr">
        <is>
          <t>LINDESBERG</t>
        </is>
      </c>
      <c r="G488" t="n">
        <v>0.5</v>
      </c>
      <c r="H488" t="n">
        <v>0</v>
      </c>
      <c r="I488" t="n">
        <v>0</v>
      </c>
      <c r="J488" t="n">
        <v>0</v>
      </c>
      <c r="K488" t="n">
        <v>0</v>
      </c>
      <c r="L488" t="n">
        <v>0</v>
      </c>
      <c r="M488" t="n">
        <v>0</v>
      </c>
      <c r="N488" t="n">
        <v>0</v>
      </c>
      <c r="O488" t="n">
        <v>0</v>
      </c>
      <c r="P488" t="n">
        <v>0</v>
      </c>
      <c r="Q488" t="n">
        <v>0</v>
      </c>
      <c r="R488" s="2" t="inlineStr"/>
    </row>
    <row r="489" ht="15" customHeight="1">
      <c r="A489" t="inlineStr">
        <is>
          <t>A 49946-2025</t>
        </is>
      </c>
      <c r="B489" s="1" t="n">
        <v>45940.69862268519</v>
      </c>
      <c r="C489" s="1" t="n">
        <v>46025</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49944-2025</t>
        </is>
      </c>
      <c r="B490" s="1" t="n">
        <v>45940.69643518519</v>
      </c>
      <c r="C490" s="1" t="n">
        <v>46025</v>
      </c>
      <c r="D490" t="inlineStr">
        <is>
          <t>ÖREBRO LÄN</t>
        </is>
      </c>
      <c r="E490" t="inlineStr">
        <is>
          <t>LINDESBERG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49947-2025</t>
        </is>
      </c>
      <c r="B491" s="1" t="n">
        <v>45940.70018518518</v>
      </c>
      <c r="C491" s="1" t="n">
        <v>46025</v>
      </c>
      <c r="D491" t="inlineStr">
        <is>
          <t>ÖREBRO LÄN</t>
        </is>
      </c>
      <c r="E491" t="inlineStr">
        <is>
          <t>LINDESBERG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15094-2025</t>
        </is>
      </c>
      <c r="B492" s="1" t="n">
        <v>45744.32981481482</v>
      </c>
      <c r="C492" s="1" t="n">
        <v>46025</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49943-2025</t>
        </is>
      </c>
      <c r="B493" s="1" t="n">
        <v>45940.69521990741</v>
      </c>
      <c r="C493" s="1" t="n">
        <v>46025</v>
      </c>
      <c r="D493" t="inlineStr">
        <is>
          <t>ÖREBRO LÄN</t>
        </is>
      </c>
      <c r="E493" t="inlineStr">
        <is>
          <t>LINDESBERG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13969-2025</t>
        </is>
      </c>
      <c r="B494" s="1" t="n">
        <v>45738.43714120371</v>
      </c>
      <c r="C494" s="1" t="n">
        <v>46025</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24352-2023</t>
        </is>
      </c>
      <c r="B495" s="1" t="n">
        <v>45082.31421296296</v>
      </c>
      <c r="C495" s="1" t="n">
        <v>46025</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484-2022</t>
        </is>
      </c>
      <c r="B496" s="1" t="n">
        <v>44566</v>
      </c>
      <c r="C496" s="1" t="n">
        <v>46025</v>
      </c>
      <c r="D496" t="inlineStr">
        <is>
          <t>ÖREBRO LÄN</t>
        </is>
      </c>
      <c r="E496" t="inlineStr">
        <is>
          <t>LINDESBERG</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35702-2025</t>
        </is>
      </c>
      <c r="B497" s="1" t="n">
        <v>45860.36222222223</v>
      </c>
      <c r="C497" s="1" t="n">
        <v>46025</v>
      </c>
      <c r="D497" t="inlineStr">
        <is>
          <t>ÖREBRO LÄN</t>
        </is>
      </c>
      <c r="E497" t="inlineStr">
        <is>
          <t>LINDESBERG</t>
        </is>
      </c>
      <c r="G497" t="n">
        <v>5.3</v>
      </c>
      <c r="H497" t="n">
        <v>0</v>
      </c>
      <c r="I497" t="n">
        <v>0</v>
      </c>
      <c r="J497" t="n">
        <v>0</v>
      </c>
      <c r="K497" t="n">
        <v>0</v>
      </c>
      <c r="L497" t="n">
        <v>0</v>
      </c>
      <c r="M497" t="n">
        <v>0</v>
      </c>
      <c r="N497" t="n">
        <v>0</v>
      </c>
      <c r="O497" t="n">
        <v>0</v>
      </c>
      <c r="P497" t="n">
        <v>0</v>
      </c>
      <c r="Q497" t="n">
        <v>0</v>
      </c>
      <c r="R497" s="2" t="inlineStr"/>
    </row>
    <row r="498" ht="15" customHeight="1">
      <c r="A498" t="inlineStr">
        <is>
          <t>A 35710-2025</t>
        </is>
      </c>
      <c r="B498" s="1" t="n">
        <v>45860.3857175926</v>
      </c>
      <c r="C498" s="1" t="n">
        <v>46025</v>
      </c>
      <c r="D498" t="inlineStr">
        <is>
          <t>ÖREBRO LÄN</t>
        </is>
      </c>
      <c r="E498" t="inlineStr">
        <is>
          <t>LINDESBERG</t>
        </is>
      </c>
      <c r="G498" t="n">
        <v>3.2</v>
      </c>
      <c r="H498" t="n">
        <v>0</v>
      </c>
      <c r="I498" t="n">
        <v>0</v>
      </c>
      <c r="J498" t="n">
        <v>0</v>
      </c>
      <c r="K498" t="n">
        <v>0</v>
      </c>
      <c r="L498" t="n">
        <v>0</v>
      </c>
      <c r="M498" t="n">
        <v>0</v>
      </c>
      <c r="N498" t="n">
        <v>0</v>
      </c>
      <c r="O498" t="n">
        <v>0</v>
      </c>
      <c r="P498" t="n">
        <v>0</v>
      </c>
      <c r="Q498" t="n">
        <v>0</v>
      </c>
      <c r="R498" s="2" t="inlineStr"/>
    </row>
    <row r="499" ht="15" customHeight="1">
      <c r="A499" t="inlineStr">
        <is>
          <t>A 36024-2021</t>
        </is>
      </c>
      <c r="B499" s="1" t="n">
        <v>44389</v>
      </c>
      <c r="C499" s="1" t="n">
        <v>46025</v>
      </c>
      <c r="D499" t="inlineStr">
        <is>
          <t>ÖREBRO LÄN</t>
        </is>
      </c>
      <c r="E499" t="inlineStr">
        <is>
          <t>LINDESBERG</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10823-2023</t>
        </is>
      </c>
      <c r="B500" s="1" t="n">
        <v>44990</v>
      </c>
      <c r="C500" s="1" t="n">
        <v>46025</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47304-2024</t>
        </is>
      </c>
      <c r="B501" s="1" t="n">
        <v>45587</v>
      </c>
      <c r="C501" s="1" t="n">
        <v>46025</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50072-2025</t>
        </is>
      </c>
      <c r="B502" s="1" t="n">
        <v>45943.45966435185</v>
      </c>
      <c r="C502" s="1" t="n">
        <v>46025</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50086-2025</t>
        </is>
      </c>
      <c r="B503" s="1" t="n">
        <v>45943.47649305555</v>
      </c>
      <c r="C503" s="1" t="n">
        <v>46025</v>
      </c>
      <c r="D503" t="inlineStr">
        <is>
          <t>ÖREBRO LÄN</t>
        </is>
      </c>
      <c r="E503" t="inlineStr">
        <is>
          <t>LINDESBERG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58603-2023</t>
        </is>
      </c>
      <c r="B504" s="1" t="n">
        <v>45251</v>
      </c>
      <c r="C504" s="1" t="n">
        <v>46025</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13417-2025</t>
        </is>
      </c>
      <c r="B505" s="1" t="n">
        <v>45736.30940972222</v>
      </c>
      <c r="C505" s="1" t="n">
        <v>46025</v>
      </c>
      <c r="D505" t="inlineStr">
        <is>
          <t>ÖREBRO LÄN</t>
        </is>
      </c>
      <c r="E505" t="inlineStr">
        <is>
          <t>LINDESBERG</t>
        </is>
      </c>
      <c r="G505" t="n">
        <v>2.2</v>
      </c>
      <c r="H505" t="n">
        <v>0</v>
      </c>
      <c r="I505" t="n">
        <v>0</v>
      </c>
      <c r="J505" t="n">
        <v>0</v>
      </c>
      <c r="K505" t="n">
        <v>0</v>
      </c>
      <c r="L505" t="n">
        <v>0</v>
      </c>
      <c r="M505" t="n">
        <v>0</v>
      </c>
      <c r="N505" t="n">
        <v>0</v>
      </c>
      <c r="O505" t="n">
        <v>0</v>
      </c>
      <c r="P505" t="n">
        <v>0</v>
      </c>
      <c r="Q505" t="n">
        <v>0</v>
      </c>
      <c r="R505" s="2" t="inlineStr"/>
    </row>
    <row r="506" ht="15" customHeight="1">
      <c r="A506" t="inlineStr">
        <is>
          <t>A 50073-2025</t>
        </is>
      </c>
      <c r="B506" s="1" t="n">
        <v>45943.4603125</v>
      </c>
      <c r="C506" s="1" t="n">
        <v>46025</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43066-2021</t>
        </is>
      </c>
      <c r="B507" s="1" t="n">
        <v>44431</v>
      </c>
      <c r="C507" s="1" t="n">
        <v>46025</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23603-2023</t>
        </is>
      </c>
      <c r="B508" s="1" t="n">
        <v>45077</v>
      </c>
      <c r="C508" s="1" t="n">
        <v>46025</v>
      </c>
      <c r="D508" t="inlineStr">
        <is>
          <t>ÖREBRO LÄN</t>
        </is>
      </c>
      <c r="E508" t="inlineStr">
        <is>
          <t>LINDESBERG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23607-2023</t>
        </is>
      </c>
      <c r="B509" s="1" t="n">
        <v>45077</v>
      </c>
      <c r="C509" s="1" t="n">
        <v>46025</v>
      </c>
      <c r="D509" t="inlineStr">
        <is>
          <t>ÖREBRO LÄN</t>
        </is>
      </c>
      <c r="E509" t="inlineStr">
        <is>
          <t>LINDESBERG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23612-2023</t>
        </is>
      </c>
      <c r="B510" s="1" t="n">
        <v>45077</v>
      </c>
      <c r="C510" s="1" t="n">
        <v>46025</v>
      </c>
      <c r="D510" t="inlineStr">
        <is>
          <t>ÖREBRO LÄN</t>
        </is>
      </c>
      <c r="E510" t="inlineStr">
        <is>
          <t>LINDESBERG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45173-2024</t>
        </is>
      </c>
      <c r="B511" s="1" t="n">
        <v>45575.65721064815</v>
      </c>
      <c r="C511" s="1" t="n">
        <v>46025</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50936-2025</t>
        </is>
      </c>
      <c r="B512" s="1" t="n">
        <v>45946.69616898148</v>
      </c>
      <c r="C512" s="1" t="n">
        <v>46025</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23102-2023</t>
        </is>
      </c>
      <c r="B513" s="1" t="n">
        <v>45075.44152777778</v>
      </c>
      <c r="C513" s="1" t="n">
        <v>46025</v>
      </c>
      <c r="D513" t="inlineStr">
        <is>
          <t>ÖREBRO LÄN</t>
        </is>
      </c>
      <c r="E513" t="inlineStr">
        <is>
          <t>LINDESBERG</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15212-2025</t>
        </is>
      </c>
      <c r="B514" s="1" t="n">
        <v>45744.57673611111</v>
      </c>
      <c r="C514" s="1" t="n">
        <v>46025</v>
      </c>
      <c r="D514" t="inlineStr">
        <is>
          <t>ÖREBRO LÄN</t>
        </is>
      </c>
      <c r="E514" t="inlineStr">
        <is>
          <t>LINDESBERG</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3148-2023</t>
        </is>
      </c>
      <c r="B515" s="1" t="n">
        <v>44946.54424768518</v>
      </c>
      <c r="C515" s="1" t="n">
        <v>46025</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30514-2025</t>
        </is>
      </c>
      <c r="B516" s="1" t="n">
        <v>45831</v>
      </c>
      <c r="C516" s="1" t="n">
        <v>46025</v>
      </c>
      <c r="D516" t="inlineStr">
        <is>
          <t>ÖREBRO LÄN</t>
        </is>
      </c>
      <c r="E516" t="inlineStr">
        <is>
          <t>LINDESBERG</t>
        </is>
      </c>
      <c r="G516" t="n">
        <v>1.6</v>
      </c>
      <c r="H516" t="n">
        <v>0</v>
      </c>
      <c r="I516" t="n">
        <v>0</v>
      </c>
      <c r="J516" t="n">
        <v>0</v>
      </c>
      <c r="K516" t="n">
        <v>0</v>
      </c>
      <c r="L516" t="n">
        <v>0</v>
      </c>
      <c r="M516" t="n">
        <v>0</v>
      </c>
      <c r="N516" t="n">
        <v>0</v>
      </c>
      <c r="O516" t="n">
        <v>0</v>
      </c>
      <c r="P516" t="n">
        <v>0</v>
      </c>
      <c r="Q516" t="n">
        <v>0</v>
      </c>
      <c r="R516" s="2" t="inlineStr"/>
    </row>
    <row r="517" ht="15" customHeight="1">
      <c r="A517" t="inlineStr">
        <is>
          <t>A 58963-2025</t>
        </is>
      </c>
      <c r="B517" s="1" t="n">
        <v>45987.60012731481</v>
      </c>
      <c r="C517" s="1" t="n">
        <v>46025</v>
      </c>
      <c r="D517" t="inlineStr">
        <is>
          <t>ÖREBRO LÄN</t>
        </is>
      </c>
      <c r="E517" t="inlineStr">
        <is>
          <t>LINDESBERG</t>
        </is>
      </c>
      <c r="G517" t="n">
        <v>0.8</v>
      </c>
      <c r="H517" t="n">
        <v>0</v>
      </c>
      <c r="I517" t="n">
        <v>0</v>
      </c>
      <c r="J517" t="n">
        <v>0</v>
      </c>
      <c r="K517" t="n">
        <v>0</v>
      </c>
      <c r="L517" t="n">
        <v>0</v>
      </c>
      <c r="M517" t="n">
        <v>0</v>
      </c>
      <c r="N517" t="n">
        <v>0</v>
      </c>
      <c r="O517" t="n">
        <v>0</v>
      </c>
      <c r="P517" t="n">
        <v>0</v>
      </c>
      <c r="Q517" t="n">
        <v>0</v>
      </c>
      <c r="R517" s="2" t="inlineStr"/>
    </row>
    <row r="518" ht="15" customHeight="1">
      <c r="A518" t="inlineStr">
        <is>
          <t>A 36253-2024</t>
        </is>
      </c>
      <c r="B518" s="1" t="n">
        <v>45534.54032407407</v>
      </c>
      <c r="C518" s="1" t="n">
        <v>46025</v>
      </c>
      <c r="D518" t="inlineStr">
        <is>
          <t>ÖREBRO LÄN</t>
        </is>
      </c>
      <c r="E518" t="inlineStr">
        <is>
          <t>LINDESBERG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30512-2025</t>
        </is>
      </c>
      <c r="B519" s="1" t="n">
        <v>45831</v>
      </c>
      <c r="C519" s="1" t="n">
        <v>46025</v>
      </c>
      <c r="D519" t="inlineStr">
        <is>
          <t>ÖREBRO LÄN</t>
        </is>
      </c>
      <c r="E519" t="inlineStr">
        <is>
          <t>LINDESBERG</t>
        </is>
      </c>
      <c r="G519" t="n">
        <v>4.5</v>
      </c>
      <c r="H519" t="n">
        <v>0</v>
      </c>
      <c r="I519" t="n">
        <v>0</v>
      </c>
      <c r="J519" t="n">
        <v>0</v>
      </c>
      <c r="K519" t="n">
        <v>0</v>
      </c>
      <c r="L519" t="n">
        <v>0</v>
      </c>
      <c r="M519" t="n">
        <v>0</v>
      </c>
      <c r="N519" t="n">
        <v>0</v>
      </c>
      <c r="O519" t="n">
        <v>0</v>
      </c>
      <c r="P519" t="n">
        <v>0</v>
      </c>
      <c r="Q519" t="n">
        <v>0</v>
      </c>
      <c r="R519" s="2" t="inlineStr"/>
    </row>
    <row r="520" ht="15" customHeight="1">
      <c r="A520" t="inlineStr">
        <is>
          <t>A 50765-2025</t>
        </is>
      </c>
      <c r="B520" s="1" t="n">
        <v>45946.44216435185</v>
      </c>
      <c r="C520" s="1" t="n">
        <v>46025</v>
      </c>
      <c r="D520" t="inlineStr">
        <is>
          <t>ÖREBRO LÄN</t>
        </is>
      </c>
      <c r="E520" t="inlineStr">
        <is>
          <t>LINDESBERG</t>
        </is>
      </c>
      <c r="F520" t="inlineStr">
        <is>
          <t>Sveaskog</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36572-2025</t>
        </is>
      </c>
      <c r="B521" s="1" t="n">
        <v>45870</v>
      </c>
      <c r="C521" s="1" t="n">
        <v>46025</v>
      </c>
      <c r="D521" t="inlineStr">
        <is>
          <t>ÖREBRO LÄN</t>
        </is>
      </c>
      <c r="E521" t="inlineStr">
        <is>
          <t>LINDESBERG</t>
        </is>
      </c>
      <c r="G521" t="n">
        <v>11.9</v>
      </c>
      <c r="H521" t="n">
        <v>0</v>
      </c>
      <c r="I521" t="n">
        <v>0</v>
      </c>
      <c r="J521" t="n">
        <v>0</v>
      </c>
      <c r="K521" t="n">
        <v>0</v>
      </c>
      <c r="L521" t="n">
        <v>0</v>
      </c>
      <c r="M521" t="n">
        <v>0</v>
      </c>
      <c r="N521" t="n">
        <v>0</v>
      </c>
      <c r="O521" t="n">
        <v>0</v>
      </c>
      <c r="P521" t="n">
        <v>0</v>
      </c>
      <c r="Q521" t="n">
        <v>0</v>
      </c>
      <c r="R521" s="2" t="inlineStr"/>
    </row>
    <row r="522" ht="15" customHeight="1">
      <c r="A522" t="inlineStr">
        <is>
          <t>A 36577-2025</t>
        </is>
      </c>
      <c r="B522" s="1" t="n">
        <v>45870</v>
      </c>
      <c r="C522" s="1" t="n">
        <v>46025</v>
      </c>
      <c r="D522" t="inlineStr">
        <is>
          <t>ÖREBRO LÄN</t>
        </is>
      </c>
      <c r="E522" t="inlineStr">
        <is>
          <t>LINDESBERG</t>
        </is>
      </c>
      <c r="G522" t="n">
        <v>3.7</v>
      </c>
      <c r="H522" t="n">
        <v>0</v>
      </c>
      <c r="I522" t="n">
        <v>0</v>
      </c>
      <c r="J522" t="n">
        <v>0</v>
      </c>
      <c r="K522" t="n">
        <v>0</v>
      </c>
      <c r="L522" t="n">
        <v>0</v>
      </c>
      <c r="M522" t="n">
        <v>0</v>
      </c>
      <c r="N522" t="n">
        <v>0</v>
      </c>
      <c r="O522" t="n">
        <v>0</v>
      </c>
      <c r="P522" t="n">
        <v>0</v>
      </c>
      <c r="Q522" t="n">
        <v>0</v>
      </c>
      <c r="R522" s="2" t="inlineStr"/>
    </row>
    <row r="523" ht="15" customHeight="1">
      <c r="A523" t="inlineStr">
        <is>
          <t>A 50933-2025</t>
        </is>
      </c>
      <c r="B523" s="1" t="n">
        <v>45946.68859953704</v>
      </c>
      <c r="C523" s="1" t="n">
        <v>46025</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50225-2021</t>
        </is>
      </c>
      <c r="B524" s="1" t="n">
        <v>44457</v>
      </c>
      <c r="C524" s="1" t="n">
        <v>46025</v>
      </c>
      <c r="D524" t="inlineStr">
        <is>
          <t>ÖREBRO LÄN</t>
        </is>
      </c>
      <c r="E524" t="inlineStr">
        <is>
          <t>LINDESBERG</t>
        </is>
      </c>
      <c r="G524" t="n">
        <v>2.5</v>
      </c>
      <c r="H524" t="n">
        <v>0</v>
      </c>
      <c r="I524" t="n">
        <v>0</v>
      </c>
      <c r="J524" t="n">
        <v>0</v>
      </c>
      <c r="K524" t="n">
        <v>0</v>
      </c>
      <c r="L524" t="n">
        <v>0</v>
      </c>
      <c r="M524" t="n">
        <v>0</v>
      </c>
      <c r="N524" t="n">
        <v>0</v>
      </c>
      <c r="O524" t="n">
        <v>0</v>
      </c>
      <c r="P524" t="n">
        <v>0</v>
      </c>
      <c r="Q524" t="n">
        <v>0</v>
      </c>
      <c r="R524" s="2" t="inlineStr"/>
    </row>
    <row r="525" ht="15" customHeight="1">
      <c r="A525" t="inlineStr">
        <is>
          <t>A 36574-2025</t>
        </is>
      </c>
      <c r="B525" s="1" t="n">
        <v>45870</v>
      </c>
      <c r="C525" s="1" t="n">
        <v>46025</v>
      </c>
      <c r="D525" t="inlineStr">
        <is>
          <t>ÖREBRO LÄN</t>
        </is>
      </c>
      <c r="E525" t="inlineStr">
        <is>
          <t>LINDESBERG</t>
        </is>
      </c>
      <c r="G525" t="n">
        <v>4</v>
      </c>
      <c r="H525" t="n">
        <v>0</v>
      </c>
      <c r="I525" t="n">
        <v>0</v>
      </c>
      <c r="J525" t="n">
        <v>0</v>
      </c>
      <c r="K525" t="n">
        <v>0</v>
      </c>
      <c r="L525" t="n">
        <v>0</v>
      </c>
      <c r="M525" t="n">
        <v>0</v>
      </c>
      <c r="N525" t="n">
        <v>0</v>
      </c>
      <c r="O525" t="n">
        <v>0</v>
      </c>
      <c r="P525" t="n">
        <v>0</v>
      </c>
      <c r="Q525" t="n">
        <v>0</v>
      </c>
      <c r="R525" s="2" t="inlineStr"/>
    </row>
    <row r="526" ht="15" customHeight="1">
      <c r="A526" t="inlineStr">
        <is>
          <t>A 51030-2025</t>
        </is>
      </c>
      <c r="B526" s="1" t="n">
        <v>45947.40105324074</v>
      </c>
      <c r="C526" s="1" t="n">
        <v>46025</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36579-2025</t>
        </is>
      </c>
      <c r="B527" s="1" t="n">
        <v>45870</v>
      </c>
      <c r="C527" s="1" t="n">
        <v>46025</v>
      </c>
      <c r="D527" t="inlineStr">
        <is>
          <t>ÖREBRO LÄN</t>
        </is>
      </c>
      <c r="E527" t="inlineStr">
        <is>
          <t>LINDESBERG</t>
        </is>
      </c>
      <c r="G527" t="n">
        <v>6</v>
      </c>
      <c r="H527" t="n">
        <v>0</v>
      </c>
      <c r="I527" t="n">
        <v>0</v>
      </c>
      <c r="J527" t="n">
        <v>0</v>
      </c>
      <c r="K527" t="n">
        <v>0</v>
      </c>
      <c r="L527" t="n">
        <v>0</v>
      </c>
      <c r="M527" t="n">
        <v>0</v>
      </c>
      <c r="N527" t="n">
        <v>0</v>
      </c>
      <c r="O527" t="n">
        <v>0</v>
      </c>
      <c r="P527" t="n">
        <v>0</v>
      </c>
      <c r="Q527" t="n">
        <v>0</v>
      </c>
      <c r="R527" s="2" t="inlineStr"/>
    </row>
    <row r="528" ht="15" customHeight="1">
      <c r="A528" t="inlineStr">
        <is>
          <t>A 61202-2023</t>
        </is>
      </c>
      <c r="B528" s="1" t="n">
        <v>45264.38084490741</v>
      </c>
      <c r="C528" s="1" t="n">
        <v>46025</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14187-2024</t>
        </is>
      </c>
      <c r="B529" s="1" t="n">
        <v>45393.35787037037</v>
      </c>
      <c r="C529" s="1" t="n">
        <v>46025</v>
      </c>
      <c r="D529" t="inlineStr">
        <is>
          <t>ÖREBRO LÄN</t>
        </is>
      </c>
      <c r="E529" t="inlineStr">
        <is>
          <t>LINDESBERG</t>
        </is>
      </c>
      <c r="F529" t="inlineStr">
        <is>
          <t>Sveaskog</t>
        </is>
      </c>
      <c r="G529" t="n">
        <v>0.3</v>
      </c>
      <c r="H529" t="n">
        <v>0</v>
      </c>
      <c r="I529" t="n">
        <v>0</v>
      </c>
      <c r="J529" t="n">
        <v>0</v>
      </c>
      <c r="K529" t="n">
        <v>0</v>
      </c>
      <c r="L529" t="n">
        <v>0</v>
      </c>
      <c r="M529" t="n">
        <v>0</v>
      </c>
      <c r="N529" t="n">
        <v>0</v>
      </c>
      <c r="O529" t="n">
        <v>0</v>
      </c>
      <c r="P529" t="n">
        <v>0</v>
      </c>
      <c r="Q529" t="n">
        <v>0</v>
      </c>
      <c r="R529" s="2" t="inlineStr"/>
    </row>
    <row r="530" ht="15" customHeight="1">
      <c r="A530" t="inlineStr">
        <is>
          <t>A 195-2022</t>
        </is>
      </c>
      <c r="B530" s="1" t="n">
        <v>44564</v>
      </c>
      <c r="C530" s="1" t="n">
        <v>46025</v>
      </c>
      <c r="D530" t="inlineStr">
        <is>
          <t>ÖREBRO LÄN</t>
        </is>
      </c>
      <c r="E530" t="inlineStr">
        <is>
          <t>LINDESBERG</t>
        </is>
      </c>
      <c r="G530" t="n">
        <v>4.7</v>
      </c>
      <c r="H530" t="n">
        <v>0</v>
      </c>
      <c r="I530" t="n">
        <v>0</v>
      </c>
      <c r="J530" t="n">
        <v>0</v>
      </c>
      <c r="K530" t="n">
        <v>0</v>
      </c>
      <c r="L530" t="n">
        <v>0</v>
      </c>
      <c r="M530" t="n">
        <v>0</v>
      </c>
      <c r="N530" t="n">
        <v>0</v>
      </c>
      <c r="O530" t="n">
        <v>0</v>
      </c>
      <c r="P530" t="n">
        <v>0</v>
      </c>
      <c r="Q530" t="n">
        <v>0</v>
      </c>
      <c r="R530" s="2" t="inlineStr"/>
    </row>
    <row r="531" ht="15" customHeight="1">
      <c r="A531" t="inlineStr">
        <is>
          <t>A 29500-2023</t>
        </is>
      </c>
      <c r="B531" s="1" t="n">
        <v>45106</v>
      </c>
      <c r="C531" s="1" t="n">
        <v>46025</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39140-2024</t>
        </is>
      </c>
      <c r="B532" s="1" t="n">
        <v>45548</v>
      </c>
      <c r="C532" s="1" t="n">
        <v>46025</v>
      </c>
      <c r="D532" t="inlineStr">
        <is>
          <t>ÖREBRO LÄN</t>
        </is>
      </c>
      <c r="E532" t="inlineStr">
        <is>
          <t>LINDESBERG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51186-2025</t>
        </is>
      </c>
      <c r="B533" s="1" t="n">
        <v>45947.62353009259</v>
      </c>
      <c r="C533" s="1" t="n">
        <v>46025</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265-2023</t>
        </is>
      </c>
      <c r="B534" s="1" t="n">
        <v>44928</v>
      </c>
      <c r="C534" s="1" t="n">
        <v>46025</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41582-2021</t>
        </is>
      </c>
      <c r="B535" s="1" t="n">
        <v>44425.40297453704</v>
      </c>
      <c r="C535" s="1" t="n">
        <v>46025</v>
      </c>
      <c r="D535" t="inlineStr">
        <is>
          <t>ÖREBRO LÄN</t>
        </is>
      </c>
      <c r="E535" t="inlineStr">
        <is>
          <t>LINDESBERG</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19392-2025</t>
        </is>
      </c>
      <c r="B536" s="1" t="n">
        <v>45769.66260416667</v>
      </c>
      <c r="C536" s="1" t="n">
        <v>46025</v>
      </c>
      <c r="D536" t="inlineStr">
        <is>
          <t>ÖREBRO LÄN</t>
        </is>
      </c>
      <c r="E536" t="inlineStr">
        <is>
          <t>LINDESBERG</t>
        </is>
      </c>
      <c r="G536" t="n">
        <v>6.5</v>
      </c>
      <c r="H536" t="n">
        <v>0</v>
      </c>
      <c r="I536" t="n">
        <v>0</v>
      </c>
      <c r="J536" t="n">
        <v>0</v>
      </c>
      <c r="K536" t="n">
        <v>0</v>
      </c>
      <c r="L536" t="n">
        <v>0</v>
      </c>
      <c r="M536" t="n">
        <v>0</v>
      </c>
      <c r="N536" t="n">
        <v>0</v>
      </c>
      <c r="O536" t="n">
        <v>0</v>
      </c>
      <c r="P536" t="n">
        <v>0</v>
      </c>
      <c r="Q536" t="n">
        <v>0</v>
      </c>
      <c r="R536" s="2" t="inlineStr"/>
    </row>
    <row r="537" ht="15" customHeight="1">
      <c r="A537" t="inlineStr">
        <is>
          <t>A 59052-2023</t>
        </is>
      </c>
      <c r="B537" s="1" t="n">
        <v>45252.78021990741</v>
      </c>
      <c r="C537" s="1" t="n">
        <v>46025</v>
      </c>
      <c r="D537" t="inlineStr">
        <is>
          <t>ÖREBRO LÄN</t>
        </is>
      </c>
      <c r="E537" t="inlineStr">
        <is>
          <t>LINDESBERG</t>
        </is>
      </c>
      <c r="G537" t="n">
        <v>4.2</v>
      </c>
      <c r="H537" t="n">
        <v>0</v>
      </c>
      <c r="I537" t="n">
        <v>0</v>
      </c>
      <c r="J537" t="n">
        <v>0</v>
      </c>
      <c r="K537" t="n">
        <v>0</v>
      </c>
      <c r="L537" t="n">
        <v>0</v>
      </c>
      <c r="M537" t="n">
        <v>0</v>
      </c>
      <c r="N537" t="n">
        <v>0</v>
      </c>
      <c r="O537" t="n">
        <v>0</v>
      </c>
      <c r="P537" t="n">
        <v>0</v>
      </c>
      <c r="Q537" t="n">
        <v>0</v>
      </c>
      <c r="R537" s="2" t="inlineStr"/>
    </row>
    <row r="538" ht="15" customHeight="1">
      <c r="A538" t="inlineStr">
        <is>
          <t>A 36859-2025</t>
        </is>
      </c>
      <c r="B538" s="1" t="n">
        <v>45874.40503472222</v>
      </c>
      <c r="C538" s="1" t="n">
        <v>46025</v>
      </c>
      <c r="D538" t="inlineStr">
        <is>
          <t>ÖREBRO LÄN</t>
        </is>
      </c>
      <c r="E538" t="inlineStr">
        <is>
          <t>LINDESBERG</t>
        </is>
      </c>
      <c r="F538" t="inlineStr">
        <is>
          <t>Övriga Aktiebolag</t>
        </is>
      </c>
      <c r="G538" t="n">
        <v>1.4</v>
      </c>
      <c r="H538" t="n">
        <v>0</v>
      </c>
      <c r="I538" t="n">
        <v>0</v>
      </c>
      <c r="J538" t="n">
        <v>0</v>
      </c>
      <c r="K538" t="n">
        <v>0</v>
      </c>
      <c r="L538" t="n">
        <v>0</v>
      </c>
      <c r="M538" t="n">
        <v>0</v>
      </c>
      <c r="N538" t="n">
        <v>0</v>
      </c>
      <c r="O538" t="n">
        <v>0</v>
      </c>
      <c r="P538" t="n">
        <v>0</v>
      </c>
      <c r="Q538" t="n">
        <v>0</v>
      </c>
      <c r="R538" s="2" t="inlineStr"/>
    </row>
    <row r="539" ht="15" customHeight="1">
      <c r="A539" t="inlineStr">
        <is>
          <t>A 51172-2025</t>
        </is>
      </c>
      <c r="B539" s="1" t="n">
        <v>45947.60508101852</v>
      </c>
      <c r="C539" s="1" t="n">
        <v>46025</v>
      </c>
      <c r="D539" t="inlineStr">
        <is>
          <t>ÖREBRO LÄN</t>
        </is>
      </c>
      <c r="E539" t="inlineStr">
        <is>
          <t>LINDESBERG</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6-2023</t>
        </is>
      </c>
      <c r="B540" s="1" t="n">
        <v>44927.72487268518</v>
      </c>
      <c r="C540" s="1" t="n">
        <v>46025</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54864-2024</t>
        </is>
      </c>
      <c r="B541" s="1" t="n">
        <v>45618.59456018519</v>
      </c>
      <c r="C541" s="1" t="n">
        <v>46025</v>
      </c>
      <c r="D541" t="inlineStr">
        <is>
          <t>ÖREBRO LÄN</t>
        </is>
      </c>
      <c r="E541" t="inlineStr">
        <is>
          <t>LINDESBERG</t>
        </is>
      </c>
      <c r="F541" t="inlineStr">
        <is>
          <t>Sveaskog</t>
        </is>
      </c>
      <c r="G541" t="n">
        <v>4.4</v>
      </c>
      <c r="H541" t="n">
        <v>0</v>
      </c>
      <c r="I541" t="n">
        <v>0</v>
      </c>
      <c r="J541" t="n">
        <v>0</v>
      </c>
      <c r="K541" t="n">
        <v>0</v>
      </c>
      <c r="L541" t="n">
        <v>0</v>
      </c>
      <c r="M541" t="n">
        <v>0</v>
      </c>
      <c r="N541" t="n">
        <v>0</v>
      </c>
      <c r="O541" t="n">
        <v>0</v>
      </c>
      <c r="P541" t="n">
        <v>0</v>
      </c>
      <c r="Q541" t="n">
        <v>0</v>
      </c>
      <c r="R541" s="2" t="inlineStr"/>
    </row>
    <row r="542" ht="15" customHeight="1">
      <c r="A542" t="inlineStr">
        <is>
          <t>A 52102-2025</t>
        </is>
      </c>
      <c r="B542" s="1" t="n">
        <v>45952.68358796297</v>
      </c>
      <c r="C542" s="1" t="n">
        <v>46025</v>
      </c>
      <c r="D542" t="inlineStr">
        <is>
          <t>ÖREBRO LÄN</t>
        </is>
      </c>
      <c r="E542" t="inlineStr">
        <is>
          <t>LINDESBERG</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52117-2025</t>
        </is>
      </c>
      <c r="B543" s="1" t="n">
        <v>45952.70765046297</v>
      </c>
      <c r="C543" s="1" t="n">
        <v>46025</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52098-2025</t>
        </is>
      </c>
      <c r="B544" s="1" t="n">
        <v>45952.68001157408</v>
      </c>
      <c r="C544" s="1" t="n">
        <v>46025</v>
      </c>
      <c r="D544" t="inlineStr">
        <is>
          <t>ÖREBRO LÄN</t>
        </is>
      </c>
      <c r="E544" t="inlineStr">
        <is>
          <t>LINDESBERG</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52103-2025</t>
        </is>
      </c>
      <c r="B545" s="1" t="n">
        <v>45952.68439814815</v>
      </c>
      <c r="C545" s="1" t="n">
        <v>46025</v>
      </c>
      <c r="D545" t="inlineStr">
        <is>
          <t>ÖREBRO LÄN</t>
        </is>
      </c>
      <c r="E545" t="inlineStr">
        <is>
          <t>LINDESBERG</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52101-2025</t>
        </is>
      </c>
      <c r="B546" s="1" t="n">
        <v>45952.68271990741</v>
      </c>
      <c r="C546" s="1" t="n">
        <v>46025</v>
      </c>
      <c r="D546" t="inlineStr">
        <is>
          <t>ÖREBRO LÄN</t>
        </is>
      </c>
      <c r="E546" t="inlineStr">
        <is>
          <t>LINDESBERG</t>
        </is>
      </c>
      <c r="F546" t="inlineStr">
        <is>
          <t>Sveaskog</t>
        </is>
      </c>
      <c r="G546" t="n">
        <v>10.9</v>
      </c>
      <c r="H546" t="n">
        <v>0</v>
      </c>
      <c r="I546" t="n">
        <v>0</v>
      </c>
      <c r="J546" t="n">
        <v>0</v>
      </c>
      <c r="K546" t="n">
        <v>0</v>
      </c>
      <c r="L546" t="n">
        <v>0</v>
      </c>
      <c r="M546" t="n">
        <v>0</v>
      </c>
      <c r="N546" t="n">
        <v>0</v>
      </c>
      <c r="O546" t="n">
        <v>0</v>
      </c>
      <c r="P546" t="n">
        <v>0</v>
      </c>
      <c r="Q546" t="n">
        <v>0</v>
      </c>
      <c r="R546" s="2" t="inlineStr"/>
    </row>
    <row r="547" ht="15" customHeight="1">
      <c r="A547" t="inlineStr">
        <is>
          <t>A 52104-2025</t>
        </is>
      </c>
      <c r="B547" s="1" t="n">
        <v>45952.68524305556</v>
      </c>
      <c r="C547" s="1" t="n">
        <v>46025</v>
      </c>
      <c r="D547" t="inlineStr">
        <is>
          <t>ÖREBRO LÄN</t>
        </is>
      </c>
      <c r="E547" t="inlineStr">
        <is>
          <t>LINDESBERG</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37301-2025</t>
        </is>
      </c>
      <c r="B548" s="1" t="n">
        <v>45876.59166666667</v>
      </c>
      <c r="C548" s="1" t="n">
        <v>46025</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7211-2024</t>
        </is>
      </c>
      <c r="B549" s="1" t="n">
        <v>45344.623125</v>
      </c>
      <c r="C549" s="1" t="n">
        <v>46025</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15899-2025</t>
        </is>
      </c>
      <c r="B550" s="1" t="n">
        <v>45749.42258101852</v>
      </c>
      <c r="C550" s="1" t="n">
        <v>46025</v>
      </c>
      <c r="D550" t="inlineStr">
        <is>
          <t>ÖREBRO LÄN</t>
        </is>
      </c>
      <c r="E550" t="inlineStr">
        <is>
          <t>LINDESBERG</t>
        </is>
      </c>
      <c r="G550" t="n">
        <v>6.6</v>
      </c>
      <c r="H550" t="n">
        <v>0</v>
      </c>
      <c r="I550" t="n">
        <v>0</v>
      </c>
      <c r="J550" t="n">
        <v>0</v>
      </c>
      <c r="K550" t="n">
        <v>0</v>
      </c>
      <c r="L550" t="n">
        <v>0</v>
      </c>
      <c r="M550" t="n">
        <v>0</v>
      </c>
      <c r="N550" t="n">
        <v>0</v>
      </c>
      <c r="O550" t="n">
        <v>0</v>
      </c>
      <c r="P550" t="n">
        <v>0</v>
      </c>
      <c r="Q550" t="n">
        <v>0</v>
      </c>
      <c r="R550" s="2" t="inlineStr"/>
    </row>
    <row r="551" ht="15" customHeight="1">
      <c r="A551" t="inlineStr">
        <is>
          <t>A 50275-2024</t>
        </is>
      </c>
      <c r="B551" s="1" t="n">
        <v>45600.60071759259</v>
      </c>
      <c r="C551" s="1" t="n">
        <v>46025</v>
      </c>
      <c r="D551" t="inlineStr">
        <is>
          <t>ÖREBRO LÄN</t>
        </is>
      </c>
      <c r="E551" t="inlineStr">
        <is>
          <t>LINDESBERG</t>
        </is>
      </c>
      <c r="G551" t="n">
        <v>4.3</v>
      </c>
      <c r="H551" t="n">
        <v>0</v>
      </c>
      <c r="I551" t="n">
        <v>0</v>
      </c>
      <c r="J551" t="n">
        <v>0</v>
      </c>
      <c r="K551" t="n">
        <v>0</v>
      </c>
      <c r="L551" t="n">
        <v>0</v>
      </c>
      <c r="M551" t="n">
        <v>0</v>
      </c>
      <c r="N551" t="n">
        <v>0</v>
      </c>
      <c r="O551" t="n">
        <v>0</v>
      </c>
      <c r="P551" t="n">
        <v>0</v>
      </c>
      <c r="Q551" t="n">
        <v>0</v>
      </c>
      <c r="R551" s="2" t="inlineStr"/>
    </row>
    <row r="552" ht="15" customHeight="1">
      <c r="A552" t="inlineStr">
        <is>
          <t>A 7992-2025</t>
        </is>
      </c>
      <c r="B552" s="1" t="n">
        <v>45707</v>
      </c>
      <c r="C552" s="1" t="n">
        <v>46025</v>
      </c>
      <c r="D552" t="inlineStr">
        <is>
          <t>ÖREBRO LÄN</t>
        </is>
      </c>
      <c r="E552" t="inlineStr">
        <is>
          <t>LINDESBERG</t>
        </is>
      </c>
      <c r="G552" t="n">
        <v>4.8</v>
      </c>
      <c r="H552" t="n">
        <v>0</v>
      </c>
      <c r="I552" t="n">
        <v>0</v>
      </c>
      <c r="J552" t="n">
        <v>0</v>
      </c>
      <c r="K552" t="n">
        <v>0</v>
      </c>
      <c r="L552" t="n">
        <v>0</v>
      </c>
      <c r="M552" t="n">
        <v>0</v>
      </c>
      <c r="N552" t="n">
        <v>0</v>
      </c>
      <c r="O552" t="n">
        <v>0</v>
      </c>
      <c r="P552" t="n">
        <v>0</v>
      </c>
      <c r="Q552" t="n">
        <v>0</v>
      </c>
      <c r="R552" s="2" t="inlineStr"/>
    </row>
    <row r="553" ht="15" customHeight="1">
      <c r="A553" t="inlineStr">
        <is>
          <t>A 37500-2025</t>
        </is>
      </c>
      <c r="B553" s="1" t="n">
        <v>45877.64776620371</v>
      </c>
      <c r="C553" s="1" t="n">
        <v>46025</v>
      </c>
      <c r="D553" t="inlineStr">
        <is>
          <t>ÖREBRO LÄN</t>
        </is>
      </c>
      <c r="E553" t="inlineStr">
        <is>
          <t>LINDESBERG</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37503-2025</t>
        </is>
      </c>
      <c r="B554" s="1" t="n">
        <v>45877.65075231482</v>
      </c>
      <c r="C554" s="1" t="n">
        <v>46025</v>
      </c>
      <c r="D554" t="inlineStr">
        <is>
          <t>ÖREBRO LÄN</t>
        </is>
      </c>
      <c r="E554" t="inlineStr">
        <is>
          <t>LINDESBERG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52401-2025</t>
        </is>
      </c>
      <c r="B555" s="1" t="n">
        <v>45954.35075231481</v>
      </c>
      <c r="C555" s="1" t="n">
        <v>46025</v>
      </c>
      <c r="D555" t="inlineStr">
        <is>
          <t>ÖREBRO LÄN</t>
        </is>
      </c>
      <c r="E555" t="inlineStr">
        <is>
          <t>LINDESBERG</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37501-2025</t>
        </is>
      </c>
      <c r="B556" s="1" t="n">
        <v>45877.64847222222</v>
      </c>
      <c r="C556" s="1" t="n">
        <v>46025</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37552-2025</t>
        </is>
      </c>
      <c r="B557" s="1" t="n">
        <v>45880.28673611111</v>
      </c>
      <c r="C557" s="1" t="n">
        <v>46025</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3294-2024</t>
        </is>
      </c>
      <c r="B558" s="1" t="n">
        <v>45316</v>
      </c>
      <c r="C558" s="1" t="n">
        <v>46025</v>
      </c>
      <c r="D558" t="inlineStr">
        <is>
          <t>ÖREBRO LÄN</t>
        </is>
      </c>
      <c r="E558" t="inlineStr">
        <is>
          <t>LINDESBERG</t>
        </is>
      </c>
      <c r="G558" t="n">
        <v>3</v>
      </c>
      <c r="H558" t="n">
        <v>0</v>
      </c>
      <c r="I558" t="n">
        <v>0</v>
      </c>
      <c r="J558" t="n">
        <v>0</v>
      </c>
      <c r="K558" t="n">
        <v>0</v>
      </c>
      <c r="L558" t="n">
        <v>0</v>
      </c>
      <c r="M558" t="n">
        <v>0</v>
      </c>
      <c r="N558" t="n">
        <v>0</v>
      </c>
      <c r="O558" t="n">
        <v>0</v>
      </c>
      <c r="P558" t="n">
        <v>0</v>
      </c>
      <c r="Q558" t="n">
        <v>0</v>
      </c>
      <c r="R558" s="2" t="inlineStr"/>
    </row>
    <row r="559" ht="15" customHeight="1">
      <c r="A559" t="inlineStr">
        <is>
          <t>A 52298-2025</t>
        </is>
      </c>
      <c r="B559" s="1" t="n">
        <v>45953.61387731481</v>
      </c>
      <c r="C559" s="1" t="n">
        <v>46025</v>
      </c>
      <c r="D559" t="inlineStr">
        <is>
          <t>ÖREBRO LÄN</t>
        </is>
      </c>
      <c r="E559" t="inlineStr">
        <is>
          <t>LINDESBERG</t>
        </is>
      </c>
      <c r="G559" t="n">
        <v>18.2</v>
      </c>
      <c r="H559" t="n">
        <v>0</v>
      </c>
      <c r="I559" t="n">
        <v>0</v>
      </c>
      <c r="J559" t="n">
        <v>0</v>
      </c>
      <c r="K559" t="n">
        <v>0</v>
      </c>
      <c r="L559" t="n">
        <v>0</v>
      </c>
      <c r="M559" t="n">
        <v>0</v>
      </c>
      <c r="N559" t="n">
        <v>0</v>
      </c>
      <c r="O559" t="n">
        <v>0</v>
      </c>
      <c r="P559" t="n">
        <v>0</v>
      </c>
      <c r="Q559" t="n">
        <v>0</v>
      </c>
      <c r="R559" s="2" t="inlineStr"/>
    </row>
    <row r="560" ht="15" customHeight="1">
      <c r="A560" t="inlineStr">
        <is>
          <t>A 41947-2023</t>
        </is>
      </c>
      <c r="B560" s="1" t="n">
        <v>45177.31795138889</v>
      </c>
      <c r="C560" s="1" t="n">
        <v>46025</v>
      </c>
      <c r="D560" t="inlineStr">
        <is>
          <t>ÖREBRO LÄN</t>
        </is>
      </c>
      <c r="E560" t="inlineStr">
        <is>
          <t>LINDESBERG</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16447-2025</t>
        </is>
      </c>
      <c r="B561" s="1" t="n">
        <v>45751.50498842593</v>
      </c>
      <c r="C561" s="1" t="n">
        <v>46025</v>
      </c>
      <c r="D561" t="inlineStr">
        <is>
          <t>ÖREBRO LÄN</t>
        </is>
      </c>
      <c r="E561" t="inlineStr">
        <is>
          <t>LINDESBERG</t>
        </is>
      </c>
      <c r="G561" t="n">
        <v>2</v>
      </c>
      <c r="H561" t="n">
        <v>0</v>
      </c>
      <c r="I561" t="n">
        <v>0</v>
      </c>
      <c r="J561" t="n">
        <v>0</v>
      </c>
      <c r="K561" t="n">
        <v>0</v>
      </c>
      <c r="L561" t="n">
        <v>0</v>
      </c>
      <c r="M561" t="n">
        <v>0</v>
      </c>
      <c r="N561" t="n">
        <v>0</v>
      </c>
      <c r="O561" t="n">
        <v>0</v>
      </c>
      <c r="P561" t="n">
        <v>0</v>
      </c>
      <c r="Q561" t="n">
        <v>0</v>
      </c>
      <c r="R561" s="2" t="inlineStr"/>
    </row>
    <row r="562" ht="15" customHeight="1">
      <c r="A562" t="inlineStr">
        <is>
          <t>A 29975-2023</t>
        </is>
      </c>
      <c r="B562" s="1" t="n">
        <v>45108.7553587963</v>
      </c>
      <c r="C562" s="1" t="n">
        <v>46025</v>
      </c>
      <c r="D562" t="inlineStr">
        <is>
          <t>ÖREBRO LÄN</t>
        </is>
      </c>
      <c r="E562" t="inlineStr">
        <is>
          <t>LINDESBERG</t>
        </is>
      </c>
      <c r="G562" t="n">
        <v>6.4</v>
      </c>
      <c r="H562" t="n">
        <v>0</v>
      </c>
      <c r="I562" t="n">
        <v>0</v>
      </c>
      <c r="J562" t="n">
        <v>0</v>
      </c>
      <c r="K562" t="n">
        <v>0</v>
      </c>
      <c r="L562" t="n">
        <v>0</v>
      </c>
      <c r="M562" t="n">
        <v>0</v>
      </c>
      <c r="N562" t="n">
        <v>0</v>
      </c>
      <c r="O562" t="n">
        <v>0</v>
      </c>
      <c r="P562" t="n">
        <v>0</v>
      </c>
      <c r="Q562" t="n">
        <v>0</v>
      </c>
      <c r="R562" s="2" t="inlineStr"/>
    </row>
    <row r="563" ht="15" customHeight="1">
      <c r="A563" t="inlineStr">
        <is>
          <t>A 16448-2025</t>
        </is>
      </c>
      <c r="B563" s="1" t="n">
        <v>45751.5056712963</v>
      </c>
      <c r="C563" s="1" t="n">
        <v>46025</v>
      </c>
      <c r="D563" t="inlineStr">
        <is>
          <t>ÖREBRO LÄN</t>
        </is>
      </c>
      <c r="E563" t="inlineStr">
        <is>
          <t>LINDESBERG</t>
        </is>
      </c>
      <c r="G563" t="n">
        <v>20.1</v>
      </c>
      <c r="H563" t="n">
        <v>0</v>
      </c>
      <c r="I563" t="n">
        <v>0</v>
      </c>
      <c r="J563" t="n">
        <v>0</v>
      </c>
      <c r="K563" t="n">
        <v>0</v>
      </c>
      <c r="L563" t="n">
        <v>0</v>
      </c>
      <c r="M563" t="n">
        <v>0</v>
      </c>
      <c r="N563" t="n">
        <v>0</v>
      </c>
      <c r="O563" t="n">
        <v>0</v>
      </c>
      <c r="P563" t="n">
        <v>0</v>
      </c>
      <c r="Q563" t="n">
        <v>0</v>
      </c>
      <c r="R563" s="2" t="inlineStr"/>
    </row>
    <row r="564" ht="15" customHeight="1">
      <c r="A564" t="inlineStr">
        <is>
          <t>A 7126-2025</t>
        </is>
      </c>
      <c r="B564" s="1" t="n">
        <v>45702</v>
      </c>
      <c r="C564" s="1" t="n">
        <v>46025</v>
      </c>
      <c r="D564" t="inlineStr">
        <is>
          <t>ÖREBRO LÄN</t>
        </is>
      </c>
      <c r="E564" t="inlineStr">
        <is>
          <t>LINDESBERG</t>
        </is>
      </c>
      <c r="G564" t="n">
        <v>1.3</v>
      </c>
      <c r="H564" t="n">
        <v>0</v>
      </c>
      <c r="I564" t="n">
        <v>0</v>
      </c>
      <c r="J564" t="n">
        <v>0</v>
      </c>
      <c r="K564" t="n">
        <v>0</v>
      </c>
      <c r="L564" t="n">
        <v>0</v>
      </c>
      <c r="M564" t="n">
        <v>0</v>
      </c>
      <c r="N564" t="n">
        <v>0</v>
      </c>
      <c r="O564" t="n">
        <v>0</v>
      </c>
      <c r="P564" t="n">
        <v>0</v>
      </c>
      <c r="Q564" t="n">
        <v>0</v>
      </c>
      <c r="R564" s="2" t="inlineStr"/>
    </row>
    <row r="565" ht="15" customHeight="1">
      <c r="A565" t="inlineStr">
        <is>
          <t>A 37491-2025</t>
        </is>
      </c>
      <c r="B565" s="1" t="n">
        <v>45877.64144675926</v>
      </c>
      <c r="C565" s="1" t="n">
        <v>46025</v>
      </c>
      <c r="D565" t="inlineStr">
        <is>
          <t>ÖREBRO LÄN</t>
        </is>
      </c>
      <c r="E565" t="inlineStr">
        <is>
          <t>LINDESBERG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37499-2025</t>
        </is>
      </c>
      <c r="B566" s="1" t="n">
        <v>45877.64605324074</v>
      </c>
      <c r="C566" s="1" t="n">
        <v>46025</v>
      </c>
      <c r="D566" t="inlineStr">
        <is>
          <t>ÖREBRO LÄN</t>
        </is>
      </c>
      <c r="E566" t="inlineStr">
        <is>
          <t>LINDESBERG</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37602-2025</t>
        </is>
      </c>
      <c r="B567" s="1" t="n">
        <v>45880</v>
      </c>
      <c r="C567" s="1" t="n">
        <v>46025</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37625-2025</t>
        </is>
      </c>
      <c r="B568" s="1" t="n">
        <v>45880.46056712963</v>
      </c>
      <c r="C568" s="1" t="n">
        <v>46025</v>
      </c>
      <c r="D568" t="inlineStr">
        <is>
          <t>ÖREBRO LÄN</t>
        </is>
      </c>
      <c r="E568" t="inlineStr">
        <is>
          <t>LINDESBERG</t>
        </is>
      </c>
      <c r="G568" t="n">
        <v>12.5</v>
      </c>
      <c r="H568" t="n">
        <v>0</v>
      </c>
      <c r="I568" t="n">
        <v>0</v>
      </c>
      <c r="J568" t="n">
        <v>0</v>
      </c>
      <c r="K568" t="n">
        <v>0</v>
      </c>
      <c r="L568" t="n">
        <v>0</v>
      </c>
      <c r="M568" t="n">
        <v>0</v>
      </c>
      <c r="N568" t="n">
        <v>0</v>
      </c>
      <c r="O568" t="n">
        <v>0</v>
      </c>
      <c r="P568" t="n">
        <v>0</v>
      </c>
      <c r="Q568" t="n">
        <v>0</v>
      </c>
      <c r="R568" s="2" t="inlineStr"/>
    </row>
    <row r="569" ht="15" customHeight="1">
      <c r="A569" t="inlineStr">
        <is>
          <t>A 52730-2025</t>
        </is>
      </c>
      <c r="B569" s="1" t="n">
        <v>45957.36386574074</v>
      </c>
      <c r="C569" s="1" t="n">
        <v>46025</v>
      </c>
      <c r="D569" t="inlineStr">
        <is>
          <t>ÖREBRO LÄN</t>
        </is>
      </c>
      <c r="E569" t="inlineStr">
        <is>
          <t>LINDESBERG</t>
        </is>
      </c>
      <c r="F569" t="inlineStr">
        <is>
          <t>Sveaskog</t>
        </is>
      </c>
      <c r="G569" t="n">
        <v>5</v>
      </c>
      <c r="H569" t="n">
        <v>0</v>
      </c>
      <c r="I569" t="n">
        <v>0</v>
      </c>
      <c r="J569" t="n">
        <v>0</v>
      </c>
      <c r="K569" t="n">
        <v>0</v>
      </c>
      <c r="L569" t="n">
        <v>0</v>
      </c>
      <c r="M569" t="n">
        <v>0</v>
      </c>
      <c r="N569" t="n">
        <v>0</v>
      </c>
      <c r="O569" t="n">
        <v>0</v>
      </c>
      <c r="P569" t="n">
        <v>0</v>
      </c>
      <c r="Q569" t="n">
        <v>0</v>
      </c>
      <c r="R569" s="2" t="inlineStr"/>
    </row>
    <row r="570" ht="15" customHeight="1">
      <c r="A570" t="inlineStr">
        <is>
          <t>A 37553-2025</t>
        </is>
      </c>
      <c r="B570" s="1" t="n">
        <v>45880.3172337963</v>
      </c>
      <c r="C570" s="1" t="n">
        <v>46025</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37497-2025</t>
        </is>
      </c>
      <c r="B571" s="1" t="n">
        <v>45877.64431712963</v>
      </c>
      <c r="C571" s="1" t="n">
        <v>46025</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37492-2025</t>
        </is>
      </c>
      <c r="B572" s="1" t="n">
        <v>45877.64230324074</v>
      </c>
      <c r="C572" s="1" t="n">
        <v>46025</v>
      </c>
      <c r="D572" t="inlineStr">
        <is>
          <t>ÖREBRO LÄN</t>
        </is>
      </c>
      <c r="E572" t="inlineStr">
        <is>
          <t>LINDESBERG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53187-2025</t>
        </is>
      </c>
      <c r="B573" s="1" t="n">
        <v>45958.55577546296</v>
      </c>
      <c r="C573" s="1" t="n">
        <v>46025</v>
      </c>
      <c r="D573" t="inlineStr">
        <is>
          <t>ÖREBRO LÄN</t>
        </is>
      </c>
      <c r="E573" t="inlineStr">
        <is>
          <t>LINDESBERG</t>
        </is>
      </c>
      <c r="F573" t="inlineStr">
        <is>
          <t>Kommuner</t>
        </is>
      </c>
      <c r="G573" t="n">
        <v>2.7</v>
      </c>
      <c r="H573" t="n">
        <v>0</v>
      </c>
      <c r="I573" t="n">
        <v>0</v>
      </c>
      <c r="J573" t="n">
        <v>0</v>
      </c>
      <c r="K573" t="n">
        <v>0</v>
      </c>
      <c r="L573" t="n">
        <v>0</v>
      </c>
      <c r="M573" t="n">
        <v>0</v>
      </c>
      <c r="N573" t="n">
        <v>0</v>
      </c>
      <c r="O573" t="n">
        <v>0</v>
      </c>
      <c r="P573" t="n">
        <v>0</v>
      </c>
      <c r="Q573" t="n">
        <v>0</v>
      </c>
      <c r="R573" s="2" t="inlineStr"/>
    </row>
    <row r="574" ht="15" customHeight="1">
      <c r="A574" t="inlineStr">
        <is>
          <t>A 37490-2025</t>
        </is>
      </c>
      <c r="B574" s="1" t="n">
        <v>45877.63989583333</v>
      </c>
      <c r="C574" s="1" t="n">
        <v>46025</v>
      </c>
      <c r="D574" t="inlineStr">
        <is>
          <t>ÖREBRO LÄN</t>
        </is>
      </c>
      <c r="E574" t="inlineStr">
        <is>
          <t>LINDESBERG</t>
        </is>
      </c>
      <c r="F574" t="inlineStr">
        <is>
          <t>Sveaskog</t>
        </is>
      </c>
      <c r="G574" t="n">
        <v>2.1</v>
      </c>
      <c r="H574" t="n">
        <v>0</v>
      </c>
      <c r="I574" t="n">
        <v>0</v>
      </c>
      <c r="J574" t="n">
        <v>0</v>
      </c>
      <c r="K574" t="n">
        <v>0</v>
      </c>
      <c r="L574" t="n">
        <v>0</v>
      </c>
      <c r="M574" t="n">
        <v>0</v>
      </c>
      <c r="N574" t="n">
        <v>0</v>
      </c>
      <c r="O574" t="n">
        <v>0</v>
      </c>
      <c r="P574" t="n">
        <v>0</v>
      </c>
      <c r="Q574" t="n">
        <v>0</v>
      </c>
      <c r="R574" s="2" t="inlineStr"/>
    </row>
    <row r="575" ht="15" customHeight="1">
      <c r="A575" t="inlineStr">
        <is>
          <t>A 60806-2025</t>
        </is>
      </c>
      <c r="B575" s="1" t="n">
        <v>45999.43730324074</v>
      </c>
      <c r="C575" s="1" t="n">
        <v>46025</v>
      </c>
      <c r="D575" t="inlineStr">
        <is>
          <t>ÖREBRO LÄN</t>
        </is>
      </c>
      <c r="E575" t="inlineStr">
        <is>
          <t>LINDESBERG</t>
        </is>
      </c>
      <c r="G575" t="n">
        <v>7.9</v>
      </c>
      <c r="H575" t="n">
        <v>0</v>
      </c>
      <c r="I575" t="n">
        <v>0</v>
      </c>
      <c r="J575" t="n">
        <v>0</v>
      </c>
      <c r="K575" t="n">
        <v>0</v>
      </c>
      <c r="L575" t="n">
        <v>0</v>
      </c>
      <c r="M575" t="n">
        <v>0</v>
      </c>
      <c r="N575" t="n">
        <v>0</v>
      </c>
      <c r="O575" t="n">
        <v>0</v>
      </c>
      <c r="P575" t="n">
        <v>0</v>
      </c>
      <c r="Q575" t="n">
        <v>0</v>
      </c>
      <c r="R575" s="2" t="inlineStr"/>
    </row>
    <row r="576" ht="15" customHeight="1">
      <c r="A576" t="inlineStr">
        <is>
          <t>A 40085-2023</t>
        </is>
      </c>
      <c r="B576" s="1" t="n">
        <v>45168.92155092592</v>
      </c>
      <c r="C576" s="1" t="n">
        <v>46025</v>
      </c>
      <c r="D576" t="inlineStr">
        <is>
          <t>ÖREBRO LÄN</t>
        </is>
      </c>
      <c r="E576" t="inlineStr">
        <is>
          <t>LINDESBERG</t>
        </is>
      </c>
      <c r="G576" t="n">
        <v>6.1</v>
      </c>
      <c r="H576" t="n">
        <v>0</v>
      </c>
      <c r="I576" t="n">
        <v>0</v>
      </c>
      <c r="J576" t="n">
        <v>0</v>
      </c>
      <c r="K576" t="n">
        <v>0</v>
      </c>
      <c r="L576" t="n">
        <v>0</v>
      </c>
      <c r="M576" t="n">
        <v>0</v>
      </c>
      <c r="N576" t="n">
        <v>0</v>
      </c>
      <c r="O576" t="n">
        <v>0</v>
      </c>
      <c r="P576" t="n">
        <v>0</v>
      </c>
      <c r="Q576" t="n">
        <v>0</v>
      </c>
      <c r="R576" s="2" t="inlineStr"/>
    </row>
    <row r="577" ht="15" customHeight="1">
      <c r="A577" t="inlineStr">
        <is>
          <t>A 28470-2023</t>
        </is>
      </c>
      <c r="B577" s="1" t="n">
        <v>45103</v>
      </c>
      <c r="C577" s="1" t="n">
        <v>46025</v>
      </c>
      <c r="D577" t="inlineStr">
        <is>
          <t>ÖREBRO LÄN</t>
        </is>
      </c>
      <c r="E577" t="inlineStr">
        <is>
          <t>LINDESBERG</t>
        </is>
      </c>
      <c r="G577" t="n">
        <v>6.7</v>
      </c>
      <c r="H577" t="n">
        <v>0</v>
      </c>
      <c r="I577" t="n">
        <v>0</v>
      </c>
      <c r="J577" t="n">
        <v>0</v>
      </c>
      <c r="K577" t="n">
        <v>0</v>
      </c>
      <c r="L577" t="n">
        <v>0</v>
      </c>
      <c r="M577" t="n">
        <v>0</v>
      </c>
      <c r="N577" t="n">
        <v>0</v>
      </c>
      <c r="O577" t="n">
        <v>0</v>
      </c>
      <c r="P577" t="n">
        <v>0</v>
      </c>
      <c r="Q577" t="n">
        <v>0</v>
      </c>
      <c r="R577" s="2" t="inlineStr"/>
    </row>
    <row r="578" ht="15" customHeight="1">
      <c r="A578" t="inlineStr">
        <is>
          <t>A 32002-2023</t>
        </is>
      </c>
      <c r="B578" s="1" t="n">
        <v>45119.46452546296</v>
      </c>
      <c r="C578" s="1" t="n">
        <v>46025</v>
      </c>
      <c r="D578" t="inlineStr">
        <is>
          <t>ÖREBRO LÄN</t>
        </is>
      </c>
      <c r="E578" t="inlineStr">
        <is>
          <t>LINDESBERG</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52402-2025</t>
        </is>
      </c>
      <c r="B579" s="1" t="n">
        <v>45954.35387731482</v>
      </c>
      <c r="C579" s="1" t="n">
        <v>46025</v>
      </c>
      <c r="D579" t="inlineStr">
        <is>
          <t>ÖREBRO LÄN</t>
        </is>
      </c>
      <c r="E579" t="inlineStr">
        <is>
          <t>LINDESBERG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37935-2025</t>
        </is>
      </c>
      <c r="B580" s="1" t="n">
        <v>45881.59550925926</v>
      </c>
      <c r="C580" s="1" t="n">
        <v>46025</v>
      </c>
      <c r="D580" t="inlineStr">
        <is>
          <t>ÖREBRO LÄN</t>
        </is>
      </c>
      <c r="E580" t="inlineStr">
        <is>
          <t>LINDESBERG</t>
        </is>
      </c>
      <c r="G580" t="n">
        <v>5.1</v>
      </c>
      <c r="H580" t="n">
        <v>0</v>
      </c>
      <c r="I580" t="n">
        <v>0</v>
      </c>
      <c r="J580" t="n">
        <v>0</v>
      </c>
      <c r="K580" t="n">
        <v>0</v>
      </c>
      <c r="L580" t="n">
        <v>0</v>
      </c>
      <c r="M580" t="n">
        <v>0</v>
      </c>
      <c r="N580" t="n">
        <v>0</v>
      </c>
      <c r="O580" t="n">
        <v>0</v>
      </c>
      <c r="P580" t="n">
        <v>0</v>
      </c>
      <c r="Q580" t="n">
        <v>0</v>
      </c>
      <c r="R580" s="2" t="inlineStr"/>
    </row>
    <row r="581" ht="15" customHeight="1">
      <c r="A581" t="inlineStr">
        <is>
          <t>A 29849-2023</t>
        </is>
      </c>
      <c r="B581" s="1" t="n">
        <v>45107</v>
      </c>
      <c r="C581" s="1" t="n">
        <v>46025</v>
      </c>
      <c r="D581" t="inlineStr">
        <is>
          <t>ÖREBRO LÄN</t>
        </is>
      </c>
      <c r="E581" t="inlineStr">
        <is>
          <t>LINDESBERG</t>
        </is>
      </c>
      <c r="G581" t="n">
        <v>2.1</v>
      </c>
      <c r="H581" t="n">
        <v>0</v>
      </c>
      <c r="I581" t="n">
        <v>0</v>
      </c>
      <c r="J581" t="n">
        <v>0</v>
      </c>
      <c r="K581" t="n">
        <v>0</v>
      </c>
      <c r="L581" t="n">
        <v>0</v>
      </c>
      <c r="M581" t="n">
        <v>0</v>
      </c>
      <c r="N581" t="n">
        <v>0</v>
      </c>
      <c r="O581" t="n">
        <v>0</v>
      </c>
      <c r="P581" t="n">
        <v>0</v>
      </c>
      <c r="Q581" t="n">
        <v>0</v>
      </c>
      <c r="R581" s="2" t="inlineStr"/>
    </row>
    <row r="582" ht="15" customHeight="1">
      <c r="A582" t="inlineStr">
        <is>
          <t>A 37837-2025</t>
        </is>
      </c>
      <c r="B582" s="1" t="n">
        <v>45881.42791666667</v>
      </c>
      <c r="C582" s="1" t="n">
        <v>46025</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5784-2025</t>
        </is>
      </c>
      <c r="B583" s="1" t="n">
        <v>45694</v>
      </c>
      <c r="C583" s="1" t="n">
        <v>46025</v>
      </c>
      <c r="D583" t="inlineStr">
        <is>
          <t>ÖREBRO LÄN</t>
        </is>
      </c>
      <c r="E583" t="inlineStr">
        <is>
          <t>LINDESBERG</t>
        </is>
      </c>
      <c r="F583" t="inlineStr">
        <is>
          <t>Allmännings- och besparingsskogar</t>
        </is>
      </c>
      <c r="G583" t="n">
        <v>1.6</v>
      </c>
      <c r="H583" t="n">
        <v>0</v>
      </c>
      <c r="I583" t="n">
        <v>0</v>
      </c>
      <c r="J583" t="n">
        <v>0</v>
      </c>
      <c r="K583" t="n">
        <v>0</v>
      </c>
      <c r="L583" t="n">
        <v>0</v>
      </c>
      <c r="M583" t="n">
        <v>0</v>
      </c>
      <c r="N583" t="n">
        <v>0</v>
      </c>
      <c r="O583" t="n">
        <v>0</v>
      </c>
      <c r="P583" t="n">
        <v>0</v>
      </c>
      <c r="Q583" t="n">
        <v>0</v>
      </c>
      <c r="R583" s="2" t="inlineStr"/>
    </row>
    <row r="584" ht="15" customHeight="1">
      <c r="A584" t="inlineStr">
        <is>
          <t>A 61761-2025</t>
        </is>
      </c>
      <c r="B584" s="1" t="n">
        <v>46002.62465277778</v>
      </c>
      <c r="C584" s="1" t="n">
        <v>46025</v>
      </c>
      <c r="D584" t="inlineStr">
        <is>
          <t>ÖREBRO LÄN</t>
        </is>
      </c>
      <c r="E584" t="inlineStr">
        <is>
          <t>LINDESBERG</t>
        </is>
      </c>
      <c r="G584" t="n">
        <v>3.8</v>
      </c>
      <c r="H584" t="n">
        <v>0</v>
      </c>
      <c r="I584" t="n">
        <v>0</v>
      </c>
      <c r="J584" t="n">
        <v>0</v>
      </c>
      <c r="K584" t="n">
        <v>0</v>
      </c>
      <c r="L584" t="n">
        <v>0</v>
      </c>
      <c r="M584" t="n">
        <v>0</v>
      </c>
      <c r="N584" t="n">
        <v>0</v>
      </c>
      <c r="O584" t="n">
        <v>0</v>
      </c>
      <c r="P584" t="n">
        <v>0</v>
      </c>
      <c r="Q584" t="n">
        <v>0</v>
      </c>
      <c r="R584" s="2" t="inlineStr"/>
    </row>
    <row r="585" ht="15" customHeight="1">
      <c r="A585" t="inlineStr">
        <is>
          <t>A 38509-2025</t>
        </is>
      </c>
      <c r="B585" s="1" t="n">
        <v>45884.38858796296</v>
      </c>
      <c r="C585" s="1" t="n">
        <v>46025</v>
      </c>
      <c r="D585" t="inlineStr">
        <is>
          <t>ÖREBRO LÄN</t>
        </is>
      </c>
      <c r="E585" t="inlineStr">
        <is>
          <t>LINDESBERG</t>
        </is>
      </c>
      <c r="G585" t="n">
        <v>14.9</v>
      </c>
      <c r="H585" t="n">
        <v>0</v>
      </c>
      <c r="I585" t="n">
        <v>0</v>
      </c>
      <c r="J585" t="n">
        <v>0</v>
      </c>
      <c r="K585" t="n">
        <v>0</v>
      </c>
      <c r="L585" t="n">
        <v>0</v>
      </c>
      <c r="M585" t="n">
        <v>0</v>
      </c>
      <c r="N585" t="n">
        <v>0</v>
      </c>
      <c r="O585" t="n">
        <v>0</v>
      </c>
      <c r="P585" t="n">
        <v>0</v>
      </c>
      <c r="Q585" t="n">
        <v>0</v>
      </c>
      <c r="R585" s="2" t="inlineStr"/>
    </row>
    <row r="586" ht="15" customHeight="1">
      <c r="A586" t="inlineStr">
        <is>
          <t>A 61758-2025</t>
        </is>
      </c>
      <c r="B586" s="1" t="n">
        <v>46002.61762731482</v>
      </c>
      <c r="C586" s="1" t="n">
        <v>46025</v>
      </c>
      <c r="D586" t="inlineStr">
        <is>
          <t>ÖREBRO LÄN</t>
        </is>
      </c>
      <c r="E586" t="inlineStr">
        <is>
          <t>LINDESBERG</t>
        </is>
      </c>
      <c r="G586" t="n">
        <v>1.8</v>
      </c>
      <c r="H586" t="n">
        <v>0</v>
      </c>
      <c r="I586" t="n">
        <v>0</v>
      </c>
      <c r="J586" t="n">
        <v>0</v>
      </c>
      <c r="K586" t="n">
        <v>0</v>
      </c>
      <c r="L586" t="n">
        <v>0</v>
      </c>
      <c r="M586" t="n">
        <v>0</v>
      </c>
      <c r="N586" t="n">
        <v>0</v>
      </c>
      <c r="O586" t="n">
        <v>0</v>
      </c>
      <c r="P586" t="n">
        <v>0</v>
      </c>
      <c r="Q586" t="n">
        <v>0</v>
      </c>
      <c r="R586" s="2" t="inlineStr"/>
    </row>
    <row r="587" ht="15" customHeight="1">
      <c r="A587" t="inlineStr">
        <is>
          <t>A 53723-2025</t>
        </is>
      </c>
      <c r="B587" s="1" t="n">
        <v>45960.62986111111</v>
      </c>
      <c r="C587" s="1" t="n">
        <v>46025</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61745-2025</t>
        </is>
      </c>
      <c r="B588" s="1" t="n">
        <v>46002.60324074074</v>
      </c>
      <c r="C588" s="1" t="n">
        <v>46025</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53288-2025</t>
        </is>
      </c>
      <c r="B589" s="1" t="n">
        <v>45958.79287037037</v>
      </c>
      <c r="C589" s="1" t="n">
        <v>46025</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53721-2025</t>
        </is>
      </c>
      <c r="B590" s="1" t="n">
        <v>45960</v>
      </c>
      <c r="C590" s="1" t="n">
        <v>46025</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69208-2021</t>
        </is>
      </c>
      <c r="B591" s="1" t="n">
        <v>44531.3575</v>
      </c>
      <c r="C591" s="1" t="n">
        <v>46025</v>
      </c>
      <c r="D591" t="inlineStr">
        <is>
          <t>ÖREBRO LÄN</t>
        </is>
      </c>
      <c r="E591" t="inlineStr">
        <is>
          <t>LINDESBERG</t>
        </is>
      </c>
      <c r="G591" t="n">
        <v>2</v>
      </c>
      <c r="H591" t="n">
        <v>0</v>
      </c>
      <c r="I591" t="n">
        <v>0</v>
      </c>
      <c r="J591" t="n">
        <v>0</v>
      </c>
      <c r="K591" t="n">
        <v>0</v>
      </c>
      <c r="L591" t="n">
        <v>0</v>
      </c>
      <c r="M591" t="n">
        <v>0</v>
      </c>
      <c r="N591" t="n">
        <v>0</v>
      </c>
      <c r="O591" t="n">
        <v>0</v>
      </c>
      <c r="P591" t="n">
        <v>0</v>
      </c>
      <c r="Q591" t="n">
        <v>0</v>
      </c>
      <c r="R591" s="2" t="inlineStr"/>
    </row>
    <row r="592" ht="15" customHeight="1">
      <c r="A592" t="inlineStr">
        <is>
          <t>A 54070-2025</t>
        </is>
      </c>
      <c r="B592" s="1" t="n">
        <v>45964.34680555556</v>
      </c>
      <c r="C592" s="1" t="n">
        <v>46025</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62246-2025</t>
        </is>
      </c>
      <c r="B593" s="1" t="n">
        <v>46006.60633101852</v>
      </c>
      <c r="C593" s="1" t="n">
        <v>46025</v>
      </c>
      <c r="D593" t="inlineStr">
        <is>
          <t>ÖREBRO LÄN</t>
        </is>
      </c>
      <c r="E593" t="inlineStr">
        <is>
          <t>LINDESBERG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45038-2024</t>
        </is>
      </c>
      <c r="B594" s="1" t="n">
        <v>45575.53331018519</v>
      </c>
      <c r="C594" s="1" t="n">
        <v>46025</v>
      </c>
      <c r="D594" t="inlineStr">
        <is>
          <t>ÖREBRO LÄN</t>
        </is>
      </c>
      <c r="E594" t="inlineStr">
        <is>
          <t>LINDESBERG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54250-2025</t>
        </is>
      </c>
      <c r="B595" s="1" t="n">
        <v>45964.64709490741</v>
      </c>
      <c r="C595" s="1" t="n">
        <v>46025</v>
      </c>
      <c r="D595" t="inlineStr">
        <is>
          <t>ÖREBRO LÄN</t>
        </is>
      </c>
      <c r="E595" t="inlineStr">
        <is>
          <t>LINDESBERG</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54251-2025</t>
        </is>
      </c>
      <c r="B596" s="1" t="n">
        <v>45964.64778935185</v>
      </c>
      <c r="C596" s="1" t="n">
        <v>46025</v>
      </c>
      <c r="D596" t="inlineStr">
        <is>
          <t>ÖREBRO LÄN</t>
        </is>
      </c>
      <c r="E596" t="inlineStr">
        <is>
          <t>LINDESBERG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45046-2024</t>
        </is>
      </c>
      <c r="B597" s="1" t="n">
        <v>45575.54489583334</v>
      </c>
      <c r="C597" s="1" t="n">
        <v>46025</v>
      </c>
      <c r="D597" t="inlineStr">
        <is>
          <t>ÖREBRO LÄN</t>
        </is>
      </c>
      <c r="E597" t="inlineStr">
        <is>
          <t>LINDESBERG</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38552-2023</t>
        </is>
      </c>
      <c r="B598" s="1" t="n">
        <v>45162.5978125</v>
      </c>
      <c r="C598" s="1" t="n">
        <v>46025</v>
      </c>
      <c r="D598" t="inlineStr">
        <is>
          <t>ÖREBRO LÄN</t>
        </is>
      </c>
      <c r="E598" t="inlineStr">
        <is>
          <t>LINDESBERG</t>
        </is>
      </c>
      <c r="G598" t="n">
        <v>10.4</v>
      </c>
      <c r="H598" t="n">
        <v>0</v>
      </c>
      <c r="I598" t="n">
        <v>0</v>
      </c>
      <c r="J598" t="n">
        <v>0</v>
      </c>
      <c r="K598" t="n">
        <v>0</v>
      </c>
      <c r="L598" t="n">
        <v>0</v>
      </c>
      <c r="M598" t="n">
        <v>0</v>
      </c>
      <c r="N598" t="n">
        <v>0</v>
      </c>
      <c r="O598" t="n">
        <v>0</v>
      </c>
      <c r="P598" t="n">
        <v>0</v>
      </c>
      <c r="Q598" t="n">
        <v>0</v>
      </c>
      <c r="R598" s="2" t="inlineStr"/>
    </row>
    <row r="599" ht="15" customHeight="1">
      <c r="A599" t="inlineStr">
        <is>
          <t>A 54240-2025</t>
        </is>
      </c>
      <c r="B599" s="1" t="n">
        <v>45964.62796296296</v>
      </c>
      <c r="C599" s="1" t="n">
        <v>46025</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64084-2023</t>
        </is>
      </c>
      <c r="B600" s="1" t="n">
        <v>45279</v>
      </c>
      <c r="C600" s="1" t="n">
        <v>46025</v>
      </c>
      <c r="D600" t="inlineStr">
        <is>
          <t>ÖREBRO LÄN</t>
        </is>
      </c>
      <c r="E600" t="inlineStr">
        <is>
          <t>LINDESBERG</t>
        </is>
      </c>
      <c r="G600" t="n">
        <v>2.1</v>
      </c>
      <c r="H600" t="n">
        <v>0</v>
      </c>
      <c r="I600" t="n">
        <v>0</v>
      </c>
      <c r="J600" t="n">
        <v>0</v>
      </c>
      <c r="K600" t="n">
        <v>0</v>
      </c>
      <c r="L600" t="n">
        <v>0</v>
      </c>
      <c r="M600" t="n">
        <v>0</v>
      </c>
      <c r="N600" t="n">
        <v>0</v>
      </c>
      <c r="O600" t="n">
        <v>0</v>
      </c>
      <c r="P600" t="n">
        <v>0</v>
      </c>
      <c r="Q600" t="n">
        <v>0</v>
      </c>
      <c r="R600" s="2" t="inlineStr"/>
    </row>
    <row r="601" ht="15" customHeight="1">
      <c r="A601" t="inlineStr">
        <is>
          <t>A 33424-2024</t>
        </is>
      </c>
      <c r="B601" s="1" t="n">
        <v>45519.51627314815</v>
      </c>
      <c r="C601" s="1" t="n">
        <v>46025</v>
      </c>
      <c r="D601" t="inlineStr">
        <is>
          <t>ÖREBRO LÄN</t>
        </is>
      </c>
      <c r="E601" t="inlineStr">
        <is>
          <t>LINDESBERG</t>
        </is>
      </c>
      <c r="F601" t="inlineStr">
        <is>
          <t>Sveaskog</t>
        </is>
      </c>
      <c r="G601" t="n">
        <v>0.1</v>
      </c>
      <c r="H601" t="n">
        <v>0</v>
      </c>
      <c r="I601" t="n">
        <v>0</v>
      </c>
      <c r="J601" t="n">
        <v>0</v>
      </c>
      <c r="K601" t="n">
        <v>0</v>
      </c>
      <c r="L601" t="n">
        <v>0</v>
      </c>
      <c r="M601" t="n">
        <v>0</v>
      </c>
      <c r="N601" t="n">
        <v>0</v>
      </c>
      <c r="O601" t="n">
        <v>0</v>
      </c>
      <c r="P601" t="n">
        <v>0</v>
      </c>
      <c r="Q601" t="n">
        <v>0</v>
      </c>
      <c r="R601" s="2" t="inlineStr"/>
    </row>
    <row r="602" ht="15" customHeight="1">
      <c r="A602" t="inlineStr">
        <is>
          <t>A 33427-2024</t>
        </is>
      </c>
      <c r="B602" s="1" t="n">
        <v>45519.52232638889</v>
      </c>
      <c r="C602" s="1" t="n">
        <v>46025</v>
      </c>
      <c r="D602" t="inlineStr">
        <is>
          <t>ÖREBRO LÄN</t>
        </is>
      </c>
      <c r="E602" t="inlineStr">
        <is>
          <t>LINDESBERG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36509-2024</t>
        </is>
      </c>
      <c r="B603" s="1" t="n">
        <v>45537.42240740741</v>
      </c>
      <c r="C603" s="1" t="n">
        <v>46025</v>
      </c>
      <c r="D603" t="inlineStr">
        <is>
          <t>ÖREBRO LÄN</t>
        </is>
      </c>
      <c r="E603" t="inlineStr">
        <is>
          <t>LINDESBERG</t>
        </is>
      </c>
      <c r="G603" t="n">
        <v>1.5</v>
      </c>
      <c r="H603" t="n">
        <v>0</v>
      </c>
      <c r="I603" t="n">
        <v>0</v>
      </c>
      <c r="J603" t="n">
        <v>0</v>
      </c>
      <c r="K603" t="n">
        <v>0</v>
      </c>
      <c r="L603" t="n">
        <v>0</v>
      </c>
      <c r="M603" t="n">
        <v>0</v>
      </c>
      <c r="N603" t="n">
        <v>0</v>
      </c>
      <c r="O603" t="n">
        <v>0</v>
      </c>
      <c r="P603" t="n">
        <v>0</v>
      </c>
      <c r="Q603" t="n">
        <v>0</v>
      </c>
      <c r="R603" s="2" t="inlineStr"/>
    </row>
    <row r="604" ht="15" customHeight="1">
      <c r="A604" t="inlineStr">
        <is>
          <t>A 54072-2025</t>
        </is>
      </c>
      <c r="B604" s="1" t="n">
        <v>45964.3550925926</v>
      </c>
      <c r="C604" s="1" t="n">
        <v>46025</v>
      </c>
      <c r="D604" t="inlineStr">
        <is>
          <t>ÖREBRO LÄN</t>
        </is>
      </c>
      <c r="E604" t="inlineStr">
        <is>
          <t>LINDESBERG</t>
        </is>
      </c>
      <c r="G604" t="n">
        <v>1.3</v>
      </c>
      <c r="H604" t="n">
        <v>0</v>
      </c>
      <c r="I604" t="n">
        <v>0</v>
      </c>
      <c r="J604" t="n">
        <v>0</v>
      </c>
      <c r="K604" t="n">
        <v>0</v>
      </c>
      <c r="L604" t="n">
        <v>0</v>
      </c>
      <c r="M604" t="n">
        <v>0</v>
      </c>
      <c r="N604" t="n">
        <v>0</v>
      </c>
      <c r="O604" t="n">
        <v>0</v>
      </c>
      <c r="P604" t="n">
        <v>0</v>
      </c>
      <c r="Q604" t="n">
        <v>0</v>
      </c>
      <c r="R604" s="2" t="inlineStr"/>
    </row>
    <row r="605" ht="15" customHeight="1">
      <c r="A605" t="inlineStr">
        <is>
          <t>A 29894-2023</t>
        </is>
      </c>
      <c r="B605" s="1" t="n">
        <v>45107</v>
      </c>
      <c r="C605" s="1" t="n">
        <v>46025</v>
      </c>
      <c r="D605" t="inlineStr">
        <is>
          <t>ÖREBRO LÄN</t>
        </is>
      </c>
      <c r="E605" t="inlineStr">
        <is>
          <t>LINDESBERG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54249-2025</t>
        </is>
      </c>
      <c r="B606" s="1" t="n">
        <v>45964.64599537037</v>
      </c>
      <c r="C606" s="1" t="n">
        <v>46025</v>
      </c>
      <c r="D606" t="inlineStr">
        <is>
          <t>ÖREBRO LÄN</t>
        </is>
      </c>
      <c r="E606" t="inlineStr">
        <is>
          <t>LINDESBERG</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11559-2024</t>
        </is>
      </c>
      <c r="B607" s="1" t="n">
        <v>45373.30434027778</v>
      </c>
      <c r="C607" s="1" t="n">
        <v>46025</v>
      </c>
      <c r="D607" t="inlineStr">
        <is>
          <t>ÖREBRO LÄN</t>
        </is>
      </c>
      <c r="E607" t="inlineStr">
        <is>
          <t>LINDESBERG</t>
        </is>
      </c>
      <c r="F607" t="inlineStr">
        <is>
          <t>BillerudKorsnäs AB</t>
        </is>
      </c>
      <c r="G607" t="n">
        <v>1.9</v>
      </c>
      <c r="H607" t="n">
        <v>0</v>
      </c>
      <c r="I607" t="n">
        <v>0</v>
      </c>
      <c r="J607" t="n">
        <v>0</v>
      </c>
      <c r="K607" t="n">
        <v>0</v>
      </c>
      <c r="L607" t="n">
        <v>0</v>
      </c>
      <c r="M607" t="n">
        <v>0</v>
      </c>
      <c r="N607" t="n">
        <v>0</v>
      </c>
      <c r="O607" t="n">
        <v>0</v>
      </c>
      <c r="P607" t="n">
        <v>0</v>
      </c>
      <c r="Q607" t="n">
        <v>0</v>
      </c>
      <c r="R607" s="2" t="inlineStr"/>
    </row>
    <row r="608" ht="15" customHeight="1">
      <c r="A608" t="inlineStr">
        <is>
          <t>A 62603-2025</t>
        </is>
      </c>
      <c r="B608" s="1" t="n">
        <v>46008.25765046296</v>
      </c>
      <c r="C608" s="1" t="n">
        <v>46025</v>
      </c>
      <c r="D608" t="inlineStr">
        <is>
          <t>ÖREBRO LÄN</t>
        </is>
      </c>
      <c r="E608" t="inlineStr">
        <is>
          <t>LINDESBERG</t>
        </is>
      </c>
      <c r="G608" t="n">
        <v>2.3</v>
      </c>
      <c r="H608" t="n">
        <v>0</v>
      </c>
      <c r="I608" t="n">
        <v>0</v>
      </c>
      <c r="J608" t="n">
        <v>0</v>
      </c>
      <c r="K608" t="n">
        <v>0</v>
      </c>
      <c r="L608" t="n">
        <v>0</v>
      </c>
      <c r="M608" t="n">
        <v>0</v>
      </c>
      <c r="N608" t="n">
        <v>0</v>
      </c>
      <c r="O608" t="n">
        <v>0</v>
      </c>
      <c r="P608" t="n">
        <v>0</v>
      </c>
      <c r="Q608" t="n">
        <v>0</v>
      </c>
      <c r="R608" s="2" t="inlineStr"/>
    </row>
    <row r="609" ht="15" customHeight="1">
      <c r="A609" t="inlineStr">
        <is>
          <t>A 13472-2023</t>
        </is>
      </c>
      <c r="B609" s="1" t="n">
        <v>45005</v>
      </c>
      <c r="C609" s="1" t="n">
        <v>46025</v>
      </c>
      <c r="D609" t="inlineStr">
        <is>
          <t>ÖREBRO LÄN</t>
        </is>
      </c>
      <c r="E609" t="inlineStr">
        <is>
          <t>LINDESBERG</t>
        </is>
      </c>
      <c r="G609" t="n">
        <v>2.5</v>
      </c>
      <c r="H609" t="n">
        <v>0</v>
      </c>
      <c r="I609" t="n">
        <v>0</v>
      </c>
      <c r="J609" t="n">
        <v>0</v>
      </c>
      <c r="K609" t="n">
        <v>0</v>
      </c>
      <c r="L609" t="n">
        <v>0</v>
      </c>
      <c r="M609" t="n">
        <v>0</v>
      </c>
      <c r="N609" t="n">
        <v>0</v>
      </c>
      <c r="O609" t="n">
        <v>0</v>
      </c>
      <c r="P609" t="n">
        <v>0</v>
      </c>
      <c r="Q609" t="n">
        <v>0</v>
      </c>
      <c r="R609" s="2" t="inlineStr"/>
    </row>
    <row r="610" ht="15" customHeight="1">
      <c r="A610" t="inlineStr">
        <is>
          <t>A 52284-2024</t>
        </is>
      </c>
      <c r="B610" s="1" t="n">
        <v>45608</v>
      </c>
      <c r="C610" s="1" t="n">
        <v>46025</v>
      </c>
      <c r="D610" t="inlineStr">
        <is>
          <t>ÖREBRO LÄN</t>
        </is>
      </c>
      <c r="E610" t="inlineStr">
        <is>
          <t>LINDESBERG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38613-2024</t>
        </is>
      </c>
      <c r="B611" s="1" t="n">
        <v>45546.68743055555</v>
      </c>
      <c r="C611" s="1" t="n">
        <v>46025</v>
      </c>
      <c r="D611" t="inlineStr">
        <is>
          <t>ÖREBRO LÄN</t>
        </is>
      </c>
      <c r="E611" t="inlineStr">
        <is>
          <t>LINDESBERG</t>
        </is>
      </c>
      <c r="F611" t="inlineStr">
        <is>
          <t>Kyrkan</t>
        </is>
      </c>
      <c r="G611" t="n">
        <v>1.6</v>
      </c>
      <c r="H611" t="n">
        <v>0</v>
      </c>
      <c r="I611" t="n">
        <v>0</v>
      </c>
      <c r="J611" t="n">
        <v>0</v>
      </c>
      <c r="K611" t="n">
        <v>0</v>
      </c>
      <c r="L611" t="n">
        <v>0</v>
      </c>
      <c r="M611" t="n">
        <v>0</v>
      </c>
      <c r="N611" t="n">
        <v>0</v>
      </c>
      <c r="O611" t="n">
        <v>0</v>
      </c>
      <c r="P611" t="n">
        <v>0</v>
      </c>
      <c r="Q611" t="n">
        <v>0</v>
      </c>
      <c r="R611" s="2" t="inlineStr"/>
    </row>
    <row r="612" ht="15" customHeight="1">
      <c r="A612" t="inlineStr">
        <is>
          <t>A 62383-2025</t>
        </is>
      </c>
      <c r="B612" s="1" t="n">
        <v>46007.3708449074</v>
      </c>
      <c r="C612" s="1" t="n">
        <v>46025</v>
      </c>
      <c r="D612" t="inlineStr">
        <is>
          <t>ÖREBRO LÄN</t>
        </is>
      </c>
      <c r="E612" t="inlineStr">
        <is>
          <t>LINDESBERG</t>
        </is>
      </c>
      <c r="G612" t="n">
        <v>3.5</v>
      </c>
      <c r="H612" t="n">
        <v>0</v>
      </c>
      <c r="I612" t="n">
        <v>0</v>
      </c>
      <c r="J612" t="n">
        <v>0</v>
      </c>
      <c r="K612" t="n">
        <v>0</v>
      </c>
      <c r="L612" t="n">
        <v>0</v>
      </c>
      <c r="M612" t="n">
        <v>0</v>
      </c>
      <c r="N612" t="n">
        <v>0</v>
      </c>
      <c r="O612" t="n">
        <v>0</v>
      </c>
      <c r="P612" t="n">
        <v>0</v>
      </c>
      <c r="Q612" t="n">
        <v>0</v>
      </c>
      <c r="R612" s="2" t="inlineStr"/>
    </row>
    <row r="613" ht="15" customHeight="1">
      <c r="A613" t="inlineStr">
        <is>
          <t>A 73500-2021</t>
        </is>
      </c>
      <c r="B613" s="1" t="n">
        <v>44551</v>
      </c>
      <c r="C613" s="1" t="n">
        <v>46025</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56507-2021</t>
        </is>
      </c>
      <c r="B614" s="1" t="n">
        <v>44480.58034722223</v>
      </c>
      <c r="C614" s="1" t="n">
        <v>46025</v>
      </c>
      <c r="D614" t="inlineStr">
        <is>
          <t>ÖREBRO LÄN</t>
        </is>
      </c>
      <c r="E614" t="inlineStr">
        <is>
          <t>LINDESBERG</t>
        </is>
      </c>
      <c r="G614" t="n">
        <v>2.3</v>
      </c>
      <c r="H614" t="n">
        <v>0</v>
      </c>
      <c r="I614" t="n">
        <v>0</v>
      </c>
      <c r="J614" t="n">
        <v>0</v>
      </c>
      <c r="K614" t="n">
        <v>0</v>
      </c>
      <c r="L614" t="n">
        <v>0</v>
      </c>
      <c r="M614" t="n">
        <v>0</v>
      </c>
      <c r="N614" t="n">
        <v>0</v>
      </c>
      <c r="O614" t="n">
        <v>0</v>
      </c>
      <c r="P614" t="n">
        <v>0</v>
      </c>
      <c r="Q614" t="n">
        <v>0</v>
      </c>
      <c r="R614" s="2" t="inlineStr"/>
    </row>
    <row r="615" ht="15" customHeight="1">
      <c r="A615" t="inlineStr">
        <is>
          <t>A 65194-2023</t>
        </is>
      </c>
      <c r="B615" s="1" t="n">
        <v>45289</v>
      </c>
      <c r="C615" s="1" t="n">
        <v>46025</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9436-2023</t>
        </is>
      </c>
      <c r="B616" s="1" t="n">
        <v>44981</v>
      </c>
      <c r="C616" s="1" t="n">
        <v>46025</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62604-2025</t>
        </is>
      </c>
      <c r="B617" s="1" t="n">
        <v>46008.26085648148</v>
      </c>
      <c r="C617" s="1" t="n">
        <v>46025</v>
      </c>
      <c r="D617" t="inlineStr">
        <is>
          <t>ÖREBRO LÄN</t>
        </is>
      </c>
      <c r="E617" t="inlineStr">
        <is>
          <t>LINDESBERG</t>
        </is>
      </c>
      <c r="G617" t="n">
        <v>0.6</v>
      </c>
      <c r="H617" t="n">
        <v>0</v>
      </c>
      <c r="I617" t="n">
        <v>0</v>
      </c>
      <c r="J617" t="n">
        <v>0</v>
      </c>
      <c r="K617" t="n">
        <v>0</v>
      </c>
      <c r="L617" t="n">
        <v>0</v>
      </c>
      <c r="M617" t="n">
        <v>0</v>
      </c>
      <c r="N617" t="n">
        <v>0</v>
      </c>
      <c r="O617" t="n">
        <v>0</v>
      </c>
      <c r="P617" t="n">
        <v>0</v>
      </c>
      <c r="Q617" t="n">
        <v>0</v>
      </c>
      <c r="R617" s="2" t="inlineStr"/>
    </row>
    <row r="618" ht="15" customHeight="1">
      <c r="A618" t="inlineStr">
        <is>
          <t>A 36121-2023</t>
        </is>
      </c>
      <c r="B618" s="1" t="n">
        <v>45148</v>
      </c>
      <c r="C618" s="1" t="n">
        <v>46025</v>
      </c>
      <c r="D618" t="inlineStr">
        <is>
          <t>ÖREBRO LÄN</t>
        </is>
      </c>
      <c r="E618" t="inlineStr">
        <is>
          <t>LINDESBERG</t>
        </is>
      </c>
      <c r="G618" t="n">
        <v>7.1</v>
      </c>
      <c r="H618" t="n">
        <v>0</v>
      </c>
      <c r="I618" t="n">
        <v>0</v>
      </c>
      <c r="J618" t="n">
        <v>0</v>
      </c>
      <c r="K618" t="n">
        <v>0</v>
      </c>
      <c r="L618" t="n">
        <v>0</v>
      </c>
      <c r="M618" t="n">
        <v>0</v>
      </c>
      <c r="N618" t="n">
        <v>0</v>
      </c>
      <c r="O618" t="n">
        <v>0</v>
      </c>
      <c r="P618" t="n">
        <v>0</v>
      </c>
      <c r="Q618" t="n">
        <v>0</v>
      </c>
      <c r="R618" s="2" t="inlineStr"/>
    </row>
    <row r="619" ht="15" customHeight="1">
      <c r="A619" t="inlineStr">
        <is>
          <t>A 60450-2025</t>
        </is>
      </c>
      <c r="B619" s="1" t="n">
        <v>45995</v>
      </c>
      <c r="C619" s="1" t="n">
        <v>46025</v>
      </c>
      <c r="D619" t="inlineStr">
        <is>
          <t>ÖREBRO LÄN</t>
        </is>
      </c>
      <c r="E619" t="inlineStr">
        <is>
          <t>LINDESBERG</t>
        </is>
      </c>
      <c r="G619" t="n">
        <v>4.1</v>
      </c>
      <c r="H619" t="n">
        <v>0</v>
      </c>
      <c r="I619" t="n">
        <v>0</v>
      </c>
      <c r="J619" t="n">
        <v>0</v>
      </c>
      <c r="K619" t="n">
        <v>0</v>
      </c>
      <c r="L619" t="n">
        <v>0</v>
      </c>
      <c r="M619" t="n">
        <v>0</v>
      </c>
      <c r="N619" t="n">
        <v>0</v>
      </c>
      <c r="O619" t="n">
        <v>0</v>
      </c>
      <c r="P619" t="n">
        <v>0</v>
      </c>
      <c r="Q619" t="n">
        <v>0</v>
      </c>
      <c r="R619" s="2" t="inlineStr"/>
    </row>
    <row r="620" ht="15" customHeight="1">
      <c r="A620" t="inlineStr">
        <is>
          <t>A 34838-2023</t>
        </is>
      </c>
      <c r="B620" s="1" t="n">
        <v>45141.76530092592</v>
      </c>
      <c r="C620" s="1" t="n">
        <v>46025</v>
      </c>
      <c r="D620" t="inlineStr">
        <is>
          <t>ÖREBRO LÄN</t>
        </is>
      </c>
      <c r="E620" t="inlineStr">
        <is>
          <t>LINDESBERG</t>
        </is>
      </c>
      <c r="G620" t="n">
        <v>3</v>
      </c>
      <c r="H620" t="n">
        <v>0</v>
      </c>
      <c r="I620" t="n">
        <v>0</v>
      </c>
      <c r="J620" t="n">
        <v>0</v>
      </c>
      <c r="K620" t="n">
        <v>0</v>
      </c>
      <c r="L620" t="n">
        <v>0</v>
      </c>
      <c r="M620" t="n">
        <v>0</v>
      </c>
      <c r="N620" t="n">
        <v>0</v>
      </c>
      <c r="O620" t="n">
        <v>0</v>
      </c>
      <c r="P620" t="n">
        <v>0</v>
      </c>
      <c r="Q620" t="n">
        <v>0</v>
      </c>
      <c r="R620" s="2" t="inlineStr"/>
    </row>
    <row r="621" ht="15" customHeight="1">
      <c r="A621" t="inlineStr">
        <is>
          <t>A 31024-2023</t>
        </is>
      </c>
      <c r="B621" s="1" t="n">
        <v>45113</v>
      </c>
      <c r="C621" s="1" t="n">
        <v>46025</v>
      </c>
      <c r="D621" t="inlineStr">
        <is>
          <t>ÖREBRO LÄN</t>
        </is>
      </c>
      <c r="E621" t="inlineStr">
        <is>
          <t>LINDESBERG</t>
        </is>
      </c>
      <c r="G621" t="n">
        <v>5.1</v>
      </c>
      <c r="H621" t="n">
        <v>0</v>
      </c>
      <c r="I621" t="n">
        <v>0</v>
      </c>
      <c r="J621" t="n">
        <v>0</v>
      </c>
      <c r="K621" t="n">
        <v>0</v>
      </c>
      <c r="L621" t="n">
        <v>0</v>
      </c>
      <c r="M621" t="n">
        <v>0</v>
      </c>
      <c r="N621" t="n">
        <v>0</v>
      </c>
      <c r="O621" t="n">
        <v>0</v>
      </c>
      <c r="P621" t="n">
        <v>0</v>
      </c>
      <c r="Q621" t="n">
        <v>0</v>
      </c>
      <c r="R621" s="2" t="inlineStr"/>
    </row>
    <row r="622" ht="15" customHeight="1">
      <c r="A622" t="inlineStr">
        <is>
          <t>A 61736-2025</t>
        </is>
      </c>
      <c r="B622" s="1" t="n">
        <v>46002</v>
      </c>
      <c r="C622" s="1" t="n">
        <v>46025</v>
      </c>
      <c r="D622" t="inlineStr">
        <is>
          <t>ÖREBRO LÄN</t>
        </is>
      </c>
      <c r="E622" t="inlineStr">
        <is>
          <t>LINDESBERG</t>
        </is>
      </c>
      <c r="G622" t="n">
        <v>4.5</v>
      </c>
      <c r="H622" t="n">
        <v>0</v>
      </c>
      <c r="I622" t="n">
        <v>0</v>
      </c>
      <c r="J622" t="n">
        <v>0</v>
      </c>
      <c r="K622" t="n">
        <v>0</v>
      </c>
      <c r="L622" t="n">
        <v>0</v>
      </c>
      <c r="M622" t="n">
        <v>0</v>
      </c>
      <c r="N622" t="n">
        <v>0</v>
      </c>
      <c r="O622" t="n">
        <v>0</v>
      </c>
      <c r="P622" t="n">
        <v>0</v>
      </c>
      <c r="Q622" t="n">
        <v>0</v>
      </c>
      <c r="R622" s="2" t="inlineStr"/>
    </row>
    <row r="623" ht="15" customHeight="1">
      <c r="A623" t="inlineStr">
        <is>
          <t>A 63083-2025</t>
        </is>
      </c>
      <c r="B623" s="1" t="n">
        <v>46009.67175925926</v>
      </c>
      <c r="C623" s="1" t="n">
        <v>46025</v>
      </c>
      <c r="D623" t="inlineStr">
        <is>
          <t>ÖREBRO LÄN</t>
        </is>
      </c>
      <c r="E623" t="inlineStr">
        <is>
          <t>LINDESBERG</t>
        </is>
      </c>
      <c r="G623" t="n">
        <v>0.7</v>
      </c>
      <c r="H623" t="n">
        <v>0</v>
      </c>
      <c r="I623" t="n">
        <v>0</v>
      </c>
      <c r="J623" t="n">
        <v>0</v>
      </c>
      <c r="K623" t="n">
        <v>0</v>
      </c>
      <c r="L623" t="n">
        <v>0</v>
      </c>
      <c r="M623" t="n">
        <v>0</v>
      </c>
      <c r="N623" t="n">
        <v>0</v>
      </c>
      <c r="O623" t="n">
        <v>0</v>
      </c>
      <c r="P623" t="n">
        <v>0</v>
      </c>
      <c r="Q623" t="n">
        <v>0</v>
      </c>
      <c r="R623" s="2" t="inlineStr"/>
    </row>
    <row r="624" ht="15" customHeight="1">
      <c r="A624" t="inlineStr">
        <is>
          <t>A 55255-2025</t>
        </is>
      </c>
      <c r="B624" s="1" t="n">
        <v>45968.63695601852</v>
      </c>
      <c r="C624" s="1" t="n">
        <v>46025</v>
      </c>
      <c r="D624" t="inlineStr">
        <is>
          <t>ÖREBRO LÄN</t>
        </is>
      </c>
      <c r="E624" t="inlineStr">
        <is>
          <t>LINDESBERG</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33281-2024</t>
        </is>
      </c>
      <c r="B625" s="1" t="n">
        <v>45518.71202546296</v>
      </c>
      <c r="C625" s="1" t="n">
        <v>46025</v>
      </c>
      <c r="D625" t="inlineStr">
        <is>
          <t>ÖREBRO LÄN</t>
        </is>
      </c>
      <c r="E625" t="inlineStr">
        <is>
          <t>LINDESBERG</t>
        </is>
      </c>
      <c r="G625" t="n">
        <v>2</v>
      </c>
      <c r="H625" t="n">
        <v>0</v>
      </c>
      <c r="I625" t="n">
        <v>0</v>
      </c>
      <c r="J625" t="n">
        <v>0</v>
      </c>
      <c r="K625" t="n">
        <v>0</v>
      </c>
      <c r="L625" t="n">
        <v>0</v>
      </c>
      <c r="M625" t="n">
        <v>0</v>
      </c>
      <c r="N625" t="n">
        <v>0</v>
      </c>
      <c r="O625" t="n">
        <v>0</v>
      </c>
      <c r="P625" t="n">
        <v>0</v>
      </c>
      <c r="Q625" t="n">
        <v>0</v>
      </c>
      <c r="R625" s="2" t="inlineStr"/>
    </row>
    <row r="626" ht="15" customHeight="1">
      <c r="A626" t="inlineStr">
        <is>
          <t>A 33283-2024</t>
        </is>
      </c>
      <c r="B626" s="1" t="n">
        <v>45518.71591435185</v>
      </c>
      <c r="C626" s="1" t="n">
        <v>46025</v>
      </c>
      <c r="D626" t="inlineStr">
        <is>
          <t>ÖREBRO LÄN</t>
        </is>
      </c>
      <c r="E626" t="inlineStr">
        <is>
          <t>LINDESBERG</t>
        </is>
      </c>
      <c r="G626" t="n">
        <v>3.9</v>
      </c>
      <c r="H626" t="n">
        <v>0</v>
      </c>
      <c r="I626" t="n">
        <v>0</v>
      </c>
      <c r="J626" t="n">
        <v>0</v>
      </c>
      <c r="K626" t="n">
        <v>0</v>
      </c>
      <c r="L626" t="n">
        <v>0</v>
      </c>
      <c r="M626" t="n">
        <v>0</v>
      </c>
      <c r="N626" t="n">
        <v>0</v>
      </c>
      <c r="O626" t="n">
        <v>0</v>
      </c>
      <c r="P626" t="n">
        <v>0</v>
      </c>
      <c r="Q626" t="n">
        <v>0</v>
      </c>
      <c r="R626" s="2" t="inlineStr"/>
    </row>
    <row r="627" ht="15" customHeight="1">
      <c r="A627" t="inlineStr">
        <is>
          <t>A 61960-2024</t>
        </is>
      </c>
      <c r="B627" s="1" t="n">
        <v>45653.53664351852</v>
      </c>
      <c r="C627" s="1" t="n">
        <v>46025</v>
      </c>
      <c r="D627" t="inlineStr">
        <is>
          <t>ÖREBRO LÄN</t>
        </is>
      </c>
      <c r="E627" t="inlineStr">
        <is>
          <t>LINDESBERG</t>
        </is>
      </c>
      <c r="G627" t="n">
        <v>1.1</v>
      </c>
      <c r="H627" t="n">
        <v>0</v>
      </c>
      <c r="I627" t="n">
        <v>0</v>
      </c>
      <c r="J627" t="n">
        <v>0</v>
      </c>
      <c r="K627" t="n">
        <v>0</v>
      </c>
      <c r="L627" t="n">
        <v>0</v>
      </c>
      <c r="M627" t="n">
        <v>0</v>
      </c>
      <c r="N627" t="n">
        <v>0</v>
      </c>
      <c r="O627" t="n">
        <v>0</v>
      </c>
      <c r="P627" t="n">
        <v>0</v>
      </c>
      <c r="Q627" t="n">
        <v>0</v>
      </c>
      <c r="R627" s="2" t="inlineStr"/>
    </row>
    <row r="628" ht="15" customHeight="1">
      <c r="A628" t="inlineStr">
        <is>
          <t>A 48756-2024</t>
        </is>
      </c>
      <c r="B628" s="1" t="n">
        <v>45593.59681712963</v>
      </c>
      <c r="C628" s="1" t="n">
        <v>46025</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60449-2024</t>
        </is>
      </c>
      <c r="B629" s="1" t="n">
        <v>45643</v>
      </c>
      <c r="C629" s="1" t="n">
        <v>46025</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15060-2024</t>
        </is>
      </c>
      <c r="B630" s="1" t="n">
        <v>45399.56596064815</v>
      </c>
      <c r="C630" s="1" t="n">
        <v>46025</v>
      </c>
      <c r="D630" t="inlineStr">
        <is>
          <t>ÖREBRO LÄN</t>
        </is>
      </c>
      <c r="E630" t="inlineStr">
        <is>
          <t>LINDESBERG</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61739-2025</t>
        </is>
      </c>
      <c r="B631" s="1" t="n">
        <v>46002</v>
      </c>
      <c r="C631" s="1" t="n">
        <v>46025</v>
      </c>
      <c r="D631" t="inlineStr">
        <is>
          <t>ÖREBRO LÄN</t>
        </is>
      </c>
      <c r="E631" t="inlineStr">
        <is>
          <t>LINDESBERG</t>
        </is>
      </c>
      <c r="G631" t="n">
        <v>5.3</v>
      </c>
      <c r="H631" t="n">
        <v>0</v>
      </c>
      <c r="I631" t="n">
        <v>0</v>
      </c>
      <c r="J631" t="n">
        <v>0</v>
      </c>
      <c r="K631" t="n">
        <v>0</v>
      </c>
      <c r="L631" t="n">
        <v>0</v>
      </c>
      <c r="M631" t="n">
        <v>0</v>
      </c>
      <c r="N631" t="n">
        <v>0</v>
      </c>
      <c r="O631" t="n">
        <v>0</v>
      </c>
      <c r="P631" t="n">
        <v>0</v>
      </c>
      <c r="Q631" t="n">
        <v>0</v>
      </c>
      <c r="R631" s="2" t="inlineStr"/>
    </row>
    <row r="632" ht="15" customHeight="1">
      <c r="A632" t="inlineStr">
        <is>
          <t>A 60400-2025</t>
        </is>
      </c>
      <c r="B632" s="1" t="n">
        <v>45995</v>
      </c>
      <c r="C632" s="1" t="n">
        <v>46025</v>
      </c>
      <c r="D632" t="inlineStr">
        <is>
          <t>ÖREBRO LÄN</t>
        </is>
      </c>
      <c r="E632" t="inlineStr">
        <is>
          <t>LINDESBERG</t>
        </is>
      </c>
      <c r="G632" t="n">
        <v>11.2</v>
      </c>
      <c r="H632" t="n">
        <v>0</v>
      </c>
      <c r="I632" t="n">
        <v>0</v>
      </c>
      <c r="J632" t="n">
        <v>0</v>
      </c>
      <c r="K632" t="n">
        <v>0</v>
      </c>
      <c r="L632" t="n">
        <v>0</v>
      </c>
      <c r="M632" t="n">
        <v>0</v>
      </c>
      <c r="N632" t="n">
        <v>0</v>
      </c>
      <c r="O632" t="n">
        <v>0</v>
      </c>
      <c r="P632" t="n">
        <v>0</v>
      </c>
      <c r="Q632" t="n">
        <v>0</v>
      </c>
      <c r="R632" s="2" t="inlineStr"/>
    </row>
    <row r="633" ht="15" customHeight="1">
      <c r="A633" t="inlineStr">
        <is>
          <t>A 63078-2025</t>
        </is>
      </c>
      <c r="B633" s="1" t="n">
        <v>46009.66377314815</v>
      </c>
      <c r="C633" s="1" t="n">
        <v>46025</v>
      </c>
      <c r="D633" t="inlineStr">
        <is>
          <t>ÖREBRO LÄN</t>
        </is>
      </c>
      <c r="E633" t="inlineStr">
        <is>
          <t>LINDESBERG</t>
        </is>
      </c>
      <c r="G633" t="n">
        <v>0.9</v>
      </c>
      <c r="H633" t="n">
        <v>0</v>
      </c>
      <c r="I633" t="n">
        <v>0</v>
      </c>
      <c r="J633" t="n">
        <v>0</v>
      </c>
      <c r="K633" t="n">
        <v>0</v>
      </c>
      <c r="L633" t="n">
        <v>0</v>
      </c>
      <c r="M633" t="n">
        <v>0</v>
      </c>
      <c r="N633" t="n">
        <v>0</v>
      </c>
      <c r="O633" t="n">
        <v>0</v>
      </c>
      <c r="P633" t="n">
        <v>0</v>
      </c>
      <c r="Q633" t="n">
        <v>0</v>
      </c>
      <c r="R633" s="2" t="inlineStr"/>
    </row>
    <row r="634" ht="15" customHeight="1">
      <c r="A634" t="inlineStr">
        <is>
          <t>A 53510-2024</t>
        </is>
      </c>
      <c r="B634" s="1" t="n">
        <v>45614.5968287037</v>
      </c>
      <c r="C634" s="1" t="n">
        <v>46025</v>
      </c>
      <c r="D634" t="inlineStr">
        <is>
          <t>ÖREBRO LÄN</t>
        </is>
      </c>
      <c r="E634" t="inlineStr">
        <is>
          <t>LINDESBERG</t>
        </is>
      </c>
      <c r="G634" t="n">
        <v>1</v>
      </c>
      <c r="H634" t="n">
        <v>0</v>
      </c>
      <c r="I634" t="n">
        <v>0</v>
      </c>
      <c r="J634" t="n">
        <v>0</v>
      </c>
      <c r="K634" t="n">
        <v>0</v>
      </c>
      <c r="L634" t="n">
        <v>0</v>
      </c>
      <c r="M634" t="n">
        <v>0</v>
      </c>
      <c r="N634" t="n">
        <v>0</v>
      </c>
      <c r="O634" t="n">
        <v>0</v>
      </c>
      <c r="P634" t="n">
        <v>0</v>
      </c>
      <c r="Q634" t="n">
        <v>0</v>
      </c>
      <c r="R634" s="2" t="inlineStr"/>
    </row>
    <row r="635" ht="15" customHeight="1">
      <c r="A635" t="inlineStr">
        <is>
          <t>A 55065-2025</t>
        </is>
      </c>
      <c r="B635" s="1" t="n">
        <v>45967.7096875</v>
      </c>
      <c r="C635" s="1" t="n">
        <v>46025</v>
      </c>
      <c r="D635" t="inlineStr">
        <is>
          <t>ÖREBRO LÄN</t>
        </is>
      </c>
      <c r="E635" t="inlineStr">
        <is>
          <t>LINDESBERG</t>
        </is>
      </c>
      <c r="G635" t="n">
        <v>3.5</v>
      </c>
      <c r="H635" t="n">
        <v>0</v>
      </c>
      <c r="I635" t="n">
        <v>0</v>
      </c>
      <c r="J635" t="n">
        <v>0</v>
      </c>
      <c r="K635" t="n">
        <v>0</v>
      </c>
      <c r="L635" t="n">
        <v>0</v>
      </c>
      <c r="M635" t="n">
        <v>0</v>
      </c>
      <c r="N635" t="n">
        <v>0</v>
      </c>
      <c r="O635" t="n">
        <v>0</v>
      </c>
      <c r="P635" t="n">
        <v>0</v>
      </c>
      <c r="Q635" t="n">
        <v>0</v>
      </c>
      <c r="R635" s="2" t="inlineStr"/>
    </row>
    <row r="636" ht="15" customHeight="1">
      <c r="A636" t="inlineStr">
        <is>
          <t>A 55477-2025</t>
        </is>
      </c>
      <c r="B636" s="1" t="n">
        <v>45971.56197916667</v>
      </c>
      <c r="C636" s="1" t="n">
        <v>46025</v>
      </c>
      <c r="D636" t="inlineStr">
        <is>
          <t>ÖREBRO LÄN</t>
        </is>
      </c>
      <c r="E636" t="inlineStr">
        <is>
          <t>LINDESBERG</t>
        </is>
      </c>
      <c r="G636" t="n">
        <v>1.2</v>
      </c>
      <c r="H636" t="n">
        <v>0</v>
      </c>
      <c r="I636" t="n">
        <v>0</v>
      </c>
      <c r="J636" t="n">
        <v>0</v>
      </c>
      <c r="K636" t="n">
        <v>0</v>
      </c>
      <c r="L636" t="n">
        <v>0</v>
      </c>
      <c r="M636" t="n">
        <v>0</v>
      </c>
      <c r="N636" t="n">
        <v>0</v>
      </c>
      <c r="O636" t="n">
        <v>0</v>
      </c>
      <c r="P636" t="n">
        <v>0</v>
      </c>
      <c r="Q636" t="n">
        <v>0</v>
      </c>
      <c r="R636" s="2" t="inlineStr"/>
    </row>
    <row r="637" ht="15" customHeight="1">
      <c r="A637" t="inlineStr">
        <is>
          <t>A 34676-2023</t>
        </is>
      </c>
      <c r="B637" s="1" t="n">
        <v>45140</v>
      </c>
      <c r="C637" s="1" t="n">
        <v>46025</v>
      </c>
      <c r="D637" t="inlineStr">
        <is>
          <t>ÖREBRO LÄN</t>
        </is>
      </c>
      <c r="E637" t="inlineStr">
        <is>
          <t>LINDESBERG</t>
        </is>
      </c>
      <c r="G637" t="n">
        <v>2.4</v>
      </c>
      <c r="H637" t="n">
        <v>0</v>
      </c>
      <c r="I637" t="n">
        <v>0</v>
      </c>
      <c r="J637" t="n">
        <v>0</v>
      </c>
      <c r="K637" t="n">
        <v>0</v>
      </c>
      <c r="L637" t="n">
        <v>0</v>
      </c>
      <c r="M637" t="n">
        <v>0</v>
      </c>
      <c r="N637" t="n">
        <v>0</v>
      </c>
      <c r="O637" t="n">
        <v>0</v>
      </c>
      <c r="P637" t="n">
        <v>0</v>
      </c>
      <c r="Q637" t="n">
        <v>0</v>
      </c>
      <c r="R637" s="2" t="inlineStr"/>
    </row>
    <row r="638" ht="15" customHeight="1">
      <c r="A638" t="inlineStr">
        <is>
          <t>A 61594-2024</t>
        </is>
      </c>
      <c r="B638" s="1" t="n">
        <v>45646.63482638889</v>
      </c>
      <c r="C638" s="1" t="n">
        <v>46025</v>
      </c>
      <c r="D638" t="inlineStr">
        <is>
          <t>ÖREBRO LÄN</t>
        </is>
      </c>
      <c r="E638" t="inlineStr">
        <is>
          <t>LINDESBERG</t>
        </is>
      </c>
      <c r="G638" t="n">
        <v>2</v>
      </c>
      <c r="H638" t="n">
        <v>0</v>
      </c>
      <c r="I638" t="n">
        <v>0</v>
      </c>
      <c r="J638" t="n">
        <v>0</v>
      </c>
      <c r="K638" t="n">
        <v>0</v>
      </c>
      <c r="L638" t="n">
        <v>0</v>
      </c>
      <c r="M638" t="n">
        <v>0</v>
      </c>
      <c r="N638" t="n">
        <v>0</v>
      </c>
      <c r="O638" t="n">
        <v>0</v>
      </c>
      <c r="P638" t="n">
        <v>0</v>
      </c>
      <c r="Q638" t="n">
        <v>0</v>
      </c>
      <c r="R638" s="2" t="inlineStr"/>
    </row>
    <row r="639" ht="15" customHeight="1">
      <c r="A639" t="inlineStr">
        <is>
          <t>A 55490-2025</t>
        </is>
      </c>
      <c r="B639" s="1" t="n">
        <v>45971.57659722222</v>
      </c>
      <c r="C639" s="1" t="n">
        <v>46025</v>
      </c>
      <c r="D639" t="inlineStr">
        <is>
          <t>ÖREBRO LÄN</t>
        </is>
      </c>
      <c r="E639" t="inlineStr">
        <is>
          <t>LINDESBERG</t>
        </is>
      </c>
      <c r="G639" t="n">
        <v>1.1</v>
      </c>
      <c r="H639" t="n">
        <v>0</v>
      </c>
      <c r="I639" t="n">
        <v>0</v>
      </c>
      <c r="J639" t="n">
        <v>0</v>
      </c>
      <c r="K639" t="n">
        <v>0</v>
      </c>
      <c r="L639" t="n">
        <v>0</v>
      </c>
      <c r="M639" t="n">
        <v>0</v>
      </c>
      <c r="N639" t="n">
        <v>0</v>
      </c>
      <c r="O639" t="n">
        <v>0</v>
      </c>
      <c r="P639" t="n">
        <v>0</v>
      </c>
      <c r="Q639" t="n">
        <v>0</v>
      </c>
      <c r="R639" s="2" t="inlineStr"/>
    </row>
    <row r="640" ht="15" customHeight="1">
      <c r="A640" t="inlineStr">
        <is>
          <t>A 40563-2023</t>
        </is>
      </c>
      <c r="B640" s="1" t="n">
        <v>45170.45921296296</v>
      </c>
      <c r="C640" s="1" t="n">
        <v>46025</v>
      </c>
      <c r="D640" t="inlineStr">
        <is>
          <t>ÖREBRO LÄN</t>
        </is>
      </c>
      <c r="E640" t="inlineStr">
        <is>
          <t>LINDESBERG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7026-2024</t>
        </is>
      </c>
      <c r="B641" s="1" t="n">
        <v>45343.58587962963</v>
      </c>
      <c r="C641" s="1" t="n">
        <v>46025</v>
      </c>
      <c r="D641" t="inlineStr">
        <is>
          <t>ÖREBRO LÄN</t>
        </is>
      </c>
      <c r="E641" t="inlineStr">
        <is>
          <t>LINDESBERG</t>
        </is>
      </c>
      <c r="G641" t="n">
        <v>2.4</v>
      </c>
      <c r="H641" t="n">
        <v>0</v>
      </c>
      <c r="I641" t="n">
        <v>0</v>
      </c>
      <c r="J641" t="n">
        <v>0</v>
      </c>
      <c r="K641" t="n">
        <v>0</v>
      </c>
      <c r="L641" t="n">
        <v>0</v>
      </c>
      <c r="M641" t="n">
        <v>0</v>
      </c>
      <c r="N641" t="n">
        <v>0</v>
      </c>
      <c r="O641" t="n">
        <v>0</v>
      </c>
      <c r="P641" t="n">
        <v>0</v>
      </c>
      <c r="Q641" t="n">
        <v>0</v>
      </c>
      <c r="R641" s="2" t="inlineStr"/>
    </row>
    <row r="642" ht="15" customHeight="1">
      <c r="A642" t="inlineStr">
        <is>
          <t>A 56232-2025</t>
        </is>
      </c>
      <c r="B642" s="1" t="n">
        <v>45974.53239583333</v>
      </c>
      <c r="C642" s="1" t="n">
        <v>46025</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56308-2025</t>
        </is>
      </c>
      <c r="B643" s="1" t="n">
        <v>45974.61344907407</v>
      </c>
      <c r="C643" s="1" t="n">
        <v>46025</v>
      </c>
      <c r="D643" t="inlineStr">
        <is>
          <t>ÖREBRO LÄN</t>
        </is>
      </c>
      <c r="E643" t="inlineStr">
        <is>
          <t>LINDESBERG</t>
        </is>
      </c>
      <c r="F643" t="inlineStr">
        <is>
          <t>Sveaskog</t>
        </is>
      </c>
      <c r="G643" t="n">
        <v>2.6</v>
      </c>
      <c r="H643" t="n">
        <v>0</v>
      </c>
      <c r="I643" t="n">
        <v>0</v>
      </c>
      <c r="J643" t="n">
        <v>0</v>
      </c>
      <c r="K643" t="n">
        <v>0</v>
      </c>
      <c r="L643" t="n">
        <v>0</v>
      </c>
      <c r="M643" t="n">
        <v>0</v>
      </c>
      <c r="N643" t="n">
        <v>0</v>
      </c>
      <c r="O643" t="n">
        <v>0</v>
      </c>
      <c r="P643" t="n">
        <v>0</v>
      </c>
      <c r="Q643" t="n">
        <v>0</v>
      </c>
      <c r="R643" s="2" t="inlineStr"/>
    </row>
    <row r="644" ht="15" customHeight="1">
      <c r="A644" t="inlineStr">
        <is>
          <t>A 56226-2025</t>
        </is>
      </c>
      <c r="B644" s="1" t="n">
        <v>45974.51283564815</v>
      </c>
      <c r="C644" s="1" t="n">
        <v>46025</v>
      </c>
      <c r="D644" t="inlineStr">
        <is>
          <t>ÖREBRO LÄN</t>
        </is>
      </c>
      <c r="E644" t="inlineStr">
        <is>
          <t>LINDESBERG</t>
        </is>
      </c>
      <c r="G644" t="n">
        <v>1.8</v>
      </c>
      <c r="H644" t="n">
        <v>0</v>
      </c>
      <c r="I644" t="n">
        <v>0</v>
      </c>
      <c r="J644" t="n">
        <v>0</v>
      </c>
      <c r="K644" t="n">
        <v>0</v>
      </c>
      <c r="L644" t="n">
        <v>0</v>
      </c>
      <c r="M644" t="n">
        <v>0</v>
      </c>
      <c r="N644" t="n">
        <v>0</v>
      </c>
      <c r="O644" t="n">
        <v>0</v>
      </c>
      <c r="P644" t="n">
        <v>0</v>
      </c>
      <c r="Q644" t="n">
        <v>0</v>
      </c>
      <c r="R644" s="2" t="inlineStr"/>
    </row>
    <row r="645" ht="15" customHeight="1">
      <c r="A645" t="inlineStr">
        <is>
          <t>A 56306-2025</t>
        </is>
      </c>
      <c r="B645" s="1" t="n">
        <v>45974.61217592593</v>
      </c>
      <c r="C645" s="1" t="n">
        <v>46025</v>
      </c>
      <c r="D645" t="inlineStr">
        <is>
          <t>ÖREBRO LÄN</t>
        </is>
      </c>
      <c r="E645" t="inlineStr">
        <is>
          <t>LINDESBERG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41353-2024</t>
        </is>
      </c>
      <c r="B646" s="1" t="n">
        <v>45559</v>
      </c>
      <c r="C646" s="1" t="n">
        <v>46025</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51379-2023</t>
        </is>
      </c>
      <c r="B647" s="1" t="n">
        <v>45219</v>
      </c>
      <c r="C647" s="1" t="n">
        <v>46025</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56982-2025</t>
        </is>
      </c>
      <c r="B648" s="1" t="n">
        <v>45978.71075231482</v>
      </c>
      <c r="C648" s="1" t="n">
        <v>46025</v>
      </c>
      <c r="D648" t="inlineStr">
        <is>
          <t>ÖREBRO LÄN</t>
        </is>
      </c>
      <c r="E648" t="inlineStr">
        <is>
          <t>LINDESBERG</t>
        </is>
      </c>
      <c r="G648" t="n">
        <v>4.3</v>
      </c>
      <c r="H648" t="n">
        <v>0</v>
      </c>
      <c r="I648" t="n">
        <v>0</v>
      </c>
      <c r="J648" t="n">
        <v>0</v>
      </c>
      <c r="K648" t="n">
        <v>0</v>
      </c>
      <c r="L648" t="n">
        <v>0</v>
      </c>
      <c r="M648" t="n">
        <v>0</v>
      </c>
      <c r="N648" t="n">
        <v>0</v>
      </c>
      <c r="O648" t="n">
        <v>0</v>
      </c>
      <c r="P648" t="n">
        <v>0</v>
      </c>
      <c r="Q648" t="n">
        <v>0</v>
      </c>
      <c r="R648" s="2" t="inlineStr"/>
    </row>
    <row r="649" ht="15" customHeight="1">
      <c r="A649" t="inlineStr">
        <is>
          <t>A 5080-2024</t>
        </is>
      </c>
      <c r="B649" s="1" t="n">
        <v>45330</v>
      </c>
      <c r="C649" s="1" t="n">
        <v>46025</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12307-2025</t>
        </is>
      </c>
      <c r="B650" s="1" t="n">
        <v>45729.76231481481</v>
      </c>
      <c r="C650" s="1" t="n">
        <v>46025</v>
      </c>
      <c r="D650" t="inlineStr">
        <is>
          <t>ÖREBRO LÄN</t>
        </is>
      </c>
      <c r="E650" t="inlineStr">
        <is>
          <t>LINDESBERG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45056-2024</t>
        </is>
      </c>
      <c r="B651" s="1" t="n">
        <v>45575.55273148148</v>
      </c>
      <c r="C651" s="1" t="n">
        <v>46025</v>
      </c>
      <c r="D651" t="inlineStr">
        <is>
          <t>ÖREBRO LÄN</t>
        </is>
      </c>
      <c r="E651" t="inlineStr">
        <is>
          <t>LINDESBERG</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45058-2024</t>
        </is>
      </c>
      <c r="B652" s="1" t="n">
        <v>45575.5547337963</v>
      </c>
      <c r="C652" s="1" t="n">
        <v>46025</v>
      </c>
      <c r="D652" t="inlineStr">
        <is>
          <t>ÖREBRO LÄN</t>
        </is>
      </c>
      <c r="E652" t="inlineStr">
        <is>
          <t>LINDESBERG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45063-2024</t>
        </is>
      </c>
      <c r="B653" s="1" t="n">
        <v>45575.55684027778</v>
      </c>
      <c r="C653" s="1" t="n">
        <v>46025</v>
      </c>
      <c r="D653" t="inlineStr">
        <is>
          <t>ÖREBRO LÄN</t>
        </is>
      </c>
      <c r="E653" t="inlineStr">
        <is>
          <t>LINDESBERG</t>
        </is>
      </c>
      <c r="F653" t="inlineStr">
        <is>
          <t>Sveaskog</t>
        </is>
      </c>
      <c r="G653" t="n">
        <v>3.3</v>
      </c>
      <c r="H653" t="n">
        <v>0</v>
      </c>
      <c r="I653" t="n">
        <v>0</v>
      </c>
      <c r="J653" t="n">
        <v>0</v>
      </c>
      <c r="K653" t="n">
        <v>0</v>
      </c>
      <c r="L653" t="n">
        <v>0</v>
      </c>
      <c r="M653" t="n">
        <v>0</v>
      </c>
      <c r="N653" t="n">
        <v>0</v>
      </c>
      <c r="O653" t="n">
        <v>0</v>
      </c>
      <c r="P653" t="n">
        <v>0</v>
      </c>
      <c r="Q653" t="n">
        <v>0</v>
      </c>
      <c r="R653" s="2" t="inlineStr"/>
    </row>
    <row r="654" ht="15" customHeight="1">
      <c r="A654" t="inlineStr">
        <is>
          <t>A 45072-2024</t>
        </is>
      </c>
      <c r="B654" s="1" t="n">
        <v>45575.56686342593</v>
      </c>
      <c r="C654" s="1" t="n">
        <v>46025</v>
      </c>
      <c r="D654" t="inlineStr">
        <is>
          <t>ÖREBRO LÄN</t>
        </is>
      </c>
      <c r="E654" t="inlineStr">
        <is>
          <t>LINDESBERG</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45075-2024</t>
        </is>
      </c>
      <c r="B655" s="1" t="n">
        <v>45575.56820601852</v>
      </c>
      <c r="C655" s="1" t="n">
        <v>46025</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41948-2023</t>
        </is>
      </c>
      <c r="B656" s="1" t="n">
        <v>45177.33091435185</v>
      </c>
      <c r="C656" s="1" t="n">
        <v>46025</v>
      </c>
      <c r="D656" t="inlineStr">
        <is>
          <t>ÖREBRO LÄN</t>
        </is>
      </c>
      <c r="E656" t="inlineStr">
        <is>
          <t>LINDESBERG</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67016-2021</t>
        </is>
      </c>
      <c r="B657" s="1" t="n">
        <v>44522</v>
      </c>
      <c r="C657" s="1" t="n">
        <v>46025</v>
      </c>
      <c r="D657" t="inlineStr">
        <is>
          <t>ÖREBRO LÄN</t>
        </is>
      </c>
      <c r="E657" t="inlineStr">
        <is>
          <t>LINDESBERG</t>
        </is>
      </c>
      <c r="G657" t="n">
        <v>8</v>
      </c>
      <c r="H657" t="n">
        <v>0</v>
      </c>
      <c r="I657" t="n">
        <v>0</v>
      </c>
      <c r="J657" t="n">
        <v>0</v>
      </c>
      <c r="K657" t="n">
        <v>0</v>
      </c>
      <c r="L657" t="n">
        <v>0</v>
      </c>
      <c r="M657" t="n">
        <v>0</v>
      </c>
      <c r="N657" t="n">
        <v>0</v>
      </c>
      <c r="O657" t="n">
        <v>0</v>
      </c>
      <c r="P657" t="n">
        <v>0</v>
      </c>
      <c r="Q657" t="n">
        <v>0</v>
      </c>
      <c r="R657" s="2" t="inlineStr"/>
    </row>
    <row r="658" ht="15" customHeight="1">
      <c r="A658" t="inlineStr">
        <is>
          <t>A 57361-2025</t>
        </is>
      </c>
      <c r="B658" s="1" t="n">
        <v>45980.36988425926</v>
      </c>
      <c r="C658" s="1" t="n">
        <v>46025</v>
      </c>
      <c r="D658" t="inlineStr">
        <is>
          <t>ÖREBRO LÄN</t>
        </is>
      </c>
      <c r="E658" t="inlineStr">
        <is>
          <t>LINDESBERG</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57299-2025</t>
        </is>
      </c>
      <c r="B659" s="1" t="n">
        <v>45979.81347222222</v>
      </c>
      <c r="C659" s="1" t="n">
        <v>46025</v>
      </c>
      <c r="D659" t="inlineStr">
        <is>
          <t>ÖREBRO LÄN</t>
        </is>
      </c>
      <c r="E659" t="inlineStr">
        <is>
          <t>LINDESBERG</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10111-2022</t>
        </is>
      </c>
      <c r="B660" s="1" t="n">
        <v>44621.85737268518</v>
      </c>
      <c r="C660" s="1" t="n">
        <v>46025</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57359-2025</t>
        </is>
      </c>
      <c r="B661" s="1" t="n">
        <v>45980.36866898148</v>
      </c>
      <c r="C661" s="1" t="n">
        <v>46025</v>
      </c>
      <c r="D661" t="inlineStr">
        <is>
          <t>ÖREBRO LÄN</t>
        </is>
      </c>
      <c r="E661" t="inlineStr">
        <is>
          <t>LINDESBERG</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19960-2023</t>
        </is>
      </c>
      <c r="B662" s="1" t="n">
        <v>45054</v>
      </c>
      <c r="C662" s="1" t="n">
        <v>46025</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57300-2025</t>
        </is>
      </c>
      <c r="B663" s="1" t="n">
        <v>45979.81403935186</v>
      </c>
      <c r="C663" s="1" t="n">
        <v>46025</v>
      </c>
      <c r="D663" t="inlineStr">
        <is>
          <t>ÖREBRO LÄN</t>
        </is>
      </c>
      <c r="E663" t="inlineStr">
        <is>
          <t>LINDESBERG</t>
        </is>
      </c>
      <c r="F663" t="inlineStr">
        <is>
          <t>Sveaskog</t>
        </is>
      </c>
      <c r="G663" t="n">
        <v>4.9</v>
      </c>
      <c r="H663" t="n">
        <v>0</v>
      </c>
      <c r="I663" t="n">
        <v>0</v>
      </c>
      <c r="J663" t="n">
        <v>0</v>
      </c>
      <c r="K663" t="n">
        <v>0</v>
      </c>
      <c r="L663" t="n">
        <v>0</v>
      </c>
      <c r="M663" t="n">
        <v>0</v>
      </c>
      <c r="N663" t="n">
        <v>0</v>
      </c>
      <c r="O663" t="n">
        <v>0</v>
      </c>
      <c r="P663" t="n">
        <v>0</v>
      </c>
      <c r="Q663" t="n">
        <v>0</v>
      </c>
      <c r="R663" s="2" t="inlineStr"/>
    </row>
    <row r="664" ht="15" customHeight="1">
      <c r="A664" t="inlineStr">
        <is>
          <t>A 57358-2025</t>
        </is>
      </c>
      <c r="B664" s="1" t="n">
        <v>45980.36679398148</v>
      </c>
      <c r="C664" s="1" t="n">
        <v>46025</v>
      </c>
      <c r="D664" t="inlineStr">
        <is>
          <t>ÖREBRO LÄN</t>
        </is>
      </c>
      <c r="E664" t="inlineStr">
        <is>
          <t>LINDESBERG</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50972-2023</t>
        </is>
      </c>
      <c r="B665" s="1" t="n">
        <v>45218</v>
      </c>
      <c r="C665" s="1" t="n">
        <v>46025</v>
      </c>
      <c r="D665" t="inlineStr">
        <is>
          <t>ÖREBRO LÄN</t>
        </is>
      </c>
      <c r="E665" t="inlineStr">
        <is>
          <t>LINDESBERG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57313-2025</t>
        </is>
      </c>
      <c r="B666" s="1" t="n">
        <v>45979.97458333334</v>
      </c>
      <c r="C666" s="1" t="n">
        <v>46025</v>
      </c>
      <c r="D666" t="inlineStr">
        <is>
          <t>ÖREBRO LÄN</t>
        </is>
      </c>
      <c r="E666" t="inlineStr">
        <is>
          <t>LINDESBERG</t>
        </is>
      </c>
      <c r="F666" t="inlineStr">
        <is>
          <t>Sveaskog</t>
        </is>
      </c>
      <c r="G666" t="n">
        <v>9.1</v>
      </c>
      <c r="H666" t="n">
        <v>0</v>
      </c>
      <c r="I666" t="n">
        <v>0</v>
      </c>
      <c r="J666" t="n">
        <v>0</v>
      </c>
      <c r="K666" t="n">
        <v>0</v>
      </c>
      <c r="L666" t="n">
        <v>0</v>
      </c>
      <c r="M666" t="n">
        <v>0</v>
      </c>
      <c r="N666" t="n">
        <v>0</v>
      </c>
      <c r="O666" t="n">
        <v>0</v>
      </c>
      <c r="P666" t="n">
        <v>0</v>
      </c>
      <c r="Q666" t="n">
        <v>0</v>
      </c>
      <c r="R666" s="2" t="inlineStr"/>
    </row>
    <row r="667" ht="15" customHeight="1">
      <c r="A667" t="inlineStr">
        <is>
          <t>A 57314-2025</t>
        </is>
      </c>
      <c r="B667" s="1" t="n">
        <v>45980.00710648148</v>
      </c>
      <c r="C667" s="1" t="n">
        <v>46025</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57315-2025</t>
        </is>
      </c>
      <c r="B668" s="1" t="n">
        <v>45980.00753472222</v>
      </c>
      <c r="C668" s="1" t="n">
        <v>46025</v>
      </c>
      <c r="D668" t="inlineStr">
        <is>
          <t>ÖREBRO LÄN</t>
        </is>
      </c>
      <c r="E668" t="inlineStr">
        <is>
          <t>LINDESBERG</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57316-2025</t>
        </is>
      </c>
      <c r="B669" s="1" t="n">
        <v>45980.0115625</v>
      </c>
      <c r="C669" s="1" t="n">
        <v>46025</v>
      </c>
      <c r="D669" t="inlineStr">
        <is>
          <t>ÖREBRO LÄN</t>
        </is>
      </c>
      <c r="E669" t="inlineStr">
        <is>
          <t>LINDESBERG</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57320-2025</t>
        </is>
      </c>
      <c r="B670" s="1" t="n">
        <v>45980.01553240741</v>
      </c>
      <c r="C670" s="1" t="n">
        <v>46025</v>
      </c>
      <c r="D670" t="inlineStr">
        <is>
          <t>ÖREBRO LÄN</t>
        </is>
      </c>
      <c r="E670" t="inlineStr">
        <is>
          <t>LINDESBERG</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57363-2025</t>
        </is>
      </c>
      <c r="B671" s="1" t="n">
        <v>45980.3716087963</v>
      </c>
      <c r="C671" s="1" t="n">
        <v>46025</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57317-2025</t>
        </is>
      </c>
      <c r="B672" s="1" t="n">
        <v>45980.01226851852</v>
      </c>
      <c r="C672" s="1" t="n">
        <v>46025</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57356-2025</t>
        </is>
      </c>
      <c r="B673" s="1" t="n">
        <v>45980.36633101852</v>
      </c>
      <c r="C673" s="1" t="n">
        <v>46025</v>
      </c>
      <c r="D673" t="inlineStr">
        <is>
          <t>ÖREBRO LÄN</t>
        </is>
      </c>
      <c r="E673" t="inlineStr">
        <is>
          <t>LINDESBERG</t>
        </is>
      </c>
      <c r="F673" t="inlineStr">
        <is>
          <t>Sveaskog</t>
        </is>
      </c>
      <c r="G673" t="n">
        <v>3.4</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46025</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58166-2025</t>
        </is>
      </c>
      <c r="B675" s="1" t="n">
        <v>45982.71017361111</v>
      </c>
      <c r="C675" s="1" t="n">
        <v>46025</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58056-2025</t>
        </is>
      </c>
      <c r="B676" s="1" t="n">
        <v>45982</v>
      </c>
      <c r="C676" s="1" t="n">
        <v>46025</v>
      </c>
      <c r="D676" t="inlineStr">
        <is>
          <t>ÖREBRO LÄN</t>
        </is>
      </c>
      <c r="E676" t="inlineStr">
        <is>
          <t>LINDESBERG</t>
        </is>
      </c>
      <c r="G676" t="n">
        <v>0.9</v>
      </c>
      <c r="H676" t="n">
        <v>0</v>
      </c>
      <c r="I676" t="n">
        <v>0</v>
      </c>
      <c r="J676" t="n">
        <v>0</v>
      </c>
      <c r="K676" t="n">
        <v>0</v>
      </c>
      <c r="L676" t="n">
        <v>0</v>
      </c>
      <c r="M676" t="n">
        <v>0</v>
      </c>
      <c r="N676" t="n">
        <v>0</v>
      </c>
      <c r="O676" t="n">
        <v>0</v>
      </c>
      <c r="P676" t="n">
        <v>0</v>
      </c>
      <c r="Q676" t="n">
        <v>0</v>
      </c>
      <c r="R676" s="2" t="inlineStr"/>
    </row>
    <row r="677" ht="15" customHeight="1">
      <c r="A677" t="inlineStr">
        <is>
          <t>A 33507-2023</t>
        </is>
      </c>
      <c r="B677" s="1" t="n">
        <v>45131</v>
      </c>
      <c r="C677" s="1" t="n">
        <v>46025</v>
      </c>
      <c r="D677" t="inlineStr">
        <is>
          <t>ÖREBRO LÄN</t>
        </is>
      </c>
      <c r="E677" t="inlineStr">
        <is>
          <t>LINDESBERG</t>
        </is>
      </c>
      <c r="G677" t="n">
        <v>3.2</v>
      </c>
      <c r="H677" t="n">
        <v>0</v>
      </c>
      <c r="I677" t="n">
        <v>0</v>
      </c>
      <c r="J677" t="n">
        <v>0</v>
      </c>
      <c r="K677" t="n">
        <v>0</v>
      </c>
      <c r="L677" t="n">
        <v>0</v>
      </c>
      <c r="M677" t="n">
        <v>0</v>
      </c>
      <c r="N677" t="n">
        <v>0</v>
      </c>
      <c r="O677" t="n">
        <v>0</v>
      </c>
      <c r="P677" t="n">
        <v>0</v>
      </c>
      <c r="Q677" t="n">
        <v>0</v>
      </c>
      <c r="R677" s="2" t="inlineStr"/>
    </row>
    <row r="678" ht="15" customHeight="1">
      <c r="A678" t="inlineStr">
        <is>
          <t>A 2406-2024</t>
        </is>
      </c>
      <c r="B678" s="1" t="n">
        <v>45310</v>
      </c>
      <c r="C678" s="1" t="n">
        <v>46025</v>
      </c>
      <c r="D678" t="inlineStr">
        <is>
          <t>ÖREBRO LÄN</t>
        </is>
      </c>
      <c r="E678" t="inlineStr">
        <is>
          <t>LINDESBERG</t>
        </is>
      </c>
      <c r="G678" t="n">
        <v>16.1</v>
      </c>
      <c r="H678" t="n">
        <v>0</v>
      </c>
      <c r="I678" t="n">
        <v>0</v>
      </c>
      <c r="J678" t="n">
        <v>0</v>
      </c>
      <c r="K678" t="n">
        <v>0</v>
      </c>
      <c r="L678" t="n">
        <v>0</v>
      </c>
      <c r="M678" t="n">
        <v>0</v>
      </c>
      <c r="N678" t="n">
        <v>0</v>
      </c>
      <c r="O678" t="n">
        <v>0</v>
      </c>
      <c r="P678" t="n">
        <v>0</v>
      </c>
      <c r="Q678" t="n">
        <v>0</v>
      </c>
      <c r="R678" s="2" t="inlineStr"/>
    </row>
    <row r="679" ht="15" customHeight="1">
      <c r="A679" t="inlineStr">
        <is>
          <t>A 17895-2022</t>
        </is>
      </c>
      <c r="B679" s="1" t="n">
        <v>44683</v>
      </c>
      <c r="C679" s="1" t="n">
        <v>46025</v>
      </c>
      <c r="D679" t="inlineStr">
        <is>
          <t>ÖREBRO LÄN</t>
        </is>
      </c>
      <c r="E679" t="inlineStr">
        <is>
          <t>LINDESBERG</t>
        </is>
      </c>
      <c r="G679" t="n">
        <v>1.3</v>
      </c>
      <c r="H679" t="n">
        <v>0</v>
      </c>
      <c r="I679" t="n">
        <v>0</v>
      </c>
      <c r="J679" t="n">
        <v>0</v>
      </c>
      <c r="K679" t="n">
        <v>0</v>
      </c>
      <c r="L679" t="n">
        <v>0</v>
      </c>
      <c r="M679" t="n">
        <v>0</v>
      </c>
      <c r="N679" t="n">
        <v>0</v>
      </c>
      <c r="O679" t="n">
        <v>0</v>
      </c>
      <c r="P679" t="n">
        <v>0</v>
      </c>
      <c r="Q679" t="n">
        <v>0</v>
      </c>
      <c r="R679" s="2" t="inlineStr"/>
    </row>
    <row r="680" ht="15" customHeight="1">
      <c r="A680" t="inlineStr">
        <is>
          <t>A 1395-2025</t>
        </is>
      </c>
      <c r="B680" s="1" t="n">
        <v>45667</v>
      </c>
      <c r="C680" s="1" t="n">
        <v>46025</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52928-2024</t>
        </is>
      </c>
      <c r="B681" s="1" t="n">
        <v>45610</v>
      </c>
      <c r="C681" s="1" t="n">
        <v>46025</v>
      </c>
      <c r="D681" t="inlineStr">
        <is>
          <t>ÖREBRO LÄN</t>
        </is>
      </c>
      <c r="E681" t="inlineStr">
        <is>
          <t>LINDESBERG</t>
        </is>
      </c>
      <c r="G681" t="n">
        <v>8.6</v>
      </c>
      <c r="H681" t="n">
        <v>0</v>
      </c>
      <c r="I681" t="n">
        <v>0</v>
      </c>
      <c r="J681" t="n">
        <v>0</v>
      </c>
      <c r="K681" t="n">
        <v>0</v>
      </c>
      <c r="L681" t="n">
        <v>0</v>
      </c>
      <c r="M681" t="n">
        <v>0</v>
      </c>
      <c r="N681" t="n">
        <v>0</v>
      </c>
      <c r="O681" t="n">
        <v>0</v>
      </c>
      <c r="P681" t="n">
        <v>0</v>
      </c>
      <c r="Q681" t="n">
        <v>0</v>
      </c>
      <c r="R681" s="2" t="inlineStr"/>
    </row>
    <row r="682" ht="15" customHeight="1">
      <c r="A682" t="inlineStr">
        <is>
          <t>A 33716-2021</t>
        </is>
      </c>
      <c r="B682" s="1" t="n">
        <v>44378.46857638889</v>
      </c>
      <c r="C682" s="1" t="n">
        <v>46025</v>
      </c>
      <c r="D682" t="inlineStr">
        <is>
          <t>ÖREBRO LÄN</t>
        </is>
      </c>
      <c r="E682" t="inlineStr">
        <is>
          <t>LINDESBERG</t>
        </is>
      </c>
      <c r="G682" t="n">
        <v>4.6</v>
      </c>
      <c r="H682" t="n">
        <v>0</v>
      </c>
      <c r="I682" t="n">
        <v>0</v>
      </c>
      <c r="J682" t="n">
        <v>0</v>
      </c>
      <c r="K682" t="n">
        <v>0</v>
      </c>
      <c r="L682" t="n">
        <v>0</v>
      </c>
      <c r="M682" t="n">
        <v>0</v>
      </c>
      <c r="N682" t="n">
        <v>0</v>
      </c>
      <c r="O682" t="n">
        <v>0</v>
      </c>
      <c r="P682" t="n">
        <v>0</v>
      </c>
      <c r="Q682" t="n">
        <v>0</v>
      </c>
      <c r="R682" s="2" t="inlineStr"/>
    </row>
    <row r="683" ht="15" customHeight="1">
      <c r="A683" t="inlineStr">
        <is>
          <t>A 40970-2023</t>
        </is>
      </c>
      <c r="B683" s="1" t="n">
        <v>45173</v>
      </c>
      <c r="C683" s="1" t="n">
        <v>46025</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13729-2025</t>
        </is>
      </c>
      <c r="B684" s="1" t="n">
        <v>45737.3846412037</v>
      </c>
      <c r="C684" s="1" t="n">
        <v>46025</v>
      </c>
      <c r="D684" t="inlineStr">
        <is>
          <t>ÖREBRO LÄN</t>
        </is>
      </c>
      <c r="E684" t="inlineStr">
        <is>
          <t>LINDESBERG</t>
        </is>
      </c>
      <c r="F684" t="inlineStr">
        <is>
          <t>Sveaskog</t>
        </is>
      </c>
      <c r="G684" t="n">
        <v>5.4</v>
      </c>
      <c r="H684" t="n">
        <v>0</v>
      </c>
      <c r="I684" t="n">
        <v>0</v>
      </c>
      <c r="J684" t="n">
        <v>0</v>
      </c>
      <c r="K684" t="n">
        <v>0</v>
      </c>
      <c r="L684" t="n">
        <v>0</v>
      </c>
      <c r="M684" t="n">
        <v>0</v>
      </c>
      <c r="N684" t="n">
        <v>0</v>
      </c>
      <c r="O684" t="n">
        <v>0</v>
      </c>
      <c r="P684" t="n">
        <v>0</v>
      </c>
      <c r="Q684" t="n">
        <v>0</v>
      </c>
      <c r="R684" s="2" t="inlineStr"/>
    </row>
    <row r="685" ht="15" customHeight="1">
      <c r="A685" t="inlineStr">
        <is>
          <t>A 60492-2024</t>
        </is>
      </c>
      <c r="B685" s="1" t="n">
        <v>45642</v>
      </c>
      <c r="C685" s="1" t="n">
        <v>46025</v>
      </c>
      <c r="D685" t="inlineStr">
        <is>
          <t>ÖREBRO LÄN</t>
        </is>
      </c>
      <c r="E685" t="inlineStr">
        <is>
          <t>LINDESBERG</t>
        </is>
      </c>
      <c r="G685" t="n">
        <v>2.6</v>
      </c>
      <c r="H685" t="n">
        <v>0</v>
      </c>
      <c r="I685" t="n">
        <v>0</v>
      </c>
      <c r="J685" t="n">
        <v>0</v>
      </c>
      <c r="K685" t="n">
        <v>0</v>
      </c>
      <c r="L685" t="n">
        <v>0</v>
      </c>
      <c r="M685" t="n">
        <v>0</v>
      </c>
      <c r="N685" t="n">
        <v>0</v>
      </c>
      <c r="O685" t="n">
        <v>0</v>
      </c>
      <c r="P685" t="n">
        <v>0</v>
      </c>
      <c r="Q685" t="n">
        <v>0</v>
      </c>
      <c r="R685" s="2" t="inlineStr"/>
    </row>
    <row r="686" ht="15" customHeight="1">
      <c r="A686" t="inlineStr">
        <is>
          <t>A 40117-2023</t>
        </is>
      </c>
      <c r="B686" s="1" t="n">
        <v>45168.94197916667</v>
      </c>
      <c r="C686" s="1" t="n">
        <v>46025</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11366-2024</t>
        </is>
      </c>
      <c r="B687" s="1" t="n">
        <v>45372.40246527778</v>
      </c>
      <c r="C687" s="1" t="n">
        <v>46025</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60943-2024</t>
        </is>
      </c>
      <c r="B688" s="1" t="n">
        <v>45645.3737962963</v>
      </c>
      <c r="C688" s="1" t="n">
        <v>46025</v>
      </c>
      <c r="D688" t="inlineStr">
        <is>
          <t>ÖREBRO LÄN</t>
        </is>
      </c>
      <c r="E688" t="inlineStr">
        <is>
          <t>LINDESBERG</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56912-2024</t>
        </is>
      </c>
      <c r="B689" s="1" t="n">
        <v>45628.59233796296</v>
      </c>
      <c r="C689" s="1" t="n">
        <v>46025</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47620-2023</t>
        </is>
      </c>
      <c r="B690" s="1" t="n">
        <v>45203.510625</v>
      </c>
      <c r="C690" s="1" t="n">
        <v>46025</v>
      </c>
      <c r="D690" t="inlineStr">
        <is>
          <t>ÖREBRO LÄN</t>
        </is>
      </c>
      <c r="E690" t="inlineStr">
        <is>
          <t>LINDESBERG</t>
        </is>
      </c>
      <c r="G690" t="n">
        <v>2.7</v>
      </c>
      <c r="H690" t="n">
        <v>0</v>
      </c>
      <c r="I690" t="n">
        <v>0</v>
      </c>
      <c r="J690" t="n">
        <v>0</v>
      </c>
      <c r="K690" t="n">
        <v>0</v>
      </c>
      <c r="L690" t="n">
        <v>0</v>
      </c>
      <c r="M690" t="n">
        <v>0</v>
      </c>
      <c r="N690" t="n">
        <v>0</v>
      </c>
      <c r="O690" t="n">
        <v>0</v>
      </c>
      <c r="P690" t="n">
        <v>0</v>
      </c>
      <c r="Q690" t="n">
        <v>0</v>
      </c>
      <c r="R690" s="2" t="inlineStr"/>
    </row>
    <row r="691" ht="15" customHeight="1">
      <c r="A691" t="inlineStr">
        <is>
          <t>A 44010-2023</t>
        </is>
      </c>
      <c r="B691" s="1" t="n">
        <v>45188</v>
      </c>
      <c r="C691" s="1" t="n">
        <v>46025</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2107-2022</t>
        </is>
      </c>
      <c r="B692" s="1" t="n">
        <v>44577.83484953704</v>
      </c>
      <c r="C692" s="1" t="n">
        <v>46025</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16864-2022</t>
        </is>
      </c>
      <c r="B693" s="1" t="n">
        <v>44675</v>
      </c>
      <c r="C693" s="1" t="n">
        <v>46025</v>
      </c>
      <c r="D693" t="inlineStr">
        <is>
          <t>ÖREBRO LÄN</t>
        </is>
      </c>
      <c r="E693" t="inlineStr">
        <is>
          <t>LINDESBERG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32928-2023</t>
        </is>
      </c>
      <c r="B694" s="1" t="n">
        <v>45125.41458333333</v>
      </c>
      <c r="C694" s="1" t="n">
        <v>46025</v>
      </c>
      <c r="D694" t="inlineStr">
        <is>
          <t>ÖREBRO LÄN</t>
        </is>
      </c>
      <c r="E694" t="inlineStr">
        <is>
          <t>LINDESBERG</t>
        </is>
      </c>
      <c r="G694" t="n">
        <v>4.8</v>
      </c>
      <c r="H694" t="n">
        <v>0</v>
      </c>
      <c r="I694" t="n">
        <v>0</v>
      </c>
      <c r="J694" t="n">
        <v>0</v>
      </c>
      <c r="K694" t="n">
        <v>0</v>
      </c>
      <c r="L694" t="n">
        <v>0</v>
      </c>
      <c r="M694" t="n">
        <v>0</v>
      </c>
      <c r="N694" t="n">
        <v>0</v>
      </c>
      <c r="O694" t="n">
        <v>0</v>
      </c>
      <c r="P694" t="n">
        <v>0</v>
      </c>
      <c r="Q694" t="n">
        <v>0</v>
      </c>
      <c r="R694" s="2" t="inlineStr"/>
    </row>
    <row r="695" ht="15" customHeight="1">
      <c r="A695" t="inlineStr">
        <is>
          <t>A 21016-2023</t>
        </is>
      </c>
      <c r="B695" s="1" t="n">
        <v>45061.53414351852</v>
      </c>
      <c r="C695" s="1" t="n">
        <v>46025</v>
      </c>
      <c r="D695" t="inlineStr">
        <is>
          <t>ÖREBRO LÄN</t>
        </is>
      </c>
      <c r="E695" t="inlineStr">
        <is>
          <t>LINDESBERG</t>
        </is>
      </c>
      <c r="G695" t="n">
        <v>8.1</v>
      </c>
      <c r="H695" t="n">
        <v>0</v>
      </c>
      <c r="I695" t="n">
        <v>0</v>
      </c>
      <c r="J695" t="n">
        <v>0</v>
      </c>
      <c r="K695" t="n">
        <v>0</v>
      </c>
      <c r="L695" t="n">
        <v>0</v>
      </c>
      <c r="M695" t="n">
        <v>0</v>
      </c>
      <c r="N695" t="n">
        <v>0</v>
      </c>
      <c r="O695" t="n">
        <v>0</v>
      </c>
      <c r="P695" t="n">
        <v>0</v>
      </c>
      <c r="Q695" t="n">
        <v>0</v>
      </c>
      <c r="R695" s="2" t="inlineStr"/>
    </row>
    <row r="696" ht="15" customHeight="1">
      <c r="A696" t="inlineStr">
        <is>
          <t>A 40306-2022</t>
        </is>
      </c>
      <c r="B696" s="1" t="n">
        <v>44822</v>
      </c>
      <c r="C696" s="1" t="n">
        <v>46025</v>
      </c>
      <c r="D696" t="inlineStr">
        <is>
          <t>ÖREBRO LÄN</t>
        </is>
      </c>
      <c r="E696" t="inlineStr">
        <is>
          <t>LINDESBERG</t>
        </is>
      </c>
      <c r="G696" t="n">
        <v>11</v>
      </c>
      <c r="H696" t="n">
        <v>0</v>
      </c>
      <c r="I696" t="n">
        <v>0</v>
      </c>
      <c r="J696" t="n">
        <v>0</v>
      </c>
      <c r="K696" t="n">
        <v>0</v>
      </c>
      <c r="L696" t="n">
        <v>0</v>
      </c>
      <c r="M696" t="n">
        <v>0</v>
      </c>
      <c r="N696" t="n">
        <v>0</v>
      </c>
      <c r="O696" t="n">
        <v>0</v>
      </c>
      <c r="P696" t="n">
        <v>0</v>
      </c>
      <c r="Q696" t="n">
        <v>0</v>
      </c>
      <c r="R696" s="2" t="inlineStr"/>
    </row>
    <row r="697" ht="15" customHeight="1">
      <c r="A697" t="inlineStr">
        <is>
          <t>A 27440-2023</t>
        </is>
      </c>
      <c r="B697" s="1" t="n">
        <v>45097.39893518519</v>
      </c>
      <c r="C697" s="1" t="n">
        <v>46025</v>
      </c>
      <c r="D697" t="inlineStr">
        <is>
          <t>ÖREBRO LÄN</t>
        </is>
      </c>
      <c r="E697" t="inlineStr">
        <is>
          <t>LINDESBERG</t>
        </is>
      </c>
      <c r="G697" t="n">
        <v>6.6</v>
      </c>
      <c r="H697" t="n">
        <v>0</v>
      </c>
      <c r="I697" t="n">
        <v>0</v>
      </c>
      <c r="J697" t="n">
        <v>0</v>
      </c>
      <c r="K697" t="n">
        <v>0</v>
      </c>
      <c r="L697" t="n">
        <v>0</v>
      </c>
      <c r="M697" t="n">
        <v>0</v>
      </c>
      <c r="N697" t="n">
        <v>0</v>
      </c>
      <c r="O697" t="n">
        <v>0</v>
      </c>
      <c r="P697" t="n">
        <v>0</v>
      </c>
      <c r="Q697" t="n">
        <v>0</v>
      </c>
      <c r="R697" s="2" t="inlineStr"/>
    </row>
    <row r="698" ht="15" customHeight="1">
      <c r="A698" t="inlineStr">
        <is>
          <t>A 40905-2023</t>
        </is>
      </c>
      <c r="B698" s="1" t="n">
        <v>45173.39315972223</v>
      </c>
      <c r="C698" s="1" t="n">
        <v>46025</v>
      </c>
      <c r="D698" t="inlineStr">
        <is>
          <t>ÖREBRO LÄN</t>
        </is>
      </c>
      <c r="E698" t="inlineStr">
        <is>
          <t>LINDESBERG</t>
        </is>
      </c>
      <c r="G698" t="n">
        <v>0.5</v>
      </c>
      <c r="H698" t="n">
        <v>0</v>
      </c>
      <c r="I698" t="n">
        <v>0</v>
      </c>
      <c r="J698" t="n">
        <v>0</v>
      </c>
      <c r="K698" t="n">
        <v>0</v>
      </c>
      <c r="L698" t="n">
        <v>0</v>
      </c>
      <c r="M698" t="n">
        <v>0</v>
      </c>
      <c r="N698" t="n">
        <v>0</v>
      </c>
      <c r="O698" t="n">
        <v>0</v>
      </c>
      <c r="P698" t="n">
        <v>0</v>
      </c>
      <c r="Q698" t="n">
        <v>0</v>
      </c>
      <c r="R698" s="2" t="inlineStr"/>
    </row>
    <row r="699" ht="15" customHeight="1">
      <c r="A699" t="inlineStr">
        <is>
          <t>A 41951-2023</t>
        </is>
      </c>
      <c r="B699" s="1" t="n">
        <v>45177.33991898148</v>
      </c>
      <c r="C699" s="1" t="n">
        <v>46025</v>
      </c>
      <c r="D699" t="inlineStr">
        <is>
          <t>ÖREBRO LÄN</t>
        </is>
      </c>
      <c r="E699" t="inlineStr">
        <is>
          <t>LINDESBERG</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4310-2025</t>
        </is>
      </c>
      <c r="B700" s="1" t="n">
        <v>45685</v>
      </c>
      <c r="C700" s="1" t="n">
        <v>46025</v>
      </c>
      <c r="D700" t="inlineStr">
        <is>
          <t>ÖREBRO LÄN</t>
        </is>
      </c>
      <c r="E700" t="inlineStr">
        <is>
          <t>LINDESBERG</t>
        </is>
      </c>
      <c r="G700" t="n">
        <v>1.2</v>
      </c>
      <c r="H700" t="n">
        <v>0</v>
      </c>
      <c r="I700" t="n">
        <v>0</v>
      </c>
      <c r="J700" t="n">
        <v>0</v>
      </c>
      <c r="K700" t="n">
        <v>0</v>
      </c>
      <c r="L700" t="n">
        <v>0</v>
      </c>
      <c r="M700" t="n">
        <v>0</v>
      </c>
      <c r="N700" t="n">
        <v>0</v>
      </c>
      <c r="O700" t="n">
        <v>0</v>
      </c>
      <c r="P700" t="n">
        <v>0</v>
      </c>
      <c r="Q700" t="n">
        <v>0</v>
      </c>
      <c r="R700" s="2" t="inlineStr"/>
    </row>
    <row r="701" ht="15" customHeight="1">
      <c r="A701" t="inlineStr">
        <is>
          <t>A 40758-2021</t>
        </is>
      </c>
      <c r="B701" s="1" t="n">
        <v>44420</v>
      </c>
      <c r="C701" s="1" t="n">
        <v>46025</v>
      </c>
      <c r="D701" t="inlineStr">
        <is>
          <t>ÖREBRO LÄN</t>
        </is>
      </c>
      <c r="E701" t="inlineStr">
        <is>
          <t>LINDESBERG</t>
        </is>
      </c>
      <c r="G701" t="n">
        <v>5</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46025</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10712-2021</t>
        </is>
      </c>
      <c r="B703" s="1" t="n">
        <v>44258</v>
      </c>
      <c r="C703" s="1" t="n">
        <v>46025</v>
      </c>
      <c r="D703" t="inlineStr">
        <is>
          <t>ÖREBRO LÄN</t>
        </is>
      </c>
      <c r="E703" t="inlineStr">
        <is>
          <t>LINDESBERG</t>
        </is>
      </c>
      <c r="G703" t="n">
        <v>0.7</v>
      </c>
      <c r="H703" t="n">
        <v>0</v>
      </c>
      <c r="I703" t="n">
        <v>0</v>
      </c>
      <c r="J703" t="n">
        <v>0</v>
      </c>
      <c r="K703" t="n">
        <v>0</v>
      </c>
      <c r="L703" t="n">
        <v>0</v>
      </c>
      <c r="M703" t="n">
        <v>0</v>
      </c>
      <c r="N703" t="n">
        <v>0</v>
      </c>
      <c r="O703" t="n">
        <v>0</v>
      </c>
      <c r="P703" t="n">
        <v>0</v>
      </c>
      <c r="Q703" t="n">
        <v>0</v>
      </c>
      <c r="R703" s="2" t="inlineStr"/>
    </row>
    <row r="704" ht="15" customHeight="1">
      <c r="A704" t="inlineStr">
        <is>
          <t>A 7990-2025</t>
        </is>
      </c>
      <c r="B704" s="1" t="n">
        <v>45707</v>
      </c>
      <c r="C704" s="1" t="n">
        <v>46025</v>
      </c>
      <c r="D704" t="inlineStr">
        <is>
          <t>ÖREBRO LÄN</t>
        </is>
      </c>
      <c r="E704" t="inlineStr">
        <is>
          <t>LINDESBERG</t>
        </is>
      </c>
      <c r="G704" t="n">
        <v>4.4</v>
      </c>
      <c r="H704" t="n">
        <v>0</v>
      </c>
      <c r="I704" t="n">
        <v>0</v>
      </c>
      <c r="J704" t="n">
        <v>0</v>
      </c>
      <c r="K704" t="n">
        <v>0</v>
      </c>
      <c r="L704" t="n">
        <v>0</v>
      </c>
      <c r="M704" t="n">
        <v>0</v>
      </c>
      <c r="N704" t="n">
        <v>0</v>
      </c>
      <c r="O704" t="n">
        <v>0</v>
      </c>
      <c r="P704" t="n">
        <v>0</v>
      </c>
      <c r="Q704" t="n">
        <v>0</v>
      </c>
      <c r="R704" s="2" t="inlineStr"/>
    </row>
    <row r="705" ht="15" customHeight="1">
      <c r="A705" t="inlineStr">
        <is>
          <t>A 61691-2023</t>
        </is>
      </c>
      <c r="B705" s="1" t="n">
        <v>45265.64142361111</v>
      </c>
      <c r="C705" s="1" t="n">
        <v>46025</v>
      </c>
      <c r="D705" t="inlineStr">
        <is>
          <t>ÖREBRO LÄN</t>
        </is>
      </c>
      <c r="E705" t="inlineStr">
        <is>
          <t>LINDESBERG</t>
        </is>
      </c>
      <c r="G705" t="n">
        <v>2.6</v>
      </c>
      <c r="H705" t="n">
        <v>0</v>
      </c>
      <c r="I705" t="n">
        <v>0</v>
      </c>
      <c r="J705" t="n">
        <v>0</v>
      </c>
      <c r="K705" t="n">
        <v>0</v>
      </c>
      <c r="L705" t="n">
        <v>0</v>
      </c>
      <c r="M705" t="n">
        <v>0</v>
      </c>
      <c r="N705" t="n">
        <v>0</v>
      </c>
      <c r="O705" t="n">
        <v>0</v>
      </c>
      <c r="P705" t="n">
        <v>0</v>
      </c>
      <c r="Q705" t="n">
        <v>0</v>
      </c>
      <c r="R705" s="2" t="inlineStr"/>
    </row>
    <row r="706" ht="15" customHeight="1">
      <c r="A706" t="inlineStr">
        <is>
          <t>A 37507-2023</t>
        </is>
      </c>
      <c r="B706" s="1" t="n">
        <v>45158.41768518519</v>
      </c>
      <c r="C706" s="1" t="n">
        <v>46025</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41576-2021</t>
        </is>
      </c>
      <c r="B707" s="1" t="n">
        <v>44425</v>
      </c>
      <c r="C707" s="1" t="n">
        <v>46025</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46675-2023</t>
        </is>
      </c>
      <c r="B708" s="1" t="n">
        <v>45194</v>
      </c>
      <c r="C708" s="1" t="n">
        <v>46025</v>
      </c>
      <c r="D708" t="inlineStr">
        <is>
          <t>ÖREBRO LÄN</t>
        </is>
      </c>
      <c r="E708" t="inlineStr">
        <is>
          <t>LINDESBERG</t>
        </is>
      </c>
      <c r="G708" t="n">
        <v>3.8</v>
      </c>
      <c r="H708" t="n">
        <v>0</v>
      </c>
      <c r="I708" t="n">
        <v>0</v>
      </c>
      <c r="J708" t="n">
        <v>0</v>
      </c>
      <c r="K708" t="n">
        <v>0</v>
      </c>
      <c r="L708" t="n">
        <v>0</v>
      </c>
      <c r="M708" t="n">
        <v>0</v>
      </c>
      <c r="N708" t="n">
        <v>0</v>
      </c>
      <c r="O708" t="n">
        <v>0</v>
      </c>
      <c r="P708" t="n">
        <v>0</v>
      </c>
      <c r="Q708" t="n">
        <v>0</v>
      </c>
      <c r="R708" s="2" t="inlineStr"/>
    </row>
    <row r="709" ht="15" customHeight="1">
      <c r="A709" t="inlineStr">
        <is>
          <t>A 34434-2023</t>
        </is>
      </c>
      <c r="B709" s="1" t="n">
        <v>45139.63480324074</v>
      </c>
      <c r="C709" s="1" t="n">
        <v>46025</v>
      </c>
      <c r="D709" t="inlineStr">
        <is>
          <t>ÖREBRO LÄN</t>
        </is>
      </c>
      <c r="E709" t="inlineStr">
        <is>
          <t>LINDESBERG</t>
        </is>
      </c>
      <c r="F709" t="inlineStr">
        <is>
          <t>Kyrkan</t>
        </is>
      </c>
      <c r="G709" t="n">
        <v>1.7</v>
      </c>
      <c r="H709" t="n">
        <v>0</v>
      </c>
      <c r="I709" t="n">
        <v>0</v>
      </c>
      <c r="J709" t="n">
        <v>0</v>
      </c>
      <c r="K709" t="n">
        <v>0</v>
      </c>
      <c r="L709" t="n">
        <v>0</v>
      </c>
      <c r="M709" t="n">
        <v>0</v>
      </c>
      <c r="N709" t="n">
        <v>0</v>
      </c>
      <c r="O709" t="n">
        <v>0</v>
      </c>
      <c r="P709" t="n">
        <v>0</v>
      </c>
      <c r="Q709" t="n">
        <v>0</v>
      </c>
      <c r="R709" s="2" t="inlineStr"/>
    </row>
    <row r="710" ht="15" customHeight="1">
      <c r="A710" t="inlineStr">
        <is>
          <t>A 54432-2023</t>
        </is>
      </c>
      <c r="B710" s="1" t="n">
        <v>45233.42121527778</v>
      </c>
      <c r="C710" s="1" t="n">
        <v>46025</v>
      </c>
      <c r="D710" t="inlineStr">
        <is>
          <t>ÖREBRO LÄN</t>
        </is>
      </c>
      <c r="E710" t="inlineStr">
        <is>
          <t>LINDESBERG</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15933-2025</t>
        </is>
      </c>
      <c r="B711" s="1" t="n">
        <v>45749.47251157407</v>
      </c>
      <c r="C711" s="1" t="n">
        <v>46025</v>
      </c>
      <c r="D711" t="inlineStr">
        <is>
          <t>ÖREBRO LÄN</t>
        </is>
      </c>
      <c r="E711" t="inlineStr">
        <is>
          <t>LINDESBERG</t>
        </is>
      </c>
      <c r="G711" t="n">
        <v>6.1</v>
      </c>
      <c r="H711" t="n">
        <v>0</v>
      </c>
      <c r="I711" t="n">
        <v>0</v>
      </c>
      <c r="J711" t="n">
        <v>0</v>
      </c>
      <c r="K711" t="n">
        <v>0</v>
      </c>
      <c r="L711" t="n">
        <v>0</v>
      </c>
      <c r="M711" t="n">
        <v>0</v>
      </c>
      <c r="N711" t="n">
        <v>0</v>
      </c>
      <c r="O711" t="n">
        <v>0</v>
      </c>
      <c r="P711" t="n">
        <v>0</v>
      </c>
      <c r="Q711" t="n">
        <v>0</v>
      </c>
      <c r="R711" s="2" t="inlineStr"/>
    </row>
    <row r="712" ht="15" customHeight="1">
      <c r="A712" t="inlineStr">
        <is>
          <t>A 15936-2025</t>
        </is>
      </c>
      <c r="B712" s="1" t="n">
        <v>45749.4737962963</v>
      </c>
      <c r="C712" s="1" t="n">
        <v>46025</v>
      </c>
      <c r="D712" t="inlineStr">
        <is>
          <t>ÖREBRO LÄN</t>
        </is>
      </c>
      <c r="E712" t="inlineStr">
        <is>
          <t>LINDESBERG</t>
        </is>
      </c>
      <c r="G712" t="n">
        <v>22.3</v>
      </c>
      <c r="H712" t="n">
        <v>0</v>
      </c>
      <c r="I712" t="n">
        <v>0</v>
      </c>
      <c r="J712" t="n">
        <v>0</v>
      </c>
      <c r="K712" t="n">
        <v>0</v>
      </c>
      <c r="L712" t="n">
        <v>0</v>
      </c>
      <c r="M712" t="n">
        <v>0</v>
      </c>
      <c r="N712" t="n">
        <v>0</v>
      </c>
      <c r="O712" t="n">
        <v>0</v>
      </c>
      <c r="P712" t="n">
        <v>0</v>
      </c>
      <c r="Q712" t="n">
        <v>0</v>
      </c>
      <c r="R712" s="2" t="inlineStr"/>
    </row>
    <row r="713" ht="15" customHeight="1">
      <c r="A713" t="inlineStr">
        <is>
          <t>A 1490-2024</t>
        </is>
      </c>
      <c r="B713" s="1" t="n">
        <v>45305</v>
      </c>
      <c r="C713" s="1" t="n">
        <v>46025</v>
      </c>
      <c r="D713" t="inlineStr">
        <is>
          <t>ÖREBRO LÄN</t>
        </is>
      </c>
      <c r="E713" t="inlineStr">
        <is>
          <t>LINDESBERG</t>
        </is>
      </c>
      <c r="G713" t="n">
        <v>17.6</v>
      </c>
      <c r="H713" t="n">
        <v>0</v>
      </c>
      <c r="I713" t="n">
        <v>0</v>
      </c>
      <c r="J713" t="n">
        <v>0</v>
      </c>
      <c r="K713" t="n">
        <v>0</v>
      </c>
      <c r="L713" t="n">
        <v>0</v>
      </c>
      <c r="M713" t="n">
        <v>0</v>
      </c>
      <c r="N713" t="n">
        <v>0</v>
      </c>
      <c r="O713" t="n">
        <v>0</v>
      </c>
      <c r="P713" t="n">
        <v>0</v>
      </c>
      <c r="Q713" t="n">
        <v>0</v>
      </c>
      <c r="R713" s="2" t="inlineStr"/>
    </row>
    <row r="714" ht="15" customHeight="1">
      <c r="A714" t="inlineStr">
        <is>
          <t>A 53168-2023</t>
        </is>
      </c>
      <c r="B714" s="1" t="n">
        <v>45229</v>
      </c>
      <c r="C714" s="1" t="n">
        <v>46025</v>
      </c>
      <c r="D714" t="inlineStr">
        <is>
          <t>ÖREBRO LÄN</t>
        </is>
      </c>
      <c r="E714" t="inlineStr">
        <is>
          <t>LINDESBERG</t>
        </is>
      </c>
      <c r="G714" t="n">
        <v>1.5</v>
      </c>
      <c r="H714" t="n">
        <v>0</v>
      </c>
      <c r="I714" t="n">
        <v>0</v>
      </c>
      <c r="J714" t="n">
        <v>0</v>
      </c>
      <c r="K714" t="n">
        <v>0</v>
      </c>
      <c r="L714" t="n">
        <v>0</v>
      </c>
      <c r="M714" t="n">
        <v>0</v>
      </c>
      <c r="N714" t="n">
        <v>0</v>
      </c>
      <c r="O714" t="n">
        <v>0</v>
      </c>
      <c r="P714" t="n">
        <v>0</v>
      </c>
      <c r="Q714" t="n">
        <v>0</v>
      </c>
      <c r="R714" s="2" t="inlineStr"/>
    </row>
    <row r="715" ht="15" customHeight="1">
      <c r="A715" t="inlineStr">
        <is>
          <t>A 17242-2025</t>
        </is>
      </c>
      <c r="B715" s="1" t="n">
        <v>45756.49009259259</v>
      </c>
      <c r="C715" s="1" t="n">
        <v>46025</v>
      </c>
      <c r="D715" t="inlineStr">
        <is>
          <t>ÖREBRO LÄN</t>
        </is>
      </c>
      <c r="E715" t="inlineStr">
        <is>
          <t>LINDESBERG</t>
        </is>
      </c>
      <c r="G715" t="n">
        <v>7.3</v>
      </c>
      <c r="H715" t="n">
        <v>0</v>
      </c>
      <c r="I715" t="n">
        <v>0</v>
      </c>
      <c r="J715" t="n">
        <v>0</v>
      </c>
      <c r="K715" t="n">
        <v>0</v>
      </c>
      <c r="L715" t="n">
        <v>0</v>
      </c>
      <c r="M715" t="n">
        <v>0</v>
      </c>
      <c r="N715" t="n">
        <v>0</v>
      </c>
      <c r="O715" t="n">
        <v>0</v>
      </c>
      <c r="P715" t="n">
        <v>0</v>
      </c>
      <c r="Q715" t="n">
        <v>0</v>
      </c>
      <c r="R715" s="2" t="inlineStr"/>
    </row>
    <row r="716" ht="15" customHeight="1">
      <c r="A716" t="inlineStr">
        <is>
          <t>A 4603-2024</t>
        </is>
      </c>
      <c r="B716" s="1" t="n">
        <v>45328</v>
      </c>
      <c r="C716" s="1" t="n">
        <v>46025</v>
      </c>
      <c r="D716" t="inlineStr">
        <is>
          <t>ÖREBRO LÄN</t>
        </is>
      </c>
      <c r="E716" t="inlineStr">
        <is>
          <t>LINDESBERG</t>
        </is>
      </c>
      <c r="F716" t="inlineStr">
        <is>
          <t>BillerudKorsnäs AB</t>
        </is>
      </c>
      <c r="G716" t="n">
        <v>4.3</v>
      </c>
      <c r="H716" t="n">
        <v>0</v>
      </c>
      <c r="I716" t="n">
        <v>0</v>
      </c>
      <c r="J716" t="n">
        <v>0</v>
      </c>
      <c r="K716" t="n">
        <v>0</v>
      </c>
      <c r="L716" t="n">
        <v>0</v>
      </c>
      <c r="M716" t="n">
        <v>0</v>
      </c>
      <c r="N716" t="n">
        <v>0</v>
      </c>
      <c r="O716" t="n">
        <v>0</v>
      </c>
      <c r="P716" t="n">
        <v>0</v>
      </c>
      <c r="Q716" t="n">
        <v>0</v>
      </c>
      <c r="R716" s="2" t="inlineStr"/>
    </row>
    <row r="717" ht="15" customHeight="1">
      <c r="A717" t="inlineStr">
        <is>
          <t>A 53062-2023</t>
        </is>
      </c>
      <c r="B717" s="1" t="n">
        <v>45227.31859953704</v>
      </c>
      <c r="C717" s="1" t="n">
        <v>46025</v>
      </c>
      <c r="D717" t="inlineStr">
        <is>
          <t>ÖREBRO LÄN</t>
        </is>
      </c>
      <c r="E717" t="inlineStr">
        <is>
          <t>LINDESBERG</t>
        </is>
      </c>
      <c r="G717" t="n">
        <v>3.1</v>
      </c>
      <c r="H717" t="n">
        <v>0</v>
      </c>
      <c r="I717" t="n">
        <v>0</v>
      </c>
      <c r="J717" t="n">
        <v>0</v>
      </c>
      <c r="K717" t="n">
        <v>0</v>
      </c>
      <c r="L717" t="n">
        <v>0</v>
      </c>
      <c r="M717" t="n">
        <v>0</v>
      </c>
      <c r="N717" t="n">
        <v>0</v>
      </c>
      <c r="O717" t="n">
        <v>0</v>
      </c>
      <c r="P717" t="n">
        <v>0</v>
      </c>
      <c r="Q717" t="n">
        <v>0</v>
      </c>
      <c r="R717" s="2" t="inlineStr"/>
    </row>
    <row r="718" ht="15" customHeight="1">
      <c r="A718" t="inlineStr">
        <is>
          <t>A 8902-2024</t>
        </is>
      </c>
      <c r="B718" s="1" t="n">
        <v>45357.34521990741</v>
      </c>
      <c r="C718" s="1" t="n">
        <v>46025</v>
      </c>
      <c r="D718" t="inlineStr">
        <is>
          <t>ÖREBRO LÄN</t>
        </is>
      </c>
      <c r="E718" t="inlineStr">
        <is>
          <t>LINDESBERG</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59631-2023</t>
        </is>
      </c>
      <c r="B719" s="1" t="n">
        <v>45254.68105324074</v>
      </c>
      <c r="C719" s="1" t="n">
        <v>46025</v>
      </c>
      <c r="D719" t="inlineStr">
        <is>
          <t>ÖREBRO LÄN</t>
        </is>
      </c>
      <c r="E719" t="inlineStr">
        <is>
          <t>LINDESBERG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19110-2025</t>
        </is>
      </c>
      <c r="B720" s="1" t="n">
        <v>45768.49947916667</v>
      </c>
      <c r="C720" s="1" t="n">
        <v>46025</v>
      </c>
      <c r="D720" t="inlineStr">
        <is>
          <t>ÖREBRO LÄN</t>
        </is>
      </c>
      <c r="E720" t="inlineStr">
        <is>
          <t>LINDESBERG</t>
        </is>
      </c>
      <c r="G720" t="n">
        <v>2.6</v>
      </c>
      <c r="H720" t="n">
        <v>0</v>
      </c>
      <c r="I720" t="n">
        <v>0</v>
      </c>
      <c r="J720" t="n">
        <v>0</v>
      </c>
      <c r="K720" t="n">
        <v>0</v>
      </c>
      <c r="L720" t="n">
        <v>0</v>
      </c>
      <c r="M720" t="n">
        <v>0</v>
      </c>
      <c r="N720" t="n">
        <v>0</v>
      </c>
      <c r="O720" t="n">
        <v>0</v>
      </c>
      <c r="P720" t="n">
        <v>0</v>
      </c>
      <c r="Q720" t="n">
        <v>0</v>
      </c>
      <c r="R720" s="2" t="inlineStr"/>
    </row>
    <row r="721" ht="15" customHeight="1">
      <c r="A721" t="inlineStr">
        <is>
          <t>A 21245-2024</t>
        </is>
      </c>
      <c r="B721" s="1" t="n">
        <v>45440</v>
      </c>
      <c r="C721" s="1" t="n">
        <v>46025</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29350-2022</t>
        </is>
      </c>
      <c r="B722" s="1" t="n">
        <v>44753</v>
      </c>
      <c r="C722" s="1" t="n">
        <v>46025</v>
      </c>
      <c r="D722" t="inlineStr">
        <is>
          <t>ÖREBRO LÄN</t>
        </is>
      </c>
      <c r="E722" t="inlineStr">
        <is>
          <t>LINDESBERG</t>
        </is>
      </c>
      <c r="G722" t="n">
        <v>7.7</v>
      </c>
      <c r="H722" t="n">
        <v>0</v>
      </c>
      <c r="I722" t="n">
        <v>0</v>
      </c>
      <c r="J722" t="n">
        <v>0</v>
      </c>
      <c r="K722" t="n">
        <v>0</v>
      </c>
      <c r="L722" t="n">
        <v>0</v>
      </c>
      <c r="M722" t="n">
        <v>0</v>
      </c>
      <c r="N722" t="n">
        <v>0</v>
      </c>
      <c r="O722" t="n">
        <v>0</v>
      </c>
      <c r="P722" t="n">
        <v>0</v>
      </c>
      <c r="Q722" t="n">
        <v>0</v>
      </c>
      <c r="R722" s="2" t="inlineStr"/>
    </row>
    <row r="723" ht="15" customHeight="1">
      <c r="A723" t="inlineStr">
        <is>
          <t>A 10836-2024</t>
        </is>
      </c>
      <c r="B723" s="1" t="n">
        <v>45369</v>
      </c>
      <c r="C723" s="1" t="n">
        <v>46025</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2414-2024</t>
        </is>
      </c>
      <c r="B724" s="1" t="n">
        <v>45310.87931712963</v>
      </c>
      <c r="C724" s="1" t="n">
        <v>46025</v>
      </c>
      <c r="D724" t="inlineStr">
        <is>
          <t>ÖREBRO LÄN</t>
        </is>
      </c>
      <c r="E724" t="inlineStr">
        <is>
          <t>LINDESBERG</t>
        </is>
      </c>
      <c r="G724" t="n">
        <v>7.2</v>
      </c>
      <c r="H724" t="n">
        <v>0</v>
      </c>
      <c r="I724" t="n">
        <v>0</v>
      </c>
      <c r="J724" t="n">
        <v>0</v>
      </c>
      <c r="K724" t="n">
        <v>0</v>
      </c>
      <c r="L724" t="n">
        <v>0</v>
      </c>
      <c r="M724" t="n">
        <v>0</v>
      </c>
      <c r="N724" t="n">
        <v>0</v>
      </c>
      <c r="O724" t="n">
        <v>0</v>
      </c>
      <c r="P724" t="n">
        <v>0</v>
      </c>
      <c r="Q724" t="n">
        <v>0</v>
      </c>
      <c r="R724" s="2" t="inlineStr"/>
    </row>
    <row r="725" ht="15" customHeight="1">
      <c r="A725" t="inlineStr">
        <is>
          <t>A 28463-2024</t>
        </is>
      </c>
      <c r="B725" s="1" t="n">
        <v>45477.70315972222</v>
      </c>
      <c r="C725" s="1" t="n">
        <v>46025</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63668-2023</t>
        </is>
      </c>
      <c r="B726" s="1" t="n">
        <v>45274</v>
      </c>
      <c r="C726" s="1" t="n">
        <v>46025</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8139-2023</t>
        </is>
      </c>
      <c r="B727" s="1" t="n">
        <v>44970</v>
      </c>
      <c r="C727" s="1" t="n">
        <v>46025</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12276-2025</t>
        </is>
      </c>
      <c r="B728" s="1" t="n">
        <v>45729.65061342593</v>
      </c>
      <c r="C728" s="1" t="n">
        <v>46025</v>
      </c>
      <c r="D728" t="inlineStr">
        <is>
          <t>ÖREBRO LÄN</t>
        </is>
      </c>
      <c r="E728" t="inlineStr">
        <is>
          <t>LINDESBERG</t>
        </is>
      </c>
      <c r="G728" t="n">
        <v>7.6</v>
      </c>
      <c r="H728" t="n">
        <v>0</v>
      </c>
      <c r="I728" t="n">
        <v>0</v>
      </c>
      <c r="J728" t="n">
        <v>0</v>
      </c>
      <c r="K728" t="n">
        <v>0</v>
      </c>
      <c r="L728" t="n">
        <v>0</v>
      </c>
      <c r="M728" t="n">
        <v>0</v>
      </c>
      <c r="N728" t="n">
        <v>0</v>
      </c>
      <c r="O728" t="n">
        <v>0</v>
      </c>
      <c r="P728" t="n">
        <v>0</v>
      </c>
      <c r="Q728" t="n">
        <v>0</v>
      </c>
      <c r="R728" s="2" t="inlineStr"/>
    </row>
    <row r="729" ht="15" customHeight="1">
      <c r="A729" t="inlineStr">
        <is>
          <t>A 36291-2022</t>
        </is>
      </c>
      <c r="B729" s="1" t="n">
        <v>44803.64361111111</v>
      </c>
      <c r="C729" s="1" t="n">
        <v>46025</v>
      </c>
      <c r="D729" t="inlineStr">
        <is>
          <t>ÖREBRO LÄN</t>
        </is>
      </c>
      <c r="E729" t="inlineStr">
        <is>
          <t>LINDESBERG</t>
        </is>
      </c>
      <c r="G729" t="n">
        <v>3.8</v>
      </c>
      <c r="H729" t="n">
        <v>0</v>
      </c>
      <c r="I729" t="n">
        <v>0</v>
      </c>
      <c r="J729" t="n">
        <v>0</v>
      </c>
      <c r="K729" t="n">
        <v>0</v>
      </c>
      <c r="L729" t="n">
        <v>0</v>
      </c>
      <c r="M729" t="n">
        <v>0</v>
      </c>
      <c r="N729" t="n">
        <v>0</v>
      </c>
      <c r="O729" t="n">
        <v>0</v>
      </c>
      <c r="P729" t="n">
        <v>0</v>
      </c>
      <c r="Q729" t="n">
        <v>0</v>
      </c>
      <c r="R729" s="2" t="inlineStr"/>
    </row>
    <row r="730" ht="15" customHeight="1">
      <c r="A730" t="inlineStr">
        <is>
          <t>A 61597-2023</t>
        </is>
      </c>
      <c r="B730" s="1" t="n">
        <v>45265.49225694445</v>
      </c>
      <c r="C730" s="1" t="n">
        <v>46025</v>
      </c>
      <c r="D730" t="inlineStr">
        <is>
          <t>ÖREBRO LÄN</t>
        </is>
      </c>
      <c r="E730" t="inlineStr">
        <is>
          <t>LINDESBERG</t>
        </is>
      </c>
      <c r="G730" t="n">
        <v>10.3</v>
      </c>
      <c r="H730" t="n">
        <v>0</v>
      </c>
      <c r="I730" t="n">
        <v>0</v>
      </c>
      <c r="J730" t="n">
        <v>0</v>
      </c>
      <c r="K730" t="n">
        <v>0</v>
      </c>
      <c r="L730" t="n">
        <v>0</v>
      </c>
      <c r="M730" t="n">
        <v>0</v>
      </c>
      <c r="N730" t="n">
        <v>0</v>
      </c>
      <c r="O730" t="n">
        <v>0</v>
      </c>
      <c r="P730" t="n">
        <v>0</v>
      </c>
      <c r="Q730" t="n">
        <v>0</v>
      </c>
      <c r="R730" s="2" t="inlineStr"/>
    </row>
    <row r="731" ht="15" customHeight="1">
      <c r="A731" t="inlineStr">
        <is>
          <t>A 62968-2023</t>
        </is>
      </c>
      <c r="B731" s="1" t="n">
        <v>45272.57385416667</v>
      </c>
      <c r="C731" s="1" t="n">
        <v>46025</v>
      </c>
      <c r="D731" t="inlineStr">
        <is>
          <t>ÖREBRO LÄN</t>
        </is>
      </c>
      <c r="E731" t="inlineStr">
        <is>
          <t>LINDESBERG</t>
        </is>
      </c>
      <c r="G731" t="n">
        <v>0.6</v>
      </c>
      <c r="H731" t="n">
        <v>0</v>
      </c>
      <c r="I731" t="n">
        <v>0</v>
      </c>
      <c r="J731" t="n">
        <v>0</v>
      </c>
      <c r="K731" t="n">
        <v>0</v>
      </c>
      <c r="L731" t="n">
        <v>0</v>
      </c>
      <c r="M731" t="n">
        <v>0</v>
      </c>
      <c r="N731" t="n">
        <v>0</v>
      </c>
      <c r="O731" t="n">
        <v>0</v>
      </c>
      <c r="P731" t="n">
        <v>0</v>
      </c>
      <c r="Q731" t="n">
        <v>0</v>
      </c>
      <c r="R731" s="2" t="inlineStr"/>
    </row>
    <row r="732" ht="15" customHeight="1">
      <c r="A732" t="inlineStr">
        <is>
          <t>A 24270-2023</t>
        </is>
      </c>
      <c r="B732" s="1" t="n">
        <v>45079</v>
      </c>
      <c r="C732" s="1" t="n">
        <v>46025</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24271-2023</t>
        </is>
      </c>
      <c r="B733" s="1" t="n">
        <v>45079</v>
      </c>
      <c r="C733" s="1" t="n">
        <v>46025</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62866-2023</t>
        </is>
      </c>
      <c r="B734" s="1" t="n">
        <v>45272.36168981482</v>
      </c>
      <c r="C734" s="1" t="n">
        <v>46025</v>
      </c>
      <c r="D734" t="inlineStr">
        <is>
          <t>ÖREBRO LÄN</t>
        </is>
      </c>
      <c r="E734" t="inlineStr">
        <is>
          <t>LINDESBERG</t>
        </is>
      </c>
      <c r="G734" t="n">
        <v>14.5</v>
      </c>
      <c r="H734" t="n">
        <v>0</v>
      </c>
      <c r="I734" t="n">
        <v>0</v>
      </c>
      <c r="J734" t="n">
        <v>0</v>
      </c>
      <c r="K734" t="n">
        <v>0</v>
      </c>
      <c r="L734" t="n">
        <v>0</v>
      </c>
      <c r="M734" t="n">
        <v>0</v>
      </c>
      <c r="N734" t="n">
        <v>0</v>
      </c>
      <c r="O734" t="n">
        <v>0</v>
      </c>
      <c r="P734" t="n">
        <v>0</v>
      </c>
      <c r="Q734" t="n">
        <v>0</v>
      </c>
      <c r="R734" s="2" t="inlineStr"/>
    </row>
    <row r="735" ht="15" customHeight="1">
      <c r="A735" t="inlineStr">
        <is>
          <t>A 13416-2025</t>
        </is>
      </c>
      <c r="B735" s="1" t="n">
        <v>45736.308125</v>
      </c>
      <c r="C735" s="1" t="n">
        <v>46025</v>
      </c>
      <c r="D735" t="inlineStr">
        <is>
          <t>ÖREBRO LÄN</t>
        </is>
      </c>
      <c r="E735" t="inlineStr">
        <is>
          <t>LINDESBERG</t>
        </is>
      </c>
      <c r="G735" t="n">
        <v>2.2</v>
      </c>
      <c r="H735" t="n">
        <v>0</v>
      </c>
      <c r="I735" t="n">
        <v>0</v>
      </c>
      <c r="J735" t="n">
        <v>0</v>
      </c>
      <c r="K735" t="n">
        <v>0</v>
      </c>
      <c r="L735" t="n">
        <v>0</v>
      </c>
      <c r="M735" t="n">
        <v>0</v>
      </c>
      <c r="N735" t="n">
        <v>0</v>
      </c>
      <c r="O735" t="n">
        <v>0</v>
      </c>
      <c r="P735" t="n">
        <v>0</v>
      </c>
      <c r="Q735" t="n">
        <v>0</v>
      </c>
      <c r="R735" s="2" t="inlineStr"/>
    </row>
    <row r="736" ht="15" customHeight="1">
      <c r="A736" t="inlineStr">
        <is>
          <t>A 4013-2025</t>
        </is>
      </c>
      <c r="B736" s="1" t="n">
        <v>45684.5790162037</v>
      </c>
      <c r="C736" s="1" t="n">
        <v>46025</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44803-2024</t>
        </is>
      </c>
      <c r="B737" s="1" t="n">
        <v>45574.65087962963</v>
      </c>
      <c r="C737" s="1" t="n">
        <v>46025</v>
      </c>
      <c r="D737" t="inlineStr">
        <is>
          <t>ÖREBRO LÄN</t>
        </is>
      </c>
      <c r="E737" t="inlineStr">
        <is>
          <t>LINDESBERG</t>
        </is>
      </c>
      <c r="F737" t="inlineStr">
        <is>
          <t>Sveaskog</t>
        </is>
      </c>
      <c r="G737" t="n">
        <v>6.8</v>
      </c>
      <c r="H737" t="n">
        <v>0</v>
      </c>
      <c r="I737" t="n">
        <v>0</v>
      </c>
      <c r="J737" t="n">
        <v>0</v>
      </c>
      <c r="K737" t="n">
        <v>0</v>
      </c>
      <c r="L737" t="n">
        <v>0</v>
      </c>
      <c r="M737" t="n">
        <v>0</v>
      </c>
      <c r="N737" t="n">
        <v>0</v>
      </c>
      <c r="O737" t="n">
        <v>0</v>
      </c>
      <c r="P737" t="n">
        <v>0</v>
      </c>
      <c r="Q737" t="n">
        <v>0</v>
      </c>
      <c r="R737" s="2" t="inlineStr"/>
    </row>
    <row r="738" ht="15" customHeight="1">
      <c r="A738" t="inlineStr">
        <is>
          <t>A 27130-2024</t>
        </is>
      </c>
      <c r="B738" s="1" t="n">
        <v>45471.52072916667</v>
      </c>
      <c r="C738" s="1" t="n">
        <v>46025</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59804-2023</t>
        </is>
      </c>
      <c r="B739" s="1" t="n">
        <v>45257.48188657407</v>
      </c>
      <c r="C739" s="1" t="n">
        <v>46025</v>
      </c>
      <c r="D739" t="inlineStr">
        <is>
          <t>ÖREBRO LÄN</t>
        </is>
      </c>
      <c r="E739" t="inlineStr">
        <is>
          <t>LINDESBERG</t>
        </is>
      </c>
      <c r="G739" t="n">
        <v>1.2</v>
      </c>
      <c r="H739" t="n">
        <v>0</v>
      </c>
      <c r="I739" t="n">
        <v>0</v>
      </c>
      <c r="J739" t="n">
        <v>0</v>
      </c>
      <c r="K739" t="n">
        <v>0</v>
      </c>
      <c r="L739" t="n">
        <v>0</v>
      </c>
      <c r="M739" t="n">
        <v>0</v>
      </c>
      <c r="N739" t="n">
        <v>0</v>
      </c>
      <c r="O739" t="n">
        <v>0</v>
      </c>
      <c r="P739" t="n">
        <v>0</v>
      </c>
      <c r="Q739" t="n">
        <v>0</v>
      </c>
      <c r="R739" s="2" t="inlineStr"/>
    </row>
    <row r="740" ht="15" customHeight="1">
      <c r="A740" t="inlineStr">
        <is>
          <t>A 27434-2023</t>
        </is>
      </c>
      <c r="B740" s="1" t="n">
        <v>45097.38688657407</v>
      </c>
      <c r="C740" s="1" t="n">
        <v>46025</v>
      </c>
      <c r="D740" t="inlineStr">
        <is>
          <t>ÖREBRO LÄN</t>
        </is>
      </c>
      <c r="E740" t="inlineStr">
        <is>
          <t>LINDESBERG</t>
        </is>
      </c>
      <c r="G740" t="n">
        <v>10.7</v>
      </c>
      <c r="H740" t="n">
        <v>0</v>
      </c>
      <c r="I740" t="n">
        <v>0</v>
      </c>
      <c r="J740" t="n">
        <v>0</v>
      </c>
      <c r="K740" t="n">
        <v>0</v>
      </c>
      <c r="L740" t="n">
        <v>0</v>
      </c>
      <c r="M740" t="n">
        <v>0</v>
      </c>
      <c r="N740" t="n">
        <v>0</v>
      </c>
      <c r="O740" t="n">
        <v>0</v>
      </c>
      <c r="P740" t="n">
        <v>0</v>
      </c>
      <c r="Q740" t="n">
        <v>0</v>
      </c>
      <c r="R740" s="2" t="inlineStr"/>
    </row>
    <row r="741" ht="15" customHeight="1">
      <c r="A741" t="inlineStr">
        <is>
          <t>A 45060-2024</t>
        </is>
      </c>
      <c r="B741" s="1" t="n">
        <v>45575.55570601852</v>
      </c>
      <c r="C741" s="1" t="n">
        <v>46025</v>
      </c>
      <c r="D741" t="inlineStr">
        <is>
          <t>ÖREBRO LÄN</t>
        </is>
      </c>
      <c r="E741" t="inlineStr">
        <is>
          <t>LINDESBERG</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72706-2021</t>
        </is>
      </c>
      <c r="B742" s="1" t="n">
        <v>44546.67222222222</v>
      </c>
      <c r="C742" s="1" t="n">
        <v>46025</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53366-2023</t>
        </is>
      </c>
      <c r="B743" s="1" t="n">
        <v>45229</v>
      </c>
      <c r="C743" s="1" t="n">
        <v>46025</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19219-2023</t>
        </is>
      </c>
      <c r="B744" s="1" t="n">
        <v>45048</v>
      </c>
      <c r="C744" s="1" t="n">
        <v>46025</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19043-2023</t>
        </is>
      </c>
      <c r="B745" s="1" t="n">
        <v>45047.7181712963</v>
      </c>
      <c r="C745" s="1" t="n">
        <v>46025</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27031-2024</t>
        </is>
      </c>
      <c r="B746" s="1" t="n">
        <v>45471.42659722222</v>
      </c>
      <c r="C746" s="1" t="n">
        <v>46025</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38696-2024</t>
        </is>
      </c>
      <c r="B747" s="1" t="n">
        <v>45547.36590277778</v>
      </c>
      <c r="C747" s="1" t="n">
        <v>46025</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4924-2021</t>
        </is>
      </c>
      <c r="B748" s="1" t="n">
        <v>44227</v>
      </c>
      <c r="C748" s="1" t="n">
        <v>46025</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54663-2021</t>
        </is>
      </c>
      <c r="B749" s="1" t="n">
        <v>44473.6343287037</v>
      </c>
      <c r="C749" s="1" t="n">
        <v>46025</v>
      </c>
      <c r="D749" t="inlineStr">
        <is>
          <t>ÖREBRO LÄN</t>
        </is>
      </c>
      <c r="E749" t="inlineStr">
        <is>
          <t>LINDESBERG</t>
        </is>
      </c>
      <c r="G749" t="n">
        <v>1.2</v>
      </c>
      <c r="H749" t="n">
        <v>0</v>
      </c>
      <c r="I749" t="n">
        <v>0</v>
      </c>
      <c r="J749" t="n">
        <v>0</v>
      </c>
      <c r="K749" t="n">
        <v>0</v>
      </c>
      <c r="L749" t="n">
        <v>0</v>
      </c>
      <c r="M749" t="n">
        <v>0</v>
      </c>
      <c r="N749" t="n">
        <v>0</v>
      </c>
      <c r="O749" t="n">
        <v>0</v>
      </c>
      <c r="P749" t="n">
        <v>0</v>
      </c>
      <c r="Q749" t="n">
        <v>0</v>
      </c>
      <c r="R749" s="2" t="inlineStr"/>
    </row>
    <row r="750" ht="15" customHeight="1">
      <c r="A750" t="inlineStr">
        <is>
          <t>A 32262-2021</t>
        </is>
      </c>
      <c r="B750" s="1" t="n">
        <v>44371.47609953704</v>
      </c>
      <c r="C750" s="1" t="n">
        <v>46025</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48265-2021</t>
        </is>
      </c>
      <c r="B751" s="1" t="n">
        <v>44449</v>
      </c>
      <c r="C751" s="1" t="n">
        <v>46025</v>
      </c>
      <c r="D751" t="inlineStr">
        <is>
          <t>ÖREBRO LÄN</t>
        </is>
      </c>
      <c r="E751" t="inlineStr">
        <is>
          <t>LINDESBERG</t>
        </is>
      </c>
      <c r="G751" t="n">
        <v>23.7</v>
      </c>
      <c r="H751" t="n">
        <v>0</v>
      </c>
      <c r="I751" t="n">
        <v>0</v>
      </c>
      <c r="J751" t="n">
        <v>0</v>
      </c>
      <c r="K751" t="n">
        <v>0</v>
      </c>
      <c r="L751" t="n">
        <v>0</v>
      </c>
      <c r="M751" t="n">
        <v>0</v>
      </c>
      <c r="N751" t="n">
        <v>0</v>
      </c>
      <c r="O751" t="n">
        <v>0</v>
      </c>
      <c r="P751" t="n">
        <v>0</v>
      </c>
      <c r="Q751" t="n">
        <v>0</v>
      </c>
      <c r="R751" s="2" t="inlineStr"/>
    </row>
    <row r="752" ht="15" customHeight="1">
      <c r="A752" t="inlineStr">
        <is>
          <t>A 14028-2023</t>
        </is>
      </c>
      <c r="B752" s="1" t="n">
        <v>45008</v>
      </c>
      <c r="C752" s="1" t="n">
        <v>46025</v>
      </c>
      <c r="D752" t="inlineStr">
        <is>
          <t>ÖREBRO LÄN</t>
        </is>
      </c>
      <c r="E752" t="inlineStr">
        <is>
          <t>LINDESBERG</t>
        </is>
      </c>
      <c r="F752" t="inlineStr">
        <is>
          <t>Kyrkan</t>
        </is>
      </c>
      <c r="G752" t="n">
        <v>1.1</v>
      </c>
      <c r="H752" t="n">
        <v>0</v>
      </c>
      <c r="I752" t="n">
        <v>0</v>
      </c>
      <c r="J752" t="n">
        <v>0</v>
      </c>
      <c r="K752" t="n">
        <v>0</v>
      </c>
      <c r="L752" t="n">
        <v>0</v>
      </c>
      <c r="M752" t="n">
        <v>0</v>
      </c>
      <c r="N752" t="n">
        <v>0</v>
      </c>
      <c r="O752" t="n">
        <v>0</v>
      </c>
      <c r="P752" t="n">
        <v>0</v>
      </c>
      <c r="Q752" t="n">
        <v>0</v>
      </c>
      <c r="R752" s="2" t="inlineStr"/>
    </row>
    <row r="753" ht="15" customHeight="1">
      <c r="A753" t="inlineStr">
        <is>
          <t>A 57069-2022</t>
        </is>
      </c>
      <c r="B753" s="1" t="n">
        <v>44895</v>
      </c>
      <c r="C753" s="1" t="n">
        <v>46025</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61405-2022</t>
        </is>
      </c>
      <c r="B754" s="1" t="n">
        <v>44916</v>
      </c>
      <c r="C754" s="1" t="n">
        <v>46025</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9961-2023</t>
        </is>
      </c>
      <c r="B755" s="1" t="n">
        <v>44979</v>
      </c>
      <c r="C755" s="1" t="n">
        <v>46025</v>
      </c>
      <c r="D755" t="inlineStr">
        <is>
          <t>ÖREBRO LÄN</t>
        </is>
      </c>
      <c r="E755" t="inlineStr">
        <is>
          <t>LINDESBERG</t>
        </is>
      </c>
      <c r="G755" t="n">
        <v>4.8</v>
      </c>
      <c r="H755" t="n">
        <v>0</v>
      </c>
      <c r="I755" t="n">
        <v>0</v>
      </c>
      <c r="J755" t="n">
        <v>0</v>
      </c>
      <c r="K755" t="n">
        <v>0</v>
      </c>
      <c r="L755" t="n">
        <v>0</v>
      </c>
      <c r="M755" t="n">
        <v>0</v>
      </c>
      <c r="N755" t="n">
        <v>0</v>
      </c>
      <c r="O755" t="n">
        <v>0</v>
      </c>
      <c r="P755" t="n">
        <v>0</v>
      </c>
      <c r="Q755" t="n">
        <v>0</v>
      </c>
      <c r="R755" s="2" t="inlineStr"/>
    </row>
    <row r="756" ht="15" customHeight="1">
      <c r="A756" t="inlineStr">
        <is>
          <t>A 45041-2024</t>
        </is>
      </c>
      <c r="B756" s="1" t="n">
        <v>45575.53690972222</v>
      </c>
      <c r="C756" s="1" t="n">
        <v>46025</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45068-2024</t>
        </is>
      </c>
      <c r="B757" s="1" t="n">
        <v>45575.56256944445</v>
      </c>
      <c r="C757" s="1" t="n">
        <v>46025</v>
      </c>
      <c r="D757" t="inlineStr">
        <is>
          <t>ÖREBRO LÄN</t>
        </is>
      </c>
      <c r="E757" t="inlineStr">
        <is>
          <t>LINDESBERG</t>
        </is>
      </c>
      <c r="F757" t="inlineStr">
        <is>
          <t>Sveaskog</t>
        </is>
      </c>
      <c r="G757" t="n">
        <v>16.5</v>
      </c>
      <c r="H757" t="n">
        <v>0</v>
      </c>
      <c r="I757" t="n">
        <v>0</v>
      </c>
      <c r="J757" t="n">
        <v>0</v>
      </c>
      <c r="K757" t="n">
        <v>0</v>
      </c>
      <c r="L757" t="n">
        <v>0</v>
      </c>
      <c r="M757" t="n">
        <v>0</v>
      </c>
      <c r="N757" t="n">
        <v>0</v>
      </c>
      <c r="O757" t="n">
        <v>0</v>
      </c>
      <c r="P757" t="n">
        <v>0</v>
      </c>
      <c r="Q757" t="n">
        <v>0</v>
      </c>
      <c r="R757" s="2" t="inlineStr"/>
    </row>
    <row r="758" ht="15" customHeight="1">
      <c r="A758" t="inlineStr">
        <is>
          <t>A 39419-2023</t>
        </is>
      </c>
      <c r="B758" s="1" t="n">
        <v>45166.68493055556</v>
      </c>
      <c r="C758" s="1" t="n">
        <v>46025</v>
      </c>
      <c r="D758" t="inlineStr">
        <is>
          <t>ÖREBRO LÄN</t>
        </is>
      </c>
      <c r="E758" t="inlineStr">
        <is>
          <t>LINDESBERG</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10825-2021</t>
        </is>
      </c>
      <c r="B759" s="1" t="n">
        <v>44259</v>
      </c>
      <c r="C759" s="1" t="n">
        <v>46025</v>
      </c>
      <c r="D759" t="inlineStr">
        <is>
          <t>ÖREBRO LÄN</t>
        </is>
      </c>
      <c r="E759" t="inlineStr">
        <is>
          <t>LINDESBERG</t>
        </is>
      </c>
      <c r="G759" t="n">
        <v>7.4</v>
      </c>
      <c r="H759" t="n">
        <v>0</v>
      </c>
      <c r="I759" t="n">
        <v>0</v>
      </c>
      <c r="J759" t="n">
        <v>0</v>
      </c>
      <c r="K759" t="n">
        <v>0</v>
      </c>
      <c r="L759" t="n">
        <v>0</v>
      </c>
      <c r="M759" t="n">
        <v>0</v>
      </c>
      <c r="N759" t="n">
        <v>0</v>
      </c>
      <c r="O759" t="n">
        <v>0</v>
      </c>
      <c r="P759" t="n">
        <v>0</v>
      </c>
      <c r="Q759" t="n">
        <v>0</v>
      </c>
      <c r="R759" s="2" t="inlineStr"/>
    </row>
    <row r="760" ht="15" customHeight="1">
      <c r="A760" t="inlineStr">
        <is>
          <t>A 15745-2024</t>
        </is>
      </c>
      <c r="B760" s="1" t="n">
        <v>45404.55239583334</v>
      </c>
      <c r="C760" s="1" t="n">
        <v>46025</v>
      </c>
      <c r="D760" t="inlineStr">
        <is>
          <t>ÖREBRO LÄN</t>
        </is>
      </c>
      <c r="E760" t="inlineStr">
        <is>
          <t>LINDESBERG</t>
        </is>
      </c>
      <c r="F760" t="inlineStr">
        <is>
          <t>Sveaskog</t>
        </is>
      </c>
      <c r="G760" t="n">
        <v>6.2</v>
      </c>
      <c r="H760" t="n">
        <v>0</v>
      </c>
      <c r="I760" t="n">
        <v>0</v>
      </c>
      <c r="J760" t="n">
        <v>0</v>
      </c>
      <c r="K760" t="n">
        <v>0</v>
      </c>
      <c r="L760" t="n">
        <v>0</v>
      </c>
      <c r="M760" t="n">
        <v>0</v>
      </c>
      <c r="N760" t="n">
        <v>0</v>
      </c>
      <c r="O760" t="n">
        <v>0</v>
      </c>
      <c r="P760" t="n">
        <v>0</v>
      </c>
      <c r="Q760" t="n">
        <v>0</v>
      </c>
      <c r="R760" s="2" t="inlineStr"/>
    </row>
    <row r="761" ht="15" customHeight="1">
      <c r="A761" t="inlineStr">
        <is>
          <t>A 15750-2024</t>
        </is>
      </c>
      <c r="B761" s="1" t="n">
        <v>45404.55601851852</v>
      </c>
      <c r="C761" s="1" t="n">
        <v>46025</v>
      </c>
      <c r="D761" t="inlineStr">
        <is>
          <t>ÖREBRO LÄN</t>
        </is>
      </c>
      <c r="E761" t="inlineStr">
        <is>
          <t>LINDESBERG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60115-2022</t>
        </is>
      </c>
      <c r="B762" s="1" t="n">
        <v>44902</v>
      </c>
      <c r="C762" s="1" t="n">
        <v>46025</v>
      </c>
      <c r="D762" t="inlineStr">
        <is>
          <t>ÖREBRO LÄN</t>
        </is>
      </c>
      <c r="E762" t="inlineStr">
        <is>
          <t>LINDESBERG</t>
        </is>
      </c>
      <c r="G762" t="n">
        <v>0.5</v>
      </c>
      <c r="H762" t="n">
        <v>0</v>
      </c>
      <c r="I762" t="n">
        <v>0</v>
      </c>
      <c r="J762" t="n">
        <v>0</v>
      </c>
      <c r="K762" t="n">
        <v>0</v>
      </c>
      <c r="L762" t="n">
        <v>0</v>
      </c>
      <c r="M762" t="n">
        <v>0</v>
      </c>
      <c r="N762" t="n">
        <v>0</v>
      </c>
      <c r="O762" t="n">
        <v>0</v>
      </c>
      <c r="P762" t="n">
        <v>0</v>
      </c>
      <c r="Q762" t="n">
        <v>0</v>
      </c>
      <c r="R762" s="2" t="inlineStr"/>
    </row>
    <row r="763" ht="15" customHeight="1">
      <c r="A763" t="inlineStr">
        <is>
          <t>A 29857-2023</t>
        </is>
      </c>
      <c r="B763" s="1" t="n">
        <v>45107</v>
      </c>
      <c r="C763" s="1" t="n">
        <v>46025</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44664-2023</t>
        </is>
      </c>
      <c r="B764" s="1" t="n">
        <v>45189</v>
      </c>
      <c r="C764" s="1" t="n">
        <v>46025</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18610-2021</t>
        </is>
      </c>
      <c r="B765" s="1" t="n">
        <v>44306.6371412037</v>
      </c>
      <c r="C765" s="1" t="n">
        <v>46025</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19026-2021</t>
        </is>
      </c>
      <c r="B766" s="1" t="n">
        <v>44308</v>
      </c>
      <c r="C766" s="1" t="n">
        <v>46025</v>
      </c>
      <c r="D766" t="inlineStr">
        <is>
          <t>ÖREBRO LÄN</t>
        </is>
      </c>
      <c r="E766" t="inlineStr">
        <is>
          <t>LINDESBERG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47535-2022</t>
        </is>
      </c>
      <c r="B767" s="1" t="n">
        <v>44853.79818287037</v>
      </c>
      <c r="C767" s="1" t="n">
        <v>46025</v>
      </c>
      <c r="D767" t="inlineStr">
        <is>
          <t>ÖREBRO LÄN</t>
        </is>
      </c>
      <c r="E767" t="inlineStr">
        <is>
          <t>LINDESBERG</t>
        </is>
      </c>
      <c r="G767" t="n">
        <v>3</v>
      </c>
      <c r="H767" t="n">
        <v>0</v>
      </c>
      <c r="I767" t="n">
        <v>0</v>
      </c>
      <c r="J767" t="n">
        <v>0</v>
      </c>
      <c r="K767" t="n">
        <v>0</v>
      </c>
      <c r="L767" t="n">
        <v>0</v>
      </c>
      <c r="M767" t="n">
        <v>0</v>
      </c>
      <c r="N767" t="n">
        <v>0</v>
      </c>
      <c r="O767" t="n">
        <v>0</v>
      </c>
      <c r="P767" t="n">
        <v>0</v>
      </c>
      <c r="Q767" t="n">
        <v>0</v>
      </c>
      <c r="R767" s="2" t="inlineStr"/>
    </row>
    <row r="768" ht="15" customHeight="1">
      <c r="A768" t="inlineStr">
        <is>
          <t>A 30830-2024</t>
        </is>
      </c>
      <c r="B768" s="1" t="n">
        <v>45497</v>
      </c>
      <c r="C768" s="1" t="n">
        <v>46025</v>
      </c>
      <c r="D768" t="inlineStr">
        <is>
          <t>ÖREBRO LÄN</t>
        </is>
      </c>
      <c r="E768" t="inlineStr">
        <is>
          <t>LINDESBERG</t>
        </is>
      </c>
      <c r="G768" t="n">
        <v>2.8</v>
      </c>
      <c r="H768" t="n">
        <v>0</v>
      </c>
      <c r="I768" t="n">
        <v>0</v>
      </c>
      <c r="J768" t="n">
        <v>0</v>
      </c>
      <c r="K768" t="n">
        <v>0</v>
      </c>
      <c r="L768" t="n">
        <v>0</v>
      </c>
      <c r="M768" t="n">
        <v>0</v>
      </c>
      <c r="N768" t="n">
        <v>0</v>
      </c>
      <c r="O768" t="n">
        <v>0</v>
      </c>
      <c r="P768" t="n">
        <v>0</v>
      </c>
      <c r="Q768" t="n">
        <v>0</v>
      </c>
      <c r="R768" s="2" t="inlineStr"/>
    </row>
    <row r="769" ht="15" customHeight="1">
      <c r="A769" t="inlineStr">
        <is>
          <t>A 59395-2022</t>
        </is>
      </c>
      <c r="B769" s="1" t="n">
        <v>44906.73321759259</v>
      </c>
      <c r="C769" s="1" t="n">
        <v>46025</v>
      </c>
      <c r="D769" t="inlineStr">
        <is>
          <t>ÖREBRO LÄN</t>
        </is>
      </c>
      <c r="E769" t="inlineStr">
        <is>
          <t>LINDESBERG</t>
        </is>
      </c>
      <c r="G769" t="n">
        <v>4.3</v>
      </c>
      <c r="H769" t="n">
        <v>0</v>
      </c>
      <c r="I769" t="n">
        <v>0</v>
      </c>
      <c r="J769" t="n">
        <v>0</v>
      </c>
      <c r="K769" t="n">
        <v>0</v>
      </c>
      <c r="L769" t="n">
        <v>0</v>
      </c>
      <c r="M769" t="n">
        <v>0</v>
      </c>
      <c r="N769" t="n">
        <v>0</v>
      </c>
      <c r="O769" t="n">
        <v>0</v>
      </c>
      <c r="P769" t="n">
        <v>0</v>
      </c>
      <c r="Q769" t="n">
        <v>0</v>
      </c>
      <c r="R769" s="2" t="inlineStr"/>
    </row>
    <row r="770" ht="15" customHeight="1">
      <c r="A770" t="inlineStr">
        <is>
          <t>A 55272-2023</t>
        </is>
      </c>
      <c r="B770" s="1" t="n">
        <v>45237.67819444444</v>
      </c>
      <c r="C770" s="1" t="n">
        <v>46025</v>
      </c>
      <c r="D770" t="inlineStr">
        <is>
          <t>ÖREBRO LÄN</t>
        </is>
      </c>
      <c r="E770" t="inlineStr">
        <is>
          <t>LINDESBERG</t>
        </is>
      </c>
      <c r="G770" t="n">
        <v>2.4</v>
      </c>
      <c r="H770" t="n">
        <v>0</v>
      </c>
      <c r="I770" t="n">
        <v>0</v>
      </c>
      <c r="J770" t="n">
        <v>0</v>
      </c>
      <c r="K770" t="n">
        <v>0</v>
      </c>
      <c r="L770" t="n">
        <v>0</v>
      </c>
      <c r="M770" t="n">
        <v>0</v>
      </c>
      <c r="N770" t="n">
        <v>0</v>
      </c>
      <c r="O770" t="n">
        <v>0</v>
      </c>
      <c r="P770" t="n">
        <v>0</v>
      </c>
      <c r="Q770" t="n">
        <v>0</v>
      </c>
      <c r="R770" s="2" t="inlineStr"/>
    </row>
    <row r="771" ht="15" customHeight="1">
      <c r="A771" t="inlineStr">
        <is>
          <t>A 53597-2024</t>
        </is>
      </c>
      <c r="B771" s="1" t="n">
        <v>45614.68083333333</v>
      </c>
      <c r="C771" s="1" t="n">
        <v>46025</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27576-2024</t>
        </is>
      </c>
      <c r="B772" s="1" t="n">
        <v>45474.65005787037</v>
      </c>
      <c r="C772" s="1" t="n">
        <v>46025</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21986-2023</t>
        </is>
      </c>
      <c r="B773" s="1" t="n">
        <v>45068</v>
      </c>
      <c r="C773" s="1" t="n">
        <v>46025</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52930-2024</t>
        </is>
      </c>
      <c r="B774" s="1" t="n">
        <v>45610.7466087963</v>
      </c>
      <c r="C774" s="1" t="n">
        <v>46025</v>
      </c>
      <c r="D774" t="inlineStr">
        <is>
          <t>ÖREBRO LÄN</t>
        </is>
      </c>
      <c r="E774" t="inlineStr">
        <is>
          <t>LINDESBERG</t>
        </is>
      </c>
      <c r="G774" t="n">
        <v>2.8</v>
      </c>
      <c r="H774" t="n">
        <v>0</v>
      </c>
      <c r="I774" t="n">
        <v>0</v>
      </c>
      <c r="J774" t="n">
        <v>0</v>
      </c>
      <c r="K774" t="n">
        <v>0</v>
      </c>
      <c r="L774" t="n">
        <v>0</v>
      </c>
      <c r="M774" t="n">
        <v>0</v>
      </c>
      <c r="N774" t="n">
        <v>0</v>
      </c>
      <c r="O774" t="n">
        <v>0</v>
      </c>
      <c r="P774" t="n">
        <v>0</v>
      </c>
      <c r="Q774" t="n">
        <v>0</v>
      </c>
      <c r="R774" s="2" t="inlineStr"/>
    </row>
    <row r="775" ht="15" customHeight="1">
      <c r="A775" t="inlineStr">
        <is>
          <t>A 2103-2022</t>
        </is>
      </c>
      <c r="B775" s="1" t="n">
        <v>44577.81121527778</v>
      </c>
      <c r="C775" s="1" t="n">
        <v>46025</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54860-2024</t>
        </is>
      </c>
      <c r="B776" s="1" t="n">
        <v>45618.59219907408</v>
      </c>
      <c r="C776" s="1" t="n">
        <v>46025</v>
      </c>
      <c r="D776" t="inlineStr">
        <is>
          <t>ÖREBRO LÄN</t>
        </is>
      </c>
      <c r="E776" t="inlineStr">
        <is>
          <t>LINDESBERG</t>
        </is>
      </c>
      <c r="F776" t="inlineStr">
        <is>
          <t>Sveaskog</t>
        </is>
      </c>
      <c r="G776" t="n">
        <v>0.3</v>
      </c>
      <c r="H776" t="n">
        <v>0</v>
      </c>
      <c r="I776" t="n">
        <v>0</v>
      </c>
      <c r="J776" t="n">
        <v>0</v>
      </c>
      <c r="K776" t="n">
        <v>0</v>
      </c>
      <c r="L776" t="n">
        <v>0</v>
      </c>
      <c r="M776" t="n">
        <v>0</v>
      </c>
      <c r="N776" t="n">
        <v>0</v>
      </c>
      <c r="O776" t="n">
        <v>0</v>
      </c>
      <c r="P776" t="n">
        <v>0</v>
      </c>
      <c r="Q776" t="n">
        <v>0</v>
      </c>
      <c r="R776" s="2" t="inlineStr"/>
    </row>
    <row r="777" ht="15" customHeight="1">
      <c r="A777" t="inlineStr">
        <is>
          <t>A 49358-2023</t>
        </is>
      </c>
      <c r="B777" s="1" t="n">
        <v>45211</v>
      </c>
      <c r="C777" s="1" t="n">
        <v>46025</v>
      </c>
      <c r="D777" t="inlineStr">
        <is>
          <t>ÖREBRO LÄN</t>
        </is>
      </c>
      <c r="E777" t="inlineStr">
        <is>
          <t>LINDESBERG</t>
        </is>
      </c>
      <c r="F777" t="inlineStr">
        <is>
          <t>Sveaskog</t>
        </is>
      </c>
      <c r="G777" t="n">
        <v>4.7</v>
      </c>
      <c r="H777" t="n">
        <v>0</v>
      </c>
      <c r="I777" t="n">
        <v>0</v>
      </c>
      <c r="J777" t="n">
        <v>0</v>
      </c>
      <c r="K777" t="n">
        <v>0</v>
      </c>
      <c r="L777" t="n">
        <v>0</v>
      </c>
      <c r="M777" t="n">
        <v>0</v>
      </c>
      <c r="N777" t="n">
        <v>0</v>
      </c>
      <c r="O777" t="n">
        <v>0</v>
      </c>
      <c r="P777" t="n">
        <v>0</v>
      </c>
      <c r="Q777" t="n">
        <v>0</v>
      </c>
      <c r="R777" s="2" t="inlineStr"/>
    </row>
    <row r="778" ht="15" customHeight="1">
      <c r="A778" t="inlineStr">
        <is>
          <t>A 23579-2022</t>
        </is>
      </c>
      <c r="B778" s="1" t="n">
        <v>44721.52627314815</v>
      </c>
      <c r="C778" s="1" t="n">
        <v>46025</v>
      </c>
      <c r="D778" t="inlineStr">
        <is>
          <t>ÖREBRO LÄN</t>
        </is>
      </c>
      <c r="E778" t="inlineStr">
        <is>
          <t>LINDESBERG</t>
        </is>
      </c>
      <c r="G778" t="n">
        <v>0.7</v>
      </c>
      <c r="H778" t="n">
        <v>0</v>
      </c>
      <c r="I778" t="n">
        <v>0</v>
      </c>
      <c r="J778" t="n">
        <v>0</v>
      </c>
      <c r="K778" t="n">
        <v>0</v>
      </c>
      <c r="L778" t="n">
        <v>0</v>
      </c>
      <c r="M778" t="n">
        <v>0</v>
      </c>
      <c r="N778" t="n">
        <v>0</v>
      </c>
      <c r="O778" t="n">
        <v>0</v>
      </c>
      <c r="P778" t="n">
        <v>0</v>
      </c>
      <c r="Q778" t="n">
        <v>0</v>
      </c>
      <c r="R778" s="2" t="inlineStr"/>
    </row>
    <row r="779" ht="15" customHeight="1">
      <c r="A779" t="inlineStr">
        <is>
          <t>A 32009-2023</t>
        </is>
      </c>
      <c r="B779" s="1" t="n">
        <v>45119</v>
      </c>
      <c r="C779" s="1" t="n">
        <v>46025</v>
      </c>
      <c r="D779" t="inlineStr">
        <is>
          <t>ÖREBRO LÄN</t>
        </is>
      </c>
      <c r="E779" t="inlineStr">
        <is>
          <t>LINDESBERG</t>
        </is>
      </c>
      <c r="F779" t="inlineStr">
        <is>
          <t>Kyrkan</t>
        </is>
      </c>
      <c r="G779" t="n">
        <v>0.8</v>
      </c>
      <c r="H779" t="n">
        <v>0</v>
      </c>
      <c r="I779" t="n">
        <v>0</v>
      </c>
      <c r="J779" t="n">
        <v>0</v>
      </c>
      <c r="K779" t="n">
        <v>0</v>
      </c>
      <c r="L779" t="n">
        <v>0</v>
      </c>
      <c r="M779" t="n">
        <v>0</v>
      </c>
      <c r="N779" t="n">
        <v>0</v>
      </c>
      <c r="O779" t="n">
        <v>0</v>
      </c>
      <c r="P779" t="n">
        <v>0</v>
      </c>
      <c r="Q779" t="n">
        <v>0</v>
      </c>
      <c r="R779" s="2" t="inlineStr"/>
    </row>
    <row r="780" ht="15" customHeight="1">
      <c r="A780" t="inlineStr">
        <is>
          <t>A 46647-2024</t>
        </is>
      </c>
      <c r="B780" s="1" t="n">
        <v>45583</v>
      </c>
      <c r="C780" s="1" t="n">
        <v>46025</v>
      </c>
      <c r="D780" t="inlineStr">
        <is>
          <t>ÖREBRO LÄN</t>
        </is>
      </c>
      <c r="E780" t="inlineStr">
        <is>
          <t>LINDESBERG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23260-2024</t>
        </is>
      </c>
      <c r="B781" s="1" t="n">
        <v>45453.36664351852</v>
      </c>
      <c r="C781" s="1" t="n">
        <v>46025</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26067-2022</t>
        </is>
      </c>
      <c r="B782" s="1" t="n">
        <v>44734.64337962963</v>
      </c>
      <c r="C782" s="1" t="n">
        <v>46025</v>
      </c>
      <c r="D782" t="inlineStr">
        <is>
          <t>ÖREBRO LÄN</t>
        </is>
      </c>
      <c r="E782" t="inlineStr">
        <is>
          <t>LINDESBERG</t>
        </is>
      </c>
      <c r="G782" t="n">
        <v>3.1</v>
      </c>
      <c r="H782" t="n">
        <v>0</v>
      </c>
      <c r="I782" t="n">
        <v>0</v>
      </c>
      <c r="J782" t="n">
        <v>0</v>
      </c>
      <c r="K782" t="n">
        <v>0</v>
      </c>
      <c r="L782" t="n">
        <v>0</v>
      </c>
      <c r="M782" t="n">
        <v>0</v>
      </c>
      <c r="N782" t="n">
        <v>0</v>
      </c>
      <c r="O782" t="n">
        <v>0</v>
      </c>
      <c r="P782" t="n">
        <v>0</v>
      </c>
      <c r="Q782" t="n">
        <v>0</v>
      </c>
      <c r="R782" s="2" t="inlineStr"/>
    </row>
    <row r="783" ht="15" customHeight="1">
      <c r="A783" t="inlineStr">
        <is>
          <t>A 3233-2023</t>
        </is>
      </c>
      <c r="B783" s="1" t="n">
        <v>44946</v>
      </c>
      <c r="C783" s="1" t="n">
        <v>46025</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5047-2023</t>
        </is>
      </c>
      <c r="B784" s="1" t="n">
        <v>44958.58982638889</v>
      </c>
      <c r="C784" s="1" t="n">
        <v>46025</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8836-2023</t>
        </is>
      </c>
      <c r="B785" s="1" t="n">
        <v>44978</v>
      </c>
      <c r="C785" s="1" t="n">
        <v>46025</v>
      </c>
      <c r="D785" t="inlineStr">
        <is>
          <t>ÖREBRO LÄN</t>
        </is>
      </c>
      <c r="E785" t="inlineStr">
        <is>
          <t>LINDESBERG</t>
        </is>
      </c>
      <c r="G785" t="n">
        <v>1</v>
      </c>
      <c r="H785" t="n">
        <v>0</v>
      </c>
      <c r="I785" t="n">
        <v>0</v>
      </c>
      <c r="J785" t="n">
        <v>0</v>
      </c>
      <c r="K785" t="n">
        <v>0</v>
      </c>
      <c r="L785" t="n">
        <v>0</v>
      </c>
      <c r="M785" t="n">
        <v>0</v>
      </c>
      <c r="N785" t="n">
        <v>0</v>
      </c>
      <c r="O785" t="n">
        <v>0</v>
      </c>
      <c r="P785" t="n">
        <v>0</v>
      </c>
      <c r="Q785" t="n">
        <v>0</v>
      </c>
      <c r="R785" s="2" t="inlineStr"/>
    </row>
    <row r="786" ht="15" customHeight="1">
      <c r="A786" t="inlineStr">
        <is>
          <t>A 38460-2024</t>
        </is>
      </c>
      <c r="B786" s="1" t="n">
        <v>45546.46497685185</v>
      </c>
      <c r="C786" s="1" t="n">
        <v>46025</v>
      </c>
      <c r="D786" t="inlineStr">
        <is>
          <t>ÖREBRO LÄN</t>
        </is>
      </c>
      <c r="E786" t="inlineStr">
        <is>
          <t>LINDESBERG</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46219-2022</t>
        </is>
      </c>
      <c r="B787" s="1" t="n">
        <v>44846</v>
      </c>
      <c r="C787" s="1" t="n">
        <v>46025</v>
      </c>
      <c r="D787" t="inlineStr">
        <is>
          <t>ÖREBRO LÄN</t>
        </is>
      </c>
      <c r="E787" t="inlineStr">
        <is>
          <t>LINDESBERG</t>
        </is>
      </c>
      <c r="G787" t="n">
        <v>6</v>
      </c>
      <c r="H787" t="n">
        <v>0</v>
      </c>
      <c r="I787" t="n">
        <v>0</v>
      </c>
      <c r="J787" t="n">
        <v>0</v>
      </c>
      <c r="K787" t="n">
        <v>0</v>
      </c>
      <c r="L787" t="n">
        <v>0</v>
      </c>
      <c r="M787" t="n">
        <v>0</v>
      </c>
      <c r="N787" t="n">
        <v>0</v>
      </c>
      <c r="O787" t="n">
        <v>0</v>
      </c>
      <c r="P787" t="n">
        <v>0</v>
      </c>
      <c r="Q787" t="n">
        <v>0</v>
      </c>
      <c r="R787" s="2" t="inlineStr"/>
    </row>
    <row r="788" ht="15" customHeight="1">
      <c r="A788" t="inlineStr">
        <is>
          <t>A 11953-2024</t>
        </is>
      </c>
      <c r="B788" s="1" t="n">
        <v>45376.70292824074</v>
      </c>
      <c r="C788" s="1" t="n">
        <v>46025</v>
      </c>
      <c r="D788" t="inlineStr">
        <is>
          <t>ÖREBRO LÄN</t>
        </is>
      </c>
      <c r="E788" t="inlineStr">
        <is>
          <t>LINDESBERG</t>
        </is>
      </c>
      <c r="G788" t="n">
        <v>5.7</v>
      </c>
      <c r="H788" t="n">
        <v>0</v>
      </c>
      <c r="I788" t="n">
        <v>0</v>
      </c>
      <c r="J788" t="n">
        <v>0</v>
      </c>
      <c r="K788" t="n">
        <v>0</v>
      </c>
      <c r="L788" t="n">
        <v>0</v>
      </c>
      <c r="M788" t="n">
        <v>0</v>
      </c>
      <c r="N788" t="n">
        <v>0</v>
      </c>
      <c r="O788" t="n">
        <v>0</v>
      </c>
      <c r="P788" t="n">
        <v>0</v>
      </c>
      <c r="Q788" t="n">
        <v>0</v>
      </c>
      <c r="R788" s="2" t="inlineStr"/>
    </row>
    <row r="789" ht="15" customHeight="1">
      <c r="A789" t="inlineStr">
        <is>
          <t>A 4440-2024</t>
        </is>
      </c>
      <c r="B789" s="1" t="n">
        <v>45327</v>
      </c>
      <c r="C789" s="1" t="n">
        <v>46025</v>
      </c>
      <c r="D789" t="inlineStr">
        <is>
          <t>ÖREBRO LÄN</t>
        </is>
      </c>
      <c r="E789" t="inlineStr">
        <is>
          <t>LINDESBERG</t>
        </is>
      </c>
      <c r="F789" t="inlineStr">
        <is>
          <t>BillerudKorsnäs AB</t>
        </is>
      </c>
      <c r="G789" t="n">
        <v>2</v>
      </c>
      <c r="H789" t="n">
        <v>0</v>
      </c>
      <c r="I789" t="n">
        <v>0</v>
      </c>
      <c r="J789" t="n">
        <v>0</v>
      </c>
      <c r="K789" t="n">
        <v>0</v>
      </c>
      <c r="L789" t="n">
        <v>0</v>
      </c>
      <c r="M789" t="n">
        <v>0</v>
      </c>
      <c r="N789" t="n">
        <v>0</v>
      </c>
      <c r="O789" t="n">
        <v>0</v>
      </c>
      <c r="P789" t="n">
        <v>0</v>
      </c>
      <c r="Q789" t="n">
        <v>0</v>
      </c>
      <c r="R789" s="2" t="inlineStr"/>
    </row>
    <row r="790" ht="15" customHeight="1">
      <c r="A790" t="inlineStr">
        <is>
          <t>A 48244-2024</t>
        </is>
      </c>
      <c r="B790" s="1" t="n">
        <v>45590.39471064815</v>
      </c>
      <c r="C790" s="1" t="n">
        <v>46025</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59633-2023</t>
        </is>
      </c>
      <c r="B791" s="1" t="n">
        <v>45254</v>
      </c>
      <c r="C791" s="1" t="n">
        <v>46025</v>
      </c>
      <c r="D791" t="inlineStr">
        <is>
          <t>ÖREBRO LÄN</t>
        </is>
      </c>
      <c r="E791" t="inlineStr">
        <is>
          <t>LINDESBERG</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18418-2025</t>
        </is>
      </c>
      <c r="B792" s="1" t="n">
        <v>45762.61817129629</v>
      </c>
      <c r="C792" s="1" t="n">
        <v>46025</v>
      </c>
      <c r="D792" t="inlineStr">
        <is>
          <t>ÖREBRO LÄN</t>
        </is>
      </c>
      <c r="E792" t="inlineStr">
        <is>
          <t>LINDESBERG</t>
        </is>
      </c>
      <c r="G792" t="n">
        <v>2.3</v>
      </c>
      <c r="H792" t="n">
        <v>0</v>
      </c>
      <c r="I792" t="n">
        <v>0</v>
      </c>
      <c r="J792" t="n">
        <v>0</v>
      </c>
      <c r="K792" t="n">
        <v>0</v>
      </c>
      <c r="L792" t="n">
        <v>0</v>
      </c>
      <c r="M792" t="n">
        <v>0</v>
      </c>
      <c r="N792" t="n">
        <v>0</v>
      </c>
      <c r="O792" t="n">
        <v>0</v>
      </c>
      <c r="P792" t="n">
        <v>0</v>
      </c>
      <c r="Q792" t="n">
        <v>0</v>
      </c>
      <c r="R792" s="2" t="inlineStr"/>
    </row>
    <row r="793" ht="15" customHeight="1">
      <c r="A793" t="inlineStr">
        <is>
          <t>A 23649-2023</t>
        </is>
      </c>
      <c r="B793" s="1" t="n">
        <v>45074</v>
      </c>
      <c r="C793" s="1" t="n">
        <v>46025</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43081-2021</t>
        </is>
      </c>
      <c r="B794" s="1" t="n">
        <v>44431</v>
      </c>
      <c r="C794" s="1" t="n">
        <v>46025</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51071-2022</t>
        </is>
      </c>
      <c r="B795" s="1" t="n">
        <v>44868.36924768519</v>
      </c>
      <c r="C795" s="1" t="n">
        <v>46025</v>
      </c>
      <c r="D795" t="inlineStr">
        <is>
          <t>ÖREBRO LÄN</t>
        </is>
      </c>
      <c r="E795" t="inlineStr">
        <is>
          <t>LINDESBERG</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44449-2023</t>
        </is>
      </c>
      <c r="B796" s="1" t="n">
        <v>45189.38135416667</v>
      </c>
      <c r="C796" s="1" t="n">
        <v>46025</v>
      </c>
      <c r="D796" t="inlineStr">
        <is>
          <t>ÖREBRO LÄN</t>
        </is>
      </c>
      <c r="E796" t="inlineStr">
        <is>
          <t>LINDESBERG</t>
        </is>
      </c>
      <c r="G796" t="n">
        <v>13.7</v>
      </c>
      <c r="H796" t="n">
        <v>0</v>
      </c>
      <c r="I796" t="n">
        <v>0</v>
      </c>
      <c r="J796" t="n">
        <v>0</v>
      </c>
      <c r="K796" t="n">
        <v>0</v>
      </c>
      <c r="L796" t="n">
        <v>0</v>
      </c>
      <c r="M796" t="n">
        <v>0</v>
      </c>
      <c r="N796" t="n">
        <v>0</v>
      </c>
      <c r="O796" t="n">
        <v>0</v>
      </c>
      <c r="P796" t="n">
        <v>0</v>
      </c>
      <c r="Q796" t="n">
        <v>0</v>
      </c>
      <c r="R796" s="2" t="inlineStr"/>
    </row>
    <row r="797" ht="15" customHeight="1">
      <c r="A797" t="inlineStr">
        <is>
          <t>A 15894-2025</t>
        </is>
      </c>
      <c r="B797" s="1" t="n">
        <v>45749</v>
      </c>
      <c r="C797" s="1" t="n">
        <v>46025</v>
      </c>
      <c r="D797" t="inlineStr">
        <is>
          <t>ÖREBRO LÄN</t>
        </is>
      </c>
      <c r="E797" t="inlineStr">
        <is>
          <t>LINDESBERG</t>
        </is>
      </c>
      <c r="G797" t="n">
        <v>1.5</v>
      </c>
      <c r="H797" t="n">
        <v>0</v>
      </c>
      <c r="I797" t="n">
        <v>0</v>
      </c>
      <c r="J797" t="n">
        <v>0</v>
      </c>
      <c r="K797" t="n">
        <v>0</v>
      </c>
      <c r="L797" t="n">
        <v>0</v>
      </c>
      <c r="M797" t="n">
        <v>0</v>
      </c>
      <c r="N797" t="n">
        <v>0</v>
      </c>
      <c r="O797" t="n">
        <v>0</v>
      </c>
      <c r="P797" t="n">
        <v>0</v>
      </c>
      <c r="Q797" t="n">
        <v>0</v>
      </c>
      <c r="R797" s="2" t="inlineStr"/>
    </row>
    <row r="798" ht="15" customHeight="1">
      <c r="A798" t="inlineStr">
        <is>
          <t>A 34436-2023</t>
        </is>
      </c>
      <c r="B798" s="1" t="n">
        <v>45139.64328703703</v>
      </c>
      <c r="C798" s="1" t="n">
        <v>46025</v>
      </c>
      <c r="D798" t="inlineStr">
        <is>
          <t>ÖREBRO LÄN</t>
        </is>
      </c>
      <c r="E798" t="inlineStr">
        <is>
          <t>LINDESBERG</t>
        </is>
      </c>
      <c r="F798" t="inlineStr">
        <is>
          <t>Kyrkan</t>
        </is>
      </c>
      <c r="G798" t="n">
        <v>5.8</v>
      </c>
      <c r="H798" t="n">
        <v>0</v>
      </c>
      <c r="I798" t="n">
        <v>0</v>
      </c>
      <c r="J798" t="n">
        <v>0</v>
      </c>
      <c r="K798" t="n">
        <v>0</v>
      </c>
      <c r="L798" t="n">
        <v>0</v>
      </c>
      <c r="M798" t="n">
        <v>0</v>
      </c>
      <c r="N798" t="n">
        <v>0</v>
      </c>
      <c r="O798" t="n">
        <v>0</v>
      </c>
      <c r="P798" t="n">
        <v>0</v>
      </c>
      <c r="Q798" t="n">
        <v>0</v>
      </c>
      <c r="R798" s="2" t="inlineStr"/>
    </row>
    <row r="799" ht="15" customHeight="1">
      <c r="A799" t="inlineStr">
        <is>
          <t>A 45078-2024</t>
        </is>
      </c>
      <c r="B799" s="1" t="n">
        <v>45575.57104166667</v>
      </c>
      <c r="C799" s="1" t="n">
        <v>46025</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27001-2024</t>
        </is>
      </c>
      <c r="B800" s="1" t="n">
        <v>45471.38995370371</v>
      </c>
      <c r="C800" s="1" t="n">
        <v>46025</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20467-2023</t>
        </is>
      </c>
      <c r="B801" s="1" t="n">
        <v>45057</v>
      </c>
      <c r="C801" s="1" t="n">
        <v>46025</v>
      </c>
      <c r="D801" t="inlineStr">
        <is>
          <t>ÖREBRO LÄN</t>
        </is>
      </c>
      <c r="E801" t="inlineStr">
        <is>
          <t>LINDESBERG</t>
        </is>
      </c>
      <c r="G801" t="n">
        <v>2.1</v>
      </c>
      <c r="H801" t="n">
        <v>0</v>
      </c>
      <c r="I801" t="n">
        <v>0</v>
      </c>
      <c r="J801" t="n">
        <v>0</v>
      </c>
      <c r="K801" t="n">
        <v>0</v>
      </c>
      <c r="L801" t="n">
        <v>0</v>
      </c>
      <c r="M801" t="n">
        <v>0</v>
      </c>
      <c r="N801" t="n">
        <v>0</v>
      </c>
      <c r="O801" t="n">
        <v>0</v>
      </c>
      <c r="P801" t="n">
        <v>0</v>
      </c>
      <c r="Q801" t="n">
        <v>0</v>
      </c>
      <c r="R801" s="2" t="inlineStr"/>
    </row>
    <row r="802" ht="15" customHeight="1">
      <c r="A802" t="inlineStr">
        <is>
          <t>A 25012-2023</t>
        </is>
      </c>
      <c r="B802" s="1" t="n">
        <v>45085</v>
      </c>
      <c r="C802" s="1" t="n">
        <v>46025</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26778-2023</t>
        </is>
      </c>
      <c r="B803" s="1" t="n">
        <v>45093.48221064815</v>
      </c>
      <c r="C803" s="1" t="n">
        <v>46025</v>
      </c>
      <c r="D803" t="inlineStr">
        <is>
          <t>ÖREBRO LÄN</t>
        </is>
      </c>
      <c r="E803" t="inlineStr">
        <is>
          <t>LINDESBERG</t>
        </is>
      </c>
      <c r="G803" t="n">
        <v>7.5</v>
      </c>
      <c r="H803" t="n">
        <v>0</v>
      </c>
      <c r="I803" t="n">
        <v>0</v>
      </c>
      <c r="J803" t="n">
        <v>0</v>
      </c>
      <c r="K803" t="n">
        <v>0</v>
      </c>
      <c r="L803" t="n">
        <v>0</v>
      </c>
      <c r="M803" t="n">
        <v>0</v>
      </c>
      <c r="N803" t="n">
        <v>0</v>
      </c>
      <c r="O803" t="n">
        <v>0</v>
      </c>
      <c r="P803" t="n">
        <v>0</v>
      </c>
      <c r="Q803" t="n">
        <v>0</v>
      </c>
      <c r="R803" s="2" t="inlineStr"/>
    </row>
    <row r="804" ht="15" customHeight="1">
      <c r="A804" t="inlineStr">
        <is>
          <t>A 50170-2022</t>
        </is>
      </c>
      <c r="B804" s="1" t="n">
        <v>44865.600625</v>
      </c>
      <c r="C804" s="1" t="n">
        <v>46025</v>
      </c>
      <c r="D804" t="inlineStr">
        <is>
          <t>ÖREBRO LÄN</t>
        </is>
      </c>
      <c r="E804" t="inlineStr">
        <is>
          <t>LINDESBERG</t>
        </is>
      </c>
      <c r="G804" t="n">
        <v>2.1</v>
      </c>
      <c r="H804" t="n">
        <v>0</v>
      </c>
      <c r="I804" t="n">
        <v>0</v>
      </c>
      <c r="J804" t="n">
        <v>0</v>
      </c>
      <c r="K804" t="n">
        <v>0</v>
      </c>
      <c r="L804" t="n">
        <v>0</v>
      </c>
      <c r="M804" t="n">
        <v>0</v>
      </c>
      <c r="N804" t="n">
        <v>0</v>
      </c>
      <c r="O804" t="n">
        <v>0</v>
      </c>
      <c r="P804" t="n">
        <v>0</v>
      </c>
      <c r="Q804" t="n">
        <v>0</v>
      </c>
      <c r="R804" s="2" t="inlineStr"/>
    </row>
    <row r="805" ht="15" customHeight="1">
      <c r="A805" t="inlineStr">
        <is>
          <t>A 1354-2024</t>
        </is>
      </c>
      <c r="B805" s="1" t="n">
        <v>45303</v>
      </c>
      <c r="C805" s="1" t="n">
        <v>46025</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33886-2024</t>
        </is>
      </c>
      <c r="B806" s="1" t="n">
        <v>45523.31621527778</v>
      </c>
      <c r="C806" s="1" t="n">
        <v>46025</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50285-2022</t>
        </is>
      </c>
      <c r="B807" s="1" t="n">
        <v>44865.87770833333</v>
      </c>
      <c r="C807" s="1" t="n">
        <v>46025</v>
      </c>
      <c r="D807" t="inlineStr">
        <is>
          <t>ÖREBRO LÄN</t>
        </is>
      </c>
      <c r="E807" t="inlineStr">
        <is>
          <t>LINDESBERG</t>
        </is>
      </c>
      <c r="G807" t="n">
        <v>2.5</v>
      </c>
      <c r="H807" t="n">
        <v>0</v>
      </c>
      <c r="I807" t="n">
        <v>0</v>
      </c>
      <c r="J807" t="n">
        <v>0</v>
      </c>
      <c r="K807" t="n">
        <v>0</v>
      </c>
      <c r="L807" t="n">
        <v>0</v>
      </c>
      <c r="M807" t="n">
        <v>0</v>
      </c>
      <c r="N807" t="n">
        <v>0</v>
      </c>
      <c r="O807" t="n">
        <v>0</v>
      </c>
      <c r="P807" t="n">
        <v>0</v>
      </c>
      <c r="Q807" t="n">
        <v>0</v>
      </c>
      <c r="R807" s="2" t="inlineStr"/>
    </row>
    <row r="808" ht="15" customHeight="1">
      <c r="A808" t="inlineStr">
        <is>
          <t>A 1405-2025</t>
        </is>
      </c>
      <c r="B808" s="1" t="n">
        <v>45667</v>
      </c>
      <c r="C808" s="1" t="n">
        <v>46025</v>
      </c>
      <c r="D808" t="inlineStr">
        <is>
          <t>ÖREBRO LÄN</t>
        </is>
      </c>
      <c r="E808" t="inlineStr">
        <is>
          <t>LINDESBERG</t>
        </is>
      </c>
      <c r="F808" t="inlineStr">
        <is>
          <t>Allmännings- och besparingsskogar</t>
        </is>
      </c>
      <c r="G808" t="n">
        <v>3.1</v>
      </c>
      <c r="H808" t="n">
        <v>0</v>
      </c>
      <c r="I808" t="n">
        <v>0</v>
      </c>
      <c r="J808" t="n">
        <v>0</v>
      </c>
      <c r="K808" t="n">
        <v>0</v>
      </c>
      <c r="L808" t="n">
        <v>0</v>
      </c>
      <c r="M808" t="n">
        <v>0</v>
      </c>
      <c r="N808" t="n">
        <v>0</v>
      </c>
      <c r="O808" t="n">
        <v>0</v>
      </c>
      <c r="P808" t="n">
        <v>0</v>
      </c>
      <c r="Q808" t="n">
        <v>0</v>
      </c>
      <c r="R808" s="2" t="inlineStr"/>
    </row>
    <row r="809" ht="15" customHeight="1">
      <c r="A809" t="inlineStr">
        <is>
          <t>A 40456-2023</t>
        </is>
      </c>
      <c r="B809" s="1" t="n">
        <v>45170</v>
      </c>
      <c r="C809" s="1" t="n">
        <v>46025</v>
      </c>
      <c r="D809" t="inlineStr">
        <is>
          <t>ÖREBRO LÄN</t>
        </is>
      </c>
      <c r="E809" t="inlineStr">
        <is>
          <t>LINDESBERG</t>
        </is>
      </c>
      <c r="F809" t="inlineStr">
        <is>
          <t>Kyrkan</t>
        </is>
      </c>
      <c r="G809" t="n">
        <v>0.6</v>
      </c>
      <c r="H809" t="n">
        <v>0</v>
      </c>
      <c r="I809" t="n">
        <v>0</v>
      </c>
      <c r="J809" t="n">
        <v>0</v>
      </c>
      <c r="K809" t="n">
        <v>0</v>
      </c>
      <c r="L809" t="n">
        <v>0</v>
      </c>
      <c r="M809" t="n">
        <v>0</v>
      </c>
      <c r="N809" t="n">
        <v>0</v>
      </c>
      <c r="O809" t="n">
        <v>0</v>
      </c>
      <c r="P809" t="n">
        <v>0</v>
      </c>
      <c r="Q809" t="n">
        <v>0</v>
      </c>
      <c r="R809" s="2" t="inlineStr"/>
    </row>
    <row r="810" ht="15" customHeight="1">
      <c r="A810" t="inlineStr">
        <is>
          <t>A 28562-2023</t>
        </is>
      </c>
      <c r="B810" s="1" t="n">
        <v>45103.53614583334</v>
      </c>
      <c r="C810" s="1" t="n">
        <v>46025</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17463-2023</t>
        </is>
      </c>
      <c r="B811" s="1" t="n">
        <v>45036</v>
      </c>
      <c r="C811" s="1" t="n">
        <v>46025</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6511-2025</t>
        </is>
      </c>
      <c r="B812" s="1" t="n">
        <v>45699.65424768518</v>
      </c>
      <c r="C812" s="1" t="n">
        <v>46025</v>
      </c>
      <c r="D812" t="inlineStr">
        <is>
          <t>ÖREBRO LÄN</t>
        </is>
      </c>
      <c r="E812" t="inlineStr">
        <is>
          <t>LINDESBERG</t>
        </is>
      </c>
      <c r="G812" t="n">
        <v>9.1</v>
      </c>
      <c r="H812" t="n">
        <v>0</v>
      </c>
      <c r="I812" t="n">
        <v>0</v>
      </c>
      <c r="J812" t="n">
        <v>0</v>
      </c>
      <c r="K812" t="n">
        <v>0</v>
      </c>
      <c r="L812" t="n">
        <v>0</v>
      </c>
      <c r="M812" t="n">
        <v>0</v>
      </c>
      <c r="N812" t="n">
        <v>0</v>
      </c>
      <c r="O812" t="n">
        <v>0</v>
      </c>
      <c r="P812" t="n">
        <v>0</v>
      </c>
      <c r="Q812" t="n">
        <v>0</v>
      </c>
      <c r="R812" s="2" t="inlineStr"/>
    </row>
    <row r="813" ht="15" customHeight="1">
      <c r="A813" t="inlineStr">
        <is>
          <t>A 16791-2024</t>
        </is>
      </c>
      <c r="B813" s="1" t="n">
        <v>45411.42858796296</v>
      </c>
      <c r="C813" s="1" t="n">
        <v>46025</v>
      </c>
      <c r="D813" t="inlineStr">
        <is>
          <t>ÖREBRO LÄN</t>
        </is>
      </c>
      <c r="E813" t="inlineStr">
        <is>
          <t>LINDESBERG</t>
        </is>
      </c>
      <c r="G813" t="n">
        <v>16.1</v>
      </c>
      <c r="H813" t="n">
        <v>0</v>
      </c>
      <c r="I813" t="n">
        <v>0</v>
      </c>
      <c r="J813" t="n">
        <v>0</v>
      </c>
      <c r="K813" t="n">
        <v>0</v>
      </c>
      <c r="L813" t="n">
        <v>0</v>
      </c>
      <c r="M813" t="n">
        <v>0</v>
      </c>
      <c r="N813" t="n">
        <v>0</v>
      </c>
      <c r="O813" t="n">
        <v>0</v>
      </c>
      <c r="P813" t="n">
        <v>0</v>
      </c>
      <c r="Q813" t="n">
        <v>0</v>
      </c>
      <c r="R813" s="2" t="inlineStr"/>
    </row>
    <row r="814" ht="15" customHeight="1">
      <c r="A814" t="inlineStr">
        <is>
          <t>A 22829-2023</t>
        </is>
      </c>
      <c r="B814" s="1" t="n">
        <v>45072.42776620371</v>
      </c>
      <c r="C814" s="1" t="n">
        <v>46025</v>
      </c>
      <c r="D814" t="inlineStr">
        <is>
          <t>ÖREBRO LÄN</t>
        </is>
      </c>
      <c r="E814" t="inlineStr">
        <is>
          <t>LINDESBERG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60105-2022</t>
        </is>
      </c>
      <c r="B815" s="1" t="n">
        <v>44902</v>
      </c>
      <c r="C815" s="1" t="n">
        <v>46025</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53046-2024</t>
        </is>
      </c>
      <c r="B816" s="1" t="n">
        <v>45611.44960648148</v>
      </c>
      <c r="C816" s="1" t="n">
        <v>46025</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18590-2023</t>
        </is>
      </c>
      <c r="B817" s="1" t="n">
        <v>45043.40300925926</v>
      </c>
      <c r="C817" s="1" t="n">
        <v>46025</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51539-2024</t>
        </is>
      </c>
      <c r="B818" s="1" t="n">
        <v>45604.58837962963</v>
      </c>
      <c r="C818" s="1" t="n">
        <v>46025</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15852-2025</t>
        </is>
      </c>
      <c r="B819" s="1" t="n">
        <v>45749</v>
      </c>
      <c r="C819" s="1" t="n">
        <v>46025</v>
      </c>
      <c r="D819" t="inlineStr">
        <is>
          <t>ÖREBRO LÄN</t>
        </is>
      </c>
      <c r="E819" t="inlineStr">
        <is>
          <t>LINDESBERG</t>
        </is>
      </c>
      <c r="G819" t="n">
        <v>8.9</v>
      </c>
      <c r="H819" t="n">
        <v>0</v>
      </c>
      <c r="I819" t="n">
        <v>0</v>
      </c>
      <c r="J819" t="n">
        <v>0</v>
      </c>
      <c r="K819" t="n">
        <v>0</v>
      </c>
      <c r="L819" t="n">
        <v>0</v>
      </c>
      <c r="M819" t="n">
        <v>0</v>
      </c>
      <c r="N819" t="n">
        <v>0</v>
      </c>
      <c r="O819" t="n">
        <v>0</v>
      </c>
      <c r="P819" t="n">
        <v>0</v>
      </c>
      <c r="Q819" t="n">
        <v>0</v>
      </c>
      <c r="R819" s="2" t="inlineStr"/>
    </row>
    <row r="820" ht="15" customHeight="1">
      <c r="A820" t="inlineStr">
        <is>
          <t>A 34539-2024</t>
        </is>
      </c>
      <c r="B820" s="1" t="n">
        <v>45525.7374537037</v>
      </c>
      <c r="C820" s="1" t="n">
        <v>46025</v>
      </c>
      <c r="D820" t="inlineStr">
        <is>
          <t>ÖREBRO LÄN</t>
        </is>
      </c>
      <c r="E820" t="inlineStr">
        <is>
          <t>LINDESBERG</t>
        </is>
      </c>
      <c r="G820" t="n">
        <v>5.4</v>
      </c>
      <c r="H820" t="n">
        <v>0</v>
      </c>
      <c r="I820" t="n">
        <v>0</v>
      </c>
      <c r="J820" t="n">
        <v>0</v>
      </c>
      <c r="K820" t="n">
        <v>0</v>
      </c>
      <c r="L820" t="n">
        <v>0</v>
      </c>
      <c r="M820" t="n">
        <v>0</v>
      </c>
      <c r="N820" t="n">
        <v>0</v>
      </c>
      <c r="O820" t="n">
        <v>0</v>
      </c>
      <c r="P820" t="n">
        <v>0</v>
      </c>
      <c r="Q820" t="n">
        <v>0</v>
      </c>
      <c r="R820" s="2" t="inlineStr"/>
    </row>
    <row r="821" ht="15" customHeight="1">
      <c r="A821" t="inlineStr">
        <is>
          <t>A 35739-2024</t>
        </is>
      </c>
      <c r="B821" s="1" t="n">
        <v>45532</v>
      </c>
      <c r="C821" s="1" t="n">
        <v>46025</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1383-2025</t>
        </is>
      </c>
      <c r="B822" s="1" t="n">
        <v>45667</v>
      </c>
      <c r="C822" s="1" t="n">
        <v>46025</v>
      </c>
      <c r="D822" t="inlineStr">
        <is>
          <t>ÖREBRO LÄN</t>
        </is>
      </c>
      <c r="E822" t="inlineStr">
        <is>
          <t>LINDESBERG</t>
        </is>
      </c>
      <c r="G822" t="n">
        <v>5</v>
      </c>
      <c r="H822" t="n">
        <v>0</v>
      </c>
      <c r="I822" t="n">
        <v>0</v>
      </c>
      <c r="J822" t="n">
        <v>0</v>
      </c>
      <c r="K822" t="n">
        <v>0</v>
      </c>
      <c r="L822" t="n">
        <v>0</v>
      </c>
      <c r="M822" t="n">
        <v>0</v>
      </c>
      <c r="N822" t="n">
        <v>0</v>
      </c>
      <c r="O822" t="n">
        <v>0</v>
      </c>
      <c r="P822" t="n">
        <v>0</v>
      </c>
      <c r="Q822" t="n">
        <v>0</v>
      </c>
      <c r="R822" s="2" t="inlineStr"/>
    </row>
    <row r="823" ht="15" customHeight="1">
      <c r="A823" t="inlineStr">
        <is>
          <t>A 10057-2025</t>
        </is>
      </c>
      <c r="B823" s="1" t="n">
        <v>45719.52871527777</v>
      </c>
      <c r="C823" s="1" t="n">
        <v>46025</v>
      </c>
      <c r="D823" t="inlineStr">
        <is>
          <t>ÖREBRO LÄN</t>
        </is>
      </c>
      <c r="E823" t="inlineStr">
        <is>
          <t>LINDESBERG</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13823-2021</t>
        </is>
      </c>
      <c r="B824" s="1" t="n">
        <v>44276</v>
      </c>
      <c r="C824" s="1" t="n">
        <v>46025</v>
      </c>
      <c r="D824" t="inlineStr">
        <is>
          <t>ÖREBRO LÄN</t>
        </is>
      </c>
      <c r="E824" t="inlineStr">
        <is>
          <t>LINDESBERG</t>
        </is>
      </c>
      <c r="G824" t="n">
        <v>0.5</v>
      </c>
      <c r="H824" t="n">
        <v>0</v>
      </c>
      <c r="I824" t="n">
        <v>0</v>
      </c>
      <c r="J824" t="n">
        <v>0</v>
      </c>
      <c r="K824" t="n">
        <v>0</v>
      </c>
      <c r="L824" t="n">
        <v>0</v>
      </c>
      <c r="M824" t="n">
        <v>0</v>
      </c>
      <c r="N824" t="n">
        <v>0</v>
      </c>
      <c r="O824" t="n">
        <v>0</v>
      </c>
      <c r="P824" t="n">
        <v>0</v>
      </c>
      <c r="Q824" t="n">
        <v>0</v>
      </c>
      <c r="R824" s="2" t="inlineStr"/>
    </row>
    <row r="825" ht="15" customHeight="1">
      <c r="A825" t="inlineStr">
        <is>
          <t>A 43247-2023</t>
        </is>
      </c>
      <c r="B825" s="1" t="n">
        <v>45183.48666666666</v>
      </c>
      <c r="C825" s="1" t="n">
        <v>46025</v>
      </c>
      <c r="D825" t="inlineStr">
        <is>
          <t>ÖREBRO LÄN</t>
        </is>
      </c>
      <c r="E825" t="inlineStr">
        <is>
          <t>LINDESBERG</t>
        </is>
      </c>
      <c r="G825" t="n">
        <v>3</v>
      </c>
      <c r="H825" t="n">
        <v>0</v>
      </c>
      <c r="I825" t="n">
        <v>0</v>
      </c>
      <c r="J825" t="n">
        <v>0</v>
      </c>
      <c r="K825" t="n">
        <v>0</v>
      </c>
      <c r="L825" t="n">
        <v>0</v>
      </c>
      <c r="M825" t="n">
        <v>0</v>
      </c>
      <c r="N825" t="n">
        <v>0</v>
      </c>
      <c r="O825" t="n">
        <v>0</v>
      </c>
      <c r="P825" t="n">
        <v>0</v>
      </c>
      <c r="Q825" t="n">
        <v>0</v>
      </c>
      <c r="R825" s="2" t="inlineStr"/>
    </row>
    <row r="826" ht="15" customHeight="1">
      <c r="A826" t="inlineStr">
        <is>
          <t>A 626-2025</t>
        </is>
      </c>
      <c r="B826" s="1" t="n">
        <v>45664</v>
      </c>
      <c r="C826" s="1" t="n">
        <v>46025</v>
      </c>
      <c r="D826" t="inlineStr">
        <is>
          <t>ÖREBRO LÄN</t>
        </is>
      </c>
      <c r="E826" t="inlineStr">
        <is>
          <t>LINDESBERG</t>
        </is>
      </c>
      <c r="G826" t="n">
        <v>0.5</v>
      </c>
      <c r="H826" t="n">
        <v>0</v>
      </c>
      <c r="I826" t="n">
        <v>0</v>
      </c>
      <c r="J826" t="n">
        <v>0</v>
      </c>
      <c r="K826" t="n">
        <v>0</v>
      </c>
      <c r="L826" t="n">
        <v>0</v>
      </c>
      <c r="M826" t="n">
        <v>0</v>
      </c>
      <c r="N826" t="n">
        <v>0</v>
      </c>
      <c r="O826" t="n">
        <v>0</v>
      </c>
      <c r="P826" t="n">
        <v>0</v>
      </c>
      <c r="Q826" t="n">
        <v>0</v>
      </c>
      <c r="R826" s="2" t="inlineStr"/>
    </row>
    <row r="827" ht="15" customHeight="1">
      <c r="A827" t="inlineStr">
        <is>
          <t>A 43046-2022</t>
        </is>
      </c>
      <c r="B827" s="1" t="n">
        <v>44833</v>
      </c>
      <c r="C827" s="1" t="n">
        <v>46025</v>
      </c>
      <c r="D827" t="inlineStr">
        <is>
          <t>ÖREBRO LÄN</t>
        </is>
      </c>
      <c r="E827" t="inlineStr">
        <is>
          <t>LINDESBERG</t>
        </is>
      </c>
      <c r="G827" t="n">
        <v>0.9</v>
      </c>
      <c r="H827" t="n">
        <v>0</v>
      </c>
      <c r="I827" t="n">
        <v>0</v>
      </c>
      <c r="J827" t="n">
        <v>0</v>
      </c>
      <c r="K827" t="n">
        <v>0</v>
      </c>
      <c r="L827" t="n">
        <v>0</v>
      </c>
      <c r="M827" t="n">
        <v>0</v>
      </c>
      <c r="N827" t="n">
        <v>0</v>
      </c>
      <c r="O827" t="n">
        <v>0</v>
      </c>
      <c r="P827" t="n">
        <v>0</v>
      </c>
      <c r="Q827" t="n">
        <v>0</v>
      </c>
      <c r="R827" s="2" t="inlineStr"/>
    </row>
    <row r="828" ht="15" customHeight="1">
      <c r="A828" t="inlineStr">
        <is>
          <t>A 57795-2021</t>
        </is>
      </c>
      <c r="B828" s="1" t="n">
        <v>44484</v>
      </c>
      <c r="C828" s="1" t="n">
        <v>46025</v>
      </c>
      <c r="D828" t="inlineStr">
        <is>
          <t>ÖREBRO LÄN</t>
        </is>
      </c>
      <c r="E828" t="inlineStr">
        <is>
          <t>LINDESBERG</t>
        </is>
      </c>
      <c r="G828" t="n">
        <v>39.4</v>
      </c>
      <c r="H828" t="n">
        <v>0</v>
      </c>
      <c r="I828" t="n">
        <v>0</v>
      </c>
      <c r="J828" t="n">
        <v>0</v>
      </c>
      <c r="K828" t="n">
        <v>0</v>
      </c>
      <c r="L828" t="n">
        <v>0</v>
      </c>
      <c r="M828" t="n">
        <v>0</v>
      </c>
      <c r="N828" t="n">
        <v>0</v>
      </c>
      <c r="O828" t="n">
        <v>0</v>
      </c>
      <c r="P828" t="n">
        <v>0</v>
      </c>
      <c r="Q828" t="n">
        <v>0</v>
      </c>
      <c r="R828" s="2" t="inlineStr"/>
    </row>
    <row r="829" ht="15" customHeight="1">
      <c r="A829" t="inlineStr">
        <is>
          <t>A 43433-2024</t>
        </is>
      </c>
      <c r="B829" s="1" t="n">
        <v>45568.64523148148</v>
      </c>
      <c r="C829" s="1" t="n">
        <v>46025</v>
      </c>
      <c r="D829" t="inlineStr">
        <is>
          <t>ÖREBRO LÄN</t>
        </is>
      </c>
      <c r="E829" t="inlineStr">
        <is>
          <t>LINDESBERG</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6604-2024</t>
        </is>
      </c>
      <c r="B830" s="1" t="n">
        <v>45341.56577546296</v>
      </c>
      <c r="C830" s="1" t="n">
        <v>46025</v>
      </c>
      <c r="D830" t="inlineStr">
        <is>
          <t>ÖREBRO LÄN</t>
        </is>
      </c>
      <c r="E830" t="inlineStr">
        <is>
          <t>LINDESBERG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5550-2024</t>
        </is>
      </c>
      <c r="B831" s="1" t="n">
        <v>45334</v>
      </c>
      <c r="C831" s="1" t="n">
        <v>46025</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63125-2023</t>
        </is>
      </c>
      <c r="B832" s="1" t="n">
        <v>45273</v>
      </c>
      <c r="C832" s="1" t="n">
        <v>46025</v>
      </c>
      <c r="D832" t="inlineStr">
        <is>
          <t>ÖREBRO LÄN</t>
        </is>
      </c>
      <c r="E832" t="inlineStr">
        <is>
          <t>LINDESBERG</t>
        </is>
      </c>
      <c r="G832" t="n">
        <v>1.7</v>
      </c>
      <c r="H832" t="n">
        <v>0</v>
      </c>
      <c r="I832" t="n">
        <v>0</v>
      </c>
      <c r="J832" t="n">
        <v>0</v>
      </c>
      <c r="K832" t="n">
        <v>0</v>
      </c>
      <c r="L832" t="n">
        <v>0</v>
      </c>
      <c r="M832" t="n">
        <v>0</v>
      </c>
      <c r="N832" t="n">
        <v>0</v>
      </c>
      <c r="O832" t="n">
        <v>0</v>
      </c>
      <c r="P832" t="n">
        <v>0</v>
      </c>
      <c r="Q832" t="n">
        <v>0</v>
      </c>
      <c r="R832" s="2" t="inlineStr"/>
    </row>
    <row r="833" ht="15" customHeight="1">
      <c r="A833" t="inlineStr">
        <is>
          <t>A 15752-2024</t>
        </is>
      </c>
      <c r="B833" s="1" t="n">
        <v>45404.55681712963</v>
      </c>
      <c r="C833" s="1" t="n">
        <v>46025</v>
      </c>
      <c r="D833" t="inlineStr">
        <is>
          <t>ÖREBRO LÄN</t>
        </is>
      </c>
      <c r="E833" t="inlineStr">
        <is>
          <t>LINDESBERG</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35229-2024</t>
        </is>
      </c>
      <c r="B834" s="1" t="n">
        <v>45530</v>
      </c>
      <c r="C834" s="1" t="n">
        <v>46025</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row r="835" ht="15" customHeight="1">
      <c r="A835" t="inlineStr">
        <is>
          <t>A 50986-2023</t>
        </is>
      </c>
      <c r="B835" s="1" t="n">
        <v>45218</v>
      </c>
      <c r="C835" s="1" t="n">
        <v>46025</v>
      </c>
      <c r="D835" t="inlineStr">
        <is>
          <t>ÖREBRO LÄN</t>
        </is>
      </c>
      <c r="E835" t="inlineStr">
        <is>
          <t>LINDESBERG</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25046-2024</t>
        </is>
      </c>
      <c r="B836" s="1" t="n">
        <v>45462</v>
      </c>
      <c r="C836" s="1" t="n">
        <v>46025</v>
      </c>
      <c r="D836" t="inlineStr">
        <is>
          <t>ÖREBRO LÄN</t>
        </is>
      </c>
      <c r="E836" t="inlineStr">
        <is>
          <t>LINDESBERG</t>
        </is>
      </c>
      <c r="G836" t="n">
        <v>4.1</v>
      </c>
      <c r="H836" t="n">
        <v>0</v>
      </c>
      <c r="I836" t="n">
        <v>0</v>
      </c>
      <c r="J836" t="n">
        <v>0</v>
      </c>
      <c r="K836" t="n">
        <v>0</v>
      </c>
      <c r="L836" t="n">
        <v>0</v>
      </c>
      <c r="M836" t="n">
        <v>0</v>
      </c>
      <c r="N836" t="n">
        <v>0</v>
      </c>
      <c r="O836" t="n">
        <v>0</v>
      </c>
      <c r="P836" t="n">
        <v>0</v>
      </c>
      <c r="Q836" t="n">
        <v>0</v>
      </c>
      <c r="R836" s="2" t="inlineStr"/>
    </row>
    <row r="837" ht="15" customHeight="1">
      <c r="A837" t="inlineStr">
        <is>
          <t>A 44675-2021</t>
        </is>
      </c>
      <c r="B837" s="1" t="n">
        <v>44438</v>
      </c>
      <c r="C837" s="1" t="n">
        <v>46025</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32829-2024</t>
        </is>
      </c>
      <c r="B838" s="1" t="n">
        <v>45516.59447916667</v>
      </c>
      <c r="C838" s="1" t="n">
        <v>46025</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43416-2024</t>
        </is>
      </c>
      <c r="B839" s="1" t="n">
        <v>45568.62625</v>
      </c>
      <c r="C839" s="1" t="n">
        <v>46025</v>
      </c>
      <c r="D839" t="inlineStr">
        <is>
          <t>ÖREBRO LÄN</t>
        </is>
      </c>
      <c r="E839" t="inlineStr">
        <is>
          <t>LINDESBERG</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54859-2024</t>
        </is>
      </c>
      <c r="B840" s="1" t="n">
        <v>45618.58962962963</v>
      </c>
      <c r="C840" s="1" t="n">
        <v>46025</v>
      </c>
      <c r="D840" t="inlineStr">
        <is>
          <t>ÖREBRO LÄN</t>
        </is>
      </c>
      <c r="E840" t="inlineStr">
        <is>
          <t>LINDESBERG</t>
        </is>
      </c>
      <c r="F840" t="inlineStr">
        <is>
          <t>Sveaskog</t>
        </is>
      </c>
      <c r="G840" t="n">
        <v>5.3</v>
      </c>
      <c r="H840" t="n">
        <v>0</v>
      </c>
      <c r="I840" t="n">
        <v>0</v>
      </c>
      <c r="J840" t="n">
        <v>0</v>
      </c>
      <c r="K840" t="n">
        <v>0</v>
      </c>
      <c r="L840" t="n">
        <v>0</v>
      </c>
      <c r="M840" t="n">
        <v>0</v>
      </c>
      <c r="N840" t="n">
        <v>0</v>
      </c>
      <c r="O840" t="n">
        <v>0</v>
      </c>
      <c r="P840" t="n">
        <v>0</v>
      </c>
      <c r="Q840" t="n">
        <v>0</v>
      </c>
      <c r="R840" s="2" t="inlineStr"/>
    </row>
    <row r="841" ht="15" customHeight="1">
      <c r="A841" t="inlineStr">
        <is>
          <t>A 10654-2023</t>
        </is>
      </c>
      <c r="B841" s="1" t="n">
        <v>44984</v>
      </c>
      <c r="C841" s="1" t="n">
        <v>46025</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30534-2023</t>
        </is>
      </c>
      <c r="B842" s="1" t="n">
        <v>45111</v>
      </c>
      <c r="C842" s="1" t="n">
        <v>46025</v>
      </c>
      <c r="D842" t="inlineStr">
        <is>
          <t>ÖREBRO LÄN</t>
        </is>
      </c>
      <c r="E842" t="inlineStr">
        <is>
          <t>LINDESBERG</t>
        </is>
      </c>
      <c r="G842" t="n">
        <v>0.7</v>
      </c>
      <c r="H842" t="n">
        <v>0</v>
      </c>
      <c r="I842" t="n">
        <v>0</v>
      </c>
      <c r="J842" t="n">
        <v>0</v>
      </c>
      <c r="K842" t="n">
        <v>0</v>
      </c>
      <c r="L842" t="n">
        <v>0</v>
      </c>
      <c r="M842" t="n">
        <v>0</v>
      </c>
      <c r="N842" t="n">
        <v>0</v>
      </c>
      <c r="O842" t="n">
        <v>0</v>
      </c>
      <c r="P842" t="n">
        <v>0</v>
      </c>
      <c r="Q842" t="n">
        <v>0</v>
      </c>
      <c r="R842" s="2" t="inlineStr"/>
    </row>
    <row r="843" ht="15" customHeight="1">
      <c r="A843" t="inlineStr">
        <is>
          <t>A 27013-2024</t>
        </is>
      </c>
      <c r="B843" s="1" t="n">
        <v>45471.40384259259</v>
      </c>
      <c r="C843" s="1" t="n">
        <v>46025</v>
      </c>
      <c r="D843" t="inlineStr">
        <is>
          <t>ÖREBRO LÄN</t>
        </is>
      </c>
      <c r="E843" t="inlineStr">
        <is>
          <t>LINDESBERG</t>
        </is>
      </c>
      <c r="G843" t="n">
        <v>5.2</v>
      </c>
      <c r="H843" t="n">
        <v>0</v>
      </c>
      <c r="I843" t="n">
        <v>0</v>
      </c>
      <c r="J843" t="n">
        <v>0</v>
      </c>
      <c r="K843" t="n">
        <v>0</v>
      </c>
      <c r="L843" t="n">
        <v>0</v>
      </c>
      <c r="M843" t="n">
        <v>0</v>
      </c>
      <c r="N843" t="n">
        <v>0</v>
      </c>
      <c r="O843" t="n">
        <v>0</v>
      </c>
      <c r="P843" t="n">
        <v>0</v>
      </c>
      <c r="Q843" t="n">
        <v>0</v>
      </c>
      <c r="R843" s="2" t="inlineStr"/>
    </row>
    <row r="844" ht="15" customHeight="1">
      <c r="A844" t="inlineStr">
        <is>
          <t>A 9140-2025</t>
        </is>
      </c>
      <c r="B844" s="1" t="n">
        <v>45714.31533564815</v>
      </c>
      <c r="C844" s="1" t="n">
        <v>46025</v>
      </c>
      <c r="D844" t="inlineStr">
        <is>
          <t>ÖREBRO LÄN</t>
        </is>
      </c>
      <c r="E844" t="inlineStr">
        <is>
          <t>LINDESBERG</t>
        </is>
      </c>
      <c r="G844" t="n">
        <v>0.8</v>
      </c>
      <c r="H844" t="n">
        <v>0</v>
      </c>
      <c r="I844" t="n">
        <v>0</v>
      </c>
      <c r="J844" t="n">
        <v>0</v>
      </c>
      <c r="K844" t="n">
        <v>0</v>
      </c>
      <c r="L844" t="n">
        <v>0</v>
      </c>
      <c r="M844" t="n">
        <v>0</v>
      </c>
      <c r="N844" t="n">
        <v>0</v>
      </c>
      <c r="O844" t="n">
        <v>0</v>
      </c>
      <c r="P844" t="n">
        <v>0</v>
      </c>
      <c r="Q844" t="n">
        <v>0</v>
      </c>
      <c r="R844" s="2" t="inlineStr"/>
    </row>
    <row r="845" ht="15" customHeight="1">
      <c r="A845" t="inlineStr">
        <is>
          <t>A 28469-2023</t>
        </is>
      </c>
      <c r="B845" s="1" t="n">
        <v>45103</v>
      </c>
      <c r="C845" s="1" t="n">
        <v>46025</v>
      </c>
      <c r="D845" t="inlineStr">
        <is>
          <t>ÖREBRO LÄN</t>
        </is>
      </c>
      <c r="E845" t="inlineStr">
        <is>
          <t>LINDESBERG</t>
        </is>
      </c>
      <c r="G845" t="n">
        <v>0.3</v>
      </c>
      <c r="H845" t="n">
        <v>0</v>
      </c>
      <c r="I845" t="n">
        <v>0</v>
      </c>
      <c r="J845" t="n">
        <v>0</v>
      </c>
      <c r="K845" t="n">
        <v>0</v>
      </c>
      <c r="L845" t="n">
        <v>0</v>
      </c>
      <c r="M845" t="n">
        <v>0</v>
      </c>
      <c r="N845" t="n">
        <v>0</v>
      </c>
      <c r="O845" t="n">
        <v>0</v>
      </c>
      <c r="P845" t="n">
        <v>0</v>
      </c>
      <c r="Q845" t="n">
        <v>0</v>
      </c>
      <c r="R845" s="2" t="inlineStr"/>
    </row>
    <row r="846" ht="15" customHeight="1">
      <c r="A846" t="inlineStr">
        <is>
          <t>A 12278-2025</t>
        </is>
      </c>
      <c r="B846" s="1" t="n">
        <v>45729.65171296296</v>
      </c>
      <c r="C846" s="1" t="n">
        <v>46025</v>
      </c>
      <c r="D846" t="inlineStr">
        <is>
          <t>ÖREBRO LÄN</t>
        </is>
      </c>
      <c r="E846" t="inlineStr">
        <is>
          <t>LINDESBERG</t>
        </is>
      </c>
      <c r="G846" t="n">
        <v>3.2</v>
      </c>
      <c r="H846" t="n">
        <v>0</v>
      </c>
      <c r="I846" t="n">
        <v>0</v>
      </c>
      <c r="J846" t="n">
        <v>0</v>
      </c>
      <c r="K846" t="n">
        <v>0</v>
      </c>
      <c r="L846" t="n">
        <v>0</v>
      </c>
      <c r="M846" t="n">
        <v>0</v>
      </c>
      <c r="N846" t="n">
        <v>0</v>
      </c>
      <c r="O846" t="n">
        <v>0</v>
      </c>
      <c r="P846" t="n">
        <v>0</v>
      </c>
      <c r="Q846" t="n">
        <v>0</v>
      </c>
      <c r="R846" s="2" t="inlineStr"/>
    </row>
    <row r="847" ht="15" customHeight="1">
      <c r="A847" t="inlineStr">
        <is>
          <t>A 20954-2024</t>
        </is>
      </c>
      <c r="B847" s="1" t="n">
        <v>45439.56605324074</v>
      </c>
      <c r="C847" s="1" t="n">
        <v>46025</v>
      </c>
      <c r="D847" t="inlineStr">
        <is>
          <t>ÖREBRO LÄN</t>
        </is>
      </c>
      <c r="E847" t="inlineStr">
        <is>
          <t>LINDESBERG</t>
        </is>
      </c>
      <c r="G847" t="n">
        <v>0.9</v>
      </c>
      <c r="H847" t="n">
        <v>0</v>
      </c>
      <c r="I847" t="n">
        <v>0</v>
      </c>
      <c r="J847" t="n">
        <v>0</v>
      </c>
      <c r="K847" t="n">
        <v>0</v>
      </c>
      <c r="L847" t="n">
        <v>0</v>
      </c>
      <c r="M847" t="n">
        <v>0</v>
      </c>
      <c r="N847" t="n">
        <v>0</v>
      </c>
      <c r="O847" t="n">
        <v>0</v>
      </c>
      <c r="P847" t="n">
        <v>0</v>
      </c>
      <c r="Q847" t="n">
        <v>0</v>
      </c>
      <c r="R847" s="2" t="inlineStr"/>
    </row>
    <row r="848" ht="15" customHeight="1">
      <c r="A848" t="inlineStr">
        <is>
          <t>A 7120-2025</t>
        </is>
      </c>
      <c r="B848" s="1" t="n">
        <v>45702</v>
      </c>
      <c r="C848" s="1" t="n">
        <v>46025</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36773-2024</t>
        </is>
      </c>
      <c r="B849" s="1" t="n">
        <v>45538</v>
      </c>
      <c r="C849" s="1" t="n">
        <v>46025</v>
      </c>
      <c r="D849" t="inlineStr">
        <is>
          <t>ÖREBRO LÄN</t>
        </is>
      </c>
      <c r="E849" t="inlineStr">
        <is>
          <t>LINDESBERG</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53897-2024</t>
        </is>
      </c>
      <c r="B850" s="1" t="n">
        <v>45615.69570601852</v>
      </c>
      <c r="C850" s="1" t="n">
        <v>46025</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12692-2024</t>
        </is>
      </c>
      <c r="B851" s="1" t="n">
        <v>45384.43418981481</v>
      </c>
      <c r="C851" s="1" t="n">
        <v>46025</v>
      </c>
      <c r="D851" t="inlineStr">
        <is>
          <t>ÖREBRO LÄN</t>
        </is>
      </c>
      <c r="E851" t="inlineStr">
        <is>
          <t>LINDESBERG</t>
        </is>
      </c>
      <c r="G851" t="n">
        <v>5.2</v>
      </c>
      <c r="H851" t="n">
        <v>0</v>
      </c>
      <c r="I851" t="n">
        <v>0</v>
      </c>
      <c r="J851" t="n">
        <v>0</v>
      </c>
      <c r="K851" t="n">
        <v>0</v>
      </c>
      <c r="L851" t="n">
        <v>0</v>
      </c>
      <c r="M851" t="n">
        <v>0</v>
      </c>
      <c r="N851" t="n">
        <v>0</v>
      </c>
      <c r="O851" t="n">
        <v>0</v>
      </c>
      <c r="P851" t="n">
        <v>0</v>
      </c>
      <c r="Q851" t="n">
        <v>0</v>
      </c>
      <c r="R851" s="2" t="inlineStr"/>
    </row>
    <row r="852" ht="15" customHeight="1">
      <c r="A852" t="inlineStr">
        <is>
          <t>A 15325-2024</t>
        </is>
      </c>
      <c r="B852" s="1" t="n">
        <v>45400.6709837963</v>
      </c>
      <c r="C852" s="1" t="n">
        <v>46025</v>
      </c>
      <c r="D852" t="inlineStr">
        <is>
          <t>ÖREBRO LÄN</t>
        </is>
      </c>
      <c r="E852" t="inlineStr">
        <is>
          <t>LINDESBERG</t>
        </is>
      </c>
      <c r="F852" t="inlineStr">
        <is>
          <t>Sveaskog</t>
        </is>
      </c>
      <c r="G852" t="n">
        <v>0.3</v>
      </c>
      <c r="H852" t="n">
        <v>0</v>
      </c>
      <c r="I852" t="n">
        <v>0</v>
      </c>
      <c r="J852" t="n">
        <v>0</v>
      </c>
      <c r="K852" t="n">
        <v>0</v>
      </c>
      <c r="L852" t="n">
        <v>0</v>
      </c>
      <c r="M852" t="n">
        <v>0</v>
      </c>
      <c r="N852" t="n">
        <v>0</v>
      </c>
      <c r="O852" t="n">
        <v>0</v>
      </c>
      <c r="P852" t="n">
        <v>0</v>
      </c>
      <c r="Q852" t="n">
        <v>0</v>
      </c>
      <c r="R852" s="2" t="inlineStr"/>
    </row>
    <row r="853" ht="15" customHeight="1">
      <c r="A853" t="inlineStr">
        <is>
          <t>A 7119-2025</t>
        </is>
      </c>
      <c r="B853" s="1" t="n">
        <v>45702</v>
      </c>
      <c r="C853" s="1" t="n">
        <v>46025</v>
      </c>
      <c r="D853" t="inlineStr">
        <is>
          <t>ÖREBRO LÄN</t>
        </is>
      </c>
      <c r="E853" t="inlineStr">
        <is>
          <t>LINDESBERG</t>
        </is>
      </c>
      <c r="G853" t="n">
        <v>0.9</v>
      </c>
      <c r="H853" t="n">
        <v>0</v>
      </c>
      <c r="I853" t="n">
        <v>0</v>
      </c>
      <c r="J853" t="n">
        <v>0</v>
      </c>
      <c r="K853" t="n">
        <v>0</v>
      </c>
      <c r="L853" t="n">
        <v>0</v>
      </c>
      <c r="M853" t="n">
        <v>0</v>
      </c>
      <c r="N853" t="n">
        <v>0</v>
      </c>
      <c r="O853" t="n">
        <v>0</v>
      </c>
      <c r="P853" t="n">
        <v>0</v>
      </c>
      <c r="Q853" t="n">
        <v>0</v>
      </c>
      <c r="R853" s="2" t="inlineStr"/>
    </row>
    <row r="854" ht="15" customHeight="1">
      <c r="A854" t="inlineStr">
        <is>
          <t>A 20804-2025</t>
        </is>
      </c>
      <c r="B854" s="1" t="n">
        <v>45776.65518518518</v>
      </c>
      <c r="C854" s="1" t="n">
        <v>46025</v>
      </c>
      <c r="D854" t="inlineStr">
        <is>
          <t>ÖREBRO LÄN</t>
        </is>
      </c>
      <c r="E854" t="inlineStr">
        <is>
          <t>LINDESBERG</t>
        </is>
      </c>
      <c r="G854" t="n">
        <v>3.2</v>
      </c>
      <c r="H854" t="n">
        <v>0</v>
      </c>
      <c r="I854" t="n">
        <v>0</v>
      </c>
      <c r="J854" t="n">
        <v>0</v>
      </c>
      <c r="K854" t="n">
        <v>0</v>
      </c>
      <c r="L854" t="n">
        <v>0</v>
      </c>
      <c r="M854" t="n">
        <v>0</v>
      </c>
      <c r="N854" t="n">
        <v>0</v>
      </c>
      <c r="O854" t="n">
        <v>0</v>
      </c>
      <c r="P854" t="n">
        <v>0</v>
      </c>
      <c r="Q854" t="n">
        <v>0</v>
      </c>
      <c r="R854" s="2" t="inlineStr"/>
    </row>
    <row r="855" ht="15" customHeight="1">
      <c r="A855" t="inlineStr">
        <is>
          <t>A 20923-2025</t>
        </is>
      </c>
      <c r="B855" s="1" t="n">
        <v>45777.41673611111</v>
      </c>
      <c r="C855" s="1" t="n">
        <v>46025</v>
      </c>
      <c r="D855" t="inlineStr">
        <is>
          <t>ÖREBRO LÄN</t>
        </is>
      </c>
      <c r="E855" t="inlineStr">
        <is>
          <t>LINDESBERG</t>
        </is>
      </c>
      <c r="F855" t="inlineStr">
        <is>
          <t>Sveaskog</t>
        </is>
      </c>
      <c r="G855" t="n">
        <v>10.3</v>
      </c>
      <c r="H855" t="n">
        <v>0</v>
      </c>
      <c r="I855" t="n">
        <v>0</v>
      </c>
      <c r="J855" t="n">
        <v>0</v>
      </c>
      <c r="K855" t="n">
        <v>0</v>
      </c>
      <c r="L855" t="n">
        <v>0</v>
      </c>
      <c r="M855" t="n">
        <v>0</v>
      </c>
      <c r="N855" t="n">
        <v>0</v>
      </c>
      <c r="O855" t="n">
        <v>0</v>
      </c>
      <c r="P855" t="n">
        <v>0</v>
      </c>
      <c r="Q855" t="n">
        <v>0</v>
      </c>
      <c r="R855" s="2" t="inlineStr"/>
    </row>
    <row r="856" ht="15" customHeight="1">
      <c r="A856" t="inlineStr">
        <is>
          <t>A 20950-2025</t>
        </is>
      </c>
      <c r="B856" s="1" t="n">
        <v>45777.43878472222</v>
      </c>
      <c r="C856" s="1" t="n">
        <v>46025</v>
      </c>
      <c r="D856" t="inlineStr">
        <is>
          <t>ÖREBRO LÄN</t>
        </is>
      </c>
      <c r="E856" t="inlineStr">
        <is>
          <t>LINDESBERG</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12795-2025</t>
        </is>
      </c>
      <c r="B857" s="1" t="n">
        <v>45733.60959490741</v>
      </c>
      <c r="C857" s="1" t="n">
        <v>46025</v>
      </c>
      <c r="D857" t="inlineStr">
        <is>
          <t>ÖREBRO LÄN</t>
        </is>
      </c>
      <c r="E857" t="inlineStr">
        <is>
          <t>LINDESBERG</t>
        </is>
      </c>
      <c r="G857" t="n">
        <v>10.8</v>
      </c>
      <c r="H857" t="n">
        <v>0</v>
      </c>
      <c r="I857" t="n">
        <v>0</v>
      </c>
      <c r="J857" t="n">
        <v>0</v>
      </c>
      <c r="K857" t="n">
        <v>0</v>
      </c>
      <c r="L857" t="n">
        <v>0</v>
      </c>
      <c r="M857" t="n">
        <v>0</v>
      </c>
      <c r="N857" t="n">
        <v>0</v>
      </c>
      <c r="O857" t="n">
        <v>0</v>
      </c>
      <c r="P857" t="n">
        <v>0</v>
      </c>
      <c r="Q857" t="n">
        <v>0</v>
      </c>
      <c r="R857" s="2" t="inlineStr"/>
    </row>
    <row r="858" ht="15" customHeight="1">
      <c r="A858" t="inlineStr">
        <is>
          <t>A 20930-2025</t>
        </is>
      </c>
      <c r="B858" s="1" t="n">
        <v>45777.42628472222</v>
      </c>
      <c r="C858" s="1" t="n">
        <v>46025</v>
      </c>
      <c r="D858" t="inlineStr">
        <is>
          <t>ÖREBRO LÄN</t>
        </is>
      </c>
      <c r="E858" t="inlineStr">
        <is>
          <t>LINDESBERG</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20944-2025</t>
        </is>
      </c>
      <c r="B859" s="1" t="n">
        <v>45777</v>
      </c>
      <c r="C859" s="1" t="n">
        <v>46025</v>
      </c>
      <c r="D859" t="inlineStr">
        <is>
          <t>ÖREBRO LÄN</t>
        </is>
      </c>
      <c r="E859" t="inlineStr">
        <is>
          <t>LINDESBERG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21812-2025</t>
        </is>
      </c>
      <c r="B860" s="1" t="n">
        <v>45783.71833333333</v>
      </c>
      <c r="C860" s="1" t="n">
        <v>46025</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31861-2024</t>
        </is>
      </c>
      <c r="B861" s="1" t="n">
        <v>45509.73383101852</v>
      </c>
      <c r="C861" s="1" t="n">
        <v>46025</v>
      </c>
      <c r="D861" t="inlineStr">
        <is>
          <t>ÖREBRO LÄN</t>
        </is>
      </c>
      <c r="E861" t="inlineStr">
        <is>
          <t>LINDESBERG</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43195-2024</t>
        </is>
      </c>
      <c r="B862" s="1" t="n">
        <v>45567.68003472222</v>
      </c>
      <c r="C862" s="1" t="n">
        <v>46025</v>
      </c>
      <c r="D862" t="inlineStr">
        <is>
          <t>ÖREBRO LÄN</t>
        </is>
      </c>
      <c r="E862" t="inlineStr">
        <is>
          <t>LINDESBERG</t>
        </is>
      </c>
      <c r="G862" t="n">
        <v>27.8</v>
      </c>
      <c r="H862" t="n">
        <v>0</v>
      </c>
      <c r="I862" t="n">
        <v>0</v>
      </c>
      <c r="J862" t="n">
        <v>0</v>
      </c>
      <c r="K862" t="n">
        <v>0</v>
      </c>
      <c r="L862" t="n">
        <v>0</v>
      </c>
      <c r="M862" t="n">
        <v>0</v>
      </c>
      <c r="N862" t="n">
        <v>0</v>
      </c>
      <c r="O862" t="n">
        <v>0</v>
      </c>
      <c r="P862" t="n">
        <v>0</v>
      </c>
      <c r="Q862" t="n">
        <v>0</v>
      </c>
      <c r="R862" s="2" t="inlineStr"/>
    </row>
    <row r="863" ht="15" customHeight="1">
      <c r="A863" t="inlineStr">
        <is>
          <t>A 24583-2024</t>
        </is>
      </c>
      <c r="B863" s="1" t="n">
        <v>45460.46358796296</v>
      </c>
      <c r="C863" s="1" t="n">
        <v>46025</v>
      </c>
      <c r="D863" t="inlineStr">
        <is>
          <t>ÖREBRO LÄN</t>
        </is>
      </c>
      <c r="E863" t="inlineStr">
        <is>
          <t>LINDESBERG</t>
        </is>
      </c>
      <c r="G863" t="n">
        <v>13.7</v>
      </c>
      <c r="H863" t="n">
        <v>0</v>
      </c>
      <c r="I863" t="n">
        <v>0</v>
      </c>
      <c r="J863" t="n">
        <v>0</v>
      </c>
      <c r="K863" t="n">
        <v>0</v>
      </c>
      <c r="L863" t="n">
        <v>0</v>
      </c>
      <c r="M863" t="n">
        <v>0</v>
      </c>
      <c r="N863" t="n">
        <v>0</v>
      </c>
      <c r="O863" t="n">
        <v>0</v>
      </c>
      <c r="P863" t="n">
        <v>0</v>
      </c>
      <c r="Q863" t="n">
        <v>0</v>
      </c>
      <c r="R863" s="2" t="inlineStr"/>
    </row>
    <row r="864" ht="15" customHeight="1">
      <c r="A864" t="inlineStr">
        <is>
          <t>A 28776-2023</t>
        </is>
      </c>
      <c r="B864" s="1" t="n">
        <v>45104.34107638889</v>
      </c>
      <c r="C864" s="1" t="n">
        <v>46025</v>
      </c>
      <c r="D864" t="inlineStr">
        <is>
          <t>ÖREBRO LÄN</t>
        </is>
      </c>
      <c r="E864" t="inlineStr">
        <is>
          <t>LINDESBERG</t>
        </is>
      </c>
      <c r="F864" t="inlineStr">
        <is>
          <t>Sveaskog</t>
        </is>
      </c>
      <c r="G864" t="n">
        <v>4.1</v>
      </c>
      <c r="H864" t="n">
        <v>0</v>
      </c>
      <c r="I864" t="n">
        <v>0</v>
      </c>
      <c r="J864" t="n">
        <v>0</v>
      </c>
      <c r="K864" t="n">
        <v>0</v>
      </c>
      <c r="L864" t="n">
        <v>0</v>
      </c>
      <c r="M864" t="n">
        <v>0</v>
      </c>
      <c r="N864" t="n">
        <v>0</v>
      </c>
      <c r="O864" t="n">
        <v>0</v>
      </c>
      <c r="P864" t="n">
        <v>0</v>
      </c>
      <c r="Q864" t="n">
        <v>0</v>
      </c>
      <c r="R864" s="2" t="inlineStr"/>
    </row>
    <row r="865" ht="15" customHeight="1">
      <c r="A865" t="inlineStr">
        <is>
          <t>A 22438-2025</t>
        </is>
      </c>
      <c r="B865" s="1" t="n">
        <v>45786</v>
      </c>
      <c r="C865" s="1" t="n">
        <v>46025</v>
      </c>
      <c r="D865" t="inlineStr">
        <is>
          <t>ÖREBRO LÄN</t>
        </is>
      </c>
      <c r="E865" t="inlineStr">
        <is>
          <t>LINDESBERG</t>
        </is>
      </c>
      <c r="F865" t="inlineStr">
        <is>
          <t>Sveaskog</t>
        </is>
      </c>
      <c r="G865" t="n">
        <v>6.1</v>
      </c>
      <c r="H865" t="n">
        <v>0</v>
      </c>
      <c r="I865" t="n">
        <v>0</v>
      </c>
      <c r="J865" t="n">
        <v>0</v>
      </c>
      <c r="K865" t="n">
        <v>0</v>
      </c>
      <c r="L865" t="n">
        <v>0</v>
      </c>
      <c r="M865" t="n">
        <v>0</v>
      </c>
      <c r="N865" t="n">
        <v>0</v>
      </c>
      <c r="O865" t="n">
        <v>0</v>
      </c>
      <c r="P865" t="n">
        <v>0</v>
      </c>
      <c r="Q865" t="n">
        <v>0</v>
      </c>
      <c r="R865" s="2" t="inlineStr"/>
    </row>
    <row r="866" ht="15" customHeight="1">
      <c r="A866" t="inlineStr">
        <is>
          <t>A 43532-2024</t>
        </is>
      </c>
      <c r="B866" s="1" t="n">
        <v>45569.3533912037</v>
      </c>
      <c r="C866" s="1" t="n">
        <v>46025</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59282-2023</t>
        </is>
      </c>
      <c r="B867" s="1" t="n">
        <v>45253</v>
      </c>
      <c r="C867" s="1" t="n">
        <v>46025</v>
      </c>
      <c r="D867" t="inlineStr">
        <is>
          <t>ÖREBRO LÄN</t>
        </is>
      </c>
      <c r="E867" t="inlineStr">
        <is>
          <t>LINDESBERG</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47601-2023</t>
        </is>
      </c>
      <c r="B868" s="1" t="n">
        <v>45203.45681712963</v>
      </c>
      <c r="C868" s="1" t="n">
        <v>46025</v>
      </c>
      <c r="D868" t="inlineStr">
        <is>
          <t>ÖREBRO LÄN</t>
        </is>
      </c>
      <c r="E868" t="inlineStr">
        <is>
          <t>LINDESBERG</t>
        </is>
      </c>
      <c r="G868" t="n">
        <v>37.6</v>
      </c>
      <c r="H868" t="n">
        <v>0</v>
      </c>
      <c r="I868" t="n">
        <v>0</v>
      </c>
      <c r="J868" t="n">
        <v>0</v>
      </c>
      <c r="K868" t="n">
        <v>0</v>
      </c>
      <c r="L868" t="n">
        <v>0</v>
      </c>
      <c r="M868" t="n">
        <v>0</v>
      </c>
      <c r="N868" t="n">
        <v>0</v>
      </c>
      <c r="O868" t="n">
        <v>0</v>
      </c>
      <c r="P868" t="n">
        <v>0</v>
      </c>
      <c r="Q868" t="n">
        <v>0</v>
      </c>
      <c r="R868" s="2" t="inlineStr"/>
    </row>
    <row r="869" ht="15" customHeight="1">
      <c r="A869" t="inlineStr">
        <is>
          <t>A 62308-2023</t>
        </is>
      </c>
      <c r="B869" s="1" t="n">
        <v>45267.69052083333</v>
      </c>
      <c r="C869" s="1" t="n">
        <v>46025</v>
      </c>
      <c r="D869" t="inlineStr">
        <is>
          <t>ÖREBRO LÄN</t>
        </is>
      </c>
      <c r="E869" t="inlineStr">
        <is>
          <t>LINDESBERG</t>
        </is>
      </c>
      <c r="F869" t="inlineStr">
        <is>
          <t>Naturvårdsverket</t>
        </is>
      </c>
      <c r="G869" t="n">
        <v>3.1</v>
      </c>
      <c r="H869" t="n">
        <v>0</v>
      </c>
      <c r="I869" t="n">
        <v>0</v>
      </c>
      <c r="J869" t="n">
        <v>0</v>
      </c>
      <c r="K869" t="n">
        <v>0</v>
      </c>
      <c r="L869" t="n">
        <v>0</v>
      </c>
      <c r="M869" t="n">
        <v>0</v>
      </c>
      <c r="N869" t="n">
        <v>0</v>
      </c>
      <c r="O869" t="n">
        <v>0</v>
      </c>
      <c r="P869" t="n">
        <v>0</v>
      </c>
      <c r="Q869" t="n">
        <v>0</v>
      </c>
      <c r="R869" s="2" t="inlineStr"/>
    </row>
    <row r="870" ht="15" customHeight="1">
      <c r="A870" t="inlineStr">
        <is>
          <t>A 22078-2025</t>
        </is>
      </c>
      <c r="B870" s="1" t="n">
        <v>45785.4253125</v>
      </c>
      <c r="C870" s="1" t="n">
        <v>46025</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36686-2024</t>
        </is>
      </c>
      <c r="B871" s="1" t="n">
        <v>45537.665</v>
      </c>
      <c r="C871" s="1" t="n">
        <v>46025</v>
      </c>
      <c r="D871" t="inlineStr">
        <is>
          <t>ÖREBRO LÄN</t>
        </is>
      </c>
      <c r="E871" t="inlineStr">
        <is>
          <t>LINDESBERG</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53355-2023</t>
        </is>
      </c>
      <c r="B872" s="1" t="n">
        <v>45229.66430555555</v>
      </c>
      <c r="C872" s="1" t="n">
        <v>46025</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36680-2024</t>
        </is>
      </c>
      <c r="B873" s="1" t="n">
        <v>45537.65305555556</v>
      </c>
      <c r="C873" s="1" t="n">
        <v>46025</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54793-2024</t>
        </is>
      </c>
      <c r="B874" s="1" t="n">
        <v>45618</v>
      </c>
      <c r="C874" s="1" t="n">
        <v>46025</v>
      </c>
      <c r="D874" t="inlineStr">
        <is>
          <t>ÖREBRO LÄN</t>
        </is>
      </c>
      <c r="E874" t="inlineStr">
        <is>
          <t>LINDESBERG</t>
        </is>
      </c>
      <c r="G874" t="n">
        <v>3</v>
      </c>
      <c r="H874" t="n">
        <v>0</v>
      </c>
      <c r="I874" t="n">
        <v>0</v>
      </c>
      <c r="J874" t="n">
        <v>0</v>
      </c>
      <c r="K874" t="n">
        <v>0</v>
      </c>
      <c r="L874" t="n">
        <v>0</v>
      </c>
      <c r="M874" t="n">
        <v>0</v>
      </c>
      <c r="N874" t="n">
        <v>0</v>
      </c>
      <c r="O874" t="n">
        <v>0</v>
      </c>
      <c r="P874" t="n">
        <v>0</v>
      </c>
      <c r="Q874" t="n">
        <v>0</v>
      </c>
      <c r="R874" s="2" t="inlineStr"/>
    </row>
    <row r="875" ht="15" customHeight="1">
      <c r="A875" t="inlineStr">
        <is>
          <t>A 22543-2025</t>
        </is>
      </c>
      <c r="B875" s="1" t="n">
        <v>45788.42467592593</v>
      </c>
      <c r="C875" s="1" t="n">
        <v>46025</v>
      </c>
      <c r="D875" t="inlineStr">
        <is>
          <t>ÖREBRO LÄN</t>
        </is>
      </c>
      <c r="E875" t="inlineStr">
        <is>
          <t>LINDESBERG</t>
        </is>
      </c>
      <c r="G875" t="n">
        <v>6.7</v>
      </c>
      <c r="H875" t="n">
        <v>0</v>
      </c>
      <c r="I875" t="n">
        <v>0</v>
      </c>
      <c r="J875" t="n">
        <v>0</v>
      </c>
      <c r="K875" t="n">
        <v>0</v>
      </c>
      <c r="L875" t="n">
        <v>0</v>
      </c>
      <c r="M875" t="n">
        <v>0</v>
      </c>
      <c r="N875" t="n">
        <v>0</v>
      </c>
      <c r="O875" t="n">
        <v>0</v>
      </c>
      <c r="P875" t="n">
        <v>0</v>
      </c>
      <c r="Q875" t="n">
        <v>0</v>
      </c>
      <c r="R875" s="2" t="inlineStr"/>
    </row>
    <row r="876" ht="15" customHeight="1">
      <c r="A876" t="inlineStr">
        <is>
          <t>A 23245-2025</t>
        </is>
      </c>
      <c r="B876" s="1" t="n">
        <v>45791.50862268519</v>
      </c>
      <c r="C876" s="1" t="n">
        <v>46025</v>
      </c>
      <c r="D876" t="inlineStr">
        <is>
          <t>ÖREBRO LÄN</t>
        </is>
      </c>
      <c r="E876" t="inlineStr">
        <is>
          <t>LINDESBERG</t>
        </is>
      </c>
      <c r="G876" t="n">
        <v>6.8</v>
      </c>
      <c r="H876" t="n">
        <v>0</v>
      </c>
      <c r="I876" t="n">
        <v>0</v>
      </c>
      <c r="J876" t="n">
        <v>0</v>
      </c>
      <c r="K876" t="n">
        <v>0</v>
      </c>
      <c r="L876" t="n">
        <v>0</v>
      </c>
      <c r="M876" t="n">
        <v>0</v>
      </c>
      <c r="N876" t="n">
        <v>0</v>
      </c>
      <c r="O876" t="n">
        <v>0</v>
      </c>
      <c r="P876" t="n">
        <v>0</v>
      </c>
      <c r="Q876" t="n">
        <v>0</v>
      </c>
      <c r="R876" s="2" t="inlineStr"/>
    </row>
    <row r="877" ht="15" customHeight="1">
      <c r="A877" t="inlineStr">
        <is>
          <t>A 42707-2023</t>
        </is>
      </c>
      <c r="B877" s="1" t="n">
        <v>45181</v>
      </c>
      <c r="C877" s="1" t="n">
        <v>46025</v>
      </c>
      <c r="D877" t="inlineStr">
        <is>
          <t>ÖREBRO LÄN</t>
        </is>
      </c>
      <c r="E877" t="inlineStr">
        <is>
          <t>LINDESBERG</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59641-2024</t>
        </is>
      </c>
      <c r="B878" s="1" t="n">
        <v>45639.30934027778</v>
      </c>
      <c r="C878" s="1" t="n">
        <v>46025</v>
      </c>
      <c r="D878" t="inlineStr">
        <is>
          <t>ÖREBRO LÄN</t>
        </is>
      </c>
      <c r="E878" t="inlineStr">
        <is>
          <t>LINDESBERG</t>
        </is>
      </c>
      <c r="G878" t="n">
        <v>2.1</v>
      </c>
      <c r="H878" t="n">
        <v>0</v>
      </c>
      <c r="I878" t="n">
        <v>0</v>
      </c>
      <c r="J878" t="n">
        <v>0</v>
      </c>
      <c r="K878" t="n">
        <v>0</v>
      </c>
      <c r="L878" t="n">
        <v>0</v>
      </c>
      <c r="M878" t="n">
        <v>0</v>
      </c>
      <c r="N878" t="n">
        <v>0</v>
      </c>
      <c r="O878" t="n">
        <v>0</v>
      </c>
      <c r="P878" t="n">
        <v>0</v>
      </c>
      <c r="Q878" t="n">
        <v>0</v>
      </c>
      <c r="R878" s="2" t="inlineStr"/>
    </row>
    <row r="879" ht="15" customHeight="1">
      <c r="A879" t="inlineStr">
        <is>
          <t>A 17779-2024</t>
        </is>
      </c>
      <c r="B879" s="1" t="n">
        <v>45418.66800925926</v>
      </c>
      <c r="C879" s="1" t="n">
        <v>46025</v>
      </c>
      <c r="D879" t="inlineStr">
        <is>
          <t>ÖREBRO LÄN</t>
        </is>
      </c>
      <c r="E879" t="inlineStr">
        <is>
          <t>LINDESBERG</t>
        </is>
      </c>
      <c r="G879" t="n">
        <v>3.7</v>
      </c>
      <c r="H879" t="n">
        <v>0</v>
      </c>
      <c r="I879" t="n">
        <v>0</v>
      </c>
      <c r="J879" t="n">
        <v>0</v>
      </c>
      <c r="K879" t="n">
        <v>0</v>
      </c>
      <c r="L879" t="n">
        <v>0</v>
      </c>
      <c r="M879" t="n">
        <v>0</v>
      </c>
      <c r="N879" t="n">
        <v>0</v>
      </c>
      <c r="O879" t="n">
        <v>0</v>
      </c>
      <c r="P879" t="n">
        <v>0</v>
      </c>
      <c r="Q879" t="n">
        <v>0</v>
      </c>
      <c r="R879" s="2" t="inlineStr"/>
    </row>
    <row r="880" ht="15" customHeight="1">
      <c r="A880" t="inlineStr">
        <is>
          <t>A 21202-2024</t>
        </is>
      </c>
      <c r="B880" s="1" t="n">
        <v>45440.5433912037</v>
      </c>
      <c r="C880" s="1" t="n">
        <v>46025</v>
      </c>
      <c r="D880" t="inlineStr">
        <is>
          <t>ÖREBRO LÄN</t>
        </is>
      </c>
      <c r="E880" t="inlineStr">
        <is>
          <t>LINDESBERG</t>
        </is>
      </c>
      <c r="G880" t="n">
        <v>4</v>
      </c>
      <c r="H880" t="n">
        <v>0</v>
      </c>
      <c r="I880" t="n">
        <v>0</v>
      </c>
      <c r="J880" t="n">
        <v>0</v>
      </c>
      <c r="K880" t="n">
        <v>0</v>
      </c>
      <c r="L880" t="n">
        <v>0</v>
      </c>
      <c r="M880" t="n">
        <v>0</v>
      </c>
      <c r="N880" t="n">
        <v>0</v>
      </c>
      <c r="O880" t="n">
        <v>0</v>
      </c>
      <c r="P880" t="n">
        <v>0</v>
      </c>
      <c r="Q880" t="n">
        <v>0</v>
      </c>
      <c r="R880" s="2" t="inlineStr"/>
    </row>
    <row r="881" ht="15" customHeight="1">
      <c r="A881" t="inlineStr">
        <is>
          <t>A 1400-2025</t>
        </is>
      </c>
      <c r="B881" s="1" t="n">
        <v>45667</v>
      </c>
      <c r="C881" s="1" t="n">
        <v>46025</v>
      </c>
      <c r="D881" t="inlineStr">
        <is>
          <t>ÖREBRO LÄN</t>
        </is>
      </c>
      <c r="E881" t="inlineStr">
        <is>
          <t>LINDESBERG</t>
        </is>
      </c>
      <c r="F881" t="inlineStr">
        <is>
          <t>Allmännings- och besparingsskogar</t>
        </is>
      </c>
      <c r="G881" t="n">
        <v>11.3</v>
      </c>
      <c r="H881" t="n">
        <v>0</v>
      </c>
      <c r="I881" t="n">
        <v>0</v>
      </c>
      <c r="J881" t="n">
        <v>0</v>
      </c>
      <c r="K881" t="n">
        <v>0</v>
      </c>
      <c r="L881" t="n">
        <v>0</v>
      </c>
      <c r="M881" t="n">
        <v>0</v>
      </c>
      <c r="N881" t="n">
        <v>0</v>
      </c>
      <c r="O881" t="n">
        <v>0</v>
      </c>
      <c r="P881" t="n">
        <v>0</v>
      </c>
      <c r="Q881" t="n">
        <v>0</v>
      </c>
      <c r="R881" s="2" t="inlineStr"/>
    </row>
    <row r="882" ht="15" customHeight="1">
      <c r="A882" t="inlineStr">
        <is>
          <t>A 23835-2025</t>
        </is>
      </c>
      <c r="B882" s="1" t="n">
        <v>45793.61047453704</v>
      </c>
      <c r="C882" s="1" t="n">
        <v>46025</v>
      </c>
      <c r="D882" t="inlineStr">
        <is>
          <t>ÖREBRO LÄN</t>
        </is>
      </c>
      <c r="E882" t="inlineStr">
        <is>
          <t>LINDESBERG</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24017-2025</t>
        </is>
      </c>
      <c r="B883" s="1" t="n">
        <v>45796.44885416667</v>
      </c>
      <c r="C883" s="1" t="n">
        <v>46025</v>
      </c>
      <c r="D883" t="inlineStr">
        <is>
          <t>ÖREBRO LÄN</t>
        </is>
      </c>
      <c r="E883" t="inlineStr">
        <is>
          <t>LINDESBERG</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24107-2025</t>
        </is>
      </c>
      <c r="B884" s="1" t="n">
        <v>45796</v>
      </c>
      <c r="C884" s="1" t="n">
        <v>46025</v>
      </c>
      <c r="D884" t="inlineStr">
        <is>
          <t>ÖREBRO LÄN</t>
        </is>
      </c>
      <c r="E884" t="inlineStr">
        <is>
          <t>LINDESBERG</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23932-2025</t>
        </is>
      </c>
      <c r="B885" s="1" t="n">
        <v>45795.70912037037</v>
      </c>
      <c r="C885" s="1" t="n">
        <v>46025</v>
      </c>
      <c r="D885" t="inlineStr">
        <is>
          <t>ÖREBRO LÄN</t>
        </is>
      </c>
      <c r="E885" t="inlineStr">
        <is>
          <t>LINDESBERG</t>
        </is>
      </c>
      <c r="G885" t="n">
        <v>2</v>
      </c>
      <c r="H885" t="n">
        <v>0</v>
      </c>
      <c r="I885" t="n">
        <v>0</v>
      </c>
      <c r="J885" t="n">
        <v>0</v>
      </c>
      <c r="K885" t="n">
        <v>0</v>
      </c>
      <c r="L885" t="n">
        <v>0</v>
      </c>
      <c r="M885" t="n">
        <v>0</v>
      </c>
      <c r="N885" t="n">
        <v>0</v>
      </c>
      <c r="O885" t="n">
        <v>0</v>
      </c>
      <c r="P885" t="n">
        <v>0</v>
      </c>
      <c r="Q885" t="n">
        <v>0</v>
      </c>
      <c r="R885" s="2" t="inlineStr"/>
    </row>
    <row r="886" ht="15" customHeight="1">
      <c r="A886" t="inlineStr">
        <is>
          <t>A 24011-2025</t>
        </is>
      </c>
      <c r="B886" s="1" t="n">
        <v>45796</v>
      </c>
      <c r="C886" s="1" t="n">
        <v>46025</v>
      </c>
      <c r="D886" t="inlineStr">
        <is>
          <t>ÖREBRO LÄN</t>
        </is>
      </c>
      <c r="E886" t="inlineStr">
        <is>
          <t>LINDESBERG</t>
        </is>
      </c>
      <c r="F886" t="inlineStr">
        <is>
          <t>Sveaskog</t>
        </is>
      </c>
      <c r="G886" t="n">
        <v>4.2</v>
      </c>
      <c r="H886" t="n">
        <v>0</v>
      </c>
      <c r="I886" t="n">
        <v>0</v>
      </c>
      <c r="J886" t="n">
        <v>0</v>
      </c>
      <c r="K886" t="n">
        <v>0</v>
      </c>
      <c r="L886" t="n">
        <v>0</v>
      </c>
      <c r="M886" t="n">
        <v>0</v>
      </c>
      <c r="N886" t="n">
        <v>0</v>
      </c>
      <c r="O886" t="n">
        <v>0</v>
      </c>
      <c r="P886" t="n">
        <v>0</v>
      </c>
      <c r="Q886" t="n">
        <v>0</v>
      </c>
      <c r="R886" s="2" t="inlineStr"/>
    </row>
    <row r="887" ht="15" customHeight="1">
      <c r="A887" t="inlineStr">
        <is>
          <t>A 24020-2025</t>
        </is>
      </c>
      <c r="B887" s="1" t="n">
        <v>45796.45054398148</v>
      </c>
      <c r="C887" s="1" t="n">
        <v>46025</v>
      </c>
      <c r="D887" t="inlineStr">
        <is>
          <t>ÖREBRO LÄN</t>
        </is>
      </c>
      <c r="E887" t="inlineStr">
        <is>
          <t>LINDESBERG</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23897-2025</t>
        </is>
      </c>
      <c r="B888" s="1" t="n">
        <v>45794.33498842592</v>
      </c>
      <c r="C888" s="1" t="n">
        <v>46025</v>
      </c>
      <c r="D888" t="inlineStr">
        <is>
          <t>ÖREBRO LÄN</t>
        </is>
      </c>
      <c r="E888" t="inlineStr">
        <is>
          <t>LINDESBERG</t>
        </is>
      </c>
      <c r="G888" t="n">
        <v>5.6</v>
      </c>
      <c r="H888" t="n">
        <v>0</v>
      </c>
      <c r="I888" t="n">
        <v>0</v>
      </c>
      <c r="J888" t="n">
        <v>0</v>
      </c>
      <c r="K888" t="n">
        <v>0</v>
      </c>
      <c r="L888" t="n">
        <v>0</v>
      </c>
      <c r="M888" t="n">
        <v>0</v>
      </c>
      <c r="N888" t="n">
        <v>0</v>
      </c>
      <c r="O888" t="n">
        <v>0</v>
      </c>
      <c r="P888" t="n">
        <v>0</v>
      </c>
      <c r="Q888" t="n">
        <v>0</v>
      </c>
      <c r="R888" s="2" t="inlineStr"/>
    </row>
    <row r="889" ht="15" customHeight="1">
      <c r="A889" t="inlineStr">
        <is>
          <t>A 23898-2025</t>
        </is>
      </c>
      <c r="B889" s="1" t="n">
        <v>45794.3419212963</v>
      </c>
      <c r="C889" s="1" t="n">
        <v>46025</v>
      </c>
      <c r="D889" t="inlineStr">
        <is>
          <t>ÖREBRO LÄN</t>
        </is>
      </c>
      <c r="E889" t="inlineStr">
        <is>
          <t>LINDESBERG</t>
        </is>
      </c>
      <c r="G889" t="n">
        <v>1</v>
      </c>
      <c r="H889" t="n">
        <v>0</v>
      </c>
      <c r="I889" t="n">
        <v>0</v>
      </c>
      <c r="J889" t="n">
        <v>0</v>
      </c>
      <c r="K889" t="n">
        <v>0</v>
      </c>
      <c r="L889" t="n">
        <v>0</v>
      </c>
      <c r="M889" t="n">
        <v>0</v>
      </c>
      <c r="N889" t="n">
        <v>0</v>
      </c>
      <c r="O889" t="n">
        <v>0</v>
      </c>
      <c r="P889" t="n">
        <v>0</v>
      </c>
      <c r="Q889" t="n">
        <v>0</v>
      </c>
      <c r="R889" s="2" t="inlineStr"/>
    </row>
    <row r="890" ht="15" customHeight="1">
      <c r="A890" t="inlineStr">
        <is>
          <t>A 23933-2025</t>
        </is>
      </c>
      <c r="B890" s="1" t="n">
        <v>45795.71300925926</v>
      </c>
      <c r="C890" s="1" t="n">
        <v>46025</v>
      </c>
      <c r="D890" t="inlineStr">
        <is>
          <t>ÖREBRO LÄN</t>
        </is>
      </c>
      <c r="E890" t="inlineStr">
        <is>
          <t>LINDESBERG</t>
        </is>
      </c>
      <c r="G890" t="n">
        <v>2.2</v>
      </c>
      <c r="H890" t="n">
        <v>0</v>
      </c>
      <c r="I890" t="n">
        <v>0</v>
      </c>
      <c r="J890" t="n">
        <v>0</v>
      </c>
      <c r="K890" t="n">
        <v>0</v>
      </c>
      <c r="L890" t="n">
        <v>0</v>
      </c>
      <c r="M890" t="n">
        <v>0</v>
      </c>
      <c r="N890" t="n">
        <v>0</v>
      </c>
      <c r="O890" t="n">
        <v>0</v>
      </c>
      <c r="P890" t="n">
        <v>0</v>
      </c>
      <c r="Q890" t="n">
        <v>0</v>
      </c>
      <c r="R890" s="2" t="inlineStr"/>
    </row>
    <row r="891" ht="15" customHeight="1">
      <c r="A891" t="inlineStr">
        <is>
          <t>A 23934-2025</t>
        </is>
      </c>
      <c r="B891" s="1" t="n">
        <v>45795.71547453704</v>
      </c>
      <c r="C891" s="1" t="n">
        <v>46025</v>
      </c>
      <c r="D891" t="inlineStr">
        <is>
          <t>ÖREBRO LÄN</t>
        </is>
      </c>
      <c r="E891" t="inlineStr">
        <is>
          <t>LINDESBERG</t>
        </is>
      </c>
      <c r="G891" t="n">
        <v>1.9</v>
      </c>
      <c r="H891" t="n">
        <v>0</v>
      </c>
      <c r="I891" t="n">
        <v>0</v>
      </c>
      <c r="J891" t="n">
        <v>0</v>
      </c>
      <c r="K891" t="n">
        <v>0</v>
      </c>
      <c r="L891" t="n">
        <v>0</v>
      </c>
      <c r="M891" t="n">
        <v>0</v>
      </c>
      <c r="N891" t="n">
        <v>0</v>
      </c>
      <c r="O891" t="n">
        <v>0</v>
      </c>
      <c r="P891" t="n">
        <v>0</v>
      </c>
      <c r="Q891" t="n">
        <v>0</v>
      </c>
      <c r="R891" s="2" t="inlineStr"/>
    </row>
    <row r="892" ht="15" customHeight="1">
      <c r="A892" t="inlineStr">
        <is>
          <t>A 57944-2023</t>
        </is>
      </c>
      <c r="B892" s="1" t="n">
        <v>45244</v>
      </c>
      <c r="C892" s="1" t="n">
        <v>46025</v>
      </c>
      <c r="D892" t="inlineStr">
        <is>
          <t>ÖREBRO LÄN</t>
        </is>
      </c>
      <c r="E892" t="inlineStr">
        <is>
          <t>LINDESBERG</t>
        </is>
      </c>
      <c r="G892" t="n">
        <v>2.4</v>
      </c>
      <c r="H892" t="n">
        <v>0</v>
      </c>
      <c r="I892" t="n">
        <v>0</v>
      </c>
      <c r="J892" t="n">
        <v>0</v>
      </c>
      <c r="K892" t="n">
        <v>0</v>
      </c>
      <c r="L892" t="n">
        <v>0</v>
      </c>
      <c r="M892" t="n">
        <v>0</v>
      </c>
      <c r="N892" t="n">
        <v>0</v>
      </c>
      <c r="O892" t="n">
        <v>0</v>
      </c>
      <c r="P892" t="n">
        <v>0</v>
      </c>
      <c r="Q892" t="n">
        <v>0</v>
      </c>
      <c r="R892" s="2" t="inlineStr"/>
    </row>
    <row r="893" ht="15" customHeight="1">
      <c r="A893" t="inlineStr">
        <is>
          <t>A 24043-2024</t>
        </is>
      </c>
      <c r="B893" s="1" t="n">
        <v>45456.48927083334</v>
      </c>
      <c r="C893" s="1" t="n">
        <v>46025</v>
      </c>
      <c r="D893" t="inlineStr">
        <is>
          <t>ÖREBRO LÄN</t>
        </is>
      </c>
      <c r="E893" t="inlineStr">
        <is>
          <t>LINDESBERG</t>
        </is>
      </c>
      <c r="G893" t="n">
        <v>6.2</v>
      </c>
      <c r="H893" t="n">
        <v>0</v>
      </c>
      <c r="I893" t="n">
        <v>0</v>
      </c>
      <c r="J893" t="n">
        <v>0</v>
      </c>
      <c r="K893" t="n">
        <v>0</v>
      </c>
      <c r="L893" t="n">
        <v>0</v>
      </c>
      <c r="M893" t="n">
        <v>0</v>
      </c>
      <c r="N893" t="n">
        <v>0</v>
      </c>
      <c r="O893" t="n">
        <v>0</v>
      </c>
      <c r="P893" t="n">
        <v>0</v>
      </c>
      <c r="Q893" t="n">
        <v>0</v>
      </c>
      <c r="R893" s="2" t="inlineStr"/>
    </row>
    <row r="894" ht="15" customHeight="1">
      <c r="A894" t="inlineStr">
        <is>
          <t>A 23844-2025</t>
        </is>
      </c>
      <c r="B894" s="1" t="n">
        <v>45793.62422453704</v>
      </c>
      <c r="C894" s="1" t="n">
        <v>46025</v>
      </c>
      <c r="D894" t="inlineStr">
        <is>
          <t>ÖREBRO LÄN</t>
        </is>
      </c>
      <c r="E894" t="inlineStr">
        <is>
          <t>LINDESBERG</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12250-2025</t>
        </is>
      </c>
      <c r="B895" s="1" t="n">
        <v>45729.60775462963</v>
      </c>
      <c r="C895" s="1" t="n">
        <v>46025</v>
      </c>
      <c r="D895" t="inlineStr">
        <is>
          <t>ÖREBRO LÄN</t>
        </is>
      </c>
      <c r="E895" t="inlineStr">
        <is>
          <t>LINDESBERG</t>
        </is>
      </c>
      <c r="G895" t="n">
        <v>3.4</v>
      </c>
      <c r="H895" t="n">
        <v>0</v>
      </c>
      <c r="I895" t="n">
        <v>0</v>
      </c>
      <c r="J895" t="n">
        <v>0</v>
      </c>
      <c r="K895" t="n">
        <v>0</v>
      </c>
      <c r="L895" t="n">
        <v>0</v>
      </c>
      <c r="M895" t="n">
        <v>0</v>
      </c>
      <c r="N895" t="n">
        <v>0</v>
      </c>
      <c r="O895" t="n">
        <v>0</v>
      </c>
      <c r="P895" t="n">
        <v>0</v>
      </c>
      <c r="Q895" t="n">
        <v>0</v>
      </c>
      <c r="R895" s="2" t="inlineStr"/>
    </row>
    <row r="896" ht="15" customHeight="1">
      <c r="A896" t="inlineStr">
        <is>
          <t>A 48231-2024</t>
        </is>
      </c>
      <c r="B896" s="1" t="n">
        <v>45590.37590277778</v>
      </c>
      <c r="C896" s="1" t="n">
        <v>46025</v>
      </c>
      <c r="D896" t="inlineStr">
        <is>
          <t>ÖREBRO LÄN</t>
        </is>
      </c>
      <c r="E896" t="inlineStr">
        <is>
          <t>LINDESBERG</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37125-2023</t>
        </is>
      </c>
      <c r="B897" s="1" t="n">
        <v>45155.5653125</v>
      </c>
      <c r="C897" s="1" t="n">
        <v>46025</v>
      </c>
      <c r="D897" t="inlineStr">
        <is>
          <t>ÖREBRO LÄN</t>
        </is>
      </c>
      <c r="E897" t="inlineStr">
        <is>
          <t>LINDESBERG</t>
        </is>
      </c>
      <c r="G897" t="n">
        <v>2</v>
      </c>
      <c r="H897" t="n">
        <v>0</v>
      </c>
      <c r="I897" t="n">
        <v>0</v>
      </c>
      <c r="J897" t="n">
        <v>0</v>
      </c>
      <c r="K897" t="n">
        <v>0</v>
      </c>
      <c r="L897" t="n">
        <v>0</v>
      </c>
      <c r="M897" t="n">
        <v>0</v>
      </c>
      <c r="N897" t="n">
        <v>0</v>
      </c>
      <c r="O897" t="n">
        <v>0</v>
      </c>
      <c r="P897" t="n">
        <v>0</v>
      </c>
      <c r="Q897" t="n">
        <v>0</v>
      </c>
      <c r="R897" s="2" t="inlineStr"/>
    </row>
    <row r="898" ht="15" customHeight="1">
      <c r="A898" t="inlineStr">
        <is>
          <t>A 24186-2024</t>
        </is>
      </c>
      <c r="B898" s="1" t="n">
        <v>45456.90869212963</v>
      </c>
      <c r="C898" s="1" t="n">
        <v>46025</v>
      </c>
      <c r="D898" t="inlineStr">
        <is>
          <t>ÖREBRO LÄN</t>
        </is>
      </c>
      <c r="E898" t="inlineStr">
        <is>
          <t>LINDESBERG</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25842-2025</t>
        </is>
      </c>
      <c r="B899" s="1" t="n">
        <v>45804.45474537037</v>
      </c>
      <c r="C899" s="1" t="n">
        <v>46025</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25643-2025</t>
        </is>
      </c>
      <c r="B900" s="1" t="n">
        <v>45803</v>
      </c>
      <c r="C900" s="1" t="n">
        <v>46025</v>
      </c>
      <c r="D900" t="inlineStr">
        <is>
          <t>ÖREBRO LÄN</t>
        </is>
      </c>
      <c r="E900" t="inlineStr">
        <is>
          <t>LINDESBERG</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25843-2025</t>
        </is>
      </c>
      <c r="B901" s="1" t="n">
        <v>45804.45584490741</v>
      </c>
      <c r="C901" s="1" t="n">
        <v>46025</v>
      </c>
      <c r="D901" t="inlineStr">
        <is>
          <t>ÖREBRO LÄN</t>
        </is>
      </c>
      <c r="E901" t="inlineStr">
        <is>
          <t>LINDESBERG</t>
        </is>
      </c>
      <c r="G901" t="n">
        <v>4.6</v>
      </c>
      <c r="H901" t="n">
        <v>0</v>
      </c>
      <c r="I901" t="n">
        <v>0</v>
      </c>
      <c r="J901" t="n">
        <v>0</v>
      </c>
      <c r="K901" t="n">
        <v>0</v>
      </c>
      <c r="L901" t="n">
        <v>0</v>
      </c>
      <c r="M901" t="n">
        <v>0</v>
      </c>
      <c r="N901" t="n">
        <v>0</v>
      </c>
      <c r="O901" t="n">
        <v>0</v>
      </c>
      <c r="P901" t="n">
        <v>0</v>
      </c>
      <c r="Q901" t="n">
        <v>0</v>
      </c>
      <c r="R901" s="2" t="inlineStr"/>
    </row>
    <row r="902" ht="15" customHeight="1">
      <c r="A902" t="inlineStr">
        <is>
          <t>A 26016-2025</t>
        </is>
      </c>
      <c r="B902" s="1" t="n">
        <v>45804.67795138889</v>
      </c>
      <c r="C902" s="1" t="n">
        <v>46025</v>
      </c>
      <c r="D902" t="inlineStr">
        <is>
          <t>ÖREBRO LÄN</t>
        </is>
      </c>
      <c r="E902" t="inlineStr">
        <is>
          <t>LINDESBERG</t>
        </is>
      </c>
      <c r="G902" t="n">
        <v>10</v>
      </c>
      <c r="H902" t="n">
        <v>0</v>
      </c>
      <c r="I902" t="n">
        <v>0</v>
      </c>
      <c r="J902" t="n">
        <v>0</v>
      </c>
      <c r="K902" t="n">
        <v>0</v>
      </c>
      <c r="L902" t="n">
        <v>0</v>
      </c>
      <c r="M902" t="n">
        <v>0</v>
      </c>
      <c r="N902" t="n">
        <v>0</v>
      </c>
      <c r="O902" t="n">
        <v>0</v>
      </c>
      <c r="P902" t="n">
        <v>0</v>
      </c>
      <c r="Q902" t="n">
        <v>0</v>
      </c>
      <c r="R902" s="2" t="inlineStr"/>
    </row>
    <row r="903" ht="15" customHeight="1">
      <c r="A903" t="inlineStr">
        <is>
          <t>A 27309-2025</t>
        </is>
      </c>
      <c r="B903" s="1" t="n">
        <v>45812.57452546297</v>
      </c>
      <c r="C903" s="1" t="n">
        <v>46025</v>
      </c>
      <c r="D903" t="inlineStr">
        <is>
          <t>ÖREBRO LÄN</t>
        </is>
      </c>
      <c r="E903" t="inlineStr">
        <is>
          <t>LINDESBERG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27311-2025</t>
        </is>
      </c>
      <c r="B904" s="1" t="n">
        <v>45812.57604166667</v>
      </c>
      <c r="C904" s="1" t="n">
        <v>46025</v>
      </c>
      <c r="D904" t="inlineStr">
        <is>
          <t>ÖREBRO LÄN</t>
        </is>
      </c>
      <c r="E904" t="inlineStr">
        <is>
          <t>LINDESBERG</t>
        </is>
      </c>
      <c r="F904" t="inlineStr">
        <is>
          <t>Sveaskog</t>
        </is>
      </c>
      <c r="G904" t="n">
        <v>4.8</v>
      </c>
      <c r="H904" t="n">
        <v>0</v>
      </c>
      <c r="I904" t="n">
        <v>0</v>
      </c>
      <c r="J904" t="n">
        <v>0</v>
      </c>
      <c r="K904" t="n">
        <v>0</v>
      </c>
      <c r="L904" t="n">
        <v>0</v>
      </c>
      <c r="M904" t="n">
        <v>0</v>
      </c>
      <c r="N904" t="n">
        <v>0</v>
      </c>
      <c r="O904" t="n">
        <v>0</v>
      </c>
      <c r="P904" t="n">
        <v>0</v>
      </c>
      <c r="Q904" t="n">
        <v>0</v>
      </c>
      <c r="R904" s="2" t="inlineStr"/>
    </row>
    <row r="905" ht="15" customHeight="1">
      <c r="A905" t="inlineStr">
        <is>
          <t>A 27300-2025</t>
        </is>
      </c>
      <c r="B905" s="1" t="n">
        <v>45812.57143518519</v>
      </c>
      <c r="C905" s="1" t="n">
        <v>46025</v>
      </c>
      <c r="D905" t="inlineStr">
        <is>
          <t>ÖREBRO LÄN</t>
        </is>
      </c>
      <c r="E905" t="inlineStr">
        <is>
          <t>LINDESBERG</t>
        </is>
      </c>
      <c r="F905" t="inlineStr">
        <is>
          <t>Sveaskog</t>
        </is>
      </c>
      <c r="G905" t="n">
        <v>19.7</v>
      </c>
      <c r="H905" t="n">
        <v>0</v>
      </c>
      <c r="I905" t="n">
        <v>0</v>
      </c>
      <c r="J905" t="n">
        <v>0</v>
      </c>
      <c r="K905" t="n">
        <v>0</v>
      </c>
      <c r="L905" t="n">
        <v>0</v>
      </c>
      <c r="M905" t="n">
        <v>0</v>
      </c>
      <c r="N905" t="n">
        <v>0</v>
      </c>
      <c r="O905" t="n">
        <v>0</v>
      </c>
      <c r="P905" t="n">
        <v>0</v>
      </c>
      <c r="Q905" t="n">
        <v>0</v>
      </c>
      <c r="R905" s="2" t="inlineStr"/>
    </row>
    <row r="906">
      <c r="A906" t="inlineStr">
        <is>
          <t>A 27296-2025</t>
        </is>
      </c>
      <c r="B906" s="1" t="n">
        <v>45812.56952546296</v>
      </c>
      <c r="C906" s="1" t="n">
        <v>46025</v>
      </c>
      <c r="D906" t="inlineStr">
        <is>
          <t>ÖREBRO LÄN</t>
        </is>
      </c>
      <c r="E906" t="inlineStr">
        <is>
          <t>LINDESBERG</t>
        </is>
      </c>
      <c r="F906" t="inlineStr">
        <is>
          <t>Sveaskog</t>
        </is>
      </c>
      <c r="G906" t="n">
        <v>4.5</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2026-01-03T10:36:20Z</dcterms:created>
  <dcterms:modified xmlns:dcterms="http://purl.org/dc/terms/" xmlns:xsi="http://www.w3.org/2001/XMLSchema-instance" xsi:type="dcterms:W3CDTF">2026-01-03T10:36:20Z</dcterms:modified>
</cp:coreProperties>
</file>