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46140</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46140</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46140</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46140</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46140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46140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46140</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46140</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46140</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46140</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46140</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46140</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46140</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46140</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50989-2023</t>
        </is>
      </c>
      <c r="B24" s="1" t="n">
        <v>45218</v>
      </c>
      <c r="C24" s="1" t="n">
        <v>46140</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46140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8195-2026</t>
        </is>
      </c>
      <c r="B26" s="1" t="n">
        <v>46064.43017361111</v>
      </c>
      <c r="C26" s="1" t="n">
        <v>46140</v>
      </c>
      <c r="D26" t="inlineStr">
        <is>
          <t>ÖREBRO LÄN</t>
        </is>
      </c>
      <c r="E26" t="inlineStr">
        <is>
          <t>LINDESBERG</t>
        </is>
      </c>
      <c r="G26" t="n">
        <v>2.3</v>
      </c>
      <c r="H26" t="n">
        <v>2</v>
      </c>
      <c r="I26" t="n">
        <v>1</v>
      </c>
      <c r="J26" t="n">
        <v>1</v>
      </c>
      <c r="K26" t="n">
        <v>0</v>
      </c>
      <c r="L26" t="n">
        <v>0</v>
      </c>
      <c r="M26" t="n">
        <v>0</v>
      </c>
      <c r="N26" t="n">
        <v>0</v>
      </c>
      <c r="O26" t="n">
        <v>1</v>
      </c>
      <c r="P26" t="n">
        <v>0</v>
      </c>
      <c r="Q26" t="n">
        <v>3</v>
      </c>
      <c r="R26" s="2" t="inlineStr">
        <is>
          <t>Spillkråka
Rödgul trumpetsvamp
Kungsfågel</t>
        </is>
      </c>
      <c r="S26">
        <f>HYPERLINK("https://klasma.github.io/Logging_1885/artfynd/A 8195-2026 artfynd.xlsx", "A 8195-2026")</f>
        <v/>
      </c>
      <c r="T26">
        <f>HYPERLINK("https://klasma.github.io/Logging_1885/kartor/A 8195-2026 karta.png", "A 8195-2026")</f>
        <v/>
      </c>
      <c r="V26">
        <f>HYPERLINK("https://klasma.github.io/Logging_1885/klagomål/A 8195-2026 FSC-klagomål.docx", "A 8195-2026")</f>
        <v/>
      </c>
      <c r="W26">
        <f>HYPERLINK("https://klasma.github.io/Logging_1885/klagomålsmail/A 8195-2026 FSC-klagomål mail.docx", "A 8195-2026")</f>
        <v/>
      </c>
      <c r="X26">
        <f>HYPERLINK("https://klasma.github.io/Logging_1885/tillsyn/A 8195-2026 tillsynsbegäran.docx", "A 8195-2026")</f>
        <v/>
      </c>
      <c r="Y26">
        <f>HYPERLINK("https://klasma.github.io/Logging_1885/tillsynsmail/A 8195-2026 tillsynsbegäran mail.docx", "A 8195-2026")</f>
        <v/>
      </c>
      <c r="Z26">
        <f>HYPERLINK("https://klasma.github.io/Logging_1885/fåglar/A 8195-2026 prioriterade fågelarter.docx", "A 8195-2026")</f>
        <v/>
      </c>
    </row>
    <row r="27" ht="15" customHeight="1">
      <c r="A27" t="inlineStr">
        <is>
          <t>A 28035-2023</t>
        </is>
      </c>
      <c r="B27" s="1" t="n">
        <v>45099</v>
      </c>
      <c r="C27" s="1" t="n">
        <v>46140</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54020-2024</t>
        </is>
      </c>
      <c r="B28" s="1" t="n">
        <v>45616.38605324074</v>
      </c>
      <c r="C28" s="1" t="n">
        <v>46140</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34266-2025</t>
        </is>
      </c>
      <c r="B29" s="1" t="n">
        <v>45845.75751157408</v>
      </c>
      <c r="C29" s="1" t="n">
        <v>46140</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46140</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46140</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46140</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46140</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51851-2025</t>
        </is>
      </c>
      <c r="B34" s="1" t="n">
        <v>45952.35611111111</v>
      </c>
      <c r="C34" s="1" t="n">
        <v>46140</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46140</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46140</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46140</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53686-2024</t>
        </is>
      </c>
      <c r="B38" s="1" t="n">
        <v>45615</v>
      </c>
      <c r="C38" s="1" t="n">
        <v>46140</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8189-2026</t>
        </is>
      </c>
      <c r="B39" s="1" t="n">
        <v>46064.42460648148</v>
      </c>
      <c r="C39" s="1" t="n">
        <v>46140</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9567-2026</t>
        </is>
      </c>
      <c r="B40" s="1" t="n">
        <v>46071.65692129629</v>
      </c>
      <c r="C40" s="1" t="n">
        <v>46140</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46140</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46140</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46140</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46140</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46140</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46140</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46140</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46140</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46140</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46140</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33286-2024</t>
        </is>
      </c>
      <c r="B51" s="1" t="n">
        <v>45518</v>
      </c>
      <c r="C51" s="1" t="n">
        <v>46140</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3729-2023</t>
        </is>
      </c>
      <c r="B52" s="1" t="n">
        <v>44949</v>
      </c>
      <c r="C52" s="1" t="n">
        <v>46140</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37834-2025</t>
        </is>
      </c>
      <c r="B53" s="1" t="n">
        <v>45881.42446759259</v>
      </c>
      <c r="C53" s="1" t="n">
        <v>46140</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30347-2025</t>
        </is>
      </c>
      <c r="B54" s="1" t="n">
        <v>45827.53077546296</v>
      </c>
      <c r="C54" s="1" t="n">
        <v>46140</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45467-2025</t>
        </is>
      </c>
      <c r="B55" s="1" t="n">
        <v>45922.49990740741</v>
      </c>
      <c r="C55" s="1" t="n">
        <v>46140</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46140</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50766-2025</t>
        </is>
      </c>
      <c r="B57" s="1" t="n">
        <v>45946.44423611111</v>
      </c>
      <c r="C57" s="1" t="n">
        <v>46140</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46140</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46140</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52105-2025</t>
        </is>
      </c>
      <c r="B60" s="1" t="n">
        <v>45952.68596064814</v>
      </c>
      <c r="C60" s="1" t="n">
        <v>46140</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46140</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46140</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46140</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54092-2025</t>
        </is>
      </c>
      <c r="B64" s="1" t="n">
        <v>45964.3965625</v>
      </c>
      <c r="C64" s="1" t="n">
        <v>46140</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53598-2024</t>
        </is>
      </c>
      <c r="B65" s="1" t="n">
        <v>45614.68287037037</v>
      </c>
      <c r="C65" s="1" t="n">
        <v>46140</v>
      </c>
      <c r="D65" t="inlineStr">
        <is>
          <t>ÖREBRO LÄN</t>
        </is>
      </c>
      <c r="E65" t="inlineStr">
        <is>
          <t>LINDESBERG</t>
        </is>
      </c>
      <c r="G65" t="n">
        <v>3.1</v>
      </c>
      <c r="H65" t="n">
        <v>1</v>
      </c>
      <c r="I65" t="n">
        <v>0</v>
      </c>
      <c r="J65" t="n">
        <v>0</v>
      </c>
      <c r="K65" t="n">
        <v>0</v>
      </c>
      <c r="L65" t="n">
        <v>1</v>
      </c>
      <c r="M65" t="n">
        <v>0</v>
      </c>
      <c r="N65" t="n">
        <v>0</v>
      </c>
      <c r="O65" t="n">
        <v>1</v>
      </c>
      <c r="P65" t="n">
        <v>1</v>
      </c>
      <c r="Q65" t="n">
        <v>1</v>
      </c>
      <c r="R65" s="2" t="inlineStr">
        <is>
          <t>Asknätfjäril</t>
        </is>
      </c>
      <c r="S65">
        <f>HYPERLINK("https://klasma.github.io/Logging_1885/artfynd/A 53598-2024 artfynd.xlsx", "A 53598-2024")</f>
        <v/>
      </c>
      <c r="T65">
        <f>HYPERLINK("https://klasma.github.io/Logging_1885/kartor/A 53598-2024 karta.png", "A 53598-2024")</f>
        <v/>
      </c>
      <c r="V65">
        <f>HYPERLINK("https://klasma.github.io/Logging_1885/klagomål/A 53598-2024 FSC-klagomål.docx", "A 53598-2024")</f>
        <v/>
      </c>
      <c r="W65">
        <f>HYPERLINK("https://klasma.github.io/Logging_1885/klagomålsmail/A 53598-2024 FSC-klagomål mail.docx", "A 53598-2024")</f>
        <v/>
      </c>
      <c r="X65">
        <f>HYPERLINK("https://klasma.github.io/Logging_1885/tillsyn/A 53598-2024 tillsynsbegäran.docx", "A 53598-2024")</f>
        <v/>
      </c>
      <c r="Y65">
        <f>HYPERLINK("https://klasma.github.io/Logging_1885/tillsynsmail/A 53598-2024 tillsynsbegäran mail.docx", "A 53598-2024")</f>
        <v/>
      </c>
    </row>
    <row r="66" ht="15" customHeight="1">
      <c r="A66" t="inlineStr">
        <is>
          <t>A 57362-2025</t>
        </is>
      </c>
      <c r="B66" s="1" t="n">
        <v>45980.37108796297</v>
      </c>
      <c r="C66" s="1" t="n">
        <v>46140</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46140</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70466-2021</t>
        </is>
      </c>
      <c r="B68" s="1" t="n">
        <v>44536</v>
      </c>
      <c r="C68" s="1" t="n">
        <v>46140</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53600-2024</t>
        </is>
      </c>
      <c r="B69" s="1" t="n">
        <v>45614.68596064814</v>
      </c>
      <c r="C69" s="1" t="n">
        <v>46140</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2829-2026</t>
        </is>
      </c>
      <c r="B70" s="1" t="n">
        <v>46038.45296296296</v>
      </c>
      <c r="C70" s="1" t="n">
        <v>46140</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8172-2026</t>
        </is>
      </c>
      <c r="B71" s="1" t="n">
        <v>46064</v>
      </c>
      <c r="C71" s="1" t="n">
        <v>46140</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45051-2024</t>
        </is>
      </c>
      <c r="B72" s="1" t="n">
        <v>45575.54934027778</v>
      </c>
      <c r="C72" s="1" t="n">
        <v>46140</v>
      </c>
      <c r="D72" t="inlineStr">
        <is>
          <t>ÖREBRO LÄN</t>
        </is>
      </c>
      <c r="E72" t="inlineStr">
        <is>
          <t>LINDESBERG</t>
        </is>
      </c>
      <c r="F72" t="inlineStr">
        <is>
          <t>Sveaskog</t>
        </is>
      </c>
      <c r="G72" t="n">
        <v>2.2</v>
      </c>
      <c r="H72" t="n">
        <v>1</v>
      </c>
      <c r="I72" t="n">
        <v>0</v>
      </c>
      <c r="J72" t="n">
        <v>1</v>
      </c>
      <c r="K72" t="n">
        <v>0</v>
      </c>
      <c r="L72" t="n">
        <v>0</v>
      </c>
      <c r="M72" t="n">
        <v>0</v>
      </c>
      <c r="N72" t="n">
        <v>0</v>
      </c>
      <c r="O72" t="n">
        <v>1</v>
      </c>
      <c r="P72" t="n">
        <v>0</v>
      </c>
      <c r="Q72" t="n">
        <v>1</v>
      </c>
      <c r="R72" s="2" t="inlineStr">
        <is>
          <t>Spillkråka</t>
        </is>
      </c>
      <c r="S72">
        <f>HYPERLINK("https://klasma.github.io/Logging_1885/artfynd/A 45051-2024 artfynd.xlsx", "A 45051-2024")</f>
        <v/>
      </c>
      <c r="T72">
        <f>HYPERLINK("https://klasma.github.io/Logging_1885/kartor/A 45051-2024 karta.png", "A 45051-2024")</f>
        <v/>
      </c>
      <c r="V72">
        <f>HYPERLINK("https://klasma.github.io/Logging_1885/klagomål/A 45051-2024 FSC-klagomål.docx", "A 45051-2024")</f>
        <v/>
      </c>
      <c r="W72">
        <f>HYPERLINK("https://klasma.github.io/Logging_1885/klagomålsmail/A 45051-2024 FSC-klagomål mail.docx", "A 45051-2024")</f>
        <v/>
      </c>
      <c r="X72">
        <f>HYPERLINK("https://klasma.github.io/Logging_1885/tillsyn/A 45051-2024 tillsynsbegäran.docx", "A 45051-2024")</f>
        <v/>
      </c>
      <c r="Y72">
        <f>HYPERLINK("https://klasma.github.io/Logging_1885/tillsynsmail/A 45051-2024 tillsynsbegäran mail.docx", "A 45051-2024")</f>
        <v/>
      </c>
      <c r="Z72">
        <f>HYPERLINK("https://klasma.github.io/Logging_1885/fåglar/A 45051-2024 prioriterade fågelarter.docx", "A 45051-2024")</f>
        <v/>
      </c>
    </row>
    <row r="73" ht="15" customHeight="1">
      <c r="A73" t="inlineStr">
        <is>
          <t>A 64513-2023</t>
        </is>
      </c>
      <c r="B73" s="1" t="n">
        <v>45281</v>
      </c>
      <c r="C73" s="1" t="n">
        <v>46140</v>
      </c>
      <c r="D73" t="inlineStr">
        <is>
          <t>ÖREBRO LÄN</t>
        </is>
      </c>
      <c r="E73" t="inlineStr">
        <is>
          <t>LINDESBERG</t>
        </is>
      </c>
      <c r="G73" t="n">
        <v>4.7</v>
      </c>
      <c r="H73" t="n">
        <v>0</v>
      </c>
      <c r="I73" t="n">
        <v>1</v>
      </c>
      <c r="J73" t="n">
        <v>0</v>
      </c>
      <c r="K73" t="n">
        <v>0</v>
      </c>
      <c r="L73" t="n">
        <v>0</v>
      </c>
      <c r="M73" t="n">
        <v>0</v>
      </c>
      <c r="N73" t="n">
        <v>0</v>
      </c>
      <c r="O73" t="n">
        <v>0</v>
      </c>
      <c r="P73" t="n">
        <v>0</v>
      </c>
      <c r="Q73" t="n">
        <v>1</v>
      </c>
      <c r="R73" s="2" t="inlineStr">
        <is>
          <t>Västlig hakmossa</t>
        </is>
      </c>
      <c r="S73">
        <f>HYPERLINK("https://klasma.github.io/Logging_1885/artfynd/A 64513-2023 artfynd.xlsx", "A 64513-2023")</f>
        <v/>
      </c>
      <c r="T73">
        <f>HYPERLINK("https://klasma.github.io/Logging_1885/kartor/A 64513-2023 karta.png", "A 64513-2023")</f>
        <v/>
      </c>
      <c r="V73">
        <f>HYPERLINK("https://klasma.github.io/Logging_1885/klagomål/A 64513-2023 FSC-klagomål.docx", "A 64513-2023")</f>
        <v/>
      </c>
      <c r="W73">
        <f>HYPERLINK("https://klasma.github.io/Logging_1885/klagomålsmail/A 64513-2023 FSC-klagomål mail.docx", "A 64513-2023")</f>
        <v/>
      </c>
      <c r="X73">
        <f>HYPERLINK("https://klasma.github.io/Logging_1885/tillsyn/A 64513-2023 tillsynsbegäran.docx", "A 64513-2023")</f>
        <v/>
      </c>
      <c r="Y73">
        <f>HYPERLINK("https://klasma.github.io/Logging_1885/tillsynsmail/A 64513-2023 tillsynsbegäran mail.docx", "A 64513-2023")</f>
        <v/>
      </c>
    </row>
    <row r="74" ht="15" customHeight="1">
      <c r="A74" t="inlineStr">
        <is>
          <t>A 8186-2026</t>
        </is>
      </c>
      <c r="B74" s="1" t="n">
        <v>46064.42189814815</v>
      </c>
      <c r="C74" s="1" t="n">
        <v>46140</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28569-2024</t>
        </is>
      </c>
      <c r="B75" s="1" t="n">
        <v>45478.39592592593</v>
      </c>
      <c r="C75" s="1" t="n">
        <v>46140</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8175-2026</t>
        </is>
      </c>
      <c r="B76" s="1" t="n">
        <v>46064</v>
      </c>
      <c r="C76" s="1" t="n">
        <v>46140</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61129-2024</t>
        </is>
      </c>
      <c r="B77" s="1" t="n">
        <v>45645</v>
      </c>
      <c r="C77" s="1" t="n">
        <v>46140</v>
      </c>
      <c r="D77" t="inlineStr">
        <is>
          <t>ÖREBRO LÄN</t>
        </is>
      </c>
      <c r="E77" t="inlineStr">
        <is>
          <t>LINDESBERG</t>
        </is>
      </c>
      <c r="F77" t="inlineStr">
        <is>
          <t>Sveaskog</t>
        </is>
      </c>
      <c r="G77" t="n">
        <v>6.6</v>
      </c>
      <c r="H77" t="n">
        <v>1</v>
      </c>
      <c r="I77" t="n">
        <v>0</v>
      </c>
      <c r="J77" t="n">
        <v>1</v>
      </c>
      <c r="K77" t="n">
        <v>0</v>
      </c>
      <c r="L77" t="n">
        <v>0</v>
      </c>
      <c r="M77" t="n">
        <v>0</v>
      </c>
      <c r="N77" t="n">
        <v>0</v>
      </c>
      <c r="O77" t="n">
        <v>1</v>
      </c>
      <c r="P77" t="n">
        <v>0</v>
      </c>
      <c r="Q77" t="n">
        <v>1</v>
      </c>
      <c r="R77" s="2" t="inlineStr">
        <is>
          <t>Tretåig hackspett</t>
        </is>
      </c>
      <c r="S77">
        <f>HYPERLINK("https://klasma.github.io/Logging_1885/artfynd/A 61129-2024 artfynd.xlsx", "A 61129-2024")</f>
        <v/>
      </c>
      <c r="T77">
        <f>HYPERLINK("https://klasma.github.io/Logging_1885/kartor/A 61129-2024 karta.png", "A 61129-2024")</f>
        <v/>
      </c>
      <c r="V77">
        <f>HYPERLINK("https://klasma.github.io/Logging_1885/klagomål/A 61129-2024 FSC-klagomål.docx", "A 61129-2024")</f>
        <v/>
      </c>
      <c r="W77">
        <f>HYPERLINK("https://klasma.github.io/Logging_1885/klagomålsmail/A 61129-2024 FSC-klagomål mail.docx", "A 61129-2024")</f>
        <v/>
      </c>
      <c r="X77">
        <f>HYPERLINK("https://klasma.github.io/Logging_1885/tillsyn/A 61129-2024 tillsynsbegäran.docx", "A 61129-2024")</f>
        <v/>
      </c>
      <c r="Y77">
        <f>HYPERLINK("https://klasma.github.io/Logging_1885/tillsynsmail/A 61129-2024 tillsynsbegäran mail.docx", "A 61129-2024")</f>
        <v/>
      </c>
      <c r="Z77">
        <f>HYPERLINK("https://klasma.github.io/Logging_1885/fåglar/A 61129-2024 prioriterade fågelarter.docx", "A 61129-2024")</f>
        <v/>
      </c>
    </row>
    <row r="78" ht="15" customHeight="1">
      <c r="A78" t="inlineStr">
        <is>
          <t>A 54857-2024</t>
        </is>
      </c>
      <c r="B78" s="1" t="n">
        <v>45618.58876157407</v>
      </c>
      <c r="C78" s="1" t="n">
        <v>46140</v>
      </c>
      <c r="D78" t="inlineStr">
        <is>
          <t>ÖREBRO LÄN</t>
        </is>
      </c>
      <c r="E78" t="inlineStr">
        <is>
          <t>LINDESBERG</t>
        </is>
      </c>
      <c r="F78" t="inlineStr">
        <is>
          <t>Sveaskog</t>
        </is>
      </c>
      <c r="G78" t="n">
        <v>6.1</v>
      </c>
      <c r="H78" t="n">
        <v>0</v>
      </c>
      <c r="I78" t="n">
        <v>0</v>
      </c>
      <c r="J78" t="n">
        <v>1</v>
      </c>
      <c r="K78" t="n">
        <v>0</v>
      </c>
      <c r="L78" t="n">
        <v>0</v>
      </c>
      <c r="M78" t="n">
        <v>0</v>
      </c>
      <c r="N78" t="n">
        <v>0</v>
      </c>
      <c r="O78" t="n">
        <v>1</v>
      </c>
      <c r="P78" t="n">
        <v>0</v>
      </c>
      <c r="Q78" t="n">
        <v>1</v>
      </c>
      <c r="R78" s="2" t="inlineStr">
        <is>
          <t>Sexfläckig bastardsvärmare</t>
        </is>
      </c>
      <c r="S78">
        <f>HYPERLINK("https://klasma.github.io/Logging_1885/artfynd/A 54857-2024 artfynd.xlsx", "A 54857-2024")</f>
        <v/>
      </c>
      <c r="T78">
        <f>HYPERLINK("https://klasma.github.io/Logging_1885/kartor/A 54857-2024 karta.png", "A 54857-2024")</f>
        <v/>
      </c>
      <c r="V78">
        <f>HYPERLINK("https://klasma.github.io/Logging_1885/klagomål/A 54857-2024 FSC-klagomål.docx", "A 54857-2024")</f>
        <v/>
      </c>
      <c r="W78">
        <f>HYPERLINK("https://klasma.github.io/Logging_1885/klagomålsmail/A 54857-2024 FSC-klagomål mail.docx", "A 54857-2024")</f>
        <v/>
      </c>
      <c r="X78">
        <f>HYPERLINK("https://klasma.github.io/Logging_1885/tillsyn/A 54857-2024 tillsynsbegäran.docx", "A 54857-2024")</f>
        <v/>
      </c>
      <c r="Y78">
        <f>HYPERLINK("https://klasma.github.io/Logging_1885/tillsynsmail/A 54857-2024 tillsynsbegäran mail.docx", "A 54857-2024")</f>
        <v/>
      </c>
    </row>
    <row r="79" ht="15" customHeight="1">
      <c r="A79" t="inlineStr">
        <is>
          <t>A 67013-2021</t>
        </is>
      </c>
      <c r="B79" s="1" t="n">
        <v>44522</v>
      </c>
      <c r="C79" s="1" t="n">
        <v>46140</v>
      </c>
      <c r="D79" t="inlineStr">
        <is>
          <t>ÖREBRO LÄN</t>
        </is>
      </c>
      <c r="E79" t="inlineStr">
        <is>
          <t>LINDESBERG</t>
        </is>
      </c>
      <c r="G79" t="n">
        <v>0.5</v>
      </c>
      <c r="H79" t="n">
        <v>0</v>
      </c>
      <c r="I79" t="n">
        <v>0</v>
      </c>
      <c r="J79" t="n">
        <v>1</v>
      </c>
      <c r="K79" t="n">
        <v>0</v>
      </c>
      <c r="L79" t="n">
        <v>0</v>
      </c>
      <c r="M79" t="n">
        <v>0</v>
      </c>
      <c r="N79" t="n">
        <v>0</v>
      </c>
      <c r="O79" t="n">
        <v>1</v>
      </c>
      <c r="P79" t="n">
        <v>0</v>
      </c>
      <c r="Q79" t="n">
        <v>1</v>
      </c>
      <c r="R79" s="2" t="inlineStr">
        <is>
          <t>Skogsklocka</t>
        </is>
      </c>
      <c r="S79">
        <f>HYPERLINK("https://klasma.github.io/Logging_1885/artfynd/A 67013-2021 artfynd.xlsx", "A 67013-2021")</f>
        <v/>
      </c>
      <c r="T79">
        <f>HYPERLINK("https://klasma.github.io/Logging_1885/kartor/A 67013-2021 karta.png", "A 67013-2021")</f>
        <v/>
      </c>
      <c r="V79">
        <f>HYPERLINK("https://klasma.github.io/Logging_1885/klagomål/A 67013-2021 FSC-klagomål.docx", "A 67013-2021")</f>
        <v/>
      </c>
      <c r="W79">
        <f>HYPERLINK("https://klasma.github.io/Logging_1885/klagomålsmail/A 67013-2021 FSC-klagomål mail.docx", "A 67013-2021")</f>
        <v/>
      </c>
      <c r="X79">
        <f>HYPERLINK("https://klasma.github.io/Logging_1885/tillsyn/A 67013-2021 tillsynsbegäran.docx", "A 67013-2021")</f>
        <v/>
      </c>
      <c r="Y79">
        <f>HYPERLINK("https://klasma.github.io/Logging_1885/tillsynsmail/A 67013-2021 tillsynsbegäran mail.docx", "A 67013-2021")</f>
        <v/>
      </c>
    </row>
    <row r="80" ht="15" customHeight="1">
      <c r="A80" t="inlineStr">
        <is>
          <t>A 18180-2026</t>
        </is>
      </c>
      <c r="B80" s="1" t="n">
        <v>46125.67597222222</v>
      </c>
      <c r="C80" s="1" t="n">
        <v>46140</v>
      </c>
      <c r="D80" t="inlineStr">
        <is>
          <t>ÖREBRO LÄN</t>
        </is>
      </c>
      <c r="E80" t="inlineStr">
        <is>
          <t>LINDESBERG</t>
        </is>
      </c>
      <c r="F80" t="inlineStr">
        <is>
          <t>Sveaskog</t>
        </is>
      </c>
      <c r="G80" t="n">
        <v>2.1</v>
      </c>
      <c r="H80" t="n">
        <v>0</v>
      </c>
      <c r="I80" t="n">
        <v>1</v>
      </c>
      <c r="J80" t="n">
        <v>0</v>
      </c>
      <c r="K80" t="n">
        <v>0</v>
      </c>
      <c r="L80" t="n">
        <v>0</v>
      </c>
      <c r="M80" t="n">
        <v>0</v>
      </c>
      <c r="N80" t="n">
        <v>0</v>
      </c>
      <c r="O80" t="n">
        <v>0</v>
      </c>
      <c r="P80" t="n">
        <v>0</v>
      </c>
      <c r="Q80" t="n">
        <v>1</v>
      </c>
      <c r="R80" s="2" t="inlineStr">
        <is>
          <t>Dropptaggsvamp</t>
        </is>
      </c>
      <c r="S80">
        <f>HYPERLINK("https://klasma.github.io/Logging_1885/artfynd/A 18180-2026 artfynd.xlsx", "A 18180-2026")</f>
        <v/>
      </c>
      <c r="T80">
        <f>HYPERLINK("https://klasma.github.io/Logging_1885/kartor/A 18180-2026 karta.png", "A 18180-2026")</f>
        <v/>
      </c>
      <c r="V80">
        <f>HYPERLINK("https://klasma.github.io/Logging_1885/klagomål/A 18180-2026 FSC-klagomål.docx", "A 18180-2026")</f>
        <v/>
      </c>
      <c r="W80">
        <f>HYPERLINK("https://klasma.github.io/Logging_1885/klagomålsmail/A 18180-2026 FSC-klagomål mail.docx", "A 18180-2026")</f>
        <v/>
      </c>
      <c r="X80">
        <f>HYPERLINK("https://klasma.github.io/Logging_1885/tillsyn/A 18180-2026 tillsynsbegäran.docx", "A 18180-2026")</f>
        <v/>
      </c>
      <c r="Y80">
        <f>HYPERLINK("https://klasma.github.io/Logging_1885/tillsynsmail/A 18180-2026 tillsynsbegäran mail.docx", "A 18180-2026")</f>
        <v/>
      </c>
    </row>
    <row r="81" ht="15" customHeight="1">
      <c r="A81" t="inlineStr">
        <is>
          <t>A 18178-2026</t>
        </is>
      </c>
      <c r="B81" s="1" t="n">
        <v>46125.67452546296</v>
      </c>
      <c r="C81" s="1" t="n">
        <v>46140</v>
      </c>
      <c r="D81" t="inlineStr">
        <is>
          <t>ÖREBRO LÄN</t>
        </is>
      </c>
      <c r="E81" t="inlineStr">
        <is>
          <t>LINDESBERG</t>
        </is>
      </c>
      <c r="F81" t="inlineStr">
        <is>
          <t>Sveaskog</t>
        </is>
      </c>
      <c r="G81" t="n">
        <v>4.4</v>
      </c>
      <c r="H81" t="n">
        <v>0</v>
      </c>
      <c r="I81" t="n">
        <v>0</v>
      </c>
      <c r="J81" t="n">
        <v>1</v>
      </c>
      <c r="K81" t="n">
        <v>0</v>
      </c>
      <c r="L81" t="n">
        <v>0</v>
      </c>
      <c r="M81" t="n">
        <v>0</v>
      </c>
      <c r="N81" t="n">
        <v>0</v>
      </c>
      <c r="O81" t="n">
        <v>1</v>
      </c>
      <c r="P81" t="n">
        <v>0</v>
      </c>
      <c r="Q81" t="n">
        <v>1</v>
      </c>
      <c r="R81" s="2" t="inlineStr">
        <is>
          <t>Svartvit taggsvamp</t>
        </is>
      </c>
      <c r="S81">
        <f>HYPERLINK("https://klasma.github.io/Logging_1885/artfynd/A 18178-2026 artfynd.xlsx", "A 18178-2026")</f>
        <v/>
      </c>
      <c r="T81">
        <f>HYPERLINK("https://klasma.github.io/Logging_1885/kartor/A 18178-2026 karta.png", "A 18178-2026")</f>
        <v/>
      </c>
      <c r="V81">
        <f>HYPERLINK("https://klasma.github.io/Logging_1885/klagomål/A 18178-2026 FSC-klagomål.docx", "A 18178-2026")</f>
        <v/>
      </c>
      <c r="W81">
        <f>HYPERLINK("https://klasma.github.io/Logging_1885/klagomålsmail/A 18178-2026 FSC-klagomål mail.docx", "A 18178-2026")</f>
        <v/>
      </c>
      <c r="X81">
        <f>HYPERLINK("https://klasma.github.io/Logging_1885/tillsyn/A 18178-2026 tillsynsbegäran.docx", "A 18178-2026")</f>
        <v/>
      </c>
      <c r="Y81">
        <f>HYPERLINK("https://klasma.github.io/Logging_1885/tillsynsmail/A 18178-2026 tillsynsbegäran mail.docx", "A 18178-2026")</f>
        <v/>
      </c>
    </row>
    <row r="82" ht="15" customHeight="1">
      <c r="A82" t="inlineStr">
        <is>
          <t>A 18639-2026</t>
        </is>
      </c>
      <c r="B82" s="1" t="n">
        <v>46128.32203703704</v>
      </c>
      <c r="C82" s="1" t="n">
        <v>46140</v>
      </c>
      <c r="D82" t="inlineStr">
        <is>
          <t>ÖREBRO LÄN</t>
        </is>
      </c>
      <c r="E82" t="inlineStr">
        <is>
          <t>LINDESBERG</t>
        </is>
      </c>
      <c r="F82" t="inlineStr">
        <is>
          <t>Sveaskog</t>
        </is>
      </c>
      <c r="G82" t="n">
        <v>6</v>
      </c>
      <c r="H82" t="n">
        <v>1</v>
      </c>
      <c r="I82" t="n">
        <v>1</v>
      </c>
      <c r="J82" t="n">
        <v>0</v>
      </c>
      <c r="K82" t="n">
        <v>0</v>
      </c>
      <c r="L82" t="n">
        <v>0</v>
      </c>
      <c r="M82" t="n">
        <v>0</v>
      </c>
      <c r="N82" t="n">
        <v>0</v>
      </c>
      <c r="O82" t="n">
        <v>0</v>
      </c>
      <c r="P82" t="n">
        <v>0</v>
      </c>
      <c r="Q82" t="n">
        <v>1</v>
      </c>
      <c r="R82" s="2" t="inlineStr">
        <is>
          <t>Plattlummer</t>
        </is>
      </c>
      <c r="S82">
        <f>HYPERLINK("https://klasma.github.io/Logging_1885/artfynd/A 18639-2026 artfynd.xlsx", "A 18639-2026")</f>
        <v/>
      </c>
      <c r="T82">
        <f>HYPERLINK("https://klasma.github.io/Logging_1885/kartor/A 18639-2026 karta.png", "A 18639-2026")</f>
        <v/>
      </c>
      <c r="V82">
        <f>HYPERLINK("https://klasma.github.io/Logging_1885/klagomål/A 18639-2026 FSC-klagomål.docx", "A 18639-2026")</f>
        <v/>
      </c>
      <c r="W82">
        <f>HYPERLINK("https://klasma.github.io/Logging_1885/klagomålsmail/A 18639-2026 FSC-klagomål mail.docx", "A 18639-2026")</f>
        <v/>
      </c>
      <c r="X82">
        <f>HYPERLINK("https://klasma.github.io/Logging_1885/tillsyn/A 18639-2026 tillsynsbegäran.docx", "A 18639-2026")</f>
        <v/>
      </c>
      <c r="Y82">
        <f>HYPERLINK("https://klasma.github.io/Logging_1885/tillsynsmail/A 18639-2026 tillsynsbegäran mail.docx", "A 18639-2026")</f>
        <v/>
      </c>
    </row>
    <row r="83" ht="15" customHeight="1">
      <c r="A83" t="inlineStr">
        <is>
          <t>A 16791-2024</t>
        </is>
      </c>
      <c r="B83" s="1" t="n">
        <v>45411.42858796296</v>
      </c>
      <c r="C83" s="1" t="n">
        <v>46140</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61132-2024</t>
        </is>
      </c>
      <c r="B84" s="1" t="n">
        <v>45645</v>
      </c>
      <c r="C84" s="1" t="n">
        <v>46140</v>
      </c>
      <c r="D84" t="inlineStr">
        <is>
          <t>ÖREBRO LÄN</t>
        </is>
      </c>
      <c r="E84" t="inlineStr">
        <is>
          <t>LINDESBERG</t>
        </is>
      </c>
      <c r="F84" t="inlineStr">
        <is>
          <t>Sveaskog</t>
        </is>
      </c>
      <c r="G84" t="n">
        <v>2.5</v>
      </c>
      <c r="H84" t="n">
        <v>0</v>
      </c>
      <c r="I84" t="n">
        <v>1</v>
      </c>
      <c r="J84" t="n">
        <v>0</v>
      </c>
      <c r="K84" t="n">
        <v>0</v>
      </c>
      <c r="L84" t="n">
        <v>0</v>
      </c>
      <c r="M84" t="n">
        <v>0</v>
      </c>
      <c r="N84" t="n">
        <v>0</v>
      </c>
      <c r="O84" t="n">
        <v>0</v>
      </c>
      <c r="P84" t="n">
        <v>0</v>
      </c>
      <c r="Q84" t="n">
        <v>1</v>
      </c>
      <c r="R84" s="2" t="inlineStr">
        <is>
          <t>Bollvitmossa</t>
        </is>
      </c>
      <c r="S84">
        <f>HYPERLINK("https://klasma.github.io/Logging_1885/artfynd/A 61132-2024 artfynd.xlsx", "A 61132-2024")</f>
        <v/>
      </c>
      <c r="T84">
        <f>HYPERLINK("https://klasma.github.io/Logging_1885/kartor/A 61132-2024 karta.png", "A 61132-2024")</f>
        <v/>
      </c>
      <c r="V84">
        <f>HYPERLINK("https://klasma.github.io/Logging_1885/klagomål/A 61132-2024 FSC-klagomål.docx", "A 61132-2024")</f>
        <v/>
      </c>
      <c r="W84">
        <f>HYPERLINK("https://klasma.github.io/Logging_1885/klagomålsmail/A 61132-2024 FSC-klagomål mail.docx", "A 61132-2024")</f>
        <v/>
      </c>
      <c r="X84">
        <f>HYPERLINK("https://klasma.github.io/Logging_1885/tillsyn/A 61132-2024 tillsynsbegäran.docx", "A 61132-2024")</f>
        <v/>
      </c>
      <c r="Y84">
        <f>HYPERLINK("https://klasma.github.io/Logging_1885/tillsynsmail/A 61132-2024 tillsynsbegäran mail.docx", "A 61132-2024")</f>
        <v/>
      </c>
    </row>
    <row r="85" ht="15" customHeight="1">
      <c r="A85" t="inlineStr">
        <is>
          <t>A 21440-2025</t>
        </is>
      </c>
      <c r="B85" s="1" t="n">
        <v>45782.5300462963</v>
      </c>
      <c r="C85" s="1" t="n">
        <v>46140</v>
      </c>
      <c r="D85" t="inlineStr">
        <is>
          <t>ÖREBRO LÄN</t>
        </is>
      </c>
      <c r="E85" t="inlineStr">
        <is>
          <t>LINDESBERG</t>
        </is>
      </c>
      <c r="F85" t="inlineStr">
        <is>
          <t>Sveaskog</t>
        </is>
      </c>
      <c r="G85" t="n">
        <v>1.3</v>
      </c>
      <c r="H85" t="n">
        <v>0</v>
      </c>
      <c r="I85" t="n">
        <v>0</v>
      </c>
      <c r="J85" t="n">
        <v>1</v>
      </c>
      <c r="K85" t="n">
        <v>0</v>
      </c>
      <c r="L85" t="n">
        <v>0</v>
      </c>
      <c r="M85" t="n">
        <v>0</v>
      </c>
      <c r="N85" t="n">
        <v>0</v>
      </c>
      <c r="O85" t="n">
        <v>1</v>
      </c>
      <c r="P85" t="n">
        <v>0</v>
      </c>
      <c r="Q85" t="n">
        <v>1</v>
      </c>
      <c r="R85" s="2" t="inlineStr">
        <is>
          <t>Motaggsvamp</t>
        </is>
      </c>
      <c r="S85">
        <f>HYPERLINK("https://klasma.github.io/Logging_1885/artfynd/A 21440-2025 artfynd.xlsx", "A 21440-2025")</f>
        <v/>
      </c>
      <c r="T85">
        <f>HYPERLINK("https://klasma.github.io/Logging_1885/kartor/A 21440-2025 karta.png", "A 21440-2025")</f>
        <v/>
      </c>
      <c r="V85">
        <f>HYPERLINK("https://klasma.github.io/Logging_1885/klagomål/A 21440-2025 FSC-klagomål.docx", "A 21440-2025")</f>
        <v/>
      </c>
      <c r="W85">
        <f>HYPERLINK("https://klasma.github.io/Logging_1885/klagomålsmail/A 21440-2025 FSC-klagomål mail.docx", "A 21440-2025")</f>
        <v/>
      </c>
      <c r="X85">
        <f>HYPERLINK("https://klasma.github.io/Logging_1885/tillsyn/A 21440-2025 tillsynsbegäran.docx", "A 21440-2025")</f>
        <v/>
      </c>
      <c r="Y85">
        <f>HYPERLINK("https://klasma.github.io/Logging_1885/tillsynsmail/A 21440-2025 tillsynsbegäran mail.docx", "A 21440-2025")</f>
        <v/>
      </c>
    </row>
    <row r="86" ht="15" customHeight="1">
      <c r="A86" t="inlineStr">
        <is>
          <t>A 21779-2025</t>
        </is>
      </c>
      <c r="B86" s="1" t="n">
        <v>45783.66537037037</v>
      </c>
      <c r="C86" s="1" t="n">
        <v>46140</v>
      </c>
      <c r="D86" t="inlineStr">
        <is>
          <t>ÖREBRO LÄN</t>
        </is>
      </c>
      <c r="E86" t="inlineStr">
        <is>
          <t>LINDESBERG</t>
        </is>
      </c>
      <c r="G86" t="n">
        <v>8.5</v>
      </c>
      <c r="H86" t="n">
        <v>1</v>
      </c>
      <c r="I86" t="n">
        <v>0</v>
      </c>
      <c r="J86" t="n">
        <v>0</v>
      </c>
      <c r="K86" t="n">
        <v>0</v>
      </c>
      <c r="L86" t="n">
        <v>0</v>
      </c>
      <c r="M86" t="n">
        <v>0</v>
      </c>
      <c r="N86" t="n">
        <v>0</v>
      </c>
      <c r="O86" t="n">
        <v>0</v>
      </c>
      <c r="P86" t="n">
        <v>0</v>
      </c>
      <c r="Q86" t="n">
        <v>1</v>
      </c>
      <c r="R86" s="2" t="inlineStr">
        <is>
          <t>Mindre vattensalamander</t>
        </is>
      </c>
      <c r="S86">
        <f>HYPERLINK("https://klasma.github.io/Logging_1885/artfynd/A 21779-2025 artfynd.xlsx", "A 21779-2025")</f>
        <v/>
      </c>
      <c r="T86">
        <f>HYPERLINK("https://klasma.github.io/Logging_1885/kartor/A 21779-2025 karta.png", "A 21779-2025")</f>
        <v/>
      </c>
      <c r="V86">
        <f>HYPERLINK("https://klasma.github.io/Logging_1885/klagomål/A 21779-2025 FSC-klagomål.docx", "A 21779-2025")</f>
        <v/>
      </c>
      <c r="W86">
        <f>HYPERLINK("https://klasma.github.io/Logging_1885/klagomålsmail/A 21779-2025 FSC-klagomål mail.docx", "A 21779-2025")</f>
        <v/>
      </c>
      <c r="X86">
        <f>HYPERLINK("https://klasma.github.io/Logging_1885/tillsyn/A 21779-2025 tillsynsbegäran.docx", "A 21779-2025")</f>
        <v/>
      </c>
      <c r="Y86">
        <f>HYPERLINK("https://klasma.github.io/Logging_1885/tillsynsmail/A 21779-2025 tillsynsbegäran mail.docx", "A 21779-2025")</f>
        <v/>
      </c>
    </row>
    <row r="87" ht="15" customHeight="1">
      <c r="A87" t="inlineStr">
        <is>
          <t>A 31052-2025</t>
        </is>
      </c>
      <c r="B87" s="1" t="n">
        <v>45832.56153935185</v>
      </c>
      <c r="C87" s="1" t="n">
        <v>46140</v>
      </c>
      <c r="D87" t="inlineStr">
        <is>
          <t>ÖREBRO LÄN</t>
        </is>
      </c>
      <c r="E87" t="inlineStr">
        <is>
          <t>LINDESBERG</t>
        </is>
      </c>
      <c r="F87" t="inlineStr">
        <is>
          <t>Sveaskog</t>
        </is>
      </c>
      <c r="G87" t="n">
        <v>1.1</v>
      </c>
      <c r="H87" t="n">
        <v>1</v>
      </c>
      <c r="I87" t="n">
        <v>0</v>
      </c>
      <c r="J87" t="n">
        <v>0</v>
      </c>
      <c r="K87" t="n">
        <v>0</v>
      </c>
      <c r="L87" t="n">
        <v>0</v>
      </c>
      <c r="M87" t="n">
        <v>0</v>
      </c>
      <c r="N87" t="n">
        <v>0</v>
      </c>
      <c r="O87" t="n">
        <v>0</v>
      </c>
      <c r="P87" t="n">
        <v>0</v>
      </c>
      <c r="Q87" t="n">
        <v>1</v>
      </c>
      <c r="R87" s="2" t="inlineStr">
        <is>
          <t>Fläcknycklar</t>
        </is>
      </c>
      <c r="S87">
        <f>HYPERLINK("https://klasma.github.io/Logging_1885/artfynd/A 31052-2025 artfynd.xlsx", "A 31052-2025")</f>
        <v/>
      </c>
      <c r="T87">
        <f>HYPERLINK("https://klasma.github.io/Logging_1885/kartor/A 31052-2025 karta.png", "A 31052-2025")</f>
        <v/>
      </c>
      <c r="V87">
        <f>HYPERLINK("https://klasma.github.io/Logging_1885/klagomål/A 31052-2025 FSC-klagomål.docx", "A 31052-2025")</f>
        <v/>
      </c>
      <c r="W87">
        <f>HYPERLINK("https://klasma.github.io/Logging_1885/klagomålsmail/A 31052-2025 FSC-klagomål mail.docx", "A 31052-2025")</f>
        <v/>
      </c>
      <c r="X87">
        <f>HYPERLINK("https://klasma.github.io/Logging_1885/tillsyn/A 31052-2025 tillsynsbegäran.docx", "A 31052-2025")</f>
        <v/>
      </c>
      <c r="Y87">
        <f>HYPERLINK("https://klasma.github.io/Logging_1885/tillsynsmail/A 31052-2025 tillsynsbegäran mail.docx", "A 31052-2025")</f>
        <v/>
      </c>
    </row>
    <row r="88" ht="15" customHeight="1">
      <c r="A88" t="inlineStr">
        <is>
          <t>A 36669-2024</t>
        </is>
      </c>
      <c r="B88" s="1" t="n">
        <v>45537.64484953704</v>
      </c>
      <c r="C88" s="1" t="n">
        <v>46140</v>
      </c>
      <c r="D88" t="inlineStr">
        <is>
          <t>ÖREBRO LÄN</t>
        </is>
      </c>
      <c r="E88" t="inlineStr">
        <is>
          <t>LINDESBERG</t>
        </is>
      </c>
      <c r="F88" t="inlineStr">
        <is>
          <t>Sveaskog</t>
        </is>
      </c>
      <c r="G88" t="n">
        <v>2</v>
      </c>
      <c r="H88" t="n">
        <v>0</v>
      </c>
      <c r="I88" t="n">
        <v>0</v>
      </c>
      <c r="J88" t="n">
        <v>1</v>
      </c>
      <c r="K88" t="n">
        <v>0</v>
      </c>
      <c r="L88" t="n">
        <v>0</v>
      </c>
      <c r="M88" t="n">
        <v>0</v>
      </c>
      <c r="N88" t="n">
        <v>0</v>
      </c>
      <c r="O88" t="n">
        <v>1</v>
      </c>
      <c r="P88" t="n">
        <v>0</v>
      </c>
      <c r="Q88" t="n">
        <v>1</v>
      </c>
      <c r="R88" s="2" t="inlineStr">
        <is>
          <t>Garnlav</t>
        </is>
      </c>
      <c r="S88">
        <f>HYPERLINK("https://klasma.github.io/Logging_1885/artfynd/A 36669-2024 artfynd.xlsx", "A 36669-2024")</f>
        <v/>
      </c>
      <c r="T88">
        <f>HYPERLINK("https://klasma.github.io/Logging_1885/kartor/A 36669-2024 karta.png", "A 36669-2024")</f>
        <v/>
      </c>
      <c r="V88">
        <f>HYPERLINK("https://klasma.github.io/Logging_1885/klagomål/A 36669-2024 FSC-klagomål.docx", "A 36669-2024")</f>
        <v/>
      </c>
      <c r="W88">
        <f>HYPERLINK("https://klasma.github.io/Logging_1885/klagomålsmail/A 36669-2024 FSC-klagomål mail.docx", "A 36669-2024")</f>
        <v/>
      </c>
      <c r="X88">
        <f>HYPERLINK("https://klasma.github.io/Logging_1885/tillsyn/A 36669-2024 tillsynsbegäran.docx", "A 36669-2024")</f>
        <v/>
      </c>
      <c r="Y88">
        <f>HYPERLINK("https://klasma.github.io/Logging_1885/tillsynsmail/A 36669-2024 tillsynsbegäran mail.docx", "A 36669-2024")</f>
        <v/>
      </c>
    </row>
    <row r="89" ht="15" customHeight="1">
      <c r="A89" t="inlineStr">
        <is>
          <t>A 56049-2022</t>
        </is>
      </c>
      <c r="B89" s="1" t="n">
        <v>44889.5746875</v>
      </c>
      <c r="C89" s="1" t="n">
        <v>46140</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46140</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46140</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46140</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46140</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46140</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46140</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46140</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46140</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46140</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46140</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46140</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46140</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46140</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46140</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46140</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46140</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46140</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46140</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46140</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46140</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46140</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46140</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46140</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46140</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46140</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46140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46140</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46140</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46140</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46140</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46140</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46140</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46140</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46140</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46140</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46140</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46140</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46140</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46140</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46140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46140</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46140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46140</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46140</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46140</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46140</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46140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46140</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46140</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46140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46140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46140</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46140</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46140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46140</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46140</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46140</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46140</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46140</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46140</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46140</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46140</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46140</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46140</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46140</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46140</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46140</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46140</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22483-2021</t>
        </is>
      </c>
      <c r="B159" s="1" t="n">
        <v>44326.7296412037</v>
      </c>
      <c r="C159" s="1" t="n">
        <v>46140</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46140</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46140</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46140</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46140</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46140</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46140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46140</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46140</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46140</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46140</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46140</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46140</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46140</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46140</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46140</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46140</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46140</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46140</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46140</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46140</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46140</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46140</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46140</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46140</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46140</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46140</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46140</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46140</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46140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46140</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46140</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46140</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46140</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46140</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46140</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46140</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46140</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46140</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46140</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46140</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46140</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46140</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46140</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46140</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46140</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46140</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44479.58512731481</v>
      </c>
      <c r="C206" s="1" t="n">
        <v>46140</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46140</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46140</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46140</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46140</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46140</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46140</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46140</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46140</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46140</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8612-2024</t>
        </is>
      </c>
      <c r="B216" s="1" t="n">
        <v>45355.70009259259</v>
      </c>
      <c r="C216" s="1" t="n">
        <v>46140</v>
      </c>
      <c r="D216" t="inlineStr">
        <is>
          <t>ÖREBRO LÄN</t>
        </is>
      </c>
      <c r="E216" t="inlineStr">
        <is>
          <t>LINDESBERG</t>
        </is>
      </c>
      <c r="G216" t="n">
        <v>4.5</v>
      </c>
      <c r="H216" t="n">
        <v>0</v>
      </c>
      <c r="I216" t="n">
        <v>0</v>
      </c>
      <c r="J216" t="n">
        <v>0</v>
      </c>
      <c r="K216" t="n">
        <v>0</v>
      </c>
      <c r="L216" t="n">
        <v>0</v>
      </c>
      <c r="M216" t="n">
        <v>0</v>
      </c>
      <c r="N216" t="n">
        <v>0</v>
      </c>
      <c r="O216" t="n">
        <v>0</v>
      </c>
      <c r="P216" t="n">
        <v>0</v>
      </c>
      <c r="Q216" t="n">
        <v>0</v>
      </c>
      <c r="R216" s="2" t="inlineStr"/>
    </row>
    <row r="217" ht="15" customHeight="1">
      <c r="A217" t="inlineStr">
        <is>
          <t>A 63686-2023</t>
        </is>
      </c>
      <c r="B217" s="1" t="n">
        <v>45274</v>
      </c>
      <c r="C217" s="1" t="n">
        <v>46140</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46140</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21084-2021</t>
        </is>
      </c>
      <c r="B219" s="1" t="n">
        <v>44319</v>
      </c>
      <c r="C219" s="1" t="n">
        <v>46140</v>
      </c>
      <c r="D219" t="inlineStr">
        <is>
          <t>ÖREBRO LÄN</t>
        </is>
      </c>
      <c r="E219" t="inlineStr">
        <is>
          <t>LINDESBERG</t>
        </is>
      </c>
      <c r="G219" t="n">
        <v>3.1</v>
      </c>
      <c r="H219" t="n">
        <v>0</v>
      </c>
      <c r="I219" t="n">
        <v>0</v>
      </c>
      <c r="J219" t="n">
        <v>0</v>
      </c>
      <c r="K219" t="n">
        <v>0</v>
      </c>
      <c r="L219" t="n">
        <v>0</v>
      </c>
      <c r="M219" t="n">
        <v>0</v>
      </c>
      <c r="N219" t="n">
        <v>0</v>
      </c>
      <c r="O219" t="n">
        <v>0</v>
      </c>
      <c r="P219" t="n">
        <v>0</v>
      </c>
      <c r="Q219" t="n">
        <v>0</v>
      </c>
      <c r="R219" s="2" t="inlineStr"/>
    </row>
    <row r="220" ht="15" customHeight="1">
      <c r="A220" t="inlineStr">
        <is>
          <t>A 6161-2025</t>
        </is>
      </c>
      <c r="B220" s="1" t="n">
        <v>45698</v>
      </c>
      <c r="C220" s="1" t="n">
        <v>46140</v>
      </c>
      <c r="D220" t="inlineStr">
        <is>
          <t>ÖREBRO LÄN</t>
        </is>
      </c>
      <c r="E220" t="inlineStr">
        <is>
          <t>LINDESBERG</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6165-2025</t>
        </is>
      </c>
      <c r="B221" s="1" t="n">
        <v>45698</v>
      </c>
      <c r="C221" s="1" t="n">
        <v>46140</v>
      </c>
      <c r="D221" t="inlineStr">
        <is>
          <t>ÖREBRO LÄN</t>
        </is>
      </c>
      <c r="E221" t="inlineStr">
        <is>
          <t>LINDESBERG</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26093-2023</t>
        </is>
      </c>
      <c r="B222" s="1" t="n">
        <v>45091.39362268519</v>
      </c>
      <c r="C222" s="1" t="n">
        <v>46140</v>
      </c>
      <c r="D222" t="inlineStr">
        <is>
          <t>ÖREBRO LÄN</t>
        </is>
      </c>
      <c r="E222" t="inlineStr">
        <is>
          <t>LINDESBERG</t>
        </is>
      </c>
      <c r="G222" t="n">
        <v>0.4</v>
      </c>
      <c r="H222" t="n">
        <v>0</v>
      </c>
      <c r="I222" t="n">
        <v>0</v>
      </c>
      <c r="J222" t="n">
        <v>0</v>
      </c>
      <c r="K222" t="n">
        <v>0</v>
      </c>
      <c r="L222" t="n">
        <v>0</v>
      </c>
      <c r="M222" t="n">
        <v>0</v>
      </c>
      <c r="N222" t="n">
        <v>0</v>
      </c>
      <c r="O222" t="n">
        <v>0</v>
      </c>
      <c r="P222" t="n">
        <v>0</v>
      </c>
      <c r="Q222" t="n">
        <v>0</v>
      </c>
      <c r="R222" s="2" t="inlineStr"/>
    </row>
    <row r="223" ht="15" customHeight="1">
      <c r="A223" t="inlineStr">
        <is>
          <t>A 6181-2025</t>
        </is>
      </c>
      <c r="B223" s="1" t="n">
        <v>45698</v>
      </c>
      <c r="C223" s="1" t="n">
        <v>46140</v>
      </c>
      <c r="D223" t="inlineStr">
        <is>
          <t>ÖREBRO LÄN</t>
        </is>
      </c>
      <c r="E223" t="inlineStr">
        <is>
          <t>LINDESBERG</t>
        </is>
      </c>
      <c r="G223" t="n">
        <v>2.8</v>
      </c>
      <c r="H223" t="n">
        <v>0</v>
      </c>
      <c r="I223" t="n">
        <v>0</v>
      </c>
      <c r="J223" t="n">
        <v>0</v>
      </c>
      <c r="K223" t="n">
        <v>0</v>
      </c>
      <c r="L223" t="n">
        <v>0</v>
      </c>
      <c r="M223" t="n">
        <v>0</v>
      </c>
      <c r="N223" t="n">
        <v>0</v>
      </c>
      <c r="O223" t="n">
        <v>0</v>
      </c>
      <c r="P223" t="n">
        <v>0</v>
      </c>
      <c r="Q223" t="n">
        <v>0</v>
      </c>
      <c r="R223" s="2" t="inlineStr"/>
    </row>
    <row r="224" ht="15" customHeight="1">
      <c r="A224" t="inlineStr">
        <is>
          <t>A 19914-2024</t>
        </is>
      </c>
      <c r="B224" s="1" t="n">
        <v>45433.58099537037</v>
      </c>
      <c r="C224" s="1" t="n">
        <v>46140</v>
      </c>
      <c r="D224" t="inlineStr">
        <is>
          <t>ÖREBRO LÄN</t>
        </is>
      </c>
      <c r="E224" t="inlineStr">
        <is>
          <t>LINDESBERG</t>
        </is>
      </c>
      <c r="G224" t="n">
        <v>1.1</v>
      </c>
      <c r="H224" t="n">
        <v>0</v>
      </c>
      <c r="I224" t="n">
        <v>0</v>
      </c>
      <c r="J224" t="n">
        <v>0</v>
      </c>
      <c r="K224" t="n">
        <v>0</v>
      </c>
      <c r="L224" t="n">
        <v>0</v>
      </c>
      <c r="M224" t="n">
        <v>0</v>
      </c>
      <c r="N224" t="n">
        <v>0</v>
      </c>
      <c r="O224" t="n">
        <v>0</v>
      </c>
      <c r="P224" t="n">
        <v>0</v>
      </c>
      <c r="Q224" t="n">
        <v>0</v>
      </c>
      <c r="R224" s="2" t="inlineStr"/>
    </row>
    <row r="225" ht="15" customHeight="1">
      <c r="A225" t="inlineStr">
        <is>
          <t>A 51656-2023</t>
        </is>
      </c>
      <c r="B225" s="1" t="n">
        <v>45222</v>
      </c>
      <c r="C225" s="1" t="n">
        <v>46140</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12739-2024</t>
        </is>
      </c>
      <c r="B226" s="1" t="n">
        <v>45384</v>
      </c>
      <c r="C226" s="1" t="n">
        <v>46140</v>
      </c>
      <c r="D226" t="inlineStr">
        <is>
          <t>ÖREBRO LÄN</t>
        </is>
      </c>
      <c r="E226" t="inlineStr">
        <is>
          <t>LINDESBERG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56217-2022</t>
        </is>
      </c>
      <c r="B227" s="1" t="n">
        <v>44890.46174768519</v>
      </c>
      <c r="C227" s="1" t="n">
        <v>46140</v>
      </c>
      <c r="D227" t="inlineStr">
        <is>
          <t>ÖREBRO LÄN</t>
        </is>
      </c>
      <c r="E227" t="inlineStr">
        <is>
          <t>LINDESBERG</t>
        </is>
      </c>
      <c r="G227" t="n">
        <v>6.9</v>
      </c>
      <c r="H227" t="n">
        <v>0</v>
      </c>
      <c r="I227" t="n">
        <v>0</v>
      </c>
      <c r="J227" t="n">
        <v>0</v>
      </c>
      <c r="K227" t="n">
        <v>0</v>
      </c>
      <c r="L227" t="n">
        <v>0</v>
      </c>
      <c r="M227" t="n">
        <v>0</v>
      </c>
      <c r="N227" t="n">
        <v>0</v>
      </c>
      <c r="O227" t="n">
        <v>0</v>
      </c>
      <c r="P227" t="n">
        <v>0</v>
      </c>
      <c r="Q227" t="n">
        <v>0</v>
      </c>
      <c r="R227" s="2" t="inlineStr"/>
    </row>
    <row r="228" ht="15" customHeight="1">
      <c r="A228" t="inlineStr">
        <is>
          <t>A 56561-2023</t>
        </is>
      </c>
      <c r="B228" s="1" t="n">
        <v>45243</v>
      </c>
      <c r="C228" s="1" t="n">
        <v>46140</v>
      </c>
      <c r="D228" t="inlineStr">
        <is>
          <t>ÖREBRO LÄN</t>
        </is>
      </c>
      <c r="E228" t="inlineStr">
        <is>
          <t>LINDESBERG</t>
        </is>
      </c>
      <c r="G228" t="n">
        <v>1.9</v>
      </c>
      <c r="H228" t="n">
        <v>0</v>
      </c>
      <c r="I228" t="n">
        <v>0</v>
      </c>
      <c r="J228" t="n">
        <v>0</v>
      </c>
      <c r="K228" t="n">
        <v>0</v>
      </c>
      <c r="L228" t="n">
        <v>0</v>
      </c>
      <c r="M228" t="n">
        <v>0</v>
      </c>
      <c r="N228" t="n">
        <v>0</v>
      </c>
      <c r="O228" t="n">
        <v>0</v>
      </c>
      <c r="P228" t="n">
        <v>0</v>
      </c>
      <c r="Q228" t="n">
        <v>0</v>
      </c>
      <c r="R228" s="2" t="inlineStr"/>
    </row>
    <row r="229" ht="15" customHeight="1">
      <c r="A229" t="inlineStr">
        <is>
          <t>A 56579-2023</t>
        </is>
      </c>
      <c r="B229" s="1" t="n">
        <v>45243.62420138889</v>
      </c>
      <c r="C229" s="1" t="n">
        <v>46140</v>
      </c>
      <c r="D229" t="inlineStr">
        <is>
          <t>ÖREBRO LÄN</t>
        </is>
      </c>
      <c r="E229" t="inlineStr">
        <is>
          <t>LINDESBERG</t>
        </is>
      </c>
      <c r="F229" t="inlineStr">
        <is>
          <t>Naturvårdsverket</t>
        </is>
      </c>
      <c r="G229" t="n">
        <v>1.6</v>
      </c>
      <c r="H229" t="n">
        <v>0</v>
      </c>
      <c r="I229" t="n">
        <v>0</v>
      </c>
      <c r="J229" t="n">
        <v>0</v>
      </c>
      <c r="K229" t="n">
        <v>0</v>
      </c>
      <c r="L229" t="n">
        <v>0</v>
      </c>
      <c r="M229" t="n">
        <v>0</v>
      </c>
      <c r="N229" t="n">
        <v>0</v>
      </c>
      <c r="O229" t="n">
        <v>0</v>
      </c>
      <c r="P229" t="n">
        <v>0</v>
      </c>
      <c r="Q229" t="n">
        <v>0</v>
      </c>
      <c r="R229" s="2" t="inlineStr"/>
    </row>
    <row r="230" ht="15" customHeight="1">
      <c r="A230" t="inlineStr">
        <is>
          <t>A 56582-2023</t>
        </is>
      </c>
      <c r="B230" s="1" t="n">
        <v>45243</v>
      </c>
      <c r="C230" s="1" t="n">
        <v>46140</v>
      </c>
      <c r="D230" t="inlineStr">
        <is>
          <t>ÖREBRO LÄN</t>
        </is>
      </c>
      <c r="E230" t="inlineStr">
        <is>
          <t>LINDESBERG</t>
        </is>
      </c>
      <c r="F230" t="inlineStr">
        <is>
          <t>Naturvårdsverket</t>
        </is>
      </c>
      <c r="G230" t="n">
        <v>2.3</v>
      </c>
      <c r="H230" t="n">
        <v>0</v>
      </c>
      <c r="I230" t="n">
        <v>0</v>
      </c>
      <c r="J230" t="n">
        <v>0</v>
      </c>
      <c r="K230" t="n">
        <v>0</v>
      </c>
      <c r="L230" t="n">
        <v>0</v>
      </c>
      <c r="M230" t="n">
        <v>0</v>
      </c>
      <c r="N230" t="n">
        <v>0</v>
      </c>
      <c r="O230" t="n">
        <v>0</v>
      </c>
      <c r="P230" t="n">
        <v>0</v>
      </c>
      <c r="Q230" t="n">
        <v>0</v>
      </c>
      <c r="R230" s="2" t="inlineStr"/>
    </row>
    <row r="231" ht="15" customHeight="1">
      <c r="A231" t="inlineStr">
        <is>
          <t>A 40305-2024</t>
        </is>
      </c>
      <c r="B231" s="1" t="n">
        <v>45554.71863425926</v>
      </c>
      <c r="C231" s="1" t="n">
        <v>46140</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21012-2023</t>
        </is>
      </c>
      <c r="B232" s="1" t="n">
        <v>45061.52474537037</v>
      </c>
      <c r="C232" s="1" t="n">
        <v>46140</v>
      </c>
      <c r="D232" t="inlineStr">
        <is>
          <t>ÖREBRO LÄN</t>
        </is>
      </c>
      <c r="E232" t="inlineStr">
        <is>
          <t>LINDESBERG</t>
        </is>
      </c>
      <c r="G232" t="n">
        <v>0.5</v>
      </c>
      <c r="H232" t="n">
        <v>0</v>
      </c>
      <c r="I232" t="n">
        <v>0</v>
      </c>
      <c r="J232" t="n">
        <v>0</v>
      </c>
      <c r="K232" t="n">
        <v>0</v>
      </c>
      <c r="L232" t="n">
        <v>0</v>
      </c>
      <c r="M232" t="n">
        <v>0</v>
      </c>
      <c r="N232" t="n">
        <v>0</v>
      </c>
      <c r="O232" t="n">
        <v>0</v>
      </c>
      <c r="P232" t="n">
        <v>0</v>
      </c>
      <c r="Q232" t="n">
        <v>0</v>
      </c>
      <c r="R232" s="2" t="inlineStr"/>
    </row>
    <row r="233" ht="15" customHeight="1">
      <c r="A233" t="inlineStr">
        <is>
          <t>A 37432-2022</t>
        </is>
      </c>
      <c r="B233" s="1" t="n">
        <v>44809</v>
      </c>
      <c r="C233" s="1" t="n">
        <v>46140</v>
      </c>
      <c r="D233" t="inlineStr">
        <is>
          <t>ÖREBRO LÄN</t>
        </is>
      </c>
      <c r="E233" t="inlineStr">
        <is>
          <t>LINDESBERG</t>
        </is>
      </c>
      <c r="G233" t="n">
        <v>3.6</v>
      </c>
      <c r="H233" t="n">
        <v>0</v>
      </c>
      <c r="I233" t="n">
        <v>0</v>
      </c>
      <c r="J233" t="n">
        <v>0</v>
      </c>
      <c r="K233" t="n">
        <v>0</v>
      </c>
      <c r="L233" t="n">
        <v>0</v>
      </c>
      <c r="M233" t="n">
        <v>0</v>
      </c>
      <c r="N233" t="n">
        <v>0</v>
      </c>
      <c r="O233" t="n">
        <v>0</v>
      </c>
      <c r="P233" t="n">
        <v>0</v>
      </c>
      <c r="Q233" t="n">
        <v>0</v>
      </c>
      <c r="R233" s="2" t="inlineStr"/>
    </row>
    <row r="234" ht="15" customHeight="1">
      <c r="A234" t="inlineStr">
        <is>
          <t>A 27134-2024</t>
        </is>
      </c>
      <c r="B234" s="1" t="n">
        <v>45471.52878472222</v>
      </c>
      <c r="C234" s="1" t="n">
        <v>46140</v>
      </c>
      <c r="D234" t="inlineStr">
        <is>
          <t>ÖREBRO LÄN</t>
        </is>
      </c>
      <c r="E234" t="inlineStr">
        <is>
          <t>LINDESBERG</t>
        </is>
      </c>
      <c r="G234" t="n">
        <v>0.7</v>
      </c>
      <c r="H234" t="n">
        <v>0</v>
      </c>
      <c r="I234" t="n">
        <v>0</v>
      </c>
      <c r="J234" t="n">
        <v>0</v>
      </c>
      <c r="K234" t="n">
        <v>0</v>
      </c>
      <c r="L234" t="n">
        <v>0</v>
      </c>
      <c r="M234" t="n">
        <v>0</v>
      </c>
      <c r="N234" t="n">
        <v>0</v>
      </c>
      <c r="O234" t="n">
        <v>0</v>
      </c>
      <c r="P234" t="n">
        <v>0</v>
      </c>
      <c r="Q234" t="n">
        <v>0</v>
      </c>
      <c r="R234" s="2" t="inlineStr"/>
    </row>
    <row r="235" ht="15" customHeight="1">
      <c r="A235" t="inlineStr">
        <is>
          <t>A 53054-2022</t>
        </is>
      </c>
      <c r="B235" s="1" t="n">
        <v>44876.35706018518</v>
      </c>
      <c r="C235" s="1" t="n">
        <v>46140</v>
      </c>
      <c r="D235" t="inlineStr">
        <is>
          <t>ÖREBRO LÄN</t>
        </is>
      </c>
      <c r="E235" t="inlineStr">
        <is>
          <t>LINDESBERG</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24944-2024</t>
        </is>
      </c>
      <c r="B236" s="1" t="n">
        <v>45461.62924768519</v>
      </c>
      <c r="C236" s="1" t="n">
        <v>46140</v>
      </c>
      <c r="D236" t="inlineStr">
        <is>
          <t>ÖREBRO LÄN</t>
        </is>
      </c>
      <c r="E236" t="inlineStr">
        <is>
          <t>LINDESBERG</t>
        </is>
      </c>
      <c r="F236" t="inlineStr">
        <is>
          <t>Kyrkan</t>
        </is>
      </c>
      <c r="G236" t="n">
        <v>13.7</v>
      </c>
      <c r="H236" t="n">
        <v>0</v>
      </c>
      <c r="I236" t="n">
        <v>0</v>
      </c>
      <c r="J236" t="n">
        <v>0</v>
      </c>
      <c r="K236" t="n">
        <v>0</v>
      </c>
      <c r="L236" t="n">
        <v>0</v>
      </c>
      <c r="M236" t="n">
        <v>0</v>
      </c>
      <c r="N236" t="n">
        <v>0</v>
      </c>
      <c r="O236" t="n">
        <v>0</v>
      </c>
      <c r="P236" t="n">
        <v>0</v>
      </c>
      <c r="Q236" t="n">
        <v>0</v>
      </c>
      <c r="R236" s="2" t="inlineStr"/>
    </row>
    <row r="237" ht="15" customHeight="1">
      <c r="A237" t="inlineStr">
        <is>
          <t>A 50619-2022</t>
        </is>
      </c>
      <c r="B237" s="1" t="n">
        <v>44866.79668981482</v>
      </c>
      <c r="C237" s="1" t="n">
        <v>46140</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46603-2021</t>
        </is>
      </c>
      <c r="B238" s="1" t="n">
        <v>44445</v>
      </c>
      <c r="C238" s="1" t="n">
        <v>46140</v>
      </c>
      <c r="D238" t="inlineStr">
        <is>
          <t>ÖREBRO LÄN</t>
        </is>
      </c>
      <c r="E238" t="inlineStr">
        <is>
          <t>LINDESBERG</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23641-2024</t>
        </is>
      </c>
      <c r="B239" s="1" t="n">
        <v>45454.49679398148</v>
      </c>
      <c r="C239" s="1" t="n">
        <v>46140</v>
      </c>
      <c r="D239" t="inlineStr">
        <is>
          <t>ÖREBRO LÄN</t>
        </is>
      </c>
      <c r="E239" t="inlineStr">
        <is>
          <t>LINDESBERG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41343-2021</t>
        </is>
      </c>
      <c r="B240" s="1" t="n">
        <v>44424.61709490741</v>
      </c>
      <c r="C240" s="1" t="n">
        <v>46140</v>
      </c>
      <c r="D240" t="inlineStr">
        <is>
          <t>ÖREBRO LÄN</t>
        </is>
      </c>
      <c r="E240" t="inlineStr">
        <is>
          <t>LINDESBERG</t>
        </is>
      </c>
      <c r="G240" t="n">
        <v>8.9</v>
      </c>
      <c r="H240" t="n">
        <v>0</v>
      </c>
      <c r="I240" t="n">
        <v>0</v>
      </c>
      <c r="J240" t="n">
        <v>0</v>
      </c>
      <c r="K240" t="n">
        <v>0</v>
      </c>
      <c r="L240" t="n">
        <v>0</v>
      </c>
      <c r="M240" t="n">
        <v>0</v>
      </c>
      <c r="N240" t="n">
        <v>0</v>
      </c>
      <c r="O240" t="n">
        <v>0</v>
      </c>
      <c r="P240" t="n">
        <v>0</v>
      </c>
      <c r="Q240" t="n">
        <v>0</v>
      </c>
      <c r="R240" s="2" t="inlineStr"/>
    </row>
    <row r="241" ht="15" customHeight="1">
      <c r="A241" t="inlineStr">
        <is>
          <t>A 4067-2024</t>
        </is>
      </c>
      <c r="B241" s="1" t="n">
        <v>45323</v>
      </c>
      <c r="C241" s="1" t="n">
        <v>46140</v>
      </c>
      <c r="D241" t="inlineStr">
        <is>
          <t>ÖREBRO LÄN</t>
        </is>
      </c>
      <c r="E241" t="inlineStr">
        <is>
          <t>LINDESBERG</t>
        </is>
      </c>
      <c r="G241" t="n">
        <v>1</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46140</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28032-2023</t>
        </is>
      </c>
      <c r="B243" s="1" t="n">
        <v>45099</v>
      </c>
      <c r="C243" s="1" t="n">
        <v>46140</v>
      </c>
      <c r="D243" t="inlineStr">
        <is>
          <t>ÖREBRO LÄN</t>
        </is>
      </c>
      <c r="E243" t="inlineStr">
        <is>
          <t>LINDESBERG</t>
        </is>
      </c>
      <c r="F243" t="inlineStr">
        <is>
          <t>Kyrkan</t>
        </is>
      </c>
      <c r="G243" t="n">
        <v>0.7</v>
      </c>
      <c r="H243" t="n">
        <v>0</v>
      </c>
      <c r="I243" t="n">
        <v>0</v>
      </c>
      <c r="J243" t="n">
        <v>0</v>
      </c>
      <c r="K243" t="n">
        <v>0</v>
      </c>
      <c r="L243" t="n">
        <v>0</v>
      </c>
      <c r="M243" t="n">
        <v>0</v>
      </c>
      <c r="N243" t="n">
        <v>0</v>
      </c>
      <c r="O243" t="n">
        <v>0</v>
      </c>
      <c r="P243" t="n">
        <v>0</v>
      </c>
      <c r="Q243" t="n">
        <v>0</v>
      </c>
      <c r="R243" s="2" t="inlineStr"/>
    </row>
    <row r="244" ht="15" customHeight="1">
      <c r="A244" t="inlineStr">
        <is>
          <t>A 38762-2021</t>
        </is>
      </c>
      <c r="B244" s="1" t="n">
        <v>44410.61837962963</v>
      </c>
      <c r="C244" s="1" t="n">
        <v>46140</v>
      </c>
      <c r="D244" t="inlineStr">
        <is>
          <t>ÖREBRO LÄN</t>
        </is>
      </c>
      <c r="E244" t="inlineStr">
        <is>
          <t>LINDESBERG</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30767-2023</t>
        </is>
      </c>
      <c r="B245" s="1" t="n">
        <v>45112.67952546296</v>
      </c>
      <c r="C245" s="1" t="n">
        <v>46140</v>
      </c>
      <c r="D245" t="inlineStr">
        <is>
          <t>ÖREBRO LÄN</t>
        </is>
      </c>
      <c r="E245" t="inlineStr">
        <is>
          <t>LINDESBERG</t>
        </is>
      </c>
      <c r="G245" t="n">
        <v>3.9</v>
      </c>
      <c r="H245" t="n">
        <v>0</v>
      </c>
      <c r="I245" t="n">
        <v>0</v>
      </c>
      <c r="J245" t="n">
        <v>0</v>
      </c>
      <c r="K245" t="n">
        <v>0</v>
      </c>
      <c r="L245" t="n">
        <v>0</v>
      </c>
      <c r="M245" t="n">
        <v>0</v>
      </c>
      <c r="N245" t="n">
        <v>0</v>
      </c>
      <c r="O245" t="n">
        <v>0</v>
      </c>
      <c r="P245" t="n">
        <v>0</v>
      </c>
      <c r="Q245" t="n">
        <v>0</v>
      </c>
      <c r="R245" s="2" t="inlineStr"/>
    </row>
    <row r="246" ht="15" customHeight="1">
      <c r="A246" t="inlineStr">
        <is>
          <t>A 63508-2023</t>
        </is>
      </c>
      <c r="B246" s="1" t="n">
        <v>45274</v>
      </c>
      <c r="C246" s="1" t="n">
        <v>46140</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36280-2023</t>
        </is>
      </c>
      <c r="B247" s="1" t="n">
        <v>45152.34586805556</v>
      </c>
      <c r="C247" s="1" t="n">
        <v>46140</v>
      </c>
      <c r="D247" t="inlineStr">
        <is>
          <t>ÖREBRO LÄN</t>
        </is>
      </c>
      <c r="E247" t="inlineStr">
        <is>
          <t>LINDESBERG</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33284-2024</t>
        </is>
      </c>
      <c r="B248" s="1" t="n">
        <v>45518.71721064814</v>
      </c>
      <c r="C248" s="1" t="n">
        <v>46140</v>
      </c>
      <c r="D248" t="inlineStr">
        <is>
          <t>ÖREBRO LÄN</t>
        </is>
      </c>
      <c r="E248" t="inlineStr">
        <is>
          <t>LINDESBERG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33978-2023</t>
        </is>
      </c>
      <c r="B249" s="1" t="n">
        <v>45134.68158564815</v>
      </c>
      <c r="C249" s="1" t="n">
        <v>46140</v>
      </c>
      <c r="D249" t="inlineStr">
        <is>
          <t>ÖREBRO LÄN</t>
        </is>
      </c>
      <c r="E249" t="inlineStr">
        <is>
          <t>LINDESBERG</t>
        </is>
      </c>
      <c r="G249" t="n">
        <v>4.1</v>
      </c>
      <c r="H249" t="n">
        <v>0</v>
      </c>
      <c r="I249" t="n">
        <v>0</v>
      </c>
      <c r="J249" t="n">
        <v>0</v>
      </c>
      <c r="K249" t="n">
        <v>0</v>
      </c>
      <c r="L249" t="n">
        <v>0</v>
      </c>
      <c r="M249" t="n">
        <v>0</v>
      </c>
      <c r="N249" t="n">
        <v>0</v>
      </c>
      <c r="O249" t="n">
        <v>0</v>
      </c>
      <c r="P249" t="n">
        <v>0</v>
      </c>
      <c r="Q249" t="n">
        <v>0</v>
      </c>
      <c r="R249" s="2" t="inlineStr"/>
    </row>
    <row r="250" ht="15" customHeight="1">
      <c r="A250" t="inlineStr">
        <is>
          <t>A 54705-2022</t>
        </is>
      </c>
      <c r="B250" s="1" t="n">
        <v>44883</v>
      </c>
      <c r="C250" s="1" t="n">
        <v>46140</v>
      </c>
      <c r="D250" t="inlineStr">
        <is>
          <t>ÖREBRO LÄN</t>
        </is>
      </c>
      <c r="E250" t="inlineStr">
        <is>
          <t>LINDESBERG</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36015-2021</t>
        </is>
      </c>
      <c r="B251" s="1" t="n">
        <v>44389</v>
      </c>
      <c r="C251" s="1" t="n">
        <v>46140</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36748-2024</t>
        </is>
      </c>
      <c r="B252" s="1" t="n">
        <v>45538.34460648148</v>
      </c>
      <c r="C252" s="1" t="n">
        <v>46140</v>
      </c>
      <c r="D252" t="inlineStr">
        <is>
          <t>ÖREBRO LÄN</t>
        </is>
      </c>
      <c r="E252" t="inlineStr">
        <is>
          <t>LINDESBERG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21390-2024</t>
        </is>
      </c>
      <c r="B253" s="1" t="n">
        <v>45441.30899305556</v>
      </c>
      <c r="C253" s="1" t="n">
        <v>46140</v>
      </c>
      <c r="D253" t="inlineStr">
        <is>
          <t>ÖREBRO LÄN</t>
        </is>
      </c>
      <c r="E253" t="inlineStr">
        <is>
          <t>LINDESBERG</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21392-2024</t>
        </is>
      </c>
      <c r="B254" s="1" t="n">
        <v>45441.30998842593</v>
      </c>
      <c r="C254" s="1" t="n">
        <v>46140</v>
      </c>
      <c r="D254" t="inlineStr">
        <is>
          <t>ÖREBRO LÄN</t>
        </is>
      </c>
      <c r="E254" t="inlineStr">
        <is>
          <t>LINDESBERG</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46140</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13305-2023</t>
        </is>
      </c>
      <c r="B256" s="1" t="n">
        <v>45005.35967592592</v>
      </c>
      <c r="C256" s="1" t="n">
        <v>46140</v>
      </c>
      <c r="D256" t="inlineStr">
        <is>
          <t>ÖREBRO LÄN</t>
        </is>
      </c>
      <c r="E256" t="inlineStr">
        <is>
          <t>LINDESBERG</t>
        </is>
      </c>
      <c r="G256" t="n">
        <v>5.5</v>
      </c>
      <c r="H256" t="n">
        <v>0</v>
      </c>
      <c r="I256" t="n">
        <v>0</v>
      </c>
      <c r="J256" t="n">
        <v>0</v>
      </c>
      <c r="K256" t="n">
        <v>0</v>
      </c>
      <c r="L256" t="n">
        <v>0</v>
      </c>
      <c r="M256" t="n">
        <v>0</v>
      </c>
      <c r="N256" t="n">
        <v>0</v>
      </c>
      <c r="O256" t="n">
        <v>0</v>
      </c>
      <c r="P256" t="n">
        <v>0</v>
      </c>
      <c r="Q256" t="n">
        <v>0</v>
      </c>
      <c r="R256" s="2" t="inlineStr"/>
    </row>
    <row r="257" ht="15" customHeight="1">
      <c r="A257" t="inlineStr">
        <is>
          <t>A 13368-2023</t>
        </is>
      </c>
      <c r="B257" s="1" t="n">
        <v>45005.47820601852</v>
      </c>
      <c r="C257" s="1" t="n">
        <v>46140</v>
      </c>
      <c r="D257" t="inlineStr">
        <is>
          <t>ÖREBRO LÄN</t>
        </is>
      </c>
      <c r="E257" t="inlineStr">
        <is>
          <t>LINDESBERG</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46140</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46140</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33280-2024</t>
        </is>
      </c>
      <c r="B260" s="1" t="n">
        <v>45518.71048611111</v>
      </c>
      <c r="C260" s="1" t="n">
        <v>46140</v>
      </c>
      <c r="D260" t="inlineStr">
        <is>
          <t>ÖREBRO LÄN</t>
        </is>
      </c>
      <c r="E260" t="inlineStr">
        <is>
          <t>LINDESBERG</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21468-2024</t>
        </is>
      </c>
      <c r="B261" s="1" t="n">
        <v>45441.48670138889</v>
      </c>
      <c r="C261" s="1" t="n">
        <v>46140</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54855-2024</t>
        </is>
      </c>
      <c r="B262" s="1" t="n">
        <v>45618.58622685185</v>
      </c>
      <c r="C262" s="1" t="n">
        <v>46140</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6727-2022</t>
        </is>
      </c>
      <c r="B263" s="1" t="n">
        <v>44602.45490740741</v>
      </c>
      <c r="C263" s="1" t="n">
        <v>46140</v>
      </c>
      <c r="D263" t="inlineStr">
        <is>
          <t>ÖREBRO LÄN</t>
        </is>
      </c>
      <c r="E263" t="inlineStr">
        <is>
          <t>LINDESBERG</t>
        </is>
      </c>
      <c r="G263" t="n">
        <v>0.8</v>
      </c>
      <c r="H263" t="n">
        <v>0</v>
      </c>
      <c r="I263" t="n">
        <v>0</v>
      </c>
      <c r="J263" t="n">
        <v>0</v>
      </c>
      <c r="K263" t="n">
        <v>0</v>
      </c>
      <c r="L263" t="n">
        <v>0</v>
      </c>
      <c r="M263" t="n">
        <v>0</v>
      </c>
      <c r="N263" t="n">
        <v>0</v>
      </c>
      <c r="O263" t="n">
        <v>0</v>
      </c>
      <c r="P263" t="n">
        <v>0</v>
      </c>
      <c r="Q263" t="n">
        <v>0</v>
      </c>
      <c r="R263" s="2" t="inlineStr"/>
    </row>
    <row r="264" ht="15" customHeight="1">
      <c r="A264" t="inlineStr">
        <is>
          <t>A 36893-2024</t>
        </is>
      </c>
      <c r="B264" s="1" t="n">
        <v>45538</v>
      </c>
      <c r="C264" s="1" t="n">
        <v>46140</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6723-2022</t>
        </is>
      </c>
      <c r="B265" s="1" t="n">
        <v>44602.45162037037</v>
      </c>
      <c r="C265" s="1" t="n">
        <v>46140</v>
      </c>
      <c r="D265" t="inlineStr">
        <is>
          <t>ÖREBRO LÄN</t>
        </is>
      </c>
      <c r="E265" t="inlineStr">
        <is>
          <t>LINDESBERG</t>
        </is>
      </c>
      <c r="G265" t="n">
        <v>4.2</v>
      </c>
      <c r="H265" t="n">
        <v>0</v>
      </c>
      <c r="I265" t="n">
        <v>0</v>
      </c>
      <c r="J265" t="n">
        <v>0</v>
      </c>
      <c r="K265" t="n">
        <v>0</v>
      </c>
      <c r="L265" t="n">
        <v>0</v>
      </c>
      <c r="M265" t="n">
        <v>0</v>
      </c>
      <c r="N265" t="n">
        <v>0</v>
      </c>
      <c r="O265" t="n">
        <v>0</v>
      </c>
      <c r="P265" t="n">
        <v>0</v>
      </c>
      <c r="Q265" t="n">
        <v>0</v>
      </c>
      <c r="R265" s="2" t="inlineStr"/>
    </row>
    <row r="266" ht="15" customHeight="1">
      <c r="A266" t="inlineStr">
        <is>
          <t>A 10564-2023</t>
        </is>
      </c>
      <c r="B266" s="1" t="n">
        <v>44988</v>
      </c>
      <c r="C266" s="1" t="n">
        <v>46140</v>
      </c>
      <c r="D266" t="inlineStr">
        <is>
          <t>ÖREBRO LÄN</t>
        </is>
      </c>
      <c r="E266" t="inlineStr">
        <is>
          <t>LINDESBERG</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13968-2025</t>
        </is>
      </c>
      <c r="B267" s="1" t="n">
        <v>45738.42981481482</v>
      </c>
      <c r="C267" s="1" t="n">
        <v>46140</v>
      </c>
      <c r="D267" t="inlineStr">
        <is>
          <t>ÖREBRO LÄN</t>
        </is>
      </c>
      <c r="E267" t="inlineStr">
        <is>
          <t>LINDESBERG</t>
        </is>
      </c>
      <c r="G267" t="n">
        <v>1.5</v>
      </c>
      <c r="H267" t="n">
        <v>0</v>
      </c>
      <c r="I267" t="n">
        <v>0</v>
      </c>
      <c r="J267" t="n">
        <v>0</v>
      </c>
      <c r="K267" t="n">
        <v>0</v>
      </c>
      <c r="L267" t="n">
        <v>0</v>
      </c>
      <c r="M267" t="n">
        <v>0</v>
      </c>
      <c r="N267" t="n">
        <v>0</v>
      </c>
      <c r="O267" t="n">
        <v>0</v>
      </c>
      <c r="P267" t="n">
        <v>0</v>
      </c>
      <c r="Q267" t="n">
        <v>0</v>
      </c>
      <c r="R267" s="2" t="inlineStr"/>
    </row>
    <row r="268" ht="15" customHeight="1">
      <c r="A268" t="inlineStr">
        <is>
          <t>A 11581-2024</t>
        </is>
      </c>
      <c r="B268" s="1" t="n">
        <v>45373.34383101852</v>
      </c>
      <c r="C268" s="1" t="n">
        <v>46140</v>
      </c>
      <c r="D268" t="inlineStr">
        <is>
          <t>ÖREBRO LÄN</t>
        </is>
      </c>
      <c r="E268" t="inlineStr">
        <is>
          <t>LINDESBERG</t>
        </is>
      </c>
      <c r="F268" t="inlineStr">
        <is>
          <t>BillerudKorsnäs AB</t>
        </is>
      </c>
      <c r="G268" t="n">
        <v>3.9</v>
      </c>
      <c r="H268" t="n">
        <v>0</v>
      </c>
      <c r="I268" t="n">
        <v>0</v>
      </c>
      <c r="J268" t="n">
        <v>0</v>
      </c>
      <c r="K268" t="n">
        <v>0</v>
      </c>
      <c r="L268" t="n">
        <v>0</v>
      </c>
      <c r="M268" t="n">
        <v>0</v>
      </c>
      <c r="N268" t="n">
        <v>0</v>
      </c>
      <c r="O268" t="n">
        <v>0</v>
      </c>
      <c r="P268" t="n">
        <v>0</v>
      </c>
      <c r="Q268" t="n">
        <v>0</v>
      </c>
      <c r="R268" s="2" t="inlineStr"/>
    </row>
    <row r="269" ht="15" customHeight="1">
      <c r="A269" t="inlineStr">
        <is>
          <t>A 4997-2024</t>
        </is>
      </c>
      <c r="B269" s="1" t="n">
        <v>45329</v>
      </c>
      <c r="C269" s="1" t="n">
        <v>46140</v>
      </c>
      <c r="D269" t="inlineStr">
        <is>
          <t>ÖREBRO LÄN</t>
        </is>
      </c>
      <c r="E269" t="inlineStr">
        <is>
          <t>LINDESBERG</t>
        </is>
      </c>
      <c r="F269" t="inlineStr">
        <is>
          <t>BillerudKorsnäs AB</t>
        </is>
      </c>
      <c r="G269" t="n">
        <v>3</v>
      </c>
      <c r="H269" t="n">
        <v>0</v>
      </c>
      <c r="I269" t="n">
        <v>0</v>
      </c>
      <c r="J269" t="n">
        <v>0</v>
      </c>
      <c r="K269" t="n">
        <v>0</v>
      </c>
      <c r="L269" t="n">
        <v>0</v>
      </c>
      <c r="M269" t="n">
        <v>0</v>
      </c>
      <c r="N269" t="n">
        <v>0</v>
      </c>
      <c r="O269" t="n">
        <v>0</v>
      </c>
      <c r="P269" t="n">
        <v>0</v>
      </c>
      <c r="Q269" t="n">
        <v>0</v>
      </c>
      <c r="R269" s="2" t="inlineStr"/>
    </row>
    <row r="270" ht="15" customHeight="1">
      <c r="A270" t="inlineStr">
        <is>
          <t>A 61222-2022</t>
        </is>
      </c>
      <c r="B270" s="1" t="n">
        <v>44909</v>
      </c>
      <c r="C270" s="1" t="n">
        <v>46140</v>
      </c>
      <c r="D270" t="inlineStr">
        <is>
          <t>ÖREBRO LÄN</t>
        </is>
      </c>
      <c r="E270" t="inlineStr">
        <is>
          <t>LINDESBERG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72331-2021</t>
        </is>
      </c>
      <c r="B271" s="1" t="n">
        <v>44544</v>
      </c>
      <c r="C271" s="1" t="n">
        <v>46140</v>
      </c>
      <c r="D271" t="inlineStr">
        <is>
          <t>ÖREBRO LÄN</t>
        </is>
      </c>
      <c r="E271" t="inlineStr">
        <is>
          <t>LINDESBERG</t>
        </is>
      </c>
      <c r="G271" t="n">
        <v>1.5</v>
      </c>
      <c r="H271" t="n">
        <v>0</v>
      </c>
      <c r="I271" t="n">
        <v>0</v>
      </c>
      <c r="J271" t="n">
        <v>0</v>
      </c>
      <c r="K271" t="n">
        <v>0</v>
      </c>
      <c r="L271" t="n">
        <v>0</v>
      </c>
      <c r="M271" t="n">
        <v>0</v>
      </c>
      <c r="N271" t="n">
        <v>0</v>
      </c>
      <c r="O271" t="n">
        <v>0</v>
      </c>
      <c r="P271" t="n">
        <v>0</v>
      </c>
      <c r="Q271" t="n">
        <v>0</v>
      </c>
      <c r="R271" s="2" t="inlineStr"/>
    </row>
    <row r="272" ht="15" customHeight="1">
      <c r="A272" t="inlineStr">
        <is>
          <t>A 14185-2024</t>
        </is>
      </c>
      <c r="B272" s="1" t="n">
        <v>45393.3562962963</v>
      </c>
      <c r="C272" s="1" t="n">
        <v>46140</v>
      </c>
      <c r="D272" t="inlineStr">
        <is>
          <t>ÖREBRO LÄN</t>
        </is>
      </c>
      <c r="E272" t="inlineStr">
        <is>
          <t>LINDESBERG</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11218-2025</t>
        </is>
      </c>
      <c r="B273" s="1" t="n">
        <v>45726.33763888889</v>
      </c>
      <c r="C273" s="1" t="n">
        <v>46140</v>
      </c>
      <c r="D273" t="inlineStr">
        <is>
          <t>ÖREBRO LÄN</t>
        </is>
      </c>
      <c r="E273" t="inlineStr">
        <is>
          <t>LINDESBERG</t>
        </is>
      </c>
      <c r="G273" t="n">
        <v>0.4</v>
      </c>
      <c r="H273" t="n">
        <v>0</v>
      </c>
      <c r="I273" t="n">
        <v>0</v>
      </c>
      <c r="J273" t="n">
        <v>0</v>
      </c>
      <c r="K273" t="n">
        <v>0</v>
      </c>
      <c r="L273" t="n">
        <v>0</v>
      </c>
      <c r="M273" t="n">
        <v>0</v>
      </c>
      <c r="N273" t="n">
        <v>0</v>
      </c>
      <c r="O273" t="n">
        <v>0</v>
      </c>
      <c r="P273" t="n">
        <v>0</v>
      </c>
      <c r="Q273" t="n">
        <v>0</v>
      </c>
      <c r="R273" s="2" t="inlineStr"/>
    </row>
    <row r="274" ht="15" customHeight="1">
      <c r="A274" t="inlineStr">
        <is>
          <t>A 11220-2025</t>
        </is>
      </c>
      <c r="B274" s="1" t="n">
        <v>45726.34090277777</v>
      </c>
      <c r="C274" s="1" t="n">
        <v>46140</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60941-2024</t>
        </is>
      </c>
      <c r="B275" s="1" t="n">
        <v>45645.3712037037</v>
      </c>
      <c r="C275" s="1" t="n">
        <v>46140</v>
      </c>
      <c r="D275" t="inlineStr">
        <is>
          <t>ÖREBRO LÄN</t>
        </is>
      </c>
      <c r="E275" t="inlineStr">
        <is>
          <t>LINDESBERG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45062-2022</t>
        </is>
      </c>
      <c r="B276" s="1" t="n">
        <v>44841</v>
      </c>
      <c r="C276" s="1" t="n">
        <v>46140</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43801-2024</t>
        </is>
      </c>
      <c r="B277" s="1" t="n">
        <v>45571.71736111111</v>
      </c>
      <c r="C277" s="1" t="n">
        <v>46140</v>
      </c>
      <c r="D277" t="inlineStr">
        <is>
          <t>ÖREBRO LÄN</t>
        </is>
      </c>
      <c r="E277" t="inlineStr">
        <is>
          <t>LINDESBERG</t>
        </is>
      </c>
      <c r="F277" t="inlineStr">
        <is>
          <t>Sveaskog</t>
        </is>
      </c>
      <c r="G277" t="n">
        <v>2.1</v>
      </c>
      <c r="H277" t="n">
        <v>0</v>
      </c>
      <c r="I277" t="n">
        <v>0</v>
      </c>
      <c r="J277" t="n">
        <v>0</v>
      </c>
      <c r="K277" t="n">
        <v>0</v>
      </c>
      <c r="L277" t="n">
        <v>0</v>
      </c>
      <c r="M277" t="n">
        <v>0</v>
      </c>
      <c r="N277" t="n">
        <v>0</v>
      </c>
      <c r="O277" t="n">
        <v>0</v>
      </c>
      <c r="P277" t="n">
        <v>0</v>
      </c>
      <c r="Q277" t="n">
        <v>0</v>
      </c>
      <c r="R277" s="2" t="inlineStr"/>
    </row>
    <row r="278" ht="15" customHeight="1">
      <c r="A278" t="inlineStr">
        <is>
          <t>A 36754-2024</t>
        </is>
      </c>
      <c r="B278" s="1" t="n">
        <v>45538.34796296297</v>
      </c>
      <c r="C278" s="1" t="n">
        <v>46140</v>
      </c>
      <c r="D278" t="inlineStr">
        <is>
          <t>ÖREBRO LÄN</t>
        </is>
      </c>
      <c r="E278" t="inlineStr">
        <is>
          <t>LINDESBERG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33428-2024</t>
        </is>
      </c>
      <c r="B279" s="1" t="n">
        <v>45519.52319444445</v>
      </c>
      <c r="C279" s="1" t="n">
        <v>46140</v>
      </c>
      <c r="D279" t="inlineStr">
        <is>
          <t>ÖREBRO LÄN</t>
        </is>
      </c>
      <c r="E279" t="inlineStr">
        <is>
          <t>LINDESBERG</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64365-2023</t>
        </is>
      </c>
      <c r="B280" s="1" t="n">
        <v>45280</v>
      </c>
      <c r="C280" s="1" t="n">
        <v>46140</v>
      </c>
      <c r="D280" t="inlineStr">
        <is>
          <t>ÖREBRO LÄN</t>
        </is>
      </c>
      <c r="E280" t="inlineStr">
        <is>
          <t>LINDESBERG</t>
        </is>
      </c>
      <c r="F280" t="inlineStr">
        <is>
          <t>Kyrkan</t>
        </is>
      </c>
      <c r="G280" t="n">
        <v>1.4</v>
      </c>
      <c r="H280" t="n">
        <v>0</v>
      </c>
      <c r="I280" t="n">
        <v>0</v>
      </c>
      <c r="J280" t="n">
        <v>0</v>
      </c>
      <c r="K280" t="n">
        <v>0</v>
      </c>
      <c r="L280" t="n">
        <v>0</v>
      </c>
      <c r="M280" t="n">
        <v>0</v>
      </c>
      <c r="N280" t="n">
        <v>0</v>
      </c>
      <c r="O280" t="n">
        <v>0</v>
      </c>
      <c r="P280" t="n">
        <v>0</v>
      </c>
      <c r="Q280" t="n">
        <v>0</v>
      </c>
      <c r="R280" s="2" t="inlineStr"/>
    </row>
    <row r="281" ht="15" customHeight="1">
      <c r="A281" t="inlineStr">
        <is>
          <t>A 50964-2023</t>
        </is>
      </c>
      <c r="B281" s="1" t="n">
        <v>45218.488125</v>
      </c>
      <c r="C281" s="1" t="n">
        <v>46140</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37738-2024</t>
        </is>
      </c>
      <c r="B282" s="1" t="n">
        <v>45541.66916666667</v>
      </c>
      <c r="C282" s="1" t="n">
        <v>46140</v>
      </c>
      <c r="D282" t="inlineStr">
        <is>
          <t>ÖREBRO LÄN</t>
        </is>
      </c>
      <c r="E282" t="inlineStr">
        <is>
          <t>LINDESBERG</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33282-2024</t>
        </is>
      </c>
      <c r="B283" s="1" t="n">
        <v>45518.71482638889</v>
      </c>
      <c r="C283" s="1" t="n">
        <v>46140</v>
      </c>
      <c r="D283" t="inlineStr">
        <is>
          <t>ÖREBRO LÄN</t>
        </is>
      </c>
      <c r="E283" t="inlineStr">
        <is>
          <t>LINDESBERG</t>
        </is>
      </c>
      <c r="G283" t="n">
        <v>7.5</v>
      </c>
      <c r="H283" t="n">
        <v>0</v>
      </c>
      <c r="I283" t="n">
        <v>0</v>
      </c>
      <c r="J283" t="n">
        <v>0</v>
      </c>
      <c r="K283" t="n">
        <v>0</v>
      </c>
      <c r="L283" t="n">
        <v>0</v>
      </c>
      <c r="M283" t="n">
        <v>0</v>
      </c>
      <c r="N283" t="n">
        <v>0</v>
      </c>
      <c r="O283" t="n">
        <v>0</v>
      </c>
      <c r="P283" t="n">
        <v>0</v>
      </c>
      <c r="Q283" t="n">
        <v>0</v>
      </c>
      <c r="R283" s="2" t="inlineStr"/>
    </row>
    <row r="284" ht="15" customHeight="1">
      <c r="A284" t="inlineStr">
        <is>
          <t>A 73860-2021</t>
        </is>
      </c>
      <c r="B284" s="1" t="n">
        <v>44553.35407407407</v>
      </c>
      <c r="C284" s="1" t="n">
        <v>46140</v>
      </c>
      <c r="D284" t="inlineStr">
        <is>
          <t>ÖREBRO LÄN</t>
        </is>
      </c>
      <c r="E284" t="inlineStr">
        <is>
          <t>LINDESBERG</t>
        </is>
      </c>
      <c r="G284" t="n">
        <v>12.7</v>
      </c>
      <c r="H284" t="n">
        <v>0</v>
      </c>
      <c r="I284" t="n">
        <v>0</v>
      </c>
      <c r="J284" t="n">
        <v>0</v>
      </c>
      <c r="K284" t="n">
        <v>0</v>
      </c>
      <c r="L284" t="n">
        <v>0</v>
      </c>
      <c r="M284" t="n">
        <v>0</v>
      </c>
      <c r="N284" t="n">
        <v>0</v>
      </c>
      <c r="O284" t="n">
        <v>0</v>
      </c>
      <c r="P284" t="n">
        <v>0</v>
      </c>
      <c r="Q284" t="n">
        <v>0</v>
      </c>
      <c r="R284" s="2" t="inlineStr"/>
    </row>
    <row r="285" ht="15" customHeight="1">
      <c r="A285" t="inlineStr">
        <is>
          <t>A 15895-2025</t>
        </is>
      </c>
      <c r="B285" s="1" t="n">
        <v>45749</v>
      </c>
      <c r="C285" s="1" t="n">
        <v>46140</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15941-2025</t>
        </is>
      </c>
      <c r="B286" s="1" t="n">
        <v>45749</v>
      </c>
      <c r="C286" s="1" t="n">
        <v>46140</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59766-2022</t>
        </is>
      </c>
      <c r="B287" s="1" t="n">
        <v>44908.49152777778</v>
      </c>
      <c r="C287" s="1" t="n">
        <v>46140</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5358-2022</t>
        </is>
      </c>
      <c r="B288" s="1" t="n">
        <v>44594.84091435185</v>
      </c>
      <c r="C288" s="1" t="n">
        <v>46140</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13884-2023</t>
        </is>
      </c>
      <c r="B289" s="1" t="n">
        <v>45007</v>
      </c>
      <c r="C289" s="1" t="n">
        <v>46140</v>
      </c>
      <c r="D289" t="inlineStr">
        <is>
          <t>ÖREBRO LÄN</t>
        </is>
      </c>
      <c r="E289" t="inlineStr">
        <is>
          <t>LINDESBERG</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54862-2024</t>
        </is>
      </c>
      <c r="B290" s="1" t="n">
        <v>45618</v>
      </c>
      <c r="C290" s="1" t="n">
        <v>46140</v>
      </c>
      <c r="D290" t="inlineStr">
        <is>
          <t>ÖREBRO LÄN</t>
        </is>
      </c>
      <c r="E290" t="inlineStr">
        <is>
          <t>LINDESBERG</t>
        </is>
      </c>
      <c r="F290" t="inlineStr">
        <is>
          <t>Sveaskog</t>
        </is>
      </c>
      <c r="G290" t="n">
        <v>12.2</v>
      </c>
      <c r="H290" t="n">
        <v>0</v>
      </c>
      <c r="I290" t="n">
        <v>0</v>
      </c>
      <c r="J290" t="n">
        <v>0</v>
      </c>
      <c r="K290" t="n">
        <v>0</v>
      </c>
      <c r="L290" t="n">
        <v>0</v>
      </c>
      <c r="M290" t="n">
        <v>0</v>
      </c>
      <c r="N290" t="n">
        <v>0</v>
      </c>
      <c r="O290" t="n">
        <v>0</v>
      </c>
      <c r="P290" t="n">
        <v>0</v>
      </c>
      <c r="Q290" t="n">
        <v>0</v>
      </c>
      <c r="R290" s="2" t="inlineStr"/>
    </row>
    <row r="291" ht="15" customHeight="1">
      <c r="A291" t="inlineStr">
        <is>
          <t>A 15324-2024</t>
        </is>
      </c>
      <c r="B291" s="1" t="n">
        <v>45400.66995370371</v>
      </c>
      <c r="C291" s="1" t="n">
        <v>46140</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1742-2022</t>
        </is>
      </c>
      <c r="B292" s="1" t="n">
        <v>44574.50425925926</v>
      </c>
      <c r="C292" s="1" t="n">
        <v>46140</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4539-2025</t>
        </is>
      </c>
      <c r="B293" s="1" t="n">
        <v>45687</v>
      </c>
      <c r="C293" s="1" t="n">
        <v>46140</v>
      </c>
      <c r="D293" t="inlineStr">
        <is>
          <t>ÖREBRO LÄN</t>
        </is>
      </c>
      <c r="E293" t="inlineStr">
        <is>
          <t>LINDESBERG</t>
        </is>
      </c>
      <c r="G293" t="n">
        <v>2.2</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46140</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44804-2024</t>
        </is>
      </c>
      <c r="B295" s="1" t="n">
        <v>45574.65189814815</v>
      </c>
      <c r="C295" s="1" t="n">
        <v>46140</v>
      </c>
      <c r="D295" t="inlineStr">
        <is>
          <t>ÖREBRO LÄN</t>
        </is>
      </c>
      <c r="E295" t="inlineStr">
        <is>
          <t>LINDESBERG</t>
        </is>
      </c>
      <c r="F295" t="inlineStr">
        <is>
          <t>Sveaskog</t>
        </is>
      </c>
      <c r="G295" t="n">
        <v>5.7</v>
      </c>
      <c r="H295" t="n">
        <v>0</v>
      </c>
      <c r="I295" t="n">
        <v>0</v>
      </c>
      <c r="J295" t="n">
        <v>0</v>
      </c>
      <c r="K295" t="n">
        <v>0</v>
      </c>
      <c r="L295" t="n">
        <v>0</v>
      </c>
      <c r="M295" t="n">
        <v>0</v>
      </c>
      <c r="N295" t="n">
        <v>0</v>
      </c>
      <c r="O295" t="n">
        <v>0</v>
      </c>
      <c r="P295" t="n">
        <v>0</v>
      </c>
      <c r="Q295" t="n">
        <v>0</v>
      </c>
      <c r="R295" s="2" t="inlineStr"/>
    </row>
    <row r="296" ht="15" customHeight="1">
      <c r="A296" t="inlineStr">
        <is>
          <t>A 42410-2024</t>
        </is>
      </c>
      <c r="B296" s="1" t="n">
        <v>45565</v>
      </c>
      <c r="C296" s="1" t="n">
        <v>46140</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8213-2023</t>
        </is>
      </c>
      <c r="B297" s="1" t="n">
        <v>44974.55693287037</v>
      </c>
      <c r="C297" s="1" t="n">
        <v>46140</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47066-2023</t>
        </is>
      </c>
      <c r="B298" s="1" t="n">
        <v>45201</v>
      </c>
      <c r="C298" s="1" t="n">
        <v>46140</v>
      </c>
      <c r="D298" t="inlineStr">
        <is>
          <t>ÖREBRO LÄN</t>
        </is>
      </c>
      <c r="E298" t="inlineStr">
        <is>
          <t>LINDESBERG</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55631-2022</t>
        </is>
      </c>
      <c r="B299" s="1" t="n">
        <v>44888.4577662037</v>
      </c>
      <c r="C299" s="1" t="n">
        <v>46140</v>
      </c>
      <c r="D299" t="inlineStr">
        <is>
          <t>ÖREBRO LÄN</t>
        </is>
      </c>
      <c r="E299" t="inlineStr">
        <is>
          <t>LINDESBERG</t>
        </is>
      </c>
      <c r="G299" t="n">
        <v>4.4</v>
      </c>
      <c r="H299" t="n">
        <v>0</v>
      </c>
      <c r="I299" t="n">
        <v>0</v>
      </c>
      <c r="J299" t="n">
        <v>0</v>
      </c>
      <c r="K299" t="n">
        <v>0</v>
      </c>
      <c r="L299" t="n">
        <v>0</v>
      </c>
      <c r="M299" t="n">
        <v>0</v>
      </c>
      <c r="N299" t="n">
        <v>0</v>
      </c>
      <c r="O299" t="n">
        <v>0</v>
      </c>
      <c r="P299" t="n">
        <v>0</v>
      </c>
      <c r="Q299" t="n">
        <v>0</v>
      </c>
      <c r="R299" s="2" t="inlineStr"/>
    </row>
    <row r="300" ht="15" customHeight="1">
      <c r="A300" t="inlineStr">
        <is>
          <t>A 42282-2024</t>
        </is>
      </c>
      <c r="B300" s="1" t="n">
        <v>45562.61158564815</v>
      </c>
      <c r="C300" s="1" t="n">
        <v>46140</v>
      </c>
      <c r="D300" t="inlineStr">
        <is>
          <t>ÖREBRO LÄN</t>
        </is>
      </c>
      <c r="E300" t="inlineStr">
        <is>
          <t>LINDESBERG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42430-2024</t>
        </is>
      </c>
      <c r="B301" s="1" t="n">
        <v>45565.40700231482</v>
      </c>
      <c r="C301" s="1" t="n">
        <v>46140</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15822-2024</t>
        </is>
      </c>
      <c r="B302" s="1" t="n">
        <v>45404.68190972223</v>
      </c>
      <c r="C302" s="1" t="n">
        <v>46140</v>
      </c>
      <c r="D302" t="inlineStr">
        <is>
          <t>ÖREBRO LÄN</t>
        </is>
      </c>
      <c r="E302" t="inlineStr">
        <is>
          <t>LINDESBERG</t>
        </is>
      </c>
      <c r="F302" t="inlineStr">
        <is>
          <t>Sveaskog</t>
        </is>
      </c>
      <c r="G302" t="n">
        <v>6.7</v>
      </c>
      <c r="H302" t="n">
        <v>0</v>
      </c>
      <c r="I302" t="n">
        <v>0</v>
      </c>
      <c r="J302" t="n">
        <v>0</v>
      </c>
      <c r="K302" t="n">
        <v>0</v>
      </c>
      <c r="L302" t="n">
        <v>0</v>
      </c>
      <c r="M302" t="n">
        <v>0</v>
      </c>
      <c r="N302" t="n">
        <v>0</v>
      </c>
      <c r="O302" t="n">
        <v>0</v>
      </c>
      <c r="P302" t="n">
        <v>0</v>
      </c>
      <c r="Q302" t="n">
        <v>0</v>
      </c>
      <c r="R302" s="2" t="inlineStr"/>
    </row>
    <row r="303" ht="15" customHeight="1">
      <c r="A303" t="inlineStr">
        <is>
          <t>A 3732-2023</t>
        </is>
      </c>
      <c r="B303" s="1" t="n">
        <v>44949</v>
      </c>
      <c r="C303" s="1" t="n">
        <v>46140</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40038-2024</t>
        </is>
      </c>
      <c r="B304" s="1" t="n">
        <v>45553</v>
      </c>
      <c r="C304" s="1" t="n">
        <v>46140</v>
      </c>
      <c r="D304" t="inlineStr">
        <is>
          <t>ÖREBRO LÄN</t>
        </is>
      </c>
      <c r="E304" t="inlineStr">
        <is>
          <t>LINDESBERG</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47155-2024</t>
        </is>
      </c>
      <c r="B305" s="1" t="n">
        <v>45586</v>
      </c>
      <c r="C305" s="1" t="n">
        <v>46140</v>
      </c>
      <c r="D305" t="inlineStr">
        <is>
          <t>ÖREBRO LÄN</t>
        </is>
      </c>
      <c r="E305" t="inlineStr">
        <is>
          <t>LINDESBERG</t>
        </is>
      </c>
      <c r="F305" t="inlineStr">
        <is>
          <t>Sveaskog</t>
        </is>
      </c>
      <c r="G305" t="n">
        <v>5.7</v>
      </c>
      <c r="H305" t="n">
        <v>0</v>
      </c>
      <c r="I305" t="n">
        <v>0</v>
      </c>
      <c r="J305" t="n">
        <v>0</v>
      </c>
      <c r="K305" t="n">
        <v>0</v>
      </c>
      <c r="L305" t="n">
        <v>0</v>
      </c>
      <c r="M305" t="n">
        <v>0</v>
      </c>
      <c r="N305" t="n">
        <v>0</v>
      </c>
      <c r="O305" t="n">
        <v>0</v>
      </c>
      <c r="P305" t="n">
        <v>0</v>
      </c>
      <c r="Q305" t="n">
        <v>0</v>
      </c>
      <c r="R305" s="2" t="inlineStr"/>
    </row>
    <row r="306" ht="15" customHeight="1">
      <c r="A306" t="inlineStr">
        <is>
          <t>A 47069-2023</t>
        </is>
      </c>
      <c r="B306" s="1" t="n">
        <v>45201</v>
      </c>
      <c r="C306" s="1" t="n">
        <v>46140</v>
      </c>
      <c r="D306" t="inlineStr">
        <is>
          <t>ÖREBRO LÄN</t>
        </is>
      </c>
      <c r="E306" t="inlineStr">
        <is>
          <t>LINDESBERG</t>
        </is>
      </c>
      <c r="F306" t="inlineStr">
        <is>
          <t>Sveaskog</t>
        </is>
      </c>
      <c r="G306" t="n">
        <v>9.4</v>
      </c>
      <c r="H306" t="n">
        <v>0</v>
      </c>
      <c r="I306" t="n">
        <v>0</v>
      </c>
      <c r="J306" t="n">
        <v>0</v>
      </c>
      <c r="K306" t="n">
        <v>0</v>
      </c>
      <c r="L306" t="n">
        <v>0</v>
      </c>
      <c r="M306" t="n">
        <v>0</v>
      </c>
      <c r="N306" t="n">
        <v>0</v>
      </c>
      <c r="O306" t="n">
        <v>0</v>
      </c>
      <c r="P306" t="n">
        <v>0</v>
      </c>
      <c r="Q306" t="n">
        <v>0</v>
      </c>
      <c r="R306" s="2" t="inlineStr"/>
    </row>
    <row r="307" ht="15" customHeight="1">
      <c r="A307" t="inlineStr">
        <is>
          <t>A 47074-2023</t>
        </is>
      </c>
      <c r="B307" s="1" t="n">
        <v>45201.60283564815</v>
      </c>
      <c r="C307" s="1" t="n">
        <v>46140</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53352-2023</t>
        </is>
      </c>
      <c r="B308" s="1" t="n">
        <v>45229.66262731481</v>
      </c>
      <c r="C308" s="1" t="n">
        <v>46140</v>
      </c>
      <c r="D308" t="inlineStr">
        <is>
          <t>ÖREBRO LÄN</t>
        </is>
      </c>
      <c r="E308" t="inlineStr">
        <is>
          <t>LINDESBERG</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14454-2024</t>
        </is>
      </c>
      <c r="B309" s="1" t="n">
        <v>45394.51289351852</v>
      </c>
      <c r="C309" s="1" t="n">
        <v>46140</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15213-2025</t>
        </is>
      </c>
      <c r="B310" s="1" t="n">
        <v>45744.57851851852</v>
      </c>
      <c r="C310" s="1" t="n">
        <v>46140</v>
      </c>
      <c r="D310" t="inlineStr">
        <is>
          <t>ÖREBRO LÄN</t>
        </is>
      </c>
      <c r="E310" t="inlineStr">
        <is>
          <t>LINDESBERG</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40303-2024</t>
        </is>
      </c>
      <c r="B311" s="1" t="n">
        <v>45554.7158912037</v>
      </c>
      <c r="C311" s="1" t="n">
        <v>46140</v>
      </c>
      <c r="D311" t="inlineStr">
        <is>
          <t>ÖREBRO LÄN</t>
        </is>
      </c>
      <c r="E311" t="inlineStr">
        <is>
          <t>LINDESBERG</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46678-2023</t>
        </is>
      </c>
      <c r="B312" s="1" t="n">
        <v>45194</v>
      </c>
      <c r="C312" s="1" t="n">
        <v>46140</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46484-2024</t>
        </is>
      </c>
      <c r="B313" s="1" t="n">
        <v>45582.57542824074</v>
      </c>
      <c r="C313" s="1" t="n">
        <v>46140</v>
      </c>
      <c r="D313" t="inlineStr">
        <is>
          <t>ÖREBRO LÄN</t>
        </is>
      </c>
      <c r="E313" t="inlineStr">
        <is>
          <t>LINDESBERG</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19436-2025</t>
        </is>
      </c>
      <c r="B314" s="1" t="n">
        <v>45769.98449074074</v>
      </c>
      <c r="C314" s="1" t="n">
        <v>46140</v>
      </c>
      <c r="D314" t="inlineStr">
        <is>
          <t>ÖREBRO LÄN</t>
        </is>
      </c>
      <c r="E314" t="inlineStr">
        <is>
          <t>LINDESBERG</t>
        </is>
      </c>
      <c r="G314" t="n">
        <v>1.2</v>
      </c>
      <c r="H314" t="n">
        <v>0</v>
      </c>
      <c r="I314" t="n">
        <v>0</v>
      </c>
      <c r="J314" t="n">
        <v>0</v>
      </c>
      <c r="K314" t="n">
        <v>0</v>
      </c>
      <c r="L314" t="n">
        <v>0</v>
      </c>
      <c r="M314" t="n">
        <v>0</v>
      </c>
      <c r="N314" t="n">
        <v>0</v>
      </c>
      <c r="O314" t="n">
        <v>0</v>
      </c>
      <c r="P314" t="n">
        <v>0</v>
      </c>
      <c r="Q314" t="n">
        <v>0</v>
      </c>
      <c r="R314" s="2" t="inlineStr"/>
    </row>
    <row r="315" ht="15" customHeight="1">
      <c r="A315" t="inlineStr">
        <is>
          <t>A 26967-2022</t>
        </is>
      </c>
      <c r="B315" s="1" t="n">
        <v>44740.66997685185</v>
      </c>
      <c r="C315" s="1" t="n">
        <v>46140</v>
      </c>
      <c r="D315" t="inlineStr">
        <is>
          <t>ÖREBRO LÄN</t>
        </is>
      </c>
      <c r="E315" t="inlineStr">
        <is>
          <t>LINDESBERG</t>
        </is>
      </c>
      <c r="G315" t="n">
        <v>1.6</v>
      </c>
      <c r="H315" t="n">
        <v>0</v>
      </c>
      <c r="I315" t="n">
        <v>0</v>
      </c>
      <c r="J315" t="n">
        <v>0</v>
      </c>
      <c r="K315" t="n">
        <v>0</v>
      </c>
      <c r="L315" t="n">
        <v>0</v>
      </c>
      <c r="M315" t="n">
        <v>0</v>
      </c>
      <c r="N315" t="n">
        <v>0</v>
      </c>
      <c r="O315" t="n">
        <v>0</v>
      </c>
      <c r="P315" t="n">
        <v>0</v>
      </c>
      <c r="Q315" t="n">
        <v>0</v>
      </c>
      <c r="R315" s="2" t="inlineStr"/>
    </row>
    <row r="316" ht="15" customHeight="1">
      <c r="A316" t="inlineStr">
        <is>
          <t>A 45978-2021</t>
        </is>
      </c>
      <c r="B316" s="1" t="n">
        <v>44441.70047453704</v>
      </c>
      <c r="C316" s="1" t="n">
        <v>46140</v>
      </c>
      <c r="D316" t="inlineStr">
        <is>
          <t>ÖREBRO LÄN</t>
        </is>
      </c>
      <c r="E316" t="inlineStr">
        <is>
          <t>LINDESBERG</t>
        </is>
      </c>
      <c r="G316" t="n">
        <v>4.4</v>
      </c>
      <c r="H316" t="n">
        <v>0</v>
      </c>
      <c r="I316" t="n">
        <v>0</v>
      </c>
      <c r="J316" t="n">
        <v>0</v>
      </c>
      <c r="K316" t="n">
        <v>0</v>
      </c>
      <c r="L316" t="n">
        <v>0</v>
      </c>
      <c r="M316" t="n">
        <v>0</v>
      </c>
      <c r="N316" t="n">
        <v>0</v>
      </c>
      <c r="O316" t="n">
        <v>0</v>
      </c>
      <c r="P316" t="n">
        <v>0</v>
      </c>
      <c r="Q316" t="n">
        <v>0</v>
      </c>
      <c r="R316" s="2" t="inlineStr"/>
    </row>
    <row r="317" ht="15" customHeight="1">
      <c r="A317" t="inlineStr">
        <is>
          <t>A 13350-2024</t>
        </is>
      </c>
      <c r="B317" s="1" t="n">
        <v>45387.24732638889</v>
      </c>
      <c r="C317" s="1" t="n">
        <v>46140</v>
      </c>
      <c r="D317" t="inlineStr">
        <is>
          <t>ÖREBRO LÄN</t>
        </is>
      </c>
      <c r="E317" t="inlineStr">
        <is>
          <t>LINDESBERG</t>
        </is>
      </c>
      <c r="G317" t="n">
        <v>4.1</v>
      </c>
      <c r="H317" t="n">
        <v>0</v>
      </c>
      <c r="I317" t="n">
        <v>0</v>
      </c>
      <c r="J317" t="n">
        <v>0</v>
      </c>
      <c r="K317" t="n">
        <v>0</v>
      </c>
      <c r="L317" t="n">
        <v>0</v>
      </c>
      <c r="M317" t="n">
        <v>0</v>
      </c>
      <c r="N317" t="n">
        <v>0</v>
      </c>
      <c r="O317" t="n">
        <v>0</v>
      </c>
      <c r="P317" t="n">
        <v>0</v>
      </c>
      <c r="Q317" t="n">
        <v>0</v>
      </c>
      <c r="R317" s="2" t="inlineStr"/>
    </row>
    <row r="318" ht="15" customHeight="1">
      <c r="A318" t="inlineStr">
        <is>
          <t>A 13351-2024</t>
        </is>
      </c>
      <c r="B318" s="1" t="n">
        <v>45387.2521875</v>
      </c>
      <c r="C318" s="1" t="n">
        <v>46140</v>
      </c>
      <c r="D318" t="inlineStr">
        <is>
          <t>ÖREBRO LÄN</t>
        </is>
      </c>
      <c r="E318" t="inlineStr">
        <is>
          <t>LINDESBERG</t>
        </is>
      </c>
      <c r="G318" t="n">
        <v>1.7</v>
      </c>
      <c r="H318" t="n">
        <v>0</v>
      </c>
      <c r="I318" t="n">
        <v>0</v>
      </c>
      <c r="J318" t="n">
        <v>0</v>
      </c>
      <c r="K318" t="n">
        <v>0</v>
      </c>
      <c r="L318" t="n">
        <v>0</v>
      </c>
      <c r="M318" t="n">
        <v>0</v>
      </c>
      <c r="N318" t="n">
        <v>0</v>
      </c>
      <c r="O318" t="n">
        <v>0</v>
      </c>
      <c r="P318" t="n">
        <v>0</v>
      </c>
      <c r="Q318" t="n">
        <v>0</v>
      </c>
      <c r="R318" s="2" t="inlineStr"/>
    </row>
    <row r="319" ht="15" customHeight="1">
      <c r="A319" t="inlineStr">
        <is>
          <t>A 2569-2023</t>
        </is>
      </c>
      <c r="B319" s="1" t="n">
        <v>44943.73792824074</v>
      </c>
      <c r="C319" s="1" t="n">
        <v>46140</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43529-2024</t>
        </is>
      </c>
      <c r="B320" s="1" t="n">
        <v>45569.35209490741</v>
      </c>
      <c r="C320" s="1" t="n">
        <v>46140</v>
      </c>
      <c r="D320" t="inlineStr">
        <is>
          <t>ÖREBRO LÄN</t>
        </is>
      </c>
      <c r="E320" t="inlineStr">
        <is>
          <t>LINDESBERG</t>
        </is>
      </c>
      <c r="G320" t="n">
        <v>2.8</v>
      </c>
      <c r="H320" t="n">
        <v>0</v>
      </c>
      <c r="I320" t="n">
        <v>0</v>
      </c>
      <c r="J320" t="n">
        <v>0</v>
      </c>
      <c r="K320" t="n">
        <v>0</v>
      </c>
      <c r="L320" t="n">
        <v>0</v>
      </c>
      <c r="M320" t="n">
        <v>0</v>
      </c>
      <c r="N320" t="n">
        <v>0</v>
      </c>
      <c r="O320" t="n">
        <v>0</v>
      </c>
      <c r="P320" t="n">
        <v>0</v>
      </c>
      <c r="Q320" t="n">
        <v>0</v>
      </c>
      <c r="R320" s="2" t="inlineStr"/>
    </row>
    <row r="321" ht="15" customHeight="1">
      <c r="A321" t="inlineStr">
        <is>
          <t>A 39137-2024</t>
        </is>
      </c>
      <c r="B321" s="1" t="n">
        <v>45548</v>
      </c>
      <c r="C321" s="1" t="n">
        <v>46140</v>
      </c>
      <c r="D321" t="inlineStr">
        <is>
          <t>ÖREBRO LÄN</t>
        </is>
      </c>
      <c r="E321" t="inlineStr">
        <is>
          <t>LINDESBERG</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39152-2024</t>
        </is>
      </c>
      <c r="B322" s="1" t="n">
        <v>45548</v>
      </c>
      <c r="C322" s="1" t="n">
        <v>46140</v>
      </c>
      <c r="D322" t="inlineStr">
        <is>
          <t>ÖREBRO LÄN</t>
        </is>
      </c>
      <c r="E322" t="inlineStr">
        <is>
          <t>LINDESBERG</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46607-2021</t>
        </is>
      </c>
      <c r="B323" s="1" t="n">
        <v>44445.55690972223</v>
      </c>
      <c r="C323" s="1" t="n">
        <v>46140</v>
      </c>
      <c r="D323" t="inlineStr">
        <is>
          <t>ÖREBRO LÄN</t>
        </is>
      </c>
      <c r="E323" t="inlineStr">
        <is>
          <t>LINDESBERG</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12053-2024</t>
        </is>
      </c>
      <c r="B324" s="1" t="n">
        <v>45377.48265046296</v>
      </c>
      <c r="C324" s="1" t="n">
        <v>46140</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9966-2023</t>
        </is>
      </c>
      <c r="B325" s="1" t="n">
        <v>44979</v>
      </c>
      <c r="C325" s="1" t="n">
        <v>46140</v>
      </c>
      <c r="D325" t="inlineStr">
        <is>
          <t>ÖREBRO LÄN</t>
        </is>
      </c>
      <c r="E325" t="inlineStr">
        <is>
          <t>LINDESBERG</t>
        </is>
      </c>
      <c r="G325" t="n">
        <v>4.1</v>
      </c>
      <c r="H325" t="n">
        <v>0</v>
      </c>
      <c r="I325" t="n">
        <v>0</v>
      </c>
      <c r="J325" t="n">
        <v>0</v>
      </c>
      <c r="K325" t="n">
        <v>0</v>
      </c>
      <c r="L325" t="n">
        <v>0</v>
      </c>
      <c r="M325" t="n">
        <v>0</v>
      </c>
      <c r="N325" t="n">
        <v>0</v>
      </c>
      <c r="O325" t="n">
        <v>0</v>
      </c>
      <c r="P325" t="n">
        <v>0</v>
      </c>
      <c r="Q325" t="n">
        <v>0</v>
      </c>
      <c r="R325" s="2" t="inlineStr"/>
    </row>
    <row r="326" ht="15" customHeight="1">
      <c r="A326" t="inlineStr">
        <is>
          <t>A 27051-2023</t>
        </is>
      </c>
      <c r="B326" s="1" t="n">
        <v>45095</v>
      </c>
      <c r="C326" s="1" t="n">
        <v>46140</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27052-2023</t>
        </is>
      </c>
      <c r="B327" s="1" t="n">
        <v>45095</v>
      </c>
      <c r="C327" s="1" t="n">
        <v>46140</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58710-2023</t>
        </is>
      </c>
      <c r="B328" s="1" t="n">
        <v>45251.696875</v>
      </c>
      <c r="C328" s="1" t="n">
        <v>46140</v>
      </c>
      <c r="D328" t="inlineStr">
        <is>
          <t>ÖREBRO LÄN</t>
        </is>
      </c>
      <c r="E328" t="inlineStr">
        <is>
          <t>LINDESBERG</t>
        </is>
      </c>
      <c r="G328" t="n">
        <v>6.3</v>
      </c>
      <c r="H328" t="n">
        <v>0</v>
      </c>
      <c r="I328" t="n">
        <v>0</v>
      </c>
      <c r="J328" t="n">
        <v>0</v>
      </c>
      <c r="K328" t="n">
        <v>0</v>
      </c>
      <c r="L328" t="n">
        <v>0</v>
      </c>
      <c r="M328" t="n">
        <v>0</v>
      </c>
      <c r="N328" t="n">
        <v>0</v>
      </c>
      <c r="O328" t="n">
        <v>0</v>
      </c>
      <c r="P328" t="n">
        <v>0</v>
      </c>
      <c r="Q328" t="n">
        <v>0</v>
      </c>
      <c r="R328" s="2" t="inlineStr"/>
    </row>
    <row r="329" ht="15" customHeight="1">
      <c r="A329" t="inlineStr">
        <is>
          <t>A 5772-2023</t>
        </is>
      </c>
      <c r="B329" s="1" t="n">
        <v>44963.37709490741</v>
      </c>
      <c r="C329" s="1" t="n">
        <v>46140</v>
      </c>
      <c r="D329" t="inlineStr">
        <is>
          <t>ÖREBRO LÄN</t>
        </is>
      </c>
      <c r="E329" t="inlineStr">
        <is>
          <t>LINDESBERG</t>
        </is>
      </c>
      <c r="G329" t="n">
        <v>3</v>
      </c>
      <c r="H329" t="n">
        <v>0</v>
      </c>
      <c r="I329" t="n">
        <v>0</v>
      </c>
      <c r="J329" t="n">
        <v>0</v>
      </c>
      <c r="K329" t="n">
        <v>0</v>
      </c>
      <c r="L329" t="n">
        <v>0</v>
      </c>
      <c r="M329" t="n">
        <v>0</v>
      </c>
      <c r="N329" t="n">
        <v>0</v>
      </c>
      <c r="O329" t="n">
        <v>0</v>
      </c>
      <c r="P329" t="n">
        <v>0</v>
      </c>
      <c r="Q329" t="n">
        <v>0</v>
      </c>
      <c r="R329" s="2" t="inlineStr"/>
    </row>
    <row r="330" ht="15" customHeight="1">
      <c r="A330" t="inlineStr">
        <is>
          <t>A 36859-2025</t>
        </is>
      </c>
      <c r="B330" s="1" t="n">
        <v>45874.40503472222</v>
      </c>
      <c r="C330" s="1" t="n">
        <v>46140</v>
      </c>
      <c r="D330" t="inlineStr">
        <is>
          <t>ÖREBRO LÄN</t>
        </is>
      </c>
      <c r="E330" t="inlineStr">
        <is>
          <t>LINDESBERG</t>
        </is>
      </c>
      <c r="F330" t="inlineStr">
        <is>
          <t>Övriga Aktiebolag</t>
        </is>
      </c>
      <c r="G330" t="n">
        <v>1.4</v>
      </c>
      <c r="H330" t="n">
        <v>0</v>
      </c>
      <c r="I330" t="n">
        <v>0</v>
      </c>
      <c r="J330" t="n">
        <v>0</v>
      </c>
      <c r="K330" t="n">
        <v>0</v>
      </c>
      <c r="L330" t="n">
        <v>0</v>
      </c>
      <c r="M330" t="n">
        <v>0</v>
      </c>
      <c r="N330" t="n">
        <v>0</v>
      </c>
      <c r="O330" t="n">
        <v>0</v>
      </c>
      <c r="P330" t="n">
        <v>0</v>
      </c>
      <c r="Q330" t="n">
        <v>0</v>
      </c>
      <c r="R330" s="2" t="inlineStr"/>
    </row>
    <row r="331" ht="15" customHeight="1">
      <c r="A331" t="inlineStr">
        <is>
          <t>A 20210-2024</t>
        </is>
      </c>
      <c r="B331" s="1" t="n">
        <v>45434.65854166666</v>
      </c>
      <c r="C331" s="1" t="n">
        <v>46140</v>
      </c>
      <c r="D331" t="inlineStr">
        <is>
          <t>ÖREBRO LÄN</t>
        </is>
      </c>
      <c r="E331" t="inlineStr">
        <is>
          <t>LINDESBERG</t>
        </is>
      </c>
      <c r="G331" t="n">
        <v>5.5</v>
      </c>
      <c r="H331" t="n">
        <v>0</v>
      </c>
      <c r="I331" t="n">
        <v>0</v>
      </c>
      <c r="J331" t="n">
        <v>0</v>
      </c>
      <c r="K331" t="n">
        <v>0</v>
      </c>
      <c r="L331" t="n">
        <v>0</v>
      </c>
      <c r="M331" t="n">
        <v>0</v>
      </c>
      <c r="N331" t="n">
        <v>0</v>
      </c>
      <c r="O331" t="n">
        <v>0</v>
      </c>
      <c r="P331" t="n">
        <v>0</v>
      </c>
      <c r="Q331" t="n">
        <v>0</v>
      </c>
      <c r="R331" s="2" t="inlineStr"/>
    </row>
    <row r="332" ht="15" customHeight="1">
      <c r="A332" t="inlineStr">
        <is>
          <t>A 38534-2025</t>
        </is>
      </c>
      <c r="B332" s="1" t="n">
        <v>45884</v>
      </c>
      <c r="C332" s="1" t="n">
        <v>46140</v>
      </c>
      <c r="D332" t="inlineStr">
        <is>
          <t>ÖREBRO LÄN</t>
        </is>
      </c>
      <c r="E332" t="inlineStr">
        <is>
          <t>LINDESBERG</t>
        </is>
      </c>
      <c r="G332" t="n">
        <v>4.9</v>
      </c>
      <c r="H332" t="n">
        <v>0</v>
      </c>
      <c r="I332" t="n">
        <v>0</v>
      </c>
      <c r="J332" t="n">
        <v>0</v>
      </c>
      <c r="K332" t="n">
        <v>0</v>
      </c>
      <c r="L332" t="n">
        <v>0</v>
      </c>
      <c r="M332" t="n">
        <v>0</v>
      </c>
      <c r="N332" t="n">
        <v>0</v>
      </c>
      <c r="O332" t="n">
        <v>0</v>
      </c>
      <c r="P332" t="n">
        <v>0</v>
      </c>
      <c r="Q332" t="n">
        <v>0</v>
      </c>
      <c r="R332" s="2" t="inlineStr"/>
    </row>
    <row r="333" ht="15" customHeight="1">
      <c r="A333" t="inlineStr">
        <is>
          <t>A 26340-2022</t>
        </is>
      </c>
      <c r="B333" s="1" t="n">
        <v>44735.62539351852</v>
      </c>
      <c r="C333" s="1" t="n">
        <v>46140</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23536-2023</t>
        </is>
      </c>
      <c r="B334" s="1" t="n">
        <v>45077</v>
      </c>
      <c r="C334" s="1" t="n">
        <v>46140</v>
      </c>
      <c r="D334" t="inlineStr">
        <is>
          <t>ÖREBRO LÄN</t>
        </is>
      </c>
      <c r="E334" t="inlineStr">
        <is>
          <t>LINDESBERG</t>
        </is>
      </c>
      <c r="F334" t="inlineStr">
        <is>
          <t>Kyrkan</t>
        </is>
      </c>
      <c r="G334" t="n">
        <v>0.5</v>
      </c>
      <c r="H334" t="n">
        <v>0</v>
      </c>
      <c r="I334" t="n">
        <v>0</v>
      </c>
      <c r="J334" t="n">
        <v>0</v>
      </c>
      <c r="K334" t="n">
        <v>0</v>
      </c>
      <c r="L334" t="n">
        <v>0</v>
      </c>
      <c r="M334" t="n">
        <v>0</v>
      </c>
      <c r="N334" t="n">
        <v>0</v>
      </c>
      <c r="O334" t="n">
        <v>0</v>
      </c>
      <c r="P334" t="n">
        <v>0</v>
      </c>
      <c r="Q334" t="n">
        <v>0</v>
      </c>
      <c r="R334" s="2" t="inlineStr"/>
    </row>
    <row r="335" ht="15" customHeight="1">
      <c r="A335" t="inlineStr">
        <is>
          <t>A 61969-2023</t>
        </is>
      </c>
      <c r="B335" s="1" t="n">
        <v>45266.58394675926</v>
      </c>
      <c r="C335" s="1" t="n">
        <v>46140</v>
      </c>
      <c r="D335" t="inlineStr">
        <is>
          <t>ÖREBRO LÄN</t>
        </is>
      </c>
      <c r="E335" t="inlineStr">
        <is>
          <t>LINDESBERG</t>
        </is>
      </c>
      <c r="G335" t="n">
        <v>10.5</v>
      </c>
      <c r="H335" t="n">
        <v>0</v>
      </c>
      <c r="I335" t="n">
        <v>0</v>
      </c>
      <c r="J335" t="n">
        <v>0</v>
      </c>
      <c r="K335" t="n">
        <v>0</v>
      </c>
      <c r="L335" t="n">
        <v>0</v>
      </c>
      <c r="M335" t="n">
        <v>0</v>
      </c>
      <c r="N335" t="n">
        <v>0</v>
      </c>
      <c r="O335" t="n">
        <v>0</v>
      </c>
      <c r="P335" t="n">
        <v>0</v>
      </c>
      <c r="Q335" t="n">
        <v>0</v>
      </c>
      <c r="R335" s="2" t="inlineStr"/>
    </row>
    <row r="336" ht="15" customHeight="1">
      <c r="A336" t="inlineStr">
        <is>
          <t>A 6962-2023</t>
        </is>
      </c>
      <c r="B336" s="1" t="n">
        <v>44967.60165509259</v>
      </c>
      <c r="C336" s="1" t="n">
        <v>46140</v>
      </c>
      <c r="D336" t="inlineStr">
        <is>
          <t>ÖREBRO LÄN</t>
        </is>
      </c>
      <c r="E336" t="inlineStr">
        <is>
          <t>LINDESBERG</t>
        </is>
      </c>
      <c r="G336" t="n">
        <v>11.4</v>
      </c>
      <c r="H336" t="n">
        <v>0</v>
      </c>
      <c r="I336" t="n">
        <v>0</v>
      </c>
      <c r="J336" t="n">
        <v>0</v>
      </c>
      <c r="K336" t="n">
        <v>0</v>
      </c>
      <c r="L336" t="n">
        <v>0</v>
      </c>
      <c r="M336" t="n">
        <v>0</v>
      </c>
      <c r="N336" t="n">
        <v>0</v>
      </c>
      <c r="O336" t="n">
        <v>0</v>
      </c>
      <c r="P336" t="n">
        <v>0</v>
      </c>
      <c r="Q336" t="n">
        <v>0</v>
      </c>
      <c r="R336" s="2" t="inlineStr"/>
    </row>
    <row r="337" ht="15" customHeight="1">
      <c r="A337" t="inlineStr">
        <is>
          <t>A 37301-2025</t>
        </is>
      </c>
      <c r="B337" s="1" t="n">
        <v>45876.59166666667</v>
      </c>
      <c r="C337" s="1" t="n">
        <v>46140</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7180-2023</t>
        </is>
      </c>
      <c r="B338" s="1" t="n">
        <v>44970.51849537037</v>
      </c>
      <c r="C338" s="1" t="n">
        <v>46140</v>
      </c>
      <c r="D338" t="inlineStr">
        <is>
          <t>ÖREBRO LÄN</t>
        </is>
      </c>
      <c r="E338" t="inlineStr">
        <is>
          <t>LINDESBERG</t>
        </is>
      </c>
      <c r="G338" t="n">
        <v>1.4</v>
      </c>
      <c r="H338" t="n">
        <v>0</v>
      </c>
      <c r="I338" t="n">
        <v>0</v>
      </c>
      <c r="J338" t="n">
        <v>0</v>
      </c>
      <c r="K338" t="n">
        <v>0</v>
      </c>
      <c r="L338" t="n">
        <v>0</v>
      </c>
      <c r="M338" t="n">
        <v>0</v>
      </c>
      <c r="N338" t="n">
        <v>0</v>
      </c>
      <c r="O338" t="n">
        <v>0</v>
      </c>
      <c r="P338" t="n">
        <v>0</v>
      </c>
      <c r="Q338" t="n">
        <v>0</v>
      </c>
      <c r="R338" s="2" t="inlineStr"/>
    </row>
    <row r="339" ht="15" customHeight="1">
      <c r="A339" t="inlineStr">
        <is>
          <t>A 37500-2025</t>
        </is>
      </c>
      <c r="B339" s="1" t="n">
        <v>45877.64776620371</v>
      </c>
      <c r="C339" s="1" t="n">
        <v>46140</v>
      </c>
      <c r="D339" t="inlineStr">
        <is>
          <t>ÖREBRO LÄN</t>
        </is>
      </c>
      <c r="E339" t="inlineStr">
        <is>
          <t>LINDESBERG</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37503-2025</t>
        </is>
      </c>
      <c r="B340" s="1" t="n">
        <v>45877.65075231482</v>
      </c>
      <c r="C340" s="1" t="n">
        <v>46140</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37501-2025</t>
        </is>
      </c>
      <c r="B341" s="1" t="n">
        <v>45877.64847222222</v>
      </c>
      <c r="C341" s="1" t="n">
        <v>46140</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7661-2024</t>
        </is>
      </c>
      <c r="B342" s="1" t="n">
        <v>45348</v>
      </c>
      <c r="C342" s="1" t="n">
        <v>46140</v>
      </c>
      <c r="D342" t="inlineStr">
        <is>
          <t>ÖREBRO LÄN</t>
        </is>
      </c>
      <c r="E342" t="inlineStr">
        <is>
          <t>LINDESBERG</t>
        </is>
      </c>
      <c r="G342" t="n">
        <v>4.1</v>
      </c>
      <c r="H342" t="n">
        <v>0</v>
      </c>
      <c r="I342" t="n">
        <v>0</v>
      </c>
      <c r="J342" t="n">
        <v>0</v>
      </c>
      <c r="K342" t="n">
        <v>0</v>
      </c>
      <c r="L342" t="n">
        <v>0</v>
      </c>
      <c r="M342" t="n">
        <v>0</v>
      </c>
      <c r="N342" t="n">
        <v>0</v>
      </c>
      <c r="O342" t="n">
        <v>0</v>
      </c>
      <c r="P342" t="n">
        <v>0</v>
      </c>
      <c r="Q342" t="n">
        <v>0</v>
      </c>
      <c r="R342" s="2" t="inlineStr"/>
    </row>
    <row r="343" ht="15" customHeight="1">
      <c r="A343" t="inlineStr">
        <is>
          <t>A 37552-2025</t>
        </is>
      </c>
      <c r="B343" s="1" t="n">
        <v>45880.28673611111</v>
      </c>
      <c r="C343" s="1" t="n">
        <v>46140</v>
      </c>
      <c r="D343" t="inlineStr">
        <is>
          <t>ÖREBRO LÄN</t>
        </is>
      </c>
      <c r="E343" t="inlineStr">
        <is>
          <t>LINDESBERG</t>
        </is>
      </c>
      <c r="G343" t="n">
        <v>1.4</v>
      </c>
      <c r="H343" t="n">
        <v>0</v>
      </c>
      <c r="I343" t="n">
        <v>0</v>
      </c>
      <c r="J343" t="n">
        <v>0</v>
      </c>
      <c r="K343" t="n">
        <v>0</v>
      </c>
      <c r="L343" t="n">
        <v>0</v>
      </c>
      <c r="M343" t="n">
        <v>0</v>
      </c>
      <c r="N343" t="n">
        <v>0</v>
      </c>
      <c r="O343" t="n">
        <v>0</v>
      </c>
      <c r="P343" t="n">
        <v>0</v>
      </c>
      <c r="Q343" t="n">
        <v>0</v>
      </c>
      <c r="R343" s="2" t="inlineStr"/>
    </row>
    <row r="344" ht="15" customHeight="1">
      <c r="A344" t="inlineStr">
        <is>
          <t>A 38861-2025</t>
        </is>
      </c>
      <c r="B344" s="1" t="n">
        <v>45887.56101851852</v>
      </c>
      <c r="C344" s="1" t="n">
        <v>46140</v>
      </c>
      <c r="D344" t="inlineStr">
        <is>
          <t>ÖREBRO LÄN</t>
        </is>
      </c>
      <c r="E344" t="inlineStr">
        <is>
          <t>LINDESBERG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37491-2025</t>
        </is>
      </c>
      <c r="B345" s="1" t="n">
        <v>45877.64144675926</v>
      </c>
      <c r="C345" s="1" t="n">
        <v>46140</v>
      </c>
      <c r="D345" t="inlineStr">
        <is>
          <t>ÖREBRO LÄN</t>
        </is>
      </c>
      <c r="E345" t="inlineStr">
        <is>
          <t>LINDESBERG</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37499-2025</t>
        </is>
      </c>
      <c r="B346" s="1" t="n">
        <v>45877.64605324074</v>
      </c>
      <c r="C346" s="1" t="n">
        <v>46140</v>
      </c>
      <c r="D346" t="inlineStr">
        <is>
          <t>ÖREBRO LÄN</t>
        </is>
      </c>
      <c r="E346" t="inlineStr">
        <is>
          <t>LINDESBERG</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37602-2025</t>
        </is>
      </c>
      <c r="B347" s="1" t="n">
        <v>45880</v>
      </c>
      <c r="C347" s="1" t="n">
        <v>46140</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37625-2025</t>
        </is>
      </c>
      <c r="B348" s="1" t="n">
        <v>45880.46056712963</v>
      </c>
      <c r="C348" s="1" t="n">
        <v>46140</v>
      </c>
      <c r="D348" t="inlineStr">
        <is>
          <t>ÖREBRO LÄN</t>
        </is>
      </c>
      <c r="E348" t="inlineStr">
        <is>
          <t>LINDESBERG</t>
        </is>
      </c>
      <c r="G348" t="n">
        <v>12.5</v>
      </c>
      <c r="H348" t="n">
        <v>0</v>
      </c>
      <c r="I348" t="n">
        <v>0</v>
      </c>
      <c r="J348" t="n">
        <v>0</v>
      </c>
      <c r="K348" t="n">
        <v>0</v>
      </c>
      <c r="L348" t="n">
        <v>0</v>
      </c>
      <c r="M348" t="n">
        <v>0</v>
      </c>
      <c r="N348" t="n">
        <v>0</v>
      </c>
      <c r="O348" t="n">
        <v>0</v>
      </c>
      <c r="P348" t="n">
        <v>0</v>
      </c>
      <c r="Q348" t="n">
        <v>0</v>
      </c>
      <c r="R348" s="2" t="inlineStr"/>
    </row>
    <row r="349" ht="15" customHeight="1">
      <c r="A349" t="inlineStr">
        <is>
          <t>A 37553-2025</t>
        </is>
      </c>
      <c r="B349" s="1" t="n">
        <v>45880.3172337963</v>
      </c>
      <c r="C349" s="1" t="n">
        <v>46140</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37497-2025</t>
        </is>
      </c>
      <c r="B350" s="1" t="n">
        <v>45877.64431712963</v>
      </c>
      <c r="C350" s="1" t="n">
        <v>46140</v>
      </c>
      <c r="D350" t="inlineStr">
        <is>
          <t>ÖREBRO LÄN</t>
        </is>
      </c>
      <c r="E350" t="inlineStr">
        <is>
          <t>LINDESBERG</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37492-2025</t>
        </is>
      </c>
      <c r="B351" s="1" t="n">
        <v>45877.64230324074</v>
      </c>
      <c r="C351" s="1" t="n">
        <v>46140</v>
      </c>
      <c r="D351" t="inlineStr">
        <is>
          <t>ÖREBRO LÄN</t>
        </is>
      </c>
      <c r="E351" t="inlineStr">
        <is>
          <t>LINDESBERG</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28031-2023</t>
        </is>
      </c>
      <c r="B352" s="1" t="n">
        <v>45099.27354166667</v>
      </c>
      <c r="C352" s="1" t="n">
        <v>46140</v>
      </c>
      <c r="D352" t="inlineStr">
        <is>
          <t>ÖREBRO LÄN</t>
        </is>
      </c>
      <c r="E352" t="inlineStr">
        <is>
          <t>LINDESBERG</t>
        </is>
      </c>
      <c r="F352" t="inlineStr">
        <is>
          <t>Kyrkan</t>
        </is>
      </c>
      <c r="G352" t="n">
        <v>1.2</v>
      </c>
      <c r="H352" t="n">
        <v>0</v>
      </c>
      <c r="I352" t="n">
        <v>0</v>
      </c>
      <c r="J352" t="n">
        <v>0</v>
      </c>
      <c r="K352" t="n">
        <v>0</v>
      </c>
      <c r="L352" t="n">
        <v>0</v>
      </c>
      <c r="M352" t="n">
        <v>0</v>
      </c>
      <c r="N352" t="n">
        <v>0</v>
      </c>
      <c r="O352" t="n">
        <v>0</v>
      </c>
      <c r="P352" t="n">
        <v>0</v>
      </c>
      <c r="Q352" t="n">
        <v>0</v>
      </c>
      <c r="R352" s="2" t="inlineStr"/>
    </row>
    <row r="353" ht="15" customHeight="1">
      <c r="A353" t="inlineStr">
        <is>
          <t>A 37490-2025</t>
        </is>
      </c>
      <c r="B353" s="1" t="n">
        <v>45877.63989583333</v>
      </c>
      <c r="C353" s="1" t="n">
        <v>46140</v>
      </c>
      <c r="D353" t="inlineStr">
        <is>
          <t>ÖREBRO LÄN</t>
        </is>
      </c>
      <c r="E353" t="inlineStr">
        <is>
          <t>LINDESBERG</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46039-2024</t>
        </is>
      </c>
      <c r="B354" s="1" t="n">
        <v>45580.73525462963</v>
      </c>
      <c r="C354" s="1" t="n">
        <v>46140</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37935-2025</t>
        </is>
      </c>
      <c r="B355" s="1" t="n">
        <v>45881.59550925926</v>
      </c>
      <c r="C355" s="1" t="n">
        <v>46140</v>
      </c>
      <c r="D355" t="inlineStr">
        <is>
          <t>ÖREBRO LÄN</t>
        </is>
      </c>
      <c r="E355" t="inlineStr">
        <is>
          <t>LINDESBERG</t>
        </is>
      </c>
      <c r="G355" t="n">
        <v>5.1</v>
      </c>
      <c r="H355" t="n">
        <v>0</v>
      </c>
      <c r="I355" t="n">
        <v>0</v>
      </c>
      <c r="J355" t="n">
        <v>0</v>
      </c>
      <c r="K355" t="n">
        <v>0</v>
      </c>
      <c r="L355" t="n">
        <v>0</v>
      </c>
      <c r="M355" t="n">
        <v>0</v>
      </c>
      <c r="N355" t="n">
        <v>0</v>
      </c>
      <c r="O355" t="n">
        <v>0</v>
      </c>
      <c r="P355" t="n">
        <v>0</v>
      </c>
      <c r="Q355" t="n">
        <v>0</v>
      </c>
      <c r="R355" s="2" t="inlineStr"/>
    </row>
    <row r="356" ht="15" customHeight="1">
      <c r="A356" t="inlineStr">
        <is>
          <t>A 37837-2025</t>
        </is>
      </c>
      <c r="B356" s="1" t="n">
        <v>45881.42791666667</v>
      </c>
      <c r="C356" s="1" t="n">
        <v>46140</v>
      </c>
      <c r="D356" t="inlineStr">
        <is>
          <t>ÖREBRO LÄN</t>
        </is>
      </c>
      <c r="E356" t="inlineStr">
        <is>
          <t>LINDESBERG</t>
        </is>
      </c>
      <c r="G356" t="n">
        <v>1.3</v>
      </c>
      <c r="H356" t="n">
        <v>0</v>
      </c>
      <c r="I356" t="n">
        <v>0</v>
      </c>
      <c r="J356" t="n">
        <v>0</v>
      </c>
      <c r="K356" t="n">
        <v>0</v>
      </c>
      <c r="L356" t="n">
        <v>0</v>
      </c>
      <c r="M356" t="n">
        <v>0</v>
      </c>
      <c r="N356" t="n">
        <v>0</v>
      </c>
      <c r="O356" t="n">
        <v>0</v>
      </c>
      <c r="P356" t="n">
        <v>0</v>
      </c>
      <c r="Q356" t="n">
        <v>0</v>
      </c>
      <c r="R356" s="2" t="inlineStr"/>
    </row>
    <row r="357" ht="15" customHeight="1">
      <c r="A357" t="inlineStr">
        <is>
          <t>A 58741-2024</t>
        </is>
      </c>
      <c r="B357" s="1" t="n">
        <v>45635.69581018519</v>
      </c>
      <c r="C357" s="1" t="n">
        <v>46140</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39424-2025</t>
        </is>
      </c>
      <c r="B358" s="1" t="n">
        <v>45889.67290509259</v>
      </c>
      <c r="C358" s="1" t="n">
        <v>46140</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39429-2025</t>
        </is>
      </c>
      <c r="B359" s="1" t="n">
        <v>45889.67577546297</v>
      </c>
      <c r="C359" s="1" t="n">
        <v>46140</v>
      </c>
      <c r="D359" t="inlineStr">
        <is>
          <t>ÖREBRO LÄN</t>
        </is>
      </c>
      <c r="E359" t="inlineStr">
        <is>
          <t>LINDESBERG</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39421-2025</t>
        </is>
      </c>
      <c r="B360" s="1" t="n">
        <v>45889.66935185185</v>
      </c>
      <c r="C360" s="1" t="n">
        <v>46140</v>
      </c>
      <c r="D360" t="inlineStr">
        <is>
          <t>ÖREBRO LÄN</t>
        </is>
      </c>
      <c r="E360" t="inlineStr">
        <is>
          <t>LINDESBERG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3994-2023</t>
        </is>
      </c>
      <c r="B361" s="1" t="n">
        <v>44950</v>
      </c>
      <c r="C361" s="1" t="n">
        <v>46140</v>
      </c>
      <c r="D361" t="inlineStr">
        <is>
          <t>ÖREBRO LÄN</t>
        </is>
      </c>
      <c r="E361" t="inlineStr">
        <is>
          <t>LINDESBERG</t>
        </is>
      </c>
      <c r="G361" t="n">
        <v>4.8</v>
      </c>
      <c r="H361" t="n">
        <v>0</v>
      </c>
      <c r="I361" t="n">
        <v>0</v>
      </c>
      <c r="J361" t="n">
        <v>0</v>
      </c>
      <c r="K361" t="n">
        <v>0</v>
      </c>
      <c r="L361" t="n">
        <v>0</v>
      </c>
      <c r="M361" t="n">
        <v>0</v>
      </c>
      <c r="N361" t="n">
        <v>0</v>
      </c>
      <c r="O361" t="n">
        <v>0</v>
      </c>
      <c r="P361" t="n">
        <v>0</v>
      </c>
      <c r="Q361" t="n">
        <v>0</v>
      </c>
      <c r="R361" s="2" t="inlineStr"/>
    </row>
    <row r="362" ht="15" customHeight="1">
      <c r="A362" t="inlineStr">
        <is>
          <t>A 38509-2025</t>
        </is>
      </c>
      <c r="B362" s="1" t="n">
        <v>45884.38858796296</v>
      </c>
      <c r="C362" s="1" t="n">
        <v>46140</v>
      </c>
      <c r="D362" t="inlineStr">
        <is>
          <t>ÖREBRO LÄN</t>
        </is>
      </c>
      <c r="E362" t="inlineStr">
        <is>
          <t>LINDESBERG</t>
        </is>
      </c>
      <c r="G362" t="n">
        <v>14.9</v>
      </c>
      <c r="H362" t="n">
        <v>0</v>
      </c>
      <c r="I362" t="n">
        <v>0</v>
      </c>
      <c r="J362" t="n">
        <v>0</v>
      </c>
      <c r="K362" t="n">
        <v>0</v>
      </c>
      <c r="L362" t="n">
        <v>0</v>
      </c>
      <c r="M362" t="n">
        <v>0</v>
      </c>
      <c r="N362" t="n">
        <v>0</v>
      </c>
      <c r="O362" t="n">
        <v>0</v>
      </c>
      <c r="P362" t="n">
        <v>0</v>
      </c>
      <c r="Q362" t="n">
        <v>0</v>
      </c>
      <c r="R362" s="2" t="inlineStr"/>
    </row>
    <row r="363" ht="15" customHeight="1">
      <c r="A363" t="inlineStr">
        <is>
          <t>A 49094-2024</t>
        </is>
      </c>
      <c r="B363" s="1" t="n">
        <v>45594.63747685185</v>
      </c>
      <c r="C363" s="1" t="n">
        <v>46140</v>
      </c>
      <c r="D363" t="inlineStr">
        <is>
          <t>ÖREBRO LÄN</t>
        </is>
      </c>
      <c r="E363" t="inlineStr">
        <is>
          <t>LINDESBERG</t>
        </is>
      </c>
      <c r="G363" t="n">
        <v>3.8</v>
      </c>
      <c r="H363" t="n">
        <v>0</v>
      </c>
      <c r="I363" t="n">
        <v>0</v>
      </c>
      <c r="J363" t="n">
        <v>0</v>
      </c>
      <c r="K363" t="n">
        <v>0</v>
      </c>
      <c r="L363" t="n">
        <v>0</v>
      </c>
      <c r="M363" t="n">
        <v>0</v>
      </c>
      <c r="N363" t="n">
        <v>0</v>
      </c>
      <c r="O363" t="n">
        <v>0</v>
      </c>
      <c r="P363" t="n">
        <v>0</v>
      </c>
      <c r="Q363" t="n">
        <v>0</v>
      </c>
      <c r="R363" s="2" t="inlineStr"/>
    </row>
    <row r="364" ht="15" customHeight="1">
      <c r="A364" t="inlineStr">
        <is>
          <t>A 56907-2024</t>
        </is>
      </c>
      <c r="B364" s="1" t="n">
        <v>45628.58975694444</v>
      </c>
      <c r="C364" s="1" t="n">
        <v>46140</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7201-2024</t>
        </is>
      </c>
      <c r="B365" s="1" t="n">
        <v>45344.6027662037</v>
      </c>
      <c r="C365" s="1" t="n">
        <v>46140</v>
      </c>
      <c r="D365" t="inlineStr">
        <is>
          <t>ÖREBRO LÄN</t>
        </is>
      </c>
      <c r="E365" t="inlineStr">
        <is>
          <t>LINDESBERG</t>
        </is>
      </c>
      <c r="G365" t="n">
        <v>4.7</v>
      </c>
      <c r="H365" t="n">
        <v>0</v>
      </c>
      <c r="I365" t="n">
        <v>0</v>
      </c>
      <c r="J365" t="n">
        <v>0</v>
      </c>
      <c r="K365" t="n">
        <v>0</v>
      </c>
      <c r="L365" t="n">
        <v>0</v>
      </c>
      <c r="M365" t="n">
        <v>0</v>
      </c>
      <c r="N365" t="n">
        <v>0</v>
      </c>
      <c r="O365" t="n">
        <v>0</v>
      </c>
      <c r="P365" t="n">
        <v>0</v>
      </c>
      <c r="Q365" t="n">
        <v>0</v>
      </c>
      <c r="R365" s="2" t="inlineStr"/>
    </row>
    <row r="366" ht="15" customHeight="1">
      <c r="A366" t="inlineStr">
        <is>
          <t>A 14190-2024</t>
        </is>
      </c>
      <c r="B366" s="1" t="n">
        <v>45393.36060185185</v>
      </c>
      <c r="C366" s="1" t="n">
        <v>46140</v>
      </c>
      <c r="D366" t="inlineStr">
        <is>
          <t>ÖREBRO LÄN</t>
        </is>
      </c>
      <c r="E366" t="inlineStr">
        <is>
          <t>LINDESBERG</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17087-2023</t>
        </is>
      </c>
      <c r="B367" s="1" t="n">
        <v>45034.5174537037</v>
      </c>
      <c r="C367" s="1" t="n">
        <v>46140</v>
      </c>
      <c r="D367" t="inlineStr">
        <is>
          <t>ÖREBRO LÄN</t>
        </is>
      </c>
      <c r="E367" t="inlineStr">
        <is>
          <t>LINDESBERG</t>
        </is>
      </c>
      <c r="G367" t="n">
        <v>2.7</v>
      </c>
      <c r="H367" t="n">
        <v>0</v>
      </c>
      <c r="I367" t="n">
        <v>0</v>
      </c>
      <c r="J367" t="n">
        <v>0</v>
      </c>
      <c r="K367" t="n">
        <v>0</v>
      </c>
      <c r="L367" t="n">
        <v>0</v>
      </c>
      <c r="M367" t="n">
        <v>0</v>
      </c>
      <c r="N367" t="n">
        <v>0</v>
      </c>
      <c r="O367" t="n">
        <v>0</v>
      </c>
      <c r="P367" t="n">
        <v>0</v>
      </c>
      <c r="Q367" t="n">
        <v>0</v>
      </c>
      <c r="R367" s="2" t="inlineStr"/>
    </row>
    <row r="368" ht="15" customHeight="1">
      <c r="A368" t="inlineStr">
        <is>
          <t>A 53189-2023</t>
        </is>
      </c>
      <c r="B368" s="1" t="n">
        <v>45194</v>
      </c>
      <c r="C368" s="1" t="n">
        <v>46140</v>
      </c>
      <c r="D368" t="inlineStr">
        <is>
          <t>ÖREBRO LÄN</t>
        </is>
      </c>
      <c r="E368" t="inlineStr">
        <is>
          <t>LINDESBERG</t>
        </is>
      </c>
      <c r="G368" t="n">
        <v>2</v>
      </c>
      <c r="H368" t="n">
        <v>0</v>
      </c>
      <c r="I368" t="n">
        <v>0</v>
      </c>
      <c r="J368" t="n">
        <v>0</v>
      </c>
      <c r="K368" t="n">
        <v>0</v>
      </c>
      <c r="L368" t="n">
        <v>0</v>
      </c>
      <c r="M368" t="n">
        <v>0</v>
      </c>
      <c r="N368" t="n">
        <v>0</v>
      </c>
      <c r="O368" t="n">
        <v>0</v>
      </c>
      <c r="P368" t="n">
        <v>0</v>
      </c>
      <c r="Q368" t="n">
        <v>0</v>
      </c>
      <c r="R368" s="2" t="inlineStr"/>
    </row>
    <row r="369" ht="15" customHeight="1">
      <c r="A369" t="inlineStr">
        <is>
          <t>A 40366-2025</t>
        </is>
      </c>
      <c r="B369" s="1" t="n">
        <v>45895.49994212963</v>
      </c>
      <c r="C369" s="1" t="n">
        <v>46140</v>
      </c>
      <c r="D369" t="inlineStr">
        <is>
          <t>ÖREBRO LÄN</t>
        </is>
      </c>
      <c r="E369" t="inlineStr">
        <is>
          <t>LINDESBERG</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60926-2024</t>
        </is>
      </c>
      <c r="B370" s="1" t="n">
        <v>45645</v>
      </c>
      <c r="C370" s="1" t="n">
        <v>46140</v>
      </c>
      <c r="D370" t="inlineStr">
        <is>
          <t>ÖREBRO LÄN</t>
        </is>
      </c>
      <c r="E370" t="inlineStr">
        <is>
          <t>LINDESBERG</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40357-2025</t>
        </is>
      </c>
      <c r="B371" s="1" t="n">
        <v>45895.48927083334</v>
      </c>
      <c r="C371" s="1" t="n">
        <v>46140</v>
      </c>
      <c r="D371" t="inlineStr">
        <is>
          <t>ÖREBRO LÄN</t>
        </is>
      </c>
      <c r="E371" t="inlineStr">
        <is>
          <t>LINDESBERG</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40351-2025</t>
        </is>
      </c>
      <c r="B372" s="1" t="n">
        <v>45895.48394675926</v>
      </c>
      <c r="C372" s="1" t="n">
        <v>46140</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40347-2025</t>
        </is>
      </c>
      <c r="B373" s="1" t="n">
        <v>45895.4790625</v>
      </c>
      <c r="C373" s="1" t="n">
        <v>46140</v>
      </c>
      <c r="D373" t="inlineStr">
        <is>
          <t>ÖREBRO LÄN</t>
        </is>
      </c>
      <c r="E373" t="inlineStr">
        <is>
          <t>LINDESBERG</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14231-2023</t>
        </is>
      </c>
      <c r="B374" s="1" t="n">
        <v>45009.64217592592</v>
      </c>
      <c r="C374" s="1" t="n">
        <v>46140</v>
      </c>
      <c r="D374" t="inlineStr">
        <is>
          <t>ÖREBRO LÄN</t>
        </is>
      </c>
      <c r="E374" t="inlineStr">
        <is>
          <t>LINDESBERG</t>
        </is>
      </c>
      <c r="G374" t="n">
        <v>4.3</v>
      </c>
      <c r="H374" t="n">
        <v>0</v>
      </c>
      <c r="I374" t="n">
        <v>0</v>
      </c>
      <c r="J374" t="n">
        <v>0</v>
      </c>
      <c r="K374" t="n">
        <v>0</v>
      </c>
      <c r="L374" t="n">
        <v>0</v>
      </c>
      <c r="M374" t="n">
        <v>0</v>
      </c>
      <c r="N374" t="n">
        <v>0</v>
      </c>
      <c r="O374" t="n">
        <v>0</v>
      </c>
      <c r="P374" t="n">
        <v>0</v>
      </c>
      <c r="Q374" t="n">
        <v>0</v>
      </c>
      <c r="R374" s="2" t="inlineStr"/>
    </row>
    <row r="375" ht="15" customHeight="1">
      <c r="A375" t="inlineStr">
        <is>
          <t>A 40346-2025</t>
        </is>
      </c>
      <c r="B375" s="1" t="n">
        <v>45895.47704861111</v>
      </c>
      <c r="C375" s="1" t="n">
        <v>46140</v>
      </c>
      <c r="D375" t="inlineStr">
        <is>
          <t>ÖREBRO LÄN</t>
        </is>
      </c>
      <c r="E375" t="inlineStr">
        <is>
          <t>LINDESBERG</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62608-2021</t>
        </is>
      </c>
      <c r="B376" s="1" t="n">
        <v>44503</v>
      </c>
      <c r="C376" s="1" t="n">
        <v>46140</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35140-2023</t>
        </is>
      </c>
      <c r="B377" s="1" t="n">
        <v>45145</v>
      </c>
      <c r="C377" s="1" t="n">
        <v>46140</v>
      </c>
      <c r="D377" t="inlineStr">
        <is>
          <t>ÖREBRO LÄN</t>
        </is>
      </c>
      <c r="E377" t="inlineStr">
        <is>
          <t>LINDESBERG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37616-2023</t>
        </is>
      </c>
      <c r="B378" s="1" t="n">
        <v>45159.44525462963</v>
      </c>
      <c r="C378" s="1" t="n">
        <v>46140</v>
      </c>
      <c r="D378" t="inlineStr">
        <is>
          <t>ÖREBRO LÄN</t>
        </is>
      </c>
      <c r="E378" t="inlineStr">
        <is>
          <t>LINDESBERG</t>
        </is>
      </c>
      <c r="G378" t="n">
        <v>5.3</v>
      </c>
      <c r="H378" t="n">
        <v>0</v>
      </c>
      <c r="I378" t="n">
        <v>0</v>
      </c>
      <c r="J378" t="n">
        <v>0</v>
      </c>
      <c r="K378" t="n">
        <v>0</v>
      </c>
      <c r="L378" t="n">
        <v>0</v>
      </c>
      <c r="M378" t="n">
        <v>0</v>
      </c>
      <c r="N378" t="n">
        <v>0</v>
      </c>
      <c r="O378" t="n">
        <v>0</v>
      </c>
      <c r="P378" t="n">
        <v>0</v>
      </c>
      <c r="Q378" t="n">
        <v>0</v>
      </c>
      <c r="R378" s="2" t="inlineStr"/>
    </row>
    <row r="379" ht="15" customHeight="1">
      <c r="A379" t="inlineStr">
        <is>
          <t>A 29938-2024</t>
        </is>
      </c>
      <c r="B379" s="1" t="n">
        <v>45488.41480324074</v>
      </c>
      <c r="C379" s="1" t="n">
        <v>46140</v>
      </c>
      <c r="D379" t="inlineStr">
        <is>
          <t>ÖREBRO LÄN</t>
        </is>
      </c>
      <c r="E379" t="inlineStr">
        <is>
          <t>LINDESBERG</t>
        </is>
      </c>
      <c r="G379" t="n">
        <v>4</v>
      </c>
      <c r="H379" t="n">
        <v>0</v>
      </c>
      <c r="I379" t="n">
        <v>0</v>
      </c>
      <c r="J379" t="n">
        <v>0</v>
      </c>
      <c r="K379" t="n">
        <v>0</v>
      </c>
      <c r="L379" t="n">
        <v>0</v>
      </c>
      <c r="M379" t="n">
        <v>0</v>
      </c>
      <c r="N379" t="n">
        <v>0</v>
      </c>
      <c r="O379" t="n">
        <v>0</v>
      </c>
      <c r="P379" t="n">
        <v>0</v>
      </c>
      <c r="Q379" t="n">
        <v>0</v>
      </c>
      <c r="R379" s="2" t="inlineStr"/>
    </row>
    <row r="380" ht="15" customHeight="1">
      <c r="A380" t="inlineStr">
        <is>
          <t>A 24030-2023</t>
        </is>
      </c>
      <c r="B380" s="1" t="n">
        <v>45078.82620370371</v>
      </c>
      <c r="C380" s="1" t="n">
        <v>46140</v>
      </c>
      <c r="D380" t="inlineStr">
        <is>
          <t>ÖREBRO LÄN</t>
        </is>
      </c>
      <c r="E380" t="inlineStr">
        <is>
          <t>LINDESBERG</t>
        </is>
      </c>
      <c r="G380" t="n">
        <v>1.5</v>
      </c>
      <c r="H380" t="n">
        <v>0</v>
      </c>
      <c r="I380" t="n">
        <v>0</v>
      </c>
      <c r="J380" t="n">
        <v>0</v>
      </c>
      <c r="K380" t="n">
        <v>0</v>
      </c>
      <c r="L380" t="n">
        <v>0</v>
      </c>
      <c r="M380" t="n">
        <v>0</v>
      </c>
      <c r="N380" t="n">
        <v>0</v>
      </c>
      <c r="O380" t="n">
        <v>0</v>
      </c>
      <c r="P380" t="n">
        <v>0</v>
      </c>
      <c r="Q380" t="n">
        <v>0</v>
      </c>
      <c r="R380" s="2" t="inlineStr"/>
    </row>
    <row r="381" ht="15" customHeight="1">
      <c r="A381" t="inlineStr">
        <is>
          <t>A 41027-2025</t>
        </is>
      </c>
      <c r="B381" s="1" t="n">
        <v>45898.37138888889</v>
      </c>
      <c r="C381" s="1" t="n">
        <v>46140</v>
      </c>
      <c r="D381" t="inlineStr">
        <is>
          <t>ÖREBRO LÄN</t>
        </is>
      </c>
      <c r="E381" t="inlineStr">
        <is>
          <t>LINDESBERG</t>
        </is>
      </c>
      <c r="G381" t="n">
        <v>4.7</v>
      </c>
      <c r="H381" t="n">
        <v>0</v>
      </c>
      <c r="I381" t="n">
        <v>0</v>
      </c>
      <c r="J381" t="n">
        <v>0</v>
      </c>
      <c r="K381" t="n">
        <v>0</v>
      </c>
      <c r="L381" t="n">
        <v>0</v>
      </c>
      <c r="M381" t="n">
        <v>0</v>
      </c>
      <c r="N381" t="n">
        <v>0</v>
      </c>
      <c r="O381" t="n">
        <v>0</v>
      </c>
      <c r="P381" t="n">
        <v>0</v>
      </c>
      <c r="Q381" t="n">
        <v>0</v>
      </c>
      <c r="R381" s="2" t="inlineStr"/>
    </row>
    <row r="382" ht="15" customHeight="1">
      <c r="A382" t="inlineStr">
        <is>
          <t>A 36747-2024</t>
        </is>
      </c>
      <c r="B382" s="1" t="n">
        <v>45538.34193287037</v>
      </c>
      <c r="C382" s="1" t="n">
        <v>46140</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32097-2024</t>
        </is>
      </c>
      <c r="B383" s="1" t="n">
        <v>45511.39445601852</v>
      </c>
      <c r="C383" s="1" t="n">
        <v>46140</v>
      </c>
      <c r="D383" t="inlineStr">
        <is>
          <t>ÖREBRO LÄN</t>
        </is>
      </c>
      <c r="E383" t="inlineStr">
        <is>
          <t>LINDESBERG</t>
        </is>
      </c>
      <c r="G383" t="n">
        <v>1.7</v>
      </c>
      <c r="H383" t="n">
        <v>0</v>
      </c>
      <c r="I383" t="n">
        <v>0</v>
      </c>
      <c r="J383" t="n">
        <v>0</v>
      </c>
      <c r="K383" t="n">
        <v>0</v>
      </c>
      <c r="L383" t="n">
        <v>0</v>
      </c>
      <c r="M383" t="n">
        <v>0</v>
      </c>
      <c r="N383" t="n">
        <v>0</v>
      </c>
      <c r="O383" t="n">
        <v>0</v>
      </c>
      <c r="P383" t="n">
        <v>0</v>
      </c>
      <c r="Q383" t="n">
        <v>0</v>
      </c>
      <c r="R383" s="2" t="inlineStr"/>
    </row>
    <row r="384" ht="15" customHeight="1">
      <c r="A384" t="inlineStr">
        <is>
          <t>A 32099-2024</t>
        </is>
      </c>
      <c r="B384" s="1" t="n">
        <v>45511.40297453704</v>
      </c>
      <c r="C384" s="1" t="n">
        <v>46140</v>
      </c>
      <c r="D384" t="inlineStr">
        <is>
          <t>ÖREBRO LÄN</t>
        </is>
      </c>
      <c r="E384" t="inlineStr">
        <is>
          <t>LINDESBERG</t>
        </is>
      </c>
      <c r="G384" t="n">
        <v>2.3</v>
      </c>
      <c r="H384" t="n">
        <v>0</v>
      </c>
      <c r="I384" t="n">
        <v>0</v>
      </c>
      <c r="J384" t="n">
        <v>0</v>
      </c>
      <c r="K384" t="n">
        <v>0</v>
      </c>
      <c r="L384" t="n">
        <v>0</v>
      </c>
      <c r="M384" t="n">
        <v>0</v>
      </c>
      <c r="N384" t="n">
        <v>0</v>
      </c>
      <c r="O384" t="n">
        <v>0</v>
      </c>
      <c r="P384" t="n">
        <v>0</v>
      </c>
      <c r="Q384" t="n">
        <v>0</v>
      </c>
      <c r="R384" s="2" t="inlineStr"/>
    </row>
    <row r="385" ht="15" customHeight="1">
      <c r="A385" t="inlineStr">
        <is>
          <t>A 61360-2024</t>
        </is>
      </c>
      <c r="B385" s="1" t="n">
        <v>45646</v>
      </c>
      <c r="C385" s="1" t="n">
        <v>46140</v>
      </c>
      <c r="D385" t="inlineStr">
        <is>
          <t>ÖREBRO LÄN</t>
        </is>
      </c>
      <c r="E385" t="inlineStr">
        <is>
          <t>LINDESBERG</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3803-2023</t>
        </is>
      </c>
      <c r="B386" s="1" t="n">
        <v>44951.5830324074</v>
      </c>
      <c r="C386" s="1" t="n">
        <v>46140</v>
      </c>
      <c r="D386" t="inlineStr">
        <is>
          <t>ÖREBRO LÄN</t>
        </is>
      </c>
      <c r="E386" t="inlineStr">
        <is>
          <t>LINDESBERG</t>
        </is>
      </c>
      <c r="G386" t="n">
        <v>0.9</v>
      </c>
      <c r="H386" t="n">
        <v>0</v>
      </c>
      <c r="I386" t="n">
        <v>0</v>
      </c>
      <c r="J386" t="n">
        <v>0</v>
      </c>
      <c r="K386" t="n">
        <v>0</v>
      </c>
      <c r="L386" t="n">
        <v>0</v>
      </c>
      <c r="M386" t="n">
        <v>0</v>
      </c>
      <c r="N386" t="n">
        <v>0</v>
      </c>
      <c r="O386" t="n">
        <v>0</v>
      </c>
      <c r="P386" t="n">
        <v>0</v>
      </c>
      <c r="Q386" t="n">
        <v>0</v>
      </c>
      <c r="R386" s="2" t="inlineStr"/>
    </row>
    <row r="387" ht="15" customHeight="1">
      <c r="A387" t="inlineStr">
        <is>
          <t>A 41653-2025</t>
        </is>
      </c>
      <c r="B387" s="1" t="n">
        <v>45902.3406712963</v>
      </c>
      <c r="C387" s="1" t="n">
        <v>46140</v>
      </c>
      <c r="D387" t="inlineStr">
        <is>
          <t>ÖREBRO LÄN</t>
        </is>
      </c>
      <c r="E387" t="inlineStr">
        <is>
          <t>LINDESBERG</t>
        </is>
      </c>
      <c r="G387" t="n">
        <v>1.5</v>
      </c>
      <c r="H387" t="n">
        <v>0</v>
      </c>
      <c r="I387" t="n">
        <v>0</v>
      </c>
      <c r="J387" t="n">
        <v>0</v>
      </c>
      <c r="K387" t="n">
        <v>0</v>
      </c>
      <c r="L387" t="n">
        <v>0</v>
      </c>
      <c r="M387" t="n">
        <v>0</v>
      </c>
      <c r="N387" t="n">
        <v>0</v>
      </c>
      <c r="O387" t="n">
        <v>0</v>
      </c>
      <c r="P387" t="n">
        <v>0</v>
      </c>
      <c r="Q387" t="n">
        <v>0</v>
      </c>
      <c r="R387" s="2" t="inlineStr"/>
    </row>
    <row r="388" ht="15" customHeight="1">
      <c r="A388" t="inlineStr">
        <is>
          <t>A 60200-2024</t>
        </is>
      </c>
      <c r="B388" s="1" t="n">
        <v>45642.66184027777</v>
      </c>
      <c r="C388" s="1" t="n">
        <v>46140</v>
      </c>
      <c r="D388" t="inlineStr">
        <is>
          <t>ÖREBRO LÄN</t>
        </is>
      </c>
      <c r="E388" t="inlineStr">
        <is>
          <t>LINDESBERG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41340-2025</t>
        </is>
      </c>
      <c r="B389" s="1" t="n">
        <v>45899.38057870371</v>
      </c>
      <c r="C389" s="1" t="n">
        <v>46140</v>
      </c>
      <c r="D389" t="inlineStr">
        <is>
          <t>ÖREBRO LÄN</t>
        </is>
      </c>
      <c r="E389" t="inlineStr">
        <is>
          <t>LINDESBERG</t>
        </is>
      </c>
      <c r="G389" t="n">
        <v>16.5</v>
      </c>
      <c r="H389" t="n">
        <v>0</v>
      </c>
      <c r="I389" t="n">
        <v>0</v>
      </c>
      <c r="J389" t="n">
        <v>0</v>
      </c>
      <c r="K389" t="n">
        <v>0</v>
      </c>
      <c r="L389" t="n">
        <v>0</v>
      </c>
      <c r="M389" t="n">
        <v>0</v>
      </c>
      <c r="N389" t="n">
        <v>0</v>
      </c>
      <c r="O389" t="n">
        <v>0</v>
      </c>
      <c r="P389" t="n">
        <v>0</v>
      </c>
      <c r="Q389" t="n">
        <v>0</v>
      </c>
      <c r="R389" s="2" t="inlineStr"/>
    </row>
    <row r="390" ht="15" customHeight="1">
      <c r="A390" t="inlineStr">
        <is>
          <t>A 25229-2021</t>
        </is>
      </c>
      <c r="B390" s="1" t="n">
        <v>44342.39703703704</v>
      </c>
      <c r="C390" s="1" t="n">
        <v>46140</v>
      </c>
      <c r="D390" t="inlineStr">
        <is>
          <t>ÖREBRO LÄN</t>
        </is>
      </c>
      <c r="E390" t="inlineStr">
        <is>
          <t>LINDESBERG</t>
        </is>
      </c>
      <c r="F390" t="inlineStr">
        <is>
          <t>Kyrkan</t>
        </is>
      </c>
      <c r="G390" t="n">
        <v>1.5</v>
      </c>
      <c r="H390" t="n">
        <v>0</v>
      </c>
      <c r="I390" t="n">
        <v>0</v>
      </c>
      <c r="J390" t="n">
        <v>0</v>
      </c>
      <c r="K390" t="n">
        <v>0</v>
      </c>
      <c r="L390" t="n">
        <v>0</v>
      </c>
      <c r="M390" t="n">
        <v>0</v>
      </c>
      <c r="N390" t="n">
        <v>0</v>
      </c>
      <c r="O390" t="n">
        <v>0</v>
      </c>
      <c r="P390" t="n">
        <v>0</v>
      </c>
      <c r="Q390" t="n">
        <v>0</v>
      </c>
      <c r="R390" s="2" t="inlineStr"/>
    </row>
    <row r="391" ht="15" customHeight="1">
      <c r="A391" t="inlineStr">
        <is>
          <t>A 34093-2022</t>
        </is>
      </c>
      <c r="B391" s="1" t="n">
        <v>44791</v>
      </c>
      <c r="C391" s="1" t="n">
        <v>46140</v>
      </c>
      <c r="D391" t="inlineStr">
        <is>
          <t>ÖREBRO LÄN</t>
        </is>
      </c>
      <c r="E391" t="inlineStr">
        <is>
          <t>LINDESBERG</t>
        </is>
      </c>
      <c r="G391" t="n">
        <v>3.3</v>
      </c>
      <c r="H391" t="n">
        <v>0</v>
      </c>
      <c r="I391" t="n">
        <v>0</v>
      </c>
      <c r="J391" t="n">
        <v>0</v>
      </c>
      <c r="K391" t="n">
        <v>0</v>
      </c>
      <c r="L391" t="n">
        <v>0</v>
      </c>
      <c r="M391" t="n">
        <v>0</v>
      </c>
      <c r="N391" t="n">
        <v>0</v>
      </c>
      <c r="O391" t="n">
        <v>0</v>
      </c>
      <c r="P391" t="n">
        <v>0</v>
      </c>
      <c r="Q391" t="n">
        <v>0</v>
      </c>
      <c r="R391" s="2" t="inlineStr"/>
    </row>
    <row r="392" ht="15" customHeight="1">
      <c r="A392" t="inlineStr">
        <is>
          <t>A 41889-2025</t>
        </is>
      </c>
      <c r="B392" s="1" t="n">
        <v>45903.37475694445</v>
      </c>
      <c r="C392" s="1" t="n">
        <v>46140</v>
      </c>
      <c r="D392" t="inlineStr">
        <is>
          <t>ÖREBRO LÄN</t>
        </is>
      </c>
      <c r="E392" t="inlineStr">
        <is>
          <t>LINDESBERG</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58697-2024</t>
        </is>
      </c>
      <c r="B393" s="1" t="n">
        <v>45635.63706018519</v>
      </c>
      <c r="C393" s="1" t="n">
        <v>46140</v>
      </c>
      <c r="D393" t="inlineStr">
        <is>
          <t>ÖREBRO LÄN</t>
        </is>
      </c>
      <c r="E393" t="inlineStr">
        <is>
          <t>LINDESBERG</t>
        </is>
      </c>
      <c r="G393" t="n">
        <v>25.1</v>
      </c>
      <c r="H393" t="n">
        <v>0</v>
      </c>
      <c r="I393" t="n">
        <v>0</v>
      </c>
      <c r="J393" t="n">
        <v>0</v>
      </c>
      <c r="K393" t="n">
        <v>0</v>
      </c>
      <c r="L393" t="n">
        <v>0</v>
      </c>
      <c r="M393" t="n">
        <v>0</v>
      </c>
      <c r="N393" t="n">
        <v>0</v>
      </c>
      <c r="O393" t="n">
        <v>0</v>
      </c>
      <c r="P393" t="n">
        <v>0</v>
      </c>
      <c r="Q393" t="n">
        <v>0</v>
      </c>
      <c r="R393" s="2" t="inlineStr"/>
    </row>
    <row r="394" ht="15" customHeight="1">
      <c r="A394" t="inlineStr">
        <is>
          <t>A 42630-2025</t>
        </is>
      </c>
      <c r="B394" s="1" t="n">
        <v>45905.89143518519</v>
      </c>
      <c r="C394" s="1" t="n">
        <v>46140</v>
      </c>
      <c r="D394" t="inlineStr">
        <is>
          <t>ÖREBRO LÄN</t>
        </is>
      </c>
      <c r="E394" t="inlineStr">
        <is>
          <t>LINDESBERG</t>
        </is>
      </c>
      <c r="F394" t="inlineStr">
        <is>
          <t>Sveaskog</t>
        </is>
      </c>
      <c r="G394" t="n">
        <v>9.9</v>
      </c>
      <c r="H394" t="n">
        <v>0</v>
      </c>
      <c r="I394" t="n">
        <v>0</v>
      </c>
      <c r="J394" t="n">
        <v>0</v>
      </c>
      <c r="K394" t="n">
        <v>0</v>
      </c>
      <c r="L394" t="n">
        <v>0</v>
      </c>
      <c r="M394" t="n">
        <v>0</v>
      </c>
      <c r="N394" t="n">
        <v>0</v>
      </c>
      <c r="O394" t="n">
        <v>0</v>
      </c>
      <c r="P394" t="n">
        <v>0</v>
      </c>
      <c r="Q394" t="n">
        <v>0</v>
      </c>
      <c r="R394" s="2" t="inlineStr"/>
    </row>
    <row r="395" ht="15" customHeight="1">
      <c r="A395" t="inlineStr">
        <is>
          <t>A 42631-2025</t>
        </is>
      </c>
      <c r="B395" s="1" t="n">
        <v>45905.89236111111</v>
      </c>
      <c r="C395" s="1" t="n">
        <v>46140</v>
      </c>
      <c r="D395" t="inlineStr">
        <is>
          <t>ÖREBRO LÄN</t>
        </is>
      </c>
      <c r="E395" t="inlineStr">
        <is>
          <t>LINDESBERG</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42632-2025</t>
        </is>
      </c>
      <c r="B396" s="1" t="n">
        <v>45905.89329861111</v>
      </c>
      <c r="C396" s="1" t="n">
        <v>46140</v>
      </c>
      <c r="D396" t="inlineStr">
        <is>
          <t>ÖREBRO LÄN</t>
        </is>
      </c>
      <c r="E396" t="inlineStr">
        <is>
          <t>LINDESBERG</t>
        </is>
      </c>
      <c r="F396" t="inlineStr">
        <is>
          <t>Sveaskog</t>
        </is>
      </c>
      <c r="G396" t="n">
        <v>6.7</v>
      </c>
      <c r="H396" t="n">
        <v>0</v>
      </c>
      <c r="I396" t="n">
        <v>0</v>
      </c>
      <c r="J396" t="n">
        <v>0</v>
      </c>
      <c r="K396" t="n">
        <v>0</v>
      </c>
      <c r="L396" t="n">
        <v>0</v>
      </c>
      <c r="M396" t="n">
        <v>0</v>
      </c>
      <c r="N396" t="n">
        <v>0</v>
      </c>
      <c r="O396" t="n">
        <v>0</v>
      </c>
      <c r="P396" t="n">
        <v>0</v>
      </c>
      <c r="Q396" t="n">
        <v>0</v>
      </c>
      <c r="R396" s="2" t="inlineStr"/>
    </row>
    <row r="397" ht="15" customHeight="1">
      <c r="A397" t="inlineStr">
        <is>
          <t>A 17115-2025</t>
        </is>
      </c>
      <c r="B397" s="1" t="n">
        <v>45755.68247685185</v>
      </c>
      <c r="C397" s="1" t="n">
        <v>46140</v>
      </c>
      <c r="D397" t="inlineStr">
        <is>
          <t>ÖREBRO LÄN</t>
        </is>
      </c>
      <c r="E397" t="inlineStr">
        <is>
          <t>LINDESBERG</t>
        </is>
      </c>
      <c r="G397" t="n">
        <v>0.6</v>
      </c>
      <c r="H397" t="n">
        <v>0</v>
      </c>
      <c r="I397" t="n">
        <v>0</v>
      </c>
      <c r="J397" t="n">
        <v>0</v>
      </c>
      <c r="K397" t="n">
        <v>0</v>
      </c>
      <c r="L397" t="n">
        <v>0</v>
      </c>
      <c r="M397" t="n">
        <v>0</v>
      </c>
      <c r="N397" t="n">
        <v>0</v>
      </c>
      <c r="O397" t="n">
        <v>0</v>
      </c>
      <c r="P397" t="n">
        <v>0</v>
      </c>
      <c r="Q397" t="n">
        <v>0</v>
      </c>
      <c r="R397" s="2" t="inlineStr"/>
    </row>
    <row r="398" ht="15" customHeight="1">
      <c r="A398" t="inlineStr">
        <is>
          <t>A 16054-2022</t>
        </is>
      </c>
      <c r="B398" s="1" t="n">
        <v>44665</v>
      </c>
      <c r="C398" s="1" t="n">
        <v>46140</v>
      </c>
      <c r="D398" t="inlineStr">
        <is>
          <t>ÖREBRO LÄN</t>
        </is>
      </c>
      <c r="E398" t="inlineStr">
        <is>
          <t>LINDESBERG</t>
        </is>
      </c>
      <c r="G398" t="n">
        <v>6.9</v>
      </c>
      <c r="H398" t="n">
        <v>0</v>
      </c>
      <c r="I398" t="n">
        <v>0</v>
      </c>
      <c r="J398" t="n">
        <v>0</v>
      </c>
      <c r="K398" t="n">
        <v>0</v>
      </c>
      <c r="L398" t="n">
        <v>0</v>
      </c>
      <c r="M398" t="n">
        <v>0</v>
      </c>
      <c r="N398" t="n">
        <v>0</v>
      </c>
      <c r="O398" t="n">
        <v>0</v>
      </c>
      <c r="P398" t="n">
        <v>0</v>
      </c>
      <c r="Q398" t="n">
        <v>0</v>
      </c>
      <c r="R398" s="2" t="inlineStr"/>
    </row>
    <row r="399" ht="15" customHeight="1">
      <c r="A399" t="inlineStr">
        <is>
          <t>A 36136-2023</t>
        </is>
      </c>
      <c r="B399" s="1" t="n">
        <v>45149</v>
      </c>
      <c r="C399" s="1" t="n">
        <v>46140</v>
      </c>
      <c r="D399" t="inlineStr">
        <is>
          <t>ÖREBRO LÄN</t>
        </is>
      </c>
      <c r="E399" t="inlineStr">
        <is>
          <t>LINDESBERG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13573-2025</t>
        </is>
      </c>
      <c r="B400" s="1" t="n">
        <v>45736</v>
      </c>
      <c r="C400" s="1" t="n">
        <v>46140</v>
      </c>
      <c r="D400" t="inlineStr">
        <is>
          <t>ÖREBRO LÄN</t>
        </is>
      </c>
      <c r="E400" t="inlineStr">
        <is>
          <t>LINDESBERG</t>
        </is>
      </c>
      <c r="G400" t="n">
        <v>11.7</v>
      </c>
      <c r="H400" t="n">
        <v>0</v>
      </c>
      <c r="I400" t="n">
        <v>0</v>
      </c>
      <c r="J400" t="n">
        <v>0</v>
      </c>
      <c r="K400" t="n">
        <v>0</v>
      </c>
      <c r="L400" t="n">
        <v>0</v>
      </c>
      <c r="M400" t="n">
        <v>0</v>
      </c>
      <c r="N400" t="n">
        <v>0</v>
      </c>
      <c r="O400" t="n">
        <v>0</v>
      </c>
      <c r="P400" t="n">
        <v>0</v>
      </c>
      <c r="Q400" t="n">
        <v>0</v>
      </c>
      <c r="R400" s="2" t="inlineStr"/>
    </row>
    <row r="401" ht="15" customHeight="1">
      <c r="A401" t="inlineStr">
        <is>
          <t>A 61601-2024</t>
        </is>
      </c>
      <c r="B401" s="1" t="n">
        <v>45646.63839120371</v>
      </c>
      <c r="C401" s="1" t="n">
        <v>46140</v>
      </c>
      <c r="D401" t="inlineStr">
        <is>
          <t>ÖREBRO LÄN</t>
        </is>
      </c>
      <c r="E401" t="inlineStr">
        <is>
          <t>LINDESBERG</t>
        </is>
      </c>
      <c r="G401" t="n">
        <v>0.5</v>
      </c>
      <c r="H401" t="n">
        <v>0</v>
      </c>
      <c r="I401" t="n">
        <v>0</v>
      </c>
      <c r="J401" t="n">
        <v>0</v>
      </c>
      <c r="K401" t="n">
        <v>0</v>
      </c>
      <c r="L401" t="n">
        <v>0</v>
      </c>
      <c r="M401" t="n">
        <v>0</v>
      </c>
      <c r="N401" t="n">
        <v>0</v>
      </c>
      <c r="O401" t="n">
        <v>0</v>
      </c>
      <c r="P401" t="n">
        <v>0</v>
      </c>
      <c r="Q401" t="n">
        <v>0</v>
      </c>
      <c r="R401" s="2" t="inlineStr"/>
    </row>
    <row r="402" ht="15" customHeight="1">
      <c r="A402" t="inlineStr">
        <is>
          <t>A 40450-2023</t>
        </is>
      </c>
      <c r="B402" s="1" t="n">
        <v>45170</v>
      </c>
      <c r="C402" s="1" t="n">
        <v>46140</v>
      </c>
      <c r="D402" t="inlineStr">
        <is>
          <t>ÖREBRO LÄN</t>
        </is>
      </c>
      <c r="E402" t="inlineStr">
        <is>
          <t>LINDESBERG</t>
        </is>
      </c>
      <c r="F402" t="inlineStr">
        <is>
          <t>Kyrkan</t>
        </is>
      </c>
      <c r="G402" t="n">
        <v>4.3</v>
      </c>
      <c r="H402" t="n">
        <v>0</v>
      </c>
      <c r="I402" t="n">
        <v>0</v>
      </c>
      <c r="J402" t="n">
        <v>0</v>
      </c>
      <c r="K402" t="n">
        <v>0</v>
      </c>
      <c r="L402" t="n">
        <v>0</v>
      </c>
      <c r="M402" t="n">
        <v>0</v>
      </c>
      <c r="N402" t="n">
        <v>0</v>
      </c>
      <c r="O402" t="n">
        <v>0</v>
      </c>
      <c r="P402" t="n">
        <v>0</v>
      </c>
      <c r="Q402" t="n">
        <v>0</v>
      </c>
      <c r="R402" s="2" t="inlineStr"/>
    </row>
    <row r="403" ht="15" customHeight="1">
      <c r="A403" t="inlineStr">
        <is>
          <t>A 22824-2023</t>
        </is>
      </c>
      <c r="B403" s="1" t="n">
        <v>45072</v>
      </c>
      <c r="C403" s="1" t="n">
        <v>46140</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37843-2025</t>
        </is>
      </c>
      <c r="B404" s="1" t="n">
        <v>45881.43759259259</v>
      </c>
      <c r="C404" s="1" t="n">
        <v>46140</v>
      </c>
      <c r="D404" t="inlineStr">
        <is>
          <t>ÖREBRO LÄN</t>
        </is>
      </c>
      <c r="E404" t="inlineStr">
        <is>
          <t>LINDESBERG</t>
        </is>
      </c>
      <c r="G404" t="n">
        <v>5.2</v>
      </c>
      <c r="H404" t="n">
        <v>0</v>
      </c>
      <c r="I404" t="n">
        <v>0</v>
      </c>
      <c r="J404" t="n">
        <v>0</v>
      </c>
      <c r="K404" t="n">
        <v>0</v>
      </c>
      <c r="L404" t="n">
        <v>0</v>
      </c>
      <c r="M404" t="n">
        <v>0</v>
      </c>
      <c r="N404" t="n">
        <v>0</v>
      </c>
      <c r="O404" t="n">
        <v>0</v>
      </c>
      <c r="P404" t="n">
        <v>0</v>
      </c>
      <c r="Q404" t="n">
        <v>0</v>
      </c>
      <c r="R404" s="2" t="inlineStr"/>
    </row>
    <row r="405" ht="15" customHeight="1">
      <c r="A405" t="inlineStr">
        <is>
          <t>A 72698-2021</t>
        </is>
      </c>
      <c r="B405" s="1" t="n">
        <v>44546.6679050926</v>
      </c>
      <c r="C405" s="1" t="n">
        <v>46140</v>
      </c>
      <c r="D405" t="inlineStr">
        <is>
          <t>ÖREBRO LÄN</t>
        </is>
      </c>
      <c r="E405" t="inlineStr">
        <is>
          <t>LINDESBERG</t>
        </is>
      </c>
      <c r="G405" t="n">
        <v>1.6</v>
      </c>
      <c r="H405" t="n">
        <v>0</v>
      </c>
      <c r="I405" t="n">
        <v>0</v>
      </c>
      <c r="J405" t="n">
        <v>0</v>
      </c>
      <c r="K405" t="n">
        <v>0</v>
      </c>
      <c r="L405" t="n">
        <v>0</v>
      </c>
      <c r="M405" t="n">
        <v>0</v>
      </c>
      <c r="N405" t="n">
        <v>0</v>
      </c>
      <c r="O405" t="n">
        <v>0</v>
      </c>
      <c r="P405" t="n">
        <v>0</v>
      </c>
      <c r="Q405" t="n">
        <v>0</v>
      </c>
      <c r="R405" s="2" t="inlineStr"/>
    </row>
    <row r="406" ht="15" customHeight="1">
      <c r="A406" t="inlineStr">
        <is>
          <t>A 34237-2023</t>
        </is>
      </c>
      <c r="B406" s="1" t="n">
        <v>45138</v>
      </c>
      <c r="C406" s="1" t="n">
        <v>46140</v>
      </c>
      <c r="D406" t="inlineStr">
        <is>
          <t>ÖREBRO LÄN</t>
        </is>
      </c>
      <c r="E406" t="inlineStr">
        <is>
          <t>LINDESBERG</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32994-2023</t>
        </is>
      </c>
      <c r="B407" s="1" t="n">
        <v>45113</v>
      </c>
      <c r="C407" s="1" t="n">
        <v>46140</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36170-2021</t>
        </is>
      </c>
      <c r="B408" s="1" t="n">
        <v>44389</v>
      </c>
      <c r="C408" s="1" t="n">
        <v>46140</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43837-2025</t>
        </is>
      </c>
      <c r="B409" s="1" t="n">
        <v>45912.63451388889</v>
      </c>
      <c r="C409" s="1" t="n">
        <v>46140</v>
      </c>
      <c r="D409" t="inlineStr">
        <is>
          <t>ÖREBRO LÄN</t>
        </is>
      </c>
      <c r="E409" t="inlineStr">
        <is>
          <t>LINDESBERG</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10822-2023</t>
        </is>
      </c>
      <c r="B410" s="1" t="n">
        <v>44990</v>
      </c>
      <c r="C410" s="1" t="n">
        <v>46140</v>
      </c>
      <c r="D410" t="inlineStr">
        <is>
          <t>ÖREBRO LÄN</t>
        </is>
      </c>
      <c r="E410" t="inlineStr">
        <is>
          <t>LINDESBERG</t>
        </is>
      </c>
      <c r="G410" t="n">
        <v>1.3</v>
      </c>
      <c r="H410" t="n">
        <v>0</v>
      </c>
      <c r="I410" t="n">
        <v>0</v>
      </c>
      <c r="J410" t="n">
        <v>0</v>
      </c>
      <c r="K410" t="n">
        <v>0</v>
      </c>
      <c r="L410" t="n">
        <v>0</v>
      </c>
      <c r="M410" t="n">
        <v>0</v>
      </c>
      <c r="N410" t="n">
        <v>0</v>
      </c>
      <c r="O410" t="n">
        <v>0</v>
      </c>
      <c r="P410" t="n">
        <v>0</v>
      </c>
      <c r="Q410" t="n">
        <v>0</v>
      </c>
      <c r="R410" s="2" t="inlineStr"/>
    </row>
    <row r="411" ht="15" customHeight="1">
      <c r="A411" t="inlineStr">
        <is>
          <t>A 43847-2025</t>
        </is>
      </c>
      <c r="B411" s="1" t="n">
        <v>45912.63751157407</v>
      </c>
      <c r="C411" s="1" t="n">
        <v>46140</v>
      </c>
      <c r="D411" t="inlineStr">
        <is>
          <t>ÖREBRO LÄN</t>
        </is>
      </c>
      <c r="E411" t="inlineStr">
        <is>
          <t>LINDESBERG</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43836-2025</t>
        </is>
      </c>
      <c r="B412" s="1" t="n">
        <v>45912.63359953704</v>
      </c>
      <c r="C412" s="1" t="n">
        <v>46140</v>
      </c>
      <c r="D412" t="inlineStr">
        <is>
          <t>ÖREBRO LÄN</t>
        </is>
      </c>
      <c r="E412" t="inlineStr">
        <is>
          <t>LINDESBERG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35230-2024</t>
        </is>
      </c>
      <c r="B413" s="1" t="n">
        <v>45530</v>
      </c>
      <c r="C413" s="1" t="n">
        <v>46140</v>
      </c>
      <c r="D413" t="inlineStr">
        <is>
          <t>ÖREBRO LÄN</t>
        </is>
      </c>
      <c r="E413" t="inlineStr">
        <is>
          <t>LINDESBERG</t>
        </is>
      </c>
      <c r="G413" t="n">
        <v>1.7</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46140</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44077-2025</t>
        </is>
      </c>
      <c r="B415" s="1" t="n">
        <v>45915.54983796296</v>
      </c>
      <c r="C415" s="1" t="n">
        <v>46140</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9198-2025</t>
        </is>
      </c>
      <c r="B416" s="1" t="n">
        <v>45714</v>
      </c>
      <c r="C416" s="1" t="n">
        <v>46140</v>
      </c>
      <c r="D416" t="inlineStr">
        <is>
          <t>ÖREBRO LÄN</t>
        </is>
      </c>
      <c r="E416" t="inlineStr">
        <is>
          <t>LINDESBERG</t>
        </is>
      </c>
      <c r="G416" t="n">
        <v>3.3</v>
      </c>
      <c r="H416" t="n">
        <v>0</v>
      </c>
      <c r="I416" t="n">
        <v>0</v>
      </c>
      <c r="J416" t="n">
        <v>0</v>
      </c>
      <c r="K416" t="n">
        <v>0</v>
      </c>
      <c r="L416" t="n">
        <v>0</v>
      </c>
      <c r="M416" t="n">
        <v>0</v>
      </c>
      <c r="N416" t="n">
        <v>0</v>
      </c>
      <c r="O416" t="n">
        <v>0</v>
      </c>
      <c r="P416" t="n">
        <v>0</v>
      </c>
      <c r="Q416" t="n">
        <v>0</v>
      </c>
      <c r="R416" s="2" t="inlineStr"/>
    </row>
    <row r="417" ht="15" customHeight="1">
      <c r="A417" t="inlineStr">
        <is>
          <t>A 16618-2023</t>
        </is>
      </c>
      <c r="B417" s="1" t="n">
        <v>45030</v>
      </c>
      <c r="C417" s="1" t="n">
        <v>46140</v>
      </c>
      <c r="D417" t="inlineStr">
        <is>
          <t>ÖREBRO LÄN</t>
        </is>
      </c>
      <c r="E417" t="inlineStr">
        <is>
          <t>LINDESBERG</t>
        </is>
      </c>
      <c r="F417" t="inlineStr">
        <is>
          <t>Kommuner</t>
        </is>
      </c>
      <c r="G417" t="n">
        <v>4.6</v>
      </c>
      <c r="H417" t="n">
        <v>0</v>
      </c>
      <c r="I417" t="n">
        <v>0</v>
      </c>
      <c r="J417" t="n">
        <v>0</v>
      </c>
      <c r="K417" t="n">
        <v>0</v>
      </c>
      <c r="L417" t="n">
        <v>0</v>
      </c>
      <c r="M417" t="n">
        <v>0</v>
      </c>
      <c r="N417" t="n">
        <v>0</v>
      </c>
      <c r="O417" t="n">
        <v>0</v>
      </c>
      <c r="P417" t="n">
        <v>0</v>
      </c>
      <c r="Q417" t="n">
        <v>0</v>
      </c>
      <c r="R417" s="2" t="inlineStr"/>
    </row>
    <row r="418" ht="15" customHeight="1">
      <c r="A418" t="inlineStr">
        <is>
          <t>A 44067-2025</t>
        </is>
      </c>
      <c r="B418" s="1" t="n">
        <v>45915.54439814815</v>
      </c>
      <c r="C418" s="1" t="n">
        <v>46140</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4298-2025</t>
        </is>
      </c>
      <c r="B419" s="1" t="n">
        <v>45685</v>
      </c>
      <c r="C419" s="1" t="n">
        <v>46140</v>
      </c>
      <c r="D419" t="inlineStr">
        <is>
          <t>ÖREBRO LÄN</t>
        </is>
      </c>
      <c r="E419" t="inlineStr">
        <is>
          <t>LINDESBERG</t>
        </is>
      </c>
      <c r="G419" t="n">
        <v>13.5</v>
      </c>
      <c r="H419" t="n">
        <v>0</v>
      </c>
      <c r="I419" t="n">
        <v>0</v>
      </c>
      <c r="J419" t="n">
        <v>0</v>
      </c>
      <c r="K419" t="n">
        <v>0</v>
      </c>
      <c r="L419" t="n">
        <v>0</v>
      </c>
      <c r="M419" t="n">
        <v>0</v>
      </c>
      <c r="N419" t="n">
        <v>0</v>
      </c>
      <c r="O419" t="n">
        <v>0</v>
      </c>
      <c r="P419" t="n">
        <v>0</v>
      </c>
      <c r="Q419" t="n">
        <v>0</v>
      </c>
      <c r="R419" s="2" t="inlineStr"/>
    </row>
    <row r="420" ht="15" customHeight="1">
      <c r="A420" t="inlineStr">
        <is>
          <t>A 4999-2025</t>
        </is>
      </c>
      <c r="B420" s="1" t="n">
        <v>45691.36253472222</v>
      </c>
      <c r="C420" s="1" t="n">
        <v>46140</v>
      </c>
      <c r="D420" t="inlineStr">
        <is>
          <t>ÖREBRO LÄN</t>
        </is>
      </c>
      <c r="E420" t="inlineStr">
        <is>
          <t>LINDESBERG</t>
        </is>
      </c>
      <c r="G420" t="n">
        <v>4.7</v>
      </c>
      <c r="H420" t="n">
        <v>0</v>
      </c>
      <c r="I420" t="n">
        <v>0</v>
      </c>
      <c r="J420" t="n">
        <v>0</v>
      </c>
      <c r="K420" t="n">
        <v>0</v>
      </c>
      <c r="L420" t="n">
        <v>0</v>
      </c>
      <c r="M420" t="n">
        <v>0</v>
      </c>
      <c r="N420" t="n">
        <v>0</v>
      </c>
      <c r="O420" t="n">
        <v>0</v>
      </c>
      <c r="P420" t="n">
        <v>0</v>
      </c>
      <c r="Q420" t="n">
        <v>0</v>
      </c>
      <c r="R420" s="2" t="inlineStr"/>
    </row>
    <row r="421" ht="15" customHeight="1">
      <c r="A421" t="inlineStr">
        <is>
          <t>A 15892-2025</t>
        </is>
      </c>
      <c r="B421" s="1" t="n">
        <v>45749</v>
      </c>
      <c r="C421" s="1" t="n">
        <v>46140</v>
      </c>
      <c r="D421" t="inlineStr">
        <is>
          <t>ÖREBRO LÄN</t>
        </is>
      </c>
      <c r="E421" t="inlineStr">
        <is>
          <t>LINDESBERG</t>
        </is>
      </c>
      <c r="G421" t="n">
        <v>0.8</v>
      </c>
      <c r="H421" t="n">
        <v>0</v>
      </c>
      <c r="I421" t="n">
        <v>0</v>
      </c>
      <c r="J421" t="n">
        <v>0</v>
      </c>
      <c r="K421" t="n">
        <v>0</v>
      </c>
      <c r="L421" t="n">
        <v>0</v>
      </c>
      <c r="M421" t="n">
        <v>0</v>
      </c>
      <c r="N421" t="n">
        <v>0</v>
      </c>
      <c r="O421" t="n">
        <v>0</v>
      </c>
      <c r="P421" t="n">
        <v>0</v>
      </c>
      <c r="Q421" t="n">
        <v>0</v>
      </c>
      <c r="R421" s="2" t="inlineStr"/>
    </row>
    <row r="422" ht="15" customHeight="1">
      <c r="A422" t="inlineStr">
        <is>
          <t>A 45428-2023</t>
        </is>
      </c>
      <c r="B422" s="1" t="n">
        <v>45194</v>
      </c>
      <c r="C422" s="1" t="n">
        <v>46140</v>
      </c>
      <c r="D422" t="inlineStr">
        <is>
          <t>ÖREBRO LÄN</t>
        </is>
      </c>
      <c r="E422" t="inlineStr">
        <is>
          <t>LINDESBERG</t>
        </is>
      </c>
      <c r="G422" t="n">
        <v>7.7</v>
      </c>
      <c r="H422" t="n">
        <v>0</v>
      </c>
      <c r="I422" t="n">
        <v>0</v>
      </c>
      <c r="J422" t="n">
        <v>0</v>
      </c>
      <c r="K422" t="n">
        <v>0</v>
      </c>
      <c r="L422" t="n">
        <v>0</v>
      </c>
      <c r="M422" t="n">
        <v>0</v>
      </c>
      <c r="N422" t="n">
        <v>0</v>
      </c>
      <c r="O422" t="n">
        <v>0</v>
      </c>
      <c r="P422" t="n">
        <v>0</v>
      </c>
      <c r="Q422" t="n">
        <v>0</v>
      </c>
      <c r="R422" s="2" t="inlineStr"/>
    </row>
    <row r="423" ht="15" customHeight="1">
      <c r="A423" t="inlineStr">
        <is>
          <t>A 44545-2025</t>
        </is>
      </c>
      <c r="B423" s="1" t="n">
        <v>45917.31780092593</v>
      </c>
      <c r="C423" s="1" t="n">
        <v>46140</v>
      </c>
      <c r="D423" t="inlineStr">
        <is>
          <t>ÖREBRO LÄN</t>
        </is>
      </c>
      <c r="E423" t="inlineStr">
        <is>
          <t>LINDESBERG</t>
        </is>
      </c>
      <c r="F423" t="inlineStr">
        <is>
          <t>Kommuner</t>
        </is>
      </c>
      <c r="G423" t="n">
        <v>2.3</v>
      </c>
      <c r="H423" t="n">
        <v>0</v>
      </c>
      <c r="I423" t="n">
        <v>0</v>
      </c>
      <c r="J423" t="n">
        <v>0</v>
      </c>
      <c r="K423" t="n">
        <v>0</v>
      </c>
      <c r="L423" t="n">
        <v>0</v>
      </c>
      <c r="M423" t="n">
        <v>0</v>
      </c>
      <c r="N423" t="n">
        <v>0</v>
      </c>
      <c r="O423" t="n">
        <v>0</v>
      </c>
      <c r="P423" t="n">
        <v>0</v>
      </c>
      <c r="Q423" t="n">
        <v>0</v>
      </c>
      <c r="R423" s="2" t="inlineStr"/>
    </row>
    <row r="424" ht="15" customHeight="1">
      <c r="A424" t="inlineStr">
        <is>
          <t>A 28082-2021</t>
        </is>
      </c>
      <c r="B424" s="1" t="n">
        <v>44355</v>
      </c>
      <c r="C424" s="1" t="n">
        <v>46140</v>
      </c>
      <c r="D424" t="inlineStr">
        <is>
          <t>ÖREBRO LÄN</t>
        </is>
      </c>
      <c r="E424" t="inlineStr">
        <is>
          <t>LINDESBERG</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57911-2022</t>
        </is>
      </c>
      <c r="B425" s="1" t="n">
        <v>44900.36149305556</v>
      </c>
      <c r="C425" s="1" t="n">
        <v>46140</v>
      </c>
      <c r="D425" t="inlineStr">
        <is>
          <t>ÖREBRO LÄN</t>
        </is>
      </c>
      <c r="E425" t="inlineStr">
        <is>
          <t>LINDESBERG</t>
        </is>
      </c>
      <c r="G425" t="n">
        <v>4.9</v>
      </c>
      <c r="H425" t="n">
        <v>0</v>
      </c>
      <c r="I425" t="n">
        <v>0</v>
      </c>
      <c r="J425" t="n">
        <v>0</v>
      </c>
      <c r="K425" t="n">
        <v>0</v>
      </c>
      <c r="L425" t="n">
        <v>0</v>
      </c>
      <c r="M425" t="n">
        <v>0</v>
      </c>
      <c r="N425" t="n">
        <v>0</v>
      </c>
      <c r="O425" t="n">
        <v>0</v>
      </c>
      <c r="P425" t="n">
        <v>0</v>
      </c>
      <c r="Q425" t="n">
        <v>0</v>
      </c>
      <c r="R425" s="2" t="inlineStr"/>
    </row>
    <row r="426" ht="15" customHeight="1">
      <c r="A426" t="inlineStr">
        <is>
          <t>A 64427-2021</t>
        </is>
      </c>
      <c r="B426" s="1" t="n">
        <v>44511</v>
      </c>
      <c r="C426" s="1" t="n">
        <v>46140</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19077-2025</t>
        </is>
      </c>
      <c r="B427" s="1" t="n">
        <v>45766.33309027777</v>
      </c>
      <c r="C427" s="1" t="n">
        <v>46140</v>
      </c>
      <c r="D427" t="inlineStr">
        <is>
          <t>ÖREBRO LÄN</t>
        </is>
      </c>
      <c r="E427" t="inlineStr">
        <is>
          <t>LINDESBERG</t>
        </is>
      </c>
      <c r="G427" t="n">
        <v>0</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46140</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46757-2025</t>
        </is>
      </c>
      <c r="B429" s="1" t="n">
        <v>45926.62039351852</v>
      </c>
      <c r="C429" s="1" t="n">
        <v>46140</v>
      </c>
      <c r="D429" t="inlineStr">
        <is>
          <t>ÖREBRO LÄN</t>
        </is>
      </c>
      <c r="E429" t="inlineStr">
        <is>
          <t>LINDESBERG</t>
        </is>
      </c>
      <c r="G429" t="n">
        <v>7.9</v>
      </c>
      <c r="H429" t="n">
        <v>0</v>
      </c>
      <c r="I429" t="n">
        <v>0</v>
      </c>
      <c r="J429" t="n">
        <v>0</v>
      </c>
      <c r="K429" t="n">
        <v>0</v>
      </c>
      <c r="L429" t="n">
        <v>0</v>
      </c>
      <c r="M429" t="n">
        <v>0</v>
      </c>
      <c r="N429" t="n">
        <v>0</v>
      </c>
      <c r="O429" t="n">
        <v>0</v>
      </c>
      <c r="P429" t="n">
        <v>0</v>
      </c>
      <c r="Q429" t="n">
        <v>0</v>
      </c>
      <c r="R429" s="2" t="inlineStr"/>
    </row>
    <row r="430" ht="15" customHeight="1">
      <c r="A430" t="inlineStr">
        <is>
          <t>A 15094-2025</t>
        </is>
      </c>
      <c r="B430" s="1" t="n">
        <v>45744.32981481482</v>
      </c>
      <c r="C430" s="1" t="n">
        <v>46140</v>
      </c>
      <c r="D430" t="inlineStr">
        <is>
          <t>ÖREBRO LÄN</t>
        </is>
      </c>
      <c r="E430" t="inlineStr">
        <is>
          <t>LINDESBERG</t>
        </is>
      </c>
      <c r="G430" t="n">
        <v>1.2</v>
      </c>
      <c r="H430" t="n">
        <v>0</v>
      </c>
      <c r="I430" t="n">
        <v>0</v>
      </c>
      <c r="J430" t="n">
        <v>0</v>
      </c>
      <c r="K430" t="n">
        <v>0</v>
      </c>
      <c r="L430" t="n">
        <v>0</v>
      </c>
      <c r="M430" t="n">
        <v>0</v>
      </c>
      <c r="N430" t="n">
        <v>0</v>
      </c>
      <c r="O430" t="n">
        <v>0</v>
      </c>
      <c r="P430" t="n">
        <v>0</v>
      </c>
      <c r="Q430" t="n">
        <v>0</v>
      </c>
      <c r="R430" s="2" t="inlineStr"/>
    </row>
    <row r="431" ht="15" customHeight="1">
      <c r="A431" t="inlineStr">
        <is>
          <t>A 46484-2025</t>
        </is>
      </c>
      <c r="B431" s="1" t="n">
        <v>45925.70290509259</v>
      </c>
      <c r="C431" s="1" t="n">
        <v>46140</v>
      </c>
      <c r="D431" t="inlineStr">
        <is>
          <t>ÖREBRO LÄN</t>
        </is>
      </c>
      <c r="E431" t="inlineStr">
        <is>
          <t>LINDESBERG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13969-2025</t>
        </is>
      </c>
      <c r="B432" s="1" t="n">
        <v>45738.43714120371</v>
      </c>
      <c r="C432" s="1" t="n">
        <v>46140</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24352-2023</t>
        </is>
      </c>
      <c r="B433" s="1" t="n">
        <v>45082.31421296296</v>
      </c>
      <c r="C433" s="1" t="n">
        <v>46140</v>
      </c>
      <c r="D433" t="inlineStr">
        <is>
          <t>ÖREBRO LÄN</t>
        </is>
      </c>
      <c r="E433" t="inlineStr">
        <is>
          <t>LINDESBERG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46404-2025</t>
        </is>
      </c>
      <c r="B434" s="1" t="n">
        <v>45925.56173611111</v>
      </c>
      <c r="C434" s="1" t="n">
        <v>46140</v>
      </c>
      <c r="D434" t="inlineStr">
        <is>
          <t>ÖREBRO LÄN</t>
        </is>
      </c>
      <c r="E434" t="inlineStr">
        <is>
          <t>LINDESBERG</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484-2022</t>
        </is>
      </c>
      <c r="B435" s="1" t="n">
        <v>44566</v>
      </c>
      <c r="C435" s="1" t="n">
        <v>46140</v>
      </c>
      <c r="D435" t="inlineStr">
        <is>
          <t>ÖREBRO LÄN</t>
        </is>
      </c>
      <c r="E435" t="inlineStr">
        <is>
          <t>LINDESBERG</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36024-2021</t>
        </is>
      </c>
      <c r="B436" s="1" t="n">
        <v>44389</v>
      </c>
      <c r="C436" s="1" t="n">
        <v>46140</v>
      </c>
      <c r="D436" t="inlineStr">
        <is>
          <t>ÖREBRO LÄN</t>
        </is>
      </c>
      <c r="E436" t="inlineStr">
        <is>
          <t>LINDESBERG</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10823-2023</t>
        </is>
      </c>
      <c r="B437" s="1" t="n">
        <v>44990</v>
      </c>
      <c r="C437" s="1" t="n">
        <v>46140</v>
      </c>
      <c r="D437" t="inlineStr">
        <is>
          <t>ÖREBRO LÄN</t>
        </is>
      </c>
      <c r="E437" t="inlineStr">
        <is>
          <t>LINDESBERG</t>
        </is>
      </c>
      <c r="G437" t="n">
        <v>1.8</v>
      </c>
      <c r="H437" t="n">
        <v>0</v>
      </c>
      <c r="I437" t="n">
        <v>0</v>
      </c>
      <c r="J437" t="n">
        <v>0</v>
      </c>
      <c r="K437" t="n">
        <v>0</v>
      </c>
      <c r="L437" t="n">
        <v>0</v>
      </c>
      <c r="M437" t="n">
        <v>0</v>
      </c>
      <c r="N437" t="n">
        <v>0</v>
      </c>
      <c r="O437" t="n">
        <v>0</v>
      </c>
      <c r="P437" t="n">
        <v>0</v>
      </c>
      <c r="Q437" t="n">
        <v>0</v>
      </c>
      <c r="R437" s="2" t="inlineStr"/>
    </row>
    <row r="438" ht="15" customHeight="1">
      <c r="A438" t="inlineStr">
        <is>
          <t>A 58603-2023</t>
        </is>
      </c>
      <c r="B438" s="1" t="n">
        <v>45251</v>
      </c>
      <c r="C438" s="1" t="n">
        <v>46140</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13417-2025</t>
        </is>
      </c>
      <c r="B439" s="1" t="n">
        <v>45736.30940972222</v>
      </c>
      <c r="C439" s="1" t="n">
        <v>46140</v>
      </c>
      <c r="D439" t="inlineStr">
        <is>
          <t>ÖREBRO LÄN</t>
        </is>
      </c>
      <c r="E439" t="inlineStr">
        <is>
          <t>LINDESBERG</t>
        </is>
      </c>
      <c r="G439" t="n">
        <v>2.2</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46140</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23603-2023</t>
        </is>
      </c>
      <c r="B441" s="1" t="n">
        <v>45077</v>
      </c>
      <c r="C441" s="1" t="n">
        <v>46140</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23607-2023</t>
        </is>
      </c>
      <c r="B442" s="1" t="n">
        <v>45077</v>
      </c>
      <c r="C442" s="1" t="n">
        <v>46140</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23612-2023</t>
        </is>
      </c>
      <c r="B443" s="1" t="n">
        <v>45077</v>
      </c>
      <c r="C443" s="1" t="n">
        <v>46140</v>
      </c>
      <c r="D443" t="inlineStr">
        <is>
          <t>ÖREBRO LÄN</t>
        </is>
      </c>
      <c r="E443" t="inlineStr">
        <is>
          <t>LINDESBERG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48061-2025</t>
        </is>
      </c>
      <c r="B444" s="1" t="n">
        <v>45932.68006944445</v>
      </c>
      <c r="C444" s="1" t="n">
        <v>46140</v>
      </c>
      <c r="D444" t="inlineStr">
        <is>
          <t>ÖREBRO LÄN</t>
        </is>
      </c>
      <c r="E444" t="inlineStr">
        <is>
          <t>LINDESBERG</t>
        </is>
      </c>
      <c r="G444" t="n">
        <v>1.5</v>
      </c>
      <c r="H444" t="n">
        <v>0</v>
      </c>
      <c r="I444" t="n">
        <v>0</v>
      </c>
      <c r="J444" t="n">
        <v>0</v>
      </c>
      <c r="K444" t="n">
        <v>0</v>
      </c>
      <c r="L444" t="n">
        <v>0</v>
      </c>
      <c r="M444" t="n">
        <v>0</v>
      </c>
      <c r="N444" t="n">
        <v>0</v>
      </c>
      <c r="O444" t="n">
        <v>0</v>
      </c>
      <c r="P444" t="n">
        <v>0</v>
      </c>
      <c r="Q444" t="n">
        <v>0</v>
      </c>
      <c r="R444" s="2" t="inlineStr"/>
    </row>
    <row r="445" ht="15" customHeight="1">
      <c r="A445" t="inlineStr">
        <is>
          <t>A 47678-2025</t>
        </is>
      </c>
      <c r="B445" s="1" t="n">
        <v>45931.57967592592</v>
      </c>
      <c r="C445" s="1" t="n">
        <v>46140</v>
      </c>
      <c r="D445" t="inlineStr">
        <is>
          <t>ÖREBRO LÄN</t>
        </is>
      </c>
      <c r="E445" t="inlineStr">
        <is>
          <t>LINDESBERG</t>
        </is>
      </c>
      <c r="G445" t="n">
        <v>0.6</v>
      </c>
      <c r="H445" t="n">
        <v>0</v>
      </c>
      <c r="I445" t="n">
        <v>0</v>
      </c>
      <c r="J445" t="n">
        <v>0</v>
      </c>
      <c r="K445" t="n">
        <v>0</v>
      </c>
      <c r="L445" t="n">
        <v>0</v>
      </c>
      <c r="M445" t="n">
        <v>0</v>
      </c>
      <c r="N445" t="n">
        <v>0</v>
      </c>
      <c r="O445" t="n">
        <v>0</v>
      </c>
      <c r="P445" t="n">
        <v>0</v>
      </c>
      <c r="Q445" t="n">
        <v>0</v>
      </c>
      <c r="R445" s="2" t="inlineStr"/>
    </row>
    <row r="446" ht="15" customHeight="1">
      <c r="A446" t="inlineStr">
        <is>
          <t>A 23102-2023</t>
        </is>
      </c>
      <c r="B446" s="1" t="n">
        <v>45075.44152777778</v>
      </c>
      <c r="C446" s="1" t="n">
        <v>46140</v>
      </c>
      <c r="D446" t="inlineStr">
        <is>
          <t>ÖREBRO LÄN</t>
        </is>
      </c>
      <c r="E446" t="inlineStr">
        <is>
          <t>LINDESBERG</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15212-2025</t>
        </is>
      </c>
      <c r="B447" s="1" t="n">
        <v>45744.57673611111</v>
      </c>
      <c r="C447" s="1" t="n">
        <v>46140</v>
      </c>
      <c r="D447" t="inlineStr">
        <is>
          <t>ÖREBRO LÄN</t>
        </is>
      </c>
      <c r="E447" t="inlineStr">
        <is>
          <t>LINDESBERG</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3148-2023</t>
        </is>
      </c>
      <c r="B448" s="1" t="n">
        <v>44946.54424768518</v>
      </c>
      <c r="C448" s="1" t="n">
        <v>46140</v>
      </c>
      <c r="D448" t="inlineStr">
        <is>
          <t>ÖREBRO LÄN</t>
        </is>
      </c>
      <c r="E448" t="inlineStr">
        <is>
          <t>LINDESBERG</t>
        </is>
      </c>
      <c r="G448" t="n">
        <v>5.5</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46140</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48489-2025</t>
        </is>
      </c>
      <c r="B450" s="1" t="n">
        <v>45936.36637731481</v>
      </c>
      <c r="C450" s="1" t="n">
        <v>46140</v>
      </c>
      <c r="D450" t="inlineStr">
        <is>
          <t>ÖREBRO LÄN</t>
        </is>
      </c>
      <c r="E450" t="inlineStr">
        <is>
          <t>LINDESBERG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46140</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48495-2025</t>
        </is>
      </c>
      <c r="B452" s="1" t="n">
        <v>45936.37237268518</v>
      </c>
      <c r="C452" s="1" t="n">
        <v>46140</v>
      </c>
      <c r="D452" t="inlineStr">
        <is>
          <t>ÖREBRO LÄN</t>
        </is>
      </c>
      <c r="E452" t="inlineStr">
        <is>
          <t>LINDESBERG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48618-2025</t>
        </is>
      </c>
      <c r="B453" s="1" t="n">
        <v>45936.49026620371</v>
      </c>
      <c r="C453" s="1" t="n">
        <v>46140</v>
      </c>
      <c r="D453" t="inlineStr">
        <is>
          <t>ÖREBRO LÄN</t>
        </is>
      </c>
      <c r="E453" t="inlineStr">
        <is>
          <t>LINDESBERG</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48497-2025</t>
        </is>
      </c>
      <c r="B454" s="1" t="n">
        <v>45936.37523148148</v>
      </c>
      <c r="C454" s="1" t="n">
        <v>46140</v>
      </c>
      <c r="D454" t="inlineStr">
        <is>
          <t>ÖREBRO LÄN</t>
        </is>
      </c>
      <c r="E454" t="inlineStr">
        <is>
          <t>LINDESBERG</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50225-2021</t>
        </is>
      </c>
      <c r="B455" s="1" t="n">
        <v>44457</v>
      </c>
      <c r="C455" s="1" t="n">
        <v>46140</v>
      </c>
      <c r="D455" t="inlineStr">
        <is>
          <t>ÖREBRO LÄN</t>
        </is>
      </c>
      <c r="E455" t="inlineStr">
        <is>
          <t>LINDESBERG</t>
        </is>
      </c>
      <c r="G455" t="n">
        <v>2.5</v>
      </c>
      <c r="H455" t="n">
        <v>0</v>
      </c>
      <c r="I455" t="n">
        <v>0</v>
      </c>
      <c r="J455" t="n">
        <v>0</v>
      </c>
      <c r="K455" t="n">
        <v>0</v>
      </c>
      <c r="L455" t="n">
        <v>0</v>
      </c>
      <c r="M455" t="n">
        <v>0</v>
      </c>
      <c r="N455" t="n">
        <v>0</v>
      </c>
      <c r="O455" t="n">
        <v>0</v>
      </c>
      <c r="P455" t="n">
        <v>0</v>
      </c>
      <c r="Q455" t="n">
        <v>0</v>
      </c>
      <c r="R455" s="2" t="inlineStr"/>
    </row>
    <row r="456" ht="15" customHeight="1">
      <c r="A456" t="inlineStr">
        <is>
          <t>A 48620-2025</t>
        </is>
      </c>
      <c r="B456" s="1" t="n">
        <v>45936.49210648148</v>
      </c>
      <c r="C456" s="1" t="n">
        <v>46140</v>
      </c>
      <c r="D456" t="inlineStr">
        <is>
          <t>ÖREBRO LÄN</t>
        </is>
      </c>
      <c r="E456" t="inlineStr">
        <is>
          <t>LINDESBERG</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61202-2023</t>
        </is>
      </c>
      <c r="B457" s="1" t="n">
        <v>45264.38084490741</v>
      </c>
      <c r="C457" s="1" t="n">
        <v>46140</v>
      </c>
      <c r="D457" t="inlineStr">
        <is>
          <t>ÖREBRO LÄN</t>
        </is>
      </c>
      <c r="E457" t="inlineStr">
        <is>
          <t>LINDESBERG</t>
        </is>
      </c>
      <c r="G457" t="n">
        <v>0.9</v>
      </c>
      <c r="H457" t="n">
        <v>0</v>
      </c>
      <c r="I457" t="n">
        <v>0</v>
      </c>
      <c r="J457" t="n">
        <v>0</v>
      </c>
      <c r="K457" t="n">
        <v>0</v>
      </c>
      <c r="L457" t="n">
        <v>0</v>
      </c>
      <c r="M457" t="n">
        <v>0</v>
      </c>
      <c r="N457" t="n">
        <v>0</v>
      </c>
      <c r="O457" t="n">
        <v>0</v>
      </c>
      <c r="P457" t="n">
        <v>0</v>
      </c>
      <c r="Q457" t="n">
        <v>0</v>
      </c>
      <c r="R457" s="2" t="inlineStr"/>
    </row>
    <row r="458" ht="15" customHeight="1">
      <c r="A458" t="inlineStr">
        <is>
          <t>A 14187-2024</t>
        </is>
      </c>
      <c r="B458" s="1" t="n">
        <v>45393.35787037037</v>
      </c>
      <c r="C458" s="1" t="n">
        <v>46140</v>
      </c>
      <c r="D458" t="inlineStr">
        <is>
          <t>ÖREBRO LÄN</t>
        </is>
      </c>
      <c r="E458" t="inlineStr">
        <is>
          <t>LINDESBERG</t>
        </is>
      </c>
      <c r="F458" t="inlineStr">
        <is>
          <t>Sveaskog</t>
        </is>
      </c>
      <c r="G458" t="n">
        <v>0.3</v>
      </c>
      <c r="H458" t="n">
        <v>0</v>
      </c>
      <c r="I458" t="n">
        <v>0</v>
      </c>
      <c r="J458" t="n">
        <v>0</v>
      </c>
      <c r="K458" t="n">
        <v>0</v>
      </c>
      <c r="L458" t="n">
        <v>0</v>
      </c>
      <c r="M458" t="n">
        <v>0</v>
      </c>
      <c r="N458" t="n">
        <v>0</v>
      </c>
      <c r="O458" t="n">
        <v>0</v>
      </c>
      <c r="P458" t="n">
        <v>0</v>
      </c>
      <c r="Q458" t="n">
        <v>0</v>
      </c>
      <c r="R458" s="2" t="inlineStr"/>
    </row>
    <row r="459" ht="15" customHeight="1">
      <c r="A459" t="inlineStr">
        <is>
          <t>A 195-2022</t>
        </is>
      </c>
      <c r="B459" s="1" t="n">
        <v>44564</v>
      </c>
      <c r="C459" s="1" t="n">
        <v>46140</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29500-2023</t>
        </is>
      </c>
      <c r="B460" s="1" t="n">
        <v>45106</v>
      </c>
      <c r="C460" s="1" t="n">
        <v>46140</v>
      </c>
      <c r="D460" t="inlineStr">
        <is>
          <t>ÖREBRO LÄN</t>
        </is>
      </c>
      <c r="E460" t="inlineStr">
        <is>
          <t>LINDESBERG</t>
        </is>
      </c>
      <c r="G460" t="n">
        <v>1.6</v>
      </c>
      <c r="H460" t="n">
        <v>0</v>
      </c>
      <c r="I460" t="n">
        <v>0</v>
      </c>
      <c r="J460" t="n">
        <v>0</v>
      </c>
      <c r="K460" t="n">
        <v>0</v>
      </c>
      <c r="L460" t="n">
        <v>0</v>
      </c>
      <c r="M460" t="n">
        <v>0</v>
      </c>
      <c r="N460" t="n">
        <v>0</v>
      </c>
      <c r="O460" t="n">
        <v>0</v>
      </c>
      <c r="P460" t="n">
        <v>0</v>
      </c>
      <c r="Q460" t="n">
        <v>0</v>
      </c>
      <c r="R460" s="2" t="inlineStr"/>
    </row>
    <row r="461" ht="15" customHeight="1">
      <c r="A461" t="inlineStr">
        <is>
          <t>A 48953-2025</t>
        </is>
      </c>
      <c r="B461" s="1" t="n">
        <v>45937.54697916667</v>
      </c>
      <c r="C461" s="1" t="n">
        <v>46140</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46140</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46140</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48993-2025</t>
        </is>
      </c>
      <c r="B464" s="1" t="n">
        <v>45937.58590277778</v>
      </c>
      <c r="C464" s="1" t="n">
        <v>46140</v>
      </c>
      <c r="D464" t="inlineStr">
        <is>
          <t>ÖREBRO LÄN</t>
        </is>
      </c>
      <c r="E464" t="inlineStr">
        <is>
          <t>LINDESBERG</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39140-2024</t>
        </is>
      </c>
      <c r="B465" s="1" t="n">
        <v>45548</v>
      </c>
      <c r="C465" s="1" t="n">
        <v>46140</v>
      </c>
      <c r="D465" t="inlineStr">
        <is>
          <t>ÖREBRO LÄN</t>
        </is>
      </c>
      <c r="E465" t="inlineStr">
        <is>
          <t>LINDESBERG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49183-2025</t>
        </is>
      </c>
      <c r="B466" s="1" t="n">
        <v>45938.39741898148</v>
      </c>
      <c r="C466" s="1" t="n">
        <v>46140</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265-2023</t>
        </is>
      </c>
      <c r="B467" s="1" t="n">
        <v>44928</v>
      </c>
      <c r="C467" s="1" t="n">
        <v>46140</v>
      </c>
      <c r="D467" t="inlineStr">
        <is>
          <t>ÖREBRO LÄN</t>
        </is>
      </c>
      <c r="E467" t="inlineStr">
        <is>
          <t>LINDESBERG</t>
        </is>
      </c>
      <c r="G467" t="n">
        <v>2.4</v>
      </c>
      <c r="H467" t="n">
        <v>0</v>
      </c>
      <c r="I467" t="n">
        <v>0</v>
      </c>
      <c r="J467" t="n">
        <v>0</v>
      </c>
      <c r="K467" t="n">
        <v>0</v>
      </c>
      <c r="L467" t="n">
        <v>0</v>
      </c>
      <c r="M467" t="n">
        <v>0</v>
      </c>
      <c r="N467" t="n">
        <v>0</v>
      </c>
      <c r="O467" t="n">
        <v>0</v>
      </c>
      <c r="P467" t="n">
        <v>0</v>
      </c>
      <c r="Q467" t="n">
        <v>0</v>
      </c>
      <c r="R467" s="2" t="inlineStr"/>
    </row>
    <row r="468" ht="15" customHeight="1">
      <c r="A468" t="inlineStr">
        <is>
          <t>A 41582-2021</t>
        </is>
      </c>
      <c r="B468" s="1" t="n">
        <v>44425.40297453704</v>
      </c>
      <c r="C468" s="1" t="n">
        <v>46140</v>
      </c>
      <c r="D468" t="inlineStr">
        <is>
          <t>ÖREBRO LÄN</t>
        </is>
      </c>
      <c r="E468" t="inlineStr">
        <is>
          <t>LINDESBERG</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49100-2025</t>
        </is>
      </c>
      <c r="B469" s="1" t="n">
        <v>45937.71556712963</v>
      </c>
      <c r="C469" s="1" t="n">
        <v>46140</v>
      </c>
      <c r="D469" t="inlineStr">
        <is>
          <t>ÖREBRO LÄN</t>
        </is>
      </c>
      <c r="E469" t="inlineStr">
        <is>
          <t>LINDESBERG</t>
        </is>
      </c>
      <c r="G469" t="n">
        <v>2.2</v>
      </c>
      <c r="H469" t="n">
        <v>0</v>
      </c>
      <c r="I469" t="n">
        <v>0</v>
      </c>
      <c r="J469" t="n">
        <v>0</v>
      </c>
      <c r="K469" t="n">
        <v>0</v>
      </c>
      <c r="L469" t="n">
        <v>0</v>
      </c>
      <c r="M469" t="n">
        <v>0</v>
      </c>
      <c r="N469" t="n">
        <v>0</v>
      </c>
      <c r="O469" t="n">
        <v>0</v>
      </c>
      <c r="P469" t="n">
        <v>0</v>
      </c>
      <c r="Q469" t="n">
        <v>0</v>
      </c>
      <c r="R469" s="2" t="inlineStr"/>
    </row>
    <row r="470" ht="15" customHeight="1">
      <c r="A470" t="inlineStr">
        <is>
          <t>A 19392-2025</t>
        </is>
      </c>
      <c r="B470" s="1" t="n">
        <v>45769.66260416667</v>
      </c>
      <c r="C470" s="1" t="n">
        <v>46140</v>
      </c>
      <c r="D470" t="inlineStr">
        <is>
          <t>ÖREBRO LÄN</t>
        </is>
      </c>
      <c r="E470" t="inlineStr">
        <is>
          <t>LINDESBERG</t>
        </is>
      </c>
      <c r="G470" t="n">
        <v>6.5</v>
      </c>
      <c r="H470" t="n">
        <v>0</v>
      </c>
      <c r="I470" t="n">
        <v>0</v>
      </c>
      <c r="J470" t="n">
        <v>0</v>
      </c>
      <c r="K470" t="n">
        <v>0</v>
      </c>
      <c r="L470" t="n">
        <v>0</v>
      </c>
      <c r="M470" t="n">
        <v>0</v>
      </c>
      <c r="N470" t="n">
        <v>0</v>
      </c>
      <c r="O470" t="n">
        <v>0</v>
      </c>
      <c r="P470" t="n">
        <v>0</v>
      </c>
      <c r="Q470" t="n">
        <v>0</v>
      </c>
      <c r="R470" s="2" t="inlineStr"/>
    </row>
    <row r="471" ht="15" customHeight="1">
      <c r="A471" t="inlineStr">
        <is>
          <t>A 59052-2023</t>
        </is>
      </c>
      <c r="B471" s="1" t="n">
        <v>45252.78021990741</v>
      </c>
      <c r="C471" s="1" t="n">
        <v>46140</v>
      </c>
      <c r="D471" t="inlineStr">
        <is>
          <t>ÖREBRO LÄN</t>
        </is>
      </c>
      <c r="E471" t="inlineStr">
        <is>
          <t>LINDESBERG</t>
        </is>
      </c>
      <c r="G471" t="n">
        <v>4.2</v>
      </c>
      <c r="H471" t="n">
        <v>0</v>
      </c>
      <c r="I471" t="n">
        <v>0</v>
      </c>
      <c r="J471" t="n">
        <v>0</v>
      </c>
      <c r="K471" t="n">
        <v>0</v>
      </c>
      <c r="L471" t="n">
        <v>0</v>
      </c>
      <c r="M471" t="n">
        <v>0</v>
      </c>
      <c r="N471" t="n">
        <v>0</v>
      </c>
      <c r="O471" t="n">
        <v>0</v>
      </c>
      <c r="P471" t="n">
        <v>0</v>
      </c>
      <c r="Q471" t="n">
        <v>0</v>
      </c>
      <c r="R471" s="2" t="inlineStr"/>
    </row>
    <row r="472" ht="15" customHeight="1">
      <c r="A472" t="inlineStr">
        <is>
          <t>A 27702-2025</t>
        </is>
      </c>
      <c r="B472" s="1" t="n">
        <v>45813</v>
      </c>
      <c r="C472" s="1" t="n">
        <v>46140</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6-2023</t>
        </is>
      </c>
      <c r="B473" s="1" t="n">
        <v>44927.72487268518</v>
      </c>
      <c r="C473" s="1" t="n">
        <v>46140</v>
      </c>
      <c r="D473" t="inlineStr">
        <is>
          <t>ÖREBRO LÄN</t>
        </is>
      </c>
      <c r="E473" t="inlineStr">
        <is>
          <t>LINDESBERG</t>
        </is>
      </c>
      <c r="G473" t="n">
        <v>2.8</v>
      </c>
      <c r="H473" t="n">
        <v>0</v>
      </c>
      <c r="I473" t="n">
        <v>0</v>
      </c>
      <c r="J473" t="n">
        <v>0</v>
      </c>
      <c r="K473" t="n">
        <v>0</v>
      </c>
      <c r="L473" t="n">
        <v>0</v>
      </c>
      <c r="M473" t="n">
        <v>0</v>
      </c>
      <c r="N473" t="n">
        <v>0</v>
      </c>
      <c r="O473" t="n">
        <v>0</v>
      </c>
      <c r="P473" t="n">
        <v>0</v>
      </c>
      <c r="Q473" t="n">
        <v>0</v>
      </c>
      <c r="R473" s="2" t="inlineStr"/>
    </row>
    <row r="474" ht="15" customHeight="1">
      <c r="A474" t="inlineStr">
        <is>
          <t>A 48867-2025</t>
        </is>
      </c>
      <c r="B474" s="1" t="n">
        <v>45937.4484837963</v>
      </c>
      <c r="C474" s="1" t="n">
        <v>46140</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54864-2024</t>
        </is>
      </c>
      <c r="B475" s="1" t="n">
        <v>45618.59456018519</v>
      </c>
      <c r="C475" s="1" t="n">
        <v>46140</v>
      </c>
      <c r="D475" t="inlineStr">
        <is>
          <t>ÖREBRO LÄN</t>
        </is>
      </c>
      <c r="E475" t="inlineStr">
        <is>
          <t>LINDESBERG</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49133-2025</t>
        </is>
      </c>
      <c r="B476" s="1" t="n">
        <v>45937.92319444445</v>
      </c>
      <c r="C476" s="1" t="n">
        <v>46140</v>
      </c>
      <c r="D476" t="inlineStr">
        <is>
          <t>ÖREBRO LÄN</t>
        </is>
      </c>
      <c r="E476" t="inlineStr">
        <is>
          <t>LINDESBERG</t>
        </is>
      </c>
      <c r="G476" t="n">
        <v>5</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46140</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46140</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49944-2025</t>
        </is>
      </c>
      <c r="B479" s="1" t="n">
        <v>45940.69643518519</v>
      </c>
      <c r="C479" s="1" t="n">
        <v>46140</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49947-2025</t>
        </is>
      </c>
      <c r="B480" s="1" t="n">
        <v>45940.70018518518</v>
      </c>
      <c r="C480" s="1" t="n">
        <v>46140</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49943-2025</t>
        </is>
      </c>
      <c r="B481" s="1" t="n">
        <v>45940.69521990741</v>
      </c>
      <c r="C481" s="1" t="n">
        <v>46140</v>
      </c>
      <c r="D481" t="inlineStr">
        <is>
          <t>ÖREBRO LÄN</t>
        </is>
      </c>
      <c r="E481" t="inlineStr">
        <is>
          <t>LINDESBERG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7211-2024</t>
        </is>
      </c>
      <c r="B482" s="1" t="n">
        <v>45344.623125</v>
      </c>
      <c r="C482" s="1" t="n">
        <v>46140</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15899-2025</t>
        </is>
      </c>
      <c r="B483" s="1" t="n">
        <v>45749.42258101852</v>
      </c>
      <c r="C483" s="1" t="n">
        <v>46140</v>
      </c>
      <c r="D483" t="inlineStr">
        <is>
          <t>ÖREBRO LÄN</t>
        </is>
      </c>
      <c r="E483" t="inlineStr">
        <is>
          <t>LINDESBERG</t>
        </is>
      </c>
      <c r="G483" t="n">
        <v>6.6</v>
      </c>
      <c r="H483" t="n">
        <v>0</v>
      </c>
      <c r="I483" t="n">
        <v>0</v>
      </c>
      <c r="J483" t="n">
        <v>0</v>
      </c>
      <c r="K483" t="n">
        <v>0</v>
      </c>
      <c r="L483" t="n">
        <v>0</v>
      </c>
      <c r="M483" t="n">
        <v>0</v>
      </c>
      <c r="N483" t="n">
        <v>0</v>
      </c>
      <c r="O483" t="n">
        <v>0</v>
      </c>
      <c r="P483" t="n">
        <v>0</v>
      </c>
      <c r="Q483" t="n">
        <v>0</v>
      </c>
      <c r="R483" s="2" t="inlineStr"/>
    </row>
    <row r="484" ht="15" customHeight="1">
      <c r="A484" t="inlineStr">
        <is>
          <t>A 50072-2025</t>
        </is>
      </c>
      <c r="B484" s="1" t="n">
        <v>45943.45966435185</v>
      </c>
      <c r="C484" s="1" t="n">
        <v>46140</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50086-2025</t>
        </is>
      </c>
      <c r="B485" s="1" t="n">
        <v>45943.47649305555</v>
      </c>
      <c r="C485" s="1" t="n">
        <v>46140</v>
      </c>
      <c r="D485" t="inlineStr">
        <is>
          <t>ÖREBRO LÄN</t>
        </is>
      </c>
      <c r="E485" t="inlineStr">
        <is>
          <t>LINDESBERG</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50275-2024</t>
        </is>
      </c>
      <c r="B486" s="1" t="n">
        <v>45600.60071759259</v>
      </c>
      <c r="C486" s="1" t="n">
        <v>46140</v>
      </c>
      <c r="D486" t="inlineStr">
        <is>
          <t>ÖREBRO LÄN</t>
        </is>
      </c>
      <c r="E486" t="inlineStr">
        <is>
          <t>LINDESBERG</t>
        </is>
      </c>
      <c r="G486" t="n">
        <v>4.3</v>
      </c>
      <c r="H486" t="n">
        <v>0</v>
      </c>
      <c r="I486" t="n">
        <v>0</v>
      </c>
      <c r="J486" t="n">
        <v>0</v>
      </c>
      <c r="K486" t="n">
        <v>0</v>
      </c>
      <c r="L486" t="n">
        <v>0</v>
      </c>
      <c r="M486" t="n">
        <v>0</v>
      </c>
      <c r="N486" t="n">
        <v>0</v>
      </c>
      <c r="O486" t="n">
        <v>0</v>
      </c>
      <c r="P486" t="n">
        <v>0</v>
      </c>
      <c r="Q486" t="n">
        <v>0</v>
      </c>
      <c r="R486" s="2" t="inlineStr"/>
    </row>
    <row r="487" ht="15" customHeight="1">
      <c r="A487" t="inlineStr">
        <is>
          <t>A 50073-2025</t>
        </is>
      </c>
      <c r="B487" s="1" t="n">
        <v>45943.4603125</v>
      </c>
      <c r="C487" s="1" t="n">
        <v>46140</v>
      </c>
      <c r="D487" t="inlineStr">
        <is>
          <t>ÖREBRO LÄN</t>
        </is>
      </c>
      <c r="E487" t="inlineStr">
        <is>
          <t>LINDESBERG</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7992-2025</t>
        </is>
      </c>
      <c r="B488" s="1" t="n">
        <v>45707</v>
      </c>
      <c r="C488" s="1" t="n">
        <v>46140</v>
      </c>
      <c r="D488" t="inlineStr">
        <is>
          <t>ÖREBRO LÄN</t>
        </is>
      </c>
      <c r="E488" t="inlineStr">
        <is>
          <t>LINDESBERG</t>
        </is>
      </c>
      <c r="G488" t="n">
        <v>4.8</v>
      </c>
      <c r="H488" t="n">
        <v>0</v>
      </c>
      <c r="I488" t="n">
        <v>0</v>
      </c>
      <c r="J488" t="n">
        <v>0</v>
      </c>
      <c r="K488" t="n">
        <v>0</v>
      </c>
      <c r="L488" t="n">
        <v>0</v>
      </c>
      <c r="M488" t="n">
        <v>0</v>
      </c>
      <c r="N488" t="n">
        <v>0</v>
      </c>
      <c r="O488" t="n">
        <v>0</v>
      </c>
      <c r="P488" t="n">
        <v>0</v>
      </c>
      <c r="Q488" t="n">
        <v>0</v>
      </c>
      <c r="R488" s="2" t="inlineStr"/>
    </row>
    <row r="489" ht="15" customHeight="1">
      <c r="A489" t="inlineStr">
        <is>
          <t>A 50936-2025</t>
        </is>
      </c>
      <c r="B489" s="1" t="n">
        <v>45946.69616898148</v>
      </c>
      <c r="C489" s="1" t="n">
        <v>46140</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3294-2024</t>
        </is>
      </c>
      <c r="B490" s="1" t="n">
        <v>45316</v>
      </c>
      <c r="C490" s="1" t="n">
        <v>46140</v>
      </c>
      <c r="D490" t="inlineStr">
        <is>
          <t>ÖREBRO LÄN</t>
        </is>
      </c>
      <c r="E490" t="inlineStr">
        <is>
          <t>LINDESBERG</t>
        </is>
      </c>
      <c r="G490" t="n">
        <v>3</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46140</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41947-2023</t>
        </is>
      </c>
      <c r="B492" s="1" t="n">
        <v>45177.31795138889</v>
      </c>
      <c r="C492" s="1" t="n">
        <v>46140</v>
      </c>
      <c r="D492" t="inlineStr">
        <is>
          <t>ÖREBRO LÄN</t>
        </is>
      </c>
      <c r="E492" t="inlineStr">
        <is>
          <t>LINDESBERG</t>
        </is>
      </c>
      <c r="F492" t="inlineStr">
        <is>
          <t>Kyrkan</t>
        </is>
      </c>
      <c r="G492" t="n">
        <v>0.7</v>
      </c>
      <c r="H492" t="n">
        <v>0</v>
      </c>
      <c r="I492" t="n">
        <v>0</v>
      </c>
      <c r="J492" t="n">
        <v>0</v>
      </c>
      <c r="K492" t="n">
        <v>0</v>
      </c>
      <c r="L492" t="n">
        <v>0</v>
      </c>
      <c r="M492" t="n">
        <v>0</v>
      </c>
      <c r="N492" t="n">
        <v>0</v>
      </c>
      <c r="O492" t="n">
        <v>0</v>
      </c>
      <c r="P492" t="n">
        <v>0</v>
      </c>
      <c r="Q492" t="n">
        <v>0</v>
      </c>
      <c r="R492" s="2" t="inlineStr"/>
    </row>
    <row r="493" ht="15" customHeight="1">
      <c r="A493" t="inlineStr">
        <is>
          <t>A 16447-2025</t>
        </is>
      </c>
      <c r="B493" s="1" t="n">
        <v>45751.50498842593</v>
      </c>
      <c r="C493" s="1" t="n">
        <v>46140</v>
      </c>
      <c r="D493" t="inlineStr">
        <is>
          <t>ÖREBRO LÄN</t>
        </is>
      </c>
      <c r="E493" t="inlineStr">
        <is>
          <t>LINDESBERG</t>
        </is>
      </c>
      <c r="G493" t="n">
        <v>2</v>
      </c>
      <c r="H493" t="n">
        <v>0</v>
      </c>
      <c r="I493" t="n">
        <v>0</v>
      </c>
      <c r="J493" t="n">
        <v>0</v>
      </c>
      <c r="K493" t="n">
        <v>0</v>
      </c>
      <c r="L493" t="n">
        <v>0</v>
      </c>
      <c r="M493" t="n">
        <v>0</v>
      </c>
      <c r="N493" t="n">
        <v>0</v>
      </c>
      <c r="O493" t="n">
        <v>0</v>
      </c>
      <c r="P493" t="n">
        <v>0</v>
      </c>
      <c r="Q493" t="n">
        <v>0</v>
      </c>
      <c r="R493" s="2" t="inlineStr"/>
    </row>
    <row r="494" ht="15" customHeight="1">
      <c r="A494" t="inlineStr">
        <is>
          <t>A 29975-2023</t>
        </is>
      </c>
      <c r="B494" s="1" t="n">
        <v>45108.7553587963</v>
      </c>
      <c r="C494" s="1" t="n">
        <v>46140</v>
      </c>
      <c r="D494" t="inlineStr">
        <is>
          <t>ÖREBRO LÄN</t>
        </is>
      </c>
      <c r="E494" t="inlineStr">
        <is>
          <t>LINDESBERG</t>
        </is>
      </c>
      <c r="G494" t="n">
        <v>6.4</v>
      </c>
      <c r="H494" t="n">
        <v>0</v>
      </c>
      <c r="I494" t="n">
        <v>0</v>
      </c>
      <c r="J494" t="n">
        <v>0</v>
      </c>
      <c r="K494" t="n">
        <v>0</v>
      </c>
      <c r="L494" t="n">
        <v>0</v>
      </c>
      <c r="M494" t="n">
        <v>0</v>
      </c>
      <c r="N494" t="n">
        <v>0</v>
      </c>
      <c r="O494" t="n">
        <v>0</v>
      </c>
      <c r="P494" t="n">
        <v>0</v>
      </c>
      <c r="Q494" t="n">
        <v>0</v>
      </c>
      <c r="R494" s="2" t="inlineStr"/>
    </row>
    <row r="495" ht="15" customHeight="1">
      <c r="A495" t="inlineStr">
        <is>
          <t>A 16448-2025</t>
        </is>
      </c>
      <c r="B495" s="1" t="n">
        <v>45751.5056712963</v>
      </c>
      <c r="C495" s="1" t="n">
        <v>46140</v>
      </c>
      <c r="D495" t="inlineStr">
        <is>
          <t>ÖREBRO LÄN</t>
        </is>
      </c>
      <c r="E495" t="inlineStr">
        <is>
          <t>LINDESBERG</t>
        </is>
      </c>
      <c r="G495" t="n">
        <v>20.1</v>
      </c>
      <c r="H495" t="n">
        <v>0</v>
      </c>
      <c r="I495" t="n">
        <v>0</v>
      </c>
      <c r="J495" t="n">
        <v>0</v>
      </c>
      <c r="K495" t="n">
        <v>0</v>
      </c>
      <c r="L495" t="n">
        <v>0</v>
      </c>
      <c r="M495" t="n">
        <v>0</v>
      </c>
      <c r="N495" t="n">
        <v>0</v>
      </c>
      <c r="O495" t="n">
        <v>0</v>
      </c>
      <c r="P495" t="n">
        <v>0</v>
      </c>
      <c r="Q495" t="n">
        <v>0</v>
      </c>
      <c r="R495" s="2" t="inlineStr"/>
    </row>
    <row r="496" ht="15" customHeight="1">
      <c r="A496" t="inlineStr">
        <is>
          <t>A 7126-2025</t>
        </is>
      </c>
      <c r="B496" s="1" t="n">
        <v>45702</v>
      </c>
      <c r="C496" s="1" t="n">
        <v>46140</v>
      </c>
      <c r="D496" t="inlineStr">
        <is>
          <t>ÖREBRO LÄN</t>
        </is>
      </c>
      <c r="E496" t="inlineStr">
        <is>
          <t>LINDESBERG</t>
        </is>
      </c>
      <c r="G496" t="n">
        <v>1.3</v>
      </c>
      <c r="H496" t="n">
        <v>0</v>
      </c>
      <c r="I496" t="n">
        <v>0</v>
      </c>
      <c r="J496" t="n">
        <v>0</v>
      </c>
      <c r="K496" t="n">
        <v>0</v>
      </c>
      <c r="L496" t="n">
        <v>0</v>
      </c>
      <c r="M496" t="n">
        <v>0</v>
      </c>
      <c r="N496" t="n">
        <v>0</v>
      </c>
      <c r="O496" t="n">
        <v>0</v>
      </c>
      <c r="P496" t="n">
        <v>0</v>
      </c>
      <c r="Q496" t="n">
        <v>0</v>
      </c>
      <c r="R496" s="2" t="inlineStr"/>
    </row>
    <row r="497" ht="15" customHeight="1">
      <c r="A497" t="inlineStr">
        <is>
          <t>A 50933-2025</t>
        </is>
      </c>
      <c r="B497" s="1" t="n">
        <v>45946.68859953704</v>
      </c>
      <c r="C497" s="1" t="n">
        <v>46140</v>
      </c>
      <c r="D497" t="inlineStr">
        <is>
          <t>ÖREBRO LÄN</t>
        </is>
      </c>
      <c r="E497" t="inlineStr">
        <is>
          <t>LINDESBERG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51030-2025</t>
        </is>
      </c>
      <c r="B498" s="1" t="n">
        <v>45947.40105324074</v>
      </c>
      <c r="C498" s="1" t="n">
        <v>46140</v>
      </c>
      <c r="D498" t="inlineStr">
        <is>
          <t>ÖREBRO LÄN</t>
        </is>
      </c>
      <c r="E498" t="inlineStr">
        <is>
          <t>LINDESBERG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51186-2025</t>
        </is>
      </c>
      <c r="B499" s="1" t="n">
        <v>45947.62353009259</v>
      </c>
      <c r="C499" s="1" t="n">
        <v>46140</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40085-2023</t>
        </is>
      </c>
      <c r="B500" s="1" t="n">
        <v>45168.92155092592</v>
      </c>
      <c r="C500" s="1" t="n">
        <v>46140</v>
      </c>
      <c r="D500" t="inlineStr">
        <is>
          <t>ÖREBRO LÄN</t>
        </is>
      </c>
      <c r="E500" t="inlineStr">
        <is>
          <t>LINDESBERG</t>
        </is>
      </c>
      <c r="G500" t="n">
        <v>6.1</v>
      </c>
      <c r="H500" t="n">
        <v>0</v>
      </c>
      <c r="I500" t="n">
        <v>0</v>
      </c>
      <c r="J500" t="n">
        <v>0</v>
      </c>
      <c r="K500" t="n">
        <v>0</v>
      </c>
      <c r="L500" t="n">
        <v>0</v>
      </c>
      <c r="M500" t="n">
        <v>0</v>
      </c>
      <c r="N500" t="n">
        <v>0</v>
      </c>
      <c r="O500" t="n">
        <v>0</v>
      </c>
      <c r="P500" t="n">
        <v>0</v>
      </c>
      <c r="Q500" t="n">
        <v>0</v>
      </c>
      <c r="R500" s="2" t="inlineStr"/>
    </row>
    <row r="501" ht="15" customHeight="1">
      <c r="A501" t="inlineStr">
        <is>
          <t>A 28470-2023</t>
        </is>
      </c>
      <c r="B501" s="1" t="n">
        <v>45103</v>
      </c>
      <c r="C501" s="1" t="n">
        <v>46140</v>
      </c>
      <c r="D501" t="inlineStr">
        <is>
          <t>ÖREBRO LÄN</t>
        </is>
      </c>
      <c r="E501" t="inlineStr">
        <is>
          <t>LINDESBERG</t>
        </is>
      </c>
      <c r="G501" t="n">
        <v>6.7</v>
      </c>
      <c r="H501" t="n">
        <v>0</v>
      </c>
      <c r="I501" t="n">
        <v>0</v>
      </c>
      <c r="J501" t="n">
        <v>0</v>
      </c>
      <c r="K501" t="n">
        <v>0</v>
      </c>
      <c r="L501" t="n">
        <v>0</v>
      </c>
      <c r="M501" t="n">
        <v>0</v>
      </c>
      <c r="N501" t="n">
        <v>0</v>
      </c>
      <c r="O501" t="n">
        <v>0</v>
      </c>
      <c r="P501" t="n">
        <v>0</v>
      </c>
      <c r="Q501" t="n">
        <v>0</v>
      </c>
      <c r="R501" s="2" t="inlineStr"/>
    </row>
    <row r="502" ht="15" customHeight="1">
      <c r="A502" t="inlineStr">
        <is>
          <t>A 32002-2023</t>
        </is>
      </c>
      <c r="B502" s="1" t="n">
        <v>45119.46452546296</v>
      </c>
      <c r="C502" s="1" t="n">
        <v>46140</v>
      </c>
      <c r="D502" t="inlineStr">
        <is>
          <t>ÖREBRO LÄN</t>
        </is>
      </c>
      <c r="E502" t="inlineStr">
        <is>
          <t>LINDESBERG</t>
        </is>
      </c>
      <c r="F502" t="inlineStr">
        <is>
          <t>Kyrkan</t>
        </is>
      </c>
      <c r="G502" t="n">
        <v>0.6</v>
      </c>
      <c r="H502" t="n">
        <v>0</v>
      </c>
      <c r="I502" t="n">
        <v>0</v>
      </c>
      <c r="J502" t="n">
        <v>0</v>
      </c>
      <c r="K502" t="n">
        <v>0</v>
      </c>
      <c r="L502" t="n">
        <v>0</v>
      </c>
      <c r="M502" t="n">
        <v>0</v>
      </c>
      <c r="N502" t="n">
        <v>0</v>
      </c>
      <c r="O502" t="n">
        <v>0</v>
      </c>
      <c r="P502" t="n">
        <v>0</v>
      </c>
      <c r="Q502" t="n">
        <v>0</v>
      </c>
      <c r="R502" s="2" t="inlineStr"/>
    </row>
    <row r="503" ht="15" customHeight="1">
      <c r="A503" t="inlineStr">
        <is>
          <t>A 51172-2025</t>
        </is>
      </c>
      <c r="B503" s="1" t="n">
        <v>45947.60508101852</v>
      </c>
      <c r="C503" s="1" t="n">
        <v>46140</v>
      </c>
      <c r="D503" t="inlineStr">
        <is>
          <t>ÖREBRO LÄN</t>
        </is>
      </c>
      <c r="E503" t="inlineStr">
        <is>
          <t>LINDESBERG</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29849-2023</t>
        </is>
      </c>
      <c r="B504" s="1" t="n">
        <v>45107</v>
      </c>
      <c r="C504" s="1" t="n">
        <v>46140</v>
      </c>
      <c r="D504" t="inlineStr">
        <is>
          <t>ÖREBRO LÄN</t>
        </is>
      </c>
      <c r="E504" t="inlineStr">
        <is>
          <t>LINDESBERG</t>
        </is>
      </c>
      <c r="G504" t="n">
        <v>2.1</v>
      </c>
      <c r="H504" t="n">
        <v>0</v>
      </c>
      <c r="I504" t="n">
        <v>0</v>
      </c>
      <c r="J504" t="n">
        <v>0</v>
      </c>
      <c r="K504" t="n">
        <v>0</v>
      </c>
      <c r="L504" t="n">
        <v>0</v>
      </c>
      <c r="M504" t="n">
        <v>0</v>
      </c>
      <c r="N504" t="n">
        <v>0</v>
      </c>
      <c r="O504" t="n">
        <v>0</v>
      </c>
      <c r="P504" t="n">
        <v>0</v>
      </c>
      <c r="Q504" t="n">
        <v>0</v>
      </c>
      <c r="R504" s="2" t="inlineStr"/>
    </row>
    <row r="505" ht="15" customHeight="1">
      <c r="A505" t="inlineStr">
        <is>
          <t>A 52102-2025</t>
        </is>
      </c>
      <c r="B505" s="1" t="n">
        <v>45952.68358796297</v>
      </c>
      <c r="C505" s="1" t="n">
        <v>46140</v>
      </c>
      <c r="D505" t="inlineStr">
        <is>
          <t>ÖREBRO LÄN</t>
        </is>
      </c>
      <c r="E505" t="inlineStr">
        <is>
          <t>LINDESBERG</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52117-2025</t>
        </is>
      </c>
      <c r="B506" s="1" t="n">
        <v>45952.70765046297</v>
      </c>
      <c r="C506" s="1" t="n">
        <v>46140</v>
      </c>
      <c r="D506" t="inlineStr">
        <is>
          <t>ÖREBRO LÄN</t>
        </is>
      </c>
      <c r="E506" t="inlineStr">
        <is>
          <t>LINDESBERG</t>
        </is>
      </c>
      <c r="G506" t="n">
        <v>4.6</v>
      </c>
      <c r="H506" t="n">
        <v>0</v>
      </c>
      <c r="I506" t="n">
        <v>0</v>
      </c>
      <c r="J506" t="n">
        <v>0</v>
      </c>
      <c r="K506" t="n">
        <v>0</v>
      </c>
      <c r="L506" t="n">
        <v>0</v>
      </c>
      <c r="M506" t="n">
        <v>0</v>
      </c>
      <c r="N506" t="n">
        <v>0</v>
      </c>
      <c r="O506" t="n">
        <v>0</v>
      </c>
      <c r="P506" t="n">
        <v>0</v>
      </c>
      <c r="Q506" t="n">
        <v>0</v>
      </c>
      <c r="R506" s="2" t="inlineStr"/>
    </row>
    <row r="507" ht="15" customHeight="1">
      <c r="A507" t="inlineStr">
        <is>
          <t>A 5784-2025</t>
        </is>
      </c>
      <c r="B507" s="1" t="n">
        <v>45694</v>
      </c>
      <c r="C507" s="1" t="n">
        <v>46140</v>
      </c>
      <c r="D507" t="inlineStr">
        <is>
          <t>ÖREBRO LÄN</t>
        </is>
      </c>
      <c r="E507" t="inlineStr">
        <is>
          <t>LINDESBERG</t>
        </is>
      </c>
      <c r="F507" t="inlineStr">
        <is>
          <t>Allmännings- och besparingsskogar</t>
        </is>
      </c>
      <c r="G507" t="n">
        <v>1.6</v>
      </c>
      <c r="H507" t="n">
        <v>0</v>
      </c>
      <c r="I507" t="n">
        <v>0</v>
      </c>
      <c r="J507" t="n">
        <v>0</v>
      </c>
      <c r="K507" t="n">
        <v>0</v>
      </c>
      <c r="L507" t="n">
        <v>0</v>
      </c>
      <c r="M507" t="n">
        <v>0</v>
      </c>
      <c r="N507" t="n">
        <v>0</v>
      </c>
      <c r="O507" t="n">
        <v>0</v>
      </c>
      <c r="P507" t="n">
        <v>0</v>
      </c>
      <c r="Q507" t="n">
        <v>0</v>
      </c>
      <c r="R507" s="2" t="inlineStr"/>
    </row>
    <row r="508" ht="15" customHeight="1">
      <c r="A508" t="inlineStr">
        <is>
          <t>A 52098-2025</t>
        </is>
      </c>
      <c r="B508" s="1" t="n">
        <v>45952.68001157408</v>
      </c>
      <c r="C508" s="1" t="n">
        <v>46140</v>
      </c>
      <c r="D508" t="inlineStr">
        <is>
          <t>ÖREBRO LÄN</t>
        </is>
      </c>
      <c r="E508" t="inlineStr">
        <is>
          <t>LINDESBERG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52103-2025</t>
        </is>
      </c>
      <c r="B509" s="1" t="n">
        <v>45952.68439814815</v>
      </c>
      <c r="C509" s="1" t="n">
        <v>46140</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52101-2025</t>
        </is>
      </c>
      <c r="B510" s="1" t="n">
        <v>45952.68271990741</v>
      </c>
      <c r="C510" s="1" t="n">
        <v>46140</v>
      </c>
      <c r="D510" t="inlineStr">
        <is>
          <t>ÖREBRO LÄN</t>
        </is>
      </c>
      <c r="E510" t="inlineStr">
        <is>
          <t>LINDESBERG</t>
        </is>
      </c>
      <c r="F510" t="inlineStr">
        <is>
          <t>Sveaskog</t>
        </is>
      </c>
      <c r="G510" t="n">
        <v>10.9</v>
      </c>
      <c r="H510" t="n">
        <v>0</v>
      </c>
      <c r="I510" t="n">
        <v>0</v>
      </c>
      <c r="J510" t="n">
        <v>0</v>
      </c>
      <c r="K510" t="n">
        <v>0</v>
      </c>
      <c r="L510" t="n">
        <v>0</v>
      </c>
      <c r="M510" t="n">
        <v>0</v>
      </c>
      <c r="N510" t="n">
        <v>0</v>
      </c>
      <c r="O510" t="n">
        <v>0</v>
      </c>
      <c r="P510" t="n">
        <v>0</v>
      </c>
      <c r="Q510" t="n">
        <v>0</v>
      </c>
      <c r="R510" s="2" t="inlineStr"/>
    </row>
    <row r="511" ht="15" customHeight="1">
      <c r="A511" t="inlineStr">
        <is>
          <t>A 52104-2025</t>
        </is>
      </c>
      <c r="B511" s="1" t="n">
        <v>45952.68524305556</v>
      </c>
      <c r="C511" s="1" t="n">
        <v>46140</v>
      </c>
      <c r="D511" t="inlineStr">
        <is>
          <t>ÖREBRO LÄN</t>
        </is>
      </c>
      <c r="E511" t="inlineStr">
        <is>
          <t>LINDESBERG</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52401-2025</t>
        </is>
      </c>
      <c r="B512" s="1" t="n">
        <v>45954.35075231481</v>
      </c>
      <c r="C512" s="1" t="n">
        <v>46140</v>
      </c>
      <c r="D512" t="inlineStr">
        <is>
          <t>ÖREBRO LÄN</t>
        </is>
      </c>
      <c r="E512" t="inlineStr">
        <is>
          <t>LINDESBERG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69208-2021</t>
        </is>
      </c>
      <c r="B513" s="1" t="n">
        <v>44531.3575</v>
      </c>
      <c r="C513" s="1" t="n">
        <v>46140</v>
      </c>
      <c r="D513" t="inlineStr">
        <is>
          <t>ÖREBRO LÄN</t>
        </is>
      </c>
      <c r="E513" t="inlineStr">
        <is>
          <t>LINDESBERG</t>
        </is>
      </c>
      <c r="G513" t="n">
        <v>2</v>
      </c>
      <c r="H513" t="n">
        <v>0</v>
      </c>
      <c r="I513" t="n">
        <v>0</v>
      </c>
      <c r="J513" t="n">
        <v>0</v>
      </c>
      <c r="K513" t="n">
        <v>0</v>
      </c>
      <c r="L513" t="n">
        <v>0</v>
      </c>
      <c r="M513" t="n">
        <v>0</v>
      </c>
      <c r="N513" t="n">
        <v>0</v>
      </c>
      <c r="O513" t="n">
        <v>0</v>
      </c>
      <c r="P513" t="n">
        <v>0</v>
      </c>
      <c r="Q513" t="n">
        <v>0</v>
      </c>
      <c r="R513" s="2" t="inlineStr"/>
    </row>
    <row r="514" ht="15" customHeight="1">
      <c r="A514" t="inlineStr">
        <is>
          <t>A 52298-2025</t>
        </is>
      </c>
      <c r="B514" s="1" t="n">
        <v>45953.61387731481</v>
      </c>
      <c r="C514" s="1" t="n">
        <v>46140</v>
      </c>
      <c r="D514" t="inlineStr">
        <is>
          <t>ÖREBRO LÄN</t>
        </is>
      </c>
      <c r="E514" t="inlineStr">
        <is>
          <t>LINDESBERG</t>
        </is>
      </c>
      <c r="G514" t="n">
        <v>18.2</v>
      </c>
      <c r="H514" t="n">
        <v>0</v>
      </c>
      <c r="I514" t="n">
        <v>0</v>
      </c>
      <c r="J514" t="n">
        <v>0</v>
      </c>
      <c r="K514" t="n">
        <v>0</v>
      </c>
      <c r="L514" t="n">
        <v>0</v>
      </c>
      <c r="M514" t="n">
        <v>0</v>
      </c>
      <c r="N514" t="n">
        <v>0</v>
      </c>
      <c r="O514" t="n">
        <v>0</v>
      </c>
      <c r="P514" t="n">
        <v>0</v>
      </c>
      <c r="Q514" t="n">
        <v>0</v>
      </c>
      <c r="R514" s="2" t="inlineStr"/>
    </row>
    <row r="515" ht="15" customHeight="1">
      <c r="A515" t="inlineStr">
        <is>
          <t>A 52730-2025</t>
        </is>
      </c>
      <c r="B515" s="1" t="n">
        <v>45957.36386574074</v>
      </c>
      <c r="C515" s="1" t="n">
        <v>46140</v>
      </c>
      <c r="D515" t="inlineStr">
        <is>
          <t>ÖREBRO LÄN</t>
        </is>
      </c>
      <c r="E515" t="inlineStr">
        <is>
          <t>LINDESBERG</t>
        </is>
      </c>
      <c r="F515" t="inlineStr">
        <is>
          <t>Sveaskog</t>
        </is>
      </c>
      <c r="G515" t="n">
        <v>5</v>
      </c>
      <c r="H515" t="n">
        <v>0</v>
      </c>
      <c r="I515" t="n">
        <v>0</v>
      </c>
      <c r="J515" t="n">
        <v>0</v>
      </c>
      <c r="K515" t="n">
        <v>0</v>
      </c>
      <c r="L515" t="n">
        <v>0</v>
      </c>
      <c r="M515" t="n">
        <v>0</v>
      </c>
      <c r="N515" t="n">
        <v>0</v>
      </c>
      <c r="O515" t="n">
        <v>0</v>
      </c>
      <c r="P515" t="n">
        <v>0</v>
      </c>
      <c r="Q515" t="n">
        <v>0</v>
      </c>
      <c r="R515" s="2" t="inlineStr"/>
    </row>
    <row r="516" ht="15" customHeight="1">
      <c r="A516" t="inlineStr">
        <is>
          <t>A 53187-2025</t>
        </is>
      </c>
      <c r="B516" s="1" t="n">
        <v>45958.55577546296</v>
      </c>
      <c r="C516" s="1" t="n">
        <v>46140</v>
      </c>
      <c r="D516" t="inlineStr">
        <is>
          <t>ÖREBRO LÄN</t>
        </is>
      </c>
      <c r="E516" t="inlineStr">
        <is>
          <t>LINDESBERG</t>
        </is>
      </c>
      <c r="F516" t="inlineStr">
        <is>
          <t>Kommuner</t>
        </is>
      </c>
      <c r="G516" t="n">
        <v>2.7</v>
      </c>
      <c r="H516" t="n">
        <v>0</v>
      </c>
      <c r="I516" t="n">
        <v>0</v>
      </c>
      <c r="J516" t="n">
        <v>0</v>
      </c>
      <c r="K516" t="n">
        <v>0</v>
      </c>
      <c r="L516" t="n">
        <v>0</v>
      </c>
      <c r="M516" t="n">
        <v>0</v>
      </c>
      <c r="N516" t="n">
        <v>0</v>
      </c>
      <c r="O516" t="n">
        <v>0</v>
      </c>
      <c r="P516" t="n">
        <v>0</v>
      </c>
      <c r="Q516" t="n">
        <v>0</v>
      </c>
      <c r="R516" s="2" t="inlineStr"/>
    </row>
    <row r="517" ht="15" customHeight="1">
      <c r="A517" t="inlineStr">
        <is>
          <t>A 45038-2024</t>
        </is>
      </c>
      <c r="B517" s="1" t="n">
        <v>45575.53331018519</v>
      </c>
      <c r="C517" s="1" t="n">
        <v>46140</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45046-2024</t>
        </is>
      </c>
      <c r="B518" s="1" t="n">
        <v>45575.54489583334</v>
      </c>
      <c r="C518" s="1" t="n">
        <v>46140</v>
      </c>
      <c r="D518" t="inlineStr">
        <is>
          <t>ÖREBRO LÄN</t>
        </is>
      </c>
      <c r="E518" t="inlineStr">
        <is>
          <t>LINDESBERG</t>
        </is>
      </c>
      <c r="F518" t="inlineStr">
        <is>
          <t>Sveaskog</t>
        </is>
      </c>
      <c r="G518" t="n">
        <v>2.2</v>
      </c>
      <c r="H518" t="n">
        <v>0</v>
      </c>
      <c r="I518" t="n">
        <v>0</v>
      </c>
      <c r="J518" t="n">
        <v>0</v>
      </c>
      <c r="K518" t="n">
        <v>0</v>
      </c>
      <c r="L518" t="n">
        <v>0</v>
      </c>
      <c r="M518" t="n">
        <v>0</v>
      </c>
      <c r="N518" t="n">
        <v>0</v>
      </c>
      <c r="O518" t="n">
        <v>0</v>
      </c>
      <c r="P518" t="n">
        <v>0</v>
      </c>
      <c r="Q518" t="n">
        <v>0</v>
      </c>
      <c r="R518" s="2" t="inlineStr"/>
    </row>
    <row r="519" ht="15" customHeight="1">
      <c r="A519" t="inlineStr">
        <is>
          <t>A 52402-2025</t>
        </is>
      </c>
      <c r="B519" s="1" t="n">
        <v>45954.35387731482</v>
      </c>
      <c r="C519" s="1" t="n">
        <v>46140</v>
      </c>
      <c r="D519" t="inlineStr">
        <is>
          <t>ÖREBRO LÄN</t>
        </is>
      </c>
      <c r="E519" t="inlineStr">
        <is>
          <t>LINDESBERG</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38552-2023</t>
        </is>
      </c>
      <c r="B520" s="1" t="n">
        <v>45162.5978125</v>
      </c>
      <c r="C520" s="1" t="n">
        <v>46140</v>
      </c>
      <c r="D520" t="inlineStr">
        <is>
          <t>ÖREBRO LÄN</t>
        </is>
      </c>
      <c r="E520" t="inlineStr">
        <is>
          <t>LINDESBERG</t>
        </is>
      </c>
      <c r="G520" t="n">
        <v>10.4</v>
      </c>
      <c r="H520" t="n">
        <v>0</v>
      </c>
      <c r="I520" t="n">
        <v>0</v>
      </c>
      <c r="J520" t="n">
        <v>0</v>
      </c>
      <c r="K520" t="n">
        <v>0</v>
      </c>
      <c r="L520" t="n">
        <v>0</v>
      </c>
      <c r="M520" t="n">
        <v>0</v>
      </c>
      <c r="N520" t="n">
        <v>0</v>
      </c>
      <c r="O520" t="n">
        <v>0</v>
      </c>
      <c r="P520" t="n">
        <v>0</v>
      </c>
      <c r="Q520" t="n">
        <v>0</v>
      </c>
      <c r="R520" s="2" t="inlineStr"/>
    </row>
    <row r="521" ht="15" customHeight="1">
      <c r="A521" t="inlineStr">
        <is>
          <t>A 64084-2023</t>
        </is>
      </c>
      <c r="B521" s="1" t="n">
        <v>45279</v>
      </c>
      <c r="C521" s="1" t="n">
        <v>46140</v>
      </c>
      <c r="D521" t="inlineStr">
        <is>
          <t>ÖREBRO LÄN</t>
        </is>
      </c>
      <c r="E521" t="inlineStr">
        <is>
          <t>LINDESBERG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33424-2024</t>
        </is>
      </c>
      <c r="B522" s="1" t="n">
        <v>45519.51627314815</v>
      </c>
      <c r="C522" s="1" t="n">
        <v>46140</v>
      </c>
      <c r="D522" t="inlineStr">
        <is>
          <t>ÖREBRO LÄN</t>
        </is>
      </c>
      <c r="E522" t="inlineStr">
        <is>
          <t>LINDESBERG</t>
        </is>
      </c>
      <c r="F522" t="inlineStr">
        <is>
          <t>Sveaskog</t>
        </is>
      </c>
      <c r="G522" t="n">
        <v>0.1</v>
      </c>
      <c r="H522" t="n">
        <v>0</v>
      </c>
      <c r="I522" t="n">
        <v>0</v>
      </c>
      <c r="J522" t="n">
        <v>0</v>
      </c>
      <c r="K522" t="n">
        <v>0</v>
      </c>
      <c r="L522" t="n">
        <v>0</v>
      </c>
      <c r="M522" t="n">
        <v>0</v>
      </c>
      <c r="N522" t="n">
        <v>0</v>
      </c>
      <c r="O522" t="n">
        <v>0</v>
      </c>
      <c r="P522" t="n">
        <v>0</v>
      </c>
      <c r="Q522" t="n">
        <v>0</v>
      </c>
      <c r="R522" s="2" t="inlineStr"/>
    </row>
    <row r="523" ht="15" customHeight="1">
      <c r="A523" t="inlineStr">
        <is>
          <t>A 33427-2024</t>
        </is>
      </c>
      <c r="B523" s="1" t="n">
        <v>45519.52232638889</v>
      </c>
      <c r="C523" s="1" t="n">
        <v>46140</v>
      </c>
      <c r="D523" t="inlineStr">
        <is>
          <t>ÖREBRO LÄN</t>
        </is>
      </c>
      <c r="E523" t="inlineStr">
        <is>
          <t>LINDESBERG</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36509-2024</t>
        </is>
      </c>
      <c r="B524" s="1" t="n">
        <v>45537.42240740741</v>
      </c>
      <c r="C524" s="1" t="n">
        <v>46140</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29894-2023</t>
        </is>
      </c>
      <c r="B525" s="1" t="n">
        <v>45107</v>
      </c>
      <c r="C525" s="1" t="n">
        <v>46140</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11559-2024</t>
        </is>
      </c>
      <c r="B526" s="1" t="n">
        <v>45373.30434027778</v>
      </c>
      <c r="C526" s="1" t="n">
        <v>46140</v>
      </c>
      <c r="D526" t="inlineStr">
        <is>
          <t>ÖREBRO LÄN</t>
        </is>
      </c>
      <c r="E526" t="inlineStr">
        <is>
          <t>LINDESBERG</t>
        </is>
      </c>
      <c r="F526" t="inlineStr">
        <is>
          <t>BillerudKorsnäs AB</t>
        </is>
      </c>
      <c r="G526" t="n">
        <v>1.9</v>
      </c>
      <c r="H526" t="n">
        <v>0</v>
      </c>
      <c r="I526" t="n">
        <v>0</v>
      </c>
      <c r="J526" t="n">
        <v>0</v>
      </c>
      <c r="K526" t="n">
        <v>0</v>
      </c>
      <c r="L526" t="n">
        <v>0</v>
      </c>
      <c r="M526" t="n">
        <v>0</v>
      </c>
      <c r="N526" t="n">
        <v>0</v>
      </c>
      <c r="O526" t="n">
        <v>0</v>
      </c>
      <c r="P526" t="n">
        <v>0</v>
      </c>
      <c r="Q526" t="n">
        <v>0</v>
      </c>
      <c r="R526" s="2" t="inlineStr"/>
    </row>
    <row r="527" ht="15" customHeight="1">
      <c r="A527" t="inlineStr">
        <is>
          <t>A 13472-2023</t>
        </is>
      </c>
      <c r="B527" s="1" t="n">
        <v>45005</v>
      </c>
      <c r="C527" s="1" t="n">
        <v>46140</v>
      </c>
      <c r="D527" t="inlineStr">
        <is>
          <t>ÖREBRO LÄN</t>
        </is>
      </c>
      <c r="E527" t="inlineStr">
        <is>
          <t>LINDESBERG</t>
        </is>
      </c>
      <c r="G527" t="n">
        <v>2.5</v>
      </c>
      <c r="H527" t="n">
        <v>0</v>
      </c>
      <c r="I527" t="n">
        <v>0</v>
      </c>
      <c r="J527" t="n">
        <v>0</v>
      </c>
      <c r="K527" t="n">
        <v>0</v>
      </c>
      <c r="L527" t="n">
        <v>0</v>
      </c>
      <c r="M527" t="n">
        <v>0</v>
      </c>
      <c r="N527" t="n">
        <v>0</v>
      </c>
      <c r="O527" t="n">
        <v>0</v>
      </c>
      <c r="P527" t="n">
        <v>0</v>
      </c>
      <c r="Q527" t="n">
        <v>0</v>
      </c>
      <c r="R527" s="2" t="inlineStr"/>
    </row>
    <row r="528" ht="15" customHeight="1">
      <c r="A528" t="inlineStr">
        <is>
          <t>A 52284-2024</t>
        </is>
      </c>
      <c r="B528" s="1" t="n">
        <v>45608</v>
      </c>
      <c r="C528" s="1" t="n">
        <v>46140</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53723-2025</t>
        </is>
      </c>
      <c r="B529" s="1" t="n">
        <v>45960.62986111111</v>
      </c>
      <c r="C529" s="1" t="n">
        <v>46140</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38613-2024</t>
        </is>
      </c>
      <c r="B530" s="1" t="n">
        <v>45546.68743055555</v>
      </c>
      <c r="C530" s="1" t="n">
        <v>46140</v>
      </c>
      <c r="D530" t="inlineStr">
        <is>
          <t>ÖREBRO LÄN</t>
        </is>
      </c>
      <c r="E530" t="inlineStr">
        <is>
          <t>LINDESBERG</t>
        </is>
      </c>
      <c r="F530" t="inlineStr">
        <is>
          <t>Kyrkan</t>
        </is>
      </c>
      <c r="G530" t="n">
        <v>1.6</v>
      </c>
      <c r="H530" t="n">
        <v>0</v>
      </c>
      <c r="I530" t="n">
        <v>0</v>
      </c>
      <c r="J530" t="n">
        <v>0</v>
      </c>
      <c r="K530" t="n">
        <v>0</v>
      </c>
      <c r="L530" t="n">
        <v>0</v>
      </c>
      <c r="M530" t="n">
        <v>0</v>
      </c>
      <c r="N530" t="n">
        <v>0</v>
      </c>
      <c r="O530" t="n">
        <v>0</v>
      </c>
      <c r="P530" t="n">
        <v>0</v>
      </c>
      <c r="Q530" t="n">
        <v>0</v>
      </c>
      <c r="R530" s="2" t="inlineStr"/>
    </row>
    <row r="531" ht="15" customHeight="1">
      <c r="A531" t="inlineStr">
        <is>
          <t>A 53288-2025</t>
        </is>
      </c>
      <c r="B531" s="1" t="n">
        <v>45958.79287037037</v>
      </c>
      <c r="C531" s="1" t="n">
        <v>46140</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53721-2025</t>
        </is>
      </c>
      <c r="B532" s="1" t="n">
        <v>45960</v>
      </c>
      <c r="C532" s="1" t="n">
        <v>46140</v>
      </c>
      <c r="D532" t="inlineStr">
        <is>
          <t>ÖREBRO LÄN</t>
        </is>
      </c>
      <c r="E532" t="inlineStr">
        <is>
          <t>LINDESBERG</t>
        </is>
      </c>
      <c r="G532" t="n">
        <v>3.3</v>
      </c>
      <c r="H532" t="n">
        <v>0</v>
      </c>
      <c r="I532" t="n">
        <v>0</v>
      </c>
      <c r="J532" t="n">
        <v>0</v>
      </c>
      <c r="K532" t="n">
        <v>0</v>
      </c>
      <c r="L532" t="n">
        <v>0</v>
      </c>
      <c r="M532" t="n">
        <v>0</v>
      </c>
      <c r="N532" t="n">
        <v>0</v>
      </c>
      <c r="O532" t="n">
        <v>0</v>
      </c>
      <c r="P532" t="n">
        <v>0</v>
      </c>
      <c r="Q532" t="n">
        <v>0</v>
      </c>
      <c r="R532" s="2" t="inlineStr"/>
    </row>
    <row r="533" ht="15" customHeight="1">
      <c r="A533" t="inlineStr">
        <is>
          <t>A 54070-2025</t>
        </is>
      </c>
      <c r="B533" s="1" t="n">
        <v>45964.34680555556</v>
      </c>
      <c r="C533" s="1" t="n">
        <v>46140</v>
      </c>
      <c r="D533" t="inlineStr">
        <is>
          <t>ÖREBRO LÄN</t>
        </is>
      </c>
      <c r="E533" t="inlineStr">
        <is>
          <t>LINDESBERG</t>
        </is>
      </c>
      <c r="G533" t="n">
        <v>0.5</v>
      </c>
      <c r="H533" t="n">
        <v>0</v>
      </c>
      <c r="I533" t="n">
        <v>0</v>
      </c>
      <c r="J533" t="n">
        <v>0</v>
      </c>
      <c r="K533" t="n">
        <v>0</v>
      </c>
      <c r="L533" t="n">
        <v>0</v>
      </c>
      <c r="M533" t="n">
        <v>0</v>
      </c>
      <c r="N533" t="n">
        <v>0</v>
      </c>
      <c r="O533" t="n">
        <v>0</v>
      </c>
      <c r="P533" t="n">
        <v>0</v>
      </c>
      <c r="Q533" t="n">
        <v>0</v>
      </c>
      <c r="R533" s="2" t="inlineStr"/>
    </row>
    <row r="534" ht="15" customHeight="1">
      <c r="A534" t="inlineStr">
        <is>
          <t>A 54250-2025</t>
        </is>
      </c>
      <c r="B534" s="1" t="n">
        <v>45964.64709490741</v>
      </c>
      <c r="C534" s="1" t="n">
        <v>46140</v>
      </c>
      <c r="D534" t="inlineStr">
        <is>
          <t>ÖREBRO LÄN</t>
        </is>
      </c>
      <c r="E534" t="inlineStr">
        <is>
          <t>LINDESBERG</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54251-2025</t>
        </is>
      </c>
      <c r="B535" s="1" t="n">
        <v>45964.64778935185</v>
      </c>
      <c r="C535" s="1" t="n">
        <v>46140</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73500-2021</t>
        </is>
      </c>
      <c r="B536" s="1" t="n">
        <v>44551</v>
      </c>
      <c r="C536" s="1" t="n">
        <v>46140</v>
      </c>
      <c r="D536" t="inlineStr">
        <is>
          <t>ÖREBRO LÄN</t>
        </is>
      </c>
      <c r="E536" t="inlineStr">
        <is>
          <t>LINDESBERG</t>
        </is>
      </c>
      <c r="G536" t="n">
        <v>1.1</v>
      </c>
      <c r="H536" t="n">
        <v>0</v>
      </c>
      <c r="I536" t="n">
        <v>0</v>
      </c>
      <c r="J536" t="n">
        <v>0</v>
      </c>
      <c r="K536" t="n">
        <v>0</v>
      </c>
      <c r="L536" t="n">
        <v>0</v>
      </c>
      <c r="M536" t="n">
        <v>0</v>
      </c>
      <c r="N536" t="n">
        <v>0</v>
      </c>
      <c r="O536" t="n">
        <v>0</v>
      </c>
      <c r="P536" t="n">
        <v>0</v>
      </c>
      <c r="Q536" t="n">
        <v>0</v>
      </c>
      <c r="R536" s="2" t="inlineStr"/>
    </row>
    <row r="537" ht="15" customHeight="1">
      <c r="A537" t="inlineStr">
        <is>
          <t>A 56507-2021</t>
        </is>
      </c>
      <c r="B537" s="1" t="n">
        <v>44480.58034722223</v>
      </c>
      <c r="C537" s="1" t="n">
        <v>46140</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65194-2023</t>
        </is>
      </c>
      <c r="B538" s="1" t="n">
        <v>45289</v>
      </c>
      <c r="C538" s="1" t="n">
        <v>46140</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54240-2025</t>
        </is>
      </c>
      <c r="B539" s="1" t="n">
        <v>45964.62796296296</v>
      </c>
      <c r="C539" s="1" t="n">
        <v>46140</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9436-2023</t>
        </is>
      </c>
      <c r="B540" s="1" t="n">
        <v>44981</v>
      </c>
      <c r="C540" s="1" t="n">
        <v>46140</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54072-2025</t>
        </is>
      </c>
      <c r="B541" s="1" t="n">
        <v>45964.3550925926</v>
      </c>
      <c r="C541" s="1" t="n">
        <v>46140</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36121-2023</t>
        </is>
      </c>
      <c r="B542" s="1" t="n">
        <v>45148</v>
      </c>
      <c r="C542" s="1" t="n">
        <v>46140</v>
      </c>
      <c r="D542" t="inlineStr">
        <is>
          <t>ÖREBRO LÄN</t>
        </is>
      </c>
      <c r="E542" t="inlineStr">
        <is>
          <t>LINDESBERG</t>
        </is>
      </c>
      <c r="G542" t="n">
        <v>7.1</v>
      </c>
      <c r="H542" t="n">
        <v>0</v>
      </c>
      <c r="I542" t="n">
        <v>0</v>
      </c>
      <c r="J542" t="n">
        <v>0</v>
      </c>
      <c r="K542" t="n">
        <v>0</v>
      </c>
      <c r="L542" t="n">
        <v>0</v>
      </c>
      <c r="M542" t="n">
        <v>0</v>
      </c>
      <c r="N542" t="n">
        <v>0</v>
      </c>
      <c r="O542" t="n">
        <v>0</v>
      </c>
      <c r="P542" t="n">
        <v>0</v>
      </c>
      <c r="Q542" t="n">
        <v>0</v>
      </c>
      <c r="R542" s="2" t="inlineStr"/>
    </row>
    <row r="543" ht="15" customHeight="1">
      <c r="A543" t="inlineStr">
        <is>
          <t>A 54249-2025</t>
        </is>
      </c>
      <c r="B543" s="1" t="n">
        <v>45964.64599537037</v>
      </c>
      <c r="C543" s="1" t="n">
        <v>46140</v>
      </c>
      <c r="D543" t="inlineStr">
        <is>
          <t>ÖREBRO LÄN</t>
        </is>
      </c>
      <c r="E543" t="inlineStr">
        <is>
          <t>LINDESBERG</t>
        </is>
      </c>
      <c r="F543" t="inlineStr">
        <is>
          <t>Sveaskog</t>
        </is>
      </c>
      <c r="G543" t="n">
        <v>5.2</v>
      </c>
      <c r="H543" t="n">
        <v>0</v>
      </c>
      <c r="I543" t="n">
        <v>0</v>
      </c>
      <c r="J543" t="n">
        <v>0</v>
      </c>
      <c r="K543" t="n">
        <v>0</v>
      </c>
      <c r="L543" t="n">
        <v>0</v>
      </c>
      <c r="M543" t="n">
        <v>0</v>
      </c>
      <c r="N543" t="n">
        <v>0</v>
      </c>
      <c r="O543" t="n">
        <v>0</v>
      </c>
      <c r="P543" t="n">
        <v>0</v>
      </c>
      <c r="Q543" t="n">
        <v>0</v>
      </c>
      <c r="R543" s="2" t="inlineStr"/>
    </row>
    <row r="544" ht="15" customHeight="1">
      <c r="A544" t="inlineStr">
        <is>
          <t>A 34838-2023</t>
        </is>
      </c>
      <c r="B544" s="1" t="n">
        <v>45141.76530092592</v>
      </c>
      <c r="C544" s="1" t="n">
        <v>46140</v>
      </c>
      <c r="D544" t="inlineStr">
        <is>
          <t>ÖREBRO LÄN</t>
        </is>
      </c>
      <c r="E544" t="inlineStr">
        <is>
          <t>LINDESBERG</t>
        </is>
      </c>
      <c r="G544" t="n">
        <v>3</v>
      </c>
      <c r="H544" t="n">
        <v>0</v>
      </c>
      <c r="I544" t="n">
        <v>0</v>
      </c>
      <c r="J544" t="n">
        <v>0</v>
      </c>
      <c r="K544" t="n">
        <v>0</v>
      </c>
      <c r="L544" t="n">
        <v>0</v>
      </c>
      <c r="M544" t="n">
        <v>0</v>
      </c>
      <c r="N544" t="n">
        <v>0</v>
      </c>
      <c r="O544" t="n">
        <v>0</v>
      </c>
      <c r="P544" t="n">
        <v>0</v>
      </c>
      <c r="Q544" t="n">
        <v>0</v>
      </c>
      <c r="R544" s="2" t="inlineStr"/>
    </row>
    <row r="545" ht="15" customHeight="1">
      <c r="A545" t="inlineStr">
        <is>
          <t>A 31024-2023</t>
        </is>
      </c>
      <c r="B545" s="1" t="n">
        <v>45113</v>
      </c>
      <c r="C545" s="1" t="n">
        <v>46140</v>
      </c>
      <c r="D545" t="inlineStr">
        <is>
          <t>ÖREBRO LÄN</t>
        </is>
      </c>
      <c r="E545" t="inlineStr">
        <is>
          <t>LINDESBERG</t>
        </is>
      </c>
      <c r="G545" t="n">
        <v>5.1</v>
      </c>
      <c r="H545" t="n">
        <v>0</v>
      </c>
      <c r="I545" t="n">
        <v>0</v>
      </c>
      <c r="J545" t="n">
        <v>0</v>
      </c>
      <c r="K545" t="n">
        <v>0</v>
      </c>
      <c r="L545" t="n">
        <v>0</v>
      </c>
      <c r="M545" t="n">
        <v>0</v>
      </c>
      <c r="N545" t="n">
        <v>0</v>
      </c>
      <c r="O545" t="n">
        <v>0</v>
      </c>
      <c r="P545" t="n">
        <v>0</v>
      </c>
      <c r="Q545" t="n">
        <v>0</v>
      </c>
      <c r="R545" s="2" t="inlineStr"/>
    </row>
    <row r="546" ht="15" customHeight="1">
      <c r="A546" t="inlineStr">
        <is>
          <t>A 33281-2024</t>
        </is>
      </c>
      <c r="B546" s="1" t="n">
        <v>45518.71202546296</v>
      </c>
      <c r="C546" s="1" t="n">
        <v>46140</v>
      </c>
      <c r="D546" t="inlineStr">
        <is>
          <t>ÖREBRO LÄN</t>
        </is>
      </c>
      <c r="E546" t="inlineStr">
        <is>
          <t>LINDESBERG</t>
        </is>
      </c>
      <c r="G546" t="n">
        <v>2</v>
      </c>
      <c r="H546" t="n">
        <v>0</v>
      </c>
      <c r="I546" t="n">
        <v>0</v>
      </c>
      <c r="J546" t="n">
        <v>0</v>
      </c>
      <c r="K546" t="n">
        <v>0</v>
      </c>
      <c r="L546" t="n">
        <v>0</v>
      </c>
      <c r="M546" t="n">
        <v>0</v>
      </c>
      <c r="N546" t="n">
        <v>0</v>
      </c>
      <c r="O546" t="n">
        <v>0</v>
      </c>
      <c r="P546" t="n">
        <v>0</v>
      </c>
      <c r="Q546" t="n">
        <v>0</v>
      </c>
      <c r="R546" s="2" t="inlineStr"/>
    </row>
    <row r="547" ht="15" customHeight="1">
      <c r="A547" t="inlineStr">
        <is>
          <t>A 33283-2024</t>
        </is>
      </c>
      <c r="B547" s="1" t="n">
        <v>45518.71591435185</v>
      </c>
      <c r="C547" s="1" t="n">
        <v>46140</v>
      </c>
      <c r="D547" t="inlineStr">
        <is>
          <t>ÖREBRO LÄN</t>
        </is>
      </c>
      <c r="E547" t="inlineStr">
        <is>
          <t>LINDESBERG</t>
        </is>
      </c>
      <c r="G547" t="n">
        <v>3.9</v>
      </c>
      <c r="H547" t="n">
        <v>0</v>
      </c>
      <c r="I547" t="n">
        <v>0</v>
      </c>
      <c r="J547" t="n">
        <v>0</v>
      </c>
      <c r="K547" t="n">
        <v>0</v>
      </c>
      <c r="L547" t="n">
        <v>0</v>
      </c>
      <c r="M547" t="n">
        <v>0</v>
      </c>
      <c r="N547" t="n">
        <v>0</v>
      </c>
      <c r="O547" t="n">
        <v>0</v>
      </c>
      <c r="P547" t="n">
        <v>0</v>
      </c>
      <c r="Q547" t="n">
        <v>0</v>
      </c>
      <c r="R547" s="2" t="inlineStr"/>
    </row>
    <row r="548" ht="15" customHeight="1">
      <c r="A548" t="inlineStr">
        <is>
          <t>A 61960-2024</t>
        </is>
      </c>
      <c r="B548" s="1" t="n">
        <v>45653.53664351852</v>
      </c>
      <c r="C548" s="1" t="n">
        <v>46140</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48756-2024</t>
        </is>
      </c>
      <c r="B549" s="1" t="n">
        <v>45593.59681712963</v>
      </c>
      <c r="C549" s="1" t="n">
        <v>46140</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60449-2024</t>
        </is>
      </c>
      <c r="B550" s="1" t="n">
        <v>45643</v>
      </c>
      <c r="C550" s="1" t="n">
        <v>46140</v>
      </c>
      <c r="D550" t="inlineStr">
        <is>
          <t>ÖREBRO LÄN</t>
        </is>
      </c>
      <c r="E550" t="inlineStr">
        <is>
          <t>LINDESBERG</t>
        </is>
      </c>
      <c r="G550" t="n">
        <v>1.2</v>
      </c>
      <c r="H550" t="n">
        <v>0</v>
      </c>
      <c r="I550" t="n">
        <v>0</v>
      </c>
      <c r="J550" t="n">
        <v>0</v>
      </c>
      <c r="K550" t="n">
        <v>0</v>
      </c>
      <c r="L550" t="n">
        <v>0</v>
      </c>
      <c r="M550" t="n">
        <v>0</v>
      </c>
      <c r="N550" t="n">
        <v>0</v>
      </c>
      <c r="O550" t="n">
        <v>0</v>
      </c>
      <c r="P550" t="n">
        <v>0</v>
      </c>
      <c r="Q550" t="n">
        <v>0</v>
      </c>
      <c r="R550" s="2" t="inlineStr"/>
    </row>
    <row r="551" ht="15" customHeight="1">
      <c r="A551" t="inlineStr">
        <is>
          <t>A 15060-2024</t>
        </is>
      </c>
      <c r="B551" s="1" t="n">
        <v>45399.56596064815</v>
      </c>
      <c r="C551" s="1" t="n">
        <v>46140</v>
      </c>
      <c r="D551" t="inlineStr">
        <is>
          <t>ÖREBRO LÄN</t>
        </is>
      </c>
      <c r="E551" t="inlineStr">
        <is>
          <t>LINDESBERG</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55255-2025</t>
        </is>
      </c>
      <c r="B552" s="1" t="n">
        <v>45968.63695601852</v>
      </c>
      <c r="C552" s="1" t="n">
        <v>46140</v>
      </c>
      <c r="D552" t="inlineStr">
        <is>
          <t>ÖREBRO LÄN</t>
        </is>
      </c>
      <c r="E552" t="inlineStr">
        <is>
          <t>LINDESBERG</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53510-2024</t>
        </is>
      </c>
      <c r="B553" s="1" t="n">
        <v>45614.5968287037</v>
      </c>
      <c r="C553" s="1" t="n">
        <v>46140</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55065-2025</t>
        </is>
      </c>
      <c r="B554" s="1" t="n">
        <v>45967.7096875</v>
      </c>
      <c r="C554" s="1" t="n">
        <v>46140</v>
      </c>
      <c r="D554" t="inlineStr">
        <is>
          <t>ÖREBRO LÄN</t>
        </is>
      </c>
      <c r="E554" t="inlineStr">
        <is>
          <t>LINDESBERG</t>
        </is>
      </c>
      <c r="G554" t="n">
        <v>3.5</v>
      </c>
      <c r="H554" t="n">
        <v>0</v>
      </c>
      <c r="I554" t="n">
        <v>0</v>
      </c>
      <c r="J554" t="n">
        <v>0</v>
      </c>
      <c r="K554" t="n">
        <v>0</v>
      </c>
      <c r="L554" t="n">
        <v>0</v>
      </c>
      <c r="M554" t="n">
        <v>0</v>
      </c>
      <c r="N554" t="n">
        <v>0</v>
      </c>
      <c r="O554" t="n">
        <v>0</v>
      </c>
      <c r="P554" t="n">
        <v>0</v>
      </c>
      <c r="Q554" t="n">
        <v>0</v>
      </c>
      <c r="R554" s="2" t="inlineStr"/>
    </row>
    <row r="555" ht="15" customHeight="1">
      <c r="A555" t="inlineStr">
        <is>
          <t>A 55477-2025</t>
        </is>
      </c>
      <c r="B555" s="1" t="n">
        <v>45971.56197916667</v>
      </c>
      <c r="C555" s="1" t="n">
        <v>46140</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34676-2023</t>
        </is>
      </c>
      <c r="B556" s="1" t="n">
        <v>45140</v>
      </c>
      <c r="C556" s="1" t="n">
        <v>46140</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55490-2025</t>
        </is>
      </c>
      <c r="B557" s="1" t="n">
        <v>45971.57659722222</v>
      </c>
      <c r="C557" s="1" t="n">
        <v>46140</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61594-2024</t>
        </is>
      </c>
      <c r="B558" s="1" t="n">
        <v>45646.63482638889</v>
      </c>
      <c r="C558" s="1" t="n">
        <v>46140</v>
      </c>
      <c r="D558" t="inlineStr">
        <is>
          <t>ÖREBRO LÄN</t>
        </is>
      </c>
      <c r="E558" t="inlineStr">
        <is>
          <t>LINDESBERG</t>
        </is>
      </c>
      <c r="G558" t="n">
        <v>2</v>
      </c>
      <c r="H558" t="n">
        <v>0</v>
      </c>
      <c r="I558" t="n">
        <v>0</v>
      </c>
      <c r="J558" t="n">
        <v>0</v>
      </c>
      <c r="K558" t="n">
        <v>0</v>
      </c>
      <c r="L558" t="n">
        <v>0</v>
      </c>
      <c r="M558" t="n">
        <v>0</v>
      </c>
      <c r="N558" t="n">
        <v>0</v>
      </c>
      <c r="O558" t="n">
        <v>0</v>
      </c>
      <c r="P558" t="n">
        <v>0</v>
      </c>
      <c r="Q558" t="n">
        <v>0</v>
      </c>
      <c r="R558" s="2" t="inlineStr"/>
    </row>
    <row r="559" ht="15" customHeight="1">
      <c r="A559" t="inlineStr">
        <is>
          <t>A 56232-2025</t>
        </is>
      </c>
      <c r="B559" s="1" t="n">
        <v>45974.53239583333</v>
      </c>
      <c r="C559" s="1" t="n">
        <v>46140</v>
      </c>
      <c r="D559" t="inlineStr">
        <is>
          <t>ÖREBRO LÄN</t>
        </is>
      </c>
      <c r="E559" t="inlineStr">
        <is>
          <t>LINDESBERG</t>
        </is>
      </c>
      <c r="G559" t="n">
        <v>3.2</v>
      </c>
      <c r="H559" t="n">
        <v>0</v>
      </c>
      <c r="I559" t="n">
        <v>0</v>
      </c>
      <c r="J559" t="n">
        <v>0</v>
      </c>
      <c r="K559" t="n">
        <v>0</v>
      </c>
      <c r="L559" t="n">
        <v>0</v>
      </c>
      <c r="M559" t="n">
        <v>0</v>
      </c>
      <c r="N559" t="n">
        <v>0</v>
      </c>
      <c r="O559" t="n">
        <v>0</v>
      </c>
      <c r="P559" t="n">
        <v>0</v>
      </c>
      <c r="Q559" t="n">
        <v>0</v>
      </c>
      <c r="R559" s="2" t="inlineStr"/>
    </row>
    <row r="560" ht="15" customHeight="1">
      <c r="A560" t="inlineStr">
        <is>
          <t>A 56308-2025</t>
        </is>
      </c>
      <c r="B560" s="1" t="n">
        <v>45974.61344907407</v>
      </c>
      <c r="C560" s="1" t="n">
        <v>46140</v>
      </c>
      <c r="D560" t="inlineStr">
        <is>
          <t>ÖREBRO LÄN</t>
        </is>
      </c>
      <c r="E560" t="inlineStr">
        <is>
          <t>LINDESBERG</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56226-2025</t>
        </is>
      </c>
      <c r="B561" s="1" t="n">
        <v>45974.51283564815</v>
      </c>
      <c r="C561" s="1" t="n">
        <v>46140</v>
      </c>
      <c r="D561" t="inlineStr">
        <is>
          <t>ÖREBRO LÄN</t>
        </is>
      </c>
      <c r="E561" t="inlineStr">
        <is>
          <t>LINDESBERG</t>
        </is>
      </c>
      <c r="G561" t="n">
        <v>1.8</v>
      </c>
      <c r="H561" t="n">
        <v>0</v>
      </c>
      <c r="I561" t="n">
        <v>0</v>
      </c>
      <c r="J561" t="n">
        <v>0</v>
      </c>
      <c r="K561" t="n">
        <v>0</v>
      </c>
      <c r="L561" t="n">
        <v>0</v>
      </c>
      <c r="M561" t="n">
        <v>0</v>
      </c>
      <c r="N561" t="n">
        <v>0</v>
      </c>
      <c r="O561" t="n">
        <v>0</v>
      </c>
      <c r="P561" t="n">
        <v>0</v>
      </c>
      <c r="Q561" t="n">
        <v>0</v>
      </c>
      <c r="R561" s="2" t="inlineStr"/>
    </row>
    <row r="562" ht="15" customHeight="1">
      <c r="A562" t="inlineStr">
        <is>
          <t>A 56306-2025</t>
        </is>
      </c>
      <c r="B562" s="1" t="n">
        <v>45974.61217592593</v>
      </c>
      <c r="C562" s="1" t="n">
        <v>46140</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40563-2023</t>
        </is>
      </c>
      <c r="B563" s="1" t="n">
        <v>45170.45921296296</v>
      </c>
      <c r="C563" s="1" t="n">
        <v>46140</v>
      </c>
      <c r="D563" t="inlineStr">
        <is>
          <t>ÖREBRO LÄN</t>
        </is>
      </c>
      <c r="E563" t="inlineStr">
        <is>
          <t>LINDESBERG</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7026-2024</t>
        </is>
      </c>
      <c r="B564" s="1" t="n">
        <v>45343.58587962963</v>
      </c>
      <c r="C564" s="1" t="n">
        <v>46140</v>
      </c>
      <c r="D564" t="inlineStr">
        <is>
          <t>ÖREBRO LÄN</t>
        </is>
      </c>
      <c r="E564" t="inlineStr">
        <is>
          <t>LINDESBERG</t>
        </is>
      </c>
      <c r="G564" t="n">
        <v>2.4</v>
      </c>
      <c r="H564" t="n">
        <v>0</v>
      </c>
      <c r="I564" t="n">
        <v>0</v>
      </c>
      <c r="J564" t="n">
        <v>0</v>
      </c>
      <c r="K564" t="n">
        <v>0</v>
      </c>
      <c r="L564" t="n">
        <v>0</v>
      </c>
      <c r="M564" t="n">
        <v>0</v>
      </c>
      <c r="N564" t="n">
        <v>0</v>
      </c>
      <c r="O564" t="n">
        <v>0</v>
      </c>
      <c r="P564" t="n">
        <v>0</v>
      </c>
      <c r="Q564" t="n">
        <v>0</v>
      </c>
      <c r="R564" s="2" t="inlineStr"/>
    </row>
    <row r="565" ht="15" customHeight="1">
      <c r="A565" t="inlineStr">
        <is>
          <t>A 56982-2025</t>
        </is>
      </c>
      <c r="B565" s="1" t="n">
        <v>45978.71075231482</v>
      </c>
      <c r="C565" s="1" t="n">
        <v>46140</v>
      </c>
      <c r="D565" t="inlineStr">
        <is>
          <t>ÖREBRO LÄN</t>
        </is>
      </c>
      <c r="E565" t="inlineStr">
        <is>
          <t>LINDESBERG</t>
        </is>
      </c>
      <c r="G565" t="n">
        <v>4.3</v>
      </c>
      <c r="H565" t="n">
        <v>0</v>
      </c>
      <c r="I565" t="n">
        <v>0</v>
      </c>
      <c r="J565" t="n">
        <v>0</v>
      </c>
      <c r="K565" t="n">
        <v>0</v>
      </c>
      <c r="L565" t="n">
        <v>0</v>
      </c>
      <c r="M565" t="n">
        <v>0</v>
      </c>
      <c r="N565" t="n">
        <v>0</v>
      </c>
      <c r="O565" t="n">
        <v>0</v>
      </c>
      <c r="P565" t="n">
        <v>0</v>
      </c>
      <c r="Q565" t="n">
        <v>0</v>
      </c>
      <c r="R565" s="2" t="inlineStr"/>
    </row>
    <row r="566" ht="15" customHeight="1">
      <c r="A566" t="inlineStr">
        <is>
          <t>A 41353-2024</t>
        </is>
      </c>
      <c r="B566" s="1" t="n">
        <v>45559</v>
      </c>
      <c r="C566" s="1" t="n">
        <v>46140</v>
      </c>
      <c r="D566" t="inlineStr">
        <is>
          <t>ÖREBRO LÄN</t>
        </is>
      </c>
      <c r="E566" t="inlineStr">
        <is>
          <t>LINDESBERG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57361-2025</t>
        </is>
      </c>
      <c r="B567" s="1" t="n">
        <v>45980.36988425926</v>
      </c>
      <c r="C567" s="1" t="n">
        <v>46140</v>
      </c>
      <c r="D567" t="inlineStr">
        <is>
          <t>ÖREBRO LÄN</t>
        </is>
      </c>
      <c r="E567" t="inlineStr">
        <is>
          <t>LINDESBERG</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57299-2025</t>
        </is>
      </c>
      <c r="B568" s="1" t="n">
        <v>45979.81347222222</v>
      </c>
      <c r="C568" s="1" t="n">
        <v>46140</v>
      </c>
      <c r="D568" t="inlineStr">
        <is>
          <t>ÖREBRO LÄN</t>
        </is>
      </c>
      <c r="E568" t="inlineStr">
        <is>
          <t>LINDESBERG</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51379-2023</t>
        </is>
      </c>
      <c r="B569" s="1" t="n">
        <v>45219</v>
      </c>
      <c r="C569" s="1" t="n">
        <v>46140</v>
      </c>
      <c r="D569" t="inlineStr">
        <is>
          <t>ÖREBRO LÄN</t>
        </is>
      </c>
      <c r="E569" t="inlineStr">
        <is>
          <t>LINDESBERG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57359-2025</t>
        </is>
      </c>
      <c r="B570" s="1" t="n">
        <v>45980.36866898148</v>
      </c>
      <c r="C570" s="1" t="n">
        <v>46140</v>
      </c>
      <c r="D570" t="inlineStr">
        <is>
          <t>ÖREBRO LÄN</t>
        </is>
      </c>
      <c r="E570" t="inlineStr">
        <is>
          <t>LINDESBERG</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57300-2025</t>
        </is>
      </c>
      <c r="B571" s="1" t="n">
        <v>45979.81403935186</v>
      </c>
      <c r="C571" s="1" t="n">
        <v>46140</v>
      </c>
      <c r="D571" t="inlineStr">
        <is>
          <t>ÖREBRO LÄN</t>
        </is>
      </c>
      <c r="E571" t="inlineStr">
        <is>
          <t>LINDESBERG</t>
        </is>
      </c>
      <c r="F571" t="inlineStr">
        <is>
          <t>Sveaskog</t>
        </is>
      </c>
      <c r="G571" t="n">
        <v>4.9</v>
      </c>
      <c r="H571" t="n">
        <v>0</v>
      </c>
      <c r="I571" t="n">
        <v>0</v>
      </c>
      <c r="J571" t="n">
        <v>0</v>
      </c>
      <c r="K571" t="n">
        <v>0</v>
      </c>
      <c r="L571" t="n">
        <v>0</v>
      </c>
      <c r="M571" t="n">
        <v>0</v>
      </c>
      <c r="N571" t="n">
        <v>0</v>
      </c>
      <c r="O571" t="n">
        <v>0</v>
      </c>
      <c r="P571" t="n">
        <v>0</v>
      </c>
      <c r="Q571" t="n">
        <v>0</v>
      </c>
      <c r="R571" s="2" t="inlineStr"/>
    </row>
    <row r="572" ht="15" customHeight="1">
      <c r="A572" t="inlineStr">
        <is>
          <t>A 57358-2025</t>
        </is>
      </c>
      <c r="B572" s="1" t="n">
        <v>45980.36679398148</v>
      </c>
      <c r="C572" s="1" t="n">
        <v>46140</v>
      </c>
      <c r="D572" t="inlineStr">
        <is>
          <t>ÖREBRO LÄN</t>
        </is>
      </c>
      <c r="E572" t="inlineStr">
        <is>
          <t>LINDESBERG</t>
        </is>
      </c>
      <c r="F572" t="inlineStr">
        <is>
          <t>Sveaskog</t>
        </is>
      </c>
      <c r="G572" t="n">
        <v>4.2</v>
      </c>
      <c r="H572" t="n">
        <v>0</v>
      </c>
      <c r="I572" t="n">
        <v>0</v>
      </c>
      <c r="J572" t="n">
        <v>0</v>
      </c>
      <c r="K572" t="n">
        <v>0</v>
      </c>
      <c r="L572" t="n">
        <v>0</v>
      </c>
      <c r="M572" t="n">
        <v>0</v>
      </c>
      <c r="N572" t="n">
        <v>0</v>
      </c>
      <c r="O572" t="n">
        <v>0</v>
      </c>
      <c r="P572" t="n">
        <v>0</v>
      </c>
      <c r="Q572" t="n">
        <v>0</v>
      </c>
      <c r="R572" s="2" t="inlineStr"/>
    </row>
    <row r="573" ht="15" customHeight="1">
      <c r="A573" t="inlineStr">
        <is>
          <t>A 5080-2024</t>
        </is>
      </c>
      <c r="B573" s="1" t="n">
        <v>45330</v>
      </c>
      <c r="C573" s="1" t="n">
        <v>46140</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57313-2025</t>
        </is>
      </c>
      <c r="B574" s="1" t="n">
        <v>45979.97458333334</v>
      </c>
      <c r="C574" s="1" t="n">
        <v>46140</v>
      </c>
      <c r="D574" t="inlineStr">
        <is>
          <t>ÖREBRO LÄN</t>
        </is>
      </c>
      <c r="E574" t="inlineStr">
        <is>
          <t>LINDESBERG</t>
        </is>
      </c>
      <c r="F574" t="inlineStr">
        <is>
          <t>Sveaskog</t>
        </is>
      </c>
      <c r="G574" t="n">
        <v>9.1</v>
      </c>
      <c r="H574" t="n">
        <v>0</v>
      </c>
      <c r="I574" t="n">
        <v>0</v>
      </c>
      <c r="J574" t="n">
        <v>0</v>
      </c>
      <c r="K574" t="n">
        <v>0</v>
      </c>
      <c r="L574" t="n">
        <v>0</v>
      </c>
      <c r="M574" t="n">
        <v>0</v>
      </c>
      <c r="N574" t="n">
        <v>0</v>
      </c>
      <c r="O574" t="n">
        <v>0</v>
      </c>
      <c r="P574" t="n">
        <v>0</v>
      </c>
      <c r="Q574" t="n">
        <v>0</v>
      </c>
      <c r="R574" s="2" t="inlineStr"/>
    </row>
    <row r="575" ht="15" customHeight="1">
      <c r="A575" t="inlineStr">
        <is>
          <t>A 57314-2025</t>
        </is>
      </c>
      <c r="B575" s="1" t="n">
        <v>45980.00710648148</v>
      </c>
      <c r="C575" s="1" t="n">
        <v>46140</v>
      </c>
      <c r="D575" t="inlineStr">
        <is>
          <t>ÖREBRO LÄN</t>
        </is>
      </c>
      <c r="E575" t="inlineStr">
        <is>
          <t>LINDESBERG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57315-2025</t>
        </is>
      </c>
      <c r="B576" s="1" t="n">
        <v>45980.00753472222</v>
      </c>
      <c r="C576" s="1" t="n">
        <v>46140</v>
      </c>
      <c r="D576" t="inlineStr">
        <is>
          <t>ÖREBRO LÄN</t>
        </is>
      </c>
      <c r="E576" t="inlineStr">
        <is>
          <t>LINDESBERG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57316-2025</t>
        </is>
      </c>
      <c r="B577" s="1" t="n">
        <v>45980.0115625</v>
      </c>
      <c r="C577" s="1" t="n">
        <v>46140</v>
      </c>
      <c r="D577" t="inlineStr">
        <is>
          <t>ÖREBRO LÄN</t>
        </is>
      </c>
      <c r="E577" t="inlineStr">
        <is>
          <t>LINDESBERG</t>
        </is>
      </c>
      <c r="F577" t="inlineStr">
        <is>
          <t>Sveaskog</t>
        </is>
      </c>
      <c r="G577" t="n">
        <v>6.5</v>
      </c>
      <c r="H577" t="n">
        <v>0</v>
      </c>
      <c r="I577" t="n">
        <v>0</v>
      </c>
      <c r="J577" t="n">
        <v>0</v>
      </c>
      <c r="K577" t="n">
        <v>0</v>
      </c>
      <c r="L577" t="n">
        <v>0</v>
      </c>
      <c r="M577" t="n">
        <v>0</v>
      </c>
      <c r="N577" t="n">
        <v>0</v>
      </c>
      <c r="O577" t="n">
        <v>0</v>
      </c>
      <c r="P577" t="n">
        <v>0</v>
      </c>
      <c r="Q577" t="n">
        <v>0</v>
      </c>
      <c r="R577" s="2" t="inlineStr"/>
    </row>
    <row r="578" ht="15" customHeight="1">
      <c r="A578" t="inlineStr">
        <is>
          <t>A 57320-2025</t>
        </is>
      </c>
      <c r="B578" s="1" t="n">
        <v>45980.01553240741</v>
      </c>
      <c r="C578" s="1" t="n">
        <v>46140</v>
      </c>
      <c r="D578" t="inlineStr">
        <is>
          <t>ÖREBRO LÄN</t>
        </is>
      </c>
      <c r="E578" t="inlineStr">
        <is>
          <t>LINDESBERG</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57363-2025</t>
        </is>
      </c>
      <c r="B579" s="1" t="n">
        <v>45980.3716087963</v>
      </c>
      <c r="C579" s="1" t="n">
        <v>46140</v>
      </c>
      <c r="D579" t="inlineStr">
        <is>
          <t>ÖREBRO LÄN</t>
        </is>
      </c>
      <c r="E579" t="inlineStr">
        <is>
          <t>LINDESBERG</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57317-2025</t>
        </is>
      </c>
      <c r="B580" s="1" t="n">
        <v>45980.01226851852</v>
      </c>
      <c r="C580" s="1" t="n">
        <v>46140</v>
      </c>
      <c r="D580" t="inlineStr">
        <is>
          <t>ÖREBRO LÄN</t>
        </is>
      </c>
      <c r="E580" t="inlineStr">
        <is>
          <t>LINDESBERG</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57356-2025</t>
        </is>
      </c>
      <c r="B581" s="1" t="n">
        <v>45980.36633101852</v>
      </c>
      <c r="C581" s="1" t="n">
        <v>46140</v>
      </c>
      <c r="D581" t="inlineStr">
        <is>
          <t>ÖREBRO LÄN</t>
        </is>
      </c>
      <c r="E581" t="inlineStr">
        <is>
          <t>LINDESBERG</t>
        </is>
      </c>
      <c r="F581" t="inlineStr">
        <is>
          <t>Sveaskog</t>
        </is>
      </c>
      <c r="G581" t="n">
        <v>3.4</v>
      </c>
      <c r="H581" t="n">
        <v>0</v>
      </c>
      <c r="I581" t="n">
        <v>0</v>
      </c>
      <c r="J581" t="n">
        <v>0</v>
      </c>
      <c r="K581" t="n">
        <v>0</v>
      </c>
      <c r="L581" t="n">
        <v>0</v>
      </c>
      <c r="M581" t="n">
        <v>0</v>
      </c>
      <c r="N581" t="n">
        <v>0</v>
      </c>
      <c r="O581" t="n">
        <v>0</v>
      </c>
      <c r="P581" t="n">
        <v>0</v>
      </c>
      <c r="Q581" t="n">
        <v>0</v>
      </c>
      <c r="R581" s="2" t="inlineStr"/>
    </row>
    <row r="582" ht="15" customHeight="1">
      <c r="A582" t="inlineStr">
        <is>
          <t>A 12307-2025</t>
        </is>
      </c>
      <c r="B582" s="1" t="n">
        <v>45729.76231481481</v>
      </c>
      <c r="C582" s="1" t="n">
        <v>46140</v>
      </c>
      <c r="D582" t="inlineStr">
        <is>
          <t>ÖREBRO LÄN</t>
        </is>
      </c>
      <c r="E582" t="inlineStr">
        <is>
          <t>LINDESBERG</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45056-2024</t>
        </is>
      </c>
      <c r="B583" s="1" t="n">
        <v>45575.55273148148</v>
      </c>
      <c r="C583" s="1" t="n">
        <v>46140</v>
      </c>
      <c r="D583" t="inlineStr">
        <is>
          <t>ÖREBRO LÄN</t>
        </is>
      </c>
      <c r="E583" t="inlineStr">
        <is>
          <t>LINDESBERG</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45058-2024</t>
        </is>
      </c>
      <c r="B584" s="1" t="n">
        <v>45575.5547337963</v>
      </c>
      <c r="C584" s="1" t="n">
        <v>46140</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45063-2024</t>
        </is>
      </c>
      <c r="B585" s="1" t="n">
        <v>45575.55684027778</v>
      </c>
      <c r="C585" s="1" t="n">
        <v>46140</v>
      </c>
      <c r="D585" t="inlineStr">
        <is>
          <t>ÖREBRO LÄN</t>
        </is>
      </c>
      <c r="E585" t="inlineStr">
        <is>
          <t>LINDESBERG</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45072-2024</t>
        </is>
      </c>
      <c r="B586" s="1" t="n">
        <v>45575.56686342593</v>
      </c>
      <c r="C586" s="1" t="n">
        <v>46140</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45075-2024</t>
        </is>
      </c>
      <c r="B587" s="1" t="n">
        <v>45575.56820601852</v>
      </c>
      <c r="C587" s="1" t="n">
        <v>46140</v>
      </c>
      <c r="D587" t="inlineStr">
        <is>
          <t>ÖREBRO LÄN</t>
        </is>
      </c>
      <c r="E587" t="inlineStr">
        <is>
          <t>LINDESBERG</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58166-2025</t>
        </is>
      </c>
      <c r="B588" s="1" t="n">
        <v>45982.71017361111</v>
      </c>
      <c r="C588" s="1" t="n">
        <v>46140</v>
      </c>
      <c r="D588" t="inlineStr">
        <is>
          <t>ÖREBRO LÄN</t>
        </is>
      </c>
      <c r="E588" t="inlineStr">
        <is>
          <t>LINDESBERG</t>
        </is>
      </c>
      <c r="G588" t="n">
        <v>2.5</v>
      </c>
      <c r="H588" t="n">
        <v>0</v>
      </c>
      <c r="I588" t="n">
        <v>0</v>
      </c>
      <c r="J588" t="n">
        <v>0</v>
      </c>
      <c r="K588" t="n">
        <v>0</v>
      </c>
      <c r="L588" t="n">
        <v>0</v>
      </c>
      <c r="M588" t="n">
        <v>0</v>
      </c>
      <c r="N588" t="n">
        <v>0</v>
      </c>
      <c r="O588" t="n">
        <v>0</v>
      </c>
      <c r="P588" t="n">
        <v>0</v>
      </c>
      <c r="Q588" t="n">
        <v>0</v>
      </c>
      <c r="R588" s="2" t="inlineStr"/>
    </row>
    <row r="589" ht="15" customHeight="1">
      <c r="A589" t="inlineStr">
        <is>
          <t>A 41948-2023</t>
        </is>
      </c>
      <c r="B589" s="1" t="n">
        <v>45177.33091435185</v>
      </c>
      <c r="C589" s="1" t="n">
        <v>46140</v>
      </c>
      <c r="D589" t="inlineStr">
        <is>
          <t>ÖREBRO LÄN</t>
        </is>
      </c>
      <c r="E589" t="inlineStr">
        <is>
          <t>LINDESBERG</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46140</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10111-2022</t>
        </is>
      </c>
      <c r="B591" s="1" t="n">
        <v>44621.85737268518</v>
      </c>
      <c r="C591" s="1" t="n">
        <v>46140</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19960-2023</t>
        </is>
      </c>
      <c r="B592" s="1" t="n">
        <v>45054</v>
      </c>
      <c r="C592" s="1" t="n">
        <v>46140</v>
      </c>
      <c r="D592" t="inlineStr">
        <is>
          <t>ÖREBRO LÄN</t>
        </is>
      </c>
      <c r="E592" t="inlineStr">
        <is>
          <t>LINDESBERG</t>
        </is>
      </c>
      <c r="G592" t="n">
        <v>6.2</v>
      </c>
      <c r="H592" t="n">
        <v>0</v>
      </c>
      <c r="I592" t="n">
        <v>0</v>
      </c>
      <c r="J592" t="n">
        <v>0</v>
      </c>
      <c r="K592" t="n">
        <v>0</v>
      </c>
      <c r="L592" t="n">
        <v>0</v>
      </c>
      <c r="M592" t="n">
        <v>0</v>
      </c>
      <c r="N592" t="n">
        <v>0</v>
      </c>
      <c r="O592" t="n">
        <v>0</v>
      </c>
      <c r="P592" t="n">
        <v>0</v>
      </c>
      <c r="Q592" t="n">
        <v>0</v>
      </c>
      <c r="R592" s="2" t="inlineStr"/>
    </row>
    <row r="593" ht="15" customHeight="1">
      <c r="A593" t="inlineStr">
        <is>
          <t>A 50972-2023</t>
        </is>
      </c>
      <c r="B593" s="1" t="n">
        <v>45218</v>
      </c>
      <c r="C593" s="1" t="n">
        <v>46140</v>
      </c>
      <c r="D593" t="inlineStr">
        <is>
          <t>ÖREBRO LÄN</t>
        </is>
      </c>
      <c r="E593" t="inlineStr">
        <is>
          <t>LINDESBERG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58963-2025</t>
        </is>
      </c>
      <c r="B594" s="1" t="n">
        <v>45987.60012731481</v>
      </c>
      <c r="C594" s="1" t="n">
        <v>46140</v>
      </c>
      <c r="D594" t="inlineStr">
        <is>
          <t>ÖREBRO LÄN</t>
        </is>
      </c>
      <c r="E594" t="inlineStr">
        <is>
          <t>LINDESBERG</t>
        </is>
      </c>
      <c r="G594" t="n">
        <v>0.8</v>
      </c>
      <c r="H594" t="n">
        <v>0</v>
      </c>
      <c r="I594" t="n">
        <v>0</v>
      </c>
      <c r="J594" t="n">
        <v>0</v>
      </c>
      <c r="K594" t="n">
        <v>0</v>
      </c>
      <c r="L594" t="n">
        <v>0</v>
      </c>
      <c r="M594" t="n">
        <v>0</v>
      </c>
      <c r="N594" t="n">
        <v>0</v>
      </c>
      <c r="O594" t="n">
        <v>0</v>
      </c>
      <c r="P594" t="n">
        <v>0</v>
      </c>
      <c r="Q594" t="n">
        <v>0</v>
      </c>
      <c r="R594" s="2" t="inlineStr"/>
    </row>
    <row r="595" ht="15" customHeight="1">
      <c r="A595" t="inlineStr">
        <is>
          <t>A 33507-2023</t>
        </is>
      </c>
      <c r="B595" s="1" t="n">
        <v>45131</v>
      </c>
      <c r="C595" s="1" t="n">
        <v>46140</v>
      </c>
      <c r="D595" t="inlineStr">
        <is>
          <t>ÖREBRO LÄN</t>
        </is>
      </c>
      <c r="E595" t="inlineStr">
        <is>
          <t>LINDESBERG</t>
        </is>
      </c>
      <c r="G595" t="n">
        <v>3.2</v>
      </c>
      <c r="H595" t="n">
        <v>0</v>
      </c>
      <c r="I595" t="n">
        <v>0</v>
      </c>
      <c r="J595" t="n">
        <v>0</v>
      </c>
      <c r="K595" t="n">
        <v>0</v>
      </c>
      <c r="L595" t="n">
        <v>0</v>
      </c>
      <c r="M595" t="n">
        <v>0</v>
      </c>
      <c r="N595" t="n">
        <v>0</v>
      </c>
      <c r="O595" t="n">
        <v>0</v>
      </c>
      <c r="P595" t="n">
        <v>0</v>
      </c>
      <c r="Q595" t="n">
        <v>0</v>
      </c>
      <c r="R595" s="2" t="inlineStr"/>
    </row>
    <row r="596" ht="15" customHeight="1">
      <c r="A596" t="inlineStr">
        <is>
          <t>A 2406-2024</t>
        </is>
      </c>
      <c r="B596" s="1" t="n">
        <v>45310</v>
      </c>
      <c r="C596" s="1" t="n">
        <v>46140</v>
      </c>
      <c r="D596" t="inlineStr">
        <is>
          <t>ÖREBRO LÄN</t>
        </is>
      </c>
      <c r="E596" t="inlineStr">
        <is>
          <t>LINDESBERG</t>
        </is>
      </c>
      <c r="G596" t="n">
        <v>16.1</v>
      </c>
      <c r="H596" t="n">
        <v>0</v>
      </c>
      <c r="I596" t="n">
        <v>0</v>
      </c>
      <c r="J596" t="n">
        <v>0</v>
      </c>
      <c r="K596" t="n">
        <v>0</v>
      </c>
      <c r="L596" t="n">
        <v>0</v>
      </c>
      <c r="M596" t="n">
        <v>0</v>
      </c>
      <c r="N596" t="n">
        <v>0</v>
      </c>
      <c r="O596" t="n">
        <v>0</v>
      </c>
      <c r="P596" t="n">
        <v>0</v>
      </c>
      <c r="Q596" t="n">
        <v>0</v>
      </c>
      <c r="R596" s="2" t="inlineStr"/>
    </row>
    <row r="597" ht="15" customHeight="1">
      <c r="A597" t="inlineStr">
        <is>
          <t>A 17895-2022</t>
        </is>
      </c>
      <c r="B597" s="1" t="n">
        <v>44683</v>
      </c>
      <c r="C597" s="1" t="n">
        <v>46140</v>
      </c>
      <c r="D597" t="inlineStr">
        <is>
          <t>ÖREBRO LÄN</t>
        </is>
      </c>
      <c r="E597" t="inlineStr">
        <is>
          <t>LINDESBERG</t>
        </is>
      </c>
      <c r="G597" t="n">
        <v>1.3</v>
      </c>
      <c r="H597" t="n">
        <v>0</v>
      </c>
      <c r="I597" t="n">
        <v>0</v>
      </c>
      <c r="J597" t="n">
        <v>0</v>
      </c>
      <c r="K597" t="n">
        <v>0</v>
      </c>
      <c r="L597" t="n">
        <v>0</v>
      </c>
      <c r="M597" t="n">
        <v>0</v>
      </c>
      <c r="N597" t="n">
        <v>0</v>
      </c>
      <c r="O597" t="n">
        <v>0</v>
      </c>
      <c r="P597" t="n">
        <v>0</v>
      </c>
      <c r="Q597" t="n">
        <v>0</v>
      </c>
      <c r="R597" s="2" t="inlineStr"/>
    </row>
    <row r="598" ht="15" customHeight="1">
      <c r="A598" t="inlineStr">
        <is>
          <t>A 1395-2025</t>
        </is>
      </c>
      <c r="B598" s="1" t="n">
        <v>45667</v>
      </c>
      <c r="C598" s="1" t="n">
        <v>46140</v>
      </c>
      <c r="D598" t="inlineStr">
        <is>
          <t>ÖREBRO LÄN</t>
        </is>
      </c>
      <c r="E598" t="inlineStr">
        <is>
          <t>LINDESBERG</t>
        </is>
      </c>
      <c r="G598" t="n">
        <v>4.6</v>
      </c>
      <c r="H598" t="n">
        <v>0</v>
      </c>
      <c r="I598" t="n">
        <v>0</v>
      </c>
      <c r="J598" t="n">
        <v>0</v>
      </c>
      <c r="K598" t="n">
        <v>0</v>
      </c>
      <c r="L598" t="n">
        <v>0</v>
      </c>
      <c r="M598" t="n">
        <v>0</v>
      </c>
      <c r="N598" t="n">
        <v>0</v>
      </c>
      <c r="O598" t="n">
        <v>0</v>
      </c>
      <c r="P598" t="n">
        <v>0</v>
      </c>
      <c r="Q598" t="n">
        <v>0</v>
      </c>
      <c r="R598" s="2" t="inlineStr"/>
    </row>
    <row r="599" ht="15" customHeight="1">
      <c r="A599" t="inlineStr">
        <is>
          <t>A 52928-2024</t>
        </is>
      </c>
      <c r="B599" s="1" t="n">
        <v>45610</v>
      </c>
      <c r="C599" s="1" t="n">
        <v>46140</v>
      </c>
      <c r="D599" t="inlineStr">
        <is>
          <t>ÖREBRO LÄN</t>
        </is>
      </c>
      <c r="E599" t="inlineStr">
        <is>
          <t>LINDESBERG</t>
        </is>
      </c>
      <c r="G599" t="n">
        <v>8.6</v>
      </c>
      <c r="H599" t="n">
        <v>0</v>
      </c>
      <c r="I599" t="n">
        <v>0</v>
      </c>
      <c r="J599" t="n">
        <v>0</v>
      </c>
      <c r="K599" t="n">
        <v>0</v>
      </c>
      <c r="L599" t="n">
        <v>0</v>
      </c>
      <c r="M599" t="n">
        <v>0</v>
      </c>
      <c r="N599" t="n">
        <v>0</v>
      </c>
      <c r="O599" t="n">
        <v>0</v>
      </c>
      <c r="P599" t="n">
        <v>0</v>
      </c>
      <c r="Q599" t="n">
        <v>0</v>
      </c>
      <c r="R599" s="2" t="inlineStr"/>
    </row>
    <row r="600" ht="15" customHeight="1">
      <c r="A600" t="inlineStr">
        <is>
          <t>A 33716-2021</t>
        </is>
      </c>
      <c r="B600" s="1" t="n">
        <v>44378.46857638889</v>
      </c>
      <c r="C600" s="1" t="n">
        <v>46140</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40970-2023</t>
        </is>
      </c>
      <c r="B601" s="1" t="n">
        <v>45173</v>
      </c>
      <c r="C601" s="1" t="n">
        <v>46140</v>
      </c>
      <c r="D601" t="inlineStr">
        <is>
          <t>ÖREBRO LÄN</t>
        </is>
      </c>
      <c r="E601" t="inlineStr">
        <is>
          <t>LINDESBERG</t>
        </is>
      </c>
      <c r="G601" t="n">
        <v>2.1</v>
      </c>
      <c r="H601" t="n">
        <v>0</v>
      </c>
      <c r="I601" t="n">
        <v>0</v>
      </c>
      <c r="J601" t="n">
        <v>0</v>
      </c>
      <c r="K601" t="n">
        <v>0</v>
      </c>
      <c r="L601" t="n">
        <v>0</v>
      </c>
      <c r="M601" t="n">
        <v>0</v>
      </c>
      <c r="N601" t="n">
        <v>0</v>
      </c>
      <c r="O601" t="n">
        <v>0</v>
      </c>
      <c r="P601" t="n">
        <v>0</v>
      </c>
      <c r="Q601" t="n">
        <v>0</v>
      </c>
      <c r="R601" s="2" t="inlineStr"/>
    </row>
    <row r="602" ht="15" customHeight="1">
      <c r="A602" t="inlineStr">
        <is>
          <t>A 60400-2025</t>
        </is>
      </c>
      <c r="B602" s="1" t="n">
        <v>45995</v>
      </c>
      <c r="C602" s="1" t="n">
        <v>46140</v>
      </c>
      <c r="D602" t="inlineStr">
        <is>
          <t>ÖREBRO LÄN</t>
        </is>
      </c>
      <c r="E602" t="inlineStr">
        <is>
          <t>LINDESBERG</t>
        </is>
      </c>
      <c r="G602" t="n">
        <v>11.2</v>
      </c>
      <c r="H602" t="n">
        <v>0</v>
      </c>
      <c r="I602" t="n">
        <v>0</v>
      </c>
      <c r="J602" t="n">
        <v>0</v>
      </c>
      <c r="K602" t="n">
        <v>0</v>
      </c>
      <c r="L602" t="n">
        <v>0</v>
      </c>
      <c r="M602" t="n">
        <v>0</v>
      </c>
      <c r="N602" t="n">
        <v>0</v>
      </c>
      <c r="O602" t="n">
        <v>0</v>
      </c>
      <c r="P602" t="n">
        <v>0</v>
      </c>
      <c r="Q602" t="n">
        <v>0</v>
      </c>
      <c r="R602" s="2" t="inlineStr"/>
    </row>
    <row r="603" ht="15" customHeight="1">
      <c r="A603" t="inlineStr">
        <is>
          <t>A 60450-2025</t>
        </is>
      </c>
      <c r="B603" s="1" t="n">
        <v>45995</v>
      </c>
      <c r="C603" s="1" t="n">
        <v>46140</v>
      </c>
      <c r="D603" t="inlineStr">
        <is>
          <t>ÖREBRO LÄN</t>
        </is>
      </c>
      <c r="E603" t="inlineStr">
        <is>
          <t>LINDESBERG</t>
        </is>
      </c>
      <c r="G603" t="n">
        <v>4.1</v>
      </c>
      <c r="H603" t="n">
        <v>0</v>
      </c>
      <c r="I603" t="n">
        <v>0</v>
      </c>
      <c r="J603" t="n">
        <v>0</v>
      </c>
      <c r="K603" t="n">
        <v>0</v>
      </c>
      <c r="L603" t="n">
        <v>0</v>
      </c>
      <c r="M603" t="n">
        <v>0</v>
      </c>
      <c r="N603" t="n">
        <v>0</v>
      </c>
      <c r="O603" t="n">
        <v>0</v>
      </c>
      <c r="P603" t="n">
        <v>0</v>
      </c>
      <c r="Q603" t="n">
        <v>0</v>
      </c>
      <c r="R603" s="2" t="inlineStr"/>
    </row>
    <row r="604" ht="15" customHeight="1">
      <c r="A604" t="inlineStr">
        <is>
          <t>A 13729-2025</t>
        </is>
      </c>
      <c r="B604" s="1" t="n">
        <v>45737.3846412037</v>
      </c>
      <c r="C604" s="1" t="n">
        <v>46140</v>
      </c>
      <c r="D604" t="inlineStr">
        <is>
          <t>ÖREBRO LÄN</t>
        </is>
      </c>
      <c r="E604" t="inlineStr">
        <is>
          <t>LINDESBERG</t>
        </is>
      </c>
      <c r="F604" t="inlineStr">
        <is>
          <t>Sveaskog</t>
        </is>
      </c>
      <c r="G604" t="n">
        <v>5.4</v>
      </c>
      <c r="H604" t="n">
        <v>0</v>
      </c>
      <c r="I604" t="n">
        <v>0</v>
      </c>
      <c r="J604" t="n">
        <v>0</v>
      </c>
      <c r="K604" t="n">
        <v>0</v>
      </c>
      <c r="L604" t="n">
        <v>0</v>
      </c>
      <c r="M604" t="n">
        <v>0</v>
      </c>
      <c r="N604" t="n">
        <v>0</v>
      </c>
      <c r="O604" t="n">
        <v>0</v>
      </c>
      <c r="P604" t="n">
        <v>0</v>
      </c>
      <c r="Q604" t="n">
        <v>0</v>
      </c>
      <c r="R604" s="2" t="inlineStr"/>
    </row>
    <row r="605" ht="15" customHeight="1">
      <c r="A605" t="inlineStr">
        <is>
          <t>A 60492-2024</t>
        </is>
      </c>
      <c r="B605" s="1" t="n">
        <v>45642</v>
      </c>
      <c r="C605" s="1" t="n">
        <v>46140</v>
      </c>
      <c r="D605" t="inlineStr">
        <is>
          <t>ÖREBRO LÄN</t>
        </is>
      </c>
      <c r="E605" t="inlineStr">
        <is>
          <t>LINDESBERG</t>
        </is>
      </c>
      <c r="G605" t="n">
        <v>2.6</v>
      </c>
      <c r="H605" t="n">
        <v>0</v>
      </c>
      <c r="I605" t="n">
        <v>0</v>
      </c>
      <c r="J605" t="n">
        <v>0</v>
      </c>
      <c r="K605" t="n">
        <v>0</v>
      </c>
      <c r="L605" t="n">
        <v>0</v>
      </c>
      <c r="M605" t="n">
        <v>0</v>
      </c>
      <c r="N605" t="n">
        <v>0</v>
      </c>
      <c r="O605" t="n">
        <v>0</v>
      </c>
      <c r="P605" t="n">
        <v>0</v>
      </c>
      <c r="Q605" t="n">
        <v>0</v>
      </c>
      <c r="R605" s="2" t="inlineStr"/>
    </row>
    <row r="606" ht="15" customHeight="1">
      <c r="A606" t="inlineStr">
        <is>
          <t>A 40117-2023</t>
        </is>
      </c>
      <c r="B606" s="1" t="n">
        <v>45168.94197916667</v>
      </c>
      <c r="C606" s="1" t="n">
        <v>46140</v>
      </c>
      <c r="D606" t="inlineStr">
        <is>
          <t>ÖREBRO LÄN</t>
        </is>
      </c>
      <c r="E606" t="inlineStr">
        <is>
          <t>LINDESBERG</t>
        </is>
      </c>
      <c r="G606" t="n">
        <v>2.3</v>
      </c>
      <c r="H606" t="n">
        <v>0</v>
      </c>
      <c r="I606" t="n">
        <v>0</v>
      </c>
      <c r="J606" t="n">
        <v>0</v>
      </c>
      <c r="K606" t="n">
        <v>0</v>
      </c>
      <c r="L606" t="n">
        <v>0</v>
      </c>
      <c r="M606" t="n">
        <v>0</v>
      </c>
      <c r="N606" t="n">
        <v>0</v>
      </c>
      <c r="O606" t="n">
        <v>0</v>
      </c>
      <c r="P606" t="n">
        <v>0</v>
      </c>
      <c r="Q606" t="n">
        <v>0</v>
      </c>
      <c r="R606" s="2" t="inlineStr"/>
    </row>
    <row r="607" ht="15" customHeight="1">
      <c r="A607" t="inlineStr">
        <is>
          <t>A 11366-2024</t>
        </is>
      </c>
      <c r="B607" s="1" t="n">
        <v>45372.40246527778</v>
      </c>
      <c r="C607" s="1" t="n">
        <v>46140</v>
      </c>
      <c r="D607" t="inlineStr">
        <is>
          <t>ÖREBRO LÄN</t>
        </is>
      </c>
      <c r="E607" t="inlineStr">
        <is>
          <t>LINDESBERG</t>
        </is>
      </c>
      <c r="G607" t="n">
        <v>4.4</v>
      </c>
      <c r="H607" t="n">
        <v>0</v>
      </c>
      <c r="I607" t="n">
        <v>0</v>
      </c>
      <c r="J607" t="n">
        <v>0</v>
      </c>
      <c r="K607" t="n">
        <v>0</v>
      </c>
      <c r="L607" t="n">
        <v>0</v>
      </c>
      <c r="M607" t="n">
        <v>0</v>
      </c>
      <c r="N607" t="n">
        <v>0</v>
      </c>
      <c r="O607" t="n">
        <v>0</v>
      </c>
      <c r="P607" t="n">
        <v>0</v>
      </c>
      <c r="Q607" t="n">
        <v>0</v>
      </c>
      <c r="R607" s="2" t="inlineStr"/>
    </row>
    <row r="608" ht="15" customHeight="1">
      <c r="A608" t="inlineStr">
        <is>
          <t>A 60806-2025</t>
        </is>
      </c>
      <c r="B608" s="1" t="n">
        <v>45999.43730324074</v>
      </c>
      <c r="C608" s="1" t="n">
        <v>46140</v>
      </c>
      <c r="D608" t="inlineStr">
        <is>
          <t>ÖREBRO LÄN</t>
        </is>
      </c>
      <c r="E608" t="inlineStr">
        <is>
          <t>LINDESBERG</t>
        </is>
      </c>
      <c r="G608" t="n">
        <v>7.9</v>
      </c>
      <c r="H608" t="n">
        <v>0</v>
      </c>
      <c r="I608" t="n">
        <v>0</v>
      </c>
      <c r="J608" t="n">
        <v>0</v>
      </c>
      <c r="K608" t="n">
        <v>0</v>
      </c>
      <c r="L608" t="n">
        <v>0</v>
      </c>
      <c r="M608" t="n">
        <v>0</v>
      </c>
      <c r="N608" t="n">
        <v>0</v>
      </c>
      <c r="O608" t="n">
        <v>0</v>
      </c>
      <c r="P608" t="n">
        <v>0</v>
      </c>
      <c r="Q608" t="n">
        <v>0</v>
      </c>
      <c r="R608" s="2" t="inlineStr"/>
    </row>
    <row r="609" ht="15" customHeight="1">
      <c r="A609" t="inlineStr">
        <is>
          <t>A 60943-2024</t>
        </is>
      </c>
      <c r="B609" s="1" t="n">
        <v>45645.3737962963</v>
      </c>
      <c r="C609" s="1" t="n">
        <v>46140</v>
      </c>
      <c r="D609" t="inlineStr">
        <is>
          <t>ÖREBRO LÄN</t>
        </is>
      </c>
      <c r="E609" t="inlineStr">
        <is>
          <t>LINDESBERG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56912-2024</t>
        </is>
      </c>
      <c r="B610" s="1" t="n">
        <v>45628.59233796296</v>
      </c>
      <c r="C610" s="1" t="n">
        <v>46140</v>
      </c>
      <c r="D610" t="inlineStr">
        <is>
          <t>ÖREBRO LÄN</t>
        </is>
      </c>
      <c r="E610" t="inlineStr">
        <is>
          <t>LINDESBERG</t>
        </is>
      </c>
      <c r="G610" t="n">
        <v>1</v>
      </c>
      <c r="H610" t="n">
        <v>0</v>
      </c>
      <c r="I610" t="n">
        <v>0</v>
      </c>
      <c r="J610" t="n">
        <v>0</v>
      </c>
      <c r="K610" t="n">
        <v>0</v>
      </c>
      <c r="L610" t="n">
        <v>0</v>
      </c>
      <c r="M610" t="n">
        <v>0</v>
      </c>
      <c r="N610" t="n">
        <v>0</v>
      </c>
      <c r="O610" t="n">
        <v>0</v>
      </c>
      <c r="P610" t="n">
        <v>0</v>
      </c>
      <c r="Q610" t="n">
        <v>0</v>
      </c>
      <c r="R610" s="2" t="inlineStr"/>
    </row>
    <row r="611" ht="15" customHeight="1">
      <c r="A611" t="inlineStr">
        <is>
          <t>A 61761-2025</t>
        </is>
      </c>
      <c r="B611" s="1" t="n">
        <v>46002.62465277778</v>
      </c>
      <c r="C611" s="1" t="n">
        <v>46140</v>
      </c>
      <c r="D611" t="inlineStr">
        <is>
          <t>ÖREBRO LÄN</t>
        </is>
      </c>
      <c r="E611" t="inlineStr">
        <is>
          <t>LINDESBERG</t>
        </is>
      </c>
      <c r="G611" t="n">
        <v>3.8</v>
      </c>
      <c r="H611" t="n">
        <v>0</v>
      </c>
      <c r="I611" t="n">
        <v>0</v>
      </c>
      <c r="J611" t="n">
        <v>0</v>
      </c>
      <c r="K611" t="n">
        <v>0</v>
      </c>
      <c r="L611" t="n">
        <v>0</v>
      </c>
      <c r="M611" t="n">
        <v>0</v>
      </c>
      <c r="N611" t="n">
        <v>0</v>
      </c>
      <c r="O611" t="n">
        <v>0</v>
      </c>
      <c r="P611" t="n">
        <v>0</v>
      </c>
      <c r="Q611" t="n">
        <v>0</v>
      </c>
      <c r="R611" s="2" t="inlineStr"/>
    </row>
    <row r="612" ht="15" customHeight="1">
      <c r="A612" t="inlineStr">
        <is>
          <t>A 47620-2023</t>
        </is>
      </c>
      <c r="B612" s="1" t="n">
        <v>45203.510625</v>
      </c>
      <c r="C612" s="1" t="n">
        <v>46140</v>
      </c>
      <c r="D612" t="inlineStr">
        <is>
          <t>ÖREBRO LÄN</t>
        </is>
      </c>
      <c r="E612" t="inlineStr">
        <is>
          <t>LINDESBERG</t>
        </is>
      </c>
      <c r="G612" t="n">
        <v>2.7</v>
      </c>
      <c r="H612" t="n">
        <v>0</v>
      </c>
      <c r="I612" t="n">
        <v>0</v>
      </c>
      <c r="J612" t="n">
        <v>0</v>
      </c>
      <c r="K612" t="n">
        <v>0</v>
      </c>
      <c r="L612" t="n">
        <v>0</v>
      </c>
      <c r="M612" t="n">
        <v>0</v>
      </c>
      <c r="N612" t="n">
        <v>0</v>
      </c>
      <c r="O612" t="n">
        <v>0</v>
      </c>
      <c r="P612" t="n">
        <v>0</v>
      </c>
      <c r="Q612" t="n">
        <v>0</v>
      </c>
      <c r="R612" s="2" t="inlineStr"/>
    </row>
    <row r="613" ht="15" customHeight="1">
      <c r="A613" t="inlineStr">
        <is>
          <t>A 61745-2025</t>
        </is>
      </c>
      <c r="B613" s="1" t="n">
        <v>46002.60324074074</v>
      </c>
      <c r="C613" s="1" t="n">
        <v>46140</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44010-2023</t>
        </is>
      </c>
      <c r="B614" s="1" t="n">
        <v>45188</v>
      </c>
      <c r="C614" s="1" t="n">
        <v>46140</v>
      </c>
      <c r="D614" t="inlineStr">
        <is>
          <t>ÖREBRO LÄN</t>
        </is>
      </c>
      <c r="E614" t="inlineStr">
        <is>
          <t>LINDESBERG</t>
        </is>
      </c>
      <c r="G614" t="n">
        <v>2.3</v>
      </c>
      <c r="H614" t="n">
        <v>0</v>
      </c>
      <c r="I614" t="n">
        <v>0</v>
      </c>
      <c r="J614" t="n">
        <v>0</v>
      </c>
      <c r="K614" t="n">
        <v>0</v>
      </c>
      <c r="L614" t="n">
        <v>0</v>
      </c>
      <c r="M614" t="n">
        <v>0</v>
      </c>
      <c r="N614" t="n">
        <v>0</v>
      </c>
      <c r="O614" t="n">
        <v>0</v>
      </c>
      <c r="P614" t="n">
        <v>0</v>
      </c>
      <c r="Q614" t="n">
        <v>0</v>
      </c>
      <c r="R614" s="2" t="inlineStr"/>
    </row>
    <row r="615" ht="15" customHeight="1">
      <c r="A615" t="inlineStr">
        <is>
          <t>A 61758-2025</t>
        </is>
      </c>
      <c r="B615" s="1" t="n">
        <v>46002.61762731482</v>
      </c>
      <c r="C615" s="1" t="n">
        <v>46140</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62246-2025</t>
        </is>
      </c>
      <c r="B616" s="1" t="n">
        <v>46006.60633101852</v>
      </c>
      <c r="C616" s="1" t="n">
        <v>46140</v>
      </c>
      <c r="D616" t="inlineStr">
        <is>
          <t>ÖREBRO LÄN</t>
        </is>
      </c>
      <c r="E616" t="inlineStr">
        <is>
          <t>LINDESBERG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2107-2022</t>
        </is>
      </c>
      <c r="B617" s="1" t="n">
        <v>44577.83484953704</v>
      </c>
      <c r="C617" s="1" t="n">
        <v>46140</v>
      </c>
      <c r="D617" t="inlineStr">
        <is>
          <t>ÖREBRO LÄN</t>
        </is>
      </c>
      <c r="E617" t="inlineStr">
        <is>
          <t>LINDESBERG</t>
        </is>
      </c>
      <c r="G617" t="n">
        <v>2.9</v>
      </c>
      <c r="H617" t="n">
        <v>0</v>
      </c>
      <c r="I617" t="n">
        <v>0</v>
      </c>
      <c r="J617" t="n">
        <v>0</v>
      </c>
      <c r="K617" t="n">
        <v>0</v>
      </c>
      <c r="L617" t="n">
        <v>0</v>
      </c>
      <c r="M617" t="n">
        <v>0</v>
      </c>
      <c r="N617" t="n">
        <v>0</v>
      </c>
      <c r="O617" t="n">
        <v>0</v>
      </c>
      <c r="P617" t="n">
        <v>0</v>
      </c>
      <c r="Q617" t="n">
        <v>0</v>
      </c>
      <c r="R617" s="2" t="inlineStr"/>
    </row>
    <row r="618" ht="15" customHeight="1">
      <c r="A618" t="inlineStr">
        <is>
          <t>A 58050-2025</t>
        </is>
      </c>
      <c r="B618" s="1" t="n">
        <v>45982</v>
      </c>
      <c r="C618" s="1" t="n">
        <v>46140</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62383-2025</t>
        </is>
      </c>
      <c r="B619" s="1" t="n">
        <v>46007.3708449074</v>
      </c>
      <c r="C619" s="1" t="n">
        <v>46140</v>
      </c>
      <c r="D619" t="inlineStr">
        <is>
          <t>ÖREBRO LÄN</t>
        </is>
      </c>
      <c r="E619" t="inlineStr">
        <is>
          <t>LINDESBERG</t>
        </is>
      </c>
      <c r="G619" t="n">
        <v>3.5</v>
      </c>
      <c r="H619" t="n">
        <v>0</v>
      </c>
      <c r="I619" t="n">
        <v>0</v>
      </c>
      <c r="J619" t="n">
        <v>0</v>
      </c>
      <c r="K619" t="n">
        <v>0</v>
      </c>
      <c r="L619" t="n">
        <v>0</v>
      </c>
      <c r="M619" t="n">
        <v>0</v>
      </c>
      <c r="N619" t="n">
        <v>0</v>
      </c>
      <c r="O619" t="n">
        <v>0</v>
      </c>
      <c r="P619" t="n">
        <v>0</v>
      </c>
      <c r="Q619" t="n">
        <v>0</v>
      </c>
      <c r="R619" s="2" t="inlineStr"/>
    </row>
    <row r="620" ht="15" customHeight="1">
      <c r="A620" t="inlineStr">
        <is>
          <t>A 16864-2022</t>
        </is>
      </c>
      <c r="B620" s="1" t="n">
        <v>44675</v>
      </c>
      <c r="C620" s="1" t="n">
        <v>46140</v>
      </c>
      <c r="D620" t="inlineStr">
        <is>
          <t>ÖREBRO LÄN</t>
        </is>
      </c>
      <c r="E620" t="inlineStr">
        <is>
          <t>LINDESBERG</t>
        </is>
      </c>
      <c r="F620" t="inlineStr">
        <is>
          <t>Kyrkan</t>
        </is>
      </c>
      <c r="G620" t="n">
        <v>1.7</v>
      </c>
      <c r="H620" t="n">
        <v>0</v>
      </c>
      <c r="I620" t="n">
        <v>0</v>
      </c>
      <c r="J620" t="n">
        <v>0</v>
      </c>
      <c r="K620" t="n">
        <v>0</v>
      </c>
      <c r="L620" t="n">
        <v>0</v>
      </c>
      <c r="M620" t="n">
        <v>0</v>
      </c>
      <c r="N620" t="n">
        <v>0</v>
      </c>
      <c r="O620" t="n">
        <v>0</v>
      </c>
      <c r="P620" t="n">
        <v>0</v>
      </c>
      <c r="Q620" t="n">
        <v>0</v>
      </c>
      <c r="R620" s="2" t="inlineStr"/>
    </row>
    <row r="621" ht="15" customHeight="1">
      <c r="A621" t="inlineStr">
        <is>
          <t>A 62603-2025</t>
        </is>
      </c>
      <c r="B621" s="1" t="n">
        <v>46008.25765046296</v>
      </c>
      <c r="C621" s="1" t="n">
        <v>46140</v>
      </c>
      <c r="D621" t="inlineStr">
        <is>
          <t>ÖREBRO LÄN</t>
        </is>
      </c>
      <c r="E621" t="inlineStr">
        <is>
          <t>LINDESBERG</t>
        </is>
      </c>
      <c r="G621" t="n">
        <v>2.3</v>
      </c>
      <c r="H621" t="n">
        <v>0</v>
      </c>
      <c r="I621" t="n">
        <v>0</v>
      </c>
      <c r="J621" t="n">
        <v>0</v>
      </c>
      <c r="K621" t="n">
        <v>0</v>
      </c>
      <c r="L621" t="n">
        <v>0</v>
      </c>
      <c r="M621" t="n">
        <v>0</v>
      </c>
      <c r="N621" t="n">
        <v>0</v>
      </c>
      <c r="O621" t="n">
        <v>0</v>
      </c>
      <c r="P621" t="n">
        <v>0</v>
      </c>
      <c r="Q621" t="n">
        <v>0</v>
      </c>
      <c r="R621" s="2" t="inlineStr"/>
    </row>
    <row r="622" ht="15" customHeight="1">
      <c r="A622" t="inlineStr">
        <is>
          <t>A 32928-2023</t>
        </is>
      </c>
      <c r="B622" s="1" t="n">
        <v>45125.41458333333</v>
      </c>
      <c r="C622" s="1" t="n">
        <v>46140</v>
      </c>
      <c r="D622" t="inlineStr">
        <is>
          <t>ÖREBRO LÄN</t>
        </is>
      </c>
      <c r="E622" t="inlineStr">
        <is>
          <t>LINDESBERG</t>
        </is>
      </c>
      <c r="G622" t="n">
        <v>4.8</v>
      </c>
      <c r="H622" t="n">
        <v>0</v>
      </c>
      <c r="I622" t="n">
        <v>0</v>
      </c>
      <c r="J622" t="n">
        <v>0</v>
      </c>
      <c r="K622" t="n">
        <v>0</v>
      </c>
      <c r="L622" t="n">
        <v>0</v>
      </c>
      <c r="M622" t="n">
        <v>0</v>
      </c>
      <c r="N622" t="n">
        <v>0</v>
      </c>
      <c r="O622" t="n">
        <v>0</v>
      </c>
      <c r="P622" t="n">
        <v>0</v>
      </c>
      <c r="Q622" t="n">
        <v>0</v>
      </c>
      <c r="R622" s="2" t="inlineStr"/>
    </row>
    <row r="623" ht="15" customHeight="1">
      <c r="A623" t="inlineStr">
        <is>
          <t>A 58056-2025</t>
        </is>
      </c>
      <c r="B623" s="1" t="n">
        <v>45982</v>
      </c>
      <c r="C623" s="1" t="n">
        <v>46140</v>
      </c>
      <c r="D623" t="inlineStr">
        <is>
          <t>ÖREBRO LÄN</t>
        </is>
      </c>
      <c r="E623" t="inlineStr">
        <is>
          <t>LINDESBERG</t>
        </is>
      </c>
      <c r="G623" t="n">
        <v>0.9</v>
      </c>
      <c r="H623" t="n">
        <v>0</v>
      </c>
      <c r="I623" t="n">
        <v>0</v>
      </c>
      <c r="J623" t="n">
        <v>0</v>
      </c>
      <c r="K623" t="n">
        <v>0</v>
      </c>
      <c r="L623" t="n">
        <v>0</v>
      </c>
      <c r="M623" t="n">
        <v>0</v>
      </c>
      <c r="N623" t="n">
        <v>0</v>
      </c>
      <c r="O623" t="n">
        <v>0</v>
      </c>
      <c r="P623" t="n">
        <v>0</v>
      </c>
      <c r="Q623" t="n">
        <v>0</v>
      </c>
      <c r="R623" s="2" t="inlineStr"/>
    </row>
    <row r="624" ht="15" customHeight="1">
      <c r="A624" t="inlineStr">
        <is>
          <t>A 62604-2025</t>
        </is>
      </c>
      <c r="B624" s="1" t="n">
        <v>46008.26085648148</v>
      </c>
      <c r="C624" s="1" t="n">
        <v>46140</v>
      </c>
      <c r="D624" t="inlineStr">
        <is>
          <t>ÖREBRO LÄN</t>
        </is>
      </c>
      <c r="E624" t="inlineStr">
        <is>
          <t>LINDESBERG</t>
        </is>
      </c>
      <c r="G624" t="n">
        <v>0.6</v>
      </c>
      <c r="H624" t="n">
        <v>0</v>
      </c>
      <c r="I624" t="n">
        <v>0</v>
      </c>
      <c r="J624" t="n">
        <v>0</v>
      </c>
      <c r="K624" t="n">
        <v>0</v>
      </c>
      <c r="L624" t="n">
        <v>0</v>
      </c>
      <c r="M624" t="n">
        <v>0</v>
      </c>
      <c r="N624" t="n">
        <v>0</v>
      </c>
      <c r="O624" t="n">
        <v>0</v>
      </c>
      <c r="P624" t="n">
        <v>0</v>
      </c>
      <c r="Q624" t="n">
        <v>0</v>
      </c>
      <c r="R624" s="2" t="inlineStr"/>
    </row>
    <row r="625" ht="15" customHeight="1">
      <c r="A625" t="inlineStr">
        <is>
          <t>A 63078-2025</t>
        </is>
      </c>
      <c r="B625" s="1" t="n">
        <v>46009</v>
      </c>
      <c r="C625" s="1" t="n">
        <v>46140</v>
      </c>
      <c r="D625" t="inlineStr">
        <is>
          <t>ÖREBRO LÄN</t>
        </is>
      </c>
      <c r="E625" t="inlineStr">
        <is>
          <t>LINDESBERG</t>
        </is>
      </c>
      <c r="G625" t="n">
        <v>0.9</v>
      </c>
      <c r="H625" t="n">
        <v>0</v>
      </c>
      <c r="I625" t="n">
        <v>0</v>
      </c>
      <c r="J625" t="n">
        <v>0</v>
      </c>
      <c r="K625" t="n">
        <v>0</v>
      </c>
      <c r="L625" t="n">
        <v>0</v>
      </c>
      <c r="M625" t="n">
        <v>0</v>
      </c>
      <c r="N625" t="n">
        <v>0</v>
      </c>
      <c r="O625" t="n">
        <v>0</v>
      </c>
      <c r="P625" t="n">
        <v>0</v>
      </c>
      <c r="Q625" t="n">
        <v>0</v>
      </c>
      <c r="R625" s="2" t="inlineStr"/>
    </row>
    <row r="626" ht="15" customHeight="1">
      <c r="A626" t="inlineStr">
        <is>
          <t>A 21016-2023</t>
        </is>
      </c>
      <c r="B626" s="1" t="n">
        <v>45061.53414351852</v>
      </c>
      <c r="C626" s="1" t="n">
        <v>46140</v>
      </c>
      <c r="D626" t="inlineStr">
        <is>
          <t>ÖREBRO LÄN</t>
        </is>
      </c>
      <c r="E626" t="inlineStr">
        <is>
          <t>LINDESBERG</t>
        </is>
      </c>
      <c r="G626" t="n">
        <v>8.1</v>
      </c>
      <c r="H626" t="n">
        <v>0</v>
      </c>
      <c r="I626" t="n">
        <v>0</v>
      </c>
      <c r="J626" t="n">
        <v>0</v>
      </c>
      <c r="K626" t="n">
        <v>0</v>
      </c>
      <c r="L626" t="n">
        <v>0</v>
      </c>
      <c r="M626" t="n">
        <v>0</v>
      </c>
      <c r="N626" t="n">
        <v>0</v>
      </c>
      <c r="O626" t="n">
        <v>0</v>
      </c>
      <c r="P626" t="n">
        <v>0</v>
      </c>
      <c r="Q626" t="n">
        <v>0</v>
      </c>
      <c r="R626" s="2" t="inlineStr"/>
    </row>
    <row r="627" ht="15" customHeight="1">
      <c r="A627" t="inlineStr">
        <is>
          <t>A 40306-2022</t>
        </is>
      </c>
      <c r="B627" s="1" t="n">
        <v>44822</v>
      </c>
      <c r="C627" s="1" t="n">
        <v>46140</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63083-2025</t>
        </is>
      </c>
      <c r="B628" s="1" t="n">
        <v>46009.67175925926</v>
      </c>
      <c r="C628" s="1" t="n">
        <v>46140</v>
      </c>
      <c r="D628" t="inlineStr">
        <is>
          <t>ÖREBRO LÄN</t>
        </is>
      </c>
      <c r="E628" t="inlineStr">
        <is>
          <t>LINDESBERG</t>
        </is>
      </c>
      <c r="G628" t="n">
        <v>0.7</v>
      </c>
      <c r="H628" t="n">
        <v>0</v>
      </c>
      <c r="I628" t="n">
        <v>0</v>
      </c>
      <c r="J628" t="n">
        <v>0</v>
      </c>
      <c r="K628" t="n">
        <v>0</v>
      </c>
      <c r="L628" t="n">
        <v>0</v>
      </c>
      <c r="M628" t="n">
        <v>0</v>
      </c>
      <c r="N628" t="n">
        <v>0</v>
      </c>
      <c r="O628" t="n">
        <v>0</v>
      </c>
      <c r="P628" t="n">
        <v>0</v>
      </c>
      <c r="Q628" t="n">
        <v>0</v>
      </c>
      <c r="R628" s="2" t="inlineStr"/>
    </row>
    <row r="629" ht="15" customHeight="1">
      <c r="A629" t="inlineStr">
        <is>
          <t>A 27440-2023</t>
        </is>
      </c>
      <c r="B629" s="1" t="n">
        <v>45097.39893518519</v>
      </c>
      <c r="C629" s="1" t="n">
        <v>46140</v>
      </c>
      <c r="D629" t="inlineStr">
        <is>
          <t>ÖREBRO LÄN</t>
        </is>
      </c>
      <c r="E629" t="inlineStr">
        <is>
          <t>LINDESBERG</t>
        </is>
      </c>
      <c r="G629" t="n">
        <v>6.6</v>
      </c>
      <c r="H629" t="n">
        <v>0</v>
      </c>
      <c r="I629" t="n">
        <v>0</v>
      </c>
      <c r="J629" t="n">
        <v>0</v>
      </c>
      <c r="K629" t="n">
        <v>0</v>
      </c>
      <c r="L629" t="n">
        <v>0</v>
      </c>
      <c r="M629" t="n">
        <v>0</v>
      </c>
      <c r="N629" t="n">
        <v>0</v>
      </c>
      <c r="O629" t="n">
        <v>0</v>
      </c>
      <c r="P629" t="n">
        <v>0</v>
      </c>
      <c r="Q629" t="n">
        <v>0</v>
      </c>
      <c r="R629" s="2" t="inlineStr"/>
    </row>
    <row r="630" ht="15" customHeight="1">
      <c r="A630" t="inlineStr">
        <is>
          <t>A 61736-2025</t>
        </is>
      </c>
      <c r="B630" s="1" t="n">
        <v>46002</v>
      </c>
      <c r="C630" s="1" t="n">
        <v>46140</v>
      </c>
      <c r="D630" t="inlineStr">
        <is>
          <t>ÖREBRO LÄN</t>
        </is>
      </c>
      <c r="E630" t="inlineStr">
        <is>
          <t>LINDESBERG</t>
        </is>
      </c>
      <c r="G630" t="n">
        <v>4.5</v>
      </c>
      <c r="H630" t="n">
        <v>0</v>
      </c>
      <c r="I630" t="n">
        <v>0</v>
      </c>
      <c r="J630" t="n">
        <v>0</v>
      </c>
      <c r="K630" t="n">
        <v>0</v>
      </c>
      <c r="L630" t="n">
        <v>0</v>
      </c>
      <c r="M630" t="n">
        <v>0</v>
      </c>
      <c r="N630" t="n">
        <v>0</v>
      </c>
      <c r="O630" t="n">
        <v>0</v>
      </c>
      <c r="P630" t="n">
        <v>0</v>
      </c>
      <c r="Q630" t="n">
        <v>0</v>
      </c>
      <c r="R630" s="2" t="inlineStr"/>
    </row>
    <row r="631" ht="15" customHeight="1">
      <c r="A631" t="inlineStr">
        <is>
          <t>A 40905-2023</t>
        </is>
      </c>
      <c r="B631" s="1" t="n">
        <v>45173.39315972223</v>
      </c>
      <c r="C631" s="1" t="n">
        <v>46140</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61739-2025</t>
        </is>
      </c>
      <c r="B632" s="1" t="n">
        <v>46002</v>
      </c>
      <c r="C632" s="1" t="n">
        <v>46140</v>
      </c>
      <c r="D632" t="inlineStr">
        <is>
          <t>ÖREBRO LÄN</t>
        </is>
      </c>
      <c r="E632" t="inlineStr">
        <is>
          <t>LINDESBERG</t>
        </is>
      </c>
      <c r="G632" t="n">
        <v>5.3</v>
      </c>
      <c r="H632" t="n">
        <v>0</v>
      </c>
      <c r="I632" t="n">
        <v>0</v>
      </c>
      <c r="J632" t="n">
        <v>0</v>
      </c>
      <c r="K632" t="n">
        <v>0</v>
      </c>
      <c r="L632" t="n">
        <v>0</v>
      </c>
      <c r="M632" t="n">
        <v>0</v>
      </c>
      <c r="N632" t="n">
        <v>0</v>
      </c>
      <c r="O632" t="n">
        <v>0</v>
      </c>
      <c r="P632" t="n">
        <v>0</v>
      </c>
      <c r="Q632" t="n">
        <v>0</v>
      </c>
      <c r="R632" s="2" t="inlineStr"/>
    </row>
    <row r="633" ht="15" customHeight="1">
      <c r="A633" t="inlineStr">
        <is>
          <t>A 63526-2025</t>
        </is>
      </c>
      <c r="B633" s="1" t="n">
        <v>46013</v>
      </c>
      <c r="C633" s="1" t="n">
        <v>46140</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41951-2023</t>
        </is>
      </c>
      <c r="B634" s="1" t="n">
        <v>45177.33991898148</v>
      </c>
      <c r="C634" s="1" t="n">
        <v>46140</v>
      </c>
      <c r="D634" t="inlineStr">
        <is>
          <t>ÖREBRO LÄN</t>
        </is>
      </c>
      <c r="E634" t="inlineStr">
        <is>
          <t>LINDESBERG</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46140</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40758-2021</t>
        </is>
      </c>
      <c r="B636" s="1" t="n">
        <v>44420</v>
      </c>
      <c r="C636" s="1" t="n">
        <v>46140</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46140</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7990-2025</t>
        </is>
      </c>
      <c r="B638" s="1" t="n">
        <v>45707</v>
      </c>
      <c r="C638" s="1" t="n">
        <v>46140</v>
      </c>
      <c r="D638" t="inlineStr">
        <is>
          <t>ÖREBRO LÄN</t>
        </is>
      </c>
      <c r="E638" t="inlineStr">
        <is>
          <t>LINDESBERG</t>
        </is>
      </c>
      <c r="G638" t="n">
        <v>4.4</v>
      </c>
      <c r="H638" t="n">
        <v>0</v>
      </c>
      <c r="I638" t="n">
        <v>0</v>
      </c>
      <c r="J638" t="n">
        <v>0</v>
      </c>
      <c r="K638" t="n">
        <v>0</v>
      </c>
      <c r="L638" t="n">
        <v>0</v>
      </c>
      <c r="M638" t="n">
        <v>0</v>
      </c>
      <c r="N638" t="n">
        <v>0</v>
      </c>
      <c r="O638" t="n">
        <v>0</v>
      </c>
      <c r="P638" t="n">
        <v>0</v>
      </c>
      <c r="Q638" t="n">
        <v>0</v>
      </c>
      <c r="R638" s="2" t="inlineStr"/>
    </row>
    <row r="639" ht="15" customHeight="1">
      <c r="A639" t="inlineStr">
        <is>
          <t>A 61691-2023</t>
        </is>
      </c>
      <c r="B639" s="1" t="n">
        <v>45265.64142361111</v>
      </c>
      <c r="C639" s="1" t="n">
        <v>46140</v>
      </c>
      <c r="D639" t="inlineStr">
        <is>
          <t>ÖREBRO LÄN</t>
        </is>
      </c>
      <c r="E639" t="inlineStr">
        <is>
          <t>LINDESBERG</t>
        </is>
      </c>
      <c r="G639" t="n">
        <v>2.6</v>
      </c>
      <c r="H639" t="n">
        <v>0</v>
      </c>
      <c r="I639" t="n">
        <v>0</v>
      </c>
      <c r="J639" t="n">
        <v>0</v>
      </c>
      <c r="K639" t="n">
        <v>0</v>
      </c>
      <c r="L639" t="n">
        <v>0</v>
      </c>
      <c r="M639" t="n">
        <v>0</v>
      </c>
      <c r="N639" t="n">
        <v>0</v>
      </c>
      <c r="O639" t="n">
        <v>0</v>
      </c>
      <c r="P639" t="n">
        <v>0</v>
      </c>
      <c r="Q639" t="n">
        <v>0</v>
      </c>
      <c r="R639" s="2" t="inlineStr"/>
    </row>
    <row r="640" ht="15" customHeight="1">
      <c r="A640" t="inlineStr">
        <is>
          <t>A 37507-2023</t>
        </is>
      </c>
      <c r="B640" s="1" t="n">
        <v>45158.41768518519</v>
      </c>
      <c r="C640" s="1" t="n">
        <v>46140</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41576-2021</t>
        </is>
      </c>
      <c r="B641" s="1" t="n">
        <v>44425</v>
      </c>
      <c r="C641" s="1" t="n">
        <v>46140</v>
      </c>
      <c r="D641" t="inlineStr">
        <is>
          <t>ÖREBRO LÄN</t>
        </is>
      </c>
      <c r="E641" t="inlineStr">
        <is>
          <t>LINDESBERG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46675-2023</t>
        </is>
      </c>
      <c r="B642" s="1" t="n">
        <v>45194</v>
      </c>
      <c r="C642" s="1" t="n">
        <v>46140</v>
      </c>
      <c r="D642" t="inlineStr">
        <is>
          <t>ÖREBRO LÄN</t>
        </is>
      </c>
      <c r="E642" t="inlineStr">
        <is>
          <t>LINDESBERG</t>
        </is>
      </c>
      <c r="G642" t="n">
        <v>3.8</v>
      </c>
      <c r="H642" t="n">
        <v>0</v>
      </c>
      <c r="I642" t="n">
        <v>0</v>
      </c>
      <c r="J642" t="n">
        <v>0</v>
      </c>
      <c r="K642" t="n">
        <v>0</v>
      </c>
      <c r="L642" t="n">
        <v>0</v>
      </c>
      <c r="M642" t="n">
        <v>0</v>
      </c>
      <c r="N642" t="n">
        <v>0</v>
      </c>
      <c r="O642" t="n">
        <v>0</v>
      </c>
      <c r="P642" t="n">
        <v>0</v>
      </c>
      <c r="Q642" t="n">
        <v>0</v>
      </c>
      <c r="R642" s="2" t="inlineStr"/>
    </row>
    <row r="643" ht="15" customHeight="1">
      <c r="A643" t="inlineStr">
        <is>
          <t>A 610-2026</t>
        </is>
      </c>
      <c r="B643" s="1" t="n">
        <v>46029</v>
      </c>
      <c r="C643" s="1" t="n">
        <v>46140</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911-2026</t>
        </is>
      </c>
      <c r="B644" s="1" t="n">
        <v>46030.47725694445</v>
      </c>
      <c r="C644" s="1" t="n">
        <v>46140</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34434-2023</t>
        </is>
      </c>
      <c r="B645" s="1" t="n">
        <v>45139.63480324074</v>
      </c>
      <c r="C645" s="1" t="n">
        <v>46140</v>
      </c>
      <c r="D645" t="inlineStr">
        <is>
          <t>ÖREBRO LÄN</t>
        </is>
      </c>
      <c r="E645" t="inlineStr">
        <is>
          <t>LINDESBERG</t>
        </is>
      </c>
      <c r="F645" t="inlineStr">
        <is>
          <t>Kyrkan</t>
        </is>
      </c>
      <c r="G645" t="n">
        <v>1.7</v>
      </c>
      <c r="H645" t="n">
        <v>0</v>
      </c>
      <c r="I645" t="n">
        <v>0</v>
      </c>
      <c r="J645" t="n">
        <v>0</v>
      </c>
      <c r="K645" t="n">
        <v>0</v>
      </c>
      <c r="L645" t="n">
        <v>0</v>
      </c>
      <c r="M645" t="n">
        <v>0</v>
      </c>
      <c r="N645" t="n">
        <v>0</v>
      </c>
      <c r="O645" t="n">
        <v>0</v>
      </c>
      <c r="P645" t="n">
        <v>0</v>
      </c>
      <c r="Q645" t="n">
        <v>0</v>
      </c>
      <c r="R645" s="2" t="inlineStr"/>
    </row>
    <row r="646" ht="15" customHeight="1">
      <c r="A646" t="inlineStr">
        <is>
          <t>A 878-2026</t>
        </is>
      </c>
      <c r="B646" s="1" t="n">
        <v>46030.44277777777</v>
      </c>
      <c r="C646" s="1" t="n">
        <v>46140</v>
      </c>
      <c r="D646" t="inlineStr">
        <is>
          <t>ÖREBRO LÄN</t>
        </is>
      </c>
      <c r="E646" t="inlineStr">
        <is>
          <t>LINDESBERG</t>
        </is>
      </c>
      <c r="G646" t="n">
        <v>2.2</v>
      </c>
      <c r="H646" t="n">
        <v>0</v>
      </c>
      <c r="I646" t="n">
        <v>0</v>
      </c>
      <c r="J646" t="n">
        <v>0</v>
      </c>
      <c r="K646" t="n">
        <v>0</v>
      </c>
      <c r="L646" t="n">
        <v>0</v>
      </c>
      <c r="M646" t="n">
        <v>0</v>
      </c>
      <c r="N646" t="n">
        <v>0</v>
      </c>
      <c r="O646" t="n">
        <v>0</v>
      </c>
      <c r="P646" t="n">
        <v>0</v>
      </c>
      <c r="Q646" t="n">
        <v>0</v>
      </c>
      <c r="R646" s="2" t="inlineStr"/>
    </row>
    <row r="647" ht="15" customHeight="1">
      <c r="A647" t="inlineStr">
        <is>
          <t>A 54432-2023</t>
        </is>
      </c>
      <c r="B647" s="1" t="n">
        <v>45233.42121527778</v>
      </c>
      <c r="C647" s="1" t="n">
        <v>46140</v>
      </c>
      <c r="D647" t="inlineStr">
        <is>
          <t>ÖREBRO LÄN</t>
        </is>
      </c>
      <c r="E647" t="inlineStr">
        <is>
          <t>LINDESBERG</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15933-2025</t>
        </is>
      </c>
      <c r="B648" s="1" t="n">
        <v>45749.47251157407</v>
      </c>
      <c r="C648" s="1" t="n">
        <v>46140</v>
      </c>
      <c r="D648" t="inlineStr">
        <is>
          <t>ÖREBRO LÄN</t>
        </is>
      </c>
      <c r="E648" t="inlineStr">
        <is>
          <t>LINDESBERG</t>
        </is>
      </c>
      <c r="G648" t="n">
        <v>6.1</v>
      </c>
      <c r="H648" t="n">
        <v>0</v>
      </c>
      <c r="I648" t="n">
        <v>0</v>
      </c>
      <c r="J648" t="n">
        <v>0</v>
      </c>
      <c r="K648" t="n">
        <v>0</v>
      </c>
      <c r="L648" t="n">
        <v>0</v>
      </c>
      <c r="M648" t="n">
        <v>0</v>
      </c>
      <c r="N648" t="n">
        <v>0</v>
      </c>
      <c r="O648" t="n">
        <v>0</v>
      </c>
      <c r="P648" t="n">
        <v>0</v>
      </c>
      <c r="Q648" t="n">
        <v>0</v>
      </c>
      <c r="R648" s="2" t="inlineStr"/>
    </row>
    <row r="649" ht="15" customHeight="1">
      <c r="A649" t="inlineStr">
        <is>
          <t>A 15936-2025</t>
        </is>
      </c>
      <c r="B649" s="1" t="n">
        <v>45749.4737962963</v>
      </c>
      <c r="C649" s="1" t="n">
        <v>46140</v>
      </c>
      <c r="D649" t="inlineStr">
        <is>
          <t>ÖREBRO LÄN</t>
        </is>
      </c>
      <c r="E649" t="inlineStr">
        <is>
          <t>LINDESBERG</t>
        </is>
      </c>
      <c r="G649" t="n">
        <v>22.3</v>
      </c>
      <c r="H649" t="n">
        <v>0</v>
      </c>
      <c r="I649" t="n">
        <v>0</v>
      </c>
      <c r="J649" t="n">
        <v>0</v>
      </c>
      <c r="K649" t="n">
        <v>0</v>
      </c>
      <c r="L649" t="n">
        <v>0</v>
      </c>
      <c r="M649" t="n">
        <v>0</v>
      </c>
      <c r="N649" t="n">
        <v>0</v>
      </c>
      <c r="O649" t="n">
        <v>0</v>
      </c>
      <c r="P649" t="n">
        <v>0</v>
      </c>
      <c r="Q649" t="n">
        <v>0</v>
      </c>
      <c r="R649" s="2" t="inlineStr"/>
    </row>
    <row r="650" ht="15" customHeight="1">
      <c r="A650" t="inlineStr">
        <is>
          <t>A 1490-2024</t>
        </is>
      </c>
      <c r="B650" s="1" t="n">
        <v>45305</v>
      </c>
      <c r="C650" s="1" t="n">
        <v>46140</v>
      </c>
      <c r="D650" t="inlineStr">
        <is>
          <t>ÖREBRO LÄN</t>
        </is>
      </c>
      <c r="E650" t="inlineStr">
        <is>
          <t>LINDESBERG</t>
        </is>
      </c>
      <c r="G650" t="n">
        <v>17.6</v>
      </c>
      <c r="H650" t="n">
        <v>0</v>
      </c>
      <c r="I650" t="n">
        <v>0</v>
      </c>
      <c r="J650" t="n">
        <v>0</v>
      </c>
      <c r="K650" t="n">
        <v>0</v>
      </c>
      <c r="L650" t="n">
        <v>0</v>
      </c>
      <c r="M650" t="n">
        <v>0</v>
      </c>
      <c r="N650" t="n">
        <v>0</v>
      </c>
      <c r="O650" t="n">
        <v>0</v>
      </c>
      <c r="P650" t="n">
        <v>0</v>
      </c>
      <c r="Q650" t="n">
        <v>0</v>
      </c>
      <c r="R650" s="2" t="inlineStr"/>
    </row>
    <row r="651" ht="15" customHeight="1">
      <c r="A651" t="inlineStr">
        <is>
          <t>A 1160-2026</t>
        </is>
      </c>
      <c r="B651" s="1" t="n">
        <v>46031</v>
      </c>
      <c r="C651" s="1" t="n">
        <v>46140</v>
      </c>
      <c r="D651" t="inlineStr">
        <is>
          <t>ÖREBRO LÄN</t>
        </is>
      </c>
      <c r="E651" t="inlineStr">
        <is>
          <t>LINDESBERG</t>
        </is>
      </c>
      <c r="G651" t="n">
        <v>12.2</v>
      </c>
      <c r="H651" t="n">
        <v>0</v>
      </c>
      <c r="I651" t="n">
        <v>0</v>
      </c>
      <c r="J651" t="n">
        <v>0</v>
      </c>
      <c r="K651" t="n">
        <v>0</v>
      </c>
      <c r="L651" t="n">
        <v>0</v>
      </c>
      <c r="M651" t="n">
        <v>0</v>
      </c>
      <c r="N651" t="n">
        <v>0</v>
      </c>
      <c r="O651" t="n">
        <v>0</v>
      </c>
      <c r="P651" t="n">
        <v>0</v>
      </c>
      <c r="Q651" t="n">
        <v>0</v>
      </c>
      <c r="R651" s="2" t="inlineStr"/>
    </row>
    <row r="652" ht="15" customHeight="1">
      <c r="A652" t="inlineStr">
        <is>
          <t>A 1749-2026</t>
        </is>
      </c>
      <c r="B652" s="1" t="n">
        <v>46034.65601851852</v>
      </c>
      <c r="C652" s="1" t="n">
        <v>46140</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53168-2023</t>
        </is>
      </c>
      <c r="B653" s="1" t="n">
        <v>45229</v>
      </c>
      <c r="C653" s="1" t="n">
        <v>46140</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17242-2025</t>
        </is>
      </c>
      <c r="B654" s="1" t="n">
        <v>45756.49009259259</v>
      </c>
      <c r="C654" s="1" t="n">
        <v>46140</v>
      </c>
      <c r="D654" t="inlineStr">
        <is>
          <t>ÖREBRO LÄN</t>
        </is>
      </c>
      <c r="E654" t="inlineStr">
        <is>
          <t>LINDESBERG</t>
        </is>
      </c>
      <c r="G654" t="n">
        <v>7.3</v>
      </c>
      <c r="H654" t="n">
        <v>0</v>
      </c>
      <c r="I654" t="n">
        <v>0</v>
      </c>
      <c r="J654" t="n">
        <v>0</v>
      </c>
      <c r="K654" t="n">
        <v>0</v>
      </c>
      <c r="L654" t="n">
        <v>0</v>
      </c>
      <c r="M654" t="n">
        <v>0</v>
      </c>
      <c r="N654" t="n">
        <v>0</v>
      </c>
      <c r="O654" t="n">
        <v>0</v>
      </c>
      <c r="P654" t="n">
        <v>0</v>
      </c>
      <c r="Q654" t="n">
        <v>0</v>
      </c>
      <c r="R654" s="2" t="inlineStr"/>
    </row>
    <row r="655" ht="15" customHeight="1">
      <c r="A655" t="inlineStr">
        <is>
          <t>A 2556-2026</t>
        </is>
      </c>
      <c r="B655" s="1" t="n">
        <v>46035</v>
      </c>
      <c r="C655" s="1" t="n">
        <v>46140</v>
      </c>
      <c r="D655" t="inlineStr">
        <is>
          <t>ÖREBRO LÄN</t>
        </is>
      </c>
      <c r="E655" t="inlineStr">
        <is>
          <t>LINDESBERG</t>
        </is>
      </c>
      <c r="G655" t="n">
        <v>3.4</v>
      </c>
      <c r="H655" t="n">
        <v>0</v>
      </c>
      <c r="I655" t="n">
        <v>0</v>
      </c>
      <c r="J655" t="n">
        <v>0</v>
      </c>
      <c r="K655" t="n">
        <v>0</v>
      </c>
      <c r="L655" t="n">
        <v>0</v>
      </c>
      <c r="M655" t="n">
        <v>0</v>
      </c>
      <c r="N655" t="n">
        <v>0</v>
      </c>
      <c r="O655" t="n">
        <v>0</v>
      </c>
      <c r="P655" t="n">
        <v>0</v>
      </c>
      <c r="Q655" t="n">
        <v>0</v>
      </c>
      <c r="R655" s="2" t="inlineStr"/>
    </row>
    <row r="656" ht="15" customHeight="1">
      <c r="A656" t="inlineStr">
        <is>
          <t>A 2958-2026</t>
        </is>
      </c>
      <c r="B656" s="1" t="n">
        <v>46038.61067129629</v>
      </c>
      <c r="C656" s="1" t="n">
        <v>46140</v>
      </c>
      <c r="D656" t="inlineStr">
        <is>
          <t>ÖREBRO LÄN</t>
        </is>
      </c>
      <c r="E656" t="inlineStr">
        <is>
          <t>LINDESBERG</t>
        </is>
      </c>
      <c r="G656" t="n">
        <v>5.8</v>
      </c>
      <c r="H656" t="n">
        <v>0</v>
      </c>
      <c r="I656" t="n">
        <v>0</v>
      </c>
      <c r="J656" t="n">
        <v>0</v>
      </c>
      <c r="K656" t="n">
        <v>0</v>
      </c>
      <c r="L656" t="n">
        <v>0</v>
      </c>
      <c r="M656" t="n">
        <v>0</v>
      </c>
      <c r="N656" t="n">
        <v>0</v>
      </c>
      <c r="O656" t="n">
        <v>0</v>
      </c>
      <c r="P656" t="n">
        <v>0</v>
      </c>
      <c r="Q656" t="n">
        <v>0</v>
      </c>
      <c r="R656" s="2" t="inlineStr"/>
    </row>
    <row r="657" ht="15" customHeight="1">
      <c r="A657" t="inlineStr">
        <is>
          <t>A 2704-2026</t>
        </is>
      </c>
      <c r="B657" s="1" t="n">
        <v>46037.69133101852</v>
      </c>
      <c r="C657" s="1" t="n">
        <v>46140</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4603-2024</t>
        </is>
      </c>
      <c r="B658" s="1" t="n">
        <v>45328</v>
      </c>
      <c r="C658" s="1" t="n">
        <v>46140</v>
      </c>
      <c r="D658" t="inlineStr">
        <is>
          <t>ÖREBRO LÄN</t>
        </is>
      </c>
      <c r="E658" t="inlineStr">
        <is>
          <t>LINDESBERG</t>
        </is>
      </c>
      <c r="F658" t="inlineStr">
        <is>
          <t>BillerudKorsnäs AB</t>
        </is>
      </c>
      <c r="G658" t="n">
        <v>4.3</v>
      </c>
      <c r="H658" t="n">
        <v>0</v>
      </c>
      <c r="I658" t="n">
        <v>0</v>
      </c>
      <c r="J658" t="n">
        <v>0</v>
      </c>
      <c r="K658" t="n">
        <v>0</v>
      </c>
      <c r="L658" t="n">
        <v>0</v>
      </c>
      <c r="M658" t="n">
        <v>0</v>
      </c>
      <c r="N658" t="n">
        <v>0</v>
      </c>
      <c r="O658" t="n">
        <v>0</v>
      </c>
      <c r="P658" t="n">
        <v>0</v>
      </c>
      <c r="Q658" t="n">
        <v>0</v>
      </c>
      <c r="R658" s="2" t="inlineStr"/>
    </row>
    <row r="659" ht="15" customHeight="1">
      <c r="A659" t="inlineStr">
        <is>
          <t>A 2859-2026</t>
        </is>
      </c>
      <c r="B659" s="1" t="n">
        <v>46038.49269675926</v>
      </c>
      <c r="C659" s="1" t="n">
        <v>46140</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2929-2026</t>
        </is>
      </c>
      <c r="B660" s="1" t="n">
        <v>46038.58241898148</v>
      </c>
      <c r="C660" s="1" t="n">
        <v>46140</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2902-2026</t>
        </is>
      </c>
      <c r="B661" s="1" t="n">
        <v>46038.55849537037</v>
      </c>
      <c r="C661" s="1" t="n">
        <v>46140</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2949-2026</t>
        </is>
      </c>
      <c r="B662" s="1" t="n">
        <v>46038.59640046296</v>
      </c>
      <c r="C662" s="1" t="n">
        <v>46140</v>
      </c>
      <c r="D662" t="inlineStr">
        <is>
          <t>ÖREBRO LÄN</t>
        </is>
      </c>
      <c r="E662" t="inlineStr">
        <is>
          <t>LINDESBERG</t>
        </is>
      </c>
      <c r="G662" t="n">
        <v>4</v>
      </c>
      <c r="H662" t="n">
        <v>0</v>
      </c>
      <c r="I662" t="n">
        <v>0</v>
      </c>
      <c r="J662" t="n">
        <v>0</v>
      </c>
      <c r="K662" t="n">
        <v>0</v>
      </c>
      <c r="L662" t="n">
        <v>0</v>
      </c>
      <c r="M662" t="n">
        <v>0</v>
      </c>
      <c r="N662" t="n">
        <v>0</v>
      </c>
      <c r="O662" t="n">
        <v>0</v>
      </c>
      <c r="P662" t="n">
        <v>0</v>
      </c>
      <c r="Q662" t="n">
        <v>0</v>
      </c>
      <c r="R662" s="2" t="inlineStr"/>
    </row>
    <row r="663" ht="15" customHeight="1">
      <c r="A663" t="inlineStr">
        <is>
          <t>A 53062-2023</t>
        </is>
      </c>
      <c r="B663" s="1" t="n">
        <v>45227.31859953704</v>
      </c>
      <c r="C663" s="1" t="n">
        <v>46140</v>
      </c>
      <c r="D663" t="inlineStr">
        <is>
          <t>ÖREBRO LÄN</t>
        </is>
      </c>
      <c r="E663" t="inlineStr">
        <is>
          <t>LINDESBERG</t>
        </is>
      </c>
      <c r="G663" t="n">
        <v>3.1</v>
      </c>
      <c r="H663" t="n">
        <v>0</v>
      </c>
      <c r="I663" t="n">
        <v>0</v>
      </c>
      <c r="J663" t="n">
        <v>0</v>
      </c>
      <c r="K663" t="n">
        <v>0</v>
      </c>
      <c r="L663" t="n">
        <v>0</v>
      </c>
      <c r="M663" t="n">
        <v>0</v>
      </c>
      <c r="N663" t="n">
        <v>0</v>
      </c>
      <c r="O663" t="n">
        <v>0</v>
      </c>
      <c r="P663" t="n">
        <v>0</v>
      </c>
      <c r="Q663" t="n">
        <v>0</v>
      </c>
      <c r="R663" s="2" t="inlineStr"/>
    </row>
    <row r="664" ht="15" customHeight="1">
      <c r="A664" t="inlineStr">
        <is>
          <t>A 8902-2024</t>
        </is>
      </c>
      <c r="B664" s="1" t="n">
        <v>45357.34521990741</v>
      </c>
      <c r="C664" s="1" t="n">
        <v>46140</v>
      </c>
      <c r="D664" t="inlineStr">
        <is>
          <t>ÖREBRO LÄN</t>
        </is>
      </c>
      <c r="E664" t="inlineStr">
        <is>
          <t>LINDESBERG</t>
        </is>
      </c>
      <c r="F664" t="inlineStr">
        <is>
          <t>Kommuner</t>
        </is>
      </c>
      <c r="G664" t="n">
        <v>0.5</v>
      </c>
      <c r="H664" t="n">
        <v>0</v>
      </c>
      <c r="I664" t="n">
        <v>0</v>
      </c>
      <c r="J664" t="n">
        <v>0</v>
      </c>
      <c r="K664" t="n">
        <v>0</v>
      </c>
      <c r="L664" t="n">
        <v>0</v>
      </c>
      <c r="M664" t="n">
        <v>0</v>
      </c>
      <c r="N664" t="n">
        <v>0</v>
      </c>
      <c r="O664" t="n">
        <v>0</v>
      </c>
      <c r="P664" t="n">
        <v>0</v>
      </c>
      <c r="Q664" t="n">
        <v>0</v>
      </c>
      <c r="R664" s="2" t="inlineStr"/>
    </row>
    <row r="665" ht="15" customHeight="1">
      <c r="A665" t="inlineStr">
        <is>
          <t>A 2969-2026</t>
        </is>
      </c>
      <c r="B665" s="1" t="n">
        <v>46038.61912037037</v>
      </c>
      <c r="C665" s="1" t="n">
        <v>46140</v>
      </c>
      <c r="D665" t="inlineStr">
        <is>
          <t>ÖREBRO LÄN</t>
        </is>
      </c>
      <c r="E665" t="inlineStr">
        <is>
          <t>LINDESBERG</t>
        </is>
      </c>
      <c r="G665" t="n">
        <v>2.6</v>
      </c>
      <c r="H665" t="n">
        <v>0</v>
      </c>
      <c r="I665" t="n">
        <v>0</v>
      </c>
      <c r="J665" t="n">
        <v>0</v>
      </c>
      <c r="K665" t="n">
        <v>0</v>
      </c>
      <c r="L665" t="n">
        <v>0</v>
      </c>
      <c r="M665" t="n">
        <v>0</v>
      </c>
      <c r="N665" t="n">
        <v>0</v>
      </c>
      <c r="O665" t="n">
        <v>0</v>
      </c>
      <c r="P665" t="n">
        <v>0</v>
      </c>
      <c r="Q665" t="n">
        <v>0</v>
      </c>
      <c r="R665" s="2" t="inlineStr"/>
    </row>
    <row r="666" ht="15" customHeight="1">
      <c r="A666" t="inlineStr">
        <is>
          <t>A 3227-2026</t>
        </is>
      </c>
      <c r="B666" s="1" t="n">
        <v>46041.54181712963</v>
      </c>
      <c r="C666" s="1" t="n">
        <v>46140</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59631-2023</t>
        </is>
      </c>
      <c r="B667" s="1" t="n">
        <v>45254.68105324074</v>
      </c>
      <c r="C667" s="1" t="n">
        <v>46140</v>
      </c>
      <c r="D667" t="inlineStr">
        <is>
          <t>ÖREBRO LÄN</t>
        </is>
      </c>
      <c r="E667" t="inlineStr">
        <is>
          <t>LINDESBERG</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3315-2026</t>
        </is>
      </c>
      <c r="B668" s="1" t="n">
        <v>46041.68443287037</v>
      </c>
      <c r="C668" s="1" t="n">
        <v>46140</v>
      </c>
      <c r="D668" t="inlineStr">
        <is>
          <t>ÖREBRO LÄN</t>
        </is>
      </c>
      <c r="E668" t="inlineStr">
        <is>
          <t>LINDESBERG</t>
        </is>
      </c>
      <c r="G668" t="n">
        <v>7.6</v>
      </c>
      <c r="H668" t="n">
        <v>0</v>
      </c>
      <c r="I668" t="n">
        <v>0</v>
      </c>
      <c r="J668" t="n">
        <v>0</v>
      </c>
      <c r="K668" t="n">
        <v>0</v>
      </c>
      <c r="L668" t="n">
        <v>0</v>
      </c>
      <c r="M668" t="n">
        <v>0</v>
      </c>
      <c r="N668" t="n">
        <v>0</v>
      </c>
      <c r="O668" t="n">
        <v>0</v>
      </c>
      <c r="P668" t="n">
        <v>0</v>
      </c>
      <c r="Q668" t="n">
        <v>0</v>
      </c>
      <c r="R668" s="2" t="inlineStr"/>
    </row>
    <row r="669" ht="15" customHeight="1">
      <c r="A669" t="inlineStr">
        <is>
          <t>A 19110-2025</t>
        </is>
      </c>
      <c r="B669" s="1" t="n">
        <v>45768.49947916667</v>
      </c>
      <c r="C669" s="1" t="n">
        <v>46140</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21245-2024</t>
        </is>
      </c>
      <c r="B670" s="1" t="n">
        <v>45440</v>
      </c>
      <c r="C670" s="1" t="n">
        <v>46140</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29350-2022</t>
        </is>
      </c>
      <c r="B671" s="1" t="n">
        <v>44753</v>
      </c>
      <c r="C671" s="1" t="n">
        <v>46140</v>
      </c>
      <c r="D671" t="inlineStr">
        <is>
          <t>ÖREBRO LÄN</t>
        </is>
      </c>
      <c r="E671" t="inlineStr">
        <is>
          <t>LINDESBERG</t>
        </is>
      </c>
      <c r="G671" t="n">
        <v>7.7</v>
      </c>
      <c r="H671" t="n">
        <v>0</v>
      </c>
      <c r="I671" t="n">
        <v>0</v>
      </c>
      <c r="J671" t="n">
        <v>0</v>
      </c>
      <c r="K671" t="n">
        <v>0</v>
      </c>
      <c r="L671" t="n">
        <v>0</v>
      </c>
      <c r="M671" t="n">
        <v>0</v>
      </c>
      <c r="N671" t="n">
        <v>0</v>
      </c>
      <c r="O671" t="n">
        <v>0</v>
      </c>
      <c r="P671" t="n">
        <v>0</v>
      </c>
      <c r="Q671" t="n">
        <v>0</v>
      </c>
      <c r="R671" s="2" t="inlineStr"/>
    </row>
    <row r="672" ht="15" customHeight="1">
      <c r="A672" t="inlineStr">
        <is>
          <t>A 3660-2026</t>
        </is>
      </c>
      <c r="B672" s="1" t="n">
        <v>46043.38744212963</v>
      </c>
      <c r="C672" s="1" t="n">
        <v>46140</v>
      </c>
      <c r="D672" t="inlineStr">
        <is>
          <t>ÖREBRO LÄN</t>
        </is>
      </c>
      <c r="E672" t="inlineStr">
        <is>
          <t>LINDESBERG</t>
        </is>
      </c>
      <c r="G672" t="n">
        <v>3.4</v>
      </c>
      <c r="H672" t="n">
        <v>0</v>
      </c>
      <c r="I672" t="n">
        <v>0</v>
      </c>
      <c r="J672" t="n">
        <v>0</v>
      </c>
      <c r="K672" t="n">
        <v>0</v>
      </c>
      <c r="L672" t="n">
        <v>0</v>
      </c>
      <c r="M672" t="n">
        <v>0</v>
      </c>
      <c r="N672" t="n">
        <v>0</v>
      </c>
      <c r="O672" t="n">
        <v>0</v>
      </c>
      <c r="P672" t="n">
        <v>0</v>
      </c>
      <c r="Q672" t="n">
        <v>0</v>
      </c>
      <c r="R672" s="2" t="inlineStr"/>
    </row>
    <row r="673" ht="15" customHeight="1">
      <c r="A673" t="inlineStr">
        <is>
          <t>A 10836-2024</t>
        </is>
      </c>
      <c r="B673" s="1" t="n">
        <v>45369</v>
      </c>
      <c r="C673" s="1" t="n">
        <v>46140</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3659-2026</t>
        </is>
      </c>
      <c r="B674" s="1" t="n">
        <v>46043</v>
      </c>
      <c r="C674" s="1" t="n">
        <v>46140</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3951-2026</t>
        </is>
      </c>
      <c r="B675" s="1" t="n">
        <v>46044</v>
      </c>
      <c r="C675" s="1" t="n">
        <v>46140</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2414-2024</t>
        </is>
      </c>
      <c r="B676" s="1" t="n">
        <v>45310.87931712963</v>
      </c>
      <c r="C676" s="1" t="n">
        <v>46140</v>
      </c>
      <c r="D676" t="inlineStr">
        <is>
          <t>ÖREBRO LÄN</t>
        </is>
      </c>
      <c r="E676" t="inlineStr">
        <is>
          <t>LINDESBERG</t>
        </is>
      </c>
      <c r="G676" t="n">
        <v>7.2</v>
      </c>
      <c r="H676" t="n">
        <v>0</v>
      </c>
      <c r="I676" t="n">
        <v>0</v>
      </c>
      <c r="J676" t="n">
        <v>0</v>
      </c>
      <c r="K676" t="n">
        <v>0</v>
      </c>
      <c r="L676" t="n">
        <v>0</v>
      </c>
      <c r="M676" t="n">
        <v>0</v>
      </c>
      <c r="N676" t="n">
        <v>0</v>
      </c>
      <c r="O676" t="n">
        <v>0</v>
      </c>
      <c r="P676" t="n">
        <v>0</v>
      </c>
      <c r="Q676" t="n">
        <v>0</v>
      </c>
      <c r="R676" s="2" t="inlineStr"/>
    </row>
    <row r="677" ht="15" customHeight="1">
      <c r="A677" t="inlineStr">
        <is>
          <t>A 28463-2024</t>
        </is>
      </c>
      <c r="B677" s="1" t="n">
        <v>45477.70315972222</v>
      </c>
      <c r="C677" s="1" t="n">
        <v>46140</v>
      </c>
      <c r="D677" t="inlineStr">
        <is>
          <t>ÖREBRO LÄN</t>
        </is>
      </c>
      <c r="E677" t="inlineStr">
        <is>
          <t>LINDESBERG</t>
        </is>
      </c>
      <c r="G677" t="n">
        <v>6.3</v>
      </c>
      <c r="H677" t="n">
        <v>0</v>
      </c>
      <c r="I677" t="n">
        <v>0</v>
      </c>
      <c r="J677" t="n">
        <v>0</v>
      </c>
      <c r="K677" t="n">
        <v>0</v>
      </c>
      <c r="L677" t="n">
        <v>0</v>
      </c>
      <c r="M677" t="n">
        <v>0</v>
      </c>
      <c r="N677" t="n">
        <v>0</v>
      </c>
      <c r="O677" t="n">
        <v>0</v>
      </c>
      <c r="P677" t="n">
        <v>0</v>
      </c>
      <c r="Q677" t="n">
        <v>0</v>
      </c>
      <c r="R677" s="2" t="inlineStr"/>
    </row>
    <row r="678" ht="15" customHeight="1">
      <c r="A678" t="inlineStr">
        <is>
          <t>A 63668-2023</t>
        </is>
      </c>
      <c r="B678" s="1" t="n">
        <v>45274</v>
      </c>
      <c r="C678" s="1" t="n">
        <v>46140</v>
      </c>
      <c r="D678" t="inlineStr">
        <is>
          <t>ÖREBRO LÄN</t>
        </is>
      </c>
      <c r="E678" t="inlineStr">
        <is>
          <t>LINDESBERG</t>
        </is>
      </c>
      <c r="G678" t="n">
        <v>0.7</v>
      </c>
      <c r="H678" t="n">
        <v>0</v>
      </c>
      <c r="I678" t="n">
        <v>0</v>
      </c>
      <c r="J678" t="n">
        <v>0</v>
      </c>
      <c r="K678" t="n">
        <v>0</v>
      </c>
      <c r="L678" t="n">
        <v>0</v>
      </c>
      <c r="M678" t="n">
        <v>0</v>
      </c>
      <c r="N678" t="n">
        <v>0</v>
      </c>
      <c r="O678" t="n">
        <v>0</v>
      </c>
      <c r="P678" t="n">
        <v>0</v>
      </c>
      <c r="Q678" t="n">
        <v>0</v>
      </c>
      <c r="R678" s="2" t="inlineStr"/>
    </row>
    <row r="679" ht="15" customHeight="1">
      <c r="A679" t="inlineStr">
        <is>
          <t>A 8139-2023</t>
        </is>
      </c>
      <c r="B679" s="1" t="n">
        <v>44970</v>
      </c>
      <c r="C679" s="1" t="n">
        <v>46140</v>
      </c>
      <c r="D679" t="inlineStr">
        <is>
          <t>ÖREBRO LÄN</t>
        </is>
      </c>
      <c r="E679" t="inlineStr">
        <is>
          <t>LINDESBERG</t>
        </is>
      </c>
      <c r="G679" t="n">
        <v>3.6</v>
      </c>
      <c r="H679" t="n">
        <v>0</v>
      </c>
      <c r="I679" t="n">
        <v>0</v>
      </c>
      <c r="J679" t="n">
        <v>0</v>
      </c>
      <c r="K679" t="n">
        <v>0</v>
      </c>
      <c r="L679" t="n">
        <v>0</v>
      </c>
      <c r="M679" t="n">
        <v>0</v>
      </c>
      <c r="N679" t="n">
        <v>0</v>
      </c>
      <c r="O679" t="n">
        <v>0</v>
      </c>
      <c r="P679" t="n">
        <v>0</v>
      </c>
      <c r="Q679" t="n">
        <v>0</v>
      </c>
      <c r="R679" s="2" t="inlineStr"/>
    </row>
    <row r="680" ht="15" customHeight="1">
      <c r="A680" t="inlineStr">
        <is>
          <t>A 12276-2025</t>
        </is>
      </c>
      <c r="B680" s="1" t="n">
        <v>45729.65061342593</v>
      </c>
      <c r="C680" s="1" t="n">
        <v>46140</v>
      </c>
      <c r="D680" t="inlineStr">
        <is>
          <t>ÖREBRO LÄN</t>
        </is>
      </c>
      <c r="E680" t="inlineStr">
        <is>
          <t>LINDESBERG</t>
        </is>
      </c>
      <c r="G680" t="n">
        <v>7.6</v>
      </c>
      <c r="H680" t="n">
        <v>0</v>
      </c>
      <c r="I680" t="n">
        <v>0</v>
      </c>
      <c r="J680" t="n">
        <v>0</v>
      </c>
      <c r="K680" t="n">
        <v>0</v>
      </c>
      <c r="L680" t="n">
        <v>0</v>
      </c>
      <c r="M680" t="n">
        <v>0</v>
      </c>
      <c r="N680" t="n">
        <v>0</v>
      </c>
      <c r="O680" t="n">
        <v>0</v>
      </c>
      <c r="P680" t="n">
        <v>0</v>
      </c>
      <c r="Q680" t="n">
        <v>0</v>
      </c>
      <c r="R680" s="2" t="inlineStr"/>
    </row>
    <row r="681" ht="15" customHeight="1">
      <c r="A681" t="inlineStr">
        <is>
          <t>A 36291-2022</t>
        </is>
      </c>
      <c r="B681" s="1" t="n">
        <v>44803.64361111111</v>
      </c>
      <c r="C681" s="1" t="n">
        <v>46140</v>
      </c>
      <c r="D681" t="inlineStr">
        <is>
          <t>ÖREBRO LÄN</t>
        </is>
      </c>
      <c r="E681" t="inlineStr">
        <is>
          <t>LINDESBERG</t>
        </is>
      </c>
      <c r="G681" t="n">
        <v>3.8</v>
      </c>
      <c r="H681" t="n">
        <v>0</v>
      </c>
      <c r="I681" t="n">
        <v>0</v>
      </c>
      <c r="J681" t="n">
        <v>0</v>
      </c>
      <c r="K681" t="n">
        <v>0</v>
      </c>
      <c r="L681" t="n">
        <v>0</v>
      </c>
      <c r="M681" t="n">
        <v>0</v>
      </c>
      <c r="N681" t="n">
        <v>0</v>
      </c>
      <c r="O681" t="n">
        <v>0</v>
      </c>
      <c r="P681" t="n">
        <v>0</v>
      </c>
      <c r="Q681" t="n">
        <v>0</v>
      </c>
      <c r="R681" s="2" t="inlineStr"/>
    </row>
    <row r="682" ht="15" customHeight="1">
      <c r="A682" t="inlineStr">
        <is>
          <t>A 61597-2023</t>
        </is>
      </c>
      <c r="B682" s="1" t="n">
        <v>45265.49225694445</v>
      </c>
      <c r="C682" s="1" t="n">
        <v>46140</v>
      </c>
      <c r="D682" t="inlineStr">
        <is>
          <t>ÖREBRO LÄN</t>
        </is>
      </c>
      <c r="E682" t="inlineStr">
        <is>
          <t>LINDESBERG</t>
        </is>
      </c>
      <c r="G682" t="n">
        <v>10.3</v>
      </c>
      <c r="H682" t="n">
        <v>0</v>
      </c>
      <c r="I682" t="n">
        <v>0</v>
      </c>
      <c r="J682" t="n">
        <v>0</v>
      </c>
      <c r="K682" t="n">
        <v>0</v>
      </c>
      <c r="L682" t="n">
        <v>0</v>
      </c>
      <c r="M682" t="n">
        <v>0</v>
      </c>
      <c r="N682" t="n">
        <v>0</v>
      </c>
      <c r="O682" t="n">
        <v>0</v>
      </c>
      <c r="P682" t="n">
        <v>0</v>
      </c>
      <c r="Q682" t="n">
        <v>0</v>
      </c>
      <c r="R682" s="2" t="inlineStr"/>
    </row>
    <row r="683" ht="15" customHeight="1">
      <c r="A683" t="inlineStr">
        <is>
          <t>A 62968-2023</t>
        </is>
      </c>
      <c r="B683" s="1" t="n">
        <v>45272.57385416667</v>
      </c>
      <c r="C683" s="1" t="n">
        <v>46140</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5235-2026</t>
        </is>
      </c>
      <c r="B684" s="1" t="n">
        <v>46049.84017361111</v>
      </c>
      <c r="C684" s="1" t="n">
        <v>46140</v>
      </c>
      <c r="D684" t="inlineStr">
        <is>
          <t>ÖREBRO LÄN</t>
        </is>
      </c>
      <c r="E684" t="inlineStr">
        <is>
          <t>LINDESBERG</t>
        </is>
      </c>
      <c r="G684" t="n">
        <v>4.8</v>
      </c>
      <c r="H684" t="n">
        <v>0</v>
      </c>
      <c r="I684" t="n">
        <v>0</v>
      </c>
      <c r="J684" t="n">
        <v>0</v>
      </c>
      <c r="K684" t="n">
        <v>0</v>
      </c>
      <c r="L684" t="n">
        <v>0</v>
      </c>
      <c r="M684" t="n">
        <v>0</v>
      </c>
      <c r="N684" t="n">
        <v>0</v>
      </c>
      <c r="O684" t="n">
        <v>0</v>
      </c>
      <c r="P684" t="n">
        <v>0</v>
      </c>
      <c r="Q684" t="n">
        <v>0</v>
      </c>
      <c r="R684" s="2" t="inlineStr"/>
    </row>
    <row r="685" ht="15" customHeight="1">
      <c r="A685" t="inlineStr">
        <is>
          <t>A 24270-2023</t>
        </is>
      </c>
      <c r="B685" s="1" t="n">
        <v>45079</v>
      </c>
      <c r="C685" s="1" t="n">
        <v>46140</v>
      </c>
      <c r="D685" t="inlineStr">
        <is>
          <t>ÖREBRO LÄN</t>
        </is>
      </c>
      <c r="E685" t="inlineStr">
        <is>
          <t>LINDESBERG</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24271-2023</t>
        </is>
      </c>
      <c r="B686" s="1" t="n">
        <v>45079</v>
      </c>
      <c r="C686" s="1" t="n">
        <v>46140</v>
      </c>
      <c r="D686" t="inlineStr">
        <is>
          <t>ÖREBRO LÄN</t>
        </is>
      </c>
      <c r="E686" t="inlineStr">
        <is>
          <t>LINDESBERG</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62866-2023</t>
        </is>
      </c>
      <c r="B687" s="1" t="n">
        <v>45272.36168981482</v>
      </c>
      <c r="C687" s="1" t="n">
        <v>46140</v>
      </c>
      <c r="D687" t="inlineStr">
        <is>
          <t>ÖREBRO LÄN</t>
        </is>
      </c>
      <c r="E687" t="inlineStr">
        <is>
          <t>LINDESBERG</t>
        </is>
      </c>
      <c r="G687" t="n">
        <v>14.5</v>
      </c>
      <c r="H687" t="n">
        <v>0</v>
      </c>
      <c r="I687" t="n">
        <v>0</v>
      </c>
      <c r="J687" t="n">
        <v>0</v>
      </c>
      <c r="K687" t="n">
        <v>0</v>
      </c>
      <c r="L687" t="n">
        <v>0</v>
      </c>
      <c r="M687" t="n">
        <v>0</v>
      </c>
      <c r="N687" t="n">
        <v>0</v>
      </c>
      <c r="O687" t="n">
        <v>0</v>
      </c>
      <c r="P687" t="n">
        <v>0</v>
      </c>
      <c r="Q687" t="n">
        <v>0</v>
      </c>
      <c r="R687" s="2" t="inlineStr"/>
    </row>
    <row r="688" ht="15" customHeight="1">
      <c r="A688" t="inlineStr">
        <is>
          <t>A 13416-2025</t>
        </is>
      </c>
      <c r="B688" s="1" t="n">
        <v>45736.308125</v>
      </c>
      <c r="C688" s="1" t="n">
        <v>46140</v>
      </c>
      <c r="D688" t="inlineStr">
        <is>
          <t>ÖREBRO LÄN</t>
        </is>
      </c>
      <c r="E688" t="inlineStr">
        <is>
          <t>LINDESBERG</t>
        </is>
      </c>
      <c r="G688" t="n">
        <v>2.2</v>
      </c>
      <c r="H688" t="n">
        <v>0</v>
      </c>
      <c r="I688" t="n">
        <v>0</v>
      </c>
      <c r="J688" t="n">
        <v>0</v>
      </c>
      <c r="K688" t="n">
        <v>0</v>
      </c>
      <c r="L688" t="n">
        <v>0</v>
      </c>
      <c r="M688" t="n">
        <v>0</v>
      </c>
      <c r="N688" t="n">
        <v>0</v>
      </c>
      <c r="O688" t="n">
        <v>0</v>
      </c>
      <c r="P688" t="n">
        <v>0</v>
      </c>
      <c r="Q688" t="n">
        <v>0</v>
      </c>
      <c r="R688" s="2" t="inlineStr"/>
    </row>
    <row r="689" ht="15" customHeight="1">
      <c r="A689" t="inlineStr">
        <is>
          <t>A 4013-2025</t>
        </is>
      </c>
      <c r="B689" s="1" t="n">
        <v>45684.5790162037</v>
      </c>
      <c r="C689" s="1" t="n">
        <v>46140</v>
      </c>
      <c r="D689" t="inlineStr">
        <is>
          <t>ÖREBRO LÄN</t>
        </is>
      </c>
      <c r="E689" t="inlineStr">
        <is>
          <t>LINDESBERG</t>
        </is>
      </c>
      <c r="G689" t="n">
        <v>0.9</v>
      </c>
      <c r="H689" t="n">
        <v>0</v>
      </c>
      <c r="I689" t="n">
        <v>0</v>
      </c>
      <c r="J689" t="n">
        <v>0</v>
      </c>
      <c r="K689" t="n">
        <v>0</v>
      </c>
      <c r="L689" t="n">
        <v>0</v>
      </c>
      <c r="M689" t="n">
        <v>0</v>
      </c>
      <c r="N689" t="n">
        <v>0</v>
      </c>
      <c r="O689" t="n">
        <v>0</v>
      </c>
      <c r="P689" t="n">
        <v>0</v>
      </c>
      <c r="Q689" t="n">
        <v>0</v>
      </c>
      <c r="R689" s="2" t="inlineStr"/>
    </row>
    <row r="690" ht="15" customHeight="1">
      <c r="A690" t="inlineStr">
        <is>
          <t>A 5715-2026</t>
        </is>
      </c>
      <c r="B690" s="1" t="n">
        <v>46051.53563657407</v>
      </c>
      <c r="C690" s="1" t="n">
        <v>46140</v>
      </c>
      <c r="D690" t="inlineStr">
        <is>
          <t>ÖREBRO LÄN</t>
        </is>
      </c>
      <c r="E690" t="inlineStr">
        <is>
          <t>LINDESBERG</t>
        </is>
      </c>
      <c r="G690" t="n">
        <v>0.7</v>
      </c>
      <c r="H690" t="n">
        <v>0</v>
      </c>
      <c r="I690" t="n">
        <v>0</v>
      </c>
      <c r="J690" t="n">
        <v>0</v>
      </c>
      <c r="K690" t="n">
        <v>0</v>
      </c>
      <c r="L690" t="n">
        <v>0</v>
      </c>
      <c r="M690" t="n">
        <v>0</v>
      </c>
      <c r="N690" t="n">
        <v>0</v>
      </c>
      <c r="O690" t="n">
        <v>0</v>
      </c>
      <c r="P690" t="n">
        <v>0</v>
      </c>
      <c r="Q690" t="n">
        <v>0</v>
      </c>
      <c r="R690" s="2" t="inlineStr"/>
    </row>
    <row r="691" ht="15" customHeight="1">
      <c r="A691" t="inlineStr">
        <is>
          <t>A 44803-2024</t>
        </is>
      </c>
      <c r="B691" s="1" t="n">
        <v>45574.65087962963</v>
      </c>
      <c r="C691" s="1" t="n">
        <v>46140</v>
      </c>
      <c r="D691" t="inlineStr">
        <is>
          <t>ÖREBRO LÄN</t>
        </is>
      </c>
      <c r="E691" t="inlineStr">
        <is>
          <t>LINDESBERG</t>
        </is>
      </c>
      <c r="F691" t="inlineStr">
        <is>
          <t>Sveaskog</t>
        </is>
      </c>
      <c r="G691" t="n">
        <v>6.8</v>
      </c>
      <c r="H691" t="n">
        <v>0</v>
      </c>
      <c r="I691" t="n">
        <v>0</v>
      </c>
      <c r="J691" t="n">
        <v>0</v>
      </c>
      <c r="K691" t="n">
        <v>0</v>
      </c>
      <c r="L691" t="n">
        <v>0</v>
      </c>
      <c r="M691" t="n">
        <v>0</v>
      </c>
      <c r="N691" t="n">
        <v>0</v>
      </c>
      <c r="O691" t="n">
        <v>0</v>
      </c>
      <c r="P691" t="n">
        <v>0</v>
      </c>
      <c r="Q691" t="n">
        <v>0</v>
      </c>
      <c r="R691" s="2" t="inlineStr"/>
    </row>
    <row r="692" ht="15" customHeight="1">
      <c r="A692" t="inlineStr">
        <is>
          <t>A 5928-2026</t>
        </is>
      </c>
      <c r="B692" s="1" t="n">
        <v>46052.46519675926</v>
      </c>
      <c r="C692" s="1" t="n">
        <v>46140</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5717-2026</t>
        </is>
      </c>
      <c r="B693" s="1" t="n">
        <v>46051.53689814815</v>
      </c>
      <c r="C693" s="1" t="n">
        <v>46140</v>
      </c>
      <c r="D693" t="inlineStr">
        <is>
          <t>ÖREBRO LÄN</t>
        </is>
      </c>
      <c r="E693" t="inlineStr">
        <is>
          <t>LINDESBERG</t>
        </is>
      </c>
      <c r="G693" t="n">
        <v>6</v>
      </c>
      <c r="H693" t="n">
        <v>0</v>
      </c>
      <c r="I693" t="n">
        <v>0</v>
      </c>
      <c r="J693" t="n">
        <v>0</v>
      </c>
      <c r="K693" t="n">
        <v>0</v>
      </c>
      <c r="L693" t="n">
        <v>0</v>
      </c>
      <c r="M693" t="n">
        <v>0</v>
      </c>
      <c r="N693" t="n">
        <v>0</v>
      </c>
      <c r="O693" t="n">
        <v>0</v>
      </c>
      <c r="P693" t="n">
        <v>0</v>
      </c>
      <c r="Q693" t="n">
        <v>0</v>
      </c>
      <c r="R693" s="2" t="inlineStr"/>
    </row>
    <row r="694" ht="15" customHeight="1">
      <c r="A694" t="inlineStr">
        <is>
          <t>A 14034-2026</t>
        </is>
      </c>
      <c r="B694" s="1" t="n">
        <v>46098.79559027778</v>
      </c>
      <c r="C694" s="1" t="n">
        <v>46140</v>
      </c>
      <c r="D694" t="inlineStr">
        <is>
          <t>ÖREBRO LÄN</t>
        </is>
      </c>
      <c r="E694" t="inlineStr">
        <is>
          <t>LINDESBERG</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6520-2026</t>
        </is>
      </c>
      <c r="B695" s="1" t="n">
        <v>46056.40149305556</v>
      </c>
      <c r="C695" s="1" t="n">
        <v>46140</v>
      </c>
      <c r="D695" t="inlineStr">
        <is>
          <t>ÖREBRO LÄN</t>
        </is>
      </c>
      <c r="E695" t="inlineStr">
        <is>
          <t>LINDESBERG</t>
        </is>
      </c>
      <c r="G695" t="n">
        <v>2.2</v>
      </c>
      <c r="H695" t="n">
        <v>0</v>
      </c>
      <c r="I695" t="n">
        <v>0</v>
      </c>
      <c r="J695" t="n">
        <v>0</v>
      </c>
      <c r="K695" t="n">
        <v>0</v>
      </c>
      <c r="L695" t="n">
        <v>0</v>
      </c>
      <c r="M695" t="n">
        <v>0</v>
      </c>
      <c r="N695" t="n">
        <v>0</v>
      </c>
      <c r="O695" t="n">
        <v>0</v>
      </c>
      <c r="P695" t="n">
        <v>0</v>
      </c>
      <c r="Q695" t="n">
        <v>0</v>
      </c>
      <c r="R695" s="2" t="inlineStr"/>
    </row>
    <row r="696" ht="15" customHeight="1">
      <c r="A696" t="inlineStr">
        <is>
          <t>A 6524-2026</t>
        </is>
      </c>
      <c r="B696" s="1" t="n">
        <v>46056.40425925926</v>
      </c>
      <c r="C696" s="1" t="n">
        <v>46140</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6616-2026</t>
        </is>
      </c>
      <c r="B697" s="1" t="n">
        <v>46056.49075231481</v>
      </c>
      <c r="C697" s="1" t="n">
        <v>46140</v>
      </c>
      <c r="D697" t="inlineStr">
        <is>
          <t>ÖREBRO LÄN</t>
        </is>
      </c>
      <c r="E697" t="inlineStr">
        <is>
          <t>LINDESBERG</t>
        </is>
      </c>
      <c r="G697" t="n">
        <v>9</v>
      </c>
      <c r="H697" t="n">
        <v>0</v>
      </c>
      <c r="I697" t="n">
        <v>0</v>
      </c>
      <c r="J697" t="n">
        <v>0</v>
      </c>
      <c r="K697" t="n">
        <v>0</v>
      </c>
      <c r="L697" t="n">
        <v>0</v>
      </c>
      <c r="M697" t="n">
        <v>0</v>
      </c>
      <c r="N697" t="n">
        <v>0</v>
      </c>
      <c r="O697" t="n">
        <v>0</v>
      </c>
      <c r="P697" t="n">
        <v>0</v>
      </c>
      <c r="Q697" t="n">
        <v>0</v>
      </c>
      <c r="R697" s="2" t="inlineStr"/>
    </row>
    <row r="698" ht="15" customHeight="1">
      <c r="A698" t="inlineStr">
        <is>
          <t>A 27130-2024</t>
        </is>
      </c>
      <c r="B698" s="1" t="n">
        <v>45471.52072916667</v>
      </c>
      <c r="C698" s="1" t="n">
        <v>46140</v>
      </c>
      <c r="D698" t="inlineStr">
        <is>
          <t>ÖREBRO LÄN</t>
        </is>
      </c>
      <c r="E698" t="inlineStr">
        <is>
          <t>LINDESBERG</t>
        </is>
      </c>
      <c r="G698" t="n">
        <v>2</v>
      </c>
      <c r="H698" t="n">
        <v>0</v>
      </c>
      <c r="I698" t="n">
        <v>0</v>
      </c>
      <c r="J698" t="n">
        <v>0</v>
      </c>
      <c r="K698" t="n">
        <v>0</v>
      </c>
      <c r="L698" t="n">
        <v>0</v>
      </c>
      <c r="M698" t="n">
        <v>0</v>
      </c>
      <c r="N698" t="n">
        <v>0</v>
      </c>
      <c r="O698" t="n">
        <v>0</v>
      </c>
      <c r="P698" t="n">
        <v>0</v>
      </c>
      <c r="Q698" t="n">
        <v>0</v>
      </c>
      <c r="R698" s="2" t="inlineStr"/>
    </row>
    <row r="699" ht="15" customHeight="1">
      <c r="A699" t="inlineStr">
        <is>
          <t>A 59804-2023</t>
        </is>
      </c>
      <c r="B699" s="1" t="n">
        <v>45257.48188657407</v>
      </c>
      <c r="C699" s="1" t="n">
        <v>46140</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27434-2023</t>
        </is>
      </c>
      <c r="B700" s="1" t="n">
        <v>45097.38688657407</v>
      </c>
      <c r="C700" s="1" t="n">
        <v>46140</v>
      </c>
      <c r="D700" t="inlineStr">
        <is>
          <t>ÖREBRO LÄN</t>
        </is>
      </c>
      <c r="E700" t="inlineStr">
        <is>
          <t>LINDESBERG</t>
        </is>
      </c>
      <c r="G700" t="n">
        <v>10.7</v>
      </c>
      <c r="H700" t="n">
        <v>0</v>
      </c>
      <c r="I700" t="n">
        <v>0</v>
      </c>
      <c r="J700" t="n">
        <v>0</v>
      </c>
      <c r="K700" t="n">
        <v>0</v>
      </c>
      <c r="L700" t="n">
        <v>0</v>
      </c>
      <c r="M700" t="n">
        <v>0</v>
      </c>
      <c r="N700" t="n">
        <v>0</v>
      </c>
      <c r="O700" t="n">
        <v>0</v>
      </c>
      <c r="P700" t="n">
        <v>0</v>
      </c>
      <c r="Q700" t="n">
        <v>0</v>
      </c>
      <c r="R700" s="2" t="inlineStr"/>
    </row>
    <row r="701" ht="15" customHeight="1">
      <c r="A701" t="inlineStr">
        <is>
          <t>A 45060-2024</t>
        </is>
      </c>
      <c r="B701" s="1" t="n">
        <v>45575.55570601852</v>
      </c>
      <c r="C701" s="1" t="n">
        <v>46140</v>
      </c>
      <c r="D701" t="inlineStr">
        <is>
          <t>ÖREBRO LÄN</t>
        </is>
      </c>
      <c r="E701" t="inlineStr">
        <is>
          <t>LINDESBERG</t>
        </is>
      </c>
      <c r="F701" t="inlineStr">
        <is>
          <t>Sveaskog</t>
        </is>
      </c>
      <c r="G701" t="n">
        <v>4.6</v>
      </c>
      <c r="H701" t="n">
        <v>0</v>
      </c>
      <c r="I701" t="n">
        <v>0</v>
      </c>
      <c r="J701" t="n">
        <v>0</v>
      </c>
      <c r="K701" t="n">
        <v>0</v>
      </c>
      <c r="L701" t="n">
        <v>0</v>
      </c>
      <c r="M701" t="n">
        <v>0</v>
      </c>
      <c r="N701" t="n">
        <v>0</v>
      </c>
      <c r="O701" t="n">
        <v>0</v>
      </c>
      <c r="P701" t="n">
        <v>0</v>
      </c>
      <c r="Q701" t="n">
        <v>0</v>
      </c>
      <c r="R701" s="2" t="inlineStr"/>
    </row>
    <row r="702" ht="15" customHeight="1">
      <c r="A702" t="inlineStr">
        <is>
          <t>A 72706-2021</t>
        </is>
      </c>
      <c r="B702" s="1" t="n">
        <v>44546.67222222222</v>
      </c>
      <c r="C702" s="1" t="n">
        <v>46140</v>
      </c>
      <c r="D702" t="inlineStr">
        <is>
          <t>ÖREBRO LÄN</t>
        </is>
      </c>
      <c r="E702" t="inlineStr">
        <is>
          <t>LINDESBERG</t>
        </is>
      </c>
      <c r="G702" t="n">
        <v>1.7</v>
      </c>
      <c r="H702" t="n">
        <v>0</v>
      </c>
      <c r="I702" t="n">
        <v>0</v>
      </c>
      <c r="J702" t="n">
        <v>0</v>
      </c>
      <c r="K702" t="n">
        <v>0</v>
      </c>
      <c r="L702" t="n">
        <v>0</v>
      </c>
      <c r="M702" t="n">
        <v>0</v>
      </c>
      <c r="N702" t="n">
        <v>0</v>
      </c>
      <c r="O702" t="n">
        <v>0</v>
      </c>
      <c r="P702" t="n">
        <v>0</v>
      </c>
      <c r="Q702" t="n">
        <v>0</v>
      </c>
      <c r="R702" s="2" t="inlineStr"/>
    </row>
    <row r="703" ht="15" customHeight="1">
      <c r="A703" t="inlineStr">
        <is>
          <t>A 7069-2026</t>
        </is>
      </c>
      <c r="B703" s="1" t="n">
        <v>46058.30956018518</v>
      </c>
      <c r="C703" s="1" t="n">
        <v>46140</v>
      </c>
      <c r="D703" t="inlineStr">
        <is>
          <t>ÖREBRO LÄN</t>
        </is>
      </c>
      <c r="E703" t="inlineStr">
        <is>
          <t>LINDESBERG</t>
        </is>
      </c>
      <c r="G703" t="n">
        <v>0.9</v>
      </c>
      <c r="H703" t="n">
        <v>0</v>
      </c>
      <c r="I703" t="n">
        <v>0</v>
      </c>
      <c r="J703" t="n">
        <v>0</v>
      </c>
      <c r="K703" t="n">
        <v>0</v>
      </c>
      <c r="L703" t="n">
        <v>0</v>
      </c>
      <c r="M703" t="n">
        <v>0</v>
      </c>
      <c r="N703" t="n">
        <v>0</v>
      </c>
      <c r="O703" t="n">
        <v>0</v>
      </c>
      <c r="P703" t="n">
        <v>0</v>
      </c>
      <c r="Q703" t="n">
        <v>0</v>
      </c>
      <c r="R703" s="2" t="inlineStr"/>
    </row>
    <row r="704" ht="15" customHeight="1">
      <c r="A704" t="inlineStr">
        <is>
          <t>A 53366-2023</t>
        </is>
      </c>
      <c r="B704" s="1" t="n">
        <v>45229</v>
      </c>
      <c r="C704" s="1" t="n">
        <v>46140</v>
      </c>
      <c r="D704" t="inlineStr">
        <is>
          <t>ÖREBRO LÄN</t>
        </is>
      </c>
      <c r="E704" t="inlineStr">
        <is>
          <t>LINDESBERG</t>
        </is>
      </c>
      <c r="G704" t="n">
        <v>1.9</v>
      </c>
      <c r="H704" t="n">
        <v>0</v>
      </c>
      <c r="I704" t="n">
        <v>0</v>
      </c>
      <c r="J704" t="n">
        <v>0</v>
      </c>
      <c r="K704" t="n">
        <v>0</v>
      </c>
      <c r="L704" t="n">
        <v>0</v>
      </c>
      <c r="M704" t="n">
        <v>0</v>
      </c>
      <c r="N704" t="n">
        <v>0</v>
      </c>
      <c r="O704" t="n">
        <v>0</v>
      </c>
      <c r="P704" t="n">
        <v>0</v>
      </c>
      <c r="Q704" t="n">
        <v>0</v>
      </c>
      <c r="R704" s="2" t="inlineStr"/>
    </row>
    <row r="705" ht="15" customHeight="1">
      <c r="A705" t="inlineStr">
        <is>
          <t>A 7098-2026</t>
        </is>
      </c>
      <c r="B705" s="1" t="n">
        <v>46058.35196759259</v>
      </c>
      <c r="C705" s="1" t="n">
        <v>46140</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19219-2023</t>
        </is>
      </c>
      <c r="B706" s="1" t="n">
        <v>45048</v>
      </c>
      <c r="C706" s="1" t="n">
        <v>46140</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19043-2023</t>
        </is>
      </c>
      <c r="B707" s="1" t="n">
        <v>45047.7181712963</v>
      </c>
      <c r="C707" s="1" t="n">
        <v>46140</v>
      </c>
      <c r="D707" t="inlineStr">
        <is>
          <t>ÖREBRO LÄN</t>
        </is>
      </c>
      <c r="E707" t="inlineStr">
        <is>
          <t>LINDESBERG</t>
        </is>
      </c>
      <c r="G707" t="n">
        <v>2.6</v>
      </c>
      <c r="H707" t="n">
        <v>0</v>
      </c>
      <c r="I707" t="n">
        <v>0</v>
      </c>
      <c r="J707" t="n">
        <v>0</v>
      </c>
      <c r="K707" t="n">
        <v>0</v>
      </c>
      <c r="L707" t="n">
        <v>0</v>
      </c>
      <c r="M707" t="n">
        <v>0</v>
      </c>
      <c r="N707" t="n">
        <v>0</v>
      </c>
      <c r="O707" t="n">
        <v>0</v>
      </c>
      <c r="P707" t="n">
        <v>0</v>
      </c>
      <c r="Q707" t="n">
        <v>0</v>
      </c>
      <c r="R707" s="2" t="inlineStr"/>
    </row>
    <row r="708" ht="15" customHeight="1">
      <c r="A708" t="inlineStr">
        <is>
          <t>A 3756-2026</t>
        </is>
      </c>
      <c r="B708" s="1" t="n">
        <v>46043</v>
      </c>
      <c r="C708" s="1" t="n">
        <v>46140</v>
      </c>
      <c r="D708" t="inlineStr">
        <is>
          <t>ÖREBRO LÄN</t>
        </is>
      </c>
      <c r="E708" t="inlineStr">
        <is>
          <t>LINDESBERG</t>
        </is>
      </c>
      <c r="G708" t="n">
        <v>6.3</v>
      </c>
      <c r="H708" t="n">
        <v>0</v>
      </c>
      <c r="I708" t="n">
        <v>0</v>
      </c>
      <c r="J708" t="n">
        <v>0</v>
      </c>
      <c r="K708" t="n">
        <v>0</v>
      </c>
      <c r="L708" t="n">
        <v>0</v>
      </c>
      <c r="M708" t="n">
        <v>0</v>
      </c>
      <c r="N708" t="n">
        <v>0</v>
      </c>
      <c r="O708" t="n">
        <v>0</v>
      </c>
      <c r="P708" t="n">
        <v>0</v>
      </c>
      <c r="Q708" t="n">
        <v>0</v>
      </c>
      <c r="R708" s="2" t="inlineStr"/>
    </row>
    <row r="709" ht="15" customHeight="1">
      <c r="A709" t="inlineStr">
        <is>
          <t>A 27031-2024</t>
        </is>
      </c>
      <c r="B709" s="1" t="n">
        <v>45471.42659722222</v>
      </c>
      <c r="C709" s="1" t="n">
        <v>46140</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7202-2026</t>
        </is>
      </c>
      <c r="B710" s="1" t="n">
        <v>46058.52864583334</v>
      </c>
      <c r="C710" s="1" t="n">
        <v>46140</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38696-2024</t>
        </is>
      </c>
      <c r="B711" s="1" t="n">
        <v>45547.36590277778</v>
      </c>
      <c r="C711" s="1" t="n">
        <v>46140</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54663-2021</t>
        </is>
      </c>
      <c r="B712" s="1" t="n">
        <v>44473.6343287037</v>
      </c>
      <c r="C712" s="1" t="n">
        <v>46140</v>
      </c>
      <c r="D712" t="inlineStr">
        <is>
          <t>ÖREBRO LÄN</t>
        </is>
      </c>
      <c r="E712" t="inlineStr">
        <is>
          <t>LINDESBERG</t>
        </is>
      </c>
      <c r="G712" t="n">
        <v>1.2</v>
      </c>
      <c r="H712" t="n">
        <v>0</v>
      </c>
      <c r="I712" t="n">
        <v>0</v>
      </c>
      <c r="J712" t="n">
        <v>0</v>
      </c>
      <c r="K712" t="n">
        <v>0</v>
      </c>
      <c r="L712" t="n">
        <v>0</v>
      </c>
      <c r="M712" t="n">
        <v>0</v>
      </c>
      <c r="N712" t="n">
        <v>0</v>
      </c>
      <c r="O712" t="n">
        <v>0</v>
      </c>
      <c r="P712" t="n">
        <v>0</v>
      </c>
      <c r="Q712" t="n">
        <v>0</v>
      </c>
      <c r="R712" s="2" t="inlineStr"/>
    </row>
    <row r="713" ht="15" customHeight="1">
      <c r="A713" t="inlineStr">
        <is>
          <t>A 6989-2026</t>
        </is>
      </c>
      <c r="B713" s="1" t="n">
        <v>46057.60342592592</v>
      </c>
      <c r="C713" s="1" t="n">
        <v>46140</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7121-2026</t>
        </is>
      </c>
      <c r="B714" s="1" t="n">
        <v>46058.38300925926</v>
      </c>
      <c r="C714" s="1" t="n">
        <v>46140</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32262-2021</t>
        </is>
      </c>
      <c r="B715" s="1" t="n">
        <v>44371.47609953704</v>
      </c>
      <c r="C715" s="1" t="n">
        <v>46140</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48265-2021</t>
        </is>
      </c>
      <c r="B716" s="1" t="n">
        <v>44449</v>
      </c>
      <c r="C716" s="1" t="n">
        <v>46140</v>
      </c>
      <c r="D716" t="inlineStr">
        <is>
          <t>ÖREBRO LÄN</t>
        </is>
      </c>
      <c r="E716" t="inlineStr">
        <is>
          <t>LINDESBERG</t>
        </is>
      </c>
      <c r="G716" t="n">
        <v>23.7</v>
      </c>
      <c r="H716" t="n">
        <v>0</v>
      </c>
      <c r="I716" t="n">
        <v>0</v>
      </c>
      <c r="J716" t="n">
        <v>0</v>
      </c>
      <c r="K716" t="n">
        <v>0</v>
      </c>
      <c r="L716" t="n">
        <v>0</v>
      </c>
      <c r="M716" t="n">
        <v>0</v>
      </c>
      <c r="N716" t="n">
        <v>0</v>
      </c>
      <c r="O716" t="n">
        <v>0</v>
      </c>
      <c r="P716" t="n">
        <v>0</v>
      </c>
      <c r="Q716" t="n">
        <v>0</v>
      </c>
      <c r="R716" s="2" t="inlineStr"/>
    </row>
    <row r="717" ht="15" customHeight="1">
      <c r="A717" t="inlineStr">
        <is>
          <t>A 14028-2023</t>
        </is>
      </c>
      <c r="B717" s="1" t="n">
        <v>45008</v>
      </c>
      <c r="C717" s="1" t="n">
        <v>46140</v>
      </c>
      <c r="D717" t="inlineStr">
        <is>
          <t>ÖREBRO LÄN</t>
        </is>
      </c>
      <c r="E717" t="inlineStr">
        <is>
          <t>LINDESBERG</t>
        </is>
      </c>
      <c r="F717" t="inlineStr">
        <is>
          <t>Kyrkan</t>
        </is>
      </c>
      <c r="G717" t="n">
        <v>1.1</v>
      </c>
      <c r="H717" t="n">
        <v>0</v>
      </c>
      <c r="I717" t="n">
        <v>0</v>
      </c>
      <c r="J717" t="n">
        <v>0</v>
      </c>
      <c r="K717" t="n">
        <v>0</v>
      </c>
      <c r="L717" t="n">
        <v>0</v>
      </c>
      <c r="M717" t="n">
        <v>0</v>
      </c>
      <c r="N717" t="n">
        <v>0</v>
      </c>
      <c r="O717" t="n">
        <v>0</v>
      </c>
      <c r="P717" t="n">
        <v>0</v>
      </c>
      <c r="Q717" t="n">
        <v>0</v>
      </c>
      <c r="R717" s="2" t="inlineStr"/>
    </row>
    <row r="718" ht="15" customHeight="1">
      <c r="A718" t="inlineStr">
        <is>
          <t>A 15050-2026</t>
        </is>
      </c>
      <c r="B718" s="1" t="n">
        <v>46104.67331018519</v>
      </c>
      <c r="C718" s="1" t="n">
        <v>46140</v>
      </c>
      <c r="D718" t="inlineStr">
        <is>
          <t>ÖREBRO LÄN</t>
        </is>
      </c>
      <c r="E718" t="inlineStr">
        <is>
          <t>LINDESBERG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14680-2026</t>
        </is>
      </c>
      <c r="B719" s="1" t="n">
        <v>46101.48212962963</v>
      </c>
      <c r="C719" s="1" t="n">
        <v>46140</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57069-2022</t>
        </is>
      </c>
      <c r="B720" s="1" t="n">
        <v>44895</v>
      </c>
      <c r="C720" s="1" t="n">
        <v>46140</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61405-2022</t>
        </is>
      </c>
      <c r="B721" s="1" t="n">
        <v>44916</v>
      </c>
      <c r="C721" s="1" t="n">
        <v>46140</v>
      </c>
      <c r="D721" t="inlineStr">
        <is>
          <t>ÖREBRO LÄN</t>
        </is>
      </c>
      <c r="E721" t="inlineStr">
        <is>
          <t>LINDESBERG</t>
        </is>
      </c>
      <c r="G721" t="n">
        <v>4.4</v>
      </c>
      <c r="H721" t="n">
        <v>0</v>
      </c>
      <c r="I721" t="n">
        <v>0</v>
      </c>
      <c r="J721" t="n">
        <v>0</v>
      </c>
      <c r="K721" t="n">
        <v>0</v>
      </c>
      <c r="L721" t="n">
        <v>0</v>
      </c>
      <c r="M721" t="n">
        <v>0</v>
      </c>
      <c r="N721" t="n">
        <v>0</v>
      </c>
      <c r="O721" t="n">
        <v>0</v>
      </c>
      <c r="P721" t="n">
        <v>0</v>
      </c>
      <c r="Q721" t="n">
        <v>0</v>
      </c>
      <c r="R721" s="2" t="inlineStr"/>
    </row>
    <row r="722" ht="15" customHeight="1">
      <c r="A722" t="inlineStr">
        <is>
          <t>A 9961-2023</t>
        </is>
      </c>
      <c r="B722" s="1" t="n">
        <v>44979</v>
      </c>
      <c r="C722" s="1" t="n">
        <v>46140</v>
      </c>
      <c r="D722" t="inlineStr">
        <is>
          <t>ÖREBRO LÄN</t>
        </is>
      </c>
      <c r="E722" t="inlineStr">
        <is>
          <t>LINDESBERG</t>
        </is>
      </c>
      <c r="G722" t="n">
        <v>4.8</v>
      </c>
      <c r="H722" t="n">
        <v>0</v>
      </c>
      <c r="I722" t="n">
        <v>0</v>
      </c>
      <c r="J722" t="n">
        <v>0</v>
      </c>
      <c r="K722" t="n">
        <v>0</v>
      </c>
      <c r="L722" t="n">
        <v>0</v>
      </c>
      <c r="M722" t="n">
        <v>0</v>
      </c>
      <c r="N722" t="n">
        <v>0</v>
      </c>
      <c r="O722" t="n">
        <v>0</v>
      </c>
      <c r="P722" t="n">
        <v>0</v>
      </c>
      <c r="Q722" t="n">
        <v>0</v>
      </c>
      <c r="R722" s="2" t="inlineStr"/>
    </row>
    <row r="723" ht="15" customHeight="1">
      <c r="A723" t="inlineStr">
        <is>
          <t>A 45041-2024</t>
        </is>
      </c>
      <c r="B723" s="1" t="n">
        <v>45575.53690972222</v>
      </c>
      <c r="C723" s="1" t="n">
        <v>46140</v>
      </c>
      <c r="D723" t="inlineStr">
        <is>
          <t>ÖREBRO LÄN</t>
        </is>
      </c>
      <c r="E723" t="inlineStr">
        <is>
          <t>LINDESBERG</t>
        </is>
      </c>
      <c r="F723" t="inlineStr">
        <is>
          <t>Sveaskog</t>
        </is>
      </c>
      <c r="G723" t="n">
        <v>0.3</v>
      </c>
      <c r="H723" t="n">
        <v>0</v>
      </c>
      <c r="I723" t="n">
        <v>0</v>
      </c>
      <c r="J723" t="n">
        <v>0</v>
      </c>
      <c r="K723" t="n">
        <v>0</v>
      </c>
      <c r="L723" t="n">
        <v>0</v>
      </c>
      <c r="M723" t="n">
        <v>0</v>
      </c>
      <c r="N723" t="n">
        <v>0</v>
      </c>
      <c r="O723" t="n">
        <v>0</v>
      </c>
      <c r="P723" t="n">
        <v>0</v>
      </c>
      <c r="Q723" t="n">
        <v>0</v>
      </c>
      <c r="R723" s="2" t="inlineStr"/>
    </row>
    <row r="724" ht="15" customHeight="1">
      <c r="A724" t="inlineStr">
        <is>
          <t>A 45068-2024</t>
        </is>
      </c>
      <c r="B724" s="1" t="n">
        <v>45575.56256944445</v>
      </c>
      <c r="C724" s="1" t="n">
        <v>46140</v>
      </c>
      <c r="D724" t="inlineStr">
        <is>
          <t>ÖREBRO LÄN</t>
        </is>
      </c>
      <c r="E724" t="inlineStr">
        <is>
          <t>LINDESBERG</t>
        </is>
      </c>
      <c r="F724" t="inlineStr">
        <is>
          <t>Sveaskog</t>
        </is>
      </c>
      <c r="G724" t="n">
        <v>16.5</v>
      </c>
      <c r="H724" t="n">
        <v>0</v>
      </c>
      <c r="I724" t="n">
        <v>0</v>
      </c>
      <c r="J724" t="n">
        <v>0</v>
      </c>
      <c r="K724" t="n">
        <v>0</v>
      </c>
      <c r="L724" t="n">
        <v>0</v>
      </c>
      <c r="M724" t="n">
        <v>0</v>
      </c>
      <c r="N724" t="n">
        <v>0</v>
      </c>
      <c r="O724" t="n">
        <v>0</v>
      </c>
      <c r="P724" t="n">
        <v>0</v>
      </c>
      <c r="Q724" t="n">
        <v>0</v>
      </c>
      <c r="R724" s="2" t="inlineStr"/>
    </row>
    <row r="725" ht="15" customHeight="1">
      <c r="A725" t="inlineStr">
        <is>
          <t>A 39419-2023</t>
        </is>
      </c>
      <c r="B725" s="1" t="n">
        <v>45166.68493055556</v>
      </c>
      <c r="C725" s="1" t="n">
        <v>46140</v>
      </c>
      <c r="D725" t="inlineStr">
        <is>
          <t>ÖREBRO LÄN</t>
        </is>
      </c>
      <c r="E725" t="inlineStr">
        <is>
          <t>LINDESBERG</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15745-2024</t>
        </is>
      </c>
      <c r="B726" s="1" t="n">
        <v>45404.55239583334</v>
      </c>
      <c r="C726" s="1" t="n">
        <v>46140</v>
      </c>
      <c r="D726" t="inlineStr">
        <is>
          <t>ÖREBRO LÄN</t>
        </is>
      </c>
      <c r="E726" t="inlineStr">
        <is>
          <t>LINDESBERG</t>
        </is>
      </c>
      <c r="F726" t="inlineStr">
        <is>
          <t>Sveaskog</t>
        </is>
      </c>
      <c r="G726" t="n">
        <v>6.2</v>
      </c>
      <c r="H726" t="n">
        <v>0</v>
      </c>
      <c r="I726" t="n">
        <v>0</v>
      </c>
      <c r="J726" t="n">
        <v>0</v>
      </c>
      <c r="K726" t="n">
        <v>0</v>
      </c>
      <c r="L726" t="n">
        <v>0</v>
      </c>
      <c r="M726" t="n">
        <v>0</v>
      </c>
      <c r="N726" t="n">
        <v>0</v>
      </c>
      <c r="O726" t="n">
        <v>0</v>
      </c>
      <c r="P726" t="n">
        <v>0</v>
      </c>
      <c r="Q726" t="n">
        <v>0</v>
      </c>
      <c r="R726" s="2" t="inlineStr"/>
    </row>
    <row r="727" ht="15" customHeight="1">
      <c r="A727" t="inlineStr">
        <is>
          <t>A 15750-2024</t>
        </is>
      </c>
      <c r="B727" s="1" t="n">
        <v>45404.55601851852</v>
      </c>
      <c r="C727" s="1" t="n">
        <v>46140</v>
      </c>
      <c r="D727" t="inlineStr">
        <is>
          <t>ÖREBRO LÄN</t>
        </is>
      </c>
      <c r="E727" t="inlineStr">
        <is>
          <t>LINDESBERG</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60115-2022</t>
        </is>
      </c>
      <c r="B728" s="1" t="n">
        <v>44902</v>
      </c>
      <c r="C728" s="1" t="n">
        <v>46140</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16090-2026</t>
        </is>
      </c>
      <c r="B729" s="1" t="n">
        <v>46108</v>
      </c>
      <c r="C729" s="1" t="n">
        <v>46140</v>
      </c>
      <c r="D729" t="inlineStr">
        <is>
          <t>ÖREBRO LÄN</t>
        </is>
      </c>
      <c r="E729" t="inlineStr">
        <is>
          <t>LINDESBERG</t>
        </is>
      </c>
      <c r="G729" t="n">
        <v>4</v>
      </c>
      <c r="H729" t="n">
        <v>0</v>
      </c>
      <c r="I729" t="n">
        <v>0</v>
      </c>
      <c r="J729" t="n">
        <v>0</v>
      </c>
      <c r="K729" t="n">
        <v>0</v>
      </c>
      <c r="L729" t="n">
        <v>0</v>
      </c>
      <c r="M729" t="n">
        <v>0</v>
      </c>
      <c r="N729" t="n">
        <v>0</v>
      </c>
      <c r="O729" t="n">
        <v>0</v>
      </c>
      <c r="P729" t="n">
        <v>0</v>
      </c>
      <c r="Q729" t="n">
        <v>0</v>
      </c>
      <c r="R729" s="2" t="inlineStr"/>
    </row>
    <row r="730" ht="15" customHeight="1">
      <c r="A730" t="inlineStr">
        <is>
          <t>A 29857-2023</t>
        </is>
      </c>
      <c r="B730" s="1" t="n">
        <v>45107</v>
      </c>
      <c r="C730" s="1" t="n">
        <v>46140</v>
      </c>
      <c r="D730" t="inlineStr">
        <is>
          <t>ÖREBRO LÄN</t>
        </is>
      </c>
      <c r="E730" t="inlineStr">
        <is>
          <t>LINDESBERG</t>
        </is>
      </c>
      <c r="G730" t="n">
        <v>0.6</v>
      </c>
      <c r="H730" t="n">
        <v>0</v>
      </c>
      <c r="I730" t="n">
        <v>0</v>
      </c>
      <c r="J730" t="n">
        <v>0</v>
      </c>
      <c r="K730" t="n">
        <v>0</v>
      </c>
      <c r="L730" t="n">
        <v>0</v>
      </c>
      <c r="M730" t="n">
        <v>0</v>
      </c>
      <c r="N730" t="n">
        <v>0</v>
      </c>
      <c r="O730" t="n">
        <v>0</v>
      </c>
      <c r="P730" t="n">
        <v>0</v>
      </c>
      <c r="Q730" t="n">
        <v>0</v>
      </c>
      <c r="R730" s="2" t="inlineStr"/>
    </row>
    <row r="731" ht="15" customHeight="1">
      <c r="A731" t="inlineStr">
        <is>
          <t>A 16092-2026</t>
        </is>
      </c>
      <c r="B731" s="1" t="n">
        <v>46108</v>
      </c>
      <c r="C731" s="1" t="n">
        <v>46140</v>
      </c>
      <c r="D731" t="inlineStr">
        <is>
          <t>ÖREBRO LÄN</t>
        </is>
      </c>
      <c r="E731" t="inlineStr">
        <is>
          <t>LINDESBERG</t>
        </is>
      </c>
      <c r="G731" t="n">
        <v>2.3</v>
      </c>
      <c r="H731" t="n">
        <v>0</v>
      </c>
      <c r="I731" t="n">
        <v>0</v>
      </c>
      <c r="J731" t="n">
        <v>0</v>
      </c>
      <c r="K731" t="n">
        <v>0</v>
      </c>
      <c r="L731" t="n">
        <v>0</v>
      </c>
      <c r="M731" t="n">
        <v>0</v>
      </c>
      <c r="N731" t="n">
        <v>0</v>
      </c>
      <c r="O731" t="n">
        <v>0</v>
      </c>
      <c r="P731" t="n">
        <v>0</v>
      </c>
      <c r="Q731" t="n">
        <v>0</v>
      </c>
      <c r="R731" s="2" t="inlineStr"/>
    </row>
    <row r="732" ht="15" customHeight="1">
      <c r="A732" t="inlineStr">
        <is>
          <t>A 16094-2026</t>
        </is>
      </c>
      <c r="B732" s="1" t="n">
        <v>46108</v>
      </c>
      <c r="C732" s="1" t="n">
        <v>46140</v>
      </c>
      <c r="D732" t="inlineStr">
        <is>
          <t>ÖREBRO LÄN</t>
        </is>
      </c>
      <c r="E732" t="inlineStr">
        <is>
          <t>LINDESBERG</t>
        </is>
      </c>
      <c r="G732" t="n">
        <v>3.9</v>
      </c>
      <c r="H732" t="n">
        <v>0</v>
      </c>
      <c r="I732" t="n">
        <v>0</v>
      </c>
      <c r="J732" t="n">
        <v>0</v>
      </c>
      <c r="K732" t="n">
        <v>0</v>
      </c>
      <c r="L732" t="n">
        <v>0</v>
      </c>
      <c r="M732" t="n">
        <v>0</v>
      </c>
      <c r="N732" t="n">
        <v>0</v>
      </c>
      <c r="O732" t="n">
        <v>0</v>
      </c>
      <c r="P732" t="n">
        <v>0</v>
      </c>
      <c r="Q732" t="n">
        <v>0</v>
      </c>
      <c r="R732" s="2" t="inlineStr"/>
    </row>
    <row r="733" ht="15" customHeight="1">
      <c r="A733" t="inlineStr">
        <is>
          <t>A 44664-2023</t>
        </is>
      </c>
      <c r="B733" s="1" t="n">
        <v>45189</v>
      </c>
      <c r="C733" s="1" t="n">
        <v>46140</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16103-2026</t>
        </is>
      </c>
      <c r="B734" s="1" t="n">
        <v>46108.59048611111</v>
      </c>
      <c r="C734" s="1" t="n">
        <v>46140</v>
      </c>
      <c r="D734" t="inlineStr">
        <is>
          <t>ÖREBRO LÄN</t>
        </is>
      </c>
      <c r="E734" t="inlineStr">
        <is>
          <t>LINDESBERG</t>
        </is>
      </c>
      <c r="G734" t="n">
        <v>5.5</v>
      </c>
      <c r="H734" t="n">
        <v>0</v>
      </c>
      <c r="I734" t="n">
        <v>0</v>
      </c>
      <c r="J734" t="n">
        <v>0</v>
      </c>
      <c r="K734" t="n">
        <v>0</v>
      </c>
      <c r="L734" t="n">
        <v>0</v>
      </c>
      <c r="M734" t="n">
        <v>0</v>
      </c>
      <c r="N734" t="n">
        <v>0</v>
      </c>
      <c r="O734" t="n">
        <v>0</v>
      </c>
      <c r="P734" t="n">
        <v>0</v>
      </c>
      <c r="Q734" t="n">
        <v>0</v>
      </c>
      <c r="R734" s="2" t="inlineStr"/>
    </row>
    <row r="735" ht="15" customHeight="1">
      <c r="A735" t="inlineStr">
        <is>
          <t>A 16692-2026</t>
        </is>
      </c>
      <c r="B735" s="1" t="n">
        <v>46112.82201388889</v>
      </c>
      <c r="C735" s="1" t="n">
        <v>46140</v>
      </c>
      <c r="D735" t="inlineStr">
        <is>
          <t>ÖREBRO LÄN</t>
        </is>
      </c>
      <c r="E735" t="inlineStr">
        <is>
          <t>LINDESBERG</t>
        </is>
      </c>
      <c r="G735" t="n">
        <v>4.9</v>
      </c>
      <c r="H735" t="n">
        <v>0</v>
      </c>
      <c r="I735" t="n">
        <v>0</v>
      </c>
      <c r="J735" t="n">
        <v>0</v>
      </c>
      <c r="K735" t="n">
        <v>0</v>
      </c>
      <c r="L735" t="n">
        <v>0</v>
      </c>
      <c r="M735" t="n">
        <v>0</v>
      </c>
      <c r="N735" t="n">
        <v>0</v>
      </c>
      <c r="O735" t="n">
        <v>0</v>
      </c>
      <c r="P735" t="n">
        <v>0</v>
      </c>
      <c r="Q735" t="n">
        <v>0</v>
      </c>
      <c r="R735" s="2" t="inlineStr"/>
    </row>
    <row r="736" ht="15" customHeight="1">
      <c r="A736" t="inlineStr">
        <is>
          <t>A 16693-2026</t>
        </is>
      </c>
      <c r="B736" s="1" t="n">
        <v>46112.83422453704</v>
      </c>
      <c r="C736" s="1" t="n">
        <v>46140</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47535-2022</t>
        </is>
      </c>
      <c r="B737" s="1" t="n">
        <v>44853.79818287037</v>
      </c>
      <c r="C737" s="1" t="n">
        <v>46140</v>
      </c>
      <c r="D737" t="inlineStr">
        <is>
          <t>ÖREBRO LÄN</t>
        </is>
      </c>
      <c r="E737" t="inlineStr">
        <is>
          <t>LINDESBERG</t>
        </is>
      </c>
      <c r="G737" t="n">
        <v>3</v>
      </c>
      <c r="H737" t="n">
        <v>0</v>
      </c>
      <c r="I737" t="n">
        <v>0</v>
      </c>
      <c r="J737" t="n">
        <v>0</v>
      </c>
      <c r="K737" t="n">
        <v>0</v>
      </c>
      <c r="L737" t="n">
        <v>0</v>
      </c>
      <c r="M737" t="n">
        <v>0</v>
      </c>
      <c r="N737" t="n">
        <v>0</v>
      </c>
      <c r="O737" t="n">
        <v>0</v>
      </c>
      <c r="P737" t="n">
        <v>0</v>
      </c>
      <c r="Q737" t="n">
        <v>0</v>
      </c>
      <c r="R737" s="2" t="inlineStr"/>
    </row>
    <row r="738" ht="15" customHeight="1">
      <c r="A738" t="inlineStr">
        <is>
          <t>A 30830-2024</t>
        </is>
      </c>
      <c r="B738" s="1" t="n">
        <v>45497</v>
      </c>
      <c r="C738" s="1" t="n">
        <v>46140</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46140</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55272-2023</t>
        </is>
      </c>
      <c r="B740" s="1" t="n">
        <v>45237.67819444444</v>
      </c>
      <c r="C740" s="1" t="n">
        <v>46140</v>
      </c>
      <c r="D740" t="inlineStr">
        <is>
          <t>ÖREBRO LÄN</t>
        </is>
      </c>
      <c r="E740" t="inlineStr">
        <is>
          <t>LINDESBERG</t>
        </is>
      </c>
      <c r="G740" t="n">
        <v>2.4</v>
      </c>
      <c r="H740" t="n">
        <v>0</v>
      </c>
      <c r="I740" t="n">
        <v>0</v>
      </c>
      <c r="J740" t="n">
        <v>0</v>
      </c>
      <c r="K740" t="n">
        <v>0</v>
      </c>
      <c r="L740" t="n">
        <v>0</v>
      </c>
      <c r="M740" t="n">
        <v>0</v>
      </c>
      <c r="N740" t="n">
        <v>0</v>
      </c>
      <c r="O740" t="n">
        <v>0</v>
      </c>
      <c r="P740" t="n">
        <v>0</v>
      </c>
      <c r="Q740" t="n">
        <v>0</v>
      </c>
      <c r="R740" s="2" t="inlineStr"/>
    </row>
    <row r="741" ht="15" customHeight="1">
      <c r="A741" t="inlineStr">
        <is>
          <t>A 53597-2024</t>
        </is>
      </c>
      <c r="B741" s="1" t="n">
        <v>45614.68083333333</v>
      </c>
      <c r="C741" s="1" t="n">
        <v>46140</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9577-2026</t>
        </is>
      </c>
      <c r="B742" s="1" t="n">
        <v>46071.67334490741</v>
      </c>
      <c r="C742" s="1" t="n">
        <v>46140</v>
      </c>
      <c r="D742" t="inlineStr">
        <is>
          <t>ÖREBRO LÄN</t>
        </is>
      </c>
      <c r="E742" t="inlineStr">
        <is>
          <t>LINDESBERG</t>
        </is>
      </c>
      <c r="F742" t="inlineStr">
        <is>
          <t>Kommuner</t>
        </is>
      </c>
      <c r="G742" t="n">
        <v>1</v>
      </c>
      <c r="H742" t="n">
        <v>0</v>
      </c>
      <c r="I742" t="n">
        <v>0</v>
      </c>
      <c r="J742" t="n">
        <v>0</v>
      </c>
      <c r="K742" t="n">
        <v>0</v>
      </c>
      <c r="L742" t="n">
        <v>0</v>
      </c>
      <c r="M742" t="n">
        <v>0</v>
      </c>
      <c r="N742" t="n">
        <v>0</v>
      </c>
      <c r="O742" t="n">
        <v>0</v>
      </c>
      <c r="P742" t="n">
        <v>0</v>
      </c>
      <c r="Q742" t="n">
        <v>0</v>
      </c>
      <c r="R742" s="2" t="inlineStr"/>
    </row>
    <row r="743" ht="15" customHeight="1">
      <c r="A743" t="inlineStr">
        <is>
          <t>A 27576-2024</t>
        </is>
      </c>
      <c r="B743" s="1" t="n">
        <v>45474.65005787037</v>
      </c>
      <c r="C743" s="1" t="n">
        <v>46140</v>
      </c>
      <c r="D743" t="inlineStr">
        <is>
          <t>ÖREBRO LÄN</t>
        </is>
      </c>
      <c r="E743" t="inlineStr">
        <is>
          <t>LINDESBERG</t>
        </is>
      </c>
      <c r="F743" t="inlineStr">
        <is>
          <t>Kyrkan</t>
        </is>
      </c>
      <c r="G743" t="n">
        <v>1.3</v>
      </c>
      <c r="H743" t="n">
        <v>0</v>
      </c>
      <c r="I743" t="n">
        <v>0</v>
      </c>
      <c r="J743" t="n">
        <v>0</v>
      </c>
      <c r="K743" t="n">
        <v>0</v>
      </c>
      <c r="L743" t="n">
        <v>0</v>
      </c>
      <c r="M743" t="n">
        <v>0</v>
      </c>
      <c r="N743" t="n">
        <v>0</v>
      </c>
      <c r="O743" t="n">
        <v>0</v>
      </c>
      <c r="P743" t="n">
        <v>0</v>
      </c>
      <c r="Q743" t="n">
        <v>0</v>
      </c>
      <c r="R743" s="2" t="inlineStr"/>
    </row>
    <row r="744" ht="15" customHeight="1">
      <c r="A744" t="inlineStr">
        <is>
          <t>A 21986-2023</t>
        </is>
      </c>
      <c r="B744" s="1" t="n">
        <v>45068</v>
      </c>
      <c r="C744" s="1" t="n">
        <v>46140</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52930-2024</t>
        </is>
      </c>
      <c r="B745" s="1" t="n">
        <v>45610.7466087963</v>
      </c>
      <c r="C745" s="1" t="n">
        <v>46140</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2103-2022</t>
        </is>
      </c>
      <c r="B746" s="1" t="n">
        <v>44577.81121527778</v>
      </c>
      <c r="C746" s="1" t="n">
        <v>46140</v>
      </c>
      <c r="D746" t="inlineStr">
        <is>
          <t>ÖREBRO LÄN</t>
        </is>
      </c>
      <c r="E746" t="inlineStr">
        <is>
          <t>LINDESBERG</t>
        </is>
      </c>
      <c r="G746" t="n">
        <v>1.4</v>
      </c>
      <c r="H746" t="n">
        <v>0</v>
      </c>
      <c r="I746" t="n">
        <v>0</v>
      </c>
      <c r="J746" t="n">
        <v>0</v>
      </c>
      <c r="K746" t="n">
        <v>0</v>
      </c>
      <c r="L746" t="n">
        <v>0</v>
      </c>
      <c r="M746" t="n">
        <v>0</v>
      </c>
      <c r="N746" t="n">
        <v>0</v>
      </c>
      <c r="O746" t="n">
        <v>0</v>
      </c>
      <c r="P746" t="n">
        <v>0</v>
      </c>
      <c r="Q746" t="n">
        <v>0</v>
      </c>
      <c r="R746" s="2" t="inlineStr"/>
    </row>
    <row r="747" ht="15" customHeight="1">
      <c r="A747" t="inlineStr">
        <is>
          <t>A 16812-2026</t>
        </is>
      </c>
      <c r="B747" s="1" t="n">
        <v>46113.49563657407</v>
      </c>
      <c r="C747" s="1" t="n">
        <v>46140</v>
      </c>
      <c r="D747" t="inlineStr">
        <is>
          <t>ÖREBRO LÄN</t>
        </is>
      </c>
      <c r="E747" t="inlineStr">
        <is>
          <t>LINDESBERG</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15126-2026</t>
        </is>
      </c>
      <c r="B748" s="1" t="n">
        <v>46105.37195601852</v>
      </c>
      <c r="C748" s="1" t="n">
        <v>46140</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54860-2024</t>
        </is>
      </c>
      <c r="B749" s="1" t="n">
        <v>45618.59219907408</v>
      </c>
      <c r="C749" s="1" t="n">
        <v>46140</v>
      </c>
      <c r="D749" t="inlineStr">
        <is>
          <t>ÖREBRO LÄN</t>
        </is>
      </c>
      <c r="E749" t="inlineStr">
        <is>
          <t>LINDESBERG</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17010-2026</t>
        </is>
      </c>
      <c r="B750" s="1" t="n">
        <v>46114</v>
      </c>
      <c r="C750" s="1" t="n">
        <v>46140</v>
      </c>
      <c r="D750" t="inlineStr">
        <is>
          <t>ÖREBRO LÄN</t>
        </is>
      </c>
      <c r="E750" t="inlineStr">
        <is>
          <t>LINDESBERG</t>
        </is>
      </c>
      <c r="G750" t="n">
        <v>3.7</v>
      </c>
      <c r="H750" t="n">
        <v>0</v>
      </c>
      <c r="I750" t="n">
        <v>0</v>
      </c>
      <c r="J750" t="n">
        <v>0</v>
      </c>
      <c r="K750" t="n">
        <v>0</v>
      </c>
      <c r="L750" t="n">
        <v>0</v>
      </c>
      <c r="M750" t="n">
        <v>0</v>
      </c>
      <c r="N750" t="n">
        <v>0</v>
      </c>
      <c r="O750" t="n">
        <v>0</v>
      </c>
      <c r="P750" t="n">
        <v>0</v>
      </c>
      <c r="Q750" t="n">
        <v>0</v>
      </c>
      <c r="R750" s="2" t="inlineStr"/>
    </row>
    <row r="751" ht="15" customHeight="1">
      <c r="A751" t="inlineStr">
        <is>
          <t>A 9432-2026</t>
        </is>
      </c>
      <c r="B751" s="1" t="n">
        <v>46071.45568287037</v>
      </c>
      <c r="C751" s="1" t="n">
        <v>46140</v>
      </c>
      <c r="D751" t="inlineStr">
        <is>
          <t>ÖREBRO LÄN</t>
        </is>
      </c>
      <c r="E751" t="inlineStr">
        <is>
          <t>LINDESBERG</t>
        </is>
      </c>
      <c r="G751" t="n">
        <v>1.6</v>
      </c>
      <c r="H751" t="n">
        <v>0</v>
      </c>
      <c r="I751" t="n">
        <v>0</v>
      </c>
      <c r="J751" t="n">
        <v>0</v>
      </c>
      <c r="K751" t="n">
        <v>0</v>
      </c>
      <c r="L751" t="n">
        <v>0</v>
      </c>
      <c r="M751" t="n">
        <v>0</v>
      </c>
      <c r="N751" t="n">
        <v>0</v>
      </c>
      <c r="O751" t="n">
        <v>0</v>
      </c>
      <c r="P751" t="n">
        <v>0</v>
      </c>
      <c r="Q751" t="n">
        <v>0</v>
      </c>
      <c r="R751" s="2" t="inlineStr"/>
    </row>
    <row r="752" ht="15" customHeight="1">
      <c r="A752" t="inlineStr">
        <is>
          <t>A 17155-2026</t>
        </is>
      </c>
      <c r="B752" s="1" t="n">
        <v>46115.50295138889</v>
      </c>
      <c r="C752" s="1" t="n">
        <v>46140</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17158-2026</t>
        </is>
      </c>
      <c r="B753" s="1" t="n">
        <v>46115.55826388889</v>
      </c>
      <c r="C753" s="1" t="n">
        <v>46140</v>
      </c>
      <c r="D753" t="inlineStr">
        <is>
          <t>ÖREBRO LÄN</t>
        </is>
      </c>
      <c r="E753" t="inlineStr">
        <is>
          <t>LINDESBERG</t>
        </is>
      </c>
      <c r="G753" t="n">
        <v>7.8</v>
      </c>
      <c r="H753" t="n">
        <v>0</v>
      </c>
      <c r="I753" t="n">
        <v>0</v>
      </c>
      <c r="J753" t="n">
        <v>0</v>
      </c>
      <c r="K753" t="n">
        <v>0</v>
      </c>
      <c r="L753" t="n">
        <v>0</v>
      </c>
      <c r="M753" t="n">
        <v>0</v>
      </c>
      <c r="N753" t="n">
        <v>0</v>
      </c>
      <c r="O753" t="n">
        <v>0</v>
      </c>
      <c r="P753" t="n">
        <v>0</v>
      </c>
      <c r="Q753" t="n">
        <v>0</v>
      </c>
      <c r="R753" s="2" t="inlineStr"/>
    </row>
    <row r="754" ht="15" customHeight="1">
      <c r="A754" t="inlineStr">
        <is>
          <t>A 17154-2026</t>
        </is>
      </c>
      <c r="B754" s="1" t="n">
        <v>46115.49298611111</v>
      </c>
      <c r="C754" s="1" t="n">
        <v>46140</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17157-2026</t>
        </is>
      </c>
      <c r="B755" s="1" t="n">
        <v>46115.52068287037</v>
      </c>
      <c r="C755" s="1" t="n">
        <v>46140</v>
      </c>
      <c r="D755" t="inlineStr">
        <is>
          <t>ÖREBRO LÄN</t>
        </is>
      </c>
      <c r="E755" t="inlineStr">
        <is>
          <t>LINDESBERG</t>
        </is>
      </c>
      <c r="G755" t="n">
        <v>1.2</v>
      </c>
      <c r="H755" t="n">
        <v>0</v>
      </c>
      <c r="I755" t="n">
        <v>0</v>
      </c>
      <c r="J755" t="n">
        <v>0</v>
      </c>
      <c r="K755" t="n">
        <v>0</v>
      </c>
      <c r="L755" t="n">
        <v>0</v>
      </c>
      <c r="M755" t="n">
        <v>0</v>
      </c>
      <c r="N755" t="n">
        <v>0</v>
      </c>
      <c r="O755" t="n">
        <v>0</v>
      </c>
      <c r="P755" t="n">
        <v>0</v>
      </c>
      <c r="Q755" t="n">
        <v>0</v>
      </c>
      <c r="R755" s="2" t="inlineStr"/>
    </row>
    <row r="756" ht="15" customHeight="1">
      <c r="A756" t="inlineStr">
        <is>
          <t>A 17159-2026</t>
        </is>
      </c>
      <c r="B756" s="1" t="n">
        <v>46115.57298611111</v>
      </c>
      <c r="C756" s="1" t="n">
        <v>46140</v>
      </c>
      <c r="D756" t="inlineStr">
        <is>
          <t>ÖREBRO LÄN</t>
        </is>
      </c>
      <c r="E756" t="inlineStr">
        <is>
          <t>LINDESBERG</t>
        </is>
      </c>
      <c r="G756" t="n">
        <v>1.5</v>
      </c>
      <c r="H756" t="n">
        <v>0</v>
      </c>
      <c r="I756" t="n">
        <v>0</v>
      </c>
      <c r="J756" t="n">
        <v>0</v>
      </c>
      <c r="K756" t="n">
        <v>0</v>
      </c>
      <c r="L756" t="n">
        <v>0</v>
      </c>
      <c r="M756" t="n">
        <v>0</v>
      </c>
      <c r="N756" t="n">
        <v>0</v>
      </c>
      <c r="O756" t="n">
        <v>0</v>
      </c>
      <c r="P756" t="n">
        <v>0</v>
      </c>
      <c r="Q756" t="n">
        <v>0</v>
      </c>
      <c r="R756" s="2" t="inlineStr"/>
    </row>
    <row r="757" ht="15" customHeight="1">
      <c r="A757" t="inlineStr">
        <is>
          <t>A 17153-2026</t>
        </is>
      </c>
      <c r="B757" s="1" t="n">
        <v>46115.4727199074</v>
      </c>
      <c r="C757" s="1" t="n">
        <v>46140</v>
      </c>
      <c r="D757" t="inlineStr">
        <is>
          <t>ÖREBRO LÄN</t>
        </is>
      </c>
      <c r="E757" t="inlineStr">
        <is>
          <t>LINDESBERG</t>
        </is>
      </c>
      <c r="G757" t="n">
        <v>5.6</v>
      </c>
      <c r="H757" t="n">
        <v>0</v>
      </c>
      <c r="I757" t="n">
        <v>0</v>
      </c>
      <c r="J757" t="n">
        <v>0</v>
      </c>
      <c r="K757" t="n">
        <v>0</v>
      </c>
      <c r="L757" t="n">
        <v>0</v>
      </c>
      <c r="M757" t="n">
        <v>0</v>
      </c>
      <c r="N757" t="n">
        <v>0</v>
      </c>
      <c r="O757" t="n">
        <v>0</v>
      </c>
      <c r="P757" t="n">
        <v>0</v>
      </c>
      <c r="Q757" t="n">
        <v>0</v>
      </c>
      <c r="R757" s="2" t="inlineStr"/>
    </row>
    <row r="758" ht="15" customHeight="1">
      <c r="A758" t="inlineStr">
        <is>
          <t>A 17156-2026</t>
        </is>
      </c>
      <c r="B758" s="1" t="n">
        <v>46115.51194444444</v>
      </c>
      <c r="C758" s="1" t="n">
        <v>46140</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17161-2026</t>
        </is>
      </c>
      <c r="B759" s="1" t="n">
        <v>46115.59534722222</v>
      </c>
      <c r="C759" s="1" t="n">
        <v>46140</v>
      </c>
      <c r="D759" t="inlineStr">
        <is>
          <t>ÖREBRO LÄN</t>
        </is>
      </c>
      <c r="E759" t="inlineStr">
        <is>
          <t>LINDESBERG</t>
        </is>
      </c>
      <c r="G759" t="n">
        <v>3.3</v>
      </c>
      <c r="H759" t="n">
        <v>0</v>
      </c>
      <c r="I759" t="n">
        <v>0</v>
      </c>
      <c r="J759" t="n">
        <v>0</v>
      </c>
      <c r="K759" t="n">
        <v>0</v>
      </c>
      <c r="L759" t="n">
        <v>0</v>
      </c>
      <c r="M759" t="n">
        <v>0</v>
      </c>
      <c r="N759" t="n">
        <v>0</v>
      </c>
      <c r="O759" t="n">
        <v>0</v>
      </c>
      <c r="P759" t="n">
        <v>0</v>
      </c>
      <c r="Q759" t="n">
        <v>0</v>
      </c>
      <c r="R759" s="2" t="inlineStr"/>
    </row>
    <row r="760" ht="15" customHeight="1">
      <c r="A760" t="inlineStr">
        <is>
          <t>A 17013-2026</t>
        </is>
      </c>
      <c r="B760" s="1" t="n">
        <v>46114</v>
      </c>
      <c r="C760" s="1" t="n">
        <v>46140</v>
      </c>
      <c r="D760" t="inlineStr">
        <is>
          <t>ÖREBRO LÄN</t>
        </is>
      </c>
      <c r="E760" t="inlineStr">
        <is>
          <t>LINDESBERG</t>
        </is>
      </c>
      <c r="G760" t="n">
        <v>1.3</v>
      </c>
      <c r="H760" t="n">
        <v>0</v>
      </c>
      <c r="I760" t="n">
        <v>0</v>
      </c>
      <c r="J760" t="n">
        <v>0</v>
      </c>
      <c r="K760" t="n">
        <v>0</v>
      </c>
      <c r="L760" t="n">
        <v>0</v>
      </c>
      <c r="M760" t="n">
        <v>0</v>
      </c>
      <c r="N760" t="n">
        <v>0</v>
      </c>
      <c r="O760" t="n">
        <v>0</v>
      </c>
      <c r="P760" t="n">
        <v>0</v>
      </c>
      <c r="Q760" t="n">
        <v>0</v>
      </c>
      <c r="R760" s="2" t="inlineStr"/>
    </row>
    <row r="761" ht="15" customHeight="1">
      <c r="A761" t="inlineStr">
        <is>
          <t>A 49358-2023</t>
        </is>
      </c>
      <c r="B761" s="1" t="n">
        <v>45211</v>
      </c>
      <c r="C761" s="1" t="n">
        <v>46140</v>
      </c>
      <c r="D761" t="inlineStr">
        <is>
          <t>ÖREBRO LÄN</t>
        </is>
      </c>
      <c r="E761" t="inlineStr">
        <is>
          <t>LINDESBERG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23579-2022</t>
        </is>
      </c>
      <c r="B762" s="1" t="n">
        <v>44721.52627314815</v>
      </c>
      <c r="C762" s="1" t="n">
        <v>46140</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32009-2023</t>
        </is>
      </c>
      <c r="B763" s="1" t="n">
        <v>45119</v>
      </c>
      <c r="C763" s="1" t="n">
        <v>46140</v>
      </c>
      <c r="D763" t="inlineStr">
        <is>
          <t>ÖREBRO LÄN</t>
        </is>
      </c>
      <c r="E763" t="inlineStr">
        <is>
          <t>LINDESBERG</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46647-2024</t>
        </is>
      </c>
      <c r="B764" s="1" t="n">
        <v>45583</v>
      </c>
      <c r="C764" s="1" t="n">
        <v>46140</v>
      </c>
      <c r="D764" t="inlineStr">
        <is>
          <t>ÖREBRO LÄN</t>
        </is>
      </c>
      <c r="E764" t="inlineStr">
        <is>
          <t>LINDESBERG</t>
        </is>
      </c>
      <c r="F764" t="inlineStr">
        <is>
          <t>Sveaskog</t>
        </is>
      </c>
      <c r="G764" t="n">
        <v>3.1</v>
      </c>
      <c r="H764" t="n">
        <v>0</v>
      </c>
      <c r="I764" t="n">
        <v>0</v>
      </c>
      <c r="J764" t="n">
        <v>0</v>
      </c>
      <c r="K764" t="n">
        <v>0</v>
      </c>
      <c r="L764" t="n">
        <v>0</v>
      </c>
      <c r="M764" t="n">
        <v>0</v>
      </c>
      <c r="N764" t="n">
        <v>0</v>
      </c>
      <c r="O764" t="n">
        <v>0</v>
      </c>
      <c r="P764" t="n">
        <v>0</v>
      </c>
      <c r="Q764" t="n">
        <v>0</v>
      </c>
      <c r="R764" s="2" t="inlineStr"/>
    </row>
    <row r="765" ht="15" customHeight="1">
      <c r="A765" t="inlineStr">
        <is>
          <t>A 17162-2026</t>
        </is>
      </c>
      <c r="B765" s="1" t="n">
        <v>46115.60453703703</v>
      </c>
      <c r="C765" s="1" t="n">
        <v>46140</v>
      </c>
      <c r="D765" t="inlineStr">
        <is>
          <t>ÖREBRO LÄN</t>
        </is>
      </c>
      <c r="E765" t="inlineStr">
        <is>
          <t>LINDESBERG</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23260-2024</t>
        </is>
      </c>
      <c r="B766" s="1" t="n">
        <v>45453.36664351852</v>
      </c>
      <c r="C766" s="1" t="n">
        <v>46140</v>
      </c>
      <c r="D766" t="inlineStr">
        <is>
          <t>ÖREBRO LÄN</t>
        </is>
      </c>
      <c r="E766" t="inlineStr">
        <is>
          <t>LINDESBERG</t>
        </is>
      </c>
      <c r="F766" t="inlineStr">
        <is>
          <t>Sveaskog</t>
        </is>
      </c>
      <c r="G766" t="n">
        <v>0.3</v>
      </c>
      <c r="H766" t="n">
        <v>0</v>
      </c>
      <c r="I766" t="n">
        <v>0</v>
      </c>
      <c r="J766" t="n">
        <v>0</v>
      </c>
      <c r="K766" t="n">
        <v>0</v>
      </c>
      <c r="L766" t="n">
        <v>0</v>
      </c>
      <c r="M766" t="n">
        <v>0</v>
      </c>
      <c r="N766" t="n">
        <v>0</v>
      </c>
      <c r="O766" t="n">
        <v>0</v>
      </c>
      <c r="P766" t="n">
        <v>0</v>
      </c>
      <c r="Q766" t="n">
        <v>0</v>
      </c>
      <c r="R766" s="2" t="inlineStr"/>
    </row>
    <row r="767" ht="15" customHeight="1">
      <c r="A767" t="inlineStr">
        <is>
          <t>A 26067-2022</t>
        </is>
      </c>
      <c r="B767" s="1" t="n">
        <v>44734.64337962963</v>
      </c>
      <c r="C767" s="1" t="n">
        <v>46140</v>
      </c>
      <c r="D767" t="inlineStr">
        <is>
          <t>ÖREBRO LÄN</t>
        </is>
      </c>
      <c r="E767" t="inlineStr">
        <is>
          <t>LINDESBERG</t>
        </is>
      </c>
      <c r="G767" t="n">
        <v>3.1</v>
      </c>
      <c r="H767" t="n">
        <v>0</v>
      </c>
      <c r="I767" t="n">
        <v>0</v>
      </c>
      <c r="J767" t="n">
        <v>0</v>
      </c>
      <c r="K767" t="n">
        <v>0</v>
      </c>
      <c r="L767" t="n">
        <v>0</v>
      </c>
      <c r="M767" t="n">
        <v>0</v>
      </c>
      <c r="N767" t="n">
        <v>0</v>
      </c>
      <c r="O767" t="n">
        <v>0</v>
      </c>
      <c r="P767" t="n">
        <v>0</v>
      </c>
      <c r="Q767" t="n">
        <v>0</v>
      </c>
      <c r="R767" s="2" t="inlineStr"/>
    </row>
    <row r="768" ht="15" customHeight="1">
      <c r="A768" t="inlineStr">
        <is>
          <t>A 3233-2023</t>
        </is>
      </c>
      <c r="B768" s="1" t="n">
        <v>44946</v>
      </c>
      <c r="C768" s="1" t="n">
        <v>46140</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5047-2023</t>
        </is>
      </c>
      <c r="B769" s="1" t="n">
        <v>44958.58982638889</v>
      </c>
      <c r="C769" s="1" t="n">
        <v>46140</v>
      </c>
      <c r="D769" t="inlineStr">
        <is>
          <t>ÖREBRO LÄN</t>
        </is>
      </c>
      <c r="E769" t="inlineStr">
        <is>
          <t>LINDESBERG</t>
        </is>
      </c>
      <c r="G769" t="n">
        <v>2</v>
      </c>
      <c r="H769" t="n">
        <v>0</v>
      </c>
      <c r="I769" t="n">
        <v>0</v>
      </c>
      <c r="J769" t="n">
        <v>0</v>
      </c>
      <c r="K769" t="n">
        <v>0</v>
      </c>
      <c r="L769" t="n">
        <v>0</v>
      </c>
      <c r="M769" t="n">
        <v>0</v>
      </c>
      <c r="N769" t="n">
        <v>0</v>
      </c>
      <c r="O769" t="n">
        <v>0</v>
      </c>
      <c r="P769" t="n">
        <v>0</v>
      </c>
      <c r="Q769" t="n">
        <v>0</v>
      </c>
      <c r="R769" s="2" t="inlineStr"/>
    </row>
    <row r="770" ht="15" customHeight="1">
      <c r="A770" t="inlineStr">
        <is>
          <t>A 8836-2023</t>
        </is>
      </c>
      <c r="B770" s="1" t="n">
        <v>44978</v>
      </c>
      <c r="C770" s="1" t="n">
        <v>46140</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38460-2024</t>
        </is>
      </c>
      <c r="B771" s="1" t="n">
        <v>45546.46497685185</v>
      </c>
      <c r="C771" s="1" t="n">
        <v>46140</v>
      </c>
      <c r="D771" t="inlineStr">
        <is>
          <t>ÖREBRO LÄN</t>
        </is>
      </c>
      <c r="E771" t="inlineStr">
        <is>
          <t>LINDESBERG</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46219-2022</t>
        </is>
      </c>
      <c r="B772" s="1" t="n">
        <v>44846</v>
      </c>
      <c r="C772" s="1" t="n">
        <v>46140</v>
      </c>
      <c r="D772" t="inlineStr">
        <is>
          <t>ÖREBRO LÄN</t>
        </is>
      </c>
      <c r="E772" t="inlineStr">
        <is>
          <t>LINDESBERG</t>
        </is>
      </c>
      <c r="G772" t="n">
        <v>6</v>
      </c>
      <c r="H772" t="n">
        <v>0</v>
      </c>
      <c r="I772" t="n">
        <v>0</v>
      </c>
      <c r="J772" t="n">
        <v>0</v>
      </c>
      <c r="K772" t="n">
        <v>0</v>
      </c>
      <c r="L772" t="n">
        <v>0</v>
      </c>
      <c r="M772" t="n">
        <v>0</v>
      </c>
      <c r="N772" t="n">
        <v>0</v>
      </c>
      <c r="O772" t="n">
        <v>0</v>
      </c>
      <c r="P772" t="n">
        <v>0</v>
      </c>
      <c r="Q772" t="n">
        <v>0</v>
      </c>
      <c r="R772" s="2" t="inlineStr"/>
    </row>
    <row r="773" ht="15" customHeight="1">
      <c r="A773" t="inlineStr">
        <is>
          <t>A 17663-2026</t>
        </is>
      </c>
      <c r="B773" s="1" t="n">
        <v>46121.57420138889</v>
      </c>
      <c r="C773" s="1" t="n">
        <v>46140</v>
      </c>
      <c r="D773" t="inlineStr">
        <is>
          <t>ÖREBRO LÄN</t>
        </is>
      </c>
      <c r="E773" t="inlineStr">
        <is>
          <t>LINDESBERG</t>
        </is>
      </c>
      <c r="G773" t="n">
        <v>3.2</v>
      </c>
      <c r="H773" t="n">
        <v>0</v>
      </c>
      <c r="I773" t="n">
        <v>0</v>
      </c>
      <c r="J773" t="n">
        <v>0</v>
      </c>
      <c r="K773" t="n">
        <v>0</v>
      </c>
      <c r="L773" t="n">
        <v>0</v>
      </c>
      <c r="M773" t="n">
        <v>0</v>
      </c>
      <c r="N773" t="n">
        <v>0</v>
      </c>
      <c r="O773" t="n">
        <v>0</v>
      </c>
      <c r="P773" t="n">
        <v>0</v>
      </c>
      <c r="Q773" t="n">
        <v>0</v>
      </c>
      <c r="R773" s="2" t="inlineStr"/>
    </row>
    <row r="774" ht="15" customHeight="1">
      <c r="A774" t="inlineStr">
        <is>
          <t>A 11953-2024</t>
        </is>
      </c>
      <c r="B774" s="1" t="n">
        <v>45376.70292824074</v>
      </c>
      <c r="C774" s="1" t="n">
        <v>46140</v>
      </c>
      <c r="D774" t="inlineStr">
        <is>
          <t>ÖREBRO LÄN</t>
        </is>
      </c>
      <c r="E774" t="inlineStr">
        <is>
          <t>LINDESBERG</t>
        </is>
      </c>
      <c r="G774" t="n">
        <v>5.7</v>
      </c>
      <c r="H774" t="n">
        <v>0</v>
      </c>
      <c r="I774" t="n">
        <v>0</v>
      </c>
      <c r="J774" t="n">
        <v>0</v>
      </c>
      <c r="K774" t="n">
        <v>0</v>
      </c>
      <c r="L774" t="n">
        <v>0</v>
      </c>
      <c r="M774" t="n">
        <v>0</v>
      </c>
      <c r="N774" t="n">
        <v>0</v>
      </c>
      <c r="O774" t="n">
        <v>0</v>
      </c>
      <c r="P774" t="n">
        <v>0</v>
      </c>
      <c r="Q774" t="n">
        <v>0</v>
      </c>
      <c r="R774" s="2" t="inlineStr"/>
    </row>
    <row r="775" ht="15" customHeight="1">
      <c r="A775" t="inlineStr">
        <is>
          <t>A 4440-2024</t>
        </is>
      </c>
      <c r="B775" s="1" t="n">
        <v>45327</v>
      </c>
      <c r="C775" s="1" t="n">
        <v>46140</v>
      </c>
      <c r="D775" t="inlineStr">
        <is>
          <t>ÖREBRO LÄN</t>
        </is>
      </c>
      <c r="E775" t="inlineStr">
        <is>
          <t>LINDESBERG</t>
        </is>
      </c>
      <c r="F775" t="inlineStr">
        <is>
          <t>BillerudKorsnäs AB</t>
        </is>
      </c>
      <c r="G775" t="n">
        <v>2</v>
      </c>
      <c r="H775" t="n">
        <v>0</v>
      </c>
      <c r="I775" t="n">
        <v>0</v>
      </c>
      <c r="J775" t="n">
        <v>0</v>
      </c>
      <c r="K775" t="n">
        <v>0</v>
      </c>
      <c r="L775" t="n">
        <v>0</v>
      </c>
      <c r="M775" t="n">
        <v>0</v>
      </c>
      <c r="N775" t="n">
        <v>0</v>
      </c>
      <c r="O775" t="n">
        <v>0</v>
      </c>
      <c r="P775" t="n">
        <v>0</v>
      </c>
      <c r="Q775" t="n">
        <v>0</v>
      </c>
      <c r="R775" s="2" t="inlineStr"/>
    </row>
    <row r="776" ht="15" customHeight="1">
      <c r="A776" t="inlineStr">
        <is>
          <t>A 48244-2024</t>
        </is>
      </c>
      <c r="B776" s="1" t="n">
        <v>45590.39471064815</v>
      </c>
      <c r="C776" s="1" t="n">
        <v>46140</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59633-2023</t>
        </is>
      </c>
      <c r="B777" s="1" t="n">
        <v>45254</v>
      </c>
      <c r="C777" s="1" t="n">
        <v>46140</v>
      </c>
      <c r="D777" t="inlineStr">
        <is>
          <t>ÖREBRO LÄN</t>
        </is>
      </c>
      <c r="E777" t="inlineStr">
        <is>
          <t>LINDESBERG</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18418-2025</t>
        </is>
      </c>
      <c r="B778" s="1" t="n">
        <v>45762.61817129629</v>
      </c>
      <c r="C778" s="1" t="n">
        <v>46140</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23649-2023</t>
        </is>
      </c>
      <c r="B779" s="1" t="n">
        <v>45074</v>
      </c>
      <c r="C779" s="1" t="n">
        <v>46140</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43081-2021</t>
        </is>
      </c>
      <c r="B780" s="1" t="n">
        <v>44431</v>
      </c>
      <c r="C780" s="1" t="n">
        <v>46140</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51071-2022</t>
        </is>
      </c>
      <c r="B781" s="1" t="n">
        <v>44868.36924768519</v>
      </c>
      <c r="C781" s="1" t="n">
        <v>46140</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44449-2023</t>
        </is>
      </c>
      <c r="B782" s="1" t="n">
        <v>45189.38135416667</v>
      </c>
      <c r="C782" s="1" t="n">
        <v>46140</v>
      </c>
      <c r="D782" t="inlineStr">
        <is>
          <t>ÖREBRO LÄN</t>
        </is>
      </c>
      <c r="E782" t="inlineStr">
        <is>
          <t>LINDESBERG</t>
        </is>
      </c>
      <c r="G782" t="n">
        <v>13.7</v>
      </c>
      <c r="H782" t="n">
        <v>0</v>
      </c>
      <c r="I782" t="n">
        <v>0</v>
      </c>
      <c r="J782" t="n">
        <v>0</v>
      </c>
      <c r="K782" t="n">
        <v>0</v>
      </c>
      <c r="L782" t="n">
        <v>0</v>
      </c>
      <c r="M782" t="n">
        <v>0</v>
      </c>
      <c r="N782" t="n">
        <v>0</v>
      </c>
      <c r="O782" t="n">
        <v>0</v>
      </c>
      <c r="P782" t="n">
        <v>0</v>
      </c>
      <c r="Q782" t="n">
        <v>0</v>
      </c>
      <c r="R782" s="2" t="inlineStr"/>
    </row>
    <row r="783" ht="15" customHeight="1">
      <c r="A783" t="inlineStr">
        <is>
          <t>A 15894-2025</t>
        </is>
      </c>
      <c r="B783" s="1" t="n">
        <v>45749</v>
      </c>
      <c r="C783" s="1" t="n">
        <v>46140</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18061-2026</t>
        </is>
      </c>
      <c r="B784" s="1" t="n">
        <v>46125.46030092592</v>
      </c>
      <c r="C784" s="1" t="n">
        <v>46140</v>
      </c>
      <c r="D784" t="inlineStr">
        <is>
          <t>ÖREBRO LÄN</t>
        </is>
      </c>
      <c r="E784" t="inlineStr">
        <is>
          <t>LINDESBERG</t>
        </is>
      </c>
      <c r="G784" t="n">
        <v>0.7</v>
      </c>
      <c r="H784" t="n">
        <v>0</v>
      </c>
      <c r="I784" t="n">
        <v>0</v>
      </c>
      <c r="J784" t="n">
        <v>0</v>
      </c>
      <c r="K784" t="n">
        <v>0</v>
      </c>
      <c r="L784" t="n">
        <v>0</v>
      </c>
      <c r="M784" t="n">
        <v>0</v>
      </c>
      <c r="N784" t="n">
        <v>0</v>
      </c>
      <c r="O784" t="n">
        <v>0</v>
      </c>
      <c r="P784" t="n">
        <v>0</v>
      </c>
      <c r="Q784" t="n">
        <v>0</v>
      </c>
      <c r="R784" s="2" t="inlineStr"/>
    </row>
    <row r="785" ht="15" customHeight="1">
      <c r="A785" t="inlineStr">
        <is>
          <t>A 34436-2023</t>
        </is>
      </c>
      <c r="B785" s="1" t="n">
        <v>45139.64328703703</v>
      </c>
      <c r="C785" s="1" t="n">
        <v>46140</v>
      </c>
      <c r="D785" t="inlineStr">
        <is>
          <t>ÖREBRO LÄN</t>
        </is>
      </c>
      <c r="E785" t="inlineStr">
        <is>
          <t>LINDESBERG</t>
        </is>
      </c>
      <c r="F785" t="inlineStr">
        <is>
          <t>Kyrkan</t>
        </is>
      </c>
      <c r="G785" t="n">
        <v>5.8</v>
      </c>
      <c r="H785" t="n">
        <v>0</v>
      </c>
      <c r="I785" t="n">
        <v>0</v>
      </c>
      <c r="J785" t="n">
        <v>0</v>
      </c>
      <c r="K785" t="n">
        <v>0</v>
      </c>
      <c r="L785" t="n">
        <v>0</v>
      </c>
      <c r="M785" t="n">
        <v>0</v>
      </c>
      <c r="N785" t="n">
        <v>0</v>
      </c>
      <c r="O785" t="n">
        <v>0</v>
      </c>
      <c r="P785" t="n">
        <v>0</v>
      </c>
      <c r="Q785" t="n">
        <v>0</v>
      </c>
      <c r="R785" s="2" t="inlineStr"/>
    </row>
    <row r="786" ht="15" customHeight="1">
      <c r="A786" t="inlineStr">
        <is>
          <t>A 45078-2024</t>
        </is>
      </c>
      <c r="B786" s="1" t="n">
        <v>45575.57104166667</v>
      </c>
      <c r="C786" s="1" t="n">
        <v>46140</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27001-2024</t>
        </is>
      </c>
      <c r="B787" s="1" t="n">
        <v>45471.38995370371</v>
      </c>
      <c r="C787" s="1" t="n">
        <v>46140</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18220-2026</t>
        </is>
      </c>
      <c r="B788" s="1" t="n">
        <v>46126.30818287037</v>
      </c>
      <c r="C788" s="1" t="n">
        <v>46140</v>
      </c>
      <c r="D788" t="inlineStr">
        <is>
          <t>ÖREBRO LÄN</t>
        </is>
      </c>
      <c r="E788" t="inlineStr">
        <is>
          <t>LINDESBERG</t>
        </is>
      </c>
      <c r="G788" t="n">
        <v>5.7</v>
      </c>
      <c r="H788" t="n">
        <v>0</v>
      </c>
      <c r="I788" t="n">
        <v>0</v>
      </c>
      <c r="J788" t="n">
        <v>0</v>
      </c>
      <c r="K788" t="n">
        <v>0</v>
      </c>
      <c r="L788" t="n">
        <v>0</v>
      </c>
      <c r="M788" t="n">
        <v>0</v>
      </c>
      <c r="N788" t="n">
        <v>0</v>
      </c>
      <c r="O788" t="n">
        <v>0</v>
      </c>
      <c r="P788" t="n">
        <v>0</v>
      </c>
      <c r="Q788" t="n">
        <v>0</v>
      </c>
      <c r="R788" s="2" t="inlineStr"/>
    </row>
    <row r="789" ht="15" customHeight="1">
      <c r="A789" t="inlineStr">
        <is>
          <t>A 20467-2023</t>
        </is>
      </c>
      <c r="B789" s="1" t="n">
        <v>45057</v>
      </c>
      <c r="C789" s="1" t="n">
        <v>46140</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25012-2023</t>
        </is>
      </c>
      <c r="B790" s="1" t="n">
        <v>45085</v>
      </c>
      <c r="C790" s="1" t="n">
        <v>46140</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26778-2023</t>
        </is>
      </c>
      <c r="B791" s="1" t="n">
        <v>45093.48221064815</v>
      </c>
      <c r="C791" s="1" t="n">
        <v>46140</v>
      </c>
      <c r="D791" t="inlineStr">
        <is>
          <t>ÖREBRO LÄN</t>
        </is>
      </c>
      <c r="E791" t="inlineStr">
        <is>
          <t>LINDESBERG</t>
        </is>
      </c>
      <c r="G791" t="n">
        <v>7.5</v>
      </c>
      <c r="H791" t="n">
        <v>0</v>
      </c>
      <c r="I791" t="n">
        <v>0</v>
      </c>
      <c r="J791" t="n">
        <v>0</v>
      </c>
      <c r="K791" t="n">
        <v>0</v>
      </c>
      <c r="L791" t="n">
        <v>0</v>
      </c>
      <c r="M791" t="n">
        <v>0</v>
      </c>
      <c r="N791" t="n">
        <v>0</v>
      </c>
      <c r="O791" t="n">
        <v>0</v>
      </c>
      <c r="P791" t="n">
        <v>0</v>
      </c>
      <c r="Q791" t="n">
        <v>0</v>
      </c>
      <c r="R791" s="2" t="inlineStr"/>
    </row>
    <row r="792" ht="15" customHeight="1">
      <c r="A792" t="inlineStr">
        <is>
          <t>A 50170-2022</t>
        </is>
      </c>
      <c r="B792" s="1" t="n">
        <v>44865.600625</v>
      </c>
      <c r="C792" s="1" t="n">
        <v>46140</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1354-2024</t>
        </is>
      </c>
      <c r="B793" s="1" t="n">
        <v>45303</v>
      </c>
      <c r="C793" s="1" t="n">
        <v>46140</v>
      </c>
      <c r="D793" t="inlineStr">
        <is>
          <t>ÖREBRO LÄN</t>
        </is>
      </c>
      <c r="E793" t="inlineStr">
        <is>
          <t>LINDESBERG</t>
        </is>
      </c>
      <c r="G793" t="n">
        <v>2.1</v>
      </c>
      <c r="H793" t="n">
        <v>0</v>
      </c>
      <c r="I793" t="n">
        <v>0</v>
      </c>
      <c r="J793" t="n">
        <v>0</v>
      </c>
      <c r="K793" t="n">
        <v>0</v>
      </c>
      <c r="L793" t="n">
        <v>0</v>
      </c>
      <c r="M793" t="n">
        <v>0</v>
      </c>
      <c r="N793" t="n">
        <v>0</v>
      </c>
      <c r="O793" t="n">
        <v>0</v>
      </c>
      <c r="P793" t="n">
        <v>0</v>
      </c>
      <c r="Q793" t="n">
        <v>0</v>
      </c>
      <c r="R793" s="2" t="inlineStr"/>
    </row>
    <row r="794" ht="15" customHeight="1">
      <c r="A794" t="inlineStr">
        <is>
          <t>A 33886-2024</t>
        </is>
      </c>
      <c r="B794" s="1" t="n">
        <v>45523.31621527778</v>
      </c>
      <c r="C794" s="1" t="n">
        <v>46140</v>
      </c>
      <c r="D794" t="inlineStr">
        <is>
          <t>ÖREBRO LÄN</t>
        </is>
      </c>
      <c r="E794" t="inlineStr">
        <is>
          <t>LINDESBERG</t>
        </is>
      </c>
      <c r="G794" t="n">
        <v>1.3</v>
      </c>
      <c r="H794" t="n">
        <v>0</v>
      </c>
      <c r="I794" t="n">
        <v>0</v>
      </c>
      <c r="J794" t="n">
        <v>0</v>
      </c>
      <c r="K794" t="n">
        <v>0</v>
      </c>
      <c r="L794" t="n">
        <v>0</v>
      </c>
      <c r="M794" t="n">
        <v>0</v>
      </c>
      <c r="N794" t="n">
        <v>0</v>
      </c>
      <c r="O794" t="n">
        <v>0</v>
      </c>
      <c r="P794" t="n">
        <v>0</v>
      </c>
      <c r="Q794" t="n">
        <v>0</v>
      </c>
      <c r="R794" s="2" t="inlineStr"/>
    </row>
    <row r="795" ht="15" customHeight="1">
      <c r="A795" t="inlineStr">
        <is>
          <t>A 18640-2026</t>
        </is>
      </c>
      <c r="B795" s="1" t="n">
        <v>46128.32461805556</v>
      </c>
      <c r="C795" s="1" t="n">
        <v>46140</v>
      </c>
      <c r="D795" t="inlineStr">
        <is>
          <t>ÖREBRO LÄN</t>
        </is>
      </c>
      <c r="E795" t="inlineStr">
        <is>
          <t>LINDESBERG</t>
        </is>
      </c>
      <c r="F795" t="inlineStr">
        <is>
          <t>Sveaskog</t>
        </is>
      </c>
      <c r="G795" t="n">
        <v>0.3</v>
      </c>
      <c r="H795" t="n">
        <v>0</v>
      </c>
      <c r="I795" t="n">
        <v>0</v>
      </c>
      <c r="J795" t="n">
        <v>0</v>
      </c>
      <c r="K795" t="n">
        <v>0</v>
      </c>
      <c r="L795" t="n">
        <v>0</v>
      </c>
      <c r="M795" t="n">
        <v>0</v>
      </c>
      <c r="N795" t="n">
        <v>0</v>
      </c>
      <c r="O795" t="n">
        <v>0</v>
      </c>
      <c r="P795" t="n">
        <v>0</v>
      </c>
      <c r="Q795" t="n">
        <v>0</v>
      </c>
      <c r="R795" s="2" t="inlineStr"/>
    </row>
    <row r="796" ht="15" customHeight="1">
      <c r="A796" t="inlineStr">
        <is>
          <t>A 50285-2022</t>
        </is>
      </c>
      <c r="B796" s="1" t="n">
        <v>44865.87770833333</v>
      </c>
      <c r="C796" s="1" t="n">
        <v>46140</v>
      </c>
      <c r="D796" t="inlineStr">
        <is>
          <t>ÖREBRO LÄN</t>
        </is>
      </c>
      <c r="E796" t="inlineStr">
        <is>
          <t>LINDESBERG</t>
        </is>
      </c>
      <c r="G796" t="n">
        <v>2.5</v>
      </c>
      <c r="H796" t="n">
        <v>0</v>
      </c>
      <c r="I796" t="n">
        <v>0</v>
      </c>
      <c r="J796" t="n">
        <v>0</v>
      </c>
      <c r="K796" t="n">
        <v>0</v>
      </c>
      <c r="L796" t="n">
        <v>0</v>
      </c>
      <c r="M796" t="n">
        <v>0</v>
      </c>
      <c r="N796" t="n">
        <v>0</v>
      </c>
      <c r="O796" t="n">
        <v>0</v>
      </c>
      <c r="P796" t="n">
        <v>0</v>
      </c>
      <c r="Q796" t="n">
        <v>0</v>
      </c>
      <c r="R796" s="2" t="inlineStr"/>
    </row>
    <row r="797" ht="15" customHeight="1">
      <c r="A797" t="inlineStr">
        <is>
          <t>A 1405-2025</t>
        </is>
      </c>
      <c r="B797" s="1" t="n">
        <v>45667</v>
      </c>
      <c r="C797" s="1" t="n">
        <v>46140</v>
      </c>
      <c r="D797" t="inlineStr">
        <is>
          <t>ÖREBRO LÄN</t>
        </is>
      </c>
      <c r="E797" t="inlineStr">
        <is>
          <t>LINDESBERG</t>
        </is>
      </c>
      <c r="F797" t="inlineStr">
        <is>
          <t>Allmännings- och besparingsskogar</t>
        </is>
      </c>
      <c r="G797" t="n">
        <v>3.1</v>
      </c>
      <c r="H797" t="n">
        <v>0</v>
      </c>
      <c r="I797" t="n">
        <v>0</v>
      </c>
      <c r="J797" t="n">
        <v>0</v>
      </c>
      <c r="K797" t="n">
        <v>0</v>
      </c>
      <c r="L797" t="n">
        <v>0</v>
      </c>
      <c r="M797" t="n">
        <v>0</v>
      </c>
      <c r="N797" t="n">
        <v>0</v>
      </c>
      <c r="O797" t="n">
        <v>0</v>
      </c>
      <c r="P797" t="n">
        <v>0</v>
      </c>
      <c r="Q797" t="n">
        <v>0</v>
      </c>
      <c r="R797" s="2" t="inlineStr"/>
    </row>
    <row r="798" ht="15" customHeight="1">
      <c r="A798" t="inlineStr">
        <is>
          <t>A 18634-2026</t>
        </is>
      </c>
      <c r="B798" s="1" t="n">
        <v>46128.31271990741</v>
      </c>
      <c r="C798" s="1" t="n">
        <v>46140</v>
      </c>
      <c r="D798" t="inlineStr">
        <is>
          <t>ÖREBRO LÄN</t>
        </is>
      </c>
      <c r="E798" t="inlineStr">
        <is>
          <t>LINDESBERG</t>
        </is>
      </c>
      <c r="F798" t="inlineStr">
        <is>
          <t>Sveaskog</t>
        </is>
      </c>
      <c r="G798" t="n">
        <v>11.7</v>
      </c>
      <c r="H798" t="n">
        <v>0</v>
      </c>
      <c r="I798" t="n">
        <v>0</v>
      </c>
      <c r="J798" t="n">
        <v>0</v>
      </c>
      <c r="K798" t="n">
        <v>0</v>
      </c>
      <c r="L798" t="n">
        <v>0</v>
      </c>
      <c r="M798" t="n">
        <v>0</v>
      </c>
      <c r="N798" t="n">
        <v>0</v>
      </c>
      <c r="O798" t="n">
        <v>0</v>
      </c>
      <c r="P798" t="n">
        <v>0</v>
      </c>
      <c r="Q798" t="n">
        <v>0</v>
      </c>
      <c r="R798" s="2" t="inlineStr"/>
    </row>
    <row r="799" ht="15" customHeight="1">
      <c r="A799" t="inlineStr">
        <is>
          <t>A 18637-2026</t>
        </is>
      </c>
      <c r="B799" s="1" t="n">
        <v>46128.31604166667</v>
      </c>
      <c r="C799" s="1" t="n">
        <v>46140</v>
      </c>
      <c r="D799" t="inlineStr">
        <is>
          <t>ÖREBRO LÄN</t>
        </is>
      </c>
      <c r="E799" t="inlineStr">
        <is>
          <t>LINDESBERG</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40456-2023</t>
        </is>
      </c>
      <c r="B800" s="1" t="n">
        <v>45170</v>
      </c>
      <c r="C800" s="1" t="n">
        <v>46140</v>
      </c>
      <c r="D800" t="inlineStr">
        <is>
          <t>ÖREBRO LÄN</t>
        </is>
      </c>
      <c r="E800" t="inlineStr">
        <is>
          <t>LINDESBERG</t>
        </is>
      </c>
      <c r="F800" t="inlineStr">
        <is>
          <t>Kyrkan</t>
        </is>
      </c>
      <c r="G800" t="n">
        <v>0.6</v>
      </c>
      <c r="H800" t="n">
        <v>0</v>
      </c>
      <c r="I800" t="n">
        <v>0</v>
      </c>
      <c r="J800" t="n">
        <v>0</v>
      </c>
      <c r="K800" t="n">
        <v>0</v>
      </c>
      <c r="L800" t="n">
        <v>0</v>
      </c>
      <c r="M800" t="n">
        <v>0</v>
      </c>
      <c r="N800" t="n">
        <v>0</v>
      </c>
      <c r="O800" t="n">
        <v>0</v>
      </c>
      <c r="P800" t="n">
        <v>0</v>
      </c>
      <c r="Q800" t="n">
        <v>0</v>
      </c>
      <c r="R800" s="2" t="inlineStr"/>
    </row>
    <row r="801" ht="15" customHeight="1">
      <c r="A801" t="inlineStr">
        <is>
          <t>A 18636-2026</t>
        </is>
      </c>
      <c r="B801" s="1" t="n">
        <v>46128.31521990741</v>
      </c>
      <c r="C801" s="1" t="n">
        <v>46140</v>
      </c>
      <c r="D801" t="inlineStr">
        <is>
          <t>ÖREBRO LÄN</t>
        </is>
      </c>
      <c r="E801" t="inlineStr">
        <is>
          <t>LINDESBERG</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28562-2023</t>
        </is>
      </c>
      <c r="B802" s="1" t="n">
        <v>45103.53614583334</v>
      </c>
      <c r="C802" s="1" t="n">
        <v>46140</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17463-2023</t>
        </is>
      </c>
      <c r="B803" s="1" t="n">
        <v>45036</v>
      </c>
      <c r="C803" s="1" t="n">
        <v>46140</v>
      </c>
      <c r="D803" t="inlineStr">
        <is>
          <t>ÖREBRO LÄN</t>
        </is>
      </c>
      <c r="E803" t="inlineStr">
        <is>
          <t>LINDESBERG</t>
        </is>
      </c>
      <c r="G803" t="n">
        <v>0.6</v>
      </c>
      <c r="H803" t="n">
        <v>0</v>
      </c>
      <c r="I803" t="n">
        <v>0</v>
      </c>
      <c r="J803" t="n">
        <v>0</v>
      </c>
      <c r="K803" t="n">
        <v>0</v>
      </c>
      <c r="L803" t="n">
        <v>0</v>
      </c>
      <c r="M803" t="n">
        <v>0</v>
      </c>
      <c r="N803" t="n">
        <v>0</v>
      </c>
      <c r="O803" t="n">
        <v>0</v>
      </c>
      <c r="P803" t="n">
        <v>0</v>
      </c>
      <c r="Q803" t="n">
        <v>0</v>
      </c>
      <c r="R803" s="2" t="inlineStr"/>
    </row>
    <row r="804" ht="15" customHeight="1">
      <c r="A804" t="inlineStr">
        <is>
          <t>A 6511-2025</t>
        </is>
      </c>
      <c r="B804" s="1" t="n">
        <v>45699.65424768518</v>
      </c>
      <c r="C804" s="1" t="n">
        <v>46140</v>
      </c>
      <c r="D804" t="inlineStr">
        <is>
          <t>ÖREBRO LÄN</t>
        </is>
      </c>
      <c r="E804" t="inlineStr">
        <is>
          <t>LINDESBERG</t>
        </is>
      </c>
      <c r="G804" t="n">
        <v>9.1</v>
      </c>
      <c r="H804" t="n">
        <v>0</v>
      </c>
      <c r="I804" t="n">
        <v>0</v>
      </c>
      <c r="J804" t="n">
        <v>0</v>
      </c>
      <c r="K804" t="n">
        <v>0</v>
      </c>
      <c r="L804" t="n">
        <v>0</v>
      </c>
      <c r="M804" t="n">
        <v>0</v>
      </c>
      <c r="N804" t="n">
        <v>0</v>
      </c>
      <c r="O804" t="n">
        <v>0</v>
      </c>
      <c r="P804" t="n">
        <v>0</v>
      </c>
      <c r="Q804" t="n">
        <v>0</v>
      </c>
      <c r="R804" s="2" t="inlineStr"/>
    </row>
    <row r="805" ht="15" customHeight="1">
      <c r="A805" t="inlineStr">
        <is>
          <t>A 22829-2023</t>
        </is>
      </c>
      <c r="B805" s="1" t="n">
        <v>45072.42776620371</v>
      </c>
      <c r="C805" s="1" t="n">
        <v>46140</v>
      </c>
      <c r="D805" t="inlineStr">
        <is>
          <t>ÖREBRO LÄN</t>
        </is>
      </c>
      <c r="E805" t="inlineStr">
        <is>
          <t>LINDESBERG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19260-2026</t>
        </is>
      </c>
      <c r="B806" s="1" t="n">
        <v>46132.70711805556</v>
      </c>
      <c r="C806" s="1" t="n">
        <v>46140</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3026-2026</t>
        </is>
      </c>
      <c r="B807" s="1" t="n">
        <v>46038</v>
      </c>
      <c r="C807" s="1" t="n">
        <v>46140</v>
      </c>
      <c r="D807" t="inlineStr">
        <is>
          <t>ÖREBRO LÄN</t>
        </is>
      </c>
      <c r="E807" t="inlineStr">
        <is>
          <t>LINDESBERG</t>
        </is>
      </c>
      <c r="G807" t="n">
        <v>10.3</v>
      </c>
      <c r="H807" t="n">
        <v>0</v>
      </c>
      <c r="I807" t="n">
        <v>0</v>
      </c>
      <c r="J807" t="n">
        <v>0</v>
      </c>
      <c r="K807" t="n">
        <v>0</v>
      </c>
      <c r="L807" t="n">
        <v>0</v>
      </c>
      <c r="M807" t="n">
        <v>0</v>
      </c>
      <c r="N807" t="n">
        <v>0</v>
      </c>
      <c r="O807" t="n">
        <v>0</v>
      </c>
      <c r="P807" t="n">
        <v>0</v>
      </c>
      <c r="Q807" t="n">
        <v>0</v>
      </c>
      <c r="R807" s="2" t="inlineStr"/>
    </row>
    <row r="808" ht="15" customHeight="1">
      <c r="A808" t="inlineStr">
        <is>
          <t>A 60105-2022</t>
        </is>
      </c>
      <c r="B808" s="1" t="n">
        <v>44902</v>
      </c>
      <c r="C808" s="1" t="n">
        <v>46140</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19292-2026</t>
        </is>
      </c>
      <c r="B809" s="1" t="n">
        <v>46133.32493055556</v>
      </c>
      <c r="C809" s="1" t="n">
        <v>46140</v>
      </c>
      <c r="D809" t="inlineStr">
        <is>
          <t>ÖREBRO LÄN</t>
        </is>
      </c>
      <c r="E809" t="inlineStr">
        <is>
          <t>LINDESBERG</t>
        </is>
      </c>
      <c r="G809" t="n">
        <v>0.4</v>
      </c>
      <c r="H809" t="n">
        <v>0</v>
      </c>
      <c r="I809" t="n">
        <v>0</v>
      </c>
      <c r="J809" t="n">
        <v>0</v>
      </c>
      <c r="K809" t="n">
        <v>0</v>
      </c>
      <c r="L809" t="n">
        <v>0</v>
      </c>
      <c r="M809" t="n">
        <v>0</v>
      </c>
      <c r="N809" t="n">
        <v>0</v>
      </c>
      <c r="O809" t="n">
        <v>0</v>
      </c>
      <c r="P809" t="n">
        <v>0</v>
      </c>
      <c r="Q809" t="n">
        <v>0</v>
      </c>
      <c r="R809" s="2" t="inlineStr"/>
    </row>
    <row r="810" ht="15" customHeight="1">
      <c r="A810" t="inlineStr">
        <is>
          <t>A 53046-2024</t>
        </is>
      </c>
      <c r="B810" s="1" t="n">
        <v>45611.44960648148</v>
      </c>
      <c r="C810" s="1" t="n">
        <v>46140</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18590-2023</t>
        </is>
      </c>
      <c r="B811" s="1" t="n">
        <v>45043.40300925926</v>
      </c>
      <c r="C811" s="1" t="n">
        <v>46140</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51539-2024</t>
        </is>
      </c>
      <c r="B812" s="1" t="n">
        <v>45604.58837962963</v>
      </c>
      <c r="C812" s="1" t="n">
        <v>46140</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15852-2025</t>
        </is>
      </c>
      <c r="B813" s="1" t="n">
        <v>45749</v>
      </c>
      <c r="C813" s="1" t="n">
        <v>46140</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34539-2024</t>
        </is>
      </c>
      <c r="B814" s="1" t="n">
        <v>45525.7374537037</v>
      </c>
      <c r="C814" s="1" t="n">
        <v>46140</v>
      </c>
      <c r="D814" t="inlineStr">
        <is>
          <t>ÖREBRO LÄN</t>
        </is>
      </c>
      <c r="E814" t="inlineStr">
        <is>
          <t>LINDESBERG</t>
        </is>
      </c>
      <c r="G814" t="n">
        <v>5.4</v>
      </c>
      <c r="H814" t="n">
        <v>0</v>
      </c>
      <c r="I814" t="n">
        <v>0</v>
      </c>
      <c r="J814" t="n">
        <v>0</v>
      </c>
      <c r="K814" t="n">
        <v>0</v>
      </c>
      <c r="L814" t="n">
        <v>0</v>
      </c>
      <c r="M814" t="n">
        <v>0</v>
      </c>
      <c r="N814" t="n">
        <v>0</v>
      </c>
      <c r="O814" t="n">
        <v>0</v>
      </c>
      <c r="P814" t="n">
        <v>0</v>
      </c>
      <c r="Q814" t="n">
        <v>0</v>
      </c>
      <c r="R814" s="2" t="inlineStr"/>
    </row>
    <row r="815" ht="15" customHeight="1">
      <c r="A815" t="inlineStr">
        <is>
          <t>A 35739-2024</t>
        </is>
      </c>
      <c r="B815" s="1" t="n">
        <v>45532</v>
      </c>
      <c r="C815" s="1" t="n">
        <v>46140</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1383-2025</t>
        </is>
      </c>
      <c r="B816" s="1" t="n">
        <v>45667</v>
      </c>
      <c r="C816" s="1" t="n">
        <v>46140</v>
      </c>
      <c r="D816" t="inlineStr">
        <is>
          <t>ÖREBRO LÄN</t>
        </is>
      </c>
      <c r="E816" t="inlineStr">
        <is>
          <t>LINDESBERG</t>
        </is>
      </c>
      <c r="G816" t="n">
        <v>5</v>
      </c>
      <c r="H816" t="n">
        <v>0</v>
      </c>
      <c r="I816" t="n">
        <v>0</v>
      </c>
      <c r="J816" t="n">
        <v>0</v>
      </c>
      <c r="K816" t="n">
        <v>0</v>
      </c>
      <c r="L816" t="n">
        <v>0</v>
      </c>
      <c r="M816" t="n">
        <v>0</v>
      </c>
      <c r="N816" t="n">
        <v>0</v>
      </c>
      <c r="O816" t="n">
        <v>0</v>
      </c>
      <c r="P816" t="n">
        <v>0</v>
      </c>
      <c r="Q816" t="n">
        <v>0</v>
      </c>
      <c r="R816" s="2" t="inlineStr"/>
    </row>
    <row r="817" ht="15" customHeight="1">
      <c r="A817" t="inlineStr">
        <is>
          <t>A 10057-2025</t>
        </is>
      </c>
      <c r="B817" s="1" t="n">
        <v>45719.52871527777</v>
      </c>
      <c r="C817" s="1" t="n">
        <v>46140</v>
      </c>
      <c r="D817" t="inlineStr">
        <is>
          <t>ÖREBRO LÄN</t>
        </is>
      </c>
      <c r="E817" t="inlineStr">
        <is>
          <t>LINDESBERG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20387-2026</t>
        </is>
      </c>
      <c r="B818" s="1" t="n">
        <v>46139.71047453704</v>
      </c>
      <c r="C818" s="1" t="n">
        <v>46140</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43247-2023</t>
        </is>
      </c>
      <c r="B819" s="1" t="n">
        <v>45183.48666666666</v>
      </c>
      <c r="C819" s="1" t="n">
        <v>46140</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626-2025</t>
        </is>
      </c>
      <c r="B820" s="1" t="n">
        <v>45664</v>
      </c>
      <c r="C820" s="1" t="n">
        <v>46140</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43046-2022</t>
        </is>
      </c>
      <c r="B821" s="1" t="n">
        <v>44833</v>
      </c>
      <c r="C821" s="1" t="n">
        <v>46140</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57795-2021</t>
        </is>
      </c>
      <c r="B822" s="1" t="n">
        <v>44484</v>
      </c>
      <c r="C822" s="1" t="n">
        <v>46140</v>
      </c>
      <c r="D822" t="inlineStr">
        <is>
          <t>ÖREBRO LÄN</t>
        </is>
      </c>
      <c r="E822" t="inlineStr">
        <is>
          <t>LINDESBERG</t>
        </is>
      </c>
      <c r="G822" t="n">
        <v>39.4</v>
      </c>
      <c r="H822" t="n">
        <v>0</v>
      </c>
      <c r="I822" t="n">
        <v>0</v>
      </c>
      <c r="J822" t="n">
        <v>0</v>
      </c>
      <c r="K822" t="n">
        <v>0</v>
      </c>
      <c r="L822" t="n">
        <v>0</v>
      </c>
      <c r="M822" t="n">
        <v>0</v>
      </c>
      <c r="N822" t="n">
        <v>0</v>
      </c>
      <c r="O822" t="n">
        <v>0</v>
      </c>
      <c r="P822" t="n">
        <v>0</v>
      </c>
      <c r="Q822" t="n">
        <v>0</v>
      </c>
      <c r="R822" s="2" t="inlineStr"/>
    </row>
    <row r="823" ht="15" customHeight="1">
      <c r="A823" t="inlineStr">
        <is>
          <t>A 20364-2026</t>
        </is>
      </c>
      <c r="B823" s="1" t="n">
        <v>46139.67759259259</v>
      </c>
      <c r="C823" s="1" t="n">
        <v>46140</v>
      </c>
      <c r="D823" t="inlineStr">
        <is>
          <t>ÖREBRO LÄN</t>
        </is>
      </c>
      <c r="E823" t="inlineStr">
        <is>
          <t>LINDESBERG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43433-2024</t>
        </is>
      </c>
      <c r="B824" s="1" t="n">
        <v>45568.64523148148</v>
      </c>
      <c r="C824" s="1" t="n">
        <v>46140</v>
      </c>
      <c r="D824" t="inlineStr">
        <is>
          <t>ÖREBRO LÄN</t>
        </is>
      </c>
      <c r="E824" t="inlineStr">
        <is>
          <t>LINDESBERG</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6604-2024</t>
        </is>
      </c>
      <c r="B825" s="1" t="n">
        <v>45341.56577546296</v>
      </c>
      <c r="C825" s="1" t="n">
        <v>46140</v>
      </c>
      <c r="D825" t="inlineStr">
        <is>
          <t>ÖREBRO LÄN</t>
        </is>
      </c>
      <c r="E825" t="inlineStr">
        <is>
          <t>LINDESBERG</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5550-2024</t>
        </is>
      </c>
      <c r="B826" s="1" t="n">
        <v>45334</v>
      </c>
      <c r="C826" s="1" t="n">
        <v>46140</v>
      </c>
      <c r="D826" t="inlineStr">
        <is>
          <t>ÖREBRO LÄN</t>
        </is>
      </c>
      <c r="E826" t="inlineStr">
        <is>
          <t>LINDESBERG</t>
        </is>
      </c>
      <c r="G826" t="n">
        <v>0.6</v>
      </c>
      <c r="H826" t="n">
        <v>0</v>
      </c>
      <c r="I826" t="n">
        <v>0</v>
      </c>
      <c r="J826" t="n">
        <v>0</v>
      </c>
      <c r="K826" t="n">
        <v>0</v>
      </c>
      <c r="L826" t="n">
        <v>0</v>
      </c>
      <c r="M826" t="n">
        <v>0</v>
      </c>
      <c r="N826" t="n">
        <v>0</v>
      </c>
      <c r="O826" t="n">
        <v>0</v>
      </c>
      <c r="P826" t="n">
        <v>0</v>
      </c>
      <c r="Q826" t="n">
        <v>0</v>
      </c>
      <c r="R826" s="2" t="inlineStr"/>
    </row>
    <row r="827" ht="15" customHeight="1">
      <c r="A827" t="inlineStr">
        <is>
          <t>A 63125-2023</t>
        </is>
      </c>
      <c r="B827" s="1" t="n">
        <v>45273</v>
      </c>
      <c r="C827" s="1" t="n">
        <v>46140</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15752-2024</t>
        </is>
      </c>
      <c r="B828" s="1" t="n">
        <v>45404.55681712963</v>
      </c>
      <c r="C828" s="1" t="n">
        <v>46140</v>
      </c>
      <c r="D828" t="inlineStr">
        <is>
          <t>ÖREBRO LÄN</t>
        </is>
      </c>
      <c r="E828" t="inlineStr">
        <is>
          <t>LINDESBERG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35229-2024</t>
        </is>
      </c>
      <c r="B829" s="1" t="n">
        <v>45530</v>
      </c>
      <c r="C829" s="1" t="n">
        <v>46140</v>
      </c>
      <c r="D829" t="inlineStr">
        <is>
          <t>ÖREBRO LÄN</t>
        </is>
      </c>
      <c r="E829" t="inlineStr">
        <is>
          <t>LINDESBERG</t>
        </is>
      </c>
      <c r="G829" t="n">
        <v>0.8</v>
      </c>
      <c r="H829" t="n">
        <v>0</v>
      </c>
      <c r="I829" t="n">
        <v>0</v>
      </c>
      <c r="J829" t="n">
        <v>0</v>
      </c>
      <c r="K829" t="n">
        <v>0</v>
      </c>
      <c r="L829" t="n">
        <v>0</v>
      </c>
      <c r="M829" t="n">
        <v>0</v>
      </c>
      <c r="N829" t="n">
        <v>0</v>
      </c>
      <c r="O829" t="n">
        <v>0</v>
      </c>
      <c r="P829" t="n">
        <v>0</v>
      </c>
      <c r="Q829" t="n">
        <v>0</v>
      </c>
      <c r="R829" s="2" t="inlineStr"/>
    </row>
    <row r="830" ht="15" customHeight="1">
      <c r="A830" t="inlineStr">
        <is>
          <t>A 50986-2023</t>
        </is>
      </c>
      <c r="B830" s="1" t="n">
        <v>45218</v>
      </c>
      <c r="C830" s="1" t="n">
        <v>46140</v>
      </c>
      <c r="D830" t="inlineStr">
        <is>
          <t>ÖREBRO LÄN</t>
        </is>
      </c>
      <c r="E830" t="inlineStr">
        <is>
          <t>LINDESBERG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25046-2024</t>
        </is>
      </c>
      <c r="B831" s="1" t="n">
        <v>45462</v>
      </c>
      <c r="C831" s="1" t="n">
        <v>46140</v>
      </c>
      <c r="D831" t="inlineStr">
        <is>
          <t>ÖREBRO LÄN</t>
        </is>
      </c>
      <c r="E831" t="inlineStr">
        <is>
          <t>LINDESBERG</t>
        </is>
      </c>
      <c r="G831" t="n">
        <v>4.1</v>
      </c>
      <c r="H831" t="n">
        <v>0</v>
      </c>
      <c r="I831" t="n">
        <v>0</v>
      </c>
      <c r="J831" t="n">
        <v>0</v>
      </c>
      <c r="K831" t="n">
        <v>0</v>
      </c>
      <c r="L831" t="n">
        <v>0</v>
      </c>
      <c r="M831" t="n">
        <v>0</v>
      </c>
      <c r="N831" t="n">
        <v>0</v>
      </c>
      <c r="O831" t="n">
        <v>0</v>
      </c>
      <c r="P831" t="n">
        <v>0</v>
      </c>
      <c r="Q831" t="n">
        <v>0</v>
      </c>
      <c r="R831" s="2" t="inlineStr"/>
    </row>
    <row r="832" ht="15" customHeight="1">
      <c r="A832" t="inlineStr">
        <is>
          <t>A 44675-2021</t>
        </is>
      </c>
      <c r="B832" s="1" t="n">
        <v>44438</v>
      </c>
      <c r="C832" s="1" t="n">
        <v>46140</v>
      </c>
      <c r="D832" t="inlineStr">
        <is>
          <t>ÖREBRO LÄN</t>
        </is>
      </c>
      <c r="E832" t="inlineStr">
        <is>
          <t>LINDESBERG</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32829-2024</t>
        </is>
      </c>
      <c r="B833" s="1" t="n">
        <v>45516.59447916667</v>
      </c>
      <c r="C833" s="1" t="n">
        <v>46140</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43416-2024</t>
        </is>
      </c>
      <c r="B834" s="1" t="n">
        <v>45568.62625</v>
      </c>
      <c r="C834" s="1" t="n">
        <v>46140</v>
      </c>
      <c r="D834" t="inlineStr">
        <is>
          <t>ÖREBRO LÄN</t>
        </is>
      </c>
      <c r="E834" t="inlineStr">
        <is>
          <t>LINDESBERG</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54859-2024</t>
        </is>
      </c>
      <c r="B835" s="1" t="n">
        <v>45618.58962962963</v>
      </c>
      <c r="C835" s="1" t="n">
        <v>46140</v>
      </c>
      <c r="D835" t="inlineStr">
        <is>
          <t>ÖREBRO LÄN</t>
        </is>
      </c>
      <c r="E835" t="inlineStr">
        <is>
          <t>LINDESBERG</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10654-2023</t>
        </is>
      </c>
      <c r="B836" s="1" t="n">
        <v>44984</v>
      </c>
      <c r="C836" s="1" t="n">
        <v>46140</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30534-2023</t>
        </is>
      </c>
      <c r="B837" s="1" t="n">
        <v>45111</v>
      </c>
      <c r="C837" s="1" t="n">
        <v>46140</v>
      </c>
      <c r="D837" t="inlineStr">
        <is>
          <t>ÖREBRO LÄN</t>
        </is>
      </c>
      <c r="E837" t="inlineStr">
        <is>
          <t>LINDESBERG</t>
        </is>
      </c>
      <c r="G837" t="n">
        <v>0.7</v>
      </c>
      <c r="H837" t="n">
        <v>0</v>
      </c>
      <c r="I837" t="n">
        <v>0</v>
      </c>
      <c r="J837" t="n">
        <v>0</v>
      </c>
      <c r="K837" t="n">
        <v>0</v>
      </c>
      <c r="L837" t="n">
        <v>0</v>
      </c>
      <c r="M837" t="n">
        <v>0</v>
      </c>
      <c r="N837" t="n">
        <v>0</v>
      </c>
      <c r="O837" t="n">
        <v>0</v>
      </c>
      <c r="P837" t="n">
        <v>0</v>
      </c>
      <c r="Q837" t="n">
        <v>0</v>
      </c>
      <c r="R837" s="2" t="inlineStr"/>
    </row>
    <row r="838" ht="15" customHeight="1">
      <c r="A838" t="inlineStr">
        <is>
          <t>A 27013-2024</t>
        </is>
      </c>
      <c r="B838" s="1" t="n">
        <v>45471.40384259259</v>
      </c>
      <c r="C838" s="1" t="n">
        <v>46140</v>
      </c>
      <c r="D838" t="inlineStr">
        <is>
          <t>ÖREBRO LÄN</t>
        </is>
      </c>
      <c r="E838" t="inlineStr">
        <is>
          <t>LINDESBERG</t>
        </is>
      </c>
      <c r="G838" t="n">
        <v>5.2</v>
      </c>
      <c r="H838" t="n">
        <v>0</v>
      </c>
      <c r="I838" t="n">
        <v>0</v>
      </c>
      <c r="J838" t="n">
        <v>0</v>
      </c>
      <c r="K838" t="n">
        <v>0</v>
      </c>
      <c r="L838" t="n">
        <v>0</v>
      </c>
      <c r="M838" t="n">
        <v>0</v>
      </c>
      <c r="N838" t="n">
        <v>0</v>
      </c>
      <c r="O838" t="n">
        <v>0</v>
      </c>
      <c r="P838" t="n">
        <v>0</v>
      </c>
      <c r="Q838" t="n">
        <v>0</v>
      </c>
      <c r="R838" s="2" t="inlineStr"/>
    </row>
    <row r="839" ht="15" customHeight="1">
      <c r="A839" t="inlineStr">
        <is>
          <t>A 9140-2025</t>
        </is>
      </c>
      <c r="B839" s="1" t="n">
        <v>45714.31533564815</v>
      </c>
      <c r="C839" s="1" t="n">
        <v>46140</v>
      </c>
      <c r="D839" t="inlineStr">
        <is>
          <t>ÖREBRO LÄN</t>
        </is>
      </c>
      <c r="E839" t="inlineStr">
        <is>
          <t>LINDESBERG</t>
        </is>
      </c>
      <c r="G839" t="n">
        <v>0.8</v>
      </c>
      <c r="H839" t="n">
        <v>0</v>
      </c>
      <c r="I839" t="n">
        <v>0</v>
      </c>
      <c r="J839" t="n">
        <v>0</v>
      </c>
      <c r="K839" t="n">
        <v>0</v>
      </c>
      <c r="L839" t="n">
        <v>0</v>
      </c>
      <c r="M839" t="n">
        <v>0</v>
      </c>
      <c r="N839" t="n">
        <v>0</v>
      </c>
      <c r="O839" t="n">
        <v>0</v>
      </c>
      <c r="P839" t="n">
        <v>0</v>
      </c>
      <c r="Q839" t="n">
        <v>0</v>
      </c>
      <c r="R839" s="2" t="inlineStr"/>
    </row>
    <row r="840" ht="15" customHeight="1">
      <c r="A840" t="inlineStr">
        <is>
          <t>A 28469-2023</t>
        </is>
      </c>
      <c r="B840" s="1" t="n">
        <v>45103</v>
      </c>
      <c r="C840" s="1" t="n">
        <v>46140</v>
      </c>
      <c r="D840" t="inlineStr">
        <is>
          <t>ÖREBRO LÄN</t>
        </is>
      </c>
      <c r="E840" t="inlineStr">
        <is>
          <t>LINDESBERG</t>
        </is>
      </c>
      <c r="G840" t="n">
        <v>0.3</v>
      </c>
      <c r="H840" t="n">
        <v>0</v>
      </c>
      <c r="I840" t="n">
        <v>0</v>
      </c>
      <c r="J840" t="n">
        <v>0</v>
      </c>
      <c r="K840" t="n">
        <v>0</v>
      </c>
      <c r="L840" t="n">
        <v>0</v>
      </c>
      <c r="M840" t="n">
        <v>0</v>
      </c>
      <c r="N840" t="n">
        <v>0</v>
      </c>
      <c r="O840" t="n">
        <v>0</v>
      </c>
      <c r="P840" t="n">
        <v>0</v>
      </c>
      <c r="Q840" t="n">
        <v>0</v>
      </c>
      <c r="R840" s="2" t="inlineStr"/>
    </row>
    <row r="841" ht="15" customHeight="1">
      <c r="A841" t="inlineStr">
        <is>
          <t>A 12278-2025</t>
        </is>
      </c>
      <c r="B841" s="1" t="n">
        <v>45729.65171296296</v>
      </c>
      <c r="C841" s="1" t="n">
        <v>46140</v>
      </c>
      <c r="D841" t="inlineStr">
        <is>
          <t>ÖREBRO LÄN</t>
        </is>
      </c>
      <c r="E841" t="inlineStr">
        <is>
          <t>LINDESBERG</t>
        </is>
      </c>
      <c r="G841" t="n">
        <v>3.2</v>
      </c>
      <c r="H841" t="n">
        <v>0</v>
      </c>
      <c r="I841" t="n">
        <v>0</v>
      </c>
      <c r="J841" t="n">
        <v>0</v>
      </c>
      <c r="K841" t="n">
        <v>0</v>
      </c>
      <c r="L841" t="n">
        <v>0</v>
      </c>
      <c r="M841" t="n">
        <v>0</v>
      </c>
      <c r="N841" t="n">
        <v>0</v>
      </c>
      <c r="O841" t="n">
        <v>0</v>
      </c>
      <c r="P841" t="n">
        <v>0</v>
      </c>
      <c r="Q841" t="n">
        <v>0</v>
      </c>
      <c r="R841" s="2" t="inlineStr"/>
    </row>
    <row r="842" ht="15" customHeight="1">
      <c r="A842" t="inlineStr">
        <is>
          <t>A 20954-2024</t>
        </is>
      </c>
      <c r="B842" s="1" t="n">
        <v>45439.56605324074</v>
      </c>
      <c r="C842" s="1" t="n">
        <v>46140</v>
      </c>
      <c r="D842" t="inlineStr">
        <is>
          <t>ÖREBRO LÄN</t>
        </is>
      </c>
      <c r="E842" t="inlineStr">
        <is>
          <t>LINDESBERG</t>
        </is>
      </c>
      <c r="G842" t="n">
        <v>0.9</v>
      </c>
      <c r="H842" t="n">
        <v>0</v>
      </c>
      <c r="I842" t="n">
        <v>0</v>
      </c>
      <c r="J842" t="n">
        <v>0</v>
      </c>
      <c r="K842" t="n">
        <v>0</v>
      </c>
      <c r="L842" t="n">
        <v>0</v>
      </c>
      <c r="M842" t="n">
        <v>0</v>
      </c>
      <c r="N842" t="n">
        <v>0</v>
      </c>
      <c r="O842" t="n">
        <v>0</v>
      </c>
      <c r="P842" t="n">
        <v>0</v>
      </c>
      <c r="Q842" t="n">
        <v>0</v>
      </c>
      <c r="R842" s="2" t="inlineStr"/>
    </row>
    <row r="843" ht="15" customHeight="1">
      <c r="A843" t="inlineStr">
        <is>
          <t>A 7120-2025</t>
        </is>
      </c>
      <c r="B843" s="1" t="n">
        <v>45702</v>
      </c>
      <c r="C843" s="1" t="n">
        <v>46140</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36773-2024</t>
        </is>
      </c>
      <c r="B844" s="1" t="n">
        <v>45538</v>
      </c>
      <c r="C844" s="1" t="n">
        <v>46140</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53897-2024</t>
        </is>
      </c>
      <c r="B845" s="1" t="n">
        <v>45615.69570601852</v>
      </c>
      <c r="C845" s="1" t="n">
        <v>46140</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12692-2024</t>
        </is>
      </c>
      <c r="B846" s="1" t="n">
        <v>45384.43418981481</v>
      </c>
      <c r="C846" s="1" t="n">
        <v>46140</v>
      </c>
      <c r="D846" t="inlineStr">
        <is>
          <t>ÖREBRO LÄN</t>
        </is>
      </c>
      <c r="E846" t="inlineStr">
        <is>
          <t>LINDESBERG</t>
        </is>
      </c>
      <c r="G846" t="n">
        <v>5.2</v>
      </c>
      <c r="H846" t="n">
        <v>0</v>
      </c>
      <c r="I846" t="n">
        <v>0</v>
      </c>
      <c r="J846" t="n">
        <v>0</v>
      </c>
      <c r="K846" t="n">
        <v>0</v>
      </c>
      <c r="L846" t="n">
        <v>0</v>
      </c>
      <c r="M846" t="n">
        <v>0</v>
      </c>
      <c r="N846" t="n">
        <v>0</v>
      </c>
      <c r="O846" t="n">
        <v>0</v>
      </c>
      <c r="P846" t="n">
        <v>0</v>
      </c>
      <c r="Q846" t="n">
        <v>0</v>
      </c>
      <c r="R846" s="2" t="inlineStr"/>
    </row>
    <row r="847" ht="15" customHeight="1">
      <c r="A847" t="inlineStr">
        <is>
          <t>A 15325-2024</t>
        </is>
      </c>
      <c r="B847" s="1" t="n">
        <v>45400.6709837963</v>
      </c>
      <c r="C847" s="1" t="n">
        <v>46140</v>
      </c>
      <c r="D847" t="inlineStr">
        <is>
          <t>ÖREBRO LÄN</t>
        </is>
      </c>
      <c r="E847" t="inlineStr">
        <is>
          <t>LINDESBERG</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7119-2025</t>
        </is>
      </c>
      <c r="B848" s="1" t="n">
        <v>45702</v>
      </c>
      <c r="C848" s="1" t="n">
        <v>46140</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20804-2025</t>
        </is>
      </c>
      <c r="B849" s="1" t="n">
        <v>45776.65518518518</v>
      </c>
      <c r="C849" s="1" t="n">
        <v>46140</v>
      </c>
      <c r="D849" t="inlineStr">
        <is>
          <t>ÖREBRO LÄN</t>
        </is>
      </c>
      <c r="E849" t="inlineStr">
        <is>
          <t>LINDESBERG</t>
        </is>
      </c>
      <c r="G849" t="n">
        <v>3.2</v>
      </c>
      <c r="H849" t="n">
        <v>0</v>
      </c>
      <c r="I849" t="n">
        <v>0</v>
      </c>
      <c r="J849" t="n">
        <v>0</v>
      </c>
      <c r="K849" t="n">
        <v>0</v>
      </c>
      <c r="L849" t="n">
        <v>0</v>
      </c>
      <c r="M849" t="n">
        <v>0</v>
      </c>
      <c r="N849" t="n">
        <v>0</v>
      </c>
      <c r="O849" t="n">
        <v>0</v>
      </c>
      <c r="P849" t="n">
        <v>0</v>
      </c>
      <c r="Q849" t="n">
        <v>0</v>
      </c>
      <c r="R849" s="2" t="inlineStr"/>
    </row>
    <row r="850" ht="15" customHeight="1">
      <c r="A850" t="inlineStr">
        <is>
          <t>A 20923-2025</t>
        </is>
      </c>
      <c r="B850" s="1" t="n">
        <v>45777.41673611111</v>
      </c>
      <c r="C850" s="1" t="n">
        <v>46140</v>
      </c>
      <c r="D850" t="inlineStr">
        <is>
          <t>ÖREBRO LÄN</t>
        </is>
      </c>
      <c r="E850" t="inlineStr">
        <is>
          <t>LINDESBERG</t>
        </is>
      </c>
      <c r="F850" t="inlineStr">
        <is>
          <t>Sveaskog</t>
        </is>
      </c>
      <c r="G850" t="n">
        <v>10.3</v>
      </c>
      <c r="H850" t="n">
        <v>0</v>
      </c>
      <c r="I850" t="n">
        <v>0</v>
      </c>
      <c r="J850" t="n">
        <v>0</v>
      </c>
      <c r="K850" t="n">
        <v>0</v>
      </c>
      <c r="L850" t="n">
        <v>0</v>
      </c>
      <c r="M850" t="n">
        <v>0</v>
      </c>
      <c r="N850" t="n">
        <v>0</v>
      </c>
      <c r="O850" t="n">
        <v>0</v>
      </c>
      <c r="P850" t="n">
        <v>0</v>
      </c>
      <c r="Q850" t="n">
        <v>0</v>
      </c>
      <c r="R850" s="2" t="inlineStr"/>
    </row>
    <row r="851" ht="15" customHeight="1">
      <c r="A851" t="inlineStr">
        <is>
          <t>A 20950-2025</t>
        </is>
      </c>
      <c r="B851" s="1" t="n">
        <v>45777.43878472222</v>
      </c>
      <c r="C851" s="1" t="n">
        <v>46140</v>
      </c>
      <c r="D851" t="inlineStr">
        <is>
          <t>ÖREBRO LÄN</t>
        </is>
      </c>
      <c r="E851" t="inlineStr">
        <is>
          <t>LINDESBERG</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12795-2025</t>
        </is>
      </c>
      <c r="B852" s="1" t="n">
        <v>45733.60959490741</v>
      </c>
      <c r="C852" s="1" t="n">
        <v>46140</v>
      </c>
      <c r="D852" t="inlineStr">
        <is>
          <t>ÖREBRO LÄN</t>
        </is>
      </c>
      <c r="E852" t="inlineStr">
        <is>
          <t>LINDESBERG</t>
        </is>
      </c>
      <c r="G852" t="n">
        <v>10.8</v>
      </c>
      <c r="H852" t="n">
        <v>0</v>
      </c>
      <c r="I852" t="n">
        <v>0</v>
      </c>
      <c r="J852" t="n">
        <v>0</v>
      </c>
      <c r="K852" t="n">
        <v>0</v>
      </c>
      <c r="L852" t="n">
        <v>0</v>
      </c>
      <c r="M852" t="n">
        <v>0</v>
      </c>
      <c r="N852" t="n">
        <v>0</v>
      </c>
      <c r="O852" t="n">
        <v>0</v>
      </c>
      <c r="P852" t="n">
        <v>0</v>
      </c>
      <c r="Q852" t="n">
        <v>0</v>
      </c>
      <c r="R852" s="2" t="inlineStr"/>
    </row>
    <row r="853" ht="15" customHeight="1">
      <c r="A853" t="inlineStr">
        <is>
          <t>A 20930-2025</t>
        </is>
      </c>
      <c r="B853" s="1" t="n">
        <v>45777.42628472222</v>
      </c>
      <c r="C853" s="1" t="n">
        <v>46140</v>
      </c>
      <c r="D853" t="inlineStr">
        <is>
          <t>ÖREBRO LÄN</t>
        </is>
      </c>
      <c r="E853" t="inlineStr">
        <is>
          <t>LINDESBERG</t>
        </is>
      </c>
      <c r="F853" t="inlineStr">
        <is>
          <t>Sveaskog</t>
        </is>
      </c>
      <c r="G853" t="n">
        <v>3.9</v>
      </c>
      <c r="H853" t="n">
        <v>0</v>
      </c>
      <c r="I853" t="n">
        <v>0</v>
      </c>
      <c r="J853" t="n">
        <v>0</v>
      </c>
      <c r="K853" t="n">
        <v>0</v>
      </c>
      <c r="L853" t="n">
        <v>0</v>
      </c>
      <c r="M853" t="n">
        <v>0</v>
      </c>
      <c r="N853" t="n">
        <v>0</v>
      </c>
      <c r="O853" t="n">
        <v>0</v>
      </c>
      <c r="P853" t="n">
        <v>0</v>
      </c>
      <c r="Q853" t="n">
        <v>0</v>
      </c>
      <c r="R853" s="2" t="inlineStr"/>
    </row>
    <row r="854" ht="15" customHeight="1">
      <c r="A854" t="inlineStr">
        <is>
          <t>A 20944-2025</t>
        </is>
      </c>
      <c r="B854" s="1" t="n">
        <v>45777</v>
      </c>
      <c r="C854" s="1" t="n">
        <v>46140</v>
      </c>
      <c r="D854" t="inlineStr">
        <is>
          <t>ÖREBRO LÄN</t>
        </is>
      </c>
      <c r="E854" t="inlineStr">
        <is>
          <t>LINDESBERG</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21812-2025</t>
        </is>
      </c>
      <c r="B855" s="1" t="n">
        <v>45783.71833333333</v>
      </c>
      <c r="C855" s="1" t="n">
        <v>46140</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31861-2024</t>
        </is>
      </c>
      <c r="B856" s="1" t="n">
        <v>45509.73383101852</v>
      </c>
      <c r="C856" s="1" t="n">
        <v>46140</v>
      </c>
      <c r="D856" t="inlineStr">
        <is>
          <t>ÖREBRO LÄN</t>
        </is>
      </c>
      <c r="E856" t="inlineStr">
        <is>
          <t>LINDESBERG</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43195-2024</t>
        </is>
      </c>
      <c r="B857" s="1" t="n">
        <v>45567.68003472222</v>
      </c>
      <c r="C857" s="1" t="n">
        <v>46140</v>
      </c>
      <c r="D857" t="inlineStr">
        <is>
          <t>ÖREBRO LÄN</t>
        </is>
      </c>
      <c r="E857" t="inlineStr">
        <is>
          <t>LINDESBERG</t>
        </is>
      </c>
      <c r="G857" t="n">
        <v>27.8</v>
      </c>
      <c r="H857" t="n">
        <v>0</v>
      </c>
      <c r="I857" t="n">
        <v>0</v>
      </c>
      <c r="J857" t="n">
        <v>0</v>
      </c>
      <c r="K857" t="n">
        <v>0</v>
      </c>
      <c r="L857" t="n">
        <v>0</v>
      </c>
      <c r="M857" t="n">
        <v>0</v>
      </c>
      <c r="N857" t="n">
        <v>0</v>
      </c>
      <c r="O857" t="n">
        <v>0</v>
      </c>
      <c r="P857" t="n">
        <v>0</v>
      </c>
      <c r="Q857" t="n">
        <v>0</v>
      </c>
      <c r="R857" s="2" t="inlineStr"/>
    </row>
    <row r="858" ht="15" customHeight="1">
      <c r="A858" t="inlineStr">
        <is>
          <t>A 24583-2024</t>
        </is>
      </c>
      <c r="B858" s="1" t="n">
        <v>45460.46358796296</v>
      </c>
      <c r="C858" s="1" t="n">
        <v>46140</v>
      </c>
      <c r="D858" t="inlineStr">
        <is>
          <t>ÖREBRO LÄN</t>
        </is>
      </c>
      <c r="E858" t="inlineStr">
        <is>
          <t>LINDESBERG</t>
        </is>
      </c>
      <c r="G858" t="n">
        <v>13.7</v>
      </c>
      <c r="H858" t="n">
        <v>0</v>
      </c>
      <c r="I858" t="n">
        <v>0</v>
      </c>
      <c r="J858" t="n">
        <v>0</v>
      </c>
      <c r="K858" t="n">
        <v>0</v>
      </c>
      <c r="L858" t="n">
        <v>0</v>
      </c>
      <c r="M858" t="n">
        <v>0</v>
      </c>
      <c r="N858" t="n">
        <v>0</v>
      </c>
      <c r="O858" t="n">
        <v>0</v>
      </c>
      <c r="P858" t="n">
        <v>0</v>
      </c>
      <c r="Q858" t="n">
        <v>0</v>
      </c>
      <c r="R858" s="2" t="inlineStr"/>
    </row>
    <row r="859" ht="15" customHeight="1">
      <c r="A859" t="inlineStr">
        <is>
          <t>A 28776-2023</t>
        </is>
      </c>
      <c r="B859" s="1" t="n">
        <v>45104.34107638889</v>
      </c>
      <c r="C859" s="1" t="n">
        <v>46140</v>
      </c>
      <c r="D859" t="inlineStr">
        <is>
          <t>ÖREBRO LÄN</t>
        </is>
      </c>
      <c r="E859" t="inlineStr">
        <is>
          <t>LINDESBERG</t>
        </is>
      </c>
      <c r="F859" t="inlineStr">
        <is>
          <t>Sveaskog</t>
        </is>
      </c>
      <c r="G859" t="n">
        <v>4.1</v>
      </c>
      <c r="H859" t="n">
        <v>0</v>
      </c>
      <c r="I859" t="n">
        <v>0</v>
      </c>
      <c r="J859" t="n">
        <v>0</v>
      </c>
      <c r="K859" t="n">
        <v>0</v>
      </c>
      <c r="L859" t="n">
        <v>0</v>
      </c>
      <c r="M859" t="n">
        <v>0</v>
      </c>
      <c r="N859" t="n">
        <v>0</v>
      </c>
      <c r="O859" t="n">
        <v>0</v>
      </c>
      <c r="P859" t="n">
        <v>0</v>
      </c>
      <c r="Q859" t="n">
        <v>0</v>
      </c>
      <c r="R859" s="2" t="inlineStr"/>
    </row>
    <row r="860" ht="15" customHeight="1">
      <c r="A860" t="inlineStr">
        <is>
          <t>A 22438-2025</t>
        </is>
      </c>
      <c r="B860" s="1" t="n">
        <v>45786</v>
      </c>
      <c r="C860" s="1" t="n">
        <v>46140</v>
      </c>
      <c r="D860" t="inlineStr">
        <is>
          <t>ÖREBRO LÄN</t>
        </is>
      </c>
      <c r="E860" t="inlineStr">
        <is>
          <t>LINDESBERG</t>
        </is>
      </c>
      <c r="F860" t="inlineStr">
        <is>
          <t>Sveaskog</t>
        </is>
      </c>
      <c r="G860" t="n">
        <v>6.1</v>
      </c>
      <c r="H860" t="n">
        <v>0</v>
      </c>
      <c r="I860" t="n">
        <v>0</v>
      </c>
      <c r="J860" t="n">
        <v>0</v>
      </c>
      <c r="K860" t="n">
        <v>0</v>
      </c>
      <c r="L860" t="n">
        <v>0</v>
      </c>
      <c r="M860" t="n">
        <v>0</v>
      </c>
      <c r="N860" t="n">
        <v>0</v>
      </c>
      <c r="O860" t="n">
        <v>0</v>
      </c>
      <c r="P860" t="n">
        <v>0</v>
      </c>
      <c r="Q860" t="n">
        <v>0</v>
      </c>
      <c r="R860" s="2" t="inlineStr"/>
    </row>
    <row r="861" ht="15" customHeight="1">
      <c r="A861" t="inlineStr">
        <is>
          <t>A 43532-2024</t>
        </is>
      </c>
      <c r="B861" s="1" t="n">
        <v>45569.3533912037</v>
      </c>
      <c r="C861" s="1" t="n">
        <v>46140</v>
      </c>
      <c r="D861" t="inlineStr">
        <is>
          <t>ÖREBRO LÄN</t>
        </is>
      </c>
      <c r="E861" t="inlineStr">
        <is>
          <t>LINDESBERG</t>
        </is>
      </c>
      <c r="G861" t="n">
        <v>2.4</v>
      </c>
      <c r="H861" t="n">
        <v>0</v>
      </c>
      <c r="I861" t="n">
        <v>0</v>
      </c>
      <c r="J861" t="n">
        <v>0</v>
      </c>
      <c r="K861" t="n">
        <v>0</v>
      </c>
      <c r="L861" t="n">
        <v>0</v>
      </c>
      <c r="M861" t="n">
        <v>0</v>
      </c>
      <c r="N861" t="n">
        <v>0</v>
      </c>
      <c r="O861" t="n">
        <v>0</v>
      </c>
      <c r="P861" t="n">
        <v>0</v>
      </c>
      <c r="Q861" t="n">
        <v>0</v>
      </c>
      <c r="R861" s="2" t="inlineStr"/>
    </row>
    <row r="862" ht="15" customHeight="1">
      <c r="A862" t="inlineStr">
        <is>
          <t>A 59282-2023</t>
        </is>
      </c>
      <c r="B862" s="1" t="n">
        <v>45253</v>
      </c>
      <c r="C862" s="1" t="n">
        <v>46140</v>
      </c>
      <c r="D862" t="inlineStr">
        <is>
          <t>ÖREBRO LÄN</t>
        </is>
      </c>
      <c r="E862" t="inlineStr">
        <is>
          <t>LINDESBERG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47601-2023</t>
        </is>
      </c>
      <c r="B863" s="1" t="n">
        <v>45203.45681712963</v>
      </c>
      <c r="C863" s="1" t="n">
        <v>46140</v>
      </c>
      <c r="D863" t="inlineStr">
        <is>
          <t>ÖREBRO LÄN</t>
        </is>
      </c>
      <c r="E863" t="inlineStr">
        <is>
          <t>LINDESBERG</t>
        </is>
      </c>
      <c r="G863" t="n">
        <v>37.6</v>
      </c>
      <c r="H863" t="n">
        <v>0</v>
      </c>
      <c r="I863" t="n">
        <v>0</v>
      </c>
      <c r="J863" t="n">
        <v>0</v>
      </c>
      <c r="K863" t="n">
        <v>0</v>
      </c>
      <c r="L863" t="n">
        <v>0</v>
      </c>
      <c r="M863" t="n">
        <v>0</v>
      </c>
      <c r="N863" t="n">
        <v>0</v>
      </c>
      <c r="O863" t="n">
        <v>0</v>
      </c>
      <c r="P863" t="n">
        <v>0</v>
      </c>
      <c r="Q863" t="n">
        <v>0</v>
      </c>
      <c r="R863" s="2" t="inlineStr"/>
    </row>
    <row r="864" ht="15" customHeight="1">
      <c r="A864" t="inlineStr">
        <is>
          <t>A 62308-2023</t>
        </is>
      </c>
      <c r="B864" s="1" t="n">
        <v>45267.69052083333</v>
      </c>
      <c r="C864" s="1" t="n">
        <v>46140</v>
      </c>
      <c r="D864" t="inlineStr">
        <is>
          <t>ÖREBRO LÄN</t>
        </is>
      </c>
      <c r="E864" t="inlineStr">
        <is>
          <t>LINDESBERG</t>
        </is>
      </c>
      <c r="F864" t="inlineStr">
        <is>
          <t>Naturvårdsverket</t>
        </is>
      </c>
      <c r="G864" t="n">
        <v>3.1</v>
      </c>
      <c r="H864" t="n">
        <v>0</v>
      </c>
      <c r="I864" t="n">
        <v>0</v>
      </c>
      <c r="J864" t="n">
        <v>0</v>
      </c>
      <c r="K864" t="n">
        <v>0</v>
      </c>
      <c r="L864" t="n">
        <v>0</v>
      </c>
      <c r="M864" t="n">
        <v>0</v>
      </c>
      <c r="N864" t="n">
        <v>0</v>
      </c>
      <c r="O864" t="n">
        <v>0</v>
      </c>
      <c r="P864" t="n">
        <v>0</v>
      </c>
      <c r="Q864" t="n">
        <v>0</v>
      </c>
      <c r="R864" s="2" t="inlineStr"/>
    </row>
    <row r="865" ht="15" customHeight="1">
      <c r="A865" t="inlineStr">
        <is>
          <t>A 22078-2025</t>
        </is>
      </c>
      <c r="B865" s="1" t="n">
        <v>45785.4253125</v>
      </c>
      <c r="C865" s="1" t="n">
        <v>46140</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36686-2024</t>
        </is>
      </c>
      <c r="B866" s="1" t="n">
        <v>45537.665</v>
      </c>
      <c r="C866" s="1" t="n">
        <v>46140</v>
      </c>
      <c r="D866" t="inlineStr">
        <is>
          <t>ÖREBRO LÄN</t>
        </is>
      </c>
      <c r="E866" t="inlineStr">
        <is>
          <t>LINDESBERG</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53355-2023</t>
        </is>
      </c>
      <c r="B867" s="1" t="n">
        <v>45229.66430555555</v>
      </c>
      <c r="C867" s="1" t="n">
        <v>46140</v>
      </c>
      <c r="D867" t="inlineStr">
        <is>
          <t>ÖREBRO LÄN</t>
        </is>
      </c>
      <c r="E867" t="inlineStr">
        <is>
          <t>LINDESBERG</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36680-2024</t>
        </is>
      </c>
      <c r="B868" s="1" t="n">
        <v>45537.65305555556</v>
      </c>
      <c r="C868" s="1" t="n">
        <v>46140</v>
      </c>
      <c r="D868" t="inlineStr">
        <is>
          <t>ÖREBRO LÄN</t>
        </is>
      </c>
      <c r="E868" t="inlineStr">
        <is>
          <t>LINDESBERG</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54793-2024</t>
        </is>
      </c>
      <c r="B869" s="1" t="n">
        <v>45618</v>
      </c>
      <c r="C869" s="1" t="n">
        <v>46140</v>
      </c>
      <c r="D869" t="inlineStr">
        <is>
          <t>ÖREBRO LÄN</t>
        </is>
      </c>
      <c r="E869" t="inlineStr">
        <is>
          <t>LINDESBERG</t>
        </is>
      </c>
      <c r="G869" t="n">
        <v>3</v>
      </c>
      <c r="H869" t="n">
        <v>0</v>
      </c>
      <c r="I869" t="n">
        <v>0</v>
      </c>
      <c r="J869" t="n">
        <v>0</v>
      </c>
      <c r="K869" t="n">
        <v>0</v>
      </c>
      <c r="L869" t="n">
        <v>0</v>
      </c>
      <c r="M869" t="n">
        <v>0</v>
      </c>
      <c r="N869" t="n">
        <v>0</v>
      </c>
      <c r="O869" t="n">
        <v>0</v>
      </c>
      <c r="P869" t="n">
        <v>0</v>
      </c>
      <c r="Q869" t="n">
        <v>0</v>
      </c>
      <c r="R869" s="2" t="inlineStr"/>
    </row>
    <row r="870" ht="15" customHeight="1">
      <c r="A870" t="inlineStr">
        <is>
          <t>A 22543-2025</t>
        </is>
      </c>
      <c r="B870" s="1" t="n">
        <v>45788.42467592593</v>
      </c>
      <c r="C870" s="1" t="n">
        <v>46140</v>
      </c>
      <c r="D870" t="inlineStr">
        <is>
          <t>ÖREBRO LÄN</t>
        </is>
      </c>
      <c r="E870" t="inlineStr">
        <is>
          <t>LINDESBERG</t>
        </is>
      </c>
      <c r="G870" t="n">
        <v>6.7</v>
      </c>
      <c r="H870" t="n">
        <v>0</v>
      </c>
      <c r="I870" t="n">
        <v>0</v>
      </c>
      <c r="J870" t="n">
        <v>0</v>
      </c>
      <c r="K870" t="n">
        <v>0</v>
      </c>
      <c r="L870" t="n">
        <v>0</v>
      </c>
      <c r="M870" t="n">
        <v>0</v>
      </c>
      <c r="N870" t="n">
        <v>0</v>
      </c>
      <c r="O870" t="n">
        <v>0</v>
      </c>
      <c r="P870" t="n">
        <v>0</v>
      </c>
      <c r="Q870" t="n">
        <v>0</v>
      </c>
      <c r="R870" s="2" t="inlineStr"/>
    </row>
    <row r="871" ht="15" customHeight="1">
      <c r="A871" t="inlineStr">
        <is>
          <t>A 23245-2025</t>
        </is>
      </c>
      <c r="B871" s="1" t="n">
        <v>45791.50862268519</v>
      </c>
      <c r="C871" s="1" t="n">
        <v>46140</v>
      </c>
      <c r="D871" t="inlineStr">
        <is>
          <t>ÖREBRO LÄN</t>
        </is>
      </c>
      <c r="E871" t="inlineStr">
        <is>
          <t>LINDESBERG</t>
        </is>
      </c>
      <c r="G871" t="n">
        <v>6.8</v>
      </c>
      <c r="H871" t="n">
        <v>0</v>
      </c>
      <c r="I871" t="n">
        <v>0</v>
      </c>
      <c r="J871" t="n">
        <v>0</v>
      </c>
      <c r="K871" t="n">
        <v>0</v>
      </c>
      <c r="L871" t="n">
        <v>0</v>
      </c>
      <c r="M871" t="n">
        <v>0</v>
      </c>
      <c r="N871" t="n">
        <v>0</v>
      </c>
      <c r="O871" t="n">
        <v>0</v>
      </c>
      <c r="P871" t="n">
        <v>0</v>
      </c>
      <c r="Q871" t="n">
        <v>0</v>
      </c>
      <c r="R871" s="2" t="inlineStr"/>
    </row>
    <row r="872" ht="15" customHeight="1">
      <c r="A872" t="inlineStr">
        <is>
          <t>A 42707-2023</t>
        </is>
      </c>
      <c r="B872" s="1" t="n">
        <v>45181</v>
      </c>
      <c r="C872" s="1" t="n">
        <v>46140</v>
      </c>
      <c r="D872" t="inlineStr">
        <is>
          <t>ÖREBRO LÄN</t>
        </is>
      </c>
      <c r="E872" t="inlineStr">
        <is>
          <t>LINDESBERG</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59641-2024</t>
        </is>
      </c>
      <c r="B873" s="1" t="n">
        <v>45639.30934027778</v>
      </c>
      <c r="C873" s="1" t="n">
        <v>46140</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17779-2024</t>
        </is>
      </c>
      <c r="B874" s="1" t="n">
        <v>45418.66800925926</v>
      </c>
      <c r="C874" s="1" t="n">
        <v>46140</v>
      </c>
      <c r="D874" t="inlineStr">
        <is>
          <t>ÖREBRO LÄN</t>
        </is>
      </c>
      <c r="E874" t="inlineStr">
        <is>
          <t>LINDESBERG</t>
        </is>
      </c>
      <c r="G874" t="n">
        <v>3.7</v>
      </c>
      <c r="H874" t="n">
        <v>0</v>
      </c>
      <c r="I874" t="n">
        <v>0</v>
      </c>
      <c r="J874" t="n">
        <v>0</v>
      </c>
      <c r="K874" t="n">
        <v>0</v>
      </c>
      <c r="L874" t="n">
        <v>0</v>
      </c>
      <c r="M874" t="n">
        <v>0</v>
      </c>
      <c r="N874" t="n">
        <v>0</v>
      </c>
      <c r="O874" t="n">
        <v>0</v>
      </c>
      <c r="P874" t="n">
        <v>0</v>
      </c>
      <c r="Q874" t="n">
        <v>0</v>
      </c>
      <c r="R874" s="2" t="inlineStr"/>
    </row>
    <row r="875" ht="15" customHeight="1">
      <c r="A875" t="inlineStr">
        <is>
          <t>A 21202-2024</t>
        </is>
      </c>
      <c r="B875" s="1" t="n">
        <v>45440.5433912037</v>
      </c>
      <c r="C875" s="1" t="n">
        <v>46140</v>
      </c>
      <c r="D875" t="inlineStr">
        <is>
          <t>ÖREBRO LÄN</t>
        </is>
      </c>
      <c r="E875" t="inlineStr">
        <is>
          <t>LINDESBERG</t>
        </is>
      </c>
      <c r="G875" t="n">
        <v>4</v>
      </c>
      <c r="H875" t="n">
        <v>0</v>
      </c>
      <c r="I875" t="n">
        <v>0</v>
      </c>
      <c r="J875" t="n">
        <v>0</v>
      </c>
      <c r="K875" t="n">
        <v>0</v>
      </c>
      <c r="L875" t="n">
        <v>0</v>
      </c>
      <c r="M875" t="n">
        <v>0</v>
      </c>
      <c r="N875" t="n">
        <v>0</v>
      </c>
      <c r="O875" t="n">
        <v>0</v>
      </c>
      <c r="P875" t="n">
        <v>0</v>
      </c>
      <c r="Q875" t="n">
        <v>0</v>
      </c>
      <c r="R875" s="2" t="inlineStr"/>
    </row>
    <row r="876" ht="15" customHeight="1">
      <c r="A876" t="inlineStr">
        <is>
          <t>A 1400-2025</t>
        </is>
      </c>
      <c r="B876" s="1" t="n">
        <v>45667</v>
      </c>
      <c r="C876" s="1" t="n">
        <v>46140</v>
      </c>
      <c r="D876" t="inlineStr">
        <is>
          <t>ÖREBRO LÄN</t>
        </is>
      </c>
      <c r="E876" t="inlineStr">
        <is>
          <t>LINDESBERG</t>
        </is>
      </c>
      <c r="F876" t="inlineStr">
        <is>
          <t>Allmännings- och besparingsskogar</t>
        </is>
      </c>
      <c r="G876" t="n">
        <v>11.3</v>
      </c>
      <c r="H876" t="n">
        <v>0</v>
      </c>
      <c r="I876" t="n">
        <v>0</v>
      </c>
      <c r="J876" t="n">
        <v>0</v>
      </c>
      <c r="K876" t="n">
        <v>0</v>
      </c>
      <c r="L876" t="n">
        <v>0</v>
      </c>
      <c r="M876" t="n">
        <v>0</v>
      </c>
      <c r="N876" t="n">
        <v>0</v>
      </c>
      <c r="O876" t="n">
        <v>0</v>
      </c>
      <c r="P876" t="n">
        <v>0</v>
      </c>
      <c r="Q876" t="n">
        <v>0</v>
      </c>
      <c r="R876" s="2" t="inlineStr"/>
    </row>
    <row r="877" ht="15" customHeight="1">
      <c r="A877" t="inlineStr">
        <is>
          <t>A 23835-2025</t>
        </is>
      </c>
      <c r="B877" s="1" t="n">
        <v>45793.61047453704</v>
      </c>
      <c r="C877" s="1" t="n">
        <v>46140</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24017-2025</t>
        </is>
      </c>
      <c r="B878" s="1" t="n">
        <v>45796.44885416667</v>
      </c>
      <c r="C878" s="1" t="n">
        <v>46140</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24107-2025</t>
        </is>
      </c>
      <c r="B879" s="1" t="n">
        <v>45796</v>
      </c>
      <c r="C879" s="1" t="n">
        <v>46140</v>
      </c>
      <c r="D879" t="inlineStr">
        <is>
          <t>ÖREBRO LÄN</t>
        </is>
      </c>
      <c r="E879" t="inlineStr">
        <is>
          <t>LINDESBERG</t>
        </is>
      </c>
      <c r="F879" t="inlineStr">
        <is>
          <t>Sveaskog</t>
        </is>
      </c>
      <c r="G879" t="n">
        <v>1.3</v>
      </c>
      <c r="H879" t="n">
        <v>0</v>
      </c>
      <c r="I879" t="n">
        <v>0</v>
      </c>
      <c r="J879" t="n">
        <v>0</v>
      </c>
      <c r="K879" t="n">
        <v>0</v>
      </c>
      <c r="L879" t="n">
        <v>0</v>
      </c>
      <c r="M879" t="n">
        <v>0</v>
      </c>
      <c r="N879" t="n">
        <v>0</v>
      </c>
      <c r="O879" t="n">
        <v>0</v>
      </c>
      <c r="P879" t="n">
        <v>0</v>
      </c>
      <c r="Q879" t="n">
        <v>0</v>
      </c>
      <c r="R879" s="2" t="inlineStr"/>
    </row>
    <row r="880" ht="15" customHeight="1">
      <c r="A880" t="inlineStr">
        <is>
          <t>A 23932-2025</t>
        </is>
      </c>
      <c r="B880" s="1" t="n">
        <v>45795.70912037037</v>
      </c>
      <c r="C880" s="1" t="n">
        <v>46140</v>
      </c>
      <c r="D880" t="inlineStr">
        <is>
          <t>ÖREBRO LÄN</t>
        </is>
      </c>
      <c r="E880" t="inlineStr">
        <is>
          <t>LINDESBERG</t>
        </is>
      </c>
      <c r="G880" t="n">
        <v>2</v>
      </c>
      <c r="H880" t="n">
        <v>0</v>
      </c>
      <c r="I880" t="n">
        <v>0</v>
      </c>
      <c r="J880" t="n">
        <v>0</v>
      </c>
      <c r="K880" t="n">
        <v>0</v>
      </c>
      <c r="L880" t="n">
        <v>0</v>
      </c>
      <c r="M880" t="n">
        <v>0</v>
      </c>
      <c r="N880" t="n">
        <v>0</v>
      </c>
      <c r="O880" t="n">
        <v>0</v>
      </c>
      <c r="P880" t="n">
        <v>0</v>
      </c>
      <c r="Q880" t="n">
        <v>0</v>
      </c>
      <c r="R880" s="2" t="inlineStr"/>
    </row>
    <row r="881" ht="15" customHeight="1">
      <c r="A881" t="inlineStr">
        <is>
          <t>A 24011-2025</t>
        </is>
      </c>
      <c r="B881" s="1" t="n">
        <v>45796</v>
      </c>
      <c r="C881" s="1" t="n">
        <v>46140</v>
      </c>
      <c r="D881" t="inlineStr">
        <is>
          <t>ÖREBRO LÄN</t>
        </is>
      </c>
      <c r="E881" t="inlineStr">
        <is>
          <t>LINDESBERG</t>
        </is>
      </c>
      <c r="F881" t="inlineStr">
        <is>
          <t>Sveaskog</t>
        </is>
      </c>
      <c r="G881" t="n">
        <v>4.2</v>
      </c>
      <c r="H881" t="n">
        <v>0</v>
      </c>
      <c r="I881" t="n">
        <v>0</v>
      </c>
      <c r="J881" t="n">
        <v>0</v>
      </c>
      <c r="K881" t="n">
        <v>0</v>
      </c>
      <c r="L881" t="n">
        <v>0</v>
      </c>
      <c r="M881" t="n">
        <v>0</v>
      </c>
      <c r="N881" t="n">
        <v>0</v>
      </c>
      <c r="O881" t="n">
        <v>0</v>
      </c>
      <c r="P881" t="n">
        <v>0</v>
      </c>
      <c r="Q881" t="n">
        <v>0</v>
      </c>
      <c r="R881" s="2" t="inlineStr"/>
    </row>
    <row r="882" ht="15" customHeight="1">
      <c r="A882" t="inlineStr">
        <is>
          <t>A 24020-2025</t>
        </is>
      </c>
      <c r="B882" s="1" t="n">
        <v>45796.45054398148</v>
      </c>
      <c r="C882" s="1" t="n">
        <v>46140</v>
      </c>
      <c r="D882" t="inlineStr">
        <is>
          <t>ÖREBRO LÄN</t>
        </is>
      </c>
      <c r="E882" t="inlineStr">
        <is>
          <t>LINDESBERG</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23897-2025</t>
        </is>
      </c>
      <c r="B883" s="1" t="n">
        <v>45794.33498842592</v>
      </c>
      <c r="C883" s="1" t="n">
        <v>46140</v>
      </c>
      <c r="D883" t="inlineStr">
        <is>
          <t>ÖREBRO LÄN</t>
        </is>
      </c>
      <c r="E883" t="inlineStr">
        <is>
          <t>LINDESBERG</t>
        </is>
      </c>
      <c r="G883" t="n">
        <v>5.6</v>
      </c>
      <c r="H883" t="n">
        <v>0</v>
      </c>
      <c r="I883" t="n">
        <v>0</v>
      </c>
      <c r="J883" t="n">
        <v>0</v>
      </c>
      <c r="K883" t="n">
        <v>0</v>
      </c>
      <c r="L883" t="n">
        <v>0</v>
      </c>
      <c r="M883" t="n">
        <v>0</v>
      </c>
      <c r="N883" t="n">
        <v>0</v>
      </c>
      <c r="O883" t="n">
        <v>0</v>
      </c>
      <c r="P883" t="n">
        <v>0</v>
      </c>
      <c r="Q883" t="n">
        <v>0</v>
      </c>
      <c r="R883" s="2" t="inlineStr"/>
    </row>
    <row r="884" ht="15" customHeight="1">
      <c r="A884" t="inlineStr">
        <is>
          <t>A 23898-2025</t>
        </is>
      </c>
      <c r="B884" s="1" t="n">
        <v>45794.3419212963</v>
      </c>
      <c r="C884" s="1" t="n">
        <v>46140</v>
      </c>
      <c r="D884" t="inlineStr">
        <is>
          <t>ÖREBRO LÄN</t>
        </is>
      </c>
      <c r="E884" t="inlineStr">
        <is>
          <t>LINDESBERG</t>
        </is>
      </c>
      <c r="G884" t="n">
        <v>1</v>
      </c>
      <c r="H884" t="n">
        <v>0</v>
      </c>
      <c r="I884" t="n">
        <v>0</v>
      </c>
      <c r="J884" t="n">
        <v>0</v>
      </c>
      <c r="K884" t="n">
        <v>0</v>
      </c>
      <c r="L884" t="n">
        <v>0</v>
      </c>
      <c r="M884" t="n">
        <v>0</v>
      </c>
      <c r="N884" t="n">
        <v>0</v>
      </c>
      <c r="O884" t="n">
        <v>0</v>
      </c>
      <c r="P884" t="n">
        <v>0</v>
      </c>
      <c r="Q884" t="n">
        <v>0</v>
      </c>
      <c r="R884" s="2" t="inlineStr"/>
    </row>
    <row r="885" ht="15" customHeight="1">
      <c r="A885" t="inlineStr">
        <is>
          <t>A 23933-2025</t>
        </is>
      </c>
      <c r="B885" s="1" t="n">
        <v>45795.71300925926</v>
      </c>
      <c r="C885" s="1" t="n">
        <v>46140</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23934-2025</t>
        </is>
      </c>
      <c r="B886" s="1" t="n">
        <v>45795.71547453704</v>
      </c>
      <c r="C886" s="1" t="n">
        <v>46140</v>
      </c>
      <c r="D886" t="inlineStr">
        <is>
          <t>ÖREBRO LÄN</t>
        </is>
      </c>
      <c r="E886" t="inlineStr">
        <is>
          <t>LINDESBERG</t>
        </is>
      </c>
      <c r="G886" t="n">
        <v>1.9</v>
      </c>
      <c r="H886" t="n">
        <v>0</v>
      </c>
      <c r="I886" t="n">
        <v>0</v>
      </c>
      <c r="J886" t="n">
        <v>0</v>
      </c>
      <c r="K886" t="n">
        <v>0</v>
      </c>
      <c r="L886" t="n">
        <v>0</v>
      </c>
      <c r="M886" t="n">
        <v>0</v>
      </c>
      <c r="N886" t="n">
        <v>0</v>
      </c>
      <c r="O886" t="n">
        <v>0</v>
      </c>
      <c r="P886" t="n">
        <v>0</v>
      </c>
      <c r="Q886" t="n">
        <v>0</v>
      </c>
      <c r="R886" s="2" t="inlineStr"/>
    </row>
    <row r="887" ht="15" customHeight="1">
      <c r="A887" t="inlineStr">
        <is>
          <t>A 57944-2023</t>
        </is>
      </c>
      <c r="B887" s="1" t="n">
        <v>45244</v>
      </c>
      <c r="C887" s="1" t="n">
        <v>46140</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24043-2024</t>
        </is>
      </c>
      <c r="B888" s="1" t="n">
        <v>45456.48927083334</v>
      </c>
      <c r="C888" s="1" t="n">
        <v>46140</v>
      </c>
      <c r="D888" t="inlineStr">
        <is>
          <t>ÖREBRO LÄN</t>
        </is>
      </c>
      <c r="E888" t="inlineStr">
        <is>
          <t>LINDESBERG</t>
        </is>
      </c>
      <c r="G888" t="n">
        <v>6.2</v>
      </c>
      <c r="H888" t="n">
        <v>0</v>
      </c>
      <c r="I888" t="n">
        <v>0</v>
      </c>
      <c r="J888" t="n">
        <v>0</v>
      </c>
      <c r="K888" t="n">
        <v>0</v>
      </c>
      <c r="L888" t="n">
        <v>0</v>
      </c>
      <c r="M888" t="n">
        <v>0</v>
      </c>
      <c r="N888" t="n">
        <v>0</v>
      </c>
      <c r="O888" t="n">
        <v>0</v>
      </c>
      <c r="P888" t="n">
        <v>0</v>
      </c>
      <c r="Q888" t="n">
        <v>0</v>
      </c>
      <c r="R888" s="2" t="inlineStr"/>
    </row>
    <row r="889" ht="15" customHeight="1">
      <c r="A889" t="inlineStr">
        <is>
          <t>A 23844-2025</t>
        </is>
      </c>
      <c r="B889" s="1" t="n">
        <v>45793.62422453704</v>
      </c>
      <c r="C889" s="1" t="n">
        <v>46140</v>
      </c>
      <c r="D889" t="inlineStr">
        <is>
          <t>ÖREBRO LÄN</t>
        </is>
      </c>
      <c r="E889" t="inlineStr">
        <is>
          <t>LINDESBERG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12250-2025</t>
        </is>
      </c>
      <c r="B890" s="1" t="n">
        <v>45729.60775462963</v>
      </c>
      <c r="C890" s="1" t="n">
        <v>46140</v>
      </c>
      <c r="D890" t="inlineStr">
        <is>
          <t>ÖREBRO LÄN</t>
        </is>
      </c>
      <c r="E890" t="inlineStr">
        <is>
          <t>LINDESBERG</t>
        </is>
      </c>
      <c r="G890" t="n">
        <v>3.4</v>
      </c>
      <c r="H890" t="n">
        <v>0</v>
      </c>
      <c r="I890" t="n">
        <v>0</v>
      </c>
      <c r="J890" t="n">
        <v>0</v>
      </c>
      <c r="K890" t="n">
        <v>0</v>
      </c>
      <c r="L890" t="n">
        <v>0</v>
      </c>
      <c r="M890" t="n">
        <v>0</v>
      </c>
      <c r="N890" t="n">
        <v>0</v>
      </c>
      <c r="O890" t="n">
        <v>0</v>
      </c>
      <c r="P890" t="n">
        <v>0</v>
      </c>
      <c r="Q890" t="n">
        <v>0</v>
      </c>
      <c r="R890" s="2" t="inlineStr"/>
    </row>
    <row r="891" ht="15" customHeight="1">
      <c r="A891" t="inlineStr">
        <is>
          <t>A 48231-2024</t>
        </is>
      </c>
      <c r="B891" s="1" t="n">
        <v>45590.37590277778</v>
      </c>
      <c r="C891" s="1" t="n">
        <v>46140</v>
      </c>
      <c r="D891" t="inlineStr">
        <is>
          <t>ÖREBRO LÄN</t>
        </is>
      </c>
      <c r="E891" t="inlineStr">
        <is>
          <t>LINDESBERG</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37125-2023</t>
        </is>
      </c>
      <c r="B892" s="1" t="n">
        <v>45155.5653125</v>
      </c>
      <c r="C892" s="1" t="n">
        <v>46140</v>
      </c>
      <c r="D892" t="inlineStr">
        <is>
          <t>ÖREBRO LÄN</t>
        </is>
      </c>
      <c r="E892" t="inlineStr">
        <is>
          <t>LINDESBERG</t>
        </is>
      </c>
      <c r="G892" t="n">
        <v>2</v>
      </c>
      <c r="H892" t="n">
        <v>0</v>
      </c>
      <c r="I892" t="n">
        <v>0</v>
      </c>
      <c r="J892" t="n">
        <v>0</v>
      </c>
      <c r="K892" t="n">
        <v>0</v>
      </c>
      <c r="L892" t="n">
        <v>0</v>
      </c>
      <c r="M892" t="n">
        <v>0</v>
      </c>
      <c r="N892" t="n">
        <v>0</v>
      </c>
      <c r="O892" t="n">
        <v>0</v>
      </c>
      <c r="P892" t="n">
        <v>0</v>
      </c>
      <c r="Q892" t="n">
        <v>0</v>
      </c>
      <c r="R892" s="2" t="inlineStr"/>
    </row>
    <row r="893" ht="15" customHeight="1">
      <c r="A893" t="inlineStr">
        <is>
          <t>A 24186-2024</t>
        </is>
      </c>
      <c r="B893" s="1" t="n">
        <v>45456.90869212963</v>
      </c>
      <c r="C893" s="1" t="n">
        <v>46140</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25842-2025</t>
        </is>
      </c>
      <c r="B894" s="1" t="n">
        <v>45804.45474537037</v>
      </c>
      <c r="C894" s="1" t="n">
        <v>46140</v>
      </c>
      <c r="D894" t="inlineStr">
        <is>
          <t>ÖREBRO LÄN</t>
        </is>
      </c>
      <c r="E894" t="inlineStr">
        <is>
          <t>LINDESBERG</t>
        </is>
      </c>
      <c r="G894" t="n">
        <v>1.7</v>
      </c>
      <c r="H894" t="n">
        <v>0</v>
      </c>
      <c r="I894" t="n">
        <v>0</v>
      </c>
      <c r="J894" t="n">
        <v>0</v>
      </c>
      <c r="K894" t="n">
        <v>0</v>
      </c>
      <c r="L894" t="n">
        <v>0</v>
      </c>
      <c r="M894" t="n">
        <v>0</v>
      </c>
      <c r="N894" t="n">
        <v>0</v>
      </c>
      <c r="O894" t="n">
        <v>0</v>
      </c>
      <c r="P894" t="n">
        <v>0</v>
      </c>
      <c r="Q894" t="n">
        <v>0</v>
      </c>
      <c r="R894" s="2" t="inlineStr"/>
    </row>
    <row r="895" ht="15" customHeight="1">
      <c r="A895" t="inlineStr">
        <is>
          <t>A 25643-2025</t>
        </is>
      </c>
      <c r="B895" s="1" t="n">
        <v>45803</v>
      </c>
      <c r="C895" s="1" t="n">
        <v>46140</v>
      </c>
      <c r="D895" t="inlineStr">
        <is>
          <t>ÖREBRO LÄN</t>
        </is>
      </c>
      <c r="E895" t="inlineStr">
        <is>
          <t>LINDESBERG</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25843-2025</t>
        </is>
      </c>
      <c r="B896" s="1" t="n">
        <v>45804.45584490741</v>
      </c>
      <c r="C896" s="1" t="n">
        <v>46140</v>
      </c>
      <c r="D896" t="inlineStr">
        <is>
          <t>ÖREBRO LÄN</t>
        </is>
      </c>
      <c r="E896" t="inlineStr">
        <is>
          <t>LINDESBERG</t>
        </is>
      </c>
      <c r="G896" t="n">
        <v>4.6</v>
      </c>
      <c r="H896" t="n">
        <v>0</v>
      </c>
      <c r="I896" t="n">
        <v>0</v>
      </c>
      <c r="J896" t="n">
        <v>0</v>
      </c>
      <c r="K896" t="n">
        <v>0</v>
      </c>
      <c r="L896" t="n">
        <v>0</v>
      </c>
      <c r="M896" t="n">
        <v>0</v>
      </c>
      <c r="N896" t="n">
        <v>0</v>
      </c>
      <c r="O896" t="n">
        <v>0</v>
      </c>
      <c r="P896" t="n">
        <v>0</v>
      </c>
      <c r="Q896" t="n">
        <v>0</v>
      </c>
      <c r="R896" s="2" t="inlineStr"/>
    </row>
    <row r="897" ht="15" customHeight="1">
      <c r="A897" t="inlineStr">
        <is>
          <t>A 26016-2025</t>
        </is>
      </c>
      <c r="B897" s="1" t="n">
        <v>45804.67795138889</v>
      </c>
      <c r="C897" s="1" t="n">
        <v>46140</v>
      </c>
      <c r="D897" t="inlineStr">
        <is>
          <t>ÖREBRO LÄN</t>
        </is>
      </c>
      <c r="E897" t="inlineStr">
        <is>
          <t>LINDESBERG</t>
        </is>
      </c>
      <c r="G897" t="n">
        <v>10</v>
      </c>
      <c r="H897" t="n">
        <v>0</v>
      </c>
      <c r="I897" t="n">
        <v>0</v>
      </c>
      <c r="J897" t="n">
        <v>0</v>
      </c>
      <c r="K897" t="n">
        <v>0</v>
      </c>
      <c r="L897" t="n">
        <v>0</v>
      </c>
      <c r="M897" t="n">
        <v>0</v>
      </c>
      <c r="N897" t="n">
        <v>0</v>
      </c>
      <c r="O897" t="n">
        <v>0</v>
      </c>
      <c r="P897" t="n">
        <v>0</v>
      </c>
      <c r="Q897" t="n">
        <v>0</v>
      </c>
      <c r="R897" s="2" t="inlineStr"/>
    </row>
    <row r="898" ht="15" customHeight="1">
      <c r="A898" t="inlineStr">
        <is>
          <t>A 27309-2025</t>
        </is>
      </c>
      <c r="B898" s="1" t="n">
        <v>45812.57452546297</v>
      </c>
      <c r="C898" s="1" t="n">
        <v>46140</v>
      </c>
      <c r="D898" t="inlineStr">
        <is>
          <t>ÖREBRO LÄN</t>
        </is>
      </c>
      <c r="E898" t="inlineStr">
        <is>
          <t>LINDESBERG</t>
        </is>
      </c>
      <c r="F898" t="inlineStr">
        <is>
          <t>Sveaskog</t>
        </is>
      </c>
      <c r="G898" t="n">
        <v>1.7</v>
      </c>
      <c r="H898" t="n">
        <v>0</v>
      </c>
      <c r="I898" t="n">
        <v>0</v>
      </c>
      <c r="J898" t="n">
        <v>0</v>
      </c>
      <c r="K898" t="n">
        <v>0</v>
      </c>
      <c r="L898" t="n">
        <v>0</v>
      </c>
      <c r="M898" t="n">
        <v>0</v>
      </c>
      <c r="N898" t="n">
        <v>0</v>
      </c>
      <c r="O898" t="n">
        <v>0</v>
      </c>
      <c r="P898" t="n">
        <v>0</v>
      </c>
      <c r="Q898" t="n">
        <v>0</v>
      </c>
      <c r="R898" s="2" t="inlineStr"/>
    </row>
    <row r="899" ht="15" customHeight="1">
      <c r="A899" t="inlineStr">
        <is>
          <t>A 27311-2025</t>
        </is>
      </c>
      <c r="B899" s="1" t="n">
        <v>45812.57604166667</v>
      </c>
      <c r="C899" s="1" t="n">
        <v>46140</v>
      </c>
      <c r="D899" t="inlineStr">
        <is>
          <t>ÖREBRO LÄN</t>
        </is>
      </c>
      <c r="E899" t="inlineStr">
        <is>
          <t>LINDESBERG</t>
        </is>
      </c>
      <c r="F899" t="inlineStr">
        <is>
          <t>Sveaskog</t>
        </is>
      </c>
      <c r="G899" t="n">
        <v>4.8</v>
      </c>
      <c r="H899" t="n">
        <v>0</v>
      </c>
      <c r="I899" t="n">
        <v>0</v>
      </c>
      <c r="J899" t="n">
        <v>0</v>
      </c>
      <c r="K899" t="n">
        <v>0</v>
      </c>
      <c r="L899" t="n">
        <v>0</v>
      </c>
      <c r="M899" t="n">
        <v>0</v>
      </c>
      <c r="N899" t="n">
        <v>0</v>
      </c>
      <c r="O899" t="n">
        <v>0</v>
      </c>
      <c r="P899" t="n">
        <v>0</v>
      </c>
      <c r="Q899" t="n">
        <v>0</v>
      </c>
      <c r="R899" s="2" t="inlineStr"/>
    </row>
    <row r="900" ht="15" customHeight="1">
      <c r="A900" t="inlineStr">
        <is>
          <t>A 27300-2025</t>
        </is>
      </c>
      <c r="B900" s="1" t="n">
        <v>45812.57143518519</v>
      </c>
      <c r="C900" s="1" t="n">
        <v>46140</v>
      </c>
      <c r="D900" t="inlineStr">
        <is>
          <t>ÖREBRO LÄN</t>
        </is>
      </c>
      <c r="E900" t="inlineStr">
        <is>
          <t>LINDESBERG</t>
        </is>
      </c>
      <c r="F900" t="inlineStr">
        <is>
          <t>Sveaskog</t>
        </is>
      </c>
      <c r="G900" t="n">
        <v>19.7</v>
      </c>
      <c r="H900" t="n">
        <v>0</v>
      </c>
      <c r="I900" t="n">
        <v>0</v>
      </c>
      <c r="J900" t="n">
        <v>0</v>
      </c>
      <c r="K900" t="n">
        <v>0</v>
      </c>
      <c r="L900" t="n">
        <v>0</v>
      </c>
      <c r="M900" t="n">
        <v>0</v>
      </c>
      <c r="N900" t="n">
        <v>0</v>
      </c>
      <c r="O900" t="n">
        <v>0</v>
      </c>
      <c r="P900" t="n">
        <v>0</v>
      </c>
      <c r="Q900" t="n">
        <v>0</v>
      </c>
      <c r="R900" s="2" t="inlineStr"/>
    </row>
    <row r="901" ht="15" customHeight="1">
      <c r="A901" t="inlineStr">
        <is>
          <t>A 27296-2025</t>
        </is>
      </c>
      <c r="B901" s="1" t="n">
        <v>45812.56952546296</v>
      </c>
      <c r="C901" s="1" t="n">
        <v>46140</v>
      </c>
      <c r="D901" t="inlineStr">
        <is>
          <t>ÖREBRO LÄN</t>
        </is>
      </c>
      <c r="E901" t="inlineStr">
        <is>
          <t>LINDESBERG</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28040-2025</t>
        </is>
      </c>
      <c r="B902" s="1" t="n">
        <v>45817.6455324074</v>
      </c>
      <c r="C902" s="1" t="n">
        <v>46140</v>
      </c>
      <c r="D902" t="inlineStr">
        <is>
          <t>ÖREBRO LÄN</t>
        </is>
      </c>
      <c r="E902" t="inlineStr">
        <is>
          <t>LINDESBERG</t>
        </is>
      </c>
      <c r="G902" t="n">
        <v>1.4</v>
      </c>
      <c r="H902" t="n">
        <v>0</v>
      </c>
      <c r="I902" t="n">
        <v>0</v>
      </c>
      <c r="J902" t="n">
        <v>0</v>
      </c>
      <c r="K902" t="n">
        <v>0</v>
      </c>
      <c r="L902" t="n">
        <v>0</v>
      </c>
      <c r="M902" t="n">
        <v>0</v>
      </c>
      <c r="N902" t="n">
        <v>0</v>
      </c>
      <c r="O902" t="n">
        <v>0</v>
      </c>
      <c r="P902" t="n">
        <v>0</v>
      </c>
      <c r="Q902" t="n">
        <v>0</v>
      </c>
      <c r="R902" s="2" t="inlineStr"/>
    </row>
    <row r="903" ht="15" customHeight="1">
      <c r="A903" t="inlineStr">
        <is>
          <t>A 28877-2025</t>
        </is>
      </c>
      <c r="B903" s="1" t="n">
        <v>45820.61684027778</v>
      </c>
      <c r="C903" s="1" t="n">
        <v>46140</v>
      </c>
      <c r="D903" t="inlineStr">
        <is>
          <t>ÖREBRO LÄN</t>
        </is>
      </c>
      <c r="E903" t="inlineStr">
        <is>
          <t>LINDESBERG</t>
        </is>
      </c>
      <c r="G903" t="n">
        <v>4.4</v>
      </c>
      <c r="H903" t="n">
        <v>0</v>
      </c>
      <c r="I903" t="n">
        <v>0</v>
      </c>
      <c r="J903" t="n">
        <v>0</v>
      </c>
      <c r="K903" t="n">
        <v>0</v>
      </c>
      <c r="L903" t="n">
        <v>0</v>
      </c>
      <c r="M903" t="n">
        <v>0</v>
      </c>
      <c r="N903" t="n">
        <v>0</v>
      </c>
      <c r="O903" t="n">
        <v>0</v>
      </c>
      <c r="P903" t="n">
        <v>0</v>
      </c>
      <c r="Q903" t="n">
        <v>0</v>
      </c>
      <c r="R903" s="2" t="inlineStr"/>
    </row>
    <row r="904" ht="15" customHeight="1">
      <c r="A904" t="inlineStr">
        <is>
          <t>A 28991-2025</t>
        </is>
      </c>
      <c r="B904" s="1" t="n">
        <v>45821.37199074074</v>
      </c>
      <c r="C904" s="1" t="n">
        <v>46140</v>
      </c>
      <c r="D904" t="inlineStr">
        <is>
          <t>ÖREBRO LÄN</t>
        </is>
      </c>
      <c r="E904" t="inlineStr">
        <is>
          <t>LINDESBERG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29037-2025</t>
        </is>
      </c>
      <c r="B905" s="1" t="n">
        <v>45821.44521990741</v>
      </c>
      <c r="C905" s="1" t="n">
        <v>46140</v>
      </c>
      <c r="D905" t="inlineStr">
        <is>
          <t>ÖREBRO LÄN</t>
        </is>
      </c>
      <c r="E905" t="inlineStr">
        <is>
          <t>LINDESBERG</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29051-2025</t>
        </is>
      </c>
      <c r="B906" s="1" t="n">
        <v>45821.46486111111</v>
      </c>
      <c r="C906" s="1" t="n">
        <v>46140</v>
      </c>
      <c r="D906" t="inlineStr">
        <is>
          <t>ÖREBRO LÄN</t>
        </is>
      </c>
      <c r="E906" t="inlineStr">
        <is>
          <t>LINDESBERG</t>
        </is>
      </c>
      <c r="F906" t="inlineStr">
        <is>
          <t>Sveaskog</t>
        </is>
      </c>
      <c r="G906" t="n">
        <v>5</v>
      </c>
      <c r="H906" t="n">
        <v>0</v>
      </c>
      <c r="I906" t="n">
        <v>0</v>
      </c>
      <c r="J906" t="n">
        <v>0</v>
      </c>
      <c r="K906" t="n">
        <v>0</v>
      </c>
      <c r="L906" t="n">
        <v>0</v>
      </c>
      <c r="M906" t="n">
        <v>0</v>
      </c>
      <c r="N906" t="n">
        <v>0</v>
      </c>
      <c r="O906" t="n">
        <v>0</v>
      </c>
      <c r="P906" t="n">
        <v>0</v>
      </c>
      <c r="Q906" t="n">
        <v>0</v>
      </c>
      <c r="R906" s="2" t="inlineStr"/>
    </row>
    <row r="907" ht="15" customHeight="1">
      <c r="A907" t="inlineStr">
        <is>
          <t>A 29049-2025</t>
        </is>
      </c>
      <c r="B907" s="1" t="n">
        <v>45821.46135416667</v>
      </c>
      <c r="C907" s="1" t="n">
        <v>46140</v>
      </c>
      <c r="D907" t="inlineStr">
        <is>
          <t>ÖREBRO LÄN</t>
        </is>
      </c>
      <c r="E907" t="inlineStr">
        <is>
          <t>LINDESBERG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30000-2025</t>
        </is>
      </c>
      <c r="B908" s="1" t="n">
        <v>45826.52024305556</v>
      </c>
      <c r="C908" s="1" t="n">
        <v>46140</v>
      </c>
      <c r="D908" t="inlineStr">
        <is>
          <t>ÖREBRO LÄN</t>
        </is>
      </c>
      <c r="E908" t="inlineStr">
        <is>
          <t>LINDESBERG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30341-2025</t>
        </is>
      </c>
      <c r="B909" s="1" t="n">
        <v>45827.51862268519</v>
      </c>
      <c r="C909" s="1" t="n">
        <v>46140</v>
      </c>
      <c r="D909" t="inlineStr">
        <is>
          <t>ÖREBRO LÄN</t>
        </is>
      </c>
      <c r="E909" t="inlineStr">
        <is>
          <t>LINDESBERG</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30340-2025</t>
        </is>
      </c>
      <c r="B910" s="1" t="n">
        <v>45827.51753472222</v>
      </c>
      <c r="C910" s="1" t="n">
        <v>46140</v>
      </c>
      <c r="D910" t="inlineStr">
        <is>
          <t>ÖREBRO LÄN</t>
        </is>
      </c>
      <c r="E910" t="inlineStr">
        <is>
          <t>LINDESBERG</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30342-2025</t>
        </is>
      </c>
      <c r="B911" s="1" t="n">
        <v>45827.51956018519</v>
      </c>
      <c r="C911" s="1" t="n">
        <v>46140</v>
      </c>
      <c r="D911" t="inlineStr">
        <is>
          <t>ÖREBRO LÄN</t>
        </is>
      </c>
      <c r="E911" t="inlineStr">
        <is>
          <t>LINDESBERG</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30381-2025</t>
        </is>
      </c>
      <c r="B912" s="1" t="n">
        <v>45827.56939814815</v>
      </c>
      <c r="C912" s="1" t="n">
        <v>46140</v>
      </c>
      <c r="D912" t="inlineStr">
        <is>
          <t>ÖREBRO LÄN</t>
        </is>
      </c>
      <c r="E912" t="inlineStr">
        <is>
          <t>LINDESBERG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30339-2025</t>
        </is>
      </c>
      <c r="B913" s="1" t="n">
        <v>45827.51628472222</v>
      </c>
      <c r="C913" s="1" t="n">
        <v>46140</v>
      </c>
      <c r="D913" t="inlineStr">
        <is>
          <t>ÖREBRO LÄN</t>
        </is>
      </c>
      <c r="E913" t="inlineStr">
        <is>
          <t>LINDESBERG</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31215-2025</t>
        </is>
      </c>
      <c r="B914" s="1" t="n">
        <v>45832.74418981482</v>
      </c>
      <c r="C914" s="1" t="n">
        <v>46140</v>
      </c>
      <c r="D914" t="inlineStr">
        <is>
          <t>ÖREBRO LÄN</t>
        </is>
      </c>
      <c r="E914" t="inlineStr">
        <is>
          <t>LINDESBERG</t>
        </is>
      </c>
      <c r="F914" t="inlineStr">
        <is>
          <t>Sveaskog</t>
        </is>
      </c>
      <c r="G914" t="n">
        <v>4</v>
      </c>
      <c r="H914" t="n">
        <v>0</v>
      </c>
      <c r="I914" t="n">
        <v>0</v>
      </c>
      <c r="J914" t="n">
        <v>0</v>
      </c>
      <c r="K914" t="n">
        <v>0</v>
      </c>
      <c r="L914" t="n">
        <v>0</v>
      </c>
      <c r="M914" t="n">
        <v>0</v>
      </c>
      <c r="N914" t="n">
        <v>0</v>
      </c>
      <c r="O914" t="n">
        <v>0</v>
      </c>
      <c r="P914" t="n">
        <v>0</v>
      </c>
      <c r="Q914" t="n">
        <v>0</v>
      </c>
      <c r="R914" s="2" t="inlineStr"/>
    </row>
    <row r="915" ht="15" customHeight="1">
      <c r="A915" t="inlineStr">
        <is>
          <t>A 34029-2024</t>
        </is>
      </c>
      <c r="B915" s="1" t="n">
        <v>45523</v>
      </c>
      <c r="C915" s="1" t="n">
        <v>46140</v>
      </c>
      <c r="D915" t="inlineStr">
        <is>
          <t>ÖREBRO LÄN</t>
        </is>
      </c>
      <c r="E915" t="inlineStr">
        <is>
          <t>LINDESBERG</t>
        </is>
      </c>
      <c r="G915" t="n">
        <v>1.9</v>
      </c>
      <c r="H915" t="n">
        <v>0</v>
      </c>
      <c r="I915" t="n">
        <v>0</v>
      </c>
      <c r="J915" t="n">
        <v>0</v>
      </c>
      <c r="K915" t="n">
        <v>0</v>
      </c>
      <c r="L915" t="n">
        <v>0</v>
      </c>
      <c r="M915" t="n">
        <v>0</v>
      </c>
      <c r="N915" t="n">
        <v>0</v>
      </c>
      <c r="O915" t="n">
        <v>0</v>
      </c>
      <c r="P915" t="n">
        <v>0</v>
      </c>
      <c r="Q915" t="n">
        <v>0</v>
      </c>
      <c r="R915" s="2" t="inlineStr"/>
    </row>
    <row r="916" ht="15" customHeight="1">
      <c r="A916" t="inlineStr">
        <is>
          <t>A 31014-2025</t>
        </is>
      </c>
      <c r="B916" s="1" t="n">
        <v>45832.51028935185</v>
      </c>
      <c r="C916" s="1" t="n">
        <v>46140</v>
      </c>
      <c r="D916" t="inlineStr">
        <is>
          <t>ÖREBRO LÄN</t>
        </is>
      </c>
      <c r="E916" t="inlineStr">
        <is>
          <t>LINDESBERG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31049-2025</t>
        </is>
      </c>
      <c r="B917" s="1" t="n">
        <v>45832.55810185185</v>
      </c>
      <c r="C917" s="1" t="n">
        <v>46140</v>
      </c>
      <c r="D917" t="inlineStr">
        <is>
          <t>ÖREBRO LÄN</t>
        </is>
      </c>
      <c r="E917" t="inlineStr">
        <is>
          <t>LINDESBERG</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31000-2025</t>
        </is>
      </c>
      <c r="B918" s="1" t="n">
        <v>45832.49325231482</v>
      </c>
      <c r="C918" s="1" t="n">
        <v>46140</v>
      </c>
      <c r="D918" t="inlineStr">
        <is>
          <t>ÖREBRO LÄN</t>
        </is>
      </c>
      <c r="E918" t="inlineStr">
        <is>
          <t>LINDESBERG</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31018-2025</t>
        </is>
      </c>
      <c r="B919" s="1" t="n">
        <v>45832.51255787037</v>
      </c>
      <c r="C919" s="1" t="n">
        <v>46140</v>
      </c>
      <c r="D919" t="inlineStr">
        <is>
          <t>ÖREBRO LÄN</t>
        </is>
      </c>
      <c r="E919" t="inlineStr">
        <is>
          <t>LINDESBERG</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31003-2025</t>
        </is>
      </c>
      <c r="B920" s="1" t="n">
        <v>45832.49579861111</v>
      </c>
      <c r="C920" s="1" t="n">
        <v>46140</v>
      </c>
      <c r="D920" t="inlineStr">
        <is>
          <t>ÖREBRO LÄN</t>
        </is>
      </c>
      <c r="E920" t="inlineStr">
        <is>
          <t>LINDESBERG</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31085-2025</t>
        </is>
      </c>
      <c r="B921" s="1" t="n">
        <v>45832.5902662037</v>
      </c>
      <c r="C921" s="1" t="n">
        <v>46140</v>
      </c>
      <c r="D921" t="inlineStr">
        <is>
          <t>ÖREBRO LÄN</t>
        </is>
      </c>
      <c r="E921" t="inlineStr">
        <is>
          <t>LINDESBERG</t>
        </is>
      </c>
      <c r="F921" t="inlineStr">
        <is>
          <t>Sveaskog</t>
        </is>
      </c>
      <c r="G921" t="n">
        <v>0.3</v>
      </c>
      <c r="H921" t="n">
        <v>0</v>
      </c>
      <c r="I921" t="n">
        <v>0</v>
      </c>
      <c r="J921" t="n">
        <v>0</v>
      </c>
      <c r="K921" t="n">
        <v>0</v>
      </c>
      <c r="L921" t="n">
        <v>0</v>
      </c>
      <c r="M921" t="n">
        <v>0</v>
      </c>
      <c r="N921" t="n">
        <v>0</v>
      </c>
      <c r="O921" t="n">
        <v>0</v>
      </c>
      <c r="P921" t="n">
        <v>0</v>
      </c>
      <c r="Q921" t="n">
        <v>0</v>
      </c>
      <c r="R921" s="2" t="inlineStr"/>
    </row>
    <row r="922" ht="15" customHeight="1">
      <c r="A922" t="inlineStr">
        <is>
          <t>A 31213-2025</t>
        </is>
      </c>
      <c r="B922" s="1" t="n">
        <v>45832.72778935185</v>
      </c>
      <c r="C922" s="1" t="n">
        <v>46140</v>
      </c>
      <c r="D922" t="inlineStr">
        <is>
          <t>ÖREBRO LÄN</t>
        </is>
      </c>
      <c r="E922" t="inlineStr">
        <is>
          <t>LINDESBERG</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31221-2025</t>
        </is>
      </c>
      <c r="B923" s="1" t="n">
        <v>45832.76491898148</v>
      </c>
      <c r="C923" s="1" t="n">
        <v>46140</v>
      </c>
      <c r="D923" t="inlineStr">
        <is>
          <t>ÖREBRO LÄN</t>
        </is>
      </c>
      <c r="E923" t="inlineStr">
        <is>
          <t>LINDESBERG</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31220-2025</t>
        </is>
      </c>
      <c r="B924" s="1" t="n">
        <v>45832.76100694444</v>
      </c>
      <c r="C924" s="1" t="n">
        <v>46140</v>
      </c>
      <c r="D924" t="inlineStr">
        <is>
          <t>ÖREBRO LÄN</t>
        </is>
      </c>
      <c r="E924" t="inlineStr">
        <is>
          <t>LINDESBERG</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32504-2025</t>
        </is>
      </c>
      <c r="B925" s="1" t="n">
        <v>45838.46456018519</v>
      </c>
      <c r="C925" s="1" t="n">
        <v>46140</v>
      </c>
      <c r="D925" t="inlineStr">
        <is>
          <t>ÖREBRO LÄN</t>
        </is>
      </c>
      <c r="E925" t="inlineStr">
        <is>
          <t>LINDESBERG</t>
        </is>
      </c>
      <c r="F925" t="inlineStr">
        <is>
          <t>Sveaskog</t>
        </is>
      </c>
      <c r="G925" t="n">
        <v>16.9</v>
      </c>
      <c r="H925" t="n">
        <v>0</v>
      </c>
      <c r="I925" t="n">
        <v>0</v>
      </c>
      <c r="J925" t="n">
        <v>0</v>
      </c>
      <c r="K925" t="n">
        <v>0</v>
      </c>
      <c r="L925" t="n">
        <v>0</v>
      </c>
      <c r="M925" t="n">
        <v>0</v>
      </c>
      <c r="N925" t="n">
        <v>0</v>
      </c>
      <c r="O925" t="n">
        <v>0</v>
      </c>
      <c r="P925" t="n">
        <v>0</v>
      </c>
      <c r="Q925" t="n">
        <v>0</v>
      </c>
      <c r="R925" s="2" t="inlineStr"/>
    </row>
    <row r="926" ht="15" customHeight="1">
      <c r="A926" t="inlineStr">
        <is>
          <t>A 32284-2025</t>
        </is>
      </c>
      <c r="B926" s="1" t="n">
        <v>45835.68443287037</v>
      </c>
      <c r="C926" s="1" t="n">
        <v>46140</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32502-2025</t>
        </is>
      </c>
      <c r="B927" s="1" t="n">
        <v>45838.46408564815</v>
      </c>
      <c r="C927" s="1" t="n">
        <v>46140</v>
      </c>
      <c r="D927" t="inlineStr">
        <is>
          <t>ÖREBRO LÄN</t>
        </is>
      </c>
      <c r="E927" t="inlineStr">
        <is>
          <t>LINDESBERG</t>
        </is>
      </c>
      <c r="F927" t="inlineStr">
        <is>
          <t>Sveaskog</t>
        </is>
      </c>
      <c r="G927" t="n">
        <v>17.7</v>
      </c>
      <c r="H927" t="n">
        <v>0</v>
      </c>
      <c r="I927" t="n">
        <v>0</v>
      </c>
      <c r="J927" t="n">
        <v>0</v>
      </c>
      <c r="K927" t="n">
        <v>0</v>
      </c>
      <c r="L927" t="n">
        <v>0</v>
      </c>
      <c r="M927" t="n">
        <v>0</v>
      </c>
      <c r="N927" t="n">
        <v>0</v>
      </c>
      <c r="O927" t="n">
        <v>0</v>
      </c>
      <c r="P927" t="n">
        <v>0</v>
      </c>
      <c r="Q927" t="n">
        <v>0</v>
      </c>
      <c r="R927" s="2" t="inlineStr"/>
    </row>
    <row r="928" ht="15" customHeight="1">
      <c r="A928" t="inlineStr">
        <is>
          <t>A 33046-2025</t>
        </is>
      </c>
      <c r="B928" s="1" t="n">
        <v>45840</v>
      </c>
      <c r="C928" s="1" t="n">
        <v>46140</v>
      </c>
      <c r="D928" t="inlineStr">
        <is>
          <t>ÖREBRO LÄN</t>
        </is>
      </c>
      <c r="E928" t="inlineStr">
        <is>
          <t>LINDESBERG</t>
        </is>
      </c>
      <c r="G928" t="n">
        <v>6.1</v>
      </c>
      <c r="H928" t="n">
        <v>0</v>
      </c>
      <c r="I928" t="n">
        <v>0</v>
      </c>
      <c r="J928" t="n">
        <v>0</v>
      </c>
      <c r="K928" t="n">
        <v>0</v>
      </c>
      <c r="L928" t="n">
        <v>0</v>
      </c>
      <c r="M928" t="n">
        <v>0</v>
      </c>
      <c r="N928" t="n">
        <v>0</v>
      </c>
      <c r="O928" t="n">
        <v>0</v>
      </c>
      <c r="P928" t="n">
        <v>0</v>
      </c>
      <c r="Q928" t="n">
        <v>0</v>
      </c>
      <c r="R928" s="2" t="inlineStr"/>
    </row>
    <row r="929" ht="15" customHeight="1">
      <c r="A929" t="inlineStr">
        <is>
          <t>A 32727-2024</t>
        </is>
      </c>
      <c r="B929" s="1" t="n">
        <v>45516.4221412037</v>
      </c>
      <c r="C929" s="1" t="n">
        <v>46140</v>
      </c>
      <c r="D929" t="inlineStr">
        <is>
          <t>ÖREBRO LÄN</t>
        </is>
      </c>
      <c r="E929" t="inlineStr">
        <is>
          <t>LINDESBERG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33574-2024</t>
        </is>
      </c>
      <c r="B930" s="1" t="n">
        <v>45520.32887731482</v>
      </c>
      <c r="C930" s="1" t="n">
        <v>46140</v>
      </c>
      <c r="D930" t="inlineStr">
        <is>
          <t>ÖREBRO LÄN</t>
        </is>
      </c>
      <c r="E930" t="inlineStr">
        <is>
          <t>LINDESBERG</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34264-2025</t>
        </is>
      </c>
      <c r="B931" s="1" t="n">
        <v>45845.75200231482</v>
      </c>
      <c r="C931" s="1" t="n">
        <v>46140</v>
      </c>
      <c r="D931" t="inlineStr">
        <is>
          <t>ÖREBRO LÄN</t>
        </is>
      </c>
      <c r="E931" t="inlineStr">
        <is>
          <t>LINDESBERG</t>
        </is>
      </c>
      <c r="G931" t="n">
        <v>3.9</v>
      </c>
      <c r="H931" t="n">
        <v>0</v>
      </c>
      <c r="I931" t="n">
        <v>0</v>
      </c>
      <c r="J931" t="n">
        <v>0</v>
      </c>
      <c r="K931" t="n">
        <v>0</v>
      </c>
      <c r="L931" t="n">
        <v>0</v>
      </c>
      <c r="M931" t="n">
        <v>0</v>
      </c>
      <c r="N931" t="n">
        <v>0</v>
      </c>
      <c r="O931" t="n">
        <v>0</v>
      </c>
      <c r="P931" t="n">
        <v>0</v>
      </c>
      <c r="Q931" t="n">
        <v>0</v>
      </c>
      <c r="R931" s="2" t="inlineStr"/>
    </row>
    <row r="932" ht="15" customHeight="1">
      <c r="A932" t="inlineStr">
        <is>
          <t>A 34003-2025</t>
        </is>
      </c>
      <c r="B932" s="1" t="n">
        <v>45844.57527777777</v>
      </c>
      <c r="C932" s="1" t="n">
        <v>46140</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34097-2025</t>
        </is>
      </c>
      <c r="B933" s="1" t="n">
        <v>45845.4855787037</v>
      </c>
      <c r="C933" s="1" t="n">
        <v>46140</v>
      </c>
      <c r="D933" t="inlineStr">
        <is>
          <t>ÖREBRO LÄN</t>
        </is>
      </c>
      <c r="E933" t="inlineStr">
        <is>
          <t>LINDESBERG</t>
        </is>
      </c>
      <c r="G933" t="n">
        <v>1.2</v>
      </c>
      <c r="H933" t="n">
        <v>0</v>
      </c>
      <c r="I933" t="n">
        <v>0</v>
      </c>
      <c r="J933" t="n">
        <v>0</v>
      </c>
      <c r="K933" t="n">
        <v>0</v>
      </c>
      <c r="L933" t="n">
        <v>0</v>
      </c>
      <c r="M933" t="n">
        <v>0</v>
      </c>
      <c r="N933" t="n">
        <v>0</v>
      </c>
      <c r="O933" t="n">
        <v>0</v>
      </c>
      <c r="P933" t="n">
        <v>0</v>
      </c>
      <c r="Q933" t="n">
        <v>0</v>
      </c>
      <c r="R933" s="2" t="inlineStr"/>
    </row>
    <row r="934" ht="15" customHeight="1">
      <c r="A934" t="inlineStr">
        <is>
          <t>A 34104-2025</t>
        </is>
      </c>
      <c r="B934" s="1" t="n">
        <v>45845.49216435185</v>
      </c>
      <c r="C934" s="1" t="n">
        <v>46140</v>
      </c>
      <c r="D934" t="inlineStr">
        <is>
          <t>ÖREBRO LÄN</t>
        </is>
      </c>
      <c r="E934" t="inlineStr">
        <is>
          <t>LINDESBERG</t>
        </is>
      </c>
      <c r="G934" t="n">
        <v>1</v>
      </c>
      <c r="H934" t="n">
        <v>0</v>
      </c>
      <c r="I934" t="n">
        <v>0</v>
      </c>
      <c r="J934" t="n">
        <v>0</v>
      </c>
      <c r="K934" t="n">
        <v>0</v>
      </c>
      <c r="L934" t="n">
        <v>0</v>
      </c>
      <c r="M934" t="n">
        <v>0</v>
      </c>
      <c r="N934" t="n">
        <v>0</v>
      </c>
      <c r="O934" t="n">
        <v>0</v>
      </c>
      <c r="P934" t="n">
        <v>0</v>
      </c>
      <c r="Q934" t="n">
        <v>0</v>
      </c>
      <c r="R934" s="2" t="inlineStr"/>
    </row>
    <row r="935" ht="15" customHeight="1">
      <c r="A935" t="inlineStr">
        <is>
          <t>A 34004-2025</t>
        </is>
      </c>
      <c r="B935" s="1" t="n">
        <v>45844.5775</v>
      </c>
      <c r="C935" s="1" t="n">
        <v>46140</v>
      </c>
      <c r="D935" t="inlineStr">
        <is>
          <t>ÖREBRO LÄN</t>
        </is>
      </c>
      <c r="E935" t="inlineStr">
        <is>
          <t>LINDESBERG</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34267-2025</t>
        </is>
      </c>
      <c r="B936" s="1" t="n">
        <v>45845.76005787037</v>
      </c>
      <c r="C936" s="1" t="n">
        <v>46140</v>
      </c>
      <c r="D936" t="inlineStr">
        <is>
          <t>ÖREBRO LÄN</t>
        </is>
      </c>
      <c r="E936" t="inlineStr">
        <is>
          <t>LINDESBERG</t>
        </is>
      </c>
      <c r="G936" t="n">
        <v>4.6</v>
      </c>
      <c r="H936" t="n">
        <v>0</v>
      </c>
      <c r="I936" t="n">
        <v>0</v>
      </c>
      <c r="J936" t="n">
        <v>0</v>
      </c>
      <c r="K936" t="n">
        <v>0</v>
      </c>
      <c r="L936" t="n">
        <v>0</v>
      </c>
      <c r="M936" t="n">
        <v>0</v>
      </c>
      <c r="N936" t="n">
        <v>0</v>
      </c>
      <c r="O936" t="n">
        <v>0</v>
      </c>
      <c r="P936" t="n">
        <v>0</v>
      </c>
      <c r="Q936" t="n">
        <v>0</v>
      </c>
      <c r="R936" s="2" t="inlineStr"/>
    </row>
    <row r="937" ht="15" customHeight="1">
      <c r="A937" t="inlineStr">
        <is>
          <t>A 34002-2025</t>
        </is>
      </c>
      <c r="B937" s="1" t="n">
        <v>45844.57328703703</v>
      </c>
      <c r="C937" s="1" t="n">
        <v>46140</v>
      </c>
      <c r="D937" t="inlineStr">
        <is>
          <t>ÖREBRO LÄN</t>
        </is>
      </c>
      <c r="E937" t="inlineStr">
        <is>
          <t>LINDESBERG</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5677-2025</t>
        </is>
      </c>
      <c r="B938" s="1" t="n">
        <v>45694</v>
      </c>
      <c r="C938" s="1" t="n">
        <v>46140</v>
      </c>
      <c r="D938" t="inlineStr">
        <is>
          <t>ÖREBRO LÄN</t>
        </is>
      </c>
      <c r="E938" t="inlineStr">
        <is>
          <t>LINDESBERG</t>
        </is>
      </c>
      <c r="G938" t="n">
        <v>1.6</v>
      </c>
      <c r="H938" t="n">
        <v>0</v>
      </c>
      <c r="I938" t="n">
        <v>0</v>
      </c>
      <c r="J938" t="n">
        <v>0</v>
      </c>
      <c r="K938" t="n">
        <v>0</v>
      </c>
      <c r="L938" t="n">
        <v>0</v>
      </c>
      <c r="M938" t="n">
        <v>0</v>
      </c>
      <c r="N938" t="n">
        <v>0</v>
      </c>
      <c r="O938" t="n">
        <v>0</v>
      </c>
      <c r="P938" t="n">
        <v>0</v>
      </c>
      <c r="Q938" t="n">
        <v>0</v>
      </c>
      <c r="R938" s="2" t="inlineStr"/>
    </row>
    <row r="939" ht="15" customHeight="1">
      <c r="A939" t="inlineStr">
        <is>
          <t>A 24916-2022</t>
        </is>
      </c>
      <c r="B939" s="1" t="n">
        <v>44728</v>
      </c>
      <c r="C939" s="1" t="n">
        <v>46140</v>
      </c>
      <c r="D939" t="inlineStr">
        <is>
          <t>ÖREBRO LÄN</t>
        </is>
      </c>
      <c r="E939" t="inlineStr">
        <is>
          <t>LINDESBERG</t>
        </is>
      </c>
      <c r="G939" t="n">
        <v>8.1</v>
      </c>
      <c r="H939" t="n">
        <v>0</v>
      </c>
      <c r="I939" t="n">
        <v>0</v>
      </c>
      <c r="J939" t="n">
        <v>0</v>
      </c>
      <c r="K939" t="n">
        <v>0</v>
      </c>
      <c r="L939" t="n">
        <v>0</v>
      </c>
      <c r="M939" t="n">
        <v>0</v>
      </c>
      <c r="N939" t="n">
        <v>0</v>
      </c>
      <c r="O939" t="n">
        <v>0</v>
      </c>
      <c r="P939" t="n">
        <v>0</v>
      </c>
      <c r="Q939" t="n">
        <v>0</v>
      </c>
      <c r="R939" s="2" t="inlineStr"/>
    </row>
    <row r="940" ht="15" customHeight="1">
      <c r="A940" t="inlineStr">
        <is>
          <t>A 1681-2025</t>
        </is>
      </c>
      <c r="B940" s="1" t="n">
        <v>45670.69458333333</v>
      </c>
      <c r="C940" s="1" t="n">
        <v>46140</v>
      </c>
      <c r="D940" t="inlineStr">
        <is>
          <t>ÖREBRO LÄN</t>
        </is>
      </c>
      <c r="E940" t="inlineStr">
        <is>
          <t>LINDESBERG</t>
        </is>
      </c>
      <c r="G940" t="n">
        <v>1.9</v>
      </c>
      <c r="H940" t="n">
        <v>0</v>
      </c>
      <c r="I940" t="n">
        <v>0</v>
      </c>
      <c r="J940" t="n">
        <v>0</v>
      </c>
      <c r="K940" t="n">
        <v>0</v>
      </c>
      <c r="L940" t="n">
        <v>0</v>
      </c>
      <c r="M940" t="n">
        <v>0</v>
      </c>
      <c r="N940" t="n">
        <v>0</v>
      </c>
      <c r="O940" t="n">
        <v>0</v>
      </c>
      <c r="P940" t="n">
        <v>0</v>
      </c>
      <c r="Q940" t="n">
        <v>0</v>
      </c>
      <c r="R940" s="2" t="inlineStr"/>
    </row>
    <row r="941" ht="15" customHeight="1">
      <c r="A941" t="inlineStr">
        <is>
          <t>A 36670-2024</t>
        </is>
      </c>
      <c r="B941" s="1" t="n">
        <v>45537.64621527777</v>
      </c>
      <c r="C941" s="1" t="n">
        <v>46140</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35292-2025</t>
        </is>
      </c>
      <c r="B942" s="1" t="n">
        <v>45854</v>
      </c>
      <c r="C942" s="1" t="n">
        <v>46140</v>
      </c>
      <c r="D942" t="inlineStr">
        <is>
          <t>ÖREBRO LÄN</t>
        </is>
      </c>
      <c r="E942" t="inlineStr">
        <is>
          <t>LINDESBERG</t>
        </is>
      </c>
      <c r="G942" t="n">
        <v>1</v>
      </c>
      <c r="H942" t="n">
        <v>0</v>
      </c>
      <c r="I942" t="n">
        <v>0</v>
      </c>
      <c r="J942" t="n">
        <v>0</v>
      </c>
      <c r="K942" t="n">
        <v>0</v>
      </c>
      <c r="L942" t="n">
        <v>0</v>
      </c>
      <c r="M942" t="n">
        <v>0</v>
      </c>
      <c r="N942" t="n">
        <v>0</v>
      </c>
      <c r="O942" t="n">
        <v>0</v>
      </c>
      <c r="P942" t="n">
        <v>0</v>
      </c>
      <c r="Q942" t="n">
        <v>0</v>
      </c>
      <c r="R942" s="2" t="inlineStr"/>
    </row>
    <row r="943" ht="15" customHeight="1">
      <c r="A943" t="inlineStr">
        <is>
          <t>A 35366-2025</t>
        </is>
      </c>
      <c r="B943" s="1" t="n">
        <v>45854</v>
      </c>
      <c r="C943" s="1" t="n">
        <v>46140</v>
      </c>
      <c r="D943" t="inlineStr">
        <is>
          <t>ÖREBRO LÄN</t>
        </is>
      </c>
      <c r="E943" t="inlineStr">
        <is>
          <t>LINDESBERG</t>
        </is>
      </c>
      <c r="G943" t="n">
        <v>5.5</v>
      </c>
      <c r="H943" t="n">
        <v>0</v>
      </c>
      <c r="I943" t="n">
        <v>0</v>
      </c>
      <c r="J943" t="n">
        <v>0</v>
      </c>
      <c r="K943" t="n">
        <v>0</v>
      </c>
      <c r="L943" t="n">
        <v>0</v>
      </c>
      <c r="M943" t="n">
        <v>0</v>
      </c>
      <c r="N943" t="n">
        <v>0</v>
      </c>
      <c r="O943" t="n">
        <v>0</v>
      </c>
      <c r="P943" t="n">
        <v>0</v>
      </c>
      <c r="Q943" t="n">
        <v>0</v>
      </c>
      <c r="R943" s="2" t="inlineStr"/>
    </row>
    <row r="944" ht="15" customHeight="1">
      <c r="A944" t="inlineStr">
        <is>
          <t>A 35702-2025</t>
        </is>
      </c>
      <c r="B944" s="1" t="n">
        <v>45860.36222222223</v>
      </c>
      <c r="C944" s="1" t="n">
        <v>46140</v>
      </c>
      <c r="D944" t="inlineStr">
        <is>
          <t>ÖREBRO LÄN</t>
        </is>
      </c>
      <c r="E944" t="inlineStr">
        <is>
          <t>LINDESBERG</t>
        </is>
      </c>
      <c r="G944" t="n">
        <v>5.3</v>
      </c>
      <c r="H944" t="n">
        <v>0</v>
      </c>
      <c r="I944" t="n">
        <v>0</v>
      </c>
      <c r="J944" t="n">
        <v>0</v>
      </c>
      <c r="K944" t="n">
        <v>0</v>
      </c>
      <c r="L944" t="n">
        <v>0</v>
      </c>
      <c r="M944" t="n">
        <v>0</v>
      </c>
      <c r="N944" t="n">
        <v>0</v>
      </c>
      <c r="O944" t="n">
        <v>0</v>
      </c>
      <c r="P944" t="n">
        <v>0</v>
      </c>
      <c r="Q944" t="n">
        <v>0</v>
      </c>
      <c r="R944" s="2" t="inlineStr"/>
    </row>
    <row r="945" ht="15" customHeight="1">
      <c r="A945" t="inlineStr">
        <is>
          <t>A 35710-2025</t>
        </is>
      </c>
      <c r="B945" s="1" t="n">
        <v>45860.3857175926</v>
      </c>
      <c r="C945" s="1" t="n">
        <v>46140</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47304-2024</t>
        </is>
      </c>
      <c r="B946" s="1" t="n">
        <v>45587</v>
      </c>
      <c r="C946" s="1" t="n">
        <v>46140</v>
      </c>
      <c r="D946" t="inlineStr">
        <is>
          <t>ÖREBRO LÄN</t>
        </is>
      </c>
      <c r="E946" t="inlineStr">
        <is>
          <t>LINDESBERG</t>
        </is>
      </c>
      <c r="G946" t="n">
        <v>1</v>
      </c>
      <c r="H946" t="n">
        <v>0</v>
      </c>
      <c r="I946" t="n">
        <v>0</v>
      </c>
      <c r="J946" t="n">
        <v>0</v>
      </c>
      <c r="K946" t="n">
        <v>0</v>
      </c>
      <c r="L946" t="n">
        <v>0</v>
      </c>
      <c r="M946" t="n">
        <v>0</v>
      </c>
      <c r="N946" t="n">
        <v>0</v>
      </c>
      <c r="O946" t="n">
        <v>0</v>
      </c>
      <c r="P946" t="n">
        <v>0</v>
      </c>
      <c r="Q946" t="n">
        <v>0</v>
      </c>
      <c r="R946" s="2" t="inlineStr"/>
    </row>
    <row r="947" ht="15" customHeight="1">
      <c r="A947" t="inlineStr">
        <is>
          <t>A 45173-2024</t>
        </is>
      </c>
      <c r="B947" s="1" t="n">
        <v>45575.65721064815</v>
      </c>
      <c r="C947" s="1" t="n">
        <v>46140</v>
      </c>
      <c r="D947" t="inlineStr">
        <is>
          <t>ÖREBRO LÄN</t>
        </is>
      </c>
      <c r="E947" t="inlineStr">
        <is>
          <t>LINDESBERG</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30514-2025</t>
        </is>
      </c>
      <c r="B948" s="1" t="n">
        <v>45831</v>
      </c>
      <c r="C948" s="1" t="n">
        <v>46140</v>
      </c>
      <c r="D948" t="inlineStr">
        <is>
          <t>ÖREBRO LÄN</t>
        </is>
      </c>
      <c r="E948" t="inlineStr">
        <is>
          <t>LINDESBERG</t>
        </is>
      </c>
      <c r="G948" t="n">
        <v>1.6</v>
      </c>
      <c r="H948" t="n">
        <v>0</v>
      </c>
      <c r="I948" t="n">
        <v>0</v>
      </c>
      <c r="J948" t="n">
        <v>0</v>
      </c>
      <c r="K948" t="n">
        <v>0</v>
      </c>
      <c r="L948" t="n">
        <v>0</v>
      </c>
      <c r="M948" t="n">
        <v>0</v>
      </c>
      <c r="N948" t="n">
        <v>0</v>
      </c>
      <c r="O948" t="n">
        <v>0</v>
      </c>
      <c r="P948" t="n">
        <v>0</v>
      </c>
      <c r="Q948" t="n">
        <v>0</v>
      </c>
      <c r="R948" s="2" t="inlineStr"/>
    </row>
    <row r="949" ht="15" customHeight="1">
      <c r="A949" t="inlineStr">
        <is>
          <t>A 36253-2024</t>
        </is>
      </c>
      <c r="B949" s="1" t="n">
        <v>45534.54032407407</v>
      </c>
      <c r="C949" s="1" t="n">
        <v>46140</v>
      </c>
      <c r="D949" t="inlineStr">
        <is>
          <t>ÖREBRO LÄN</t>
        </is>
      </c>
      <c r="E949" t="inlineStr">
        <is>
          <t>LINDESBERG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30512-2025</t>
        </is>
      </c>
      <c r="B950" s="1" t="n">
        <v>45831</v>
      </c>
      <c r="C950" s="1" t="n">
        <v>46140</v>
      </c>
      <c r="D950" t="inlineStr">
        <is>
          <t>ÖREBRO LÄN</t>
        </is>
      </c>
      <c r="E950" t="inlineStr">
        <is>
          <t>LINDESBERG</t>
        </is>
      </c>
      <c r="G950" t="n">
        <v>4.5</v>
      </c>
      <c r="H950" t="n">
        <v>0</v>
      </c>
      <c r="I950" t="n">
        <v>0</v>
      </c>
      <c r="J950" t="n">
        <v>0</v>
      </c>
      <c r="K950" t="n">
        <v>0</v>
      </c>
      <c r="L950" t="n">
        <v>0</v>
      </c>
      <c r="M950" t="n">
        <v>0</v>
      </c>
      <c r="N950" t="n">
        <v>0</v>
      </c>
      <c r="O950" t="n">
        <v>0</v>
      </c>
      <c r="P950" t="n">
        <v>0</v>
      </c>
      <c r="Q950" t="n">
        <v>0</v>
      </c>
      <c r="R950" s="2" t="inlineStr"/>
    </row>
    <row r="951" ht="15" customHeight="1">
      <c r="A951" t="inlineStr">
        <is>
          <t>A 36572-2025</t>
        </is>
      </c>
      <c r="B951" s="1" t="n">
        <v>45870</v>
      </c>
      <c r="C951" s="1" t="n">
        <v>46140</v>
      </c>
      <c r="D951" t="inlineStr">
        <is>
          <t>ÖREBRO LÄN</t>
        </is>
      </c>
      <c r="E951" t="inlineStr">
        <is>
          <t>LINDESBERG</t>
        </is>
      </c>
      <c r="G951" t="n">
        <v>11.9</v>
      </c>
      <c r="H951" t="n">
        <v>0</v>
      </c>
      <c r="I951" t="n">
        <v>0</v>
      </c>
      <c r="J951" t="n">
        <v>0</v>
      </c>
      <c r="K951" t="n">
        <v>0</v>
      </c>
      <c r="L951" t="n">
        <v>0</v>
      </c>
      <c r="M951" t="n">
        <v>0</v>
      </c>
      <c r="N951" t="n">
        <v>0</v>
      </c>
      <c r="O951" t="n">
        <v>0</v>
      </c>
      <c r="P951" t="n">
        <v>0</v>
      </c>
      <c r="Q951" t="n">
        <v>0</v>
      </c>
      <c r="R951" s="2" t="inlineStr"/>
    </row>
    <row r="952" ht="15" customHeight="1">
      <c r="A952" t="inlineStr">
        <is>
          <t>A 36577-2025</t>
        </is>
      </c>
      <c r="B952" s="1" t="n">
        <v>45870</v>
      </c>
      <c r="C952" s="1" t="n">
        <v>46140</v>
      </c>
      <c r="D952" t="inlineStr">
        <is>
          <t>ÖREBRO LÄN</t>
        </is>
      </c>
      <c r="E952" t="inlineStr">
        <is>
          <t>LINDESBERG</t>
        </is>
      </c>
      <c r="G952" t="n">
        <v>3.7</v>
      </c>
      <c r="H952" t="n">
        <v>0</v>
      </c>
      <c r="I952" t="n">
        <v>0</v>
      </c>
      <c r="J952" t="n">
        <v>0</v>
      </c>
      <c r="K952" t="n">
        <v>0</v>
      </c>
      <c r="L952" t="n">
        <v>0</v>
      </c>
      <c r="M952" t="n">
        <v>0</v>
      </c>
      <c r="N952" t="n">
        <v>0</v>
      </c>
      <c r="O952" t="n">
        <v>0</v>
      </c>
      <c r="P952" t="n">
        <v>0</v>
      </c>
      <c r="Q952" t="n">
        <v>0</v>
      </c>
      <c r="R952" s="2" t="inlineStr"/>
    </row>
    <row r="953" ht="15" customHeight="1">
      <c r="A953" t="inlineStr">
        <is>
          <t>A 36574-2025</t>
        </is>
      </c>
      <c r="B953" s="1" t="n">
        <v>45870</v>
      </c>
      <c r="C953" s="1" t="n">
        <v>46140</v>
      </c>
      <c r="D953" t="inlineStr">
        <is>
          <t>ÖREBRO LÄN</t>
        </is>
      </c>
      <c r="E953" t="inlineStr">
        <is>
          <t>LINDESBERG</t>
        </is>
      </c>
      <c r="G953" t="n">
        <v>4</v>
      </c>
      <c r="H953" t="n">
        <v>0</v>
      </c>
      <c r="I953" t="n">
        <v>0</v>
      </c>
      <c r="J953" t="n">
        <v>0</v>
      </c>
      <c r="K953" t="n">
        <v>0</v>
      </c>
      <c r="L953" t="n">
        <v>0</v>
      </c>
      <c r="M953" t="n">
        <v>0</v>
      </c>
      <c r="N953" t="n">
        <v>0</v>
      </c>
      <c r="O953" t="n">
        <v>0</v>
      </c>
      <c r="P953" t="n">
        <v>0</v>
      </c>
      <c r="Q953" t="n">
        <v>0</v>
      </c>
      <c r="R953" s="2" t="inlineStr"/>
    </row>
    <row r="954">
      <c r="A954" t="inlineStr">
        <is>
          <t>A 36579-2025</t>
        </is>
      </c>
      <c r="B954" s="1" t="n">
        <v>45870</v>
      </c>
      <c r="C954" s="1" t="n">
        <v>46140</v>
      </c>
      <c r="D954" t="inlineStr">
        <is>
          <t>ÖREBRO LÄN</t>
        </is>
      </c>
      <c r="E954" t="inlineStr">
        <is>
          <t>LINDESBERG</t>
        </is>
      </c>
      <c r="G954" t="n">
        <v>6</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2026-04-28T10:48:01Z</dcterms:created>
  <dcterms:modified xmlns:dcterms="http://purl.org/dc/terms/" xmlns:xsi="http://www.w3.org/2001/XMLSchema-instance" xsi:type="dcterms:W3CDTF">2026-04-28T10:48:01Z</dcterms:modified>
</cp:coreProperties>
</file>