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46001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46001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46001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46001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46001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46001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46001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46001</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46001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46001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46001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46001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46001</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46001</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46001</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46001</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46001</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46001</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46001</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54241-2025</t>
        </is>
      </c>
      <c r="B21" s="1" t="n">
        <v>45964.63199074074</v>
      </c>
      <c r="C21" s="1" t="n">
        <v>46001</v>
      </c>
      <c r="D21" t="inlineStr">
        <is>
          <t>ÖREBRO LÄN</t>
        </is>
      </c>
      <c r="E21" t="inlineStr">
        <is>
          <t>LINDESBERG</t>
        </is>
      </c>
      <c r="G21" t="n">
        <v>4</v>
      </c>
      <c r="H21" t="n">
        <v>3</v>
      </c>
      <c r="I21" t="n">
        <v>0</v>
      </c>
      <c r="J21" t="n">
        <v>2</v>
      </c>
      <c r="K21" t="n">
        <v>1</v>
      </c>
      <c r="L21" t="n">
        <v>0</v>
      </c>
      <c r="M21" t="n">
        <v>0</v>
      </c>
      <c r="N21" t="n">
        <v>0</v>
      </c>
      <c r="O21" t="n">
        <v>3</v>
      </c>
      <c r="P21" t="n">
        <v>1</v>
      </c>
      <c r="Q21" t="n">
        <v>3</v>
      </c>
      <c r="R21" s="2" t="inlineStr">
        <is>
          <t>Knärot
Spillkråka
Talltita</t>
        </is>
      </c>
      <c r="S21">
        <f>HYPERLINK("https://klasma.github.io/Logging_1885/artfynd/A 54241-2025 artfynd.xlsx", "A 54241-2025")</f>
        <v/>
      </c>
      <c r="T21">
        <f>HYPERLINK("https://klasma.github.io/Logging_1885/kartor/A 54241-2025 karta.png", "A 54241-2025")</f>
        <v/>
      </c>
      <c r="U21">
        <f>HYPERLINK("https://klasma.github.io/Logging_1885/knärot/A 54241-2025 karta knärot.png", "A 54241-2025")</f>
        <v/>
      </c>
      <c r="V21">
        <f>HYPERLINK("https://klasma.github.io/Logging_1885/klagomål/A 54241-2025 FSC-klagomål.docx", "A 54241-2025")</f>
        <v/>
      </c>
      <c r="W21">
        <f>HYPERLINK("https://klasma.github.io/Logging_1885/klagomålsmail/A 54241-2025 FSC-klagomål mail.docx", "A 54241-2025")</f>
        <v/>
      </c>
      <c r="X21">
        <f>HYPERLINK("https://klasma.github.io/Logging_1885/tillsyn/A 54241-2025 tillsynsbegäran.docx", "A 54241-2025")</f>
        <v/>
      </c>
      <c r="Y21">
        <f>HYPERLINK("https://klasma.github.io/Logging_1885/tillsynsmail/A 54241-2025 tillsynsbegäran mail.docx", "A 54241-2025")</f>
        <v/>
      </c>
      <c r="Z21">
        <f>HYPERLINK("https://klasma.github.io/Logging_1885/fåglar/A 54241-2025 prioriterade fågelarter.docx", "A 54241-2025")</f>
        <v/>
      </c>
    </row>
    <row r="22" ht="15" customHeight="1">
      <c r="A22" t="inlineStr">
        <is>
          <t>A 49945-2025</t>
        </is>
      </c>
      <c r="B22" s="1" t="n">
        <v>45940.69754629629</v>
      </c>
      <c r="C22" s="1" t="n">
        <v>46001</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50989-2023</t>
        </is>
      </c>
      <c r="B23" s="1" t="n">
        <v>45218</v>
      </c>
      <c r="C23" s="1" t="n">
        <v>46001</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28035-2023</t>
        </is>
      </c>
      <c r="B24" s="1" t="n">
        <v>45099</v>
      </c>
      <c r="C24" s="1" t="n">
        <v>46001</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46001</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54332-2021</t>
        </is>
      </c>
      <c r="B26" s="1" t="n">
        <v>44472</v>
      </c>
      <c r="C26" s="1" t="n">
        <v>46001</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33574-2022</t>
        </is>
      </c>
      <c r="B27" s="1" t="n">
        <v>44789</v>
      </c>
      <c r="C27" s="1" t="n">
        <v>46001</v>
      </c>
      <c r="D27" t="inlineStr">
        <is>
          <t>ÖREBRO LÄN</t>
        </is>
      </c>
      <c r="E27" t="inlineStr">
        <is>
          <t>LINDESBERG</t>
        </is>
      </c>
      <c r="G27" t="n">
        <v>11.5</v>
      </c>
      <c r="H27" t="n">
        <v>1</v>
      </c>
      <c r="I27" t="n">
        <v>1</v>
      </c>
      <c r="J27" t="n">
        <v>0</v>
      </c>
      <c r="K27" t="n">
        <v>1</v>
      </c>
      <c r="L27" t="n">
        <v>0</v>
      </c>
      <c r="M27" t="n">
        <v>0</v>
      </c>
      <c r="N27" t="n">
        <v>0</v>
      </c>
      <c r="O27" t="n">
        <v>1</v>
      </c>
      <c r="P27" t="n">
        <v>1</v>
      </c>
      <c r="Q27" t="n">
        <v>2</v>
      </c>
      <c r="R27" s="2" t="inlineStr">
        <is>
          <t>Knärot
Vedticka</t>
        </is>
      </c>
      <c r="S27">
        <f>HYPERLINK("https://klasma.github.io/Logging_1885/artfynd/A 33574-2022 artfynd.xlsx", "A 33574-2022")</f>
        <v/>
      </c>
      <c r="T27">
        <f>HYPERLINK("https://klasma.github.io/Logging_1885/kartor/A 33574-2022 karta.png", "A 33574-2022")</f>
        <v/>
      </c>
      <c r="U27">
        <f>HYPERLINK("https://klasma.github.io/Logging_1885/knärot/A 33574-2022 karta knärot.png", "A 33574-2022")</f>
        <v/>
      </c>
      <c r="V27">
        <f>HYPERLINK("https://klasma.github.io/Logging_1885/klagomål/A 33574-2022 FSC-klagomål.docx", "A 33574-2022")</f>
        <v/>
      </c>
      <c r="W27">
        <f>HYPERLINK("https://klasma.github.io/Logging_1885/klagomålsmail/A 33574-2022 FSC-klagomål mail.docx", "A 33574-2022")</f>
        <v/>
      </c>
      <c r="X27">
        <f>HYPERLINK("https://klasma.github.io/Logging_1885/tillsyn/A 33574-2022 tillsynsbegäran.docx", "A 33574-2022")</f>
        <v/>
      </c>
      <c r="Y27">
        <f>HYPERLINK("https://klasma.github.io/Logging_1885/tillsynsmail/A 33574-2022 tillsynsbegäran mail.docx", "A 33574-2022")</f>
        <v/>
      </c>
    </row>
    <row r="28" ht="15" customHeight="1">
      <c r="A28" t="inlineStr">
        <is>
          <t>A 42629-2025</t>
        </is>
      </c>
      <c r="B28" s="1" t="n">
        <v>45905.88938657408</v>
      </c>
      <c r="C28" s="1" t="n">
        <v>46001</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54093-2025</t>
        </is>
      </c>
      <c r="B29" s="1" t="n">
        <v>45964.40112268519</v>
      </c>
      <c r="C29" s="1" t="n">
        <v>46001</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57319-2025</t>
        </is>
      </c>
      <c r="B30" s="1" t="n">
        <v>45980.01497685185</v>
      </c>
      <c r="C30" s="1" t="n">
        <v>46001</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51851-2025</t>
        </is>
      </c>
      <c r="B31" s="1" t="n">
        <v>45952.35611111111</v>
      </c>
      <c r="C31" s="1" t="n">
        <v>46001</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46001</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61170-2025</t>
        </is>
      </c>
      <c r="B33" s="1" t="n">
        <v>46000.57111111111</v>
      </c>
      <c r="C33" s="1" t="n">
        <v>46001</v>
      </c>
      <c r="D33" t="inlineStr">
        <is>
          <t>ÖREBRO LÄN</t>
        </is>
      </c>
      <c r="E33" t="inlineStr">
        <is>
          <t>LINDESBERG</t>
        </is>
      </c>
      <c r="G33" t="n">
        <v>8.6</v>
      </c>
      <c r="H33" t="n">
        <v>0</v>
      </c>
      <c r="I33" t="n">
        <v>2</v>
      </c>
      <c r="J33" t="n">
        <v>0</v>
      </c>
      <c r="K33" t="n">
        <v>0</v>
      </c>
      <c r="L33" t="n">
        <v>0</v>
      </c>
      <c r="M33" t="n">
        <v>0</v>
      </c>
      <c r="N33" t="n">
        <v>0</v>
      </c>
      <c r="O33" t="n">
        <v>0</v>
      </c>
      <c r="P33" t="n">
        <v>0</v>
      </c>
      <c r="Q33" t="n">
        <v>2</v>
      </c>
      <c r="R33" s="2" t="inlineStr">
        <is>
          <t>Bronshjon
Rödgul trumpetsvamp</t>
        </is>
      </c>
      <c r="S33">
        <f>HYPERLINK("https://klasma.github.io/Logging_1885/artfynd/A 61170-2025 artfynd.xlsx", "A 61170-2025")</f>
        <v/>
      </c>
      <c r="T33">
        <f>HYPERLINK("https://klasma.github.io/Logging_1885/kartor/A 61170-2025 karta.png", "A 61170-2025")</f>
        <v/>
      </c>
      <c r="U33">
        <f>HYPERLINK("https://klasma.github.io/Logging_1885/knärot/A 61170-2025 karta knärot.png", "A 61170-2025")</f>
        <v/>
      </c>
      <c r="V33">
        <f>HYPERLINK("https://klasma.github.io/Logging_1885/klagomål/A 61170-2025 FSC-klagomål.docx", "A 61170-2025")</f>
        <v/>
      </c>
      <c r="W33">
        <f>HYPERLINK("https://klasma.github.io/Logging_1885/klagomålsmail/A 61170-2025 FSC-klagomål mail.docx", "A 61170-2025")</f>
        <v/>
      </c>
      <c r="X33">
        <f>HYPERLINK("https://klasma.github.io/Logging_1885/tillsyn/A 61170-2025 tillsynsbegäran.docx", "A 61170-2025")</f>
        <v/>
      </c>
      <c r="Y33">
        <f>HYPERLINK("https://klasma.github.io/Logging_1885/tillsynsmail/A 61170-2025 tillsynsbegäran mail.docx", "A 61170-2025")</f>
        <v/>
      </c>
    </row>
    <row r="34" ht="15" customHeight="1">
      <c r="A34" t="inlineStr">
        <is>
          <t>A 53686-2024</t>
        </is>
      </c>
      <c r="B34" s="1" t="n">
        <v>45615</v>
      </c>
      <c r="C34" s="1" t="n">
        <v>46001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14807-2021</t>
        </is>
      </c>
      <c r="B35" s="1" t="n">
        <v>44280</v>
      </c>
      <c r="C35" s="1" t="n">
        <v>46001</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46001</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34292-2023</t>
        </is>
      </c>
      <c r="B37" s="1" t="n">
        <v>45138</v>
      </c>
      <c r="C37" s="1" t="n">
        <v>46001</v>
      </c>
      <c r="D37" t="inlineStr">
        <is>
          <t>ÖREBRO LÄN</t>
        </is>
      </c>
      <c r="E37" t="inlineStr">
        <is>
          <t>LINDESBERG</t>
        </is>
      </c>
      <c r="F37" t="inlineStr">
        <is>
          <t>Sveaskog</t>
        </is>
      </c>
      <c r="G37" t="n">
        <v>0.2</v>
      </c>
      <c r="H37" t="n">
        <v>1</v>
      </c>
      <c r="I37" t="n">
        <v>1</v>
      </c>
      <c r="J37" t="n">
        <v>0</v>
      </c>
      <c r="K37" t="n">
        <v>1</v>
      </c>
      <c r="L37" t="n">
        <v>0</v>
      </c>
      <c r="M37" t="n">
        <v>0</v>
      </c>
      <c r="N37" t="n">
        <v>0</v>
      </c>
      <c r="O37" t="n">
        <v>1</v>
      </c>
      <c r="P37" t="n">
        <v>1</v>
      </c>
      <c r="Q37" t="n">
        <v>2</v>
      </c>
      <c r="R37" s="2" t="inlineStr">
        <is>
          <t>Knärot
Sotriska</t>
        </is>
      </c>
      <c r="S37">
        <f>HYPERLINK("https://klasma.github.io/Logging_1885/artfynd/A 34292-2023 artfynd.xlsx", "A 34292-2023")</f>
        <v/>
      </c>
      <c r="T37">
        <f>HYPERLINK("https://klasma.github.io/Logging_1885/kartor/A 34292-2023 karta.png", "A 34292-2023")</f>
        <v/>
      </c>
      <c r="U37">
        <f>HYPERLINK("https://klasma.github.io/Logging_1885/knärot/A 34292-2023 karta knärot.png", "A 34292-2023")</f>
        <v/>
      </c>
      <c r="V37">
        <f>HYPERLINK("https://klasma.github.io/Logging_1885/klagomål/A 34292-2023 FSC-klagomål.docx", "A 34292-2023")</f>
        <v/>
      </c>
      <c r="W37">
        <f>HYPERLINK("https://klasma.github.io/Logging_1885/klagomålsmail/A 34292-2023 FSC-klagomål mail.docx", "A 34292-2023")</f>
        <v/>
      </c>
      <c r="X37">
        <f>HYPERLINK("https://klasma.github.io/Logging_1885/tillsyn/A 34292-2023 tillsynsbegäran.docx", "A 34292-2023")</f>
        <v/>
      </c>
      <c r="Y37">
        <f>HYPERLINK("https://klasma.github.io/Logging_1885/tillsynsmail/A 34292-2023 tillsynsbegäran mail.docx", "A 34292-2023")</f>
        <v/>
      </c>
    </row>
    <row r="38" ht="15" customHeight="1">
      <c r="A38" t="inlineStr">
        <is>
          <t>A 32713-2021</t>
        </is>
      </c>
      <c r="B38" s="1" t="n">
        <v>44375</v>
      </c>
      <c r="C38" s="1" t="n">
        <v>46001</v>
      </c>
      <c r="D38" t="inlineStr">
        <is>
          <t>ÖREBRO LÄN</t>
        </is>
      </c>
      <c r="E38" t="inlineStr">
        <is>
          <t>LINDESBERG</t>
        </is>
      </c>
      <c r="F38" t="inlineStr">
        <is>
          <t>Kommuner</t>
        </is>
      </c>
      <c r="G38" t="n">
        <v>3.9</v>
      </c>
      <c r="H38" t="n">
        <v>0</v>
      </c>
      <c r="I38" t="n">
        <v>0</v>
      </c>
      <c r="J38" t="n">
        <v>0</v>
      </c>
      <c r="K38" t="n">
        <v>0</v>
      </c>
      <c r="L38" t="n">
        <v>1</v>
      </c>
      <c r="M38" t="n">
        <v>0</v>
      </c>
      <c r="N38" t="n">
        <v>0</v>
      </c>
      <c r="O38" t="n">
        <v>1</v>
      </c>
      <c r="P38" t="n">
        <v>1</v>
      </c>
      <c r="Q38" t="n">
        <v>1</v>
      </c>
      <c r="R38" s="2" t="inlineStr">
        <is>
          <t>Ask</t>
        </is>
      </c>
      <c r="S38">
        <f>HYPERLINK("https://klasma.github.io/Logging_1885/artfynd/A 32713-2021 artfynd.xlsx", "A 32713-2021")</f>
        <v/>
      </c>
      <c r="T38">
        <f>HYPERLINK("https://klasma.github.io/Logging_1885/kartor/A 32713-2021 karta.png", "A 32713-2021")</f>
        <v/>
      </c>
      <c r="V38">
        <f>HYPERLINK("https://klasma.github.io/Logging_1885/klagomål/A 32713-2021 FSC-klagomål.docx", "A 32713-2021")</f>
        <v/>
      </c>
      <c r="W38">
        <f>HYPERLINK("https://klasma.github.io/Logging_1885/klagomålsmail/A 32713-2021 FSC-klagomål mail.docx", "A 32713-2021")</f>
        <v/>
      </c>
      <c r="X38">
        <f>HYPERLINK("https://klasma.github.io/Logging_1885/tillsyn/A 32713-2021 tillsynsbegäran.docx", "A 32713-2021")</f>
        <v/>
      </c>
      <c r="Y38">
        <f>HYPERLINK("https://klasma.github.io/Logging_1885/tillsynsmail/A 32713-2021 tillsynsbegäran mail.docx", "A 32713-2021")</f>
        <v/>
      </c>
    </row>
    <row r="39" ht="15" customHeight="1">
      <c r="A39" t="inlineStr">
        <is>
          <t>A 64874-2021</t>
        </is>
      </c>
      <c r="B39" s="1" t="n">
        <v>44512</v>
      </c>
      <c r="C39" s="1" t="n">
        <v>46001</v>
      </c>
      <c r="D39" t="inlineStr">
        <is>
          <t>ÖREBRO LÄN</t>
        </is>
      </c>
      <c r="E39" t="inlineStr">
        <is>
          <t>LINDESBERG</t>
        </is>
      </c>
      <c r="G39" t="n">
        <v>5.4</v>
      </c>
      <c r="H39" t="n">
        <v>1</v>
      </c>
      <c r="I39" t="n">
        <v>0</v>
      </c>
      <c r="J39" t="n">
        <v>0</v>
      </c>
      <c r="K39" t="n">
        <v>1</v>
      </c>
      <c r="L39" t="n">
        <v>0</v>
      </c>
      <c r="M39" t="n">
        <v>0</v>
      </c>
      <c r="N39" t="n">
        <v>0</v>
      </c>
      <c r="O39" t="n">
        <v>1</v>
      </c>
      <c r="P39" t="n">
        <v>1</v>
      </c>
      <c r="Q39" t="n">
        <v>1</v>
      </c>
      <c r="R39" s="2" t="inlineStr">
        <is>
          <t>Bombmurkla</t>
        </is>
      </c>
      <c r="S39">
        <f>HYPERLINK("https://klasma.github.io/Logging_1885/artfynd/A 64874-2021 artfynd.xlsx", "A 64874-2021")</f>
        <v/>
      </c>
      <c r="T39">
        <f>HYPERLINK("https://klasma.github.io/Logging_1885/kartor/A 64874-2021 karta.png", "A 64874-2021")</f>
        <v/>
      </c>
      <c r="V39">
        <f>HYPERLINK("https://klasma.github.io/Logging_1885/klagomål/A 64874-2021 FSC-klagomål.docx", "A 64874-2021")</f>
        <v/>
      </c>
      <c r="W39">
        <f>HYPERLINK("https://klasma.github.io/Logging_1885/klagomålsmail/A 64874-2021 FSC-klagomål mail.docx", "A 64874-2021")</f>
        <v/>
      </c>
      <c r="X39">
        <f>HYPERLINK("https://klasma.github.io/Logging_1885/tillsyn/A 64874-2021 tillsynsbegäran.docx", "A 64874-2021")</f>
        <v/>
      </c>
      <c r="Y39">
        <f>HYPERLINK("https://klasma.github.io/Logging_1885/tillsynsmail/A 64874-2021 tillsynsbegäran mail.docx", "A 64874-2021")</f>
        <v/>
      </c>
    </row>
    <row r="40" ht="15" customHeight="1">
      <c r="A40" t="inlineStr">
        <is>
          <t>A 22472-2022</t>
        </is>
      </c>
      <c r="B40" s="1" t="n">
        <v>44713.59363425926</v>
      </c>
      <c r="C40" s="1" t="n">
        <v>46001</v>
      </c>
      <c r="D40" t="inlineStr">
        <is>
          <t>ÖREBRO LÄN</t>
        </is>
      </c>
      <c r="E40" t="inlineStr">
        <is>
          <t>LINDESBERG</t>
        </is>
      </c>
      <c r="F40" t="inlineStr">
        <is>
          <t>Sveaskog</t>
        </is>
      </c>
      <c r="G40" t="n">
        <v>9.199999999999999</v>
      </c>
      <c r="H40" t="n">
        <v>1</v>
      </c>
      <c r="I40" t="n">
        <v>0</v>
      </c>
      <c r="J40" t="n">
        <v>0</v>
      </c>
      <c r="K40" t="n">
        <v>0</v>
      </c>
      <c r="L40" t="n">
        <v>0</v>
      </c>
      <c r="M40" t="n">
        <v>0</v>
      </c>
      <c r="N40" t="n">
        <v>0</v>
      </c>
      <c r="O40" t="n">
        <v>0</v>
      </c>
      <c r="P40" t="n">
        <v>0</v>
      </c>
      <c r="Q40" t="n">
        <v>1</v>
      </c>
      <c r="R40" s="2" t="inlineStr">
        <is>
          <t>Fläcknycklar</t>
        </is>
      </c>
      <c r="S40">
        <f>HYPERLINK("https://klasma.github.io/Logging_1885/artfynd/A 22472-2022 artfynd.xlsx", "A 22472-2022")</f>
        <v/>
      </c>
      <c r="T40">
        <f>HYPERLINK("https://klasma.github.io/Logging_1885/kartor/A 22472-2022 karta.png", "A 22472-2022")</f>
        <v/>
      </c>
      <c r="V40">
        <f>HYPERLINK("https://klasma.github.io/Logging_1885/klagomål/A 22472-2022 FSC-klagomål.docx", "A 22472-2022")</f>
        <v/>
      </c>
      <c r="W40">
        <f>HYPERLINK("https://klasma.github.io/Logging_1885/klagomålsmail/A 22472-2022 FSC-klagomål mail.docx", "A 22472-2022")</f>
        <v/>
      </c>
      <c r="X40">
        <f>HYPERLINK("https://klasma.github.io/Logging_1885/tillsyn/A 22472-2022 tillsynsbegäran.docx", "A 22472-2022")</f>
        <v/>
      </c>
      <c r="Y40">
        <f>HYPERLINK("https://klasma.github.io/Logging_1885/tillsynsmail/A 22472-2022 tillsynsbegäran mail.docx", "A 22472-2022")</f>
        <v/>
      </c>
    </row>
    <row r="41" ht="15" customHeight="1">
      <c r="A41" t="inlineStr">
        <is>
          <t>A 21181-2021</t>
        </is>
      </c>
      <c r="B41" s="1" t="n">
        <v>44320</v>
      </c>
      <c r="C41" s="1" t="n">
        <v>46001</v>
      </c>
      <c r="D41" t="inlineStr">
        <is>
          <t>ÖREBRO LÄN</t>
        </is>
      </c>
      <c r="E41" t="inlineStr">
        <is>
          <t>LINDESBERG</t>
        </is>
      </c>
      <c r="F41" t="inlineStr">
        <is>
          <t>Kommuner</t>
        </is>
      </c>
      <c r="G41" t="n">
        <v>1.1</v>
      </c>
      <c r="H41" t="n">
        <v>1</v>
      </c>
      <c r="I41" t="n">
        <v>0</v>
      </c>
      <c r="J41" t="n">
        <v>0</v>
      </c>
      <c r="K41" t="n">
        <v>0</v>
      </c>
      <c r="L41" t="n">
        <v>1</v>
      </c>
      <c r="M41" t="n">
        <v>0</v>
      </c>
      <c r="N41" t="n">
        <v>0</v>
      </c>
      <c r="O41" t="n">
        <v>1</v>
      </c>
      <c r="P41" t="n">
        <v>1</v>
      </c>
      <c r="Q41" t="n">
        <v>1</v>
      </c>
      <c r="R41" s="2" t="inlineStr">
        <is>
          <t>Asknätfjäril</t>
        </is>
      </c>
      <c r="S41">
        <f>HYPERLINK("https://klasma.github.io/Logging_1885/artfynd/A 21181-2021 artfynd.xlsx", "A 21181-2021")</f>
        <v/>
      </c>
      <c r="T41">
        <f>HYPERLINK("https://klasma.github.io/Logging_1885/kartor/A 21181-2021 karta.png", "A 21181-2021")</f>
        <v/>
      </c>
      <c r="V41">
        <f>HYPERLINK("https://klasma.github.io/Logging_1885/klagomål/A 21181-2021 FSC-klagomål.docx", "A 21181-2021")</f>
        <v/>
      </c>
      <c r="W41">
        <f>HYPERLINK("https://klasma.github.io/Logging_1885/klagomålsmail/A 21181-2021 FSC-klagomål mail.docx", "A 21181-2021")</f>
        <v/>
      </c>
      <c r="X41">
        <f>HYPERLINK("https://klasma.github.io/Logging_1885/tillsyn/A 21181-2021 tillsynsbegäran.docx", "A 21181-2021")</f>
        <v/>
      </c>
      <c r="Y41">
        <f>HYPERLINK("https://klasma.github.io/Logging_1885/tillsynsmail/A 21181-2021 tillsynsbegäran mail.docx", "A 21181-2021")</f>
        <v/>
      </c>
    </row>
    <row r="42" ht="15" customHeight="1">
      <c r="A42" t="inlineStr">
        <is>
          <t>A 17563-2022</t>
        </is>
      </c>
      <c r="B42" s="1" t="n">
        <v>44679</v>
      </c>
      <c r="C42" s="1" t="n">
        <v>46001</v>
      </c>
      <c r="D42" t="inlineStr">
        <is>
          <t>ÖREBRO LÄN</t>
        </is>
      </c>
      <c r="E42" t="inlineStr">
        <is>
          <t>LINDESBERG</t>
        </is>
      </c>
      <c r="G42" t="n">
        <v>1.4</v>
      </c>
      <c r="H42" t="n">
        <v>1</v>
      </c>
      <c r="I42" t="n">
        <v>0</v>
      </c>
      <c r="J42" t="n">
        <v>1</v>
      </c>
      <c r="K42" t="n">
        <v>0</v>
      </c>
      <c r="L42" t="n">
        <v>0</v>
      </c>
      <c r="M42" t="n">
        <v>0</v>
      </c>
      <c r="N42" t="n">
        <v>0</v>
      </c>
      <c r="O42" t="n">
        <v>1</v>
      </c>
      <c r="P42" t="n">
        <v>0</v>
      </c>
      <c r="Q42" t="n">
        <v>1</v>
      </c>
      <c r="R42" s="2" t="inlineStr">
        <is>
          <t>Fjällvråk</t>
        </is>
      </c>
      <c r="S42">
        <f>HYPERLINK("https://klasma.github.io/Logging_1885/artfynd/A 17563-2022 artfynd.xlsx", "A 17563-2022")</f>
        <v/>
      </c>
      <c r="T42">
        <f>HYPERLINK("https://klasma.github.io/Logging_1885/kartor/A 17563-2022 karta.png", "A 17563-2022")</f>
        <v/>
      </c>
      <c r="V42">
        <f>HYPERLINK("https://klasma.github.io/Logging_1885/klagomål/A 17563-2022 FSC-klagomål.docx", "A 17563-2022")</f>
        <v/>
      </c>
      <c r="W42">
        <f>HYPERLINK("https://klasma.github.io/Logging_1885/klagomålsmail/A 17563-2022 FSC-klagomål mail.docx", "A 17563-2022")</f>
        <v/>
      </c>
      <c r="X42">
        <f>HYPERLINK("https://klasma.github.io/Logging_1885/tillsyn/A 17563-2022 tillsynsbegäran.docx", "A 17563-2022")</f>
        <v/>
      </c>
      <c r="Y42">
        <f>HYPERLINK("https://klasma.github.io/Logging_1885/tillsynsmail/A 17563-2022 tillsynsbegäran mail.docx", "A 17563-2022")</f>
        <v/>
      </c>
      <c r="Z42">
        <f>HYPERLINK("https://klasma.github.io/Logging_1885/fåglar/A 17563-2022 prioriterade fågelarter.docx", "A 17563-2022")</f>
        <v/>
      </c>
    </row>
    <row r="43" ht="15" customHeight="1">
      <c r="A43" t="inlineStr">
        <is>
          <t>A 6192-2025</t>
        </is>
      </c>
      <c r="B43" s="1" t="n">
        <v>45698.46697916667</v>
      </c>
      <c r="C43" s="1" t="n">
        <v>46001</v>
      </c>
      <c r="D43" t="inlineStr">
        <is>
          <t>ÖREBRO LÄN</t>
        </is>
      </c>
      <c r="E43" t="inlineStr">
        <is>
          <t>LINDESBERG</t>
        </is>
      </c>
      <c r="F43" t="inlineStr">
        <is>
          <t>BillerudKorsnäs AB</t>
        </is>
      </c>
      <c r="G43" t="n">
        <v>1.8</v>
      </c>
      <c r="H43" t="n">
        <v>1</v>
      </c>
      <c r="I43" t="n">
        <v>0</v>
      </c>
      <c r="J43" t="n">
        <v>0</v>
      </c>
      <c r="K43" t="n">
        <v>0</v>
      </c>
      <c r="L43" t="n">
        <v>0</v>
      </c>
      <c r="M43" t="n">
        <v>0</v>
      </c>
      <c r="N43" t="n">
        <v>0</v>
      </c>
      <c r="O43" t="n">
        <v>0</v>
      </c>
      <c r="P43" t="n">
        <v>0</v>
      </c>
      <c r="Q43" t="n">
        <v>1</v>
      </c>
      <c r="R43" s="2" t="inlineStr">
        <is>
          <t>Blåsippa</t>
        </is>
      </c>
      <c r="S43">
        <f>HYPERLINK("https://klasma.github.io/Logging_1885/artfynd/A 6192-2025 artfynd.xlsx", "A 6192-2025")</f>
        <v/>
      </c>
      <c r="T43">
        <f>HYPERLINK("https://klasma.github.io/Logging_1885/kartor/A 6192-2025 karta.png", "A 6192-2025")</f>
        <v/>
      </c>
      <c r="V43">
        <f>HYPERLINK("https://klasma.github.io/Logging_1885/klagomål/A 6192-2025 FSC-klagomål.docx", "A 6192-2025")</f>
        <v/>
      </c>
      <c r="W43">
        <f>HYPERLINK("https://klasma.github.io/Logging_1885/klagomålsmail/A 6192-2025 FSC-klagomål mail.docx", "A 6192-2025")</f>
        <v/>
      </c>
      <c r="X43">
        <f>HYPERLINK("https://klasma.github.io/Logging_1885/tillsyn/A 6192-2025 tillsynsbegäran.docx", "A 6192-2025")</f>
        <v/>
      </c>
      <c r="Y43">
        <f>HYPERLINK("https://klasma.github.io/Logging_1885/tillsynsmail/A 6192-2025 tillsynsbegäran mail.docx", "A 6192-2025")</f>
        <v/>
      </c>
    </row>
    <row r="44" ht="15" customHeight="1">
      <c r="A44" t="inlineStr">
        <is>
          <t>A 58206-2023</t>
        </is>
      </c>
      <c r="B44" s="1" t="n">
        <v>45250</v>
      </c>
      <c r="C44" s="1" t="n">
        <v>46001</v>
      </c>
      <c r="D44" t="inlineStr">
        <is>
          <t>ÖREBRO LÄN</t>
        </is>
      </c>
      <c r="E44" t="inlineStr">
        <is>
          <t>LINDESBERG</t>
        </is>
      </c>
      <c r="F44" t="inlineStr">
        <is>
          <t>Sveaskog</t>
        </is>
      </c>
      <c r="G44" t="n">
        <v>1.4</v>
      </c>
      <c r="H44" t="n">
        <v>1</v>
      </c>
      <c r="I44" t="n">
        <v>0</v>
      </c>
      <c r="J44" t="n">
        <v>0</v>
      </c>
      <c r="K44" t="n">
        <v>0</v>
      </c>
      <c r="L44" t="n">
        <v>0</v>
      </c>
      <c r="M44" t="n">
        <v>0</v>
      </c>
      <c r="N44" t="n">
        <v>0</v>
      </c>
      <c r="O44" t="n">
        <v>0</v>
      </c>
      <c r="P44" t="n">
        <v>0</v>
      </c>
      <c r="Q44" t="n">
        <v>1</v>
      </c>
      <c r="R44" s="2" t="inlineStr">
        <is>
          <t>Fläcknycklar</t>
        </is>
      </c>
      <c r="S44">
        <f>HYPERLINK("https://klasma.github.io/Logging_1885/artfynd/A 58206-2023 artfynd.xlsx", "A 58206-2023")</f>
        <v/>
      </c>
      <c r="T44">
        <f>HYPERLINK("https://klasma.github.io/Logging_1885/kartor/A 58206-2023 karta.png", "A 58206-2023")</f>
        <v/>
      </c>
      <c r="V44">
        <f>HYPERLINK("https://klasma.github.io/Logging_1885/klagomål/A 58206-2023 FSC-klagomål.docx", "A 58206-2023")</f>
        <v/>
      </c>
      <c r="W44">
        <f>HYPERLINK("https://klasma.github.io/Logging_1885/klagomålsmail/A 58206-2023 FSC-klagomål mail.docx", "A 58206-2023")</f>
        <v/>
      </c>
      <c r="X44">
        <f>HYPERLINK("https://klasma.github.io/Logging_1885/tillsyn/A 58206-2023 tillsynsbegäran.docx", "A 58206-2023")</f>
        <v/>
      </c>
      <c r="Y44">
        <f>HYPERLINK("https://klasma.github.io/Logging_1885/tillsynsmail/A 58206-2023 tillsynsbegäran mail.docx", "A 58206-2023")</f>
        <v/>
      </c>
    </row>
    <row r="45" ht="15" customHeight="1">
      <c r="A45" t="inlineStr">
        <is>
          <t>A 30347-2025</t>
        </is>
      </c>
      <c r="B45" s="1" t="n">
        <v>45827.53077546296</v>
      </c>
      <c r="C45" s="1" t="n">
        <v>46001</v>
      </c>
      <c r="D45" t="inlineStr">
        <is>
          <t>ÖREBRO LÄN</t>
        </is>
      </c>
      <c r="E45" t="inlineStr">
        <is>
          <t>LINDESBERG</t>
        </is>
      </c>
      <c r="F45" t="inlineStr">
        <is>
          <t>Sveaskog</t>
        </is>
      </c>
      <c r="G45" t="n">
        <v>4.6</v>
      </c>
      <c r="H45" t="n">
        <v>1</v>
      </c>
      <c r="I45" t="n">
        <v>0</v>
      </c>
      <c r="J45" t="n">
        <v>1</v>
      </c>
      <c r="K45" t="n">
        <v>0</v>
      </c>
      <c r="L45" t="n">
        <v>0</v>
      </c>
      <c r="M45" t="n">
        <v>0</v>
      </c>
      <c r="N45" t="n">
        <v>0</v>
      </c>
      <c r="O45" t="n">
        <v>1</v>
      </c>
      <c r="P45" t="n">
        <v>0</v>
      </c>
      <c r="Q45" t="n">
        <v>1</v>
      </c>
      <c r="R45" s="2" t="inlineStr">
        <is>
          <t>Järpe</t>
        </is>
      </c>
      <c r="S45">
        <f>HYPERLINK("https://klasma.github.io/Logging_1885/artfynd/A 30347-2025 artfynd.xlsx", "A 30347-2025")</f>
        <v/>
      </c>
      <c r="T45">
        <f>HYPERLINK("https://klasma.github.io/Logging_1885/kartor/A 30347-2025 karta.png", "A 30347-2025")</f>
        <v/>
      </c>
      <c r="V45">
        <f>HYPERLINK("https://klasma.github.io/Logging_1885/klagomål/A 30347-2025 FSC-klagomål.docx", "A 30347-2025")</f>
        <v/>
      </c>
      <c r="W45">
        <f>HYPERLINK("https://klasma.github.io/Logging_1885/klagomålsmail/A 30347-2025 FSC-klagomål mail.docx", "A 30347-2025")</f>
        <v/>
      </c>
      <c r="X45">
        <f>HYPERLINK("https://klasma.github.io/Logging_1885/tillsyn/A 30347-2025 tillsynsbegäran.docx", "A 30347-2025")</f>
        <v/>
      </c>
      <c r="Y45">
        <f>HYPERLINK("https://klasma.github.io/Logging_1885/tillsynsmail/A 30347-2025 tillsynsbegäran mail.docx", "A 30347-2025")</f>
        <v/>
      </c>
      <c r="Z45">
        <f>HYPERLINK("https://klasma.github.io/Logging_1885/fåglar/A 30347-2025 prioriterade fågelarter.docx", "A 30347-2025")</f>
        <v/>
      </c>
    </row>
    <row r="46" ht="15" customHeight="1">
      <c r="A46" t="inlineStr">
        <is>
          <t>A 33286-2024</t>
        </is>
      </c>
      <c r="B46" s="1" t="n">
        <v>45518</v>
      </c>
      <c r="C46" s="1" t="n">
        <v>46001</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31052-2025</t>
        </is>
      </c>
      <c r="B47" s="1" t="n">
        <v>45832.56153935185</v>
      </c>
      <c r="C47" s="1" t="n">
        <v>46001</v>
      </c>
      <c r="D47" t="inlineStr">
        <is>
          <t>ÖREBRO LÄN</t>
        </is>
      </c>
      <c r="E47" t="inlineStr">
        <is>
          <t>LINDESBERG</t>
        </is>
      </c>
      <c r="F47" t="inlineStr">
        <is>
          <t>Sveaskog</t>
        </is>
      </c>
      <c r="G47" t="n">
        <v>1.1</v>
      </c>
      <c r="H47" t="n">
        <v>1</v>
      </c>
      <c r="I47" t="n">
        <v>0</v>
      </c>
      <c r="J47" t="n">
        <v>0</v>
      </c>
      <c r="K47" t="n">
        <v>0</v>
      </c>
      <c r="L47" t="n">
        <v>0</v>
      </c>
      <c r="M47" t="n">
        <v>0</v>
      </c>
      <c r="N47" t="n">
        <v>0</v>
      </c>
      <c r="O47" t="n">
        <v>0</v>
      </c>
      <c r="P47" t="n">
        <v>0</v>
      </c>
      <c r="Q47" t="n">
        <v>1</v>
      </c>
      <c r="R47" s="2" t="inlineStr">
        <is>
          <t>Fläcknycklar</t>
        </is>
      </c>
      <c r="S47">
        <f>HYPERLINK("https://klasma.github.io/Logging_1885/artfynd/A 31052-2025 artfynd.xlsx", "A 31052-2025")</f>
        <v/>
      </c>
      <c r="T47">
        <f>HYPERLINK("https://klasma.github.io/Logging_1885/kartor/A 31052-2025 karta.png", "A 31052-2025")</f>
        <v/>
      </c>
      <c r="V47">
        <f>HYPERLINK("https://klasma.github.io/Logging_1885/klagomål/A 31052-2025 FSC-klagomål.docx", "A 31052-2025")</f>
        <v/>
      </c>
      <c r="W47">
        <f>HYPERLINK("https://klasma.github.io/Logging_1885/klagomålsmail/A 31052-2025 FSC-klagomål mail.docx", "A 31052-2025")</f>
        <v/>
      </c>
      <c r="X47">
        <f>HYPERLINK("https://klasma.github.io/Logging_1885/tillsyn/A 31052-2025 tillsynsbegäran.docx", "A 31052-2025")</f>
        <v/>
      </c>
      <c r="Y47">
        <f>HYPERLINK("https://klasma.github.io/Logging_1885/tillsynsmail/A 31052-2025 tillsynsbegäran mail.docx", "A 31052-2025")</f>
        <v/>
      </c>
    </row>
    <row r="48" ht="15" customHeight="1">
      <c r="A48" t="inlineStr">
        <is>
          <t>A 45467-2025</t>
        </is>
      </c>
      <c r="B48" s="1" t="n">
        <v>45922.49990740741</v>
      </c>
      <c r="C48" s="1" t="n">
        <v>46001</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Svartvit taggsvamp</t>
        </is>
      </c>
      <c r="S48">
        <f>HYPERLINK("https://klasma.github.io/Logging_1885/artfynd/A 45467-2025 artfynd.xlsx", "A 45467-2025")</f>
        <v/>
      </c>
      <c r="T48">
        <f>HYPERLINK("https://klasma.github.io/Logging_1885/kartor/A 45467-2025 karta.png", "A 45467-2025")</f>
        <v/>
      </c>
      <c r="V48">
        <f>HYPERLINK("https://klasma.github.io/Logging_1885/klagomål/A 45467-2025 FSC-klagomål.docx", "A 45467-2025")</f>
        <v/>
      </c>
      <c r="W48">
        <f>HYPERLINK("https://klasma.github.io/Logging_1885/klagomålsmail/A 45467-2025 FSC-klagomål mail.docx", "A 45467-2025")</f>
        <v/>
      </c>
      <c r="X48">
        <f>HYPERLINK("https://klasma.github.io/Logging_1885/tillsyn/A 45467-2025 tillsynsbegäran.docx", "A 45467-2025")</f>
        <v/>
      </c>
      <c r="Y48">
        <f>HYPERLINK("https://klasma.github.io/Logging_1885/tillsynsmail/A 45467-2025 tillsynsbegäran mail.docx", "A 45467-2025")</f>
        <v/>
      </c>
    </row>
    <row r="49" ht="15" customHeight="1">
      <c r="A49" t="inlineStr">
        <is>
          <t>A 3729-2023</t>
        </is>
      </c>
      <c r="B49" s="1" t="n">
        <v>44949</v>
      </c>
      <c r="C49" s="1" t="n">
        <v>46001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54092-2025</t>
        </is>
      </c>
      <c r="B50" s="1" t="n">
        <v>45964.3965625</v>
      </c>
      <c r="C50" s="1" t="n">
        <v>46001</v>
      </c>
      <c r="D50" t="inlineStr">
        <is>
          <t>ÖREBRO LÄN</t>
        </is>
      </c>
      <c r="E50" t="inlineStr">
        <is>
          <t>LINDESBERG</t>
        </is>
      </c>
      <c r="G50" t="n">
        <v>2.4</v>
      </c>
      <c r="H50" t="n">
        <v>0</v>
      </c>
      <c r="I50" t="n">
        <v>1</v>
      </c>
      <c r="J50" t="n">
        <v>0</v>
      </c>
      <c r="K50" t="n">
        <v>0</v>
      </c>
      <c r="L50" t="n">
        <v>0</v>
      </c>
      <c r="M50" t="n">
        <v>0</v>
      </c>
      <c r="N50" t="n">
        <v>0</v>
      </c>
      <c r="O50" t="n">
        <v>0</v>
      </c>
      <c r="P50" t="n">
        <v>0</v>
      </c>
      <c r="Q50" t="n">
        <v>1</v>
      </c>
      <c r="R50" s="2" t="inlineStr">
        <is>
          <t>Hagfingersvamp</t>
        </is>
      </c>
      <c r="S50">
        <f>HYPERLINK("https://klasma.github.io/Logging_1885/artfynd/A 54092-2025 artfynd.xlsx", "A 54092-2025")</f>
        <v/>
      </c>
      <c r="T50">
        <f>HYPERLINK("https://klasma.github.io/Logging_1885/kartor/A 54092-2025 karta.png", "A 54092-2025")</f>
        <v/>
      </c>
      <c r="V50">
        <f>HYPERLINK("https://klasma.github.io/Logging_1885/klagomål/A 54092-2025 FSC-klagomål.docx", "A 54092-2025")</f>
        <v/>
      </c>
      <c r="W50">
        <f>HYPERLINK("https://klasma.github.io/Logging_1885/klagomålsmail/A 54092-2025 FSC-klagomål mail.docx", "A 54092-2025")</f>
        <v/>
      </c>
      <c r="X50">
        <f>HYPERLINK("https://klasma.github.io/Logging_1885/tillsyn/A 54092-2025 tillsynsbegäran.docx", "A 54092-2025")</f>
        <v/>
      </c>
      <c r="Y50">
        <f>HYPERLINK("https://klasma.github.io/Logging_1885/tillsynsmail/A 54092-2025 tillsynsbegäran mail.docx", "A 54092-2025")</f>
        <v/>
      </c>
    </row>
    <row r="51" ht="15" customHeight="1">
      <c r="A51" t="inlineStr">
        <is>
          <t>A 34266-2025</t>
        </is>
      </c>
      <c r="B51" s="1" t="n">
        <v>45845.75751157408</v>
      </c>
      <c r="C51" s="1" t="n">
        <v>46001</v>
      </c>
      <c r="D51" t="inlineStr">
        <is>
          <t>ÖREBRO LÄN</t>
        </is>
      </c>
      <c r="E51" t="inlineStr">
        <is>
          <t>LINDESBERG</t>
        </is>
      </c>
      <c r="G51" t="n">
        <v>4.5</v>
      </c>
      <c r="H51" t="n">
        <v>0</v>
      </c>
      <c r="I51" t="n">
        <v>1</v>
      </c>
      <c r="J51" t="n">
        <v>0</v>
      </c>
      <c r="K51" t="n">
        <v>0</v>
      </c>
      <c r="L51" t="n">
        <v>0</v>
      </c>
      <c r="M51" t="n">
        <v>0</v>
      </c>
      <c r="N51" t="n">
        <v>0</v>
      </c>
      <c r="O51" t="n">
        <v>0</v>
      </c>
      <c r="P51" t="n">
        <v>0</v>
      </c>
      <c r="Q51" t="n">
        <v>1</v>
      </c>
      <c r="R51" s="2" t="inlineStr">
        <is>
          <t>Dropptaggsvamp</t>
        </is>
      </c>
      <c r="S51">
        <f>HYPERLINK("https://klasma.github.io/Logging_1885/artfynd/A 34266-2025 artfynd.xlsx", "A 34266-2025")</f>
        <v/>
      </c>
      <c r="T51">
        <f>HYPERLINK("https://klasma.github.io/Logging_1885/kartor/A 34266-2025 karta.png", "A 34266-2025")</f>
        <v/>
      </c>
      <c r="V51">
        <f>HYPERLINK("https://klasma.github.io/Logging_1885/klagomål/A 34266-2025 FSC-klagomål.docx", "A 34266-2025")</f>
        <v/>
      </c>
      <c r="W51">
        <f>HYPERLINK("https://klasma.github.io/Logging_1885/klagomålsmail/A 34266-2025 FSC-klagomål mail.docx", "A 34266-2025")</f>
        <v/>
      </c>
      <c r="X51">
        <f>HYPERLINK("https://klasma.github.io/Logging_1885/tillsyn/A 34266-2025 tillsynsbegäran.docx", "A 34266-2025")</f>
        <v/>
      </c>
      <c r="Y51">
        <f>HYPERLINK("https://klasma.github.io/Logging_1885/tillsynsmail/A 34266-2025 tillsynsbegäran mail.docx", "A 34266-2025")</f>
        <v/>
      </c>
    </row>
    <row r="52" ht="15" customHeight="1">
      <c r="A52" t="inlineStr">
        <is>
          <t>A 36669-2024</t>
        </is>
      </c>
      <c r="B52" s="1" t="n">
        <v>45537.64484953704</v>
      </c>
      <c r="C52" s="1" t="n">
        <v>46001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57355-2025</t>
        </is>
      </c>
      <c r="B53" s="1" t="n">
        <v>45980.3659375</v>
      </c>
      <c r="C53" s="1" t="n">
        <v>46001</v>
      </c>
      <c r="D53" t="inlineStr">
        <is>
          <t>ÖREBRO LÄN</t>
        </is>
      </c>
      <c r="E53" t="inlineStr">
        <is>
          <t>LINDESBERG</t>
        </is>
      </c>
      <c r="F53" t="inlineStr">
        <is>
          <t>Sveaskog</t>
        </is>
      </c>
      <c r="G53" t="n">
        <v>2.7</v>
      </c>
      <c r="H53" t="n">
        <v>0</v>
      </c>
      <c r="I53" t="n">
        <v>0</v>
      </c>
      <c r="J53" t="n">
        <v>1</v>
      </c>
      <c r="K53" t="n">
        <v>0</v>
      </c>
      <c r="L53" t="n">
        <v>0</v>
      </c>
      <c r="M53" t="n">
        <v>0</v>
      </c>
      <c r="N53" t="n">
        <v>0</v>
      </c>
      <c r="O53" t="n">
        <v>1</v>
      </c>
      <c r="P53" t="n">
        <v>0</v>
      </c>
      <c r="Q53" t="n">
        <v>1</v>
      </c>
      <c r="R53" s="2" t="inlineStr">
        <is>
          <t>Orange taggsvamp</t>
        </is>
      </c>
      <c r="S53">
        <f>HYPERLINK("https://klasma.github.io/Logging_1885/artfynd/A 57355-2025 artfynd.xlsx", "A 57355-2025")</f>
        <v/>
      </c>
      <c r="T53">
        <f>HYPERLINK("https://klasma.github.io/Logging_1885/kartor/A 57355-2025 karta.png", "A 57355-2025")</f>
        <v/>
      </c>
      <c r="V53">
        <f>HYPERLINK("https://klasma.github.io/Logging_1885/klagomål/A 57355-2025 FSC-klagomål.docx", "A 57355-2025")</f>
        <v/>
      </c>
      <c r="W53">
        <f>HYPERLINK("https://klasma.github.io/Logging_1885/klagomålsmail/A 57355-2025 FSC-klagomål mail.docx", "A 57355-2025")</f>
        <v/>
      </c>
      <c r="X53">
        <f>HYPERLINK("https://klasma.github.io/Logging_1885/tillsyn/A 57355-2025 tillsynsbegäran.docx", "A 57355-2025")</f>
        <v/>
      </c>
      <c r="Y53">
        <f>HYPERLINK("https://klasma.github.io/Logging_1885/tillsynsmail/A 57355-2025 tillsynsbegäran mail.docx", "A 57355-2025")</f>
        <v/>
      </c>
    </row>
    <row r="54" ht="15" customHeight="1">
      <c r="A54" t="inlineStr">
        <is>
          <t>A 48956-2025</t>
        </is>
      </c>
      <c r="B54" s="1" t="n">
        <v>45937.54982638889</v>
      </c>
      <c r="C54" s="1" t="n">
        <v>46001</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57362-2025</t>
        </is>
      </c>
      <c r="B55" s="1" t="n">
        <v>45980.37108796297</v>
      </c>
      <c r="C55" s="1" t="n">
        <v>46001</v>
      </c>
      <c r="D55" t="inlineStr">
        <is>
          <t>ÖREBRO LÄN</t>
        </is>
      </c>
      <c r="E55" t="inlineStr">
        <is>
          <t>LINDESBERG</t>
        </is>
      </c>
      <c r="F55" t="inlineStr">
        <is>
          <t>Sveaskog</t>
        </is>
      </c>
      <c r="G55" t="n">
        <v>1.2</v>
      </c>
      <c r="H55" t="n">
        <v>0</v>
      </c>
      <c r="I55" t="n">
        <v>1</v>
      </c>
      <c r="J55" t="n">
        <v>0</v>
      </c>
      <c r="K55" t="n">
        <v>0</v>
      </c>
      <c r="L55" t="n">
        <v>0</v>
      </c>
      <c r="M55" t="n">
        <v>0</v>
      </c>
      <c r="N55" t="n">
        <v>0</v>
      </c>
      <c r="O55" t="n">
        <v>0</v>
      </c>
      <c r="P55" t="n">
        <v>0</v>
      </c>
      <c r="Q55" t="n">
        <v>1</v>
      </c>
      <c r="R55" s="2" t="inlineStr">
        <is>
          <t>Svart trolldruva</t>
        </is>
      </c>
      <c r="S55">
        <f>HYPERLINK("https://klasma.github.io/Logging_1885/artfynd/A 57362-2025 artfynd.xlsx", "A 57362-2025")</f>
        <v/>
      </c>
      <c r="T55">
        <f>HYPERLINK("https://klasma.github.io/Logging_1885/kartor/A 57362-2025 karta.png", "A 57362-2025")</f>
        <v/>
      </c>
      <c r="V55">
        <f>HYPERLINK("https://klasma.github.io/Logging_1885/klagomål/A 57362-2025 FSC-klagomål.docx", "A 57362-2025")</f>
        <v/>
      </c>
      <c r="W55">
        <f>HYPERLINK("https://klasma.github.io/Logging_1885/klagomålsmail/A 57362-2025 FSC-klagomål mail.docx", "A 57362-2025")</f>
        <v/>
      </c>
      <c r="X55">
        <f>HYPERLINK("https://klasma.github.io/Logging_1885/tillsyn/A 57362-2025 tillsynsbegäran.docx", "A 57362-2025")</f>
        <v/>
      </c>
      <c r="Y55">
        <f>HYPERLINK("https://klasma.github.io/Logging_1885/tillsynsmail/A 57362-2025 tillsynsbegäran mail.docx", "A 57362-2025")</f>
        <v/>
      </c>
    </row>
    <row r="56" ht="15" customHeight="1">
      <c r="A56" t="inlineStr">
        <is>
          <t>A 37834-2025</t>
        </is>
      </c>
      <c r="B56" s="1" t="n">
        <v>45881.42446759259</v>
      </c>
      <c r="C56" s="1" t="n">
        <v>46001</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50766-2025</t>
        </is>
      </c>
      <c r="B57" s="1" t="n">
        <v>45946.44423611111</v>
      </c>
      <c r="C57" s="1" t="n">
        <v>46001</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46001</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46001</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52105-2025</t>
        </is>
      </c>
      <c r="B60" s="1" t="n">
        <v>45952.68596064814</v>
      </c>
      <c r="C60" s="1" t="n">
        <v>46001</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46001</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46001</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46001</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53598-2024</t>
        </is>
      </c>
      <c r="B64" s="1" t="n">
        <v>45614.68287037037</v>
      </c>
      <c r="C64" s="1" t="n">
        <v>46001</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46001</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46001</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45051-2024</t>
        </is>
      </c>
      <c r="B67" s="1" t="n">
        <v>45575.54934027778</v>
      </c>
      <c r="C67" s="1" t="n">
        <v>46001</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46001</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46001</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46001</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46001</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46001</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46001</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46001</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46001</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46001</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46001</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46001</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46001</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46001</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46001</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46001</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46001</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46001</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46001</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46001</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46001</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46001</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46001</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46001</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46001</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46001</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66402-2020</t>
        </is>
      </c>
      <c r="B93" s="1" t="n">
        <v>44176</v>
      </c>
      <c r="C93" s="1" t="n">
        <v>46001</v>
      </c>
      <c r="D93" t="inlineStr">
        <is>
          <t>ÖREBRO LÄN</t>
        </is>
      </c>
      <c r="E93" t="inlineStr">
        <is>
          <t>LINDESBERG</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46001</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46001</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46001</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46001</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46001</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46001</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46001</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46001</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46001</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46001</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46001</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46001</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46001</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46001</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46001</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46001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46001</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46001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46001</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46001</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46001</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46001</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46001</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46001</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46001</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46001</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46001</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46001</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12522-2022</t>
        </is>
      </c>
      <c r="B122" s="1" t="n">
        <v>44638</v>
      </c>
      <c r="C122" s="1" t="n">
        <v>46001</v>
      </c>
      <c r="D122" t="inlineStr">
        <is>
          <t>ÖREBRO LÄN</t>
        </is>
      </c>
      <c r="E122" t="inlineStr">
        <is>
          <t>LINDESBERG</t>
        </is>
      </c>
      <c r="G122" t="n">
        <v>6.2</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46001</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46001</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46001</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46001</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46001</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46001</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46001</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46001</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46001</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46001</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46001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46001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46001</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46001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46001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40099-2021</t>
        </is>
      </c>
      <c r="B138" s="1" t="n">
        <v>44418.58454861111</v>
      </c>
      <c r="C138" s="1" t="n">
        <v>46001</v>
      </c>
      <c r="D138" t="inlineStr">
        <is>
          <t>ÖREBRO LÄN</t>
        </is>
      </c>
      <c r="E138" t="inlineStr">
        <is>
          <t>LINDESBERG</t>
        </is>
      </c>
      <c r="G138" t="n">
        <v>2.9</v>
      </c>
      <c r="H138" t="n">
        <v>0</v>
      </c>
      <c r="I138" t="n">
        <v>0</v>
      </c>
      <c r="J138" t="n">
        <v>0</v>
      </c>
      <c r="K138" t="n">
        <v>0</v>
      </c>
      <c r="L138" t="n">
        <v>0</v>
      </c>
      <c r="M138" t="n">
        <v>0</v>
      </c>
      <c r="N138" t="n">
        <v>0</v>
      </c>
      <c r="O138" t="n">
        <v>0</v>
      </c>
      <c r="P138" t="n">
        <v>0</v>
      </c>
      <c r="Q138" t="n">
        <v>0</v>
      </c>
      <c r="R138" s="2" t="inlineStr"/>
    </row>
    <row r="139" ht="15" customHeight="1">
      <c r="A139" t="inlineStr">
        <is>
          <t>A 68829-2020</t>
        </is>
      </c>
      <c r="B139" s="1" t="n">
        <v>44187</v>
      </c>
      <c r="C139" s="1" t="n">
        <v>46001</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46001</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46001</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46001</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46001</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68090-2020</t>
        </is>
      </c>
      <c r="B144" s="1" t="n">
        <v>44183</v>
      </c>
      <c r="C144" s="1" t="n">
        <v>46001</v>
      </c>
      <c r="D144" t="inlineStr">
        <is>
          <t>ÖREBRO LÄN</t>
        </is>
      </c>
      <c r="E144" t="inlineStr">
        <is>
          <t>LINDESBERG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46001</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46001</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46001</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46001</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46001</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46001</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46001</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46001</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46001</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46001</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46001</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46001</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46001</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46001</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46001</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46001</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46001</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46001</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46001</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46001</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46001</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46001</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46001</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46001</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46001</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46001</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46001</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46001</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46001</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46001</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46001</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46001</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46001</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46001</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46001</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46001</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46001</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46001</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46001</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46001</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46001</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46001</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46001</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46001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46001</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46001</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46001</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46001</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46001</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46001</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46001</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46001</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46001</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46001</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46001</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46001</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46001</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46001</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46001</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46001</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46001</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46001</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46001</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46001</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46001</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46001</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46001</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46001</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46001</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46001</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46001</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46001</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46001</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46001</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46001</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46001</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46001</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46001</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46001</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46001</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46001</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46001</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46001</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46001</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46001</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46001</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46001</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46001</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26093-2023</t>
        </is>
      </c>
      <c r="B233" s="1" t="n">
        <v>45091.39362268519</v>
      </c>
      <c r="C233" s="1" t="n">
        <v>46001</v>
      </c>
      <c r="D233" t="inlineStr">
        <is>
          <t>ÖREBRO LÄN</t>
        </is>
      </c>
      <c r="E233" t="inlineStr">
        <is>
          <t>LINDESBERG</t>
        </is>
      </c>
      <c r="G233" t="n">
        <v>0.4</v>
      </c>
      <c r="H233" t="n">
        <v>0</v>
      </c>
      <c r="I233" t="n">
        <v>0</v>
      </c>
      <c r="J233" t="n">
        <v>0</v>
      </c>
      <c r="K233" t="n">
        <v>0</v>
      </c>
      <c r="L233" t="n">
        <v>0</v>
      </c>
      <c r="M233" t="n">
        <v>0</v>
      </c>
      <c r="N233" t="n">
        <v>0</v>
      </c>
      <c r="O233" t="n">
        <v>0</v>
      </c>
      <c r="P233" t="n">
        <v>0</v>
      </c>
      <c r="Q233" t="n">
        <v>0</v>
      </c>
      <c r="R233" s="2" t="inlineStr"/>
    </row>
    <row r="234" ht="15" customHeight="1">
      <c r="A234" t="inlineStr">
        <is>
          <t>A 17823-2021</t>
        </is>
      </c>
      <c r="B234" s="1" t="n">
        <v>44300</v>
      </c>
      <c r="C234" s="1" t="n">
        <v>46001</v>
      </c>
      <c r="D234" t="inlineStr">
        <is>
          <t>ÖREBRO LÄN</t>
        </is>
      </c>
      <c r="E234" t="inlineStr">
        <is>
          <t>LINDESBERG</t>
        </is>
      </c>
      <c r="G234" t="n">
        <v>3.9</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46001</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56217-2022</t>
        </is>
      </c>
      <c r="B236" s="1" t="n">
        <v>44890.46174768519</v>
      </c>
      <c r="C236" s="1" t="n">
        <v>46001</v>
      </c>
      <c r="D236" t="inlineStr">
        <is>
          <t>ÖREBRO LÄN</t>
        </is>
      </c>
      <c r="E236" t="inlineStr">
        <is>
          <t>LINDESBERG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19914-2024</t>
        </is>
      </c>
      <c r="B237" s="1" t="n">
        <v>45433.58099537037</v>
      </c>
      <c r="C237" s="1" t="n">
        <v>46001</v>
      </c>
      <c r="D237" t="inlineStr">
        <is>
          <t>ÖREBRO LÄN</t>
        </is>
      </c>
      <c r="E237" t="inlineStr">
        <is>
          <t>LINDESBERG</t>
        </is>
      </c>
      <c r="G237" t="n">
        <v>1.1</v>
      </c>
      <c r="H237" t="n">
        <v>0</v>
      </c>
      <c r="I237" t="n">
        <v>0</v>
      </c>
      <c r="J237" t="n">
        <v>0</v>
      </c>
      <c r="K237" t="n">
        <v>0</v>
      </c>
      <c r="L237" t="n">
        <v>0</v>
      </c>
      <c r="M237" t="n">
        <v>0</v>
      </c>
      <c r="N237" t="n">
        <v>0</v>
      </c>
      <c r="O237" t="n">
        <v>0</v>
      </c>
      <c r="P237" t="n">
        <v>0</v>
      </c>
      <c r="Q237" t="n">
        <v>0</v>
      </c>
      <c r="R237" s="2" t="inlineStr"/>
    </row>
    <row r="238" ht="15" customHeight="1">
      <c r="A238" t="inlineStr">
        <is>
          <t>A 51656-2023</t>
        </is>
      </c>
      <c r="B238" s="1" t="n">
        <v>45222</v>
      </c>
      <c r="C238" s="1" t="n">
        <v>46001</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12739-2024</t>
        </is>
      </c>
      <c r="B239" s="1" t="n">
        <v>45384</v>
      </c>
      <c r="C239" s="1" t="n">
        <v>46001</v>
      </c>
      <c r="D239" t="inlineStr">
        <is>
          <t>ÖREBRO LÄN</t>
        </is>
      </c>
      <c r="E239" t="inlineStr">
        <is>
          <t>LINDESBERG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56561-2023</t>
        </is>
      </c>
      <c r="B240" s="1" t="n">
        <v>45243</v>
      </c>
      <c r="C240" s="1" t="n">
        <v>46001</v>
      </c>
      <c r="D240" t="inlineStr">
        <is>
          <t>ÖREBRO LÄN</t>
        </is>
      </c>
      <c r="E240" t="inlineStr">
        <is>
          <t>LINDESBERG</t>
        </is>
      </c>
      <c r="G240" t="n">
        <v>1.9</v>
      </c>
      <c r="H240" t="n">
        <v>0</v>
      </c>
      <c r="I240" t="n">
        <v>0</v>
      </c>
      <c r="J240" t="n">
        <v>0</v>
      </c>
      <c r="K240" t="n">
        <v>0</v>
      </c>
      <c r="L240" t="n">
        <v>0</v>
      </c>
      <c r="M240" t="n">
        <v>0</v>
      </c>
      <c r="N240" t="n">
        <v>0</v>
      </c>
      <c r="O240" t="n">
        <v>0</v>
      </c>
      <c r="P240" t="n">
        <v>0</v>
      </c>
      <c r="Q240" t="n">
        <v>0</v>
      </c>
      <c r="R240" s="2" t="inlineStr"/>
    </row>
    <row r="241" ht="15" customHeight="1">
      <c r="A241" t="inlineStr">
        <is>
          <t>A 56579-2023</t>
        </is>
      </c>
      <c r="B241" s="1" t="n">
        <v>45243.62420138889</v>
      </c>
      <c r="C241" s="1" t="n">
        <v>46001</v>
      </c>
      <c r="D241" t="inlineStr">
        <is>
          <t>ÖREBRO LÄN</t>
        </is>
      </c>
      <c r="E241" t="inlineStr">
        <is>
          <t>LINDESBERG</t>
        </is>
      </c>
      <c r="F241" t="inlineStr">
        <is>
          <t>Naturvårdsverket</t>
        </is>
      </c>
      <c r="G241" t="n">
        <v>1.6</v>
      </c>
      <c r="H241" t="n">
        <v>0</v>
      </c>
      <c r="I241" t="n">
        <v>0</v>
      </c>
      <c r="J241" t="n">
        <v>0</v>
      </c>
      <c r="K241" t="n">
        <v>0</v>
      </c>
      <c r="L241" t="n">
        <v>0</v>
      </c>
      <c r="M241" t="n">
        <v>0</v>
      </c>
      <c r="N241" t="n">
        <v>0</v>
      </c>
      <c r="O241" t="n">
        <v>0</v>
      </c>
      <c r="P241" t="n">
        <v>0</v>
      </c>
      <c r="Q241" t="n">
        <v>0</v>
      </c>
      <c r="R241" s="2" t="inlineStr"/>
    </row>
    <row r="242" ht="15" customHeight="1">
      <c r="A242" t="inlineStr">
        <is>
          <t>A 56582-2023</t>
        </is>
      </c>
      <c r="B242" s="1" t="n">
        <v>45243</v>
      </c>
      <c r="C242" s="1" t="n">
        <v>46001</v>
      </c>
      <c r="D242" t="inlineStr">
        <is>
          <t>ÖREBRO LÄN</t>
        </is>
      </c>
      <c r="E242" t="inlineStr">
        <is>
          <t>LINDESBERG</t>
        </is>
      </c>
      <c r="F242" t="inlineStr">
        <is>
          <t>Naturvårdsverket</t>
        </is>
      </c>
      <c r="G242" t="n">
        <v>2.3</v>
      </c>
      <c r="H242" t="n">
        <v>0</v>
      </c>
      <c r="I242" t="n">
        <v>0</v>
      </c>
      <c r="J242" t="n">
        <v>0</v>
      </c>
      <c r="K242" t="n">
        <v>0</v>
      </c>
      <c r="L242" t="n">
        <v>0</v>
      </c>
      <c r="M242" t="n">
        <v>0</v>
      </c>
      <c r="N242" t="n">
        <v>0</v>
      </c>
      <c r="O242" t="n">
        <v>0</v>
      </c>
      <c r="P242" t="n">
        <v>0</v>
      </c>
      <c r="Q242" t="n">
        <v>0</v>
      </c>
      <c r="R242" s="2" t="inlineStr"/>
    </row>
    <row r="243" ht="15" customHeight="1">
      <c r="A243" t="inlineStr">
        <is>
          <t>A 27134-2024</t>
        </is>
      </c>
      <c r="B243" s="1" t="n">
        <v>45471.52878472222</v>
      </c>
      <c r="C243" s="1" t="n">
        <v>46001</v>
      </c>
      <c r="D243" t="inlineStr">
        <is>
          <t>ÖREBRO LÄN</t>
        </is>
      </c>
      <c r="E243" t="inlineStr">
        <is>
          <t>LINDESBERG</t>
        </is>
      </c>
      <c r="G243" t="n">
        <v>0.7</v>
      </c>
      <c r="H243" t="n">
        <v>0</v>
      </c>
      <c r="I243" t="n">
        <v>0</v>
      </c>
      <c r="J243" t="n">
        <v>0</v>
      </c>
      <c r="K243" t="n">
        <v>0</v>
      </c>
      <c r="L243" t="n">
        <v>0</v>
      </c>
      <c r="M243" t="n">
        <v>0</v>
      </c>
      <c r="N243" t="n">
        <v>0</v>
      </c>
      <c r="O243" t="n">
        <v>0</v>
      </c>
      <c r="P243" t="n">
        <v>0</v>
      </c>
      <c r="Q243" t="n">
        <v>0</v>
      </c>
      <c r="R243" s="2" t="inlineStr"/>
    </row>
    <row r="244" ht="15" customHeight="1">
      <c r="A244" t="inlineStr">
        <is>
          <t>A 40305-2024</t>
        </is>
      </c>
      <c r="B244" s="1" t="n">
        <v>45554.71863425926</v>
      </c>
      <c r="C244" s="1" t="n">
        <v>46001</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21012-2023</t>
        </is>
      </c>
      <c r="B245" s="1" t="n">
        <v>45061.52474537037</v>
      </c>
      <c r="C245" s="1" t="n">
        <v>46001</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33280-2024</t>
        </is>
      </c>
      <c r="B246" s="1" t="n">
        <v>45518.71048611111</v>
      </c>
      <c r="C246" s="1" t="n">
        <v>46001</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54793-2024</t>
        </is>
      </c>
      <c r="B247" s="1" t="n">
        <v>45618</v>
      </c>
      <c r="C247" s="1" t="n">
        <v>46001</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24944-2024</t>
        </is>
      </c>
      <c r="B248" s="1" t="n">
        <v>45461.62924768519</v>
      </c>
      <c r="C248" s="1" t="n">
        <v>46001</v>
      </c>
      <c r="D248" t="inlineStr">
        <is>
          <t>ÖREBRO LÄN</t>
        </is>
      </c>
      <c r="E248" t="inlineStr">
        <is>
          <t>LINDESBERG</t>
        </is>
      </c>
      <c r="F248" t="inlineStr">
        <is>
          <t>Kyrkan</t>
        </is>
      </c>
      <c r="G248" t="n">
        <v>13.7</v>
      </c>
      <c r="H248" t="n">
        <v>0</v>
      </c>
      <c r="I248" t="n">
        <v>0</v>
      </c>
      <c r="J248" t="n">
        <v>0</v>
      </c>
      <c r="K248" t="n">
        <v>0</v>
      </c>
      <c r="L248" t="n">
        <v>0</v>
      </c>
      <c r="M248" t="n">
        <v>0</v>
      </c>
      <c r="N248" t="n">
        <v>0</v>
      </c>
      <c r="O248" t="n">
        <v>0</v>
      </c>
      <c r="P248" t="n">
        <v>0</v>
      </c>
      <c r="Q248" t="n">
        <v>0</v>
      </c>
      <c r="R248" s="2" t="inlineStr"/>
    </row>
    <row r="249" ht="15" customHeight="1">
      <c r="A249" t="inlineStr">
        <is>
          <t>A 37432-2022</t>
        </is>
      </c>
      <c r="B249" s="1" t="n">
        <v>44809</v>
      </c>
      <c r="C249" s="1" t="n">
        <v>46001</v>
      </c>
      <c r="D249" t="inlineStr">
        <is>
          <t>ÖREBRO LÄN</t>
        </is>
      </c>
      <c r="E249" t="inlineStr">
        <is>
          <t>LINDESBERG</t>
        </is>
      </c>
      <c r="G249" t="n">
        <v>3.6</v>
      </c>
      <c r="H249" t="n">
        <v>0</v>
      </c>
      <c r="I249" t="n">
        <v>0</v>
      </c>
      <c r="J249" t="n">
        <v>0</v>
      </c>
      <c r="K249" t="n">
        <v>0</v>
      </c>
      <c r="L249" t="n">
        <v>0</v>
      </c>
      <c r="M249" t="n">
        <v>0</v>
      </c>
      <c r="N249" t="n">
        <v>0</v>
      </c>
      <c r="O249" t="n">
        <v>0</v>
      </c>
      <c r="P249" t="n">
        <v>0</v>
      </c>
      <c r="Q249" t="n">
        <v>0</v>
      </c>
      <c r="R249" s="2" t="inlineStr"/>
    </row>
    <row r="250" ht="15" customHeight="1">
      <c r="A250" t="inlineStr">
        <is>
          <t>A 53054-2022</t>
        </is>
      </c>
      <c r="B250" s="1" t="n">
        <v>44876.35706018518</v>
      </c>
      <c r="C250" s="1" t="n">
        <v>46001</v>
      </c>
      <c r="D250" t="inlineStr">
        <is>
          <t>ÖREBRO LÄN</t>
        </is>
      </c>
      <c r="E250" t="inlineStr">
        <is>
          <t>LINDESBERG</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22543-2025</t>
        </is>
      </c>
      <c r="B251" s="1" t="n">
        <v>45788.42467592593</v>
      </c>
      <c r="C251" s="1" t="n">
        <v>46001</v>
      </c>
      <c r="D251" t="inlineStr">
        <is>
          <t>ÖREBRO LÄN</t>
        </is>
      </c>
      <c r="E251" t="inlineStr">
        <is>
          <t>LINDESBERG</t>
        </is>
      </c>
      <c r="G251" t="n">
        <v>6.7</v>
      </c>
      <c r="H251" t="n">
        <v>0</v>
      </c>
      <c r="I251" t="n">
        <v>0</v>
      </c>
      <c r="J251" t="n">
        <v>0</v>
      </c>
      <c r="K251" t="n">
        <v>0</v>
      </c>
      <c r="L251" t="n">
        <v>0</v>
      </c>
      <c r="M251" t="n">
        <v>0</v>
      </c>
      <c r="N251" t="n">
        <v>0</v>
      </c>
      <c r="O251" t="n">
        <v>0</v>
      </c>
      <c r="P251" t="n">
        <v>0</v>
      </c>
      <c r="Q251" t="n">
        <v>0</v>
      </c>
      <c r="R251" s="2" t="inlineStr"/>
    </row>
    <row r="252" ht="15" customHeight="1">
      <c r="A252" t="inlineStr">
        <is>
          <t>A 38380-2024</t>
        </is>
      </c>
      <c r="B252" s="1" t="n">
        <v>45546.28121527778</v>
      </c>
      <c r="C252" s="1" t="n">
        <v>46001</v>
      </c>
      <c r="D252" t="inlineStr">
        <is>
          <t>ÖREBRO LÄN</t>
        </is>
      </c>
      <c r="E252" t="inlineStr">
        <is>
          <t>LINDESBERG</t>
        </is>
      </c>
      <c r="G252" t="n">
        <v>6.8</v>
      </c>
      <c r="H252" t="n">
        <v>0</v>
      </c>
      <c r="I252" t="n">
        <v>0</v>
      </c>
      <c r="J252" t="n">
        <v>0</v>
      </c>
      <c r="K252" t="n">
        <v>0</v>
      </c>
      <c r="L252" t="n">
        <v>0</v>
      </c>
      <c r="M252" t="n">
        <v>0</v>
      </c>
      <c r="N252" t="n">
        <v>0</v>
      </c>
      <c r="O252" t="n">
        <v>0</v>
      </c>
      <c r="P252" t="n">
        <v>0</v>
      </c>
      <c r="Q252" t="n">
        <v>0</v>
      </c>
      <c r="R252" s="2" t="inlineStr"/>
    </row>
    <row r="253" ht="15" customHeight="1">
      <c r="A253" t="inlineStr">
        <is>
          <t>A 23245-2025</t>
        </is>
      </c>
      <c r="B253" s="1" t="n">
        <v>45791.50862268519</v>
      </c>
      <c r="C253" s="1" t="n">
        <v>46001</v>
      </c>
      <c r="D253" t="inlineStr">
        <is>
          <t>ÖREBRO LÄN</t>
        </is>
      </c>
      <c r="E253" t="inlineStr">
        <is>
          <t>LINDESBERG</t>
        </is>
      </c>
      <c r="G253" t="n">
        <v>6.8</v>
      </c>
      <c r="H253" t="n">
        <v>0</v>
      </c>
      <c r="I253" t="n">
        <v>0</v>
      </c>
      <c r="J253" t="n">
        <v>0</v>
      </c>
      <c r="K253" t="n">
        <v>0</v>
      </c>
      <c r="L253" t="n">
        <v>0</v>
      </c>
      <c r="M253" t="n">
        <v>0</v>
      </c>
      <c r="N253" t="n">
        <v>0</v>
      </c>
      <c r="O253" t="n">
        <v>0</v>
      </c>
      <c r="P253" t="n">
        <v>0</v>
      </c>
      <c r="Q253" t="n">
        <v>0</v>
      </c>
      <c r="R253" s="2" t="inlineStr"/>
    </row>
    <row r="254" ht="15" customHeight="1">
      <c r="A254" t="inlineStr">
        <is>
          <t>A 50619-2022</t>
        </is>
      </c>
      <c r="B254" s="1" t="n">
        <v>44866.79668981482</v>
      </c>
      <c r="C254" s="1" t="n">
        <v>46001</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42707-2023</t>
        </is>
      </c>
      <c r="B255" s="1" t="n">
        <v>45181</v>
      </c>
      <c r="C255" s="1" t="n">
        <v>46001</v>
      </c>
      <c r="D255" t="inlineStr">
        <is>
          <t>ÖREBRO LÄN</t>
        </is>
      </c>
      <c r="E255" t="inlineStr">
        <is>
          <t>LINDESBERG</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59641-2024</t>
        </is>
      </c>
      <c r="B256" s="1" t="n">
        <v>45639.30934027778</v>
      </c>
      <c r="C256" s="1" t="n">
        <v>46001</v>
      </c>
      <c r="D256" t="inlineStr">
        <is>
          <t>ÖREBRO LÄN</t>
        </is>
      </c>
      <c r="E256" t="inlineStr">
        <is>
          <t>LINDESBERG</t>
        </is>
      </c>
      <c r="G256" t="n">
        <v>2.1</v>
      </c>
      <c r="H256" t="n">
        <v>0</v>
      </c>
      <c r="I256" t="n">
        <v>0</v>
      </c>
      <c r="J256" t="n">
        <v>0</v>
      </c>
      <c r="K256" t="n">
        <v>0</v>
      </c>
      <c r="L256" t="n">
        <v>0</v>
      </c>
      <c r="M256" t="n">
        <v>0</v>
      </c>
      <c r="N256" t="n">
        <v>0</v>
      </c>
      <c r="O256" t="n">
        <v>0</v>
      </c>
      <c r="P256" t="n">
        <v>0</v>
      </c>
      <c r="Q256" t="n">
        <v>0</v>
      </c>
      <c r="R256" s="2" t="inlineStr"/>
    </row>
    <row r="257" ht="15" customHeight="1">
      <c r="A257" t="inlineStr">
        <is>
          <t>A 46603-2021</t>
        </is>
      </c>
      <c r="B257" s="1" t="n">
        <v>44445</v>
      </c>
      <c r="C257" s="1" t="n">
        <v>46001</v>
      </c>
      <c r="D257" t="inlineStr">
        <is>
          <t>ÖREBRO LÄN</t>
        </is>
      </c>
      <c r="E257" t="inlineStr">
        <is>
          <t>LINDESBERG</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17779-2024</t>
        </is>
      </c>
      <c r="B258" s="1" t="n">
        <v>45418.66800925926</v>
      </c>
      <c r="C258" s="1" t="n">
        <v>46001</v>
      </c>
      <c r="D258" t="inlineStr">
        <is>
          <t>ÖREBRO LÄN</t>
        </is>
      </c>
      <c r="E258" t="inlineStr">
        <is>
          <t>LINDESBERG</t>
        </is>
      </c>
      <c r="G258" t="n">
        <v>3.7</v>
      </c>
      <c r="H258" t="n">
        <v>0</v>
      </c>
      <c r="I258" t="n">
        <v>0</v>
      </c>
      <c r="J258" t="n">
        <v>0</v>
      </c>
      <c r="K258" t="n">
        <v>0</v>
      </c>
      <c r="L258" t="n">
        <v>0</v>
      </c>
      <c r="M258" t="n">
        <v>0</v>
      </c>
      <c r="N258" t="n">
        <v>0</v>
      </c>
      <c r="O258" t="n">
        <v>0</v>
      </c>
      <c r="P258" t="n">
        <v>0</v>
      </c>
      <c r="Q258" t="n">
        <v>0</v>
      </c>
      <c r="R258" s="2" t="inlineStr"/>
    </row>
    <row r="259" ht="15" customHeight="1">
      <c r="A259" t="inlineStr">
        <is>
          <t>A 41343-2021</t>
        </is>
      </c>
      <c r="B259" s="1" t="n">
        <v>44424.61709490741</v>
      </c>
      <c r="C259" s="1" t="n">
        <v>46001</v>
      </c>
      <c r="D259" t="inlineStr">
        <is>
          <t>ÖREBRO LÄN</t>
        </is>
      </c>
      <c r="E259" t="inlineStr">
        <is>
          <t>LINDESBERG</t>
        </is>
      </c>
      <c r="G259" t="n">
        <v>8.9</v>
      </c>
      <c r="H259" t="n">
        <v>0</v>
      </c>
      <c r="I259" t="n">
        <v>0</v>
      </c>
      <c r="J259" t="n">
        <v>0</v>
      </c>
      <c r="K259" t="n">
        <v>0</v>
      </c>
      <c r="L259" t="n">
        <v>0</v>
      </c>
      <c r="M259" t="n">
        <v>0</v>
      </c>
      <c r="N259" t="n">
        <v>0</v>
      </c>
      <c r="O259" t="n">
        <v>0</v>
      </c>
      <c r="P259" t="n">
        <v>0</v>
      </c>
      <c r="Q259" t="n">
        <v>0</v>
      </c>
      <c r="R259" s="2" t="inlineStr"/>
    </row>
    <row r="260" ht="15" customHeight="1">
      <c r="A260" t="inlineStr">
        <is>
          <t>A 23641-2024</t>
        </is>
      </c>
      <c r="B260" s="1" t="n">
        <v>45454.49679398148</v>
      </c>
      <c r="C260" s="1" t="n">
        <v>46001</v>
      </c>
      <c r="D260" t="inlineStr">
        <is>
          <t>ÖREBRO LÄN</t>
        </is>
      </c>
      <c r="E260" t="inlineStr">
        <is>
          <t>LINDESBERG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21202-2024</t>
        </is>
      </c>
      <c r="B261" s="1" t="n">
        <v>45440.5433912037</v>
      </c>
      <c r="C261" s="1" t="n">
        <v>46001</v>
      </c>
      <c r="D261" t="inlineStr">
        <is>
          <t>ÖREBRO LÄN</t>
        </is>
      </c>
      <c r="E261" t="inlineStr">
        <is>
          <t>LINDESBERG</t>
        </is>
      </c>
      <c r="G261" t="n">
        <v>4</v>
      </c>
      <c r="H261" t="n">
        <v>0</v>
      </c>
      <c r="I261" t="n">
        <v>0</v>
      </c>
      <c r="J261" t="n">
        <v>0</v>
      </c>
      <c r="K261" t="n">
        <v>0</v>
      </c>
      <c r="L261" t="n">
        <v>0</v>
      </c>
      <c r="M261" t="n">
        <v>0</v>
      </c>
      <c r="N261" t="n">
        <v>0</v>
      </c>
      <c r="O261" t="n">
        <v>0</v>
      </c>
      <c r="P261" t="n">
        <v>0</v>
      </c>
      <c r="Q261" t="n">
        <v>0</v>
      </c>
      <c r="R261" s="2" t="inlineStr"/>
    </row>
    <row r="262" ht="15" customHeight="1">
      <c r="A262" t="inlineStr">
        <is>
          <t>A 1400-2025</t>
        </is>
      </c>
      <c r="B262" s="1" t="n">
        <v>45667</v>
      </c>
      <c r="C262" s="1" t="n">
        <v>46001</v>
      </c>
      <c r="D262" t="inlineStr">
        <is>
          <t>ÖREBRO LÄN</t>
        </is>
      </c>
      <c r="E262" t="inlineStr">
        <is>
          <t>LINDESBERG</t>
        </is>
      </c>
      <c r="F262" t="inlineStr">
        <is>
          <t>Allmännings- och besparingsskogar</t>
        </is>
      </c>
      <c r="G262" t="n">
        <v>11.3</v>
      </c>
      <c r="H262" t="n">
        <v>0</v>
      </c>
      <c r="I262" t="n">
        <v>0</v>
      </c>
      <c r="J262" t="n">
        <v>0</v>
      </c>
      <c r="K262" t="n">
        <v>0</v>
      </c>
      <c r="L262" t="n">
        <v>0</v>
      </c>
      <c r="M262" t="n">
        <v>0</v>
      </c>
      <c r="N262" t="n">
        <v>0</v>
      </c>
      <c r="O262" t="n">
        <v>0</v>
      </c>
      <c r="P262" t="n">
        <v>0</v>
      </c>
      <c r="Q262" t="n">
        <v>0</v>
      </c>
      <c r="R262" s="2" t="inlineStr"/>
    </row>
    <row r="263" ht="15" customHeight="1">
      <c r="A263" t="inlineStr">
        <is>
          <t>A 23835-2025</t>
        </is>
      </c>
      <c r="B263" s="1" t="n">
        <v>45793.61047453704</v>
      </c>
      <c r="C263" s="1" t="n">
        <v>46001</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58662-2022</t>
        </is>
      </c>
      <c r="B264" s="1" t="n">
        <v>44902</v>
      </c>
      <c r="C264" s="1" t="n">
        <v>46001</v>
      </c>
      <c r="D264" t="inlineStr">
        <is>
          <t>ÖREBRO LÄN</t>
        </is>
      </c>
      <c r="E264" t="inlineStr">
        <is>
          <t>LINDESBERG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24017-2025</t>
        </is>
      </c>
      <c r="B265" s="1" t="n">
        <v>45796.44885416667</v>
      </c>
      <c r="C265" s="1" t="n">
        <v>46001</v>
      </c>
      <c r="D265" t="inlineStr">
        <is>
          <t>ÖREBRO LÄN</t>
        </is>
      </c>
      <c r="E265" t="inlineStr">
        <is>
          <t>LINDESBERG</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38534-2025</t>
        </is>
      </c>
      <c r="B266" s="1" t="n">
        <v>45884</v>
      </c>
      <c r="C266" s="1" t="n">
        <v>46001</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24107-2025</t>
        </is>
      </c>
      <c r="B267" s="1" t="n">
        <v>45796</v>
      </c>
      <c r="C267" s="1" t="n">
        <v>46001</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23932-2025</t>
        </is>
      </c>
      <c r="B268" s="1" t="n">
        <v>45795.70912037037</v>
      </c>
      <c r="C268" s="1" t="n">
        <v>46001</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24011-2025</t>
        </is>
      </c>
      <c r="B269" s="1" t="n">
        <v>45796</v>
      </c>
      <c r="C269" s="1" t="n">
        <v>46001</v>
      </c>
      <c r="D269" t="inlineStr">
        <is>
          <t>ÖREBRO LÄN</t>
        </is>
      </c>
      <c r="E269" t="inlineStr">
        <is>
          <t>LINDESBERG</t>
        </is>
      </c>
      <c r="F269" t="inlineStr">
        <is>
          <t>Sveaskog</t>
        </is>
      </c>
      <c r="G269" t="n">
        <v>4.2</v>
      </c>
      <c r="H269" t="n">
        <v>0</v>
      </c>
      <c r="I269" t="n">
        <v>0</v>
      </c>
      <c r="J269" t="n">
        <v>0</v>
      </c>
      <c r="K269" t="n">
        <v>0</v>
      </c>
      <c r="L269" t="n">
        <v>0</v>
      </c>
      <c r="M269" t="n">
        <v>0</v>
      </c>
      <c r="N269" t="n">
        <v>0</v>
      </c>
      <c r="O269" t="n">
        <v>0</v>
      </c>
      <c r="P269" t="n">
        <v>0</v>
      </c>
      <c r="Q269" t="n">
        <v>0</v>
      </c>
      <c r="R269" s="2" t="inlineStr"/>
    </row>
    <row r="270" ht="15" customHeight="1">
      <c r="A270" t="inlineStr">
        <is>
          <t>A 24020-2025</t>
        </is>
      </c>
      <c r="B270" s="1" t="n">
        <v>45796.45054398148</v>
      </c>
      <c r="C270" s="1" t="n">
        <v>46001</v>
      </c>
      <c r="D270" t="inlineStr">
        <is>
          <t>ÖREBRO LÄN</t>
        </is>
      </c>
      <c r="E270" t="inlineStr">
        <is>
          <t>LINDESBERG</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23897-2025</t>
        </is>
      </c>
      <c r="B271" s="1" t="n">
        <v>45794.33498842592</v>
      </c>
      <c r="C271" s="1" t="n">
        <v>46001</v>
      </c>
      <c r="D271" t="inlineStr">
        <is>
          <t>ÖREBRO LÄN</t>
        </is>
      </c>
      <c r="E271" t="inlineStr">
        <is>
          <t>LINDESBERG</t>
        </is>
      </c>
      <c r="G271" t="n">
        <v>5.6</v>
      </c>
      <c r="H271" t="n">
        <v>0</v>
      </c>
      <c r="I271" t="n">
        <v>0</v>
      </c>
      <c r="J271" t="n">
        <v>0</v>
      </c>
      <c r="K271" t="n">
        <v>0</v>
      </c>
      <c r="L271" t="n">
        <v>0</v>
      </c>
      <c r="M271" t="n">
        <v>0</v>
      </c>
      <c r="N271" t="n">
        <v>0</v>
      </c>
      <c r="O271" t="n">
        <v>0</v>
      </c>
      <c r="P271" t="n">
        <v>0</v>
      </c>
      <c r="Q271" t="n">
        <v>0</v>
      </c>
      <c r="R271" s="2" t="inlineStr"/>
    </row>
    <row r="272" ht="15" customHeight="1">
      <c r="A272" t="inlineStr">
        <is>
          <t>A 28032-2023</t>
        </is>
      </c>
      <c r="B272" s="1" t="n">
        <v>45099</v>
      </c>
      <c r="C272" s="1" t="n">
        <v>46001</v>
      </c>
      <c r="D272" t="inlineStr">
        <is>
          <t>ÖREBRO LÄN</t>
        </is>
      </c>
      <c r="E272" t="inlineStr">
        <is>
          <t>LINDESBERG</t>
        </is>
      </c>
      <c r="F272" t="inlineStr">
        <is>
          <t>Kyrkan</t>
        </is>
      </c>
      <c r="G272" t="n">
        <v>0.7</v>
      </c>
      <c r="H272" t="n">
        <v>0</v>
      </c>
      <c r="I272" t="n">
        <v>0</v>
      </c>
      <c r="J272" t="n">
        <v>0</v>
      </c>
      <c r="K272" t="n">
        <v>0</v>
      </c>
      <c r="L272" t="n">
        <v>0</v>
      </c>
      <c r="M272" t="n">
        <v>0</v>
      </c>
      <c r="N272" t="n">
        <v>0</v>
      </c>
      <c r="O272" t="n">
        <v>0</v>
      </c>
      <c r="P272" t="n">
        <v>0</v>
      </c>
      <c r="Q272" t="n">
        <v>0</v>
      </c>
      <c r="R272" s="2" t="inlineStr"/>
    </row>
    <row r="273" ht="15" customHeight="1">
      <c r="A273" t="inlineStr">
        <is>
          <t>A 4067-2024</t>
        </is>
      </c>
      <c r="B273" s="1" t="n">
        <v>45323</v>
      </c>
      <c r="C273" s="1" t="n">
        <v>46001</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23898-2025</t>
        </is>
      </c>
      <c r="B274" s="1" t="n">
        <v>45794.3419212963</v>
      </c>
      <c r="C274" s="1" t="n">
        <v>46001</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23933-2025</t>
        </is>
      </c>
      <c r="B275" s="1" t="n">
        <v>45795.71300925926</v>
      </c>
      <c r="C275" s="1" t="n">
        <v>46001</v>
      </c>
      <c r="D275" t="inlineStr">
        <is>
          <t>ÖREBRO LÄN</t>
        </is>
      </c>
      <c r="E275" t="inlineStr">
        <is>
          <t>LINDESBERG</t>
        </is>
      </c>
      <c r="G275" t="n">
        <v>2.2</v>
      </c>
      <c r="H275" t="n">
        <v>0</v>
      </c>
      <c r="I275" t="n">
        <v>0</v>
      </c>
      <c r="J275" t="n">
        <v>0</v>
      </c>
      <c r="K275" t="n">
        <v>0</v>
      </c>
      <c r="L275" t="n">
        <v>0</v>
      </c>
      <c r="M275" t="n">
        <v>0</v>
      </c>
      <c r="N275" t="n">
        <v>0</v>
      </c>
      <c r="O275" t="n">
        <v>0</v>
      </c>
      <c r="P275" t="n">
        <v>0</v>
      </c>
      <c r="Q275" t="n">
        <v>0</v>
      </c>
      <c r="R275" s="2" t="inlineStr"/>
    </row>
    <row r="276" ht="15" customHeight="1">
      <c r="A276" t="inlineStr">
        <is>
          <t>A 23934-2025</t>
        </is>
      </c>
      <c r="B276" s="1" t="n">
        <v>45795.71547453704</v>
      </c>
      <c r="C276" s="1" t="n">
        <v>46001</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38861-2025</t>
        </is>
      </c>
      <c r="B277" s="1" t="n">
        <v>45887.56101851852</v>
      </c>
      <c r="C277" s="1" t="n">
        <v>46001</v>
      </c>
      <c r="D277" t="inlineStr">
        <is>
          <t>ÖREBRO LÄN</t>
        </is>
      </c>
      <c r="E277" t="inlineStr">
        <is>
          <t>LINDESBERG</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57944-2023</t>
        </is>
      </c>
      <c r="B278" s="1" t="n">
        <v>45244</v>
      </c>
      <c r="C278" s="1" t="n">
        <v>46001</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24043-2024</t>
        </is>
      </c>
      <c r="B279" s="1" t="n">
        <v>45456.48927083334</v>
      </c>
      <c r="C279" s="1" t="n">
        <v>46001</v>
      </c>
      <c r="D279" t="inlineStr">
        <is>
          <t>ÖREBRO LÄN</t>
        </is>
      </c>
      <c r="E279" t="inlineStr">
        <is>
          <t>LINDESBERG</t>
        </is>
      </c>
      <c r="G279" t="n">
        <v>6.2</v>
      </c>
      <c r="H279" t="n">
        <v>0</v>
      </c>
      <c r="I279" t="n">
        <v>0</v>
      </c>
      <c r="J279" t="n">
        <v>0</v>
      </c>
      <c r="K279" t="n">
        <v>0</v>
      </c>
      <c r="L279" t="n">
        <v>0</v>
      </c>
      <c r="M279" t="n">
        <v>0</v>
      </c>
      <c r="N279" t="n">
        <v>0</v>
      </c>
      <c r="O279" t="n">
        <v>0</v>
      </c>
      <c r="P279" t="n">
        <v>0</v>
      </c>
      <c r="Q279" t="n">
        <v>0</v>
      </c>
      <c r="R279" s="2" t="inlineStr"/>
    </row>
    <row r="280" ht="15" customHeight="1">
      <c r="A280" t="inlineStr">
        <is>
          <t>A 23844-2025</t>
        </is>
      </c>
      <c r="B280" s="1" t="n">
        <v>45793.62422453704</v>
      </c>
      <c r="C280" s="1" t="n">
        <v>46001</v>
      </c>
      <c r="D280" t="inlineStr">
        <is>
          <t>ÖREBRO LÄN</t>
        </is>
      </c>
      <c r="E280" t="inlineStr">
        <is>
          <t>LINDESBERG</t>
        </is>
      </c>
      <c r="F280" t="inlineStr">
        <is>
          <t>Sveaskog</t>
        </is>
      </c>
      <c r="G280" t="n">
        <v>0.4</v>
      </c>
      <c r="H280" t="n">
        <v>0</v>
      </c>
      <c r="I280" t="n">
        <v>0</v>
      </c>
      <c r="J280" t="n">
        <v>0</v>
      </c>
      <c r="K280" t="n">
        <v>0</v>
      </c>
      <c r="L280" t="n">
        <v>0</v>
      </c>
      <c r="M280" t="n">
        <v>0</v>
      </c>
      <c r="N280" t="n">
        <v>0</v>
      </c>
      <c r="O280" t="n">
        <v>0</v>
      </c>
      <c r="P280" t="n">
        <v>0</v>
      </c>
      <c r="Q280" t="n">
        <v>0</v>
      </c>
      <c r="R280" s="2" t="inlineStr"/>
    </row>
    <row r="281" ht="15" customHeight="1">
      <c r="A281" t="inlineStr">
        <is>
          <t>A 30767-2023</t>
        </is>
      </c>
      <c r="B281" s="1" t="n">
        <v>45112.67952546296</v>
      </c>
      <c r="C281" s="1" t="n">
        <v>46001</v>
      </c>
      <c r="D281" t="inlineStr">
        <is>
          <t>ÖREBRO LÄN</t>
        </is>
      </c>
      <c r="E281" t="inlineStr">
        <is>
          <t>LINDESBERG</t>
        </is>
      </c>
      <c r="G281" t="n">
        <v>3.9</v>
      </c>
      <c r="H281" t="n">
        <v>0</v>
      </c>
      <c r="I281" t="n">
        <v>0</v>
      </c>
      <c r="J281" t="n">
        <v>0</v>
      </c>
      <c r="K281" t="n">
        <v>0</v>
      </c>
      <c r="L281" t="n">
        <v>0</v>
      </c>
      <c r="M281" t="n">
        <v>0</v>
      </c>
      <c r="N281" t="n">
        <v>0</v>
      </c>
      <c r="O281" t="n">
        <v>0</v>
      </c>
      <c r="P281" t="n">
        <v>0</v>
      </c>
      <c r="Q281" t="n">
        <v>0</v>
      </c>
      <c r="R281" s="2" t="inlineStr"/>
    </row>
    <row r="282" ht="15" customHeight="1">
      <c r="A282" t="inlineStr">
        <is>
          <t>A 12250-2025</t>
        </is>
      </c>
      <c r="B282" s="1" t="n">
        <v>45729.60775462963</v>
      </c>
      <c r="C282" s="1" t="n">
        <v>46001</v>
      </c>
      <c r="D282" t="inlineStr">
        <is>
          <t>ÖREBRO LÄN</t>
        </is>
      </c>
      <c r="E282" t="inlineStr">
        <is>
          <t>LINDESBERG</t>
        </is>
      </c>
      <c r="G282" t="n">
        <v>3.4</v>
      </c>
      <c r="H282" t="n">
        <v>0</v>
      </c>
      <c r="I282" t="n">
        <v>0</v>
      </c>
      <c r="J282" t="n">
        <v>0</v>
      </c>
      <c r="K282" t="n">
        <v>0</v>
      </c>
      <c r="L282" t="n">
        <v>0</v>
      </c>
      <c r="M282" t="n">
        <v>0</v>
      </c>
      <c r="N282" t="n">
        <v>0</v>
      </c>
      <c r="O282" t="n">
        <v>0</v>
      </c>
      <c r="P282" t="n">
        <v>0</v>
      </c>
      <c r="Q282" t="n">
        <v>0</v>
      </c>
      <c r="R282" s="2" t="inlineStr"/>
    </row>
    <row r="283" ht="15" customHeight="1">
      <c r="A283" t="inlineStr">
        <is>
          <t>A 63508-2023</t>
        </is>
      </c>
      <c r="B283" s="1" t="n">
        <v>45274</v>
      </c>
      <c r="C283" s="1" t="n">
        <v>46001</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36280-2023</t>
        </is>
      </c>
      <c r="B284" s="1" t="n">
        <v>45152.34586805556</v>
      </c>
      <c r="C284" s="1" t="n">
        <v>46001</v>
      </c>
      <c r="D284" t="inlineStr">
        <is>
          <t>ÖREBRO LÄN</t>
        </is>
      </c>
      <c r="E284" t="inlineStr">
        <is>
          <t>LINDESBERG</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33284-2024</t>
        </is>
      </c>
      <c r="B285" s="1" t="n">
        <v>45518.71721064814</v>
      </c>
      <c r="C285" s="1" t="n">
        <v>46001</v>
      </c>
      <c r="D285" t="inlineStr">
        <is>
          <t>ÖREBRO LÄN</t>
        </is>
      </c>
      <c r="E285" t="inlineStr">
        <is>
          <t>LINDESBERG</t>
        </is>
      </c>
      <c r="G285" t="n">
        <v>1.7</v>
      </c>
      <c r="H285" t="n">
        <v>0</v>
      </c>
      <c r="I285" t="n">
        <v>0</v>
      </c>
      <c r="J285" t="n">
        <v>0</v>
      </c>
      <c r="K285" t="n">
        <v>0</v>
      </c>
      <c r="L285" t="n">
        <v>0</v>
      </c>
      <c r="M285" t="n">
        <v>0</v>
      </c>
      <c r="N285" t="n">
        <v>0</v>
      </c>
      <c r="O285" t="n">
        <v>0</v>
      </c>
      <c r="P285" t="n">
        <v>0</v>
      </c>
      <c r="Q285" t="n">
        <v>0</v>
      </c>
      <c r="R285" s="2" t="inlineStr"/>
    </row>
    <row r="286" ht="15" customHeight="1">
      <c r="A286" t="inlineStr">
        <is>
          <t>A 33978-2023</t>
        </is>
      </c>
      <c r="B286" s="1" t="n">
        <v>45134.68158564815</v>
      </c>
      <c r="C286" s="1" t="n">
        <v>46001</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38762-2021</t>
        </is>
      </c>
      <c r="B287" s="1" t="n">
        <v>44410.61837962963</v>
      </c>
      <c r="C287" s="1" t="n">
        <v>46001</v>
      </c>
      <c r="D287" t="inlineStr">
        <is>
          <t>ÖREBRO LÄN</t>
        </is>
      </c>
      <c r="E287" t="inlineStr">
        <is>
          <t>LINDESBERG</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48231-2024</t>
        </is>
      </c>
      <c r="B288" s="1" t="n">
        <v>45590.37590277778</v>
      </c>
      <c r="C288" s="1" t="n">
        <v>46001</v>
      </c>
      <c r="D288" t="inlineStr">
        <is>
          <t>ÖREBRO LÄN</t>
        </is>
      </c>
      <c r="E288" t="inlineStr">
        <is>
          <t>LINDESBERG</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36015-2021</t>
        </is>
      </c>
      <c r="B289" s="1" t="n">
        <v>44389</v>
      </c>
      <c r="C289" s="1" t="n">
        <v>46001</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37125-2023</t>
        </is>
      </c>
      <c r="B290" s="1" t="n">
        <v>45155.5653125</v>
      </c>
      <c r="C290" s="1" t="n">
        <v>46001</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39424-2025</t>
        </is>
      </c>
      <c r="B291" s="1" t="n">
        <v>45889.67290509259</v>
      </c>
      <c r="C291" s="1" t="n">
        <v>46001</v>
      </c>
      <c r="D291" t="inlineStr">
        <is>
          <t>ÖREBRO LÄN</t>
        </is>
      </c>
      <c r="E291" t="inlineStr">
        <is>
          <t>LINDESBERG</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39429-2025</t>
        </is>
      </c>
      <c r="B292" s="1" t="n">
        <v>45889.67577546297</v>
      </c>
      <c r="C292" s="1" t="n">
        <v>46001</v>
      </c>
      <c r="D292" t="inlineStr">
        <is>
          <t>ÖREBRO LÄN</t>
        </is>
      </c>
      <c r="E292" t="inlineStr">
        <is>
          <t>LINDESBERG</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54705-2022</t>
        </is>
      </c>
      <c r="B293" s="1" t="n">
        <v>44883</v>
      </c>
      <c r="C293" s="1" t="n">
        <v>46001</v>
      </c>
      <c r="D293" t="inlineStr">
        <is>
          <t>ÖREBRO LÄN</t>
        </is>
      </c>
      <c r="E293" t="inlineStr">
        <is>
          <t>LINDESBERG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39421-2025</t>
        </is>
      </c>
      <c r="B294" s="1" t="n">
        <v>45889.66935185185</v>
      </c>
      <c r="C294" s="1" t="n">
        <v>46001</v>
      </c>
      <c r="D294" t="inlineStr">
        <is>
          <t>ÖREBRO LÄN</t>
        </is>
      </c>
      <c r="E294" t="inlineStr">
        <is>
          <t>LINDESBERG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24186-2024</t>
        </is>
      </c>
      <c r="B295" s="1" t="n">
        <v>45456.90869212963</v>
      </c>
      <c r="C295" s="1" t="n">
        <v>46001</v>
      </c>
      <c r="D295" t="inlineStr">
        <is>
          <t>ÖREBRO LÄN</t>
        </is>
      </c>
      <c r="E295" t="inlineStr">
        <is>
          <t>LINDESBERG</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37604-2025</t>
        </is>
      </c>
      <c r="B296" s="1" t="n">
        <v>45880</v>
      </c>
      <c r="C296" s="1" t="n">
        <v>46001</v>
      </c>
      <c r="D296" t="inlineStr">
        <is>
          <t>ÖREBRO LÄN</t>
        </is>
      </c>
      <c r="E296" t="inlineStr">
        <is>
          <t>LINDESBERG</t>
        </is>
      </c>
      <c r="G296" t="n">
        <v>6.3</v>
      </c>
      <c r="H296" t="n">
        <v>0</v>
      </c>
      <c r="I296" t="n">
        <v>0</v>
      </c>
      <c r="J296" t="n">
        <v>0</v>
      </c>
      <c r="K296" t="n">
        <v>0</v>
      </c>
      <c r="L296" t="n">
        <v>0</v>
      </c>
      <c r="M296" t="n">
        <v>0</v>
      </c>
      <c r="N296" t="n">
        <v>0</v>
      </c>
      <c r="O296" t="n">
        <v>0</v>
      </c>
      <c r="P296" t="n">
        <v>0</v>
      </c>
      <c r="Q296" t="n">
        <v>0</v>
      </c>
      <c r="R296" s="2" t="inlineStr"/>
    </row>
    <row r="297" ht="15" customHeight="1">
      <c r="A297" t="inlineStr">
        <is>
          <t>A 36748-2024</t>
        </is>
      </c>
      <c r="B297" s="1" t="n">
        <v>45538.34460648148</v>
      </c>
      <c r="C297" s="1" t="n">
        <v>46001</v>
      </c>
      <c r="D297" t="inlineStr">
        <is>
          <t>ÖREBRO LÄN</t>
        </is>
      </c>
      <c r="E297" t="inlineStr">
        <is>
          <t>LINDESBERG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21390-2024</t>
        </is>
      </c>
      <c r="B298" s="1" t="n">
        <v>45441.30899305556</v>
      </c>
      <c r="C298" s="1" t="n">
        <v>46001</v>
      </c>
      <c r="D298" t="inlineStr">
        <is>
          <t>ÖREBRO LÄN</t>
        </is>
      </c>
      <c r="E298" t="inlineStr">
        <is>
          <t>LINDESBERG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21392-2024</t>
        </is>
      </c>
      <c r="B299" s="1" t="n">
        <v>45441.30998842593</v>
      </c>
      <c r="C299" s="1" t="n">
        <v>46001</v>
      </c>
      <c r="D299" t="inlineStr">
        <is>
          <t>ÖREBRO LÄN</t>
        </is>
      </c>
      <c r="E299" t="inlineStr">
        <is>
          <t>LINDESBERG</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40366-2025</t>
        </is>
      </c>
      <c r="B300" s="1" t="n">
        <v>45895.49994212963</v>
      </c>
      <c r="C300" s="1" t="n">
        <v>46001</v>
      </c>
      <c r="D300" t="inlineStr">
        <is>
          <t>ÖREBRO LÄN</t>
        </is>
      </c>
      <c r="E300" t="inlineStr">
        <is>
          <t>LINDESBERG</t>
        </is>
      </c>
      <c r="F300" t="inlineStr">
        <is>
          <t>Sveaskog</t>
        </is>
      </c>
      <c r="G300" t="n">
        <v>1.8</v>
      </c>
      <c r="H300" t="n">
        <v>0</v>
      </c>
      <c r="I300" t="n">
        <v>0</v>
      </c>
      <c r="J300" t="n">
        <v>0</v>
      </c>
      <c r="K300" t="n">
        <v>0</v>
      </c>
      <c r="L300" t="n">
        <v>0</v>
      </c>
      <c r="M300" t="n">
        <v>0</v>
      </c>
      <c r="N300" t="n">
        <v>0</v>
      </c>
      <c r="O300" t="n">
        <v>0</v>
      </c>
      <c r="P300" t="n">
        <v>0</v>
      </c>
      <c r="Q300" t="n">
        <v>0</v>
      </c>
      <c r="R300" s="2" t="inlineStr"/>
    </row>
    <row r="301" ht="15" customHeight="1">
      <c r="A301" t="inlineStr">
        <is>
          <t>A 13305-2023</t>
        </is>
      </c>
      <c r="B301" s="1" t="n">
        <v>45005.35967592592</v>
      </c>
      <c r="C301" s="1" t="n">
        <v>46001</v>
      </c>
      <c r="D301" t="inlineStr">
        <is>
          <t>ÖREBRO LÄN</t>
        </is>
      </c>
      <c r="E301" t="inlineStr">
        <is>
          <t>LINDESBERG</t>
        </is>
      </c>
      <c r="G301" t="n">
        <v>5.5</v>
      </c>
      <c r="H301" t="n">
        <v>0</v>
      </c>
      <c r="I301" t="n">
        <v>0</v>
      </c>
      <c r="J301" t="n">
        <v>0</v>
      </c>
      <c r="K301" t="n">
        <v>0</v>
      </c>
      <c r="L301" t="n">
        <v>0</v>
      </c>
      <c r="M301" t="n">
        <v>0</v>
      </c>
      <c r="N301" t="n">
        <v>0</v>
      </c>
      <c r="O301" t="n">
        <v>0</v>
      </c>
      <c r="P301" t="n">
        <v>0</v>
      </c>
      <c r="Q301" t="n">
        <v>0</v>
      </c>
      <c r="R301" s="2" t="inlineStr"/>
    </row>
    <row r="302" ht="15" customHeight="1">
      <c r="A302" t="inlineStr">
        <is>
          <t>A 13368-2023</t>
        </is>
      </c>
      <c r="B302" s="1" t="n">
        <v>45005.47820601852</v>
      </c>
      <c r="C302" s="1" t="n">
        <v>46001</v>
      </c>
      <c r="D302" t="inlineStr">
        <is>
          <t>ÖREBRO LÄN</t>
        </is>
      </c>
      <c r="E302" t="inlineStr">
        <is>
          <t>LINDESBERG</t>
        </is>
      </c>
      <c r="F302" t="inlineStr">
        <is>
          <t>Kommuner</t>
        </is>
      </c>
      <c r="G302" t="n">
        <v>0.7</v>
      </c>
      <c r="H302" t="n">
        <v>0</v>
      </c>
      <c r="I302" t="n">
        <v>0</v>
      </c>
      <c r="J302" t="n">
        <v>0</v>
      </c>
      <c r="K302" t="n">
        <v>0</v>
      </c>
      <c r="L302" t="n">
        <v>0</v>
      </c>
      <c r="M302" t="n">
        <v>0</v>
      </c>
      <c r="N302" t="n">
        <v>0</v>
      </c>
      <c r="O302" t="n">
        <v>0</v>
      </c>
      <c r="P302" t="n">
        <v>0</v>
      </c>
      <c r="Q302" t="n">
        <v>0</v>
      </c>
      <c r="R302" s="2" t="inlineStr"/>
    </row>
    <row r="303" ht="15" customHeight="1">
      <c r="A303" t="inlineStr">
        <is>
          <t>A 40357-2025</t>
        </is>
      </c>
      <c r="B303" s="1" t="n">
        <v>45895.48927083334</v>
      </c>
      <c r="C303" s="1" t="n">
        <v>46001</v>
      </c>
      <c r="D303" t="inlineStr">
        <is>
          <t>ÖREBRO LÄN</t>
        </is>
      </c>
      <c r="E303" t="inlineStr">
        <is>
          <t>LINDESBERG</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29942-2024</t>
        </is>
      </c>
      <c r="B304" s="1" t="n">
        <v>45488.42258101852</v>
      </c>
      <c r="C304" s="1" t="n">
        <v>46001</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46001</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8834-2023</t>
        </is>
      </c>
      <c r="B306" s="1" t="n">
        <v>44978</v>
      </c>
      <c r="C306" s="1" t="n">
        <v>46001</v>
      </c>
      <c r="D306" t="inlineStr">
        <is>
          <t>ÖREBRO LÄN</t>
        </is>
      </c>
      <c r="E306" t="inlineStr">
        <is>
          <t>LINDESBERG</t>
        </is>
      </c>
      <c r="G306" t="n">
        <v>0.5</v>
      </c>
      <c r="H306" t="n">
        <v>0</v>
      </c>
      <c r="I306" t="n">
        <v>0</v>
      </c>
      <c r="J306" t="n">
        <v>0</v>
      </c>
      <c r="K306" t="n">
        <v>0</v>
      </c>
      <c r="L306" t="n">
        <v>0</v>
      </c>
      <c r="M306" t="n">
        <v>0</v>
      </c>
      <c r="N306" t="n">
        <v>0</v>
      </c>
      <c r="O306" t="n">
        <v>0</v>
      </c>
      <c r="P306" t="n">
        <v>0</v>
      </c>
      <c r="Q306" t="n">
        <v>0</v>
      </c>
      <c r="R306" s="2" t="inlineStr"/>
    </row>
    <row r="307" ht="15" customHeight="1">
      <c r="A307" t="inlineStr">
        <is>
          <t>A 40347-2025</t>
        </is>
      </c>
      <c r="B307" s="1" t="n">
        <v>45895.4790625</v>
      </c>
      <c r="C307" s="1" t="n">
        <v>46001</v>
      </c>
      <c r="D307" t="inlineStr">
        <is>
          <t>ÖREBRO LÄN</t>
        </is>
      </c>
      <c r="E307" t="inlineStr">
        <is>
          <t>LINDESBERG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47110-2024</t>
        </is>
      </c>
      <c r="B308" s="1" t="n">
        <v>45586.55451388889</v>
      </c>
      <c r="C308" s="1" t="n">
        <v>46001</v>
      </c>
      <c r="D308" t="inlineStr">
        <is>
          <t>ÖREBRO LÄN</t>
        </is>
      </c>
      <c r="E308" t="inlineStr">
        <is>
          <t>LINDESBERG</t>
        </is>
      </c>
      <c r="G308" t="n">
        <v>0.6</v>
      </c>
      <c r="H308" t="n">
        <v>0</v>
      </c>
      <c r="I308" t="n">
        <v>0</v>
      </c>
      <c r="J308" t="n">
        <v>0</v>
      </c>
      <c r="K308" t="n">
        <v>0</v>
      </c>
      <c r="L308" t="n">
        <v>0</v>
      </c>
      <c r="M308" t="n">
        <v>0</v>
      </c>
      <c r="N308" t="n">
        <v>0</v>
      </c>
      <c r="O308" t="n">
        <v>0</v>
      </c>
      <c r="P308" t="n">
        <v>0</v>
      </c>
      <c r="Q308" t="n">
        <v>0</v>
      </c>
      <c r="R308" s="2" t="inlineStr"/>
    </row>
    <row r="309" ht="15" customHeight="1">
      <c r="A309" t="inlineStr">
        <is>
          <t>A 25842-2025</t>
        </is>
      </c>
      <c r="B309" s="1" t="n">
        <v>45804.45474537037</v>
      </c>
      <c r="C309" s="1" t="n">
        <v>46001</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40346-2025</t>
        </is>
      </c>
      <c r="B310" s="1" t="n">
        <v>45895.47704861111</v>
      </c>
      <c r="C310" s="1" t="n">
        <v>46001</v>
      </c>
      <c r="D310" t="inlineStr">
        <is>
          <t>ÖREBRO LÄN</t>
        </is>
      </c>
      <c r="E310" t="inlineStr">
        <is>
          <t>LINDESBERG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25643-2025</t>
        </is>
      </c>
      <c r="B311" s="1" t="n">
        <v>45803</v>
      </c>
      <c r="C311" s="1" t="n">
        <v>46001</v>
      </c>
      <c r="D311" t="inlineStr">
        <is>
          <t>ÖREBRO LÄN</t>
        </is>
      </c>
      <c r="E311" t="inlineStr">
        <is>
          <t>LINDESBERG</t>
        </is>
      </c>
      <c r="F311" t="inlineStr">
        <is>
          <t>Sveaskog</t>
        </is>
      </c>
      <c r="G311" t="n">
        <v>3.6</v>
      </c>
      <c r="H311" t="n">
        <v>0</v>
      </c>
      <c r="I311" t="n">
        <v>0</v>
      </c>
      <c r="J311" t="n">
        <v>0</v>
      </c>
      <c r="K311" t="n">
        <v>0</v>
      </c>
      <c r="L311" t="n">
        <v>0</v>
      </c>
      <c r="M311" t="n">
        <v>0</v>
      </c>
      <c r="N311" t="n">
        <v>0</v>
      </c>
      <c r="O311" t="n">
        <v>0</v>
      </c>
      <c r="P311" t="n">
        <v>0</v>
      </c>
      <c r="Q311" t="n">
        <v>0</v>
      </c>
      <c r="R311" s="2" t="inlineStr"/>
    </row>
    <row r="312" ht="15" customHeight="1">
      <c r="A312" t="inlineStr">
        <is>
          <t>A 25843-2025</t>
        </is>
      </c>
      <c r="B312" s="1" t="n">
        <v>45804.45584490741</v>
      </c>
      <c r="C312" s="1" t="n">
        <v>46001</v>
      </c>
      <c r="D312" t="inlineStr">
        <is>
          <t>ÖREBRO LÄN</t>
        </is>
      </c>
      <c r="E312" t="inlineStr">
        <is>
          <t>LINDESBERG</t>
        </is>
      </c>
      <c r="G312" t="n">
        <v>4.6</v>
      </c>
      <c r="H312" t="n">
        <v>0</v>
      </c>
      <c r="I312" t="n">
        <v>0</v>
      </c>
      <c r="J312" t="n">
        <v>0</v>
      </c>
      <c r="K312" t="n">
        <v>0</v>
      </c>
      <c r="L312" t="n">
        <v>0</v>
      </c>
      <c r="M312" t="n">
        <v>0</v>
      </c>
      <c r="N312" t="n">
        <v>0</v>
      </c>
      <c r="O312" t="n">
        <v>0</v>
      </c>
      <c r="P312" t="n">
        <v>0</v>
      </c>
      <c r="Q312" t="n">
        <v>0</v>
      </c>
      <c r="R312" s="2" t="inlineStr"/>
    </row>
    <row r="313" ht="15" customHeight="1">
      <c r="A313" t="inlineStr">
        <is>
          <t>A 26016-2025</t>
        </is>
      </c>
      <c r="B313" s="1" t="n">
        <v>45804.67795138889</v>
      </c>
      <c r="C313" s="1" t="n">
        <v>46001</v>
      </c>
      <c r="D313" t="inlineStr">
        <is>
          <t>ÖREBRO LÄN</t>
        </is>
      </c>
      <c r="E313" t="inlineStr">
        <is>
          <t>LINDESBERG</t>
        </is>
      </c>
      <c r="G313" t="n">
        <v>10</v>
      </c>
      <c r="H313" t="n">
        <v>0</v>
      </c>
      <c r="I313" t="n">
        <v>0</v>
      </c>
      <c r="J313" t="n">
        <v>0</v>
      </c>
      <c r="K313" t="n">
        <v>0</v>
      </c>
      <c r="L313" t="n">
        <v>0</v>
      </c>
      <c r="M313" t="n">
        <v>0</v>
      </c>
      <c r="N313" t="n">
        <v>0</v>
      </c>
      <c r="O313" t="n">
        <v>0</v>
      </c>
      <c r="P313" t="n">
        <v>0</v>
      </c>
      <c r="Q313" t="n">
        <v>0</v>
      </c>
      <c r="R313" s="2" t="inlineStr"/>
    </row>
    <row r="314" ht="15" customHeight="1">
      <c r="A314" t="inlineStr">
        <is>
          <t>A 21468-2024</t>
        </is>
      </c>
      <c r="B314" s="1" t="n">
        <v>45441.48670138889</v>
      </c>
      <c r="C314" s="1" t="n">
        <v>46001</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54855-2024</t>
        </is>
      </c>
      <c r="B315" s="1" t="n">
        <v>45618.58622685185</v>
      </c>
      <c r="C315" s="1" t="n">
        <v>46001</v>
      </c>
      <c r="D315" t="inlineStr">
        <is>
          <t>ÖREBRO LÄN</t>
        </is>
      </c>
      <c r="E315" t="inlineStr">
        <is>
          <t>LINDESBERG</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6727-2022</t>
        </is>
      </c>
      <c r="B316" s="1" t="n">
        <v>44602.45490740741</v>
      </c>
      <c r="C316" s="1" t="n">
        <v>46001</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6723-2022</t>
        </is>
      </c>
      <c r="B317" s="1" t="n">
        <v>44602.45162037037</v>
      </c>
      <c r="C317" s="1" t="n">
        <v>46001</v>
      </c>
      <c r="D317" t="inlineStr">
        <is>
          <t>ÖREBRO LÄN</t>
        </is>
      </c>
      <c r="E317" t="inlineStr">
        <is>
          <t>LINDESBERG</t>
        </is>
      </c>
      <c r="G317" t="n">
        <v>4.2</v>
      </c>
      <c r="H317" t="n">
        <v>0</v>
      </c>
      <c r="I317" t="n">
        <v>0</v>
      </c>
      <c r="J317" t="n">
        <v>0</v>
      </c>
      <c r="K317" t="n">
        <v>0</v>
      </c>
      <c r="L317" t="n">
        <v>0</v>
      </c>
      <c r="M317" t="n">
        <v>0</v>
      </c>
      <c r="N317" t="n">
        <v>0</v>
      </c>
      <c r="O317" t="n">
        <v>0</v>
      </c>
      <c r="P317" t="n">
        <v>0</v>
      </c>
      <c r="Q317" t="n">
        <v>0</v>
      </c>
      <c r="R317" s="2" t="inlineStr"/>
    </row>
    <row r="318" ht="15" customHeight="1">
      <c r="A318" t="inlineStr">
        <is>
          <t>A 11581-2024</t>
        </is>
      </c>
      <c r="B318" s="1" t="n">
        <v>45373.34383101852</v>
      </c>
      <c r="C318" s="1" t="n">
        <v>46001</v>
      </c>
      <c r="D318" t="inlineStr">
        <is>
          <t>ÖREBRO LÄN</t>
        </is>
      </c>
      <c r="E318" t="inlineStr">
        <is>
          <t>LINDESBERG</t>
        </is>
      </c>
      <c r="F318" t="inlineStr">
        <is>
          <t>BillerudKorsnäs AB</t>
        </is>
      </c>
      <c r="G318" t="n">
        <v>3.9</v>
      </c>
      <c r="H318" t="n">
        <v>0</v>
      </c>
      <c r="I318" t="n">
        <v>0</v>
      </c>
      <c r="J318" t="n">
        <v>0</v>
      </c>
      <c r="K318" t="n">
        <v>0</v>
      </c>
      <c r="L318" t="n">
        <v>0</v>
      </c>
      <c r="M318" t="n">
        <v>0</v>
      </c>
      <c r="N318" t="n">
        <v>0</v>
      </c>
      <c r="O318" t="n">
        <v>0</v>
      </c>
      <c r="P318" t="n">
        <v>0</v>
      </c>
      <c r="Q318" t="n">
        <v>0</v>
      </c>
      <c r="R318" s="2" t="inlineStr"/>
    </row>
    <row r="319" ht="15" customHeight="1">
      <c r="A319" t="inlineStr">
        <is>
          <t>A 41027-2025</t>
        </is>
      </c>
      <c r="B319" s="1" t="n">
        <v>45898.37138888889</v>
      </c>
      <c r="C319" s="1" t="n">
        <v>46001</v>
      </c>
      <c r="D319" t="inlineStr">
        <is>
          <t>ÖREBRO LÄN</t>
        </is>
      </c>
      <c r="E319" t="inlineStr">
        <is>
          <t>LINDESBERG</t>
        </is>
      </c>
      <c r="G319" t="n">
        <v>4.7</v>
      </c>
      <c r="H319" t="n">
        <v>0</v>
      </c>
      <c r="I319" t="n">
        <v>0</v>
      </c>
      <c r="J319" t="n">
        <v>0</v>
      </c>
      <c r="K319" t="n">
        <v>0</v>
      </c>
      <c r="L319" t="n">
        <v>0</v>
      </c>
      <c r="M319" t="n">
        <v>0</v>
      </c>
      <c r="N319" t="n">
        <v>0</v>
      </c>
      <c r="O319" t="n">
        <v>0</v>
      </c>
      <c r="P319" t="n">
        <v>0</v>
      </c>
      <c r="Q319" t="n">
        <v>0</v>
      </c>
      <c r="R319" s="2" t="inlineStr"/>
    </row>
    <row r="320" ht="15" customHeight="1">
      <c r="A320" t="inlineStr">
        <is>
          <t>A 4997-2024</t>
        </is>
      </c>
      <c r="B320" s="1" t="n">
        <v>45329</v>
      </c>
      <c r="C320" s="1" t="n">
        <v>46001</v>
      </c>
      <c r="D320" t="inlineStr">
        <is>
          <t>ÖREBRO LÄN</t>
        </is>
      </c>
      <c r="E320" t="inlineStr">
        <is>
          <t>LINDESBERG</t>
        </is>
      </c>
      <c r="F320" t="inlineStr">
        <is>
          <t>BillerudKorsnäs AB</t>
        </is>
      </c>
      <c r="G320" t="n">
        <v>3</v>
      </c>
      <c r="H320" t="n">
        <v>0</v>
      </c>
      <c r="I320" t="n">
        <v>0</v>
      </c>
      <c r="J320" t="n">
        <v>0</v>
      </c>
      <c r="K320" t="n">
        <v>0</v>
      </c>
      <c r="L320" t="n">
        <v>0</v>
      </c>
      <c r="M320" t="n">
        <v>0</v>
      </c>
      <c r="N320" t="n">
        <v>0</v>
      </c>
      <c r="O320" t="n">
        <v>0</v>
      </c>
      <c r="P320" t="n">
        <v>0</v>
      </c>
      <c r="Q320" t="n">
        <v>0</v>
      </c>
      <c r="R320" s="2" t="inlineStr"/>
    </row>
    <row r="321" ht="15" customHeight="1">
      <c r="A321" t="inlineStr">
        <is>
          <t>A 41653-2025</t>
        </is>
      </c>
      <c r="B321" s="1" t="n">
        <v>45902.3406712963</v>
      </c>
      <c r="C321" s="1" t="n">
        <v>46001</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36893-2024</t>
        </is>
      </c>
      <c r="B322" s="1" t="n">
        <v>45538</v>
      </c>
      <c r="C322" s="1" t="n">
        <v>46001</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41340-2025</t>
        </is>
      </c>
      <c r="B323" s="1" t="n">
        <v>45899.38057870371</v>
      </c>
      <c r="C323" s="1" t="n">
        <v>46001</v>
      </c>
      <c r="D323" t="inlineStr">
        <is>
          <t>ÖREBRO LÄN</t>
        </is>
      </c>
      <c r="E323" t="inlineStr">
        <is>
          <t>LINDESBERG</t>
        </is>
      </c>
      <c r="G323" t="n">
        <v>16.5</v>
      </c>
      <c r="H323" t="n">
        <v>0</v>
      </c>
      <c r="I323" t="n">
        <v>0</v>
      </c>
      <c r="J323" t="n">
        <v>0</v>
      </c>
      <c r="K323" t="n">
        <v>0</v>
      </c>
      <c r="L323" t="n">
        <v>0</v>
      </c>
      <c r="M323" t="n">
        <v>0</v>
      </c>
      <c r="N323" t="n">
        <v>0</v>
      </c>
      <c r="O323" t="n">
        <v>0</v>
      </c>
      <c r="P323" t="n">
        <v>0</v>
      </c>
      <c r="Q323" t="n">
        <v>0</v>
      </c>
      <c r="R323" s="2" t="inlineStr"/>
    </row>
    <row r="324" ht="15" customHeight="1">
      <c r="A324" t="inlineStr">
        <is>
          <t>A 13968-2025</t>
        </is>
      </c>
      <c r="B324" s="1" t="n">
        <v>45738.42981481482</v>
      </c>
      <c r="C324" s="1" t="n">
        <v>46001</v>
      </c>
      <c r="D324" t="inlineStr">
        <is>
          <t>ÖREBRO LÄN</t>
        </is>
      </c>
      <c r="E324" t="inlineStr">
        <is>
          <t>LINDESBERG</t>
        </is>
      </c>
      <c r="G324" t="n">
        <v>1.5</v>
      </c>
      <c r="H324" t="n">
        <v>0</v>
      </c>
      <c r="I324" t="n">
        <v>0</v>
      </c>
      <c r="J324" t="n">
        <v>0</v>
      </c>
      <c r="K324" t="n">
        <v>0</v>
      </c>
      <c r="L324" t="n">
        <v>0</v>
      </c>
      <c r="M324" t="n">
        <v>0</v>
      </c>
      <c r="N324" t="n">
        <v>0</v>
      </c>
      <c r="O324" t="n">
        <v>0</v>
      </c>
      <c r="P324" t="n">
        <v>0</v>
      </c>
      <c r="Q324" t="n">
        <v>0</v>
      </c>
      <c r="R324" s="2" t="inlineStr"/>
    </row>
    <row r="325" ht="15" customHeight="1">
      <c r="A325" t="inlineStr">
        <is>
          <t>A 27309-2025</t>
        </is>
      </c>
      <c r="B325" s="1" t="n">
        <v>45812.57452546297</v>
      </c>
      <c r="C325" s="1" t="n">
        <v>46001</v>
      </c>
      <c r="D325" t="inlineStr">
        <is>
          <t>ÖREBRO LÄN</t>
        </is>
      </c>
      <c r="E325" t="inlineStr">
        <is>
          <t>LINDESBERG</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27311-2025</t>
        </is>
      </c>
      <c r="B326" s="1" t="n">
        <v>45812.57604166667</v>
      </c>
      <c r="C326" s="1" t="n">
        <v>46001</v>
      </c>
      <c r="D326" t="inlineStr">
        <is>
          <t>ÖREBRO LÄN</t>
        </is>
      </c>
      <c r="E326" t="inlineStr">
        <is>
          <t>LINDESBERG</t>
        </is>
      </c>
      <c r="F326" t="inlineStr">
        <is>
          <t>Sveaskog</t>
        </is>
      </c>
      <c r="G326" t="n">
        <v>4.8</v>
      </c>
      <c r="H326" t="n">
        <v>0</v>
      </c>
      <c r="I326" t="n">
        <v>0</v>
      </c>
      <c r="J326" t="n">
        <v>0</v>
      </c>
      <c r="K326" t="n">
        <v>0</v>
      </c>
      <c r="L326" t="n">
        <v>0</v>
      </c>
      <c r="M326" t="n">
        <v>0</v>
      </c>
      <c r="N326" t="n">
        <v>0</v>
      </c>
      <c r="O326" t="n">
        <v>0</v>
      </c>
      <c r="P326" t="n">
        <v>0</v>
      </c>
      <c r="Q326" t="n">
        <v>0</v>
      </c>
      <c r="R326" s="2" t="inlineStr"/>
    </row>
    <row r="327" ht="15" customHeight="1">
      <c r="A327" t="inlineStr">
        <is>
          <t>A 27300-2025</t>
        </is>
      </c>
      <c r="B327" s="1" t="n">
        <v>45812.57143518519</v>
      </c>
      <c r="C327" s="1" t="n">
        <v>46001</v>
      </c>
      <c r="D327" t="inlineStr">
        <is>
          <t>ÖREBRO LÄN</t>
        </is>
      </c>
      <c r="E327" t="inlineStr">
        <is>
          <t>LINDESBERG</t>
        </is>
      </c>
      <c r="F327" t="inlineStr">
        <is>
          <t>Sveaskog</t>
        </is>
      </c>
      <c r="G327" t="n">
        <v>19.7</v>
      </c>
      <c r="H327" t="n">
        <v>0</v>
      </c>
      <c r="I327" t="n">
        <v>0</v>
      </c>
      <c r="J327" t="n">
        <v>0</v>
      </c>
      <c r="K327" t="n">
        <v>0</v>
      </c>
      <c r="L327" t="n">
        <v>0</v>
      </c>
      <c r="M327" t="n">
        <v>0</v>
      </c>
      <c r="N327" t="n">
        <v>0</v>
      </c>
      <c r="O327" t="n">
        <v>0</v>
      </c>
      <c r="P327" t="n">
        <v>0</v>
      </c>
      <c r="Q327" t="n">
        <v>0</v>
      </c>
      <c r="R327" s="2" t="inlineStr"/>
    </row>
    <row r="328" ht="15" customHeight="1">
      <c r="A328" t="inlineStr">
        <is>
          <t>A 10564-2023</t>
        </is>
      </c>
      <c r="B328" s="1" t="n">
        <v>44988</v>
      </c>
      <c r="C328" s="1" t="n">
        <v>46001</v>
      </c>
      <c r="D328" t="inlineStr">
        <is>
          <t>ÖREBRO LÄN</t>
        </is>
      </c>
      <c r="E328" t="inlineStr">
        <is>
          <t>LINDESBERG</t>
        </is>
      </c>
      <c r="F328" t="inlineStr">
        <is>
          <t>Kyrkan</t>
        </is>
      </c>
      <c r="G328" t="n">
        <v>1.6</v>
      </c>
      <c r="H328" t="n">
        <v>0</v>
      </c>
      <c r="I328" t="n">
        <v>0</v>
      </c>
      <c r="J328" t="n">
        <v>0</v>
      </c>
      <c r="K328" t="n">
        <v>0</v>
      </c>
      <c r="L328" t="n">
        <v>0</v>
      </c>
      <c r="M328" t="n">
        <v>0</v>
      </c>
      <c r="N328" t="n">
        <v>0</v>
      </c>
      <c r="O328" t="n">
        <v>0</v>
      </c>
      <c r="P328" t="n">
        <v>0</v>
      </c>
      <c r="Q328" t="n">
        <v>0</v>
      </c>
      <c r="R328" s="2" t="inlineStr"/>
    </row>
    <row r="329" ht="15" customHeight="1">
      <c r="A329" t="inlineStr">
        <is>
          <t>A 27296-2025</t>
        </is>
      </c>
      <c r="B329" s="1" t="n">
        <v>45812.56952546296</v>
      </c>
      <c r="C329" s="1" t="n">
        <v>46001</v>
      </c>
      <c r="D329" t="inlineStr">
        <is>
          <t>ÖREBRO LÄN</t>
        </is>
      </c>
      <c r="E329" t="inlineStr">
        <is>
          <t>LINDESBERG</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41889-2025</t>
        </is>
      </c>
      <c r="B330" s="1" t="n">
        <v>45903.37475694445</v>
      </c>
      <c r="C330" s="1" t="n">
        <v>46001</v>
      </c>
      <c r="D330" t="inlineStr">
        <is>
          <t>ÖREBRO LÄN</t>
        </is>
      </c>
      <c r="E330" t="inlineStr">
        <is>
          <t>LINDESBERG</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14185-2024</t>
        </is>
      </c>
      <c r="B331" s="1" t="n">
        <v>45393.3562962963</v>
      </c>
      <c r="C331" s="1" t="n">
        <v>46001</v>
      </c>
      <c r="D331" t="inlineStr">
        <is>
          <t>ÖREBRO LÄN</t>
        </is>
      </c>
      <c r="E331" t="inlineStr">
        <is>
          <t>LINDESBERG</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11218-2025</t>
        </is>
      </c>
      <c r="B332" s="1" t="n">
        <v>45726.33763888889</v>
      </c>
      <c r="C332" s="1" t="n">
        <v>46001</v>
      </c>
      <c r="D332" t="inlineStr">
        <is>
          <t>ÖREBRO LÄN</t>
        </is>
      </c>
      <c r="E332" t="inlineStr">
        <is>
          <t>LINDESBERG</t>
        </is>
      </c>
      <c r="G332" t="n">
        <v>0.4</v>
      </c>
      <c r="H332" t="n">
        <v>0</v>
      </c>
      <c r="I332" t="n">
        <v>0</v>
      </c>
      <c r="J332" t="n">
        <v>0</v>
      </c>
      <c r="K332" t="n">
        <v>0</v>
      </c>
      <c r="L332" t="n">
        <v>0</v>
      </c>
      <c r="M332" t="n">
        <v>0</v>
      </c>
      <c r="N332" t="n">
        <v>0</v>
      </c>
      <c r="O332" t="n">
        <v>0</v>
      </c>
      <c r="P332" t="n">
        <v>0</v>
      </c>
      <c r="Q332" t="n">
        <v>0</v>
      </c>
      <c r="R332" s="2" t="inlineStr"/>
    </row>
    <row r="333" ht="15" customHeight="1">
      <c r="A333" t="inlineStr">
        <is>
          <t>A 11220-2025</t>
        </is>
      </c>
      <c r="B333" s="1" t="n">
        <v>45726.34090277777</v>
      </c>
      <c r="C333" s="1" t="n">
        <v>46001</v>
      </c>
      <c r="D333" t="inlineStr">
        <is>
          <t>ÖREBRO LÄN</t>
        </is>
      </c>
      <c r="E333" t="inlineStr">
        <is>
          <t>LINDESBERG</t>
        </is>
      </c>
      <c r="G333" t="n">
        <v>1</v>
      </c>
      <c r="H333" t="n">
        <v>0</v>
      </c>
      <c r="I333" t="n">
        <v>0</v>
      </c>
      <c r="J333" t="n">
        <v>0</v>
      </c>
      <c r="K333" t="n">
        <v>0</v>
      </c>
      <c r="L333" t="n">
        <v>0</v>
      </c>
      <c r="M333" t="n">
        <v>0</v>
      </c>
      <c r="N333" t="n">
        <v>0</v>
      </c>
      <c r="O333" t="n">
        <v>0</v>
      </c>
      <c r="P333" t="n">
        <v>0</v>
      </c>
      <c r="Q333" t="n">
        <v>0</v>
      </c>
      <c r="R333" s="2" t="inlineStr"/>
    </row>
    <row r="334" ht="15" customHeight="1">
      <c r="A334" t="inlineStr">
        <is>
          <t>A 43801-2024</t>
        </is>
      </c>
      <c r="B334" s="1" t="n">
        <v>45571.71736111111</v>
      </c>
      <c r="C334" s="1" t="n">
        <v>46001</v>
      </c>
      <c r="D334" t="inlineStr">
        <is>
          <t>ÖREBRO LÄN</t>
        </is>
      </c>
      <c r="E334" t="inlineStr">
        <is>
          <t>LINDESBERG</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61222-2022</t>
        </is>
      </c>
      <c r="B335" s="1" t="n">
        <v>44909</v>
      </c>
      <c r="C335" s="1" t="n">
        <v>46001</v>
      </c>
      <c r="D335" t="inlineStr">
        <is>
          <t>ÖREBRO LÄN</t>
        </is>
      </c>
      <c r="E335" t="inlineStr">
        <is>
          <t>LINDESBERG</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72331-2021</t>
        </is>
      </c>
      <c r="B336" s="1" t="n">
        <v>44544</v>
      </c>
      <c r="C336" s="1" t="n">
        <v>46001</v>
      </c>
      <c r="D336" t="inlineStr">
        <is>
          <t>ÖREBRO LÄN</t>
        </is>
      </c>
      <c r="E336" t="inlineStr">
        <is>
          <t>LINDESBERG</t>
        </is>
      </c>
      <c r="G336" t="n">
        <v>1.5</v>
      </c>
      <c r="H336" t="n">
        <v>0</v>
      </c>
      <c r="I336" t="n">
        <v>0</v>
      </c>
      <c r="J336" t="n">
        <v>0</v>
      </c>
      <c r="K336" t="n">
        <v>0</v>
      </c>
      <c r="L336" t="n">
        <v>0</v>
      </c>
      <c r="M336" t="n">
        <v>0</v>
      </c>
      <c r="N336" t="n">
        <v>0</v>
      </c>
      <c r="O336" t="n">
        <v>0</v>
      </c>
      <c r="P336" t="n">
        <v>0</v>
      </c>
      <c r="Q336" t="n">
        <v>0</v>
      </c>
      <c r="R336" s="2" t="inlineStr"/>
    </row>
    <row r="337" ht="15" customHeight="1">
      <c r="A337" t="inlineStr">
        <is>
          <t>A 45062-2022</t>
        </is>
      </c>
      <c r="B337" s="1" t="n">
        <v>44841</v>
      </c>
      <c r="C337" s="1" t="n">
        <v>46001</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36754-2024</t>
        </is>
      </c>
      <c r="B338" s="1" t="n">
        <v>45538.34796296297</v>
      </c>
      <c r="C338" s="1" t="n">
        <v>46001</v>
      </c>
      <c r="D338" t="inlineStr">
        <is>
          <t>ÖREBRO LÄN</t>
        </is>
      </c>
      <c r="E338" t="inlineStr">
        <is>
          <t>LINDESBERG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50964-2023</t>
        </is>
      </c>
      <c r="B339" s="1" t="n">
        <v>45218.488125</v>
      </c>
      <c r="C339" s="1" t="n">
        <v>46001</v>
      </c>
      <c r="D339" t="inlineStr">
        <is>
          <t>ÖREBRO LÄN</t>
        </is>
      </c>
      <c r="E339" t="inlineStr">
        <is>
          <t>LINDESBERG</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42630-2025</t>
        </is>
      </c>
      <c r="B340" s="1" t="n">
        <v>45905.89143518519</v>
      </c>
      <c r="C340" s="1" t="n">
        <v>46001</v>
      </c>
      <c r="D340" t="inlineStr">
        <is>
          <t>ÖREBRO LÄN</t>
        </is>
      </c>
      <c r="E340" t="inlineStr">
        <is>
          <t>LINDESBERG</t>
        </is>
      </c>
      <c r="F340" t="inlineStr">
        <is>
          <t>Sveaskog</t>
        </is>
      </c>
      <c r="G340" t="n">
        <v>9.9</v>
      </c>
      <c r="H340" t="n">
        <v>0</v>
      </c>
      <c r="I340" t="n">
        <v>0</v>
      </c>
      <c r="J340" t="n">
        <v>0</v>
      </c>
      <c r="K340" t="n">
        <v>0</v>
      </c>
      <c r="L340" t="n">
        <v>0</v>
      </c>
      <c r="M340" t="n">
        <v>0</v>
      </c>
      <c r="N340" t="n">
        <v>0</v>
      </c>
      <c r="O340" t="n">
        <v>0</v>
      </c>
      <c r="P340" t="n">
        <v>0</v>
      </c>
      <c r="Q340" t="n">
        <v>0</v>
      </c>
      <c r="R340" s="2" t="inlineStr"/>
    </row>
    <row r="341" ht="15" customHeight="1">
      <c r="A341" t="inlineStr">
        <is>
          <t>A 60941-2024</t>
        </is>
      </c>
      <c r="B341" s="1" t="n">
        <v>45645.3712037037</v>
      </c>
      <c r="C341" s="1" t="n">
        <v>46001</v>
      </c>
      <c r="D341" t="inlineStr">
        <is>
          <t>ÖREBRO LÄN</t>
        </is>
      </c>
      <c r="E341" t="inlineStr">
        <is>
          <t>LINDESBERG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64365-2023</t>
        </is>
      </c>
      <c r="B342" s="1" t="n">
        <v>45280</v>
      </c>
      <c r="C342" s="1" t="n">
        <v>46001</v>
      </c>
      <c r="D342" t="inlineStr">
        <is>
          <t>ÖREBRO LÄN</t>
        </is>
      </c>
      <c r="E342" t="inlineStr">
        <is>
          <t>LINDESBERG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37738-2024</t>
        </is>
      </c>
      <c r="B343" s="1" t="n">
        <v>45541.66916666667</v>
      </c>
      <c r="C343" s="1" t="n">
        <v>46001</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42631-2025</t>
        </is>
      </c>
      <c r="B344" s="1" t="n">
        <v>45905.89236111111</v>
      </c>
      <c r="C344" s="1" t="n">
        <v>46001</v>
      </c>
      <c r="D344" t="inlineStr">
        <is>
          <t>ÖREBRO LÄN</t>
        </is>
      </c>
      <c r="E344" t="inlineStr">
        <is>
          <t>LINDESBERG</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42632-2025</t>
        </is>
      </c>
      <c r="B345" s="1" t="n">
        <v>45905.89329861111</v>
      </c>
      <c r="C345" s="1" t="n">
        <v>46001</v>
      </c>
      <c r="D345" t="inlineStr">
        <is>
          <t>ÖREBRO LÄN</t>
        </is>
      </c>
      <c r="E345" t="inlineStr">
        <is>
          <t>LINDESBERG</t>
        </is>
      </c>
      <c r="F345" t="inlineStr">
        <is>
          <t>Sveaskog</t>
        </is>
      </c>
      <c r="G345" t="n">
        <v>6.7</v>
      </c>
      <c r="H345" t="n">
        <v>0</v>
      </c>
      <c r="I345" t="n">
        <v>0</v>
      </c>
      <c r="J345" t="n">
        <v>0</v>
      </c>
      <c r="K345" t="n">
        <v>0</v>
      </c>
      <c r="L345" t="n">
        <v>0</v>
      </c>
      <c r="M345" t="n">
        <v>0</v>
      </c>
      <c r="N345" t="n">
        <v>0</v>
      </c>
      <c r="O345" t="n">
        <v>0</v>
      </c>
      <c r="P345" t="n">
        <v>0</v>
      </c>
      <c r="Q345" t="n">
        <v>0</v>
      </c>
      <c r="R345" s="2" t="inlineStr"/>
    </row>
    <row r="346" ht="15" customHeight="1">
      <c r="A346" t="inlineStr">
        <is>
          <t>A 33428-2024</t>
        </is>
      </c>
      <c r="B346" s="1" t="n">
        <v>45519.52319444445</v>
      </c>
      <c r="C346" s="1" t="n">
        <v>46001</v>
      </c>
      <c r="D346" t="inlineStr">
        <is>
          <t>ÖREBRO LÄN</t>
        </is>
      </c>
      <c r="E346" t="inlineStr">
        <is>
          <t>LINDESBERG</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59766-2022</t>
        </is>
      </c>
      <c r="B347" s="1" t="n">
        <v>44908.49152777778</v>
      </c>
      <c r="C347" s="1" t="n">
        <v>46001</v>
      </c>
      <c r="D347" t="inlineStr">
        <is>
          <t>ÖREBRO LÄN</t>
        </is>
      </c>
      <c r="E347" t="inlineStr">
        <is>
          <t>LINDESBERG</t>
        </is>
      </c>
      <c r="G347" t="n">
        <v>1.1</v>
      </c>
      <c r="H347" t="n">
        <v>0</v>
      </c>
      <c r="I347" t="n">
        <v>0</v>
      </c>
      <c r="J347" t="n">
        <v>0</v>
      </c>
      <c r="K347" t="n">
        <v>0</v>
      </c>
      <c r="L347" t="n">
        <v>0</v>
      </c>
      <c r="M347" t="n">
        <v>0</v>
      </c>
      <c r="N347" t="n">
        <v>0</v>
      </c>
      <c r="O347" t="n">
        <v>0</v>
      </c>
      <c r="P347" t="n">
        <v>0</v>
      </c>
      <c r="Q347" t="n">
        <v>0</v>
      </c>
      <c r="R347" s="2" t="inlineStr"/>
    </row>
    <row r="348" ht="15" customHeight="1">
      <c r="A348" t="inlineStr">
        <is>
          <t>A 33282-2024</t>
        </is>
      </c>
      <c r="B348" s="1" t="n">
        <v>45518.71482638889</v>
      </c>
      <c r="C348" s="1" t="n">
        <v>46001</v>
      </c>
      <c r="D348" t="inlineStr">
        <is>
          <t>ÖREBRO LÄN</t>
        </is>
      </c>
      <c r="E348" t="inlineStr">
        <is>
          <t>LINDESBERG</t>
        </is>
      </c>
      <c r="G348" t="n">
        <v>7.5</v>
      </c>
      <c r="H348" t="n">
        <v>0</v>
      </c>
      <c r="I348" t="n">
        <v>0</v>
      </c>
      <c r="J348" t="n">
        <v>0</v>
      </c>
      <c r="K348" t="n">
        <v>0</v>
      </c>
      <c r="L348" t="n">
        <v>0</v>
      </c>
      <c r="M348" t="n">
        <v>0</v>
      </c>
      <c r="N348" t="n">
        <v>0</v>
      </c>
      <c r="O348" t="n">
        <v>0</v>
      </c>
      <c r="P348" t="n">
        <v>0</v>
      </c>
      <c r="Q348" t="n">
        <v>0</v>
      </c>
      <c r="R348" s="2" t="inlineStr"/>
    </row>
    <row r="349" ht="15" customHeight="1">
      <c r="A349" t="inlineStr">
        <is>
          <t>A 15895-2025</t>
        </is>
      </c>
      <c r="B349" s="1" t="n">
        <v>45749</v>
      </c>
      <c r="C349" s="1" t="n">
        <v>46001</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15941-2025</t>
        </is>
      </c>
      <c r="B350" s="1" t="n">
        <v>45749</v>
      </c>
      <c r="C350" s="1" t="n">
        <v>46001</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54862-2024</t>
        </is>
      </c>
      <c r="B351" s="1" t="n">
        <v>45618</v>
      </c>
      <c r="C351" s="1" t="n">
        <v>46001</v>
      </c>
      <c r="D351" t="inlineStr">
        <is>
          <t>ÖREBRO LÄN</t>
        </is>
      </c>
      <c r="E351" t="inlineStr">
        <is>
          <t>LINDESBERG</t>
        </is>
      </c>
      <c r="F351" t="inlineStr">
        <is>
          <t>Sveaskog</t>
        </is>
      </c>
      <c r="G351" t="n">
        <v>12.2</v>
      </c>
      <c r="H351" t="n">
        <v>0</v>
      </c>
      <c r="I351" t="n">
        <v>0</v>
      </c>
      <c r="J351" t="n">
        <v>0</v>
      </c>
      <c r="K351" t="n">
        <v>0</v>
      </c>
      <c r="L351" t="n">
        <v>0</v>
      </c>
      <c r="M351" t="n">
        <v>0</v>
      </c>
      <c r="N351" t="n">
        <v>0</v>
      </c>
      <c r="O351" t="n">
        <v>0</v>
      </c>
      <c r="P351" t="n">
        <v>0</v>
      </c>
      <c r="Q351" t="n">
        <v>0</v>
      </c>
      <c r="R351" s="2" t="inlineStr"/>
    </row>
    <row r="352" ht="15" customHeight="1">
      <c r="A352" t="inlineStr">
        <is>
          <t>A 37843-2025</t>
        </is>
      </c>
      <c r="B352" s="1" t="n">
        <v>45881.43759259259</v>
      </c>
      <c r="C352" s="1" t="n">
        <v>46001</v>
      </c>
      <c r="D352" t="inlineStr">
        <is>
          <t>ÖREBRO LÄN</t>
        </is>
      </c>
      <c r="E352" t="inlineStr">
        <is>
          <t>LINDESBERG</t>
        </is>
      </c>
      <c r="G352" t="n">
        <v>5.2</v>
      </c>
      <c r="H352" t="n">
        <v>0</v>
      </c>
      <c r="I352" t="n">
        <v>0</v>
      </c>
      <c r="J352" t="n">
        <v>0</v>
      </c>
      <c r="K352" t="n">
        <v>0</v>
      </c>
      <c r="L352" t="n">
        <v>0</v>
      </c>
      <c r="M352" t="n">
        <v>0</v>
      </c>
      <c r="N352" t="n">
        <v>0</v>
      </c>
      <c r="O352" t="n">
        <v>0</v>
      </c>
      <c r="P352" t="n">
        <v>0</v>
      </c>
      <c r="Q352" t="n">
        <v>0</v>
      </c>
      <c r="R352" s="2" t="inlineStr"/>
    </row>
    <row r="353" ht="15" customHeight="1">
      <c r="A353" t="inlineStr">
        <is>
          <t>A 28040-2025</t>
        </is>
      </c>
      <c r="B353" s="1" t="n">
        <v>45817.6455324074</v>
      </c>
      <c r="C353" s="1" t="n">
        <v>46001</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1742-2022</t>
        </is>
      </c>
      <c r="B354" s="1" t="n">
        <v>44574.50425925926</v>
      </c>
      <c r="C354" s="1" t="n">
        <v>46001</v>
      </c>
      <c r="D354" t="inlineStr">
        <is>
          <t>ÖREBRO LÄN</t>
        </is>
      </c>
      <c r="E354" t="inlineStr">
        <is>
          <t>LINDESBERG</t>
        </is>
      </c>
      <c r="G354" t="n">
        <v>0.9</v>
      </c>
      <c r="H354" t="n">
        <v>0</v>
      </c>
      <c r="I354" t="n">
        <v>0</v>
      </c>
      <c r="J354" t="n">
        <v>0</v>
      </c>
      <c r="K354" t="n">
        <v>0</v>
      </c>
      <c r="L354" t="n">
        <v>0</v>
      </c>
      <c r="M354" t="n">
        <v>0</v>
      </c>
      <c r="N354" t="n">
        <v>0</v>
      </c>
      <c r="O354" t="n">
        <v>0</v>
      </c>
      <c r="P354" t="n">
        <v>0</v>
      </c>
      <c r="Q354" t="n">
        <v>0</v>
      </c>
      <c r="R354" s="2" t="inlineStr"/>
    </row>
    <row r="355" ht="15" customHeight="1">
      <c r="A355" t="inlineStr">
        <is>
          <t>A 14522-2025</t>
        </is>
      </c>
      <c r="B355" s="1" t="n">
        <v>45741.64491898148</v>
      </c>
      <c r="C355" s="1" t="n">
        <v>46001</v>
      </c>
      <c r="D355" t="inlineStr">
        <is>
          <t>ÖREBRO LÄN</t>
        </is>
      </c>
      <c r="E355" t="inlineStr">
        <is>
          <t>LINDESBERG</t>
        </is>
      </c>
      <c r="G355" t="n">
        <v>4.5</v>
      </c>
      <c r="H355" t="n">
        <v>0</v>
      </c>
      <c r="I355" t="n">
        <v>0</v>
      </c>
      <c r="J355" t="n">
        <v>0</v>
      </c>
      <c r="K355" t="n">
        <v>0</v>
      </c>
      <c r="L355" t="n">
        <v>0</v>
      </c>
      <c r="M355" t="n">
        <v>0</v>
      </c>
      <c r="N355" t="n">
        <v>0</v>
      </c>
      <c r="O355" t="n">
        <v>0</v>
      </c>
      <c r="P355" t="n">
        <v>0</v>
      </c>
      <c r="Q355" t="n">
        <v>0</v>
      </c>
      <c r="R355" s="2" t="inlineStr"/>
    </row>
    <row r="356" ht="15" customHeight="1">
      <c r="A356" t="inlineStr">
        <is>
          <t>A 28877-2025</t>
        </is>
      </c>
      <c r="B356" s="1" t="n">
        <v>45820.61684027778</v>
      </c>
      <c r="C356" s="1" t="n">
        <v>46001</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73860-2021</t>
        </is>
      </c>
      <c r="B357" s="1" t="n">
        <v>44553.35407407407</v>
      </c>
      <c r="C357" s="1" t="n">
        <v>46001</v>
      </c>
      <c r="D357" t="inlineStr">
        <is>
          <t>ÖREBRO LÄN</t>
        </is>
      </c>
      <c r="E357" t="inlineStr">
        <is>
          <t>LINDESBERG</t>
        </is>
      </c>
      <c r="G357" t="n">
        <v>12.7</v>
      </c>
      <c r="H357" t="n">
        <v>0</v>
      </c>
      <c r="I357" t="n">
        <v>0</v>
      </c>
      <c r="J357" t="n">
        <v>0</v>
      </c>
      <c r="K357" t="n">
        <v>0</v>
      </c>
      <c r="L357" t="n">
        <v>0</v>
      </c>
      <c r="M357" t="n">
        <v>0</v>
      </c>
      <c r="N357" t="n">
        <v>0</v>
      </c>
      <c r="O357" t="n">
        <v>0</v>
      </c>
      <c r="P357" t="n">
        <v>0</v>
      </c>
      <c r="Q357" t="n">
        <v>0</v>
      </c>
      <c r="R357" s="2" t="inlineStr"/>
    </row>
    <row r="358" ht="15" customHeight="1">
      <c r="A358" t="inlineStr">
        <is>
          <t>A 5358-2022</t>
        </is>
      </c>
      <c r="B358" s="1" t="n">
        <v>44594.84091435185</v>
      </c>
      <c r="C358" s="1" t="n">
        <v>46001</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43837-2025</t>
        </is>
      </c>
      <c r="B359" s="1" t="n">
        <v>45912.63451388889</v>
      </c>
      <c r="C359" s="1" t="n">
        <v>46001</v>
      </c>
      <c r="D359" t="inlineStr">
        <is>
          <t>ÖREBRO LÄN</t>
        </is>
      </c>
      <c r="E359" t="inlineStr">
        <is>
          <t>LINDESBERG</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43847-2025</t>
        </is>
      </c>
      <c r="B360" s="1" t="n">
        <v>45912.63751157407</v>
      </c>
      <c r="C360" s="1" t="n">
        <v>46001</v>
      </c>
      <c r="D360" t="inlineStr">
        <is>
          <t>ÖREBRO LÄN</t>
        </is>
      </c>
      <c r="E360" t="inlineStr">
        <is>
          <t>LINDESBERG</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43836-2025</t>
        </is>
      </c>
      <c r="B361" s="1" t="n">
        <v>45912.63359953704</v>
      </c>
      <c r="C361" s="1" t="n">
        <v>46001</v>
      </c>
      <c r="D361" t="inlineStr">
        <is>
          <t>ÖREBRO LÄN</t>
        </is>
      </c>
      <c r="E361" t="inlineStr">
        <is>
          <t>LINDESBERG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13884-2023</t>
        </is>
      </c>
      <c r="B362" s="1" t="n">
        <v>45007</v>
      </c>
      <c r="C362" s="1" t="n">
        <v>46001</v>
      </c>
      <c r="D362" t="inlineStr">
        <is>
          <t>ÖREBRO LÄN</t>
        </is>
      </c>
      <c r="E362" t="inlineStr">
        <is>
          <t>LINDESBERG</t>
        </is>
      </c>
      <c r="F362" t="inlineStr">
        <is>
          <t>Kommuner</t>
        </is>
      </c>
      <c r="G362" t="n">
        <v>7.7</v>
      </c>
      <c r="H362" t="n">
        <v>0</v>
      </c>
      <c r="I362" t="n">
        <v>0</v>
      </c>
      <c r="J362" t="n">
        <v>0</v>
      </c>
      <c r="K362" t="n">
        <v>0</v>
      </c>
      <c r="L362" t="n">
        <v>0</v>
      </c>
      <c r="M362" t="n">
        <v>0</v>
      </c>
      <c r="N362" t="n">
        <v>0</v>
      </c>
      <c r="O362" t="n">
        <v>0</v>
      </c>
      <c r="P362" t="n">
        <v>0</v>
      </c>
      <c r="Q362" t="n">
        <v>0</v>
      </c>
      <c r="R362" s="2" t="inlineStr"/>
    </row>
    <row r="363" ht="15" customHeight="1">
      <c r="A363" t="inlineStr">
        <is>
          <t>A 15324-2024</t>
        </is>
      </c>
      <c r="B363" s="1" t="n">
        <v>45400.66995370371</v>
      </c>
      <c r="C363" s="1" t="n">
        <v>46001</v>
      </c>
      <c r="D363" t="inlineStr">
        <is>
          <t>ÖREBRO LÄN</t>
        </is>
      </c>
      <c r="E363" t="inlineStr">
        <is>
          <t>LINDESBERG</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28991-2025</t>
        </is>
      </c>
      <c r="B364" s="1" t="n">
        <v>45821.37199074074</v>
      </c>
      <c r="C364" s="1" t="n">
        <v>46001</v>
      </c>
      <c r="D364" t="inlineStr">
        <is>
          <t>ÖREBRO LÄN</t>
        </is>
      </c>
      <c r="E364" t="inlineStr">
        <is>
          <t>LINDESBERG</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29037-2025</t>
        </is>
      </c>
      <c r="B365" s="1" t="n">
        <v>45821.44521990741</v>
      </c>
      <c r="C365" s="1" t="n">
        <v>46001</v>
      </c>
      <c r="D365" t="inlineStr">
        <is>
          <t>ÖREBRO LÄN</t>
        </is>
      </c>
      <c r="E365" t="inlineStr">
        <is>
          <t>LINDESBERG</t>
        </is>
      </c>
      <c r="F365" t="inlineStr">
        <is>
          <t>Sveaskog</t>
        </is>
      </c>
      <c r="G365" t="n">
        <v>3.6</v>
      </c>
      <c r="H365" t="n">
        <v>0</v>
      </c>
      <c r="I365" t="n">
        <v>0</v>
      </c>
      <c r="J365" t="n">
        <v>0</v>
      </c>
      <c r="K365" t="n">
        <v>0</v>
      </c>
      <c r="L365" t="n">
        <v>0</v>
      </c>
      <c r="M365" t="n">
        <v>0</v>
      </c>
      <c r="N365" t="n">
        <v>0</v>
      </c>
      <c r="O365" t="n">
        <v>0</v>
      </c>
      <c r="P365" t="n">
        <v>0</v>
      </c>
      <c r="Q365" t="n">
        <v>0</v>
      </c>
      <c r="R365" s="2" t="inlineStr"/>
    </row>
    <row r="366" ht="15" customHeight="1">
      <c r="A366" t="inlineStr">
        <is>
          <t>A 29051-2025</t>
        </is>
      </c>
      <c r="B366" s="1" t="n">
        <v>45821.46486111111</v>
      </c>
      <c r="C366" s="1" t="n">
        <v>46001</v>
      </c>
      <c r="D366" t="inlineStr">
        <is>
          <t>ÖREBRO LÄN</t>
        </is>
      </c>
      <c r="E366" t="inlineStr">
        <is>
          <t>LINDESBERG</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29049-2025</t>
        </is>
      </c>
      <c r="B367" s="1" t="n">
        <v>45821.46135416667</v>
      </c>
      <c r="C367" s="1" t="n">
        <v>46001</v>
      </c>
      <c r="D367" t="inlineStr">
        <is>
          <t>ÖREBRO LÄN</t>
        </is>
      </c>
      <c r="E367" t="inlineStr">
        <is>
          <t>LINDESBERG</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44041-2025</t>
        </is>
      </c>
      <c r="B368" s="1" t="n">
        <v>45915.49238425926</v>
      </c>
      <c r="C368" s="1" t="n">
        <v>46001</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53288-2025</t>
        </is>
      </c>
      <c r="B369" s="1" t="n">
        <v>45958.79287037037</v>
      </c>
      <c r="C369" s="1" t="n">
        <v>46001</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44077-2025</t>
        </is>
      </c>
      <c r="B370" s="1" t="n">
        <v>45915.54983796296</v>
      </c>
      <c r="C370" s="1" t="n">
        <v>46001</v>
      </c>
      <c r="D370" t="inlineStr">
        <is>
          <t>ÖREBRO LÄN</t>
        </is>
      </c>
      <c r="E370" t="inlineStr">
        <is>
          <t>LINDESBERG</t>
        </is>
      </c>
      <c r="G370" t="n">
        <v>4.2</v>
      </c>
      <c r="H370" t="n">
        <v>0</v>
      </c>
      <c r="I370" t="n">
        <v>0</v>
      </c>
      <c r="J370" t="n">
        <v>0</v>
      </c>
      <c r="K370" t="n">
        <v>0</v>
      </c>
      <c r="L370" t="n">
        <v>0</v>
      </c>
      <c r="M370" t="n">
        <v>0</v>
      </c>
      <c r="N370" t="n">
        <v>0</v>
      </c>
      <c r="O370" t="n">
        <v>0</v>
      </c>
      <c r="P370" t="n">
        <v>0</v>
      </c>
      <c r="Q370" t="n">
        <v>0</v>
      </c>
      <c r="R370" s="2" t="inlineStr"/>
    </row>
    <row r="371" ht="15" customHeight="1">
      <c r="A371" t="inlineStr">
        <is>
          <t>A 4539-2025</t>
        </is>
      </c>
      <c r="B371" s="1" t="n">
        <v>45687</v>
      </c>
      <c r="C371" s="1" t="n">
        <v>46001</v>
      </c>
      <c r="D371" t="inlineStr">
        <is>
          <t>ÖREBRO LÄN</t>
        </is>
      </c>
      <c r="E371" t="inlineStr">
        <is>
          <t>LINDESBERG</t>
        </is>
      </c>
      <c r="G371" t="n">
        <v>2.2</v>
      </c>
      <c r="H371" t="n">
        <v>0</v>
      </c>
      <c r="I371" t="n">
        <v>0</v>
      </c>
      <c r="J371" t="n">
        <v>0</v>
      </c>
      <c r="K371" t="n">
        <v>0</v>
      </c>
      <c r="L371" t="n">
        <v>0</v>
      </c>
      <c r="M371" t="n">
        <v>0</v>
      </c>
      <c r="N371" t="n">
        <v>0</v>
      </c>
      <c r="O371" t="n">
        <v>0</v>
      </c>
      <c r="P371" t="n">
        <v>0</v>
      </c>
      <c r="Q371" t="n">
        <v>0</v>
      </c>
      <c r="R371" s="2" t="inlineStr"/>
    </row>
    <row r="372" ht="15" customHeight="1">
      <c r="A372" t="inlineStr">
        <is>
          <t>A 44804-2024</t>
        </is>
      </c>
      <c r="B372" s="1" t="n">
        <v>45574.65189814815</v>
      </c>
      <c r="C372" s="1" t="n">
        <v>46001</v>
      </c>
      <c r="D372" t="inlineStr">
        <is>
          <t>ÖREBRO LÄN</t>
        </is>
      </c>
      <c r="E372" t="inlineStr">
        <is>
          <t>LINDESBERG</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44067-2025</t>
        </is>
      </c>
      <c r="B373" s="1" t="n">
        <v>45915.54439814815</v>
      </c>
      <c r="C373" s="1" t="n">
        <v>46001</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30000-2025</t>
        </is>
      </c>
      <c r="B374" s="1" t="n">
        <v>45826.52024305556</v>
      </c>
      <c r="C374" s="1" t="n">
        <v>46001</v>
      </c>
      <c r="D374" t="inlineStr">
        <is>
          <t>ÖREBRO LÄN</t>
        </is>
      </c>
      <c r="E374" t="inlineStr">
        <is>
          <t>LINDESBERG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47066-2023</t>
        </is>
      </c>
      <c r="B375" s="1" t="n">
        <v>45201</v>
      </c>
      <c r="C375" s="1" t="n">
        <v>46001</v>
      </c>
      <c r="D375" t="inlineStr">
        <is>
          <t>ÖREBRO LÄN</t>
        </is>
      </c>
      <c r="E375" t="inlineStr">
        <is>
          <t>LINDESBERG</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42410-2024</t>
        </is>
      </c>
      <c r="B376" s="1" t="n">
        <v>45565</v>
      </c>
      <c r="C376" s="1" t="n">
        <v>46001</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55631-2022</t>
        </is>
      </c>
      <c r="B377" s="1" t="n">
        <v>44888.4577662037</v>
      </c>
      <c r="C377" s="1" t="n">
        <v>46001</v>
      </c>
      <c r="D377" t="inlineStr">
        <is>
          <t>ÖREBRO LÄN</t>
        </is>
      </c>
      <c r="E377" t="inlineStr">
        <is>
          <t>LINDESBERG</t>
        </is>
      </c>
      <c r="G377" t="n">
        <v>4.4</v>
      </c>
      <c r="H377" t="n">
        <v>0</v>
      </c>
      <c r="I377" t="n">
        <v>0</v>
      </c>
      <c r="J377" t="n">
        <v>0</v>
      </c>
      <c r="K377" t="n">
        <v>0</v>
      </c>
      <c r="L377" t="n">
        <v>0</v>
      </c>
      <c r="M377" t="n">
        <v>0</v>
      </c>
      <c r="N377" t="n">
        <v>0</v>
      </c>
      <c r="O377" t="n">
        <v>0</v>
      </c>
      <c r="P377" t="n">
        <v>0</v>
      </c>
      <c r="Q377" t="n">
        <v>0</v>
      </c>
      <c r="R377" s="2" t="inlineStr"/>
    </row>
    <row r="378" ht="15" customHeight="1">
      <c r="A378" t="inlineStr">
        <is>
          <t>A 42282-2024</t>
        </is>
      </c>
      <c r="B378" s="1" t="n">
        <v>45562.61158564815</v>
      </c>
      <c r="C378" s="1" t="n">
        <v>46001</v>
      </c>
      <c r="D378" t="inlineStr">
        <is>
          <t>ÖREBRO LÄN</t>
        </is>
      </c>
      <c r="E378" t="inlineStr">
        <is>
          <t>LINDESBERG</t>
        </is>
      </c>
      <c r="G378" t="n">
        <v>0.8</v>
      </c>
      <c r="H378" t="n">
        <v>0</v>
      </c>
      <c r="I378" t="n">
        <v>0</v>
      </c>
      <c r="J378" t="n">
        <v>0</v>
      </c>
      <c r="K378" t="n">
        <v>0</v>
      </c>
      <c r="L378" t="n">
        <v>0</v>
      </c>
      <c r="M378" t="n">
        <v>0</v>
      </c>
      <c r="N378" t="n">
        <v>0</v>
      </c>
      <c r="O378" t="n">
        <v>0</v>
      </c>
      <c r="P378" t="n">
        <v>0</v>
      </c>
      <c r="Q378" t="n">
        <v>0</v>
      </c>
      <c r="R378" s="2" t="inlineStr"/>
    </row>
    <row r="379" ht="15" customHeight="1">
      <c r="A379" t="inlineStr">
        <is>
          <t>A 42430-2024</t>
        </is>
      </c>
      <c r="B379" s="1" t="n">
        <v>45565.40700231482</v>
      </c>
      <c r="C379" s="1" t="n">
        <v>46001</v>
      </c>
      <c r="D379" t="inlineStr">
        <is>
          <t>ÖREBRO LÄN</t>
        </is>
      </c>
      <c r="E379" t="inlineStr">
        <is>
          <t>LINDESBERG</t>
        </is>
      </c>
      <c r="G379" t="n">
        <v>4</v>
      </c>
      <c r="H379" t="n">
        <v>0</v>
      </c>
      <c r="I379" t="n">
        <v>0</v>
      </c>
      <c r="J379" t="n">
        <v>0</v>
      </c>
      <c r="K379" t="n">
        <v>0</v>
      </c>
      <c r="L379" t="n">
        <v>0</v>
      </c>
      <c r="M379" t="n">
        <v>0</v>
      </c>
      <c r="N379" t="n">
        <v>0</v>
      </c>
      <c r="O379" t="n">
        <v>0</v>
      </c>
      <c r="P379" t="n">
        <v>0</v>
      </c>
      <c r="Q379" t="n">
        <v>0</v>
      </c>
      <c r="R379" s="2" t="inlineStr"/>
    </row>
    <row r="380" ht="15" customHeight="1">
      <c r="A380" t="inlineStr">
        <is>
          <t>A 30341-2025</t>
        </is>
      </c>
      <c r="B380" s="1" t="n">
        <v>45827.51862268519</v>
      </c>
      <c r="C380" s="1" t="n">
        <v>46001</v>
      </c>
      <c r="D380" t="inlineStr">
        <is>
          <t>ÖREBRO LÄN</t>
        </is>
      </c>
      <c r="E380" t="inlineStr">
        <is>
          <t>LINDESBERG</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15822-2024</t>
        </is>
      </c>
      <c r="B381" s="1" t="n">
        <v>45404.68190972223</v>
      </c>
      <c r="C381" s="1" t="n">
        <v>46001</v>
      </c>
      <c r="D381" t="inlineStr">
        <is>
          <t>ÖREBRO LÄN</t>
        </is>
      </c>
      <c r="E381" t="inlineStr">
        <is>
          <t>LINDESBERG</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40038-2024</t>
        </is>
      </c>
      <c r="B382" s="1" t="n">
        <v>45553</v>
      </c>
      <c r="C382" s="1" t="n">
        <v>46001</v>
      </c>
      <c r="D382" t="inlineStr">
        <is>
          <t>ÖREBRO LÄN</t>
        </is>
      </c>
      <c r="E382" t="inlineStr">
        <is>
          <t>LINDESBERG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53723-2025</t>
        </is>
      </c>
      <c r="B383" s="1" t="n">
        <v>45960.62986111111</v>
      </c>
      <c r="C383" s="1" t="n">
        <v>46001</v>
      </c>
      <c r="D383" t="inlineStr">
        <is>
          <t>ÖREBRO LÄN</t>
        </is>
      </c>
      <c r="E383" t="inlineStr">
        <is>
          <t>LINDESBERG</t>
        </is>
      </c>
      <c r="G383" t="n">
        <v>1.4</v>
      </c>
      <c r="H383" t="n">
        <v>0</v>
      </c>
      <c r="I383" t="n">
        <v>0</v>
      </c>
      <c r="J383" t="n">
        <v>0</v>
      </c>
      <c r="K383" t="n">
        <v>0</v>
      </c>
      <c r="L383" t="n">
        <v>0</v>
      </c>
      <c r="M383" t="n">
        <v>0</v>
      </c>
      <c r="N383" t="n">
        <v>0</v>
      </c>
      <c r="O383" t="n">
        <v>0</v>
      </c>
      <c r="P383" t="n">
        <v>0</v>
      </c>
      <c r="Q383" t="n">
        <v>0</v>
      </c>
      <c r="R383" s="2" t="inlineStr"/>
    </row>
    <row r="384" ht="15" customHeight="1">
      <c r="A384" t="inlineStr">
        <is>
          <t>A 8213-2023</t>
        </is>
      </c>
      <c r="B384" s="1" t="n">
        <v>44974.55693287037</v>
      </c>
      <c r="C384" s="1" t="n">
        <v>46001</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30340-2025</t>
        </is>
      </c>
      <c r="B385" s="1" t="n">
        <v>45827.51753472222</v>
      </c>
      <c r="C385" s="1" t="n">
        <v>46001</v>
      </c>
      <c r="D385" t="inlineStr">
        <is>
          <t>ÖREBRO LÄN</t>
        </is>
      </c>
      <c r="E385" t="inlineStr">
        <is>
          <t>LINDESBERG</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30342-2025</t>
        </is>
      </c>
      <c r="B386" s="1" t="n">
        <v>45827.51956018519</v>
      </c>
      <c r="C386" s="1" t="n">
        <v>46001</v>
      </c>
      <c r="D386" t="inlineStr">
        <is>
          <t>ÖREBRO LÄN</t>
        </is>
      </c>
      <c r="E386" t="inlineStr">
        <is>
          <t>LINDESBERG</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30381-2025</t>
        </is>
      </c>
      <c r="B387" s="1" t="n">
        <v>45827.56939814815</v>
      </c>
      <c r="C387" s="1" t="n">
        <v>46001</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30339-2025</t>
        </is>
      </c>
      <c r="B388" s="1" t="n">
        <v>45827.51628472222</v>
      </c>
      <c r="C388" s="1" t="n">
        <v>46001</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44545-2025</t>
        </is>
      </c>
      <c r="B389" s="1" t="n">
        <v>45917.31780092593</v>
      </c>
      <c r="C389" s="1" t="n">
        <v>46001</v>
      </c>
      <c r="D389" t="inlineStr">
        <is>
          <t>ÖREBRO LÄN</t>
        </is>
      </c>
      <c r="E389" t="inlineStr">
        <is>
          <t>LINDESBERG</t>
        </is>
      </c>
      <c r="F389" t="inlineStr">
        <is>
          <t>Kommuner</t>
        </is>
      </c>
      <c r="G389" t="n">
        <v>2.3</v>
      </c>
      <c r="H389" t="n">
        <v>0</v>
      </c>
      <c r="I389" t="n">
        <v>0</v>
      </c>
      <c r="J389" t="n">
        <v>0</v>
      </c>
      <c r="K389" t="n">
        <v>0</v>
      </c>
      <c r="L389" t="n">
        <v>0</v>
      </c>
      <c r="M389" t="n">
        <v>0</v>
      </c>
      <c r="N389" t="n">
        <v>0</v>
      </c>
      <c r="O389" t="n">
        <v>0</v>
      </c>
      <c r="P389" t="n">
        <v>0</v>
      </c>
      <c r="Q389" t="n">
        <v>0</v>
      </c>
      <c r="R389" s="2" t="inlineStr"/>
    </row>
    <row r="390" ht="15" customHeight="1">
      <c r="A390" t="inlineStr">
        <is>
          <t>A 31215-2025</t>
        </is>
      </c>
      <c r="B390" s="1" t="n">
        <v>45832.74418981482</v>
      </c>
      <c r="C390" s="1" t="n">
        <v>46001</v>
      </c>
      <c r="D390" t="inlineStr">
        <is>
          <t>ÖREBRO LÄN</t>
        </is>
      </c>
      <c r="E390" t="inlineStr">
        <is>
          <t>LINDESBERG</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34029-2024</t>
        </is>
      </c>
      <c r="B391" s="1" t="n">
        <v>45523</v>
      </c>
      <c r="C391" s="1" t="n">
        <v>46001</v>
      </c>
      <c r="D391" t="inlineStr">
        <is>
          <t>ÖREBRO LÄN</t>
        </is>
      </c>
      <c r="E391" t="inlineStr">
        <is>
          <t>LINDESBERG</t>
        </is>
      </c>
      <c r="G391" t="n">
        <v>1.9</v>
      </c>
      <c r="H391" t="n">
        <v>0</v>
      </c>
      <c r="I391" t="n">
        <v>0</v>
      </c>
      <c r="J391" t="n">
        <v>0</v>
      </c>
      <c r="K391" t="n">
        <v>0</v>
      </c>
      <c r="L391" t="n">
        <v>0</v>
      </c>
      <c r="M391" t="n">
        <v>0</v>
      </c>
      <c r="N391" t="n">
        <v>0</v>
      </c>
      <c r="O391" t="n">
        <v>0</v>
      </c>
      <c r="P391" t="n">
        <v>0</v>
      </c>
      <c r="Q391" t="n">
        <v>0</v>
      </c>
      <c r="R391" s="2" t="inlineStr"/>
    </row>
    <row r="392" ht="15" customHeight="1">
      <c r="A392" t="inlineStr">
        <is>
          <t>A 31014-2025</t>
        </is>
      </c>
      <c r="B392" s="1" t="n">
        <v>45832.51028935185</v>
      </c>
      <c r="C392" s="1" t="n">
        <v>46001</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31049-2025</t>
        </is>
      </c>
      <c r="B393" s="1" t="n">
        <v>45832.55810185185</v>
      </c>
      <c r="C393" s="1" t="n">
        <v>46001</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31000-2025</t>
        </is>
      </c>
      <c r="B394" s="1" t="n">
        <v>45832.49325231482</v>
      </c>
      <c r="C394" s="1" t="n">
        <v>46001</v>
      </c>
      <c r="D394" t="inlineStr">
        <is>
          <t>ÖREBRO LÄN</t>
        </is>
      </c>
      <c r="E394" t="inlineStr">
        <is>
          <t>LINDESBERG</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31018-2025</t>
        </is>
      </c>
      <c r="B395" s="1" t="n">
        <v>45832.51255787037</v>
      </c>
      <c r="C395" s="1" t="n">
        <v>46001</v>
      </c>
      <c r="D395" t="inlineStr">
        <is>
          <t>ÖREBRO LÄN</t>
        </is>
      </c>
      <c r="E395" t="inlineStr">
        <is>
          <t>LINDESBERG</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31003-2025</t>
        </is>
      </c>
      <c r="B396" s="1" t="n">
        <v>45832.49579861111</v>
      </c>
      <c r="C396" s="1" t="n">
        <v>46001</v>
      </c>
      <c r="D396" t="inlineStr">
        <is>
          <t>ÖREBRO LÄN</t>
        </is>
      </c>
      <c r="E396" t="inlineStr">
        <is>
          <t>LINDESBERG</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31085-2025</t>
        </is>
      </c>
      <c r="B397" s="1" t="n">
        <v>45832.5902662037</v>
      </c>
      <c r="C397" s="1" t="n">
        <v>46001</v>
      </c>
      <c r="D397" t="inlineStr">
        <is>
          <t>ÖREBRO LÄN</t>
        </is>
      </c>
      <c r="E397" t="inlineStr">
        <is>
          <t>LINDESBERG</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3732-2023</t>
        </is>
      </c>
      <c r="B398" s="1" t="n">
        <v>44949</v>
      </c>
      <c r="C398" s="1" t="n">
        <v>46001</v>
      </c>
      <c r="D398" t="inlineStr">
        <is>
          <t>ÖREBRO LÄN</t>
        </is>
      </c>
      <c r="E398" t="inlineStr">
        <is>
          <t>LINDESBERG</t>
        </is>
      </c>
      <c r="G398" t="n">
        <v>3.3</v>
      </c>
      <c r="H398" t="n">
        <v>0</v>
      </c>
      <c r="I398" t="n">
        <v>0</v>
      </c>
      <c r="J398" t="n">
        <v>0</v>
      </c>
      <c r="K398" t="n">
        <v>0</v>
      </c>
      <c r="L398" t="n">
        <v>0</v>
      </c>
      <c r="M398" t="n">
        <v>0</v>
      </c>
      <c r="N398" t="n">
        <v>0</v>
      </c>
      <c r="O398" t="n">
        <v>0</v>
      </c>
      <c r="P398" t="n">
        <v>0</v>
      </c>
      <c r="Q398" t="n">
        <v>0</v>
      </c>
      <c r="R398" s="2" t="inlineStr"/>
    </row>
    <row r="399" ht="15" customHeight="1">
      <c r="A399" t="inlineStr">
        <is>
          <t>A 54251-2025</t>
        </is>
      </c>
      <c r="B399" s="1" t="n">
        <v>45964.64778935185</v>
      </c>
      <c r="C399" s="1" t="n">
        <v>46001</v>
      </c>
      <c r="D399" t="inlineStr">
        <is>
          <t>ÖREBRO LÄN</t>
        </is>
      </c>
      <c r="E399" t="inlineStr">
        <is>
          <t>LINDESBERG</t>
        </is>
      </c>
      <c r="F399" t="inlineStr">
        <is>
          <t>Sveaskog</t>
        </is>
      </c>
      <c r="G399" t="n">
        <v>3.2</v>
      </c>
      <c r="H399" t="n">
        <v>0</v>
      </c>
      <c r="I399" t="n">
        <v>0</v>
      </c>
      <c r="J399" t="n">
        <v>0</v>
      </c>
      <c r="K399" t="n">
        <v>0</v>
      </c>
      <c r="L399" t="n">
        <v>0</v>
      </c>
      <c r="M399" t="n">
        <v>0</v>
      </c>
      <c r="N399" t="n">
        <v>0</v>
      </c>
      <c r="O399" t="n">
        <v>0</v>
      </c>
      <c r="P399" t="n">
        <v>0</v>
      </c>
      <c r="Q399" t="n">
        <v>0</v>
      </c>
      <c r="R399" s="2" t="inlineStr"/>
    </row>
    <row r="400" ht="15" customHeight="1">
      <c r="A400" t="inlineStr">
        <is>
          <t>A 47155-2024</t>
        </is>
      </c>
      <c r="B400" s="1" t="n">
        <v>45586</v>
      </c>
      <c r="C400" s="1" t="n">
        <v>46001</v>
      </c>
      <c r="D400" t="inlineStr">
        <is>
          <t>ÖREBRO LÄN</t>
        </is>
      </c>
      <c r="E400" t="inlineStr">
        <is>
          <t>LINDESBERG</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31213-2025</t>
        </is>
      </c>
      <c r="B401" s="1" t="n">
        <v>45832.72778935185</v>
      </c>
      <c r="C401" s="1" t="n">
        <v>46001</v>
      </c>
      <c r="D401" t="inlineStr">
        <is>
          <t>ÖREBRO LÄN</t>
        </is>
      </c>
      <c r="E401" t="inlineStr">
        <is>
          <t>LINDESBERG</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2569-2023</t>
        </is>
      </c>
      <c r="B402" s="1" t="n">
        <v>44943.73792824074</v>
      </c>
      <c r="C402" s="1" t="n">
        <v>46001</v>
      </c>
      <c r="D402" t="inlineStr">
        <is>
          <t>ÖREBRO LÄN</t>
        </is>
      </c>
      <c r="E402" t="inlineStr">
        <is>
          <t>LINDESBERG</t>
        </is>
      </c>
      <c r="G402" t="n">
        <v>2.3</v>
      </c>
      <c r="H402" t="n">
        <v>0</v>
      </c>
      <c r="I402" t="n">
        <v>0</v>
      </c>
      <c r="J402" t="n">
        <v>0</v>
      </c>
      <c r="K402" t="n">
        <v>0</v>
      </c>
      <c r="L402" t="n">
        <v>0</v>
      </c>
      <c r="M402" t="n">
        <v>0</v>
      </c>
      <c r="N402" t="n">
        <v>0</v>
      </c>
      <c r="O402" t="n">
        <v>0</v>
      </c>
      <c r="P402" t="n">
        <v>0</v>
      </c>
      <c r="Q402" t="n">
        <v>0</v>
      </c>
      <c r="R402" s="2" t="inlineStr"/>
    </row>
    <row r="403" ht="15" customHeight="1">
      <c r="A403" t="inlineStr">
        <is>
          <t>A 54239-2025</t>
        </is>
      </c>
      <c r="B403" s="1" t="n">
        <v>45964.62771990741</v>
      </c>
      <c r="C403" s="1" t="n">
        <v>46001</v>
      </c>
      <c r="D403" t="inlineStr">
        <is>
          <t>ÖREBRO LÄN</t>
        </is>
      </c>
      <c r="E403" t="inlineStr">
        <is>
          <t>LINDESBERG</t>
        </is>
      </c>
      <c r="G403" t="n">
        <v>4.9</v>
      </c>
      <c r="H403" t="n">
        <v>0</v>
      </c>
      <c r="I403" t="n">
        <v>0</v>
      </c>
      <c r="J403" t="n">
        <v>0</v>
      </c>
      <c r="K403" t="n">
        <v>0</v>
      </c>
      <c r="L403" t="n">
        <v>0</v>
      </c>
      <c r="M403" t="n">
        <v>0</v>
      </c>
      <c r="N403" t="n">
        <v>0</v>
      </c>
      <c r="O403" t="n">
        <v>0</v>
      </c>
      <c r="P403" t="n">
        <v>0</v>
      </c>
      <c r="Q403" t="n">
        <v>0</v>
      </c>
      <c r="R403" s="2" t="inlineStr"/>
    </row>
    <row r="404" ht="15" customHeight="1">
      <c r="A404" t="inlineStr">
        <is>
          <t>A 54240-2025</t>
        </is>
      </c>
      <c r="B404" s="1" t="n">
        <v>45964.62796296296</v>
      </c>
      <c r="C404" s="1" t="n">
        <v>46001</v>
      </c>
      <c r="D404" t="inlineStr">
        <is>
          <t>ÖREBRO LÄN</t>
        </is>
      </c>
      <c r="E404" t="inlineStr">
        <is>
          <t>LINDESBERG</t>
        </is>
      </c>
      <c r="G404" t="n">
        <v>3.9</v>
      </c>
      <c r="H404" t="n">
        <v>0</v>
      </c>
      <c r="I404" t="n">
        <v>0</v>
      </c>
      <c r="J404" t="n">
        <v>0</v>
      </c>
      <c r="K404" t="n">
        <v>0</v>
      </c>
      <c r="L404" t="n">
        <v>0</v>
      </c>
      <c r="M404" t="n">
        <v>0</v>
      </c>
      <c r="N404" t="n">
        <v>0</v>
      </c>
      <c r="O404" t="n">
        <v>0</v>
      </c>
      <c r="P404" t="n">
        <v>0</v>
      </c>
      <c r="Q404" t="n">
        <v>0</v>
      </c>
      <c r="R404" s="2" t="inlineStr"/>
    </row>
    <row r="405" ht="15" customHeight="1">
      <c r="A405" t="inlineStr">
        <is>
          <t>A 54250-2025</t>
        </is>
      </c>
      <c r="B405" s="1" t="n">
        <v>45964.64709490741</v>
      </c>
      <c r="C405" s="1" t="n">
        <v>46001</v>
      </c>
      <c r="D405" t="inlineStr">
        <is>
          <t>ÖREBRO LÄN</t>
        </is>
      </c>
      <c r="E405" t="inlineStr">
        <is>
          <t>LINDESBERG</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9966-2023</t>
        </is>
      </c>
      <c r="B406" s="1" t="n">
        <v>44979</v>
      </c>
      <c r="C406" s="1" t="n">
        <v>46001</v>
      </c>
      <c r="D406" t="inlineStr">
        <is>
          <t>ÖREBRO LÄN</t>
        </is>
      </c>
      <c r="E406" t="inlineStr">
        <is>
          <t>LINDESBERG</t>
        </is>
      </c>
      <c r="G406" t="n">
        <v>4.1</v>
      </c>
      <c r="H406" t="n">
        <v>0</v>
      </c>
      <c r="I406" t="n">
        <v>0</v>
      </c>
      <c r="J406" t="n">
        <v>0</v>
      </c>
      <c r="K406" t="n">
        <v>0</v>
      </c>
      <c r="L406" t="n">
        <v>0</v>
      </c>
      <c r="M406" t="n">
        <v>0</v>
      </c>
      <c r="N406" t="n">
        <v>0</v>
      </c>
      <c r="O406" t="n">
        <v>0</v>
      </c>
      <c r="P406" t="n">
        <v>0</v>
      </c>
      <c r="Q406" t="n">
        <v>0</v>
      </c>
      <c r="R406" s="2" t="inlineStr"/>
    </row>
    <row r="407" ht="15" customHeight="1">
      <c r="A407" t="inlineStr">
        <is>
          <t>A 54070-2025</t>
        </is>
      </c>
      <c r="B407" s="1" t="n">
        <v>45964.34680555556</v>
      </c>
      <c r="C407" s="1" t="n">
        <v>46001</v>
      </c>
      <c r="D407" t="inlineStr">
        <is>
          <t>ÖREBRO LÄN</t>
        </is>
      </c>
      <c r="E407" t="inlineStr">
        <is>
          <t>LINDESBERG</t>
        </is>
      </c>
      <c r="G407" t="n">
        <v>0.5</v>
      </c>
      <c r="H407" t="n">
        <v>0</v>
      </c>
      <c r="I407" t="n">
        <v>0</v>
      </c>
      <c r="J407" t="n">
        <v>0</v>
      </c>
      <c r="K407" t="n">
        <v>0</v>
      </c>
      <c r="L407" t="n">
        <v>0</v>
      </c>
      <c r="M407" t="n">
        <v>0</v>
      </c>
      <c r="N407" t="n">
        <v>0</v>
      </c>
      <c r="O407" t="n">
        <v>0</v>
      </c>
      <c r="P407" t="n">
        <v>0</v>
      </c>
      <c r="Q407" t="n">
        <v>0</v>
      </c>
      <c r="R407" s="2" t="inlineStr"/>
    </row>
    <row r="408" ht="15" customHeight="1">
      <c r="A408" t="inlineStr">
        <is>
          <t>A 54072-2025</t>
        </is>
      </c>
      <c r="B408" s="1" t="n">
        <v>45964.3550925926</v>
      </c>
      <c r="C408" s="1" t="n">
        <v>46001</v>
      </c>
      <c r="D408" t="inlineStr">
        <is>
          <t>ÖREBRO LÄN</t>
        </is>
      </c>
      <c r="E408" t="inlineStr">
        <is>
          <t>LINDESBERG</t>
        </is>
      </c>
      <c r="G408" t="n">
        <v>1.3</v>
      </c>
      <c r="H408" t="n">
        <v>0</v>
      </c>
      <c r="I408" t="n">
        <v>0</v>
      </c>
      <c r="J408" t="n">
        <v>0</v>
      </c>
      <c r="K408" t="n">
        <v>0</v>
      </c>
      <c r="L408" t="n">
        <v>0</v>
      </c>
      <c r="M408" t="n">
        <v>0</v>
      </c>
      <c r="N408" t="n">
        <v>0</v>
      </c>
      <c r="O408" t="n">
        <v>0</v>
      </c>
      <c r="P408" t="n">
        <v>0</v>
      </c>
      <c r="Q408" t="n">
        <v>0</v>
      </c>
      <c r="R408" s="2" t="inlineStr"/>
    </row>
    <row r="409" ht="15" customHeight="1">
      <c r="A409" t="inlineStr">
        <is>
          <t>A 54249-2025</t>
        </is>
      </c>
      <c r="B409" s="1" t="n">
        <v>45964.64599537037</v>
      </c>
      <c r="C409" s="1" t="n">
        <v>46001</v>
      </c>
      <c r="D409" t="inlineStr">
        <is>
          <t>ÖREBRO LÄN</t>
        </is>
      </c>
      <c r="E409" t="inlineStr">
        <is>
          <t>LINDESBERG</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31221-2025</t>
        </is>
      </c>
      <c r="B410" s="1" t="n">
        <v>45832.76491898148</v>
      </c>
      <c r="C410" s="1" t="n">
        <v>46001</v>
      </c>
      <c r="D410" t="inlineStr">
        <is>
          <t>ÖREBRO LÄN</t>
        </is>
      </c>
      <c r="E410" t="inlineStr">
        <is>
          <t>LINDESBERG</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47069-2023</t>
        </is>
      </c>
      <c r="B411" s="1" t="n">
        <v>45201</v>
      </c>
      <c r="C411" s="1" t="n">
        <v>46001</v>
      </c>
      <c r="D411" t="inlineStr">
        <is>
          <t>ÖREBRO LÄN</t>
        </is>
      </c>
      <c r="E411" t="inlineStr">
        <is>
          <t>LINDESBERG</t>
        </is>
      </c>
      <c r="F411" t="inlineStr">
        <is>
          <t>Sveaskog</t>
        </is>
      </c>
      <c r="G411" t="n">
        <v>9.4</v>
      </c>
      <c r="H411" t="n">
        <v>0</v>
      </c>
      <c r="I411" t="n">
        <v>0</v>
      </c>
      <c r="J411" t="n">
        <v>0</v>
      </c>
      <c r="K411" t="n">
        <v>0</v>
      </c>
      <c r="L411" t="n">
        <v>0</v>
      </c>
      <c r="M411" t="n">
        <v>0</v>
      </c>
      <c r="N411" t="n">
        <v>0</v>
      </c>
      <c r="O411" t="n">
        <v>0</v>
      </c>
      <c r="P411" t="n">
        <v>0</v>
      </c>
      <c r="Q411" t="n">
        <v>0</v>
      </c>
      <c r="R411" s="2" t="inlineStr"/>
    </row>
    <row r="412" ht="15" customHeight="1">
      <c r="A412" t="inlineStr">
        <is>
          <t>A 47074-2023</t>
        </is>
      </c>
      <c r="B412" s="1" t="n">
        <v>45201.60283564815</v>
      </c>
      <c r="C412" s="1" t="n">
        <v>46001</v>
      </c>
      <c r="D412" t="inlineStr">
        <is>
          <t>ÖREBRO LÄN</t>
        </is>
      </c>
      <c r="E412" t="inlineStr">
        <is>
          <t>LINDESBERG</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31220-2025</t>
        </is>
      </c>
      <c r="B413" s="1" t="n">
        <v>45832.76100694444</v>
      </c>
      <c r="C413" s="1" t="n">
        <v>46001</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32504-2025</t>
        </is>
      </c>
      <c r="B414" s="1" t="n">
        <v>45838.46456018519</v>
      </c>
      <c r="C414" s="1" t="n">
        <v>46001</v>
      </c>
      <c r="D414" t="inlineStr">
        <is>
          <t>ÖREBRO LÄN</t>
        </is>
      </c>
      <c r="E414" t="inlineStr">
        <is>
          <t>LINDESBERG</t>
        </is>
      </c>
      <c r="F414" t="inlineStr">
        <is>
          <t>Sveaskog</t>
        </is>
      </c>
      <c r="G414" t="n">
        <v>16.9</v>
      </c>
      <c r="H414" t="n">
        <v>0</v>
      </c>
      <c r="I414" t="n">
        <v>0</v>
      </c>
      <c r="J414" t="n">
        <v>0</v>
      </c>
      <c r="K414" t="n">
        <v>0</v>
      </c>
      <c r="L414" t="n">
        <v>0</v>
      </c>
      <c r="M414" t="n">
        <v>0</v>
      </c>
      <c r="N414" t="n">
        <v>0</v>
      </c>
      <c r="O414" t="n">
        <v>0</v>
      </c>
      <c r="P414" t="n">
        <v>0</v>
      </c>
      <c r="Q414" t="n">
        <v>0</v>
      </c>
      <c r="R414" s="2" t="inlineStr"/>
    </row>
    <row r="415" ht="15" customHeight="1">
      <c r="A415" t="inlineStr">
        <is>
          <t>A 53352-2023</t>
        </is>
      </c>
      <c r="B415" s="1" t="n">
        <v>45229.66262731481</v>
      </c>
      <c r="C415" s="1" t="n">
        <v>46001</v>
      </c>
      <c r="D415" t="inlineStr">
        <is>
          <t>ÖREBRO LÄN</t>
        </is>
      </c>
      <c r="E415" t="inlineStr">
        <is>
          <t>LINDESBERG</t>
        </is>
      </c>
      <c r="F415" t="inlineStr">
        <is>
          <t>Sveaskog</t>
        </is>
      </c>
      <c r="G415" t="n">
        <v>0.3</v>
      </c>
      <c r="H415" t="n">
        <v>0</v>
      </c>
      <c r="I415" t="n">
        <v>0</v>
      </c>
      <c r="J415" t="n">
        <v>0</v>
      </c>
      <c r="K415" t="n">
        <v>0</v>
      </c>
      <c r="L415" t="n">
        <v>0</v>
      </c>
      <c r="M415" t="n">
        <v>0</v>
      </c>
      <c r="N415" t="n">
        <v>0</v>
      </c>
      <c r="O415" t="n">
        <v>0</v>
      </c>
      <c r="P415" t="n">
        <v>0</v>
      </c>
      <c r="Q415" t="n">
        <v>0</v>
      </c>
      <c r="R415" s="2" t="inlineStr"/>
    </row>
    <row r="416" ht="15" customHeight="1">
      <c r="A416" t="inlineStr">
        <is>
          <t>A 15213-2025</t>
        </is>
      </c>
      <c r="B416" s="1" t="n">
        <v>45744.57851851852</v>
      </c>
      <c r="C416" s="1" t="n">
        <v>46001</v>
      </c>
      <c r="D416" t="inlineStr">
        <is>
          <t>ÖREBRO LÄN</t>
        </is>
      </c>
      <c r="E416" t="inlineStr">
        <is>
          <t>LINDESBERG</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46678-2023</t>
        </is>
      </c>
      <c r="B417" s="1" t="n">
        <v>45194</v>
      </c>
      <c r="C417" s="1" t="n">
        <v>46001</v>
      </c>
      <c r="D417" t="inlineStr">
        <is>
          <t>ÖREBRO LÄN</t>
        </is>
      </c>
      <c r="E417" t="inlineStr">
        <is>
          <t>LINDESBERG</t>
        </is>
      </c>
      <c r="G417" t="n">
        <v>1.4</v>
      </c>
      <c r="H417" t="n">
        <v>0</v>
      </c>
      <c r="I417" t="n">
        <v>0</v>
      </c>
      <c r="J417" t="n">
        <v>0</v>
      </c>
      <c r="K417" t="n">
        <v>0</v>
      </c>
      <c r="L417" t="n">
        <v>0</v>
      </c>
      <c r="M417" t="n">
        <v>0</v>
      </c>
      <c r="N417" t="n">
        <v>0</v>
      </c>
      <c r="O417" t="n">
        <v>0</v>
      </c>
      <c r="P417" t="n">
        <v>0</v>
      </c>
      <c r="Q417" t="n">
        <v>0</v>
      </c>
      <c r="R417" s="2" t="inlineStr"/>
    </row>
    <row r="418" ht="15" customHeight="1">
      <c r="A418" t="inlineStr">
        <is>
          <t>A 26967-2022</t>
        </is>
      </c>
      <c r="B418" s="1" t="n">
        <v>44740.66997685185</v>
      </c>
      <c r="C418" s="1" t="n">
        <v>46001</v>
      </c>
      <c r="D418" t="inlineStr">
        <is>
          <t>ÖREBRO LÄN</t>
        </is>
      </c>
      <c r="E418" t="inlineStr">
        <is>
          <t>LINDESBERG</t>
        </is>
      </c>
      <c r="G418" t="n">
        <v>1.6</v>
      </c>
      <c r="H418" t="n">
        <v>0</v>
      </c>
      <c r="I418" t="n">
        <v>0</v>
      </c>
      <c r="J418" t="n">
        <v>0</v>
      </c>
      <c r="K418" t="n">
        <v>0</v>
      </c>
      <c r="L418" t="n">
        <v>0</v>
      </c>
      <c r="M418" t="n">
        <v>0</v>
      </c>
      <c r="N418" t="n">
        <v>0</v>
      </c>
      <c r="O418" t="n">
        <v>0</v>
      </c>
      <c r="P418" t="n">
        <v>0</v>
      </c>
      <c r="Q418" t="n">
        <v>0</v>
      </c>
      <c r="R418" s="2" t="inlineStr"/>
    </row>
    <row r="419" ht="15" customHeight="1">
      <c r="A419" t="inlineStr">
        <is>
          <t>A 32284-2025</t>
        </is>
      </c>
      <c r="B419" s="1" t="n">
        <v>45835.68443287037</v>
      </c>
      <c r="C419" s="1" t="n">
        <v>46001</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32502-2025</t>
        </is>
      </c>
      <c r="B420" s="1" t="n">
        <v>45838.46408564815</v>
      </c>
      <c r="C420" s="1" t="n">
        <v>46001</v>
      </c>
      <c r="D420" t="inlineStr">
        <is>
          <t>ÖREBRO LÄN</t>
        </is>
      </c>
      <c r="E420" t="inlineStr">
        <is>
          <t>LINDESBERG</t>
        </is>
      </c>
      <c r="F420" t="inlineStr">
        <is>
          <t>Sveaskog</t>
        </is>
      </c>
      <c r="G420" t="n">
        <v>17.7</v>
      </c>
      <c r="H420" t="n">
        <v>0</v>
      </c>
      <c r="I420" t="n">
        <v>0</v>
      </c>
      <c r="J420" t="n">
        <v>0</v>
      </c>
      <c r="K420" t="n">
        <v>0</v>
      </c>
      <c r="L420" t="n">
        <v>0</v>
      </c>
      <c r="M420" t="n">
        <v>0</v>
      </c>
      <c r="N420" t="n">
        <v>0</v>
      </c>
      <c r="O420" t="n">
        <v>0</v>
      </c>
      <c r="P420" t="n">
        <v>0</v>
      </c>
      <c r="Q420" t="n">
        <v>0</v>
      </c>
      <c r="R420" s="2" t="inlineStr"/>
    </row>
    <row r="421" ht="15" customHeight="1">
      <c r="A421" t="inlineStr">
        <is>
          <t>A 45978-2021</t>
        </is>
      </c>
      <c r="B421" s="1" t="n">
        <v>44441.70047453704</v>
      </c>
      <c r="C421" s="1" t="n">
        <v>46001</v>
      </c>
      <c r="D421" t="inlineStr">
        <is>
          <t>ÖREBRO LÄN</t>
        </is>
      </c>
      <c r="E421" t="inlineStr">
        <is>
          <t>LINDESBERG</t>
        </is>
      </c>
      <c r="G421" t="n">
        <v>4.4</v>
      </c>
      <c r="H421" t="n">
        <v>0</v>
      </c>
      <c r="I421" t="n">
        <v>0</v>
      </c>
      <c r="J421" t="n">
        <v>0</v>
      </c>
      <c r="K421" t="n">
        <v>0</v>
      </c>
      <c r="L421" t="n">
        <v>0</v>
      </c>
      <c r="M421" t="n">
        <v>0</v>
      </c>
      <c r="N421" t="n">
        <v>0</v>
      </c>
      <c r="O421" t="n">
        <v>0</v>
      </c>
      <c r="P421" t="n">
        <v>0</v>
      </c>
      <c r="Q421" t="n">
        <v>0</v>
      </c>
      <c r="R421" s="2" t="inlineStr"/>
    </row>
    <row r="422" ht="15" customHeight="1">
      <c r="A422" t="inlineStr">
        <is>
          <t>A 14454-2024</t>
        </is>
      </c>
      <c r="B422" s="1" t="n">
        <v>45394.51289351852</v>
      </c>
      <c r="C422" s="1" t="n">
        <v>46001</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40303-2024</t>
        </is>
      </c>
      <c r="B423" s="1" t="n">
        <v>45554.7158912037</v>
      </c>
      <c r="C423" s="1" t="n">
        <v>46001</v>
      </c>
      <c r="D423" t="inlineStr">
        <is>
          <t>ÖREBRO LÄN</t>
        </is>
      </c>
      <c r="E423" t="inlineStr">
        <is>
          <t>LINDESBERG</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46484-2024</t>
        </is>
      </c>
      <c r="B424" s="1" t="n">
        <v>45582.57542824074</v>
      </c>
      <c r="C424" s="1" t="n">
        <v>46001</v>
      </c>
      <c r="D424" t="inlineStr">
        <is>
          <t>ÖREBRO LÄN</t>
        </is>
      </c>
      <c r="E424" t="inlineStr">
        <is>
          <t>LINDESBERG</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19436-2025</t>
        </is>
      </c>
      <c r="B425" s="1" t="n">
        <v>45769.98449074074</v>
      </c>
      <c r="C425" s="1" t="n">
        <v>46001</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33046-2025</t>
        </is>
      </c>
      <c r="B426" s="1" t="n">
        <v>45840</v>
      </c>
      <c r="C426" s="1" t="n">
        <v>46001</v>
      </c>
      <c r="D426" t="inlineStr">
        <is>
          <t>ÖREBRO LÄN</t>
        </is>
      </c>
      <c r="E426" t="inlineStr">
        <is>
          <t>LINDESBERG</t>
        </is>
      </c>
      <c r="G426" t="n">
        <v>6.1</v>
      </c>
      <c r="H426" t="n">
        <v>0</v>
      </c>
      <c r="I426" t="n">
        <v>0</v>
      </c>
      <c r="J426" t="n">
        <v>0</v>
      </c>
      <c r="K426" t="n">
        <v>0</v>
      </c>
      <c r="L426" t="n">
        <v>0</v>
      </c>
      <c r="M426" t="n">
        <v>0</v>
      </c>
      <c r="N426" t="n">
        <v>0</v>
      </c>
      <c r="O426" t="n">
        <v>0</v>
      </c>
      <c r="P426" t="n">
        <v>0</v>
      </c>
      <c r="Q426" t="n">
        <v>0</v>
      </c>
      <c r="R426" s="2" t="inlineStr"/>
    </row>
    <row r="427" ht="15" customHeight="1">
      <c r="A427" t="inlineStr">
        <is>
          <t>A 32727-2024</t>
        </is>
      </c>
      <c r="B427" s="1" t="n">
        <v>45516.4221412037</v>
      </c>
      <c r="C427" s="1" t="n">
        <v>46001</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13350-2024</t>
        </is>
      </c>
      <c r="B428" s="1" t="n">
        <v>45387.24732638889</v>
      </c>
      <c r="C428" s="1" t="n">
        <v>46001</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13351-2024</t>
        </is>
      </c>
      <c r="B429" s="1" t="n">
        <v>45387.2521875</v>
      </c>
      <c r="C429" s="1" t="n">
        <v>46001</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6752-2021</t>
        </is>
      </c>
      <c r="B430" s="1" t="n">
        <v>44236</v>
      </c>
      <c r="C430" s="1" t="n">
        <v>46001</v>
      </c>
      <c r="D430" t="inlineStr">
        <is>
          <t>ÖREBRO LÄN</t>
        </is>
      </c>
      <c r="E430" t="inlineStr">
        <is>
          <t>LINDESBERG</t>
        </is>
      </c>
      <c r="G430" t="n">
        <v>2.6</v>
      </c>
      <c r="H430" t="n">
        <v>0</v>
      </c>
      <c r="I430" t="n">
        <v>0</v>
      </c>
      <c r="J430" t="n">
        <v>0</v>
      </c>
      <c r="K430" t="n">
        <v>0</v>
      </c>
      <c r="L430" t="n">
        <v>0</v>
      </c>
      <c r="M430" t="n">
        <v>0</v>
      </c>
      <c r="N430" t="n">
        <v>0</v>
      </c>
      <c r="O430" t="n">
        <v>0</v>
      </c>
      <c r="P430" t="n">
        <v>0</v>
      </c>
      <c r="Q430" t="n">
        <v>0</v>
      </c>
      <c r="R430" s="2" t="inlineStr"/>
      <c r="U430">
        <f>HYPERLINK("https://klasma.github.io/Logging_1885/knärot/A 6752-2021 karta knärot.png", "A 6752-2021")</f>
        <v/>
      </c>
      <c r="V430">
        <f>HYPERLINK("https://klasma.github.io/Logging_1885/klagomål/A 6752-2021 FSC-klagomål.docx", "A 6752-2021")</f>
        <v/>
      </c>
      <c r="W430">
        <f>HYPERLINK("https://klasma.github.io/Logging_1885/klagomålsmail/A 6752-2021 FSC-klagomål mail.docx", "A 6752-2021")</f>
        <v/>
      </c>
      <c r="X430">
        <f>HYPERLINK("https://klasma.github.io/Logging_1885/tillsyn/A 6752-2021 tillsynsbegäran.docx", "A 6752-2021")</f>
        <v/>
      </c>
      <c r="Y430">
        <f>HYPERLINK("https://klasma.github.io/Logging_1885/tillsynsmail/A 6752-2021 tillsynsbegäran mail.docx", "A 6752-2021")</f>
        <v/>
      </c>
    </row>
    <row r="431" ht="15" customHeight="1">
      <c r="A431" t="inlineStr">
        <is>
          <t>A 12053-2024</t>
        </is>
      </c>
      <c r="B431" s="1" t="n">
        <v>45377.48265046296</v>
      </c>
      <c r="C431" s="1" t="n">
        <v>46001</v>
      </c>
      <c r="D431" t="inlineStr">
        <is>
          <t>ÖREBRO LÄN</t>
        </is>
      </c>
      <c r="E431" t="inlineStr">
        <is>
          <t>LINDESBERG</t>
        </is>
      </c>
      <c r="G431" t="n">
        <v>1.7</v>
      </c>
      <c r="H431" t="n">
        <v>0</v>
      </c>
      <c r="I431" t="n">
        <v>0</v>
      </c>
      <c r="J431" t="n">
        <v>0</v>
      </c>
      <c r="K431" t="n">
        <v>0</v>
      </c>
      <c r="L431" t="n">
        <v>0</v>
      </c>
      <c r="M431" t="n">
        <v>0</v>
      </c>
      <c r="N431" t="n">
        <v>0</v>
      </c>
      <c r="O431" t="n">
        <v>0</v>
      </c>
      <c r="P431" t="n">
        <v>0</v>
      </c>
      <c r="Q431" t="n">
        <v>0</v>
      </c>
      <c r="R431" s="2" t="inlineStr"/>
    </row>
    <row r="432" ht="15" customHeight="1">
      <c r="A432" t="inlineStr">
        <is>
          <t>A 46757-2025</t>
        </is>
      </c>
      <c r="B432" s="1" t="n">
        <v>45926.62039351852</v>
      </c>
      <c r="C432" s="1" t="n">
        <v>46001</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46484-2025</t>
        </is>
      </c>
      <c r="B433" s="1" t="n">
        <v>45925.70290509259</v>
      </c>
      <c r="C433" s="1" t="n">
        <v>46001</v>
      </c>
      <c r="D433" t="inlineStr">
        <is>
          <t>ÖREBRO LÄN</t>
        </is>
      </c>
      <c r="E433" t="inlineStr">
        <is>
          <t>LINDESBERG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39137-2024</t>
        </is>
      </c>
      <c r="B434" s="1" t="n">
        <v>45548</v>
      </c>
      <c r="C434" s="1" t="n">
        <v>46001</v>
      </c>
      <c r="D434" t="inlineStr">
        <is>
          <t>ÖREBRO LÄN</t>
        </is>
      </c>
      <c r="E434" t="inlineStr">
        <is>
          <t>LINDESBERG</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39152-2024</t>
        </is>
      </c>
      <c r="B435" s="1" t="n">
        <v>45548</v>
      </c>
      <c r="C435" s="1" t="n">
        <v>46001</v>
      </c>
      <c r="D435" t="inlineStr">
        <is>
          <t>ÖREBRO LÄN</t>
        </is>
      </c>
      <c r="E435" t="inlineStr">
        <is>
          <t>LINDESBERG</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46404-2025</t>
        </is>
      </c>
      <c r="B436" s="1" t="n">
        <v>45925.56173611111</v>
      </c>
      <c r="C436" s="1" t="n">
        <v>46001</v>
      </c>
      <c r="D436" t="inlineStr">
        <is>
          <t>ÖREBRO LÄN</t>
        </is>
      </c>
      <c r="E436" t="inlineStr">
        <is>
          <t>LINDESBERG</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43529-2024</t>
        </is>
      </c>
      <c r="B437" s="1" t="n">
        <v>45569.35209490741</v>
      </c>
      <c r="C437" s="1" t="n">
        <v>46001</v>
      </c>
      <c r="D437" t="inlineStr">
        <is>
          <t>ÖREBRO LÄN</t>
        </is>
      </c>
      <c r="E437" t="inlineStr">
        <is>
          <t>LINDESBERG</t>
        </is>
      </c>
      <c r="G437" t="n">
        <v>2.8</v>
      </c>
      <c r="H437" t="n">
        <v>0</v>
      </c>
      <c r="I437" t="n">
        <v>0</v>
      </c>
      <c r="J437" t="n">
        <v>0</v>
      </c>
      <c r="K437" t="n">
        <v>0</v>
      </c>
      <c r="L437" t="n">
        <v>0</v>
      </c>
      <c r="M437" t="n">
        <v>0</v>
      </c>
      <c r="N437" t="n">
        <v>0</v>
      </c>
      <c r="O437" t="n">
        <v>0</v>
      </c>
      <c r="P437" t="n">
        <v>0</v>
      </c>
      <c r="Q437" t="n">
        <v>0</v>
      </c>
      <c r="R437" s="2" t="inlineStr"/>
    </row>
    <row r="438" ht="15" customHeight="1">
      <c r="A438" t="inlineStr">
        <is>
          <t>A 33574-2024</t>
        </is>
      </c>
      <c r="B438" s="1" t="n">
        <v>45520.32887731482</v>
      </c>
      <c r="C438" s="1" t="n">
        <v>46001</v>
      </c>
      <c r="D438" t="inlineStr">
        <is>
          <t>ÖREBRO LÄN</t>
        </is>
      </c>
      <c r="E438" t="inlineStr">
        <is>
          <t>LINDESBERG</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34264-2025</t>
        </is>
      </c>
      <c r="B439" s="1" t="n">
        <v>45845.75200231482</v>
      </c>
      <c r="C439" s="1" t="n">
        <v>46001</v>
      </c>
      <c r="D439" t="inlineStr">
        <is>
          <t>ÖREBRO LÄN</t>
        </is>
      </c>
      <c r="E439" t="inlineStr">
        <is>
          <t>LINDESBERG</t>
        </is>
      </c>
      <c r="G439" t="n">
        <v>3.9</v>
      </c>
      <c r="H439" t="n">
        <v>0</v>
      </c>
      <c r="I439" t="n">
        <v>0</v>
      </c>
      <c r="J439" t="n">
        <v>0</v>
      </c>
      <c r="K439" t="n">
        <v>0</v>
      </c>
      <c r="L439" t="n">
        <v>0</v>
      </c>
      <c r="M439" t="n">
        <v>0</v>
      </c>
      <c r="N439" t="n">
        <v>0</v>
      </c>
      <c r="O439" t="n">
        <v>0</v>
      </c>
      <c r="P439" t="n">
        <v>0</v>
      </c>
      <c r="Q439" t="n">
        <v>0</v>
      </c>
      <c r="R439" s="2" t="inlineStr"/>
    </row>
    <row r="440" ht="15" customHeight="1">
      <c r="A440" t="inlineStr">
        <is>
          <t>A 46607-2021</t>
        </is>
      </c>
      <c r="B440" s="1" t="n">
        <v>44445.55690972223</v>
      </c>
      <c r="C440" s="1" t="n">
        <v>46001</v>
      </c>
      <c r="D440" t="inlineStr">
        <is>
          <t>ÖREBRO LÄN</t>
        </is>
      </c>
      <c r="E440" t="inlineStr">
        <is>
          <t>LINDESBERG</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34003-2025</t>
        </is>
      </c>
      <c r="B441" s="1" t="n">
        <v>45844.57527777777</v>
      </c>
      <c r="C441" s="1" t="n">
        <v>46001</v>
      </c>
      <c r="D441" t="inlineStr">
        <is>
          <t>ÖREBRO LÄN</t>
        </is>
      </c>
      <c r="E441" t="inlineStr">
        <is>
          <t>LINDESBERG</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55255-2025</t>
        </is>
      </c>
      <c r="B442" s="1" t="n">
        <v>45968.63695601852</v>
      </c>
      <c r="C442" s="1" t="n">
        <v>46001</v>
      </c>
      <c r="D442" t="inlineStr">
        <is>
          <t>ÖREBRO LÄN</t>
        </is>
      </c>
      <c r="E442" t="inlineStr">
        <is>
          <t>LINDESBERG</t>
        </is>
      </c>
      <c r="F442" t="inlineStr">
        <is>
          <t>Kyrkan</t>
        </is>
      </c>
      <c r="G442" t="n">
        <v>1</v>
      </c>
      <c r="H442" t="n">
        <v>0</v>
      </c>
      <c r="I442" t="n">
        <v>0</v>
      </c>
      <c r="J442" t="n">
        <v>0</v>
      </c>
      <c r="K442" t="n">
        <v>0</v>
      </c>
      <c r="L442" t="n">
        <v>0</v>
      </c>
      <c r="M442" t="n">
        <v>0</v>
      </c>
      <c r="N442" t="n">
        <v>0</v>
      </c>
      <c r="O442" t="n">
        <v>0</v>
      </c>
      <c r="P442" t="n">
        <v>0</v>
      </c>
      <c r="Q442" t="n">
        <v>0</v>
      </c>
      <c r="R442" s="2" t="inlineStr"/>
    </row>
    <row r="443" ht="15" customHeight="1">
      <c r="A443" t="inlineStr">
        <is>
          <t>A 34097-2025</t>
        </is>
      </c>
      <c r="B443" s="1" t="n">
        <v>45845.4855787037</v>
      </c>
      <c r="C443" s="1" t="n">
        <v>46001</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55065-2025</t>
        </is>
      </c>
      <c r="B444" s="1" t="n">
        <v>45967.7096875</v>
      </c>
      <c r="C444" s="1" t="n">
        <v>46001</v>
      </c>
      <c r="D444" t="inlineStr">
        <is>
          <t>ÖREBRO LÄN</t>
        </is>
      </c>
      <c r="E444" t="inlineStr">
        <is>
          <t>LINDESBERG</t>
        </is>
      </c>
      <c r="G444" t="n">
        <v>3.5</v>
      </c>
      <c r="H444" t="n">
        <v>0</v>
      </c>
      <c r="I444" t="n">
        <v>0</v>
      </c>
      <c r="J444" t="n">
        <v>0</v>
      </c>
      <c r="K444" t="n">
        <v>0</v>
      </c>
      <c r="L444" t="n">
        <v>0</v>
      </c>
      <c r="M444" t="n">
        <v>0</v>
      </c>
      <c r="N444" t="n">
        <v>0</v>
      </c>
      <c r="O444" t="n">
        <v>0</v>
      </c>
      <c r="P444" t="n">
        <v>0</v>
      </c>
      <c r="Q444" t="n">
        <v>0</v>
      </c>
      <c r="R444" s="2" t="inlineStr"/>
    </row>
    <row r="445" ht="15" customHeight="1">
      <c r="A445" t="inlineStr">
        <is>
          <t>A 34104-2025</t>
        </is>
      </c>
      <c r="B445" s="1" t="n">
        <v>45845.49216435185</v>
      </c>
      <c r="C445" s="1" t="n">
        <v>46001</v>
      </c>
      <c r="D445" t="inlineStr">
        <is>
          <t>ÖREBRO LÄN</t>
        </is>
      </c>
      <c r="E445" t="inlineStr">
        <is>
          <t>LINDESBERG</t>
        </is>
      </c>
      <c r="G445" t="n">
        <v>1</v>
      </c>
      <c r="H445" t="n">
        <v>0</v>
      </c>
      <c r="I445" t="n">
        <v>0</v>
      </c>
      <c r="J445" t="n">
        <v>0</v>
      </c>
      <c r="K445" t="n">
        <v>0</v>
      </c>
      <c r="L445" t="n">
        <v>0</v>
      </c>
      <c r="M445" t="n">
        <v>0</v>
      </c>
      <c r="N445" t="n">
        <v>0</v>
      </c>
      <c r="O445" t="n">
        <v>0</v>
      </c>
      <c r="P445" t="n">
        <v>0</v>
      </c>
      <c r="Q445" t="n">
        <v>0</v>
      </c>
      <c r="R445" s="2" t="inlineStr"/>
    </row>
    <row r="446" ht="15" customHeight="1">
      <c r="A446" t="inlineStr">
        <is>
          <t>A 34004-2025</t>
        </is>
      </c>
      <c r="B446" s="1" t="n">
        <v>45844.5775</v>
      </c>
      <c r="C446" s="1" t="n">
        <v>46001</v>
      </c>
      <c r="D446" t="inlineStr">
        <is>
          <t>ÖREBRO LÄN</t>
        </is>
      </c>
      <c r="E446" t="inlineStr">
        <is>
          <t>LINDESBERG</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55490-2025</t>
        </is>
      </c>
      <c r="B447" s="1" t="n">
        <v>45971.57659722222</v>
      </c>
      <c r="C447" s="1" t="n">
        <v>46001</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27051-2023</t>
        </is>
      </c>
      <c r="B448" s="1" t="n">
        <v>45095</v>
      </c>
      <c r="C448" s="1" t="n">
        <v>46001</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27052-2023</t>
        </is>
      </c>
      <c r="B449" s="1" t="n">
        <v>45095</v>
      </c>
      <c r="C449" s="1" t="n">
        <v>46001</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34267-2025</t>
        </is>
      </c>
      <c r="B450" s="1" t="n">
        <v>45845.76005787037</v>
      </c>
      <c r="C450" s="1" t="n">
        <v>46001</v>
      </c>
      <c r="D450" t="inlineStr">
        <is>
          <t>ÖREBRO LÄN</t>
        </is>
      </c>
      <c r="E450" t="inlineStr">
        <is>
          <t>LINDESBERG</t>
        </is>
      </c>
      <c r="G450" t="n">
        <v>4.6</v>
      </c>
      <c r="H450" t="n">
        <v>0</v>
      </c>
      <c r="I450" t="n">
        <v>0</v>
      </c>
      <c r="J450" t="n">
        <v>0</v>
      </c>
      <c r="K450" t="n">
        <v>0</v>
      </c>
      <c r="L450" t="n">
        <v>0</v>
      </c>
      <c r="M450" t="n">
        <v>0</v>
      </c>
      <c r="N450" t="n">
        <v>0</v>
      </c>
      <c r="O450" t="n">
        <v>0</v>
      </c>
      <c r="P450" t="n">
        <v>0</v>
      </c>
      <c r="Q450" t="n">
        <v>0</v>
      </c>
      <c r="R450" s="2" t="inlineStr"/>
    </row>
    <row r="451" ht="15" customHeight="1">
      <c r="A451" t="inlineStr">
        <is>
          <t>A 58710-2023</t>
        </is>
      </c>
      <c r="B451" s="1" t="n">
        <v>45251.696875</v>
      </c>
      <c r="C451" s="1" t="n">
        <v>46001</v>
      </c>
      <c r="D451" t="inlineStr">
        <is>
          <t>ÖREBRO LÄN</t>
        </is>
      </c>
      <c r="E451" t="inlineStr">
        <is>
          <t>LINDESBERG</t>
        </is>
      </c>
      <c r="G451" t="n">
        <v>6.3</v>
      </c>
      <c r="H451" t="n">
        <v>0</v>
      </c>
      <c r="I451" t="n">
        <v>0</v>
      </c>
      <c r="J451" t="n">
        <v>0</v>
      </c>
      <c r="K451" t="n">
        <v>0</v>
      </c>
      <c r="L451" t="n">
        <v>0</v>
      </c>
      <c r="M451" t="n">
        <v>0</v>
      </c>
      <c r="N451" t="n">
        <v>0</v>
      </c>
      <c r="O451" t="n">
        <v>0</v>
      </c>
      <c r="P451" t="n">
        <v>0</v>
      </c>
      <c r="Q451" t="n">
        <v>0</v>
      </c>
      <c r="R451" s="2" t="inlineStr"/>
    </row>
    <row r="452" ht="15" customHeight="1">
      <c r="A452" t="inlineStr">
        <is>
          <t>A 34002-2025</t>
        </is>
      </c>
      <c r="B452" s="1" t="n">
        <v>45844.57328703703</v>
      </c>
      <c r="C452" s="1" t="n">
        <v>46001</v>
      </c>
      <c r="D452" t="inlineStr">
        <is>
          <t>ÖREBRO LÄN</t>
        </is>
      </c>
      <c r="E452" t="inlineStr">
        <is>
          <t>LINDESBERG</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5772-2023</t>
        </is>
      </c>
      <c r="B453" s="1" t="n">
        <v>44963.37709490741</v>
      </c>
      <c r="C453" s="1" t="n">
        <v>46001</v>
      </c>
      <c r="D453" t="inlineStr">
        <is>
          <t>ÖREBRO LÄN</t>
        </is>
      </c>
      <c r="E453" t="inlineStr">
        <is>
          <t>LINDESBERG</t>
        </is>
      </c>
      <c r="G453" t="n">
        <v>3</v>
      </c>
      <c r="H453" t="n">
        <v>0</v>
      </c>
      <c r="I453" t="n">
        <v>0</v>
      </c>
      <c r="J453" t="n">
        <v>0</v>
      </c>
      <c r="K453" t="n">
        <v>0</v>
      </c>
      <c r="L453" t="n">
        <v>0</v>
      </c>
      <c r="M453" t="n">
        <v>0</v>
      </c>
      <c r="N453" t="n">
        <v>0</v>
      </c>
      <c r="O453" t="n">
        <v>0</v>
      </c>
      <c r="P453" t="n">
        <v>0</v>
      </c>
      <c r="Q453" t="n">
        <v>0</v>
      </c>
      <c r="R453" s="2" t="inlineStr"/>
    </row>
    <row r="454" ht="15" customHeight="1">
      <c r="A454" t="inlineStr">
        <is>
          <t>A 55477-2025</t>
        </is>
      </c>
      <c r="B454" s="1" t="n">
        <v>45971.56197916667</v>
      </c>
      <c r="C454" s="1" t="n">
        <v>46001</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20210-2024</t>
        </is>
      </c>
      <c r="B455" s="1" t="n">
        <v>45434.65854166666</v>
      </c>
      <c r="C455" s="1" t="n">
        <v>46001</v>
      </c>
      <c r="D455" t="inlineStr">
        <is>
          <t>ÖREBRO LÄN</t>
        </is>
      </c>
      <c r="E455" t="inlineStr">
        <is>
          <t>LINDESBERG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5677-2025</t>
        </is>
      </c>
      <c r="B456" s="1" t="n">
        <v>45694</v>
      </c>
      <c r="C456" s="1" t="n">
        <v>46001</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24916-2022</t>
        </is>
      </c>
      <c r="B457" s="1" t="n">
        <v>44728</v>
      </c>
      <c r="C457" s="1" t="n">
        <v>46001</v>
      </c>
      <c r="D457" t="inlineStr">
        <is>
          <t>ÖREBRO LÄN</t>
        </is>
      </c>
      <c r="E457" t="inlineStr">
        <is>
          <t>LINDESBERG</t>
        </is>
      </c>
      <c r="G457" t="n">
        <v>8.1</v>
      </c>
      <c r="H457" t="n">
        <v>0</v>
      </c>
      <c r="I457" t="n">
        <v>0</v>
      </c>
      <c r="J457" t="n">
        <v>0</v>
      </c>
      <c r="K457" t="n">
        <v>0</v>
      </c>
      <c r="L457" t="n">
        <v>0</v>
      </c>
      <c r="M457" t="n">
        <v>0</v>
      </c>
      <c r="N457" t="n">
        <v>0</v>
      </c>
      <c r="O457" t="n">
        <v>0</v>
      </c>
      <c r="P457" t="n">
        <v>0</v>
      </c>
      <c r="Q457" t="n">
        <v>0</v>
      </c>
      <c r="R457" s="2" t="inlineStr"/>
    </row>
    <row r="458" ht="15" customHeight="1">
      <c r="A458" t="inlineStr">
        <is>
          <t>A 26340-2022</t>
        </is>
      </c>
      <c r="B458" s="1" t="n">
        <v>44735.62539351852</v>
      </c>
      <c r="C458" s="1" t="n">
        <v>46001</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23536-2023</t>
        </is>
      </c>
      <c r="B459" s="1" t="n">
        <v>45077</v>
      </c>
      <c r="C459" s="1" t="n">
        <v>46001</v>
      </c>
      <c r="D459" t="inlineStr">
        <is>
          <t>ÖREBRO LÄN</t>
        </is>
      </c>
      <c r="E459" t="inlineStr">
        <is>
          <t>LINDESBERG</t>
        </is>
      </c>
      <c r="F459" t="inlineStr">
        <is>
          <t>Kyrkan</t>
        </is>
      </c>
      <c r="G459" t="n">
        <v>0.5</v>
      </c>
      <c r="H459" t="n">
        <v>0</v>
      </c>
      <c r="I459" t="n">
        <v>0</v>
      </c>
      <c r="J459" t="n">
        <v>0</v>
      </c>
      <c r="K459" t="n">
        <v>0</v>
      </c>
      <c r="L459" t="n">
        <v>0</v>
      </c>
      <c r="M459" t="n">
        <v>0</v>
      </c>
      <c r="N459" t="n">
        <v>0</v>
      </c>
      <c r="O459" t="n">
        <v>0</v>
      </c>
      <c r="P459" t="n">
        <v>0</v>
      </c>
      <c r="Q459" t="n">
        <v>0</v>
      </c>
      <c r="R459" s="2" t="inlineStr"/>
    </row>
    <row r="460" ht="15" customHeight="1">
      <c r="A460" t="inlineStr">
        <is>
          <t>A 1681-2025</t>
        </is>
      </c>
      <c r="B460" s="1" t="n">
        <v>45670.69458333333</v>
      </c>
      <c r="C460" s="1" t="n">
        <v>46001</v>
      </c>
      <c r="D460" t="inlineStr">
        <is>
          <t>ÖREBRO LÄN</t>
        </is>
      </c>
      <c r="E460" t="inlineStr">
        <is>
          <t>LINDESBERG</t>
        </is>
      </c>
      <c r="G460" t="n">
        <v>1.9</v>
      </c>
      <c r="H460" t="n">
        <v>0</v>
      </c>
      <c r="I460" t="n">
        <v>0</v>
      </c>
      <c r="J460" t="n">
        <v>0</v>
      </c>
      <c r="K460" t="n">
        <v>0</v>
      </c>
      <c r="L460" t="n">
        <v>0</v>
      </c>
      <c r="M460" t="n">
        <v>0</v>
      </c>
      <c r="N460" t="n">
        <v>0</v>
      </c>
      <c r="O460" t="n">
        <v>0</v>
      </c>
      <c r="P460" t="n">
        <v>0</v>
      </c>
      <c r="Q460" t="n">
        <v>0</v>
      </c>
      <c r="R460" s="2" t="inlineStr"/>
    </row>
    <row r="461" ht="15" customHeight="1">
      <c r="A461" t="inlineStr">
        <is>
          <t>A 61969-2023</t>
        </is>
      </c>
      <c r="B461" s="1" t="n">
        <v>45266.58394675926</v>
      </c>
      <c r="C461" s="1" t="n">
        <v>46001</v>
      </c>
      <c r="D461" t="inlineStr">
        <is>
          <t>ÖREBRO LÄN</t>
        </is>
      </c>
      <c r="E461" t="inlineStr">
        <is>
          <t>LINDESBERG</t>
        </is>
      </c>
      <c r="G461" t="n">
        <v>10.5</v>
      </c>
      <c r="H461" t="n">
        <v>0</v>
      </c>
      <c r="I461" t="n">
        <v>0</v>
      </c>
      <c r="J461" t="n">
        <v>0</v>
      </c>
      <c r="K461" t="n">
        <v>0</v>
      </c>
      <c r="L461" t="n">
        <v>0</v>
      </c>
      <c r="M461" t="n">
        <v>0</v>
      </c>
      <c r="N461" t="n">
        <v>0</v>
      </c>
      <c r="O461" t="n">
        <v>0</v>
      </c>
      <c r="P461" t="n">
        <v>0</v>
      </c>
      <c r="Q461" t="n">
        <v>0</v>
      </c>
      <c r="R461" s="2" t="inlineStr"/>
    </row>
    <row r="462" ht="15" customHeight="1">
      <c r="A462" t="inlineStr">
        <is>
          <t>A 6962-2023</t>
        </is>
      </c>
      <c r="B462" s="1" t="n">
        <v>44967.60165509259</v>
      </c>
      <c r="C462" s="1" t="n">
        <v>46001</v>
      </c>
      <c r="D462" t="inlineStr">
        <is>
          <t>ÖREBRO LÄN</t>
        </is>
      </c>
      <c r="E462" t="inlineStr">
        <is>
          <t>LINDESBERG</t>
        </is>
      </c>
      <c r="G462" t="n">
        <v>11.4</v>
      </c>
      <c r="H462" t="n">
        <v>0</v>
      </c>
      <c r="I462" t="n">
        <v>0</v>
      </c>
      <c r="J462" t="n">
        <v>0</v>
      </c>
      <c r="K462" t="n">
        <v>0</v>
      </c>
      <c r="L462" t="n">
        <v>0</v>
      </c>
      <c r="M462" t="n">
        <v>0</v>
      </c>
      <c r="N462" t="n">
        <v>0</v>
      </c>
      <c r="O462" t="n">
        <v>0</v>
      </c>
      <c r="P462" t="n">
        <v>0</v>
      </c>
      <c r="Q462" t="n">
        <v>0</v>
      </c>
      <c r="R462" s="2" t="inlineStr"/>
    </row>
    <row r="463" ht="15" customHeight="1">
      <c r="A463" t="inlineStr">
        <is>
          <t>A 36670-2024</t>
        </is>
      </c>
      <c r="B463" s="1" t="n">
        <v>45537.64621527777</v>
      </c>
      <c r="C463" s="1" t="n">
        <v>46001</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35292-2025</t>
        </is>
      </c>
      <c r="B464" s="1" t="n">
        <v>45854</v>
      </c>
      <c r="C464" s="1" t="n">
        <v>46001</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56306-2025</t>
        </is>
      </c>
      <c r="B465" s="1" t="n">
        <v>45974.61217592593</v>
      </c>
      <c r="C465" s="1" t="n">
        <v>46001</v>
      </c>
      <c r="D465" t="inlineStr">
        <is>
          <t>ÖREBRO LÄN</t>
        </is>
      </c>
      <c r="E465" t="inlineStr">
        <is>
          <t>LINDESBERG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12562-2021</t>
        </is>
      </c>
      <c r="B466" s="1" t="n">
        <v>44267</v>
      </c>
      <c r="C466" s="1" t="n">
        <v>46001</v>
      </c>
      <c r="D466" t="inlineStr">
        <is>
          <t>ÖREBRO LÄN</t>
        </is>
      </c>
      <c r="E466" t="inlineStr">
        <is>
          <t>LINDESBERG</t>
        </is>
      </c>
      <c r="G466" t="n">
        <v>30.1</v>
      </c>
      <c r="H466" t="n">
        <v>0</v>
      </c>
      <c r="I466" t="n">
        <v>0</v>
      </c>
      <c r="J466" t="n">
        <v>0</v>
      </c>
      <c r="K466" t="n">
        <v>0</v>
      </c>
      <c r="L466" t="n">
        <v>0</v>
      </c>
      <c r="M466" t="n">
        <v>0</v>
      </c>
      <c r="N466" t="n">
        <v>0</v>
      </c>
      <c r="O466" t="n">
        <v>0</v>
      </c>
      <c r="P466" t="n">
        <v>0</v>
      </c>
      <c r="Q466" t="n">
        <v>0</v>
      </c>
      <c r="R466" s="2" t="inlineStr"/>
    </row>
    <row r="467" ht="15" customHeight="1">
      <c r="A467" t="inlineStr">
        <is>
          <t>A 7180-2023</t>
        </is>
      </c>
      <c r="B467" s="1" t="n">
        <v>44970.51849537037</v>
      </c>
      <c r="C467" s="1" t="n">
        <v>46001</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35366-2025</t>
        </is>
      </c>
      <c r="B468" s="1" t="n">
        <v>45854</v>
      </c>
      <c r="C468" s="1" t="n">
        <v>46001</v>
      </c>
      <c r="D468" t="inlineStr">
        <is>
          <t>ÖREBRO LÄN</t>
        </is>
      </c>
      <c r="E468" t="inlineStr">
        <is>
          <t>LINDESBERG</t>
        </is>
      </c>
      <c r="G468" t="n">
        <v>5.5</v>
      </c>
      <c r="H468" t="n">
        <v>0</v>
      </c>
      <c r="I468" t="n">
        <v>0</v>
      </c>
      <c r="J468" t="n">
        <v>0</v>
      </c>
      <c r="K468" t="n">
        <v>0</v>
      </c>
      <c r="L468" t="n">
        <v>0</v>
      </c>
      <c r="M468" t="n">
        <v>0</v>
      </c>
      <c r="N468" t="n">
        <v>0</v>
      </c>
      <c r="O468" t="n">
        <v>0</v>
      </c>
      <c r="P468" t="n">
        <v>0</v>
      </c>
      <c r="Q468" t="n">
        <v>0</v>
      </c>
      <c r="R468" s="2" t="inlineStr"/>
    </row>
    <row r="469" ht="15" customHeight="1">
      <c r="A469" t="inlineStr">
        <is>
          <t>A 56308-2025</t>
        </is>
      </c>
      <c r="B469" s="1" t="n">
        <v>45974.61344907407</v>
      </c>
      <c r="C469" s="1" t="n">
        <v>46001</v>
      </c>
      <c r="D469" t="inlineStr">
        <is>
          <t>ÖREBRO LÄN</t>
        </is>
      </c>
      <c r="E469" t="inlineStr">
        <is>
          <t>LINDESBERG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7661-2024</t>
        </is>
      </c>
      <c r="B470" s="1" t="n">
        <v>45348</v>
      </c>
      <c r="C470" s="1" t="n">
        <v>46001</v>
      </c>
      <c r="D470" t="inlineStr">
        <is>
          <t>ÖREBRO LÄN</t>
        </is>
      </c>
      <c r="E470" t="inlineStr">
        <is>
          <t>LINDESBERG</t>
        </is>
      </c>
      <c r="G470" t="n">
        <v>4.1</v>
      </c>
      <c r="H470" t="n">
        <v>0</v>
      </c>
      <c r="I470" t="n">
        <v>0</v>
      </c>
      <c r="J470" t="n">
        <v>0</v>
      </c>
      <c r="K470" t="n">
        <v>0</v>
      </c>
      <c r="L470" t="n">
        <v>0</v>
      </c>
      <c r="M470" t="n">
        <v>0</v>
      </c>
      <c r="N470" t="n">
        <v>0</v>
      </c>
      <c r="O470" t="n">
        <v>0</v>
      </c>
      <c r="P470" t="n">
        <v>0</v>
      </c>
      <c r="Q470" t="n">
        <v>0</v>
      </c>
      <c r="R470" s="2" t="inlineStr"/>
    </row>
    <row r="471" ht="15" customHeight="1">
      <c r="A471" t="inlineStr">
        <is>
          <t>A 56232-2025</t>
        </is>
      </c>
      <c r="B471" s="1" t="n">
        <v>45974.53239583333</v>
      </c>
      <c r="C471" s="1" t="n">
        <v>46001</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28031-2023</t>
        </is>
      </c>
      <c r="B472" s="1" t="n">
        <v>45099.27354166667</v>
      </c>
      <c r="C472" s="1" t="n">
        <v>46001</v>
      </c>
      <c r="D472" t="inlineStr">
        <is>
          <t>ÖREBRO LÄN</t>
        </is>
      </c>
      <c r="E472" t="inlineStr">
        <is>
          <t>LINDESBERG</t>
        </is>
      </c>
      <c r="F472" t="inlineStr">
        <is>
          <t>Kyrkan</t>
        </is>
      </c>
      <c r="G472" t="n">
        <v>1.2</v>
      </c>
      <c r="H472" t="n">
        <v>0</v>
      </c>
      <c r="I472" t="n">
        <v>0</v>
      </c>
      <c r="J472" t="n">
        <v>0</v>
      </c>
      <c r="K472" t="n">
        <v>0</v>
      </c>
      <c r="L472" t="n">
        <v>0</v>
      </c>
      <c r="M472" t="n">
        <v>0</v>
      </c>
      <c r="N472" t="n">
        <v>0</v>
      </c>
      <c r="O472" t="n">
        <v>0</v>
      </c>
      <c r="P472" t="n">
        <v>0</v>
      </c>
      <c r="Q472" t="n">
        <v>0</v>
      </c>
      <c r="R472" s="2" t="inlineStr"/>
    </row>
    <row r="473" ht="15" customHeight="1">
      <c r="A473" t="inlineStr">
        <is>
          <t>A 35702-2025</t>
        </is>
      </c>
      <c r="B473" s="1" t="n">
        <v>45860.36222222223</v>
      </c>
      <c r="C473" s="1" t="n">
        <v>46001</v>
      </c>
      <c r="D473" t="inlineStr">
        <is>
          <t>ÖREBRO LÄN</t>
        </is>
      </c>
      <c r="E473" t="inlineStr">
        <is>
          <t>LINDESBERG</t>
        </is>
      </c>
      <c r="G473" t="n">
        <v>5.3</v>
      </c>
      <c r="H473" t="n">
        <v>0</v>
      </c>
      <c r="I473" t="n">
        <v>0</v>
      </c>
      <c r="J473" t="n">
        <v>0</v>
      </c>
      <c r="K473" t="n">
        <v>0</v>
      </c>
      <c r="L473" t="n">
        <v>0</v>
      </c>
      <c r="M473" t="n">
        <v>0</v>
      </c>
      <c r="N473" t="n">
        <v>0</v>
      </c>
      <c r="O473" t="n">
        <v>0</v>
      </c>
      <c r="P473" t="n">
        <v>0</v>
      </c>
      <c r="Q473" t="n">
        <v>0</v>
      </c>
      <c r="R473" s="2" t="inlineStr"/>
    </row>
    <row r="474" ht="15" customHeight="1">
      <c r="A474" t="inlineStr">
        <is>
          <t>A 35710-2025</t>
        </is>
      </c>
      <c r="B474" s="1" t="n">
        <v>45860.3857175926</v>
      </c>
      <c r="C474" s="1" t="n">
        <v>46001</v>
      </c>
      <c r="D474" t="inlineStr">
        <is>
          <t>ÖREBRO LÄN</t>
        </is>
      </c>
      <c r="E474" t="inlineStr">
        <is>
          <t>LINDESBERG</t>
        </is>
      </c>
      <c r="G474" t="n">
        <v>3.2</v>
      </c>
      <c r="H474" t="n">
        <v>0</v>
      </c>
      <c r="I474" t="n">
        <v>0</v>
      </c>
      <c r="J474" t="n">
        <v>0</v>
      </c>
      <c r="K474" t="n">
        <v>0</v>
      </c>
      <c r="L474" t="n">
        <v>0</v>
      </c>
      <c r="M474" t="n">
        <v>0</v>
      </c>
      <c r="N474" t="n">
        <v>0</v>
      </c>
      <c r="O474" t="n">
        <v>0</v>
      </c>
      <c r="P474" t="n">
        <v>0</v>
      </c>
      <c r="Q474" t="n">
        <v>0</v>
      </c>
      <c r="R474" s="2" t="inlineStr"/>
    </row>
    <row r="475" ht="15" customHeight="1">
      <c r="A475" t="inlineStr">
        <is>
          <t>A 46039-2024</t>
        </is>
      </c>
      <c r="B475" s="1" t="n">
        <v>45580.73525462963</v>
      </c>
      <c r="C475" s="1" t="n">
        <v>46001</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48061-2025</t>
        </is>
      </c>
      <c r="B476" s="1" t="n">
        <v>45932.68006944445</v>
      </c>
      <c r="C476" s="1" t="n">
        <v>46001</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47678-2025</t>
        </is>
      </c>
      <c r="B477" s="1" t="n">
        <v>45931.57967592592</v>
      </c>
      <c r="C477" s="1" t="n">
        <v>46001</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47304-2024</t>
        </is>
      </c>
      <c r="B478" s="1" t="n">
        <v>45587</v>
      </c>
      <c r="C478" s="1" t="n">
        <v>46001</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56226-2025</t>
        </is>
      </c>
      <c r="B479" s="1" t="n">
        <v>45974.51283564815</v>
      </c>
      <c r="C479" s="1" t="n">
        <v>46001</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58741-2024</t>
        </is>
      </c>
      <c r="B480" s="1" t="n">
        <v>45635.69581018519</v>
      </c>
      <c r="C480" s="1" t="n">
        <v>46001</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3994-2023</t>
        </is>
      </c>
      <c r="B481" s="1" t="n">
        <v>44950</v>
      </c>
      <c r="C481" s="1" t="n">
        <v>46001</v>
      </c>
      <c r="D481" t="inlineStr">
        <is>
          <t>ÖREBRO LÄN</t>
        </is>
      </c>
      <c r="E481" t="inlineStr">
        <is>
          <t>LINDESBERG</t>
        </is>
      </c>
      <c r="G481" t="n">
        <v>4.8</v>
      </c>
      <c r="H481" t="n">
        <v>0</v>
      </c>
      <c r="I481" t="n">
        <v>0</v>
      </c>
      <c r="J481" t="n">
        <v>0</v>
      </c>
      <c r="K481" t="n">
        <v>0</v>
      </c>
      <c r="L481" t="n">
        <v>0</v>
      </c>
      <c r="M481" t="n">
        <v>0</v>
      </c>
      <c r="N481" t="n">
        <v>0</v>
      </c>
      <c r="O481" t="n">
        <v>0</v>
      </c>
      <c r="P481" t="n">
        <v>0</v>
      </c>
      <c r="Q481" t="n">
        <v>0</v>
      </c>
      <c r="R481" s="2" t="inlineStr"/>
    </row>
    <row r="482" ht="15" customHeight="1">
      <c r="A482" t="inlineStr">
        <is>
          <t>A 47676-2025</t>
        </is>
      </c>
      <c r="B482" s="1" t="n">
        <v>45931.57756944445</v>
      </c>
      <c r="C482" s="1" t="n">
        <v>46001</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49094-2024</t>
        </is>
      </c>
      <c r="B483" s="1" t="n">
        <v>45594.63747685185</v>
      </c>
      <c r="C483" s="1" t="n">
        <v>46001</v>
      </c>
      <c r="D483" t="inlineStr">
        <is>
          <t>ÖREBRO LÄN</t>
        </is>
      </c>
      <c r="E483" t="inlineStr">
        <is>
          <t>LINDESBERG</t>
        </is>
      </c>
      <c r="G483" t="n">
        <v>3.8</v>
      </c>
      <c r="H483" t="n">
        <v>0</v>
      </c>
      <c r="I483" t="n">
        <v>0</v>
      </c>
      <c r="J483" t="n">
        <v>0</v>
      </c>
      <c r="K483" t="n">
        <v>0</v>
      </c>
      <c r="L483" t="n">
        <v>0</v>
      </c>
      <c r="M483" t="n">
        <v>0</v>
      </c>
      <c r="N483" t="n">
        <v>0</v>
      </c>
      <c r="O483" t="n">
        <v>0</v>
      </c>
      <c r="P483" t="n">
        <v>0</v>
      </c>
      <c r="Q483" t="n">
        <v>0</v>
      </c>
      <c r="R483" s="2" t="inlineStr"/>
    </row>
    <row r="484" ht="15" customHeight="1">
      <c r="A484" t="inlineStr">
        <is>
          <t>A 48489-2025</t>
        </is>
      </c>
      <c r="B484" s="1" t="n">
        <v>45936.36637731481</v>
      </c>
      <c r="C484" s="1" t="n">
        <v>46001</v>
      </c>
      <c r="D484" t="inlineStr">
        <is>
          <t>ÖREBRO LÄN</t>
        </is>
      </c>
      <c r="E484" t="inlineStr">
        <is>
          <t>LINDESBERG</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56907-2024</t>
        </is>
      </c>
      <c r="B485" s="1" t="n">
        <v>45628.58975694444</v>
      </c>
      <c r="C485" s="1" t="n">
        <v>46001</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7201-2024</t>
        </is>
      </c>
      <c r="B486" s="1" t="n">
        <v>45344.6027662037</v>
      </c>
      <c r="C486" s="1" t="n">
        <v>46001</v>
      </c>
      <c r="D486" t="inlineStr">
        <is>
          <t>ÖREBRO LÄN</t>
        </is>
      </c>
      <c r="E486" t="inlineStr">
        <is>
          <t>LINDESBERG</t>
        </is>
      </c>
      <c r="G486" t="n">
        <v>4.7</v>
      </c>
      <c r="H486" t="n">
        <v>0</v>
      </c>
      <c r="I486" t="n">
        <v>0</v>
      </c>
      <c r="J486" t="n">
        <v>0</v>
      </c>
      <c r="K486" t="n">
        <v>0</v>
      </c>
      <c r="L486" t="n">
        <v>0</v>
      </c>
      <c r="M486" t="n">
        <v>0</v>
      </c>
      <c r="N486" t="n">
        <v>0</v>
      </c>
      <c r="O486" t="n">
        <v>0</v>
      </c>
      <c r="P486" t="n">
        <v>0</v>
      </c>
      <c r="Q486" t="n">
        <v>0</v>
      </c>
      <c r="R486" s="2" t="inlineStr"/>
    </row>
    <row r="487" ht="15" customHeight="1">
      <c r="A487" t="inlineStr">
        <is>
          <t>A 45173-2024</t>
        </is>
      </c>
      <c r="B487" s="1" t="n">
        <v>45575.65721064815</v>
      </c>
      <c r="C487" s="1" t="n">
        <v>46001</v>
      </c>
      <c r="D487" t="inlineStr">
        <is>
          <t>ÖREBRO LÄN</t>
        </is>
      </c>
      <c r="E487" t="inlineStr">
        <is>
          <t>LINDESBERG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14190-2024</t>
        </is>
      </c>
      <c r="B488" s="1" t="n">
        <v>45393.36060185185</v>
      </c>
      <c r="C488" s="1" t="n">
        <v>46001</v>
      </c>
      <c r="D488" t="inlineStr">
        <is>
          <t>ÖREBRO LÄN</t>
        </is>
      </c>
      <c r="E488" t="inlineStr">
        <is>
          <t>LINDESBERG</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48750-2025</t>
        </is>
      </c>
      <c r="B489" s="1" t="n">
        <v>45936.68452546297</v>
      </c>
      <c r="C489" s="1" t="n">
        <v>46001</v>
      </c>
      <c r="D489" t="inlineStr">
        <is>
          <t>ÖREBRO LÄN</t>
        </is>
      </c>
      <c r="E489" t="inlineStr">
        <is>
          <t>LINDESBERG</t>
        </is>
      </c>
      <c r="G489" t="n">
        <v>2.1</v>
      </c>
      <c r="H489" t="n">
        <v>0</v>
      </c>
      <c r="I489" t="n">
        <v>0</v>
      </c>
      <c r="J489" t="n">
        <v>0</v>
      </c>
      <c r="K489" t="n">
        <v>0</v>
      </c>
      <c r="L489" t="n">
        <v>0</v>
      </c>
      <c r="M489" t="n">
        <v>0</v>
      </c>
      <c r="N489" t="n">
        <v>0</v>
      </c>
      <c r="O489" t="n">
        <v>0</v>
      </c>
      <c r="P489" t="n">
        <v>0</v>
      </c>
      <c r="Q489" t="n">
        <v>0</v>
      </c>
      <c r="R489" s="2" t="inlineStr"/>
    </row>
    <row r="490" ht="15" customHeight="1">
      <c r="A490" t="inlineStr">
        <is>
          <t>A 30514-2025</t>
        </is>
      </c>
      <c r="B490" s="1" t="n">
        <v>45831</v>
      </c>
      <c r="C490" s="1" t="n">
        <v>46001</v>
      </c>
      <c r="D490" t="inlineStr">
        <is>
          <t>ÖREBRO LÄN</t>
        </is>
      </c>
      <c r="E490" t="inlineStr">
        <is>
          <t>LINDESBERG</t>
        </is>
      </c>
      <c r="G490" t="n">
        <v>1.6</v>
      </c>
      <c r="H490" t="n">
        <v>0</v>
      </c>
      <c r="I490" t="n">
        <v>0</v>
      </c>
      <c r="J490" t="n">
        <v>0</v>
      </c>
      <c r="K490" t="n">
        <v>0</v>
      </c>
      <c r="L490" t="n">
        <v>0</v>
      </c>
      <c r="M490" t="n">
        <v>0</v>
      </c>
      <c r="N490" t="n">
        <v>0</v>
      </c>
      <c r="O490" t="n">
        <v>0</v>
      </c>
      <c r="P490" t="n">
        <v>0</v>
      </c>
      <c r="Q490" t="n">
        <v>0</v>
      </c>
      <c r="R490" s="2" t="inlineStr"/>
    </row>
    <row r="491" ht="15" customHeight="1">
      <c r="A491" t="inlineStr">
        <is>
          <t>A 48495-2025</t>
        </is>
      </c>
      <c r="B491" s="1" t="n">
        <v>45936.37237268518</v>
      </c>
      <c r="C491" s="1" t="n">
        <v>46001</v>
      </c>
      <c r="D491" t="inlineStr">
        <is>
          <t>ÖREBRO LÄN</t>
        </is>
      </c>
      <c r="E491" t="inlineStr">
        <is>
          <t>LINDESBERG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36253-2024</t>
        </is>
      </c>
      <c r="B492" s="1" t="n">
        <v>45534.54032407407</v>
      </c>
      <c r="C492" s="1" t="n">
        <v>46001</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30512-2025</t>
        </is>
      </c>
      <c r="B493" s="1" t="n">
        <v>45831</v>
      </c>
      <c r="C493" s="1" t="n">
        <v>46001</v>
      </c>
      <c r="D493" t="inlineStr">
        <is>
          <t>ÖREBRO LÄN</t>
        </is>
      </c>
      <c r="E493" t="inlineStr">
        <is>
          <t>LINDESBERG</t>
        </is>
      </c>
      <c r="G493" t="n">
        <v>4.5</v>
      </c>
      <c r="H493" t="n">
        <v>0</v>
      </c>
      <c r="I493" t="n">
        <v>0</v>
      </c>
      <c r="J493" t="n">
        <v>0</v>
      </c>
      <c r="K493" t="n">
        <v>0</v>
      </c>
      <c r="L493" t="n">
        <v>0</v>
      </c>
      <c r="M493" t="n">
        <v>0</v>
      </c>
      <c r="N493" t="n">
        <v>0</v>
      </c>
      <c r="O493" t="n">
        <v>0</v>
      </c>
      <c r="P493" t="n">
        <v>0</v>
      </c>
      <c r="Q493" t="n">
        <v>0</v>
      </c>
      <c r="R493" s="2" t="inlineStr"/>
    </row>
    <row r="494" ht="15" customHeight="1">
      <c r="A494" t="inlineStr">
        <is>
          <t>A 17087-2023</t>
        </is>
      </c>
      <c r="B494" s="1" t="n">
        <v>45034.5174537037</v>
      </c>
      <c r="C494" s="1" t="n">
        <v>46001</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36572-2025</t>
        </is>
      </c>
      <c r="B495" s="1" t="n">
        <v>45870</v>
      </c>
      <c r="C495" s="1" t="n">
        <v>46001</v>
      </c>
      <c r="D495" t="inlineStr">
        <is>
          <t>ÖREBRO LÄN</t>
        </is>
      </c>
      <c r="E495" t="inlineStr">
        <is>
          <t>LINDESBERG</t>
        </is>
      </c>
      <c r="G495" t="n">
        <v>11.9</v>
      </c>
      <c r="H495" t="n">
        <v>0</v>
      </c>
      <c r="I495" t="n">
        <v>0</v>
      </c>
      <c r="J495" t="n">
        <v>0</v>
      </c>
      <c r="K495" t="n">
        <v>0</v>
      </c>
      <c r="L495" t="n">
        <v>0</v>
      </c>
      <c r="M495" t="n">
        <v>0</v>
      </c>
      <c r="N495" t="n">
        <v>0</v>
      </c>
      <c r="O495" t="n">
        <v>0</v>
      </c>
      <c r="P495" t="n">
        <v>0</v>
      </c>
      <c r="Q495" t="n">
        <v>0</v>
      </c>
      <c r="R495" s="2" t="inlineStr"/>
    </row>
    <row r="496" ht="15" customHeight="1">
      <c r="A496" t="inlineStr">
        <is>
          <t>A 48618-2025</t>
        </is>
      </c>
      <c r="B496" s="1" t="n">
        <v>45936.49026620371</v>
      </c>
      <c r="C496" s="1" t="n">
        <v>46001</v>
      </c>
      <c r="D496" t="inlineStr">
        <is>
          <t>ÖREBRO LÄN</t>
        </is>
      </c>
      <c r="E496" t="inlineStr">
        <is>
          <t>LINDESBERG</t>
        </is>
      </c>
      <c r="F496" t="inlineStr">
        <is>
          <t>Sveaskog</t>
        </is>
      </c>
      <c r="G496" t="n">
        <v>4.2</v>
      </c>
      <c r="H496" t="n">
        <v>0</v>
      </c>
      <c r="I496" t="n">
        <v>0</v>
      </c>
      <c r="J496" t="n">
        <v>0</v>
      </c>
      <c r="K496" t="n">
        <v>0</v>
      </c>
      <c r="L496" t="n">
        <v>0</v>
      </c>
      <c r="M496" t="n">
        <v>0</v>
      </c>
      <c r="N496" t="n">
        <v>0</v>
      </c>
      <c r="O496" t="n">
        <v>0</v>
      </c>
      <c r="P496" t="n">
        <v>0</v>
      </c>
      <c r="Q496" t="n">
        <v>0</v>
      </c>
      <c r="R496" s="2" t="inlineStr"/>
    </row>
    <row r="497" ht="15" customHeight="1">
      <c r="A497" t="inlineStr">
        <is>
          <t>A 53189-2023</t>
        </is>
      </c>
      <c r="B497" s="1" t="n">
        <v>45194</v>
      </c>
      <c r="C497" s="1" t="n">
        <v>46001</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36577-2025</t>
        </is>
      </c>
      <c r="B498" s="1" t="n">
        <v>45870</v>
      </c>
      <c r="C498" s="1" t="n">
        <v>46001</v>
      </c>
      <c r="D498" t="inlineStr">
        <is>
          <t>ÖREBRO LÄN</t>
        </is>
      </c>
      <c r="E498" t="inlineStr">
        <is>
          <t>LINDESBERG</t>
        </is>
      </c>
      <c r="G498" t="n">
        <v>3.7</v>
      </c>
      <c r="H498" t="n">
        <v>0</v>
      </c>
      <c r="I498" t="n">
        <v>0</v>
      </c>
      <c r="J498" t="n">
        <v>0</v>
      </c>
      <c r="K498" t="n">
        <v>0</v>
      </c>
      <c r="L498" t="n">
        <v>0</v>
      </c>
      <c r="M498" t="n">
        <v>0</v>
      </c>
      <c r="N498" t="n">
        <v>0</v>
      </c>
      <c r="O498" t="n">
        <v>0</v>
      </c>
      <c r="P498" t="n">
        <v>0</v>
      </c>
      <c r="Q498" t="n">
        <v>0</v>
      </c>
      <c r="R498" s="2" t="inlineStr"/>
    </row>
    <row r="499" ht="15" customHeight="1">
      <c r="A499" t="inlineStr">
        <is>
          <t>A 6001-2021</t>
        </is>
      </c>
      <c r="B499" s="1" t="n">
        <v>44231</v>
      </c>
      <c r="C499" s="1" t="n">
        <v>46001</v>
      </c>
      <c r="D499" t="inlineStr">
        <is>
          <t>ÖREBRO LÄN</t>
        </is>
      </c>
      <c r="E499" t="inlineStr">
        <is>
          <t>LINDESBERG</t>
        </is>
      </c>
      <c r="G499" t="n">
        <v>0.7</v>
      </c>
      <c r="H499" t="n">
        <v>0</v>
      </c>
      <c r="I499" t="n">
        <v>0</v>
      </c>
      <c r="J499" t="n">
        <v>0</v>
      </c>
      <c r="K499" t="n">
        <v>0</v>
      </c>
      <c r="L499" t="n">
        <v>0</v>
      </c>
      <c r="M499" t="n">
        <v>0</v>
      </c>
      <c r="N499" t="n">
        <v>0</v>
      </c>
      <c r="O499" t="n">
        <v>0</v>
      </c>
      <c r="P499" t="n">
        <v>0</v>
      </c>
      <c r="Q499" t="n">
        <v>0</v>
      </c>
      <c r="R499" s="2" t="inlineStr"/>
    </row>
    <row r="500" ht="15" customHeight="1">
      <c r="A500" t="inlineStr">
        <is>
          <t>A 36574-2025</t>
        </is>
      </c>
      <c r="B500" s="1" t="n">
        <v>45870</v>
      </c>
      <c r="C500" s="1" t="n">
        <v>46001</v>
      </c>
      <c r="D500" t="inlineStr">
        <is>
          <t>ÖREBRO LÄN</t>
        </is>
      </c>
      <c r="E500" t="inlineStr">
        <is>
          <t>LINDESBERG</t>
        </is>
      </c>
      <c r="G500" t="n">
        <v>4</v>
      </c>
      <c r="H500" t="n">
        <v>0</v>
      </c>
      <c r="I500" t="n">
        <v>0</v>
      </c>
      <c r="J500" t="n">
        <v>0</v>
      </c>
      <c r="K500" t="n">
        <v>0</v>
      </c>
      <c r="L500" t="n">
        <v>0</v>
      </c>
      <c r="M500" t="n">
        <v>0</v>
      </c>
      <c r="N500" t="n">
        <v>0</v>
      </c>
      <c r="O500" t="n">
        <v>0</v>
      </c>
      <c r="P500" t="n">
        <v>0</v>
      </c>
      <c r="Q500" t="n">
        <v>0</v>
      </c>
      <c r="R500" s="2" t="inlineStr"/>
    </row>
    <row r="501" ht="15" customHeight="1">
      <c r="A501" t="inlineStr">
        <is>
          <t>A 48497-2025</t>
        </is>
      </c>
      <c r="B501" s="1" t="n">
        <v>45936.37523148148</v>
      </c>
      <c r="C501" s="1" t="n">
        <v>46001</v>
      </c>
      <c r="D501" t="inlineStr">
        <is>
          <t>ÖREBRO LÄN</t>
        </is>
      </c>
      <c r="E501" t="inlineStr">
        <is>
          <t>LINDESBERG</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36579-2025</t>
        </is>
      </c>
      <c r="B502" s="1" t="n">
        <v>45870</v>
      </c>
      <c r="C502" s="1" t="n">
        <v>46001</v>
      </c>
      <c r="D502" t="inlineStr">
        <is>
          <t>ÖREBRO LÄN</t>
        </is>
      </c>
      <c r="E502" t="inlineStr">
        <is>
          <t>LINDESBERG</t>
        </is>
      </c>
      <c r="G502" t="n">
        <v>6</v>
      </c>
      <c r="H502" t="n">
        <v>0</v>
      </c>
      <c r="I502" t="n">
        <v>0</v>
      </c>
      <c r="J502" t="n">
        <v>0</v>
      </c>
      <c r="K502" t="n">
        <v>0</v>
      </c>
      <c r="L502" t="n">
        <v>0</v>
      </c>
      <c r="M502" t="n">
        <v>0</v>
      </c>
      <c r="N502" t="n">
        <v>0</v>
      </c>
      <c r="O502" t="n">
        <v>0</v>
      </c>
      <c r="P502" t="n">
        <v>0</v>
      </c>
      <c r="Q502" t="n">
        <v>0</v>
      </c>
      <c r="R502" s="2" t="inlineStr"/>
    </row>
    <row r="503" ht="15" customHeight="1">
      <c r="A503" t="inlineStr">
        <is>
          <t>A 60926-2024</t>
        </is>
      </c>
      <c r="B503" s="1" t="n">
        <v>45645</v>
      </c>
      <c r="C503" s="1" t="n">
        <v>46001</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56982-2025</t>
        </is>
      </c>
      <c r="B504" s="1" t="n">
        <v>45978.71075231482</v>
      </c>
      <c r="C504" s="1" t="n">
        <v>46001</v>
      </c>
      <c r="D504" t="inlineStr">
        <is>
          <t>ÖREBRO LÄN</t>
        </is>
      </c>
      <c r="E504" t="inlineStr">
        <is>
          <t>LINDESBERG</t>
        </is>
      </c>
      <c r="G504" t="n">
        <v>4.3</v>
      </c>
      <c r="H504" t="n">
        <v>0</v>
      </c>
      <c r="I504" t="n">
        <v>0</v>
      </c>
      <c r="J504" t="n">
        <v>0</v>
      </c>
      <c r="K504" t="n">
        <v>0</v>
      </c>
      <c r="L504" t="n">
        <v>0</v>
      </c>
      <c r="M504" t="n">
        <v>0</v>
      </c>
      <c r="N504" t="n">
        <v>0</v>
      </c>
      <c r="O504" t="n">
        <v>0</v>
      </c>
      <c r="P504" t="n">
        <v>0</v>
      </c>
      <c r="Q504" t="n">
        <v>0</v>
      </c>
      <c r="R504" s="2" t="inlineStr"/>
    </row>
    <row r="505" ht="15" customHeight="1">
      <c r="A505" t="inlineStr">
        <is>
          <t>A 14231-2023</t>
        </is>
      </c>
      <c r="B505" s="1" t="n">
        <v>45009.64217592592</v>
      </c>
      <c r="C505" s="1" t="n">
        <v>46001</v>
      </c>
      <c r="D505" t="inlineStr">
        <is>
          <t>ÖREBRO LÄN</t>
        </is>
      </c>
      <c r="E505" t="inlineStr">
        <is>
          <t>LINDESBERG</t>
        </is>
      </c>
      <c r="G505" t="n">
        <v>4.3</v>
      </c>
      <c r="H505" t="n">
        <v>0</v>
      </c>
      <c r="I505" t="n">
        <v>0</v>
      </c>
      <c r="J505" t="n">
        <v>0</v>
      </c>
      <c r="K505" t="n">
        <v>0</v>
      </c>
      <c r="L505" t="n">
        <v>0</v>
      </c>
      <c r="M505" t="n">
        <v>0</v>
      </c>
      <c r="N505" t="n">
        <v>0</v>
      </c>
      <c r="O505" t="n">
        <v>0</v>
      </c>
      <c r="P505" t="n">
        <v>0</v>
      </c>
      <c r="Q505" t="n">
        <v>0</v>
      </c>
      <c r="R505" s="2" t="inlineStr"/>
    </row>
    <row r="506" ht="15" customHeight="1">
      <c r="A506" t="inlineStr">
        <is>
          <t>A 62608-2021</t>
        </is>
      </c>
      <c r="B506" s="1" t="n">
        <v>44503</v>
      </c>
      <c r="C506" s="1" t="n">
        <v>46001</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35140-2023</t>
        </is>
      </c>
      <c r="B507" s="1" t="n">
        <v>45145</v>
      </c>
      <c r="C507" s="1" t="n">
        <v>46001</v>
      </c>
      <c r="D507" t="inlineStr">
        <is>
          <t>ÖREBRO LÄN</t>
        </is>
      </c>
      <c r="E507" t="inlineStr">
        <is>
          <t>LINDESBERG</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48620-2025</t>
        </is>
      </c>
      <c r="B508" s="1" t="n">
        <v>45936.49210648148</v>
      </c>
      <c r="C508" s="1" t="n">
        <v>46001</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37616-2023</t>
        </is>
      </c>
      <c r="B509" s="1" t="n">
        <v>45159.44525462963</v>
      </c>
      <c r="C509" s="1" t="n">
        <v>46001</v>
      </c>
      <c r="D509" t="inlineStr">
        <is>
          <t>ÖREBRO LÄN</t>
        </is>
      </c>
      <c r="E509" t="inlineStr">
        <is>
          <t>LINDESBERG</t>
        </is>
      </c>
      <c r="G509" t="n">
        <v>5.3</v>
      </c>
      <c r="H509" t="n">
        <v>0</v>
      </c>
      <c r="I509" t="n">
        <v>0</v>
      </c>
      <c r="J509" t="n">
        <v>0</v>
      </c>
      <c r="K509" t="n">
        <v>0</v>
      </c>
      <c r="L509" t="n">
        <v>0</v>
      </c>
      <c r="M509" t="n">
        <v>0</v>
      </c>
      <c r="N509" t="n">
        <v>0</v>
      </c>
      <c r="O509" t="n">
        <v>0</v>
      </c>
      <c r="P509" t="n">
        <v>0</v>
      </c>
      <c r="Q509" t="n">
        <v>0</v>
      </c>
      <c r="R509" s="2" t="inlineStr"/>
    </row>
    <row r="510" ht="15" customHeight="1">
      <c r="A510" t="inlineStr">
        <is>
          <t>A 36859-2025</t>
        </is>
      </c>
      <c r="B510" s="1" t="n">
        <v>45874.40503472222</v>
      </c>
      <c r="C510" s="1" t="n">
        <v>46001</v>
      </c>
      <c r="D510" t="inlineStr">
        <is>
          <t>ÖREBRO LÄN</t>
        </is>
      </c>
      <c r="E510" t="inlineStr">
        <is>
          <t>LINDESBERG</t>
        </is>
      </c>
      <c r="F510" t="inlineStr">
        <is>
          <t>Övriga Aktiebolag</t>
        </is>
      </c>
      <c r="G510" t="n">
        <v>1.4</v>
      </c>
      <c r="H510" t="n">
        <v>0</v>
      </c>
      <c r="I510" t="n">
        <v>0</v>
      </c>
      <c r="J510" t="n">
        <v>0</v>
      </c>
      <c r="K510" t="n">
        <v>0</v>
      </c>
      <c r="L510" t="n">
        <v>0</v>
      </c>
      <c r="M510" t="n">
        <v>0</v>
      </c>
      <c r="N510" t="n">
        <v>0</v>
      </c>
      <c r="O510" t="n">
        <v>0</v>
      </c>
      <c r="P510" t="n">
        <v>0</v>
      </c>
      <c r="Q510" t="n">
        <v>0</v>
      </c>
      <c r="R510" s="2" t="inlineStr"/>
    </row>
    <row r="511" ht="15" customHeight="1">
      <c r="A511" t="inlineStr">
        <is>
          <t>A 57313-2025</t>
        </is>
      </c>
      <c r="B511" s="1" t="n">
        <v>45979.97458333334</v>
      </c>
      <c r="C511" s="1" t="n">
        <v>46001</v>
      </c>
      <c r="D511" t="inlineStr">
        <is>
          <t>ÖREBRO LÄN</t>
        </is>
      </c>
      <c r="E511" t="inlineStr">
        <is>
          <t>LINDESBERG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57314-2025</t>
        </is>
      </c>
      <c r="B512" s="1" t="n">
        <v>45980.00710648148</v>
      </c>
      <c r="C512" s="1" t="n">
        <v>46001</v>
      </c>
      <c r="D512" t="inlineStr">
        <is>
          <t>ÖREBRO LÄN</t>
        </is>
      </c>
      <c r="E512" t="inlineStr">
        <is>
          <t>LINDESBERG</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57317-2025</t>
        </is>
      </c>
      <c r="B513" s="1" t="n">
        <v>45980.01226851852</v>
      </c>
      <c r="C513" s="1" t="n">
        <v>46001</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48953-2025</t>
        </is>
      </c>
      <c r="B514" s="1" t="n">
        <v>45937.54697916667</v>
      </c>
      <c r="C514" s="1" t="n">
        <v>46001</v>
      </c>
      <c r="D514" t="inlineStr">
        <is>
          <t>ÖREBRO LÄN</t>
        </is>
      </c>
      <c r="E514" t="inlineStr">
        <is>
          <t>LINDESBERG</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48971-2025</t>
        </is>
      </c>
      <c r="B515" s="1" t="n">
        <v>45937.56420138889</v>
      </c>
      <c r="C515" s="1" t="n">
        <v>46001</v>
      </c>
      <c r="D515" t="inlineStr">
        <is>
          <t>ÖREBRO LÄN</t>
        </is>
      </c>
      <c r="E515" t="inlineStr">
        <is>
          <t>LINDESBERG</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48975-2025</t>
        </is>
      </c>
      <c r="B516" s="1" t="n">
        <v>45937.56798611111</v>
      </c>
      <c r="C516" s="1" t="n">
        <v>46001</v>
      </c>
      <c r="D516" t="inlineStr">
        <is>
          <t>ÖREBRO LÄN</t>
        </is>
      </c>
      <c r="E516" t="inlineStr">
        <is>
          <t>LINDESBERG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29938-2024</t>
        </is>
      </c>
      <c r="B517" s="1" t="n">
        <v>45488.41480324074</v>
      </c>
      <c r="C517" s="1" t="n">
        <v>46001</v>
      </c>
      <c r="D517" t="inlineStr">
        <is>
          <t>ÖREBRO LÄN</t>
        </is>
      </c>
      <c r="E517" t="inlineStr">
        <is>
          <t>LINDESBERG</t>
        </is>
      </c>
      <c r="G517" t="n">
        <v>4</v>
      </c>
      <c r="H517" t="n">
        <v>0</v>
      </c>
      <c r="I517" t="n">
        <v>0</v>
      </c>
      <c r="J517" t="n">
        <v>0</v>
      </c>
      <c r="K517" t="n">
        <v>0</v>
      </c>
      <c r="L517" t="n">
        <v>0</v>
      </c>
      <c r="M517" t="n">
        <v>0</v>
      </c>
      <c r="N517" t="n">
        <v>0</v>
      </c>
      <c r="O517" t="n">
        <v>0</v>
      </c>
      <c r="P517" t="n">
        <v>0</v>
      </c>
      <c r="Q517" t="n">
        <v>0</v>
      </c>
      <c r="R517" s="2" t="inlineStr"/>
    </row>
    <row r="518" ht="15" customHeight="1">
      <c r="A518" t="inlineStr">
        <is>
          <t>A 24030-2023</t>
        </is>
      </c>
      <c r="B518" s="1" t="n">
        <v>45078.82620370371</v>
      </c>
      <c r="C518" s="1" t="n">
        <v>46001</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48993-2025</t>
        </is>
      </c>
      <c r="B519" s="1" t="n">
        <v>45937.58590277778</v>
      </c>
      <c r="C519" s="1" t="n">
        <v>46001</v>
      </c>
      <c r="D519" t="inlineStr">
        <is>
          <t>ÖREBRO LÄN</t>
        </is>
      </c>
      <c r="E519" t="inlineStr">
        <is>
          <t>LINDESBERG</t>
        </is>
      </c>
      <c r="F519" t="inlineStr">
        <is>
          <t>Kyrkan</t>
        </is>
      </c>
      <c r="G519" t="n">
        <v>4</v>
      </c>
      <c r="H519" t="n">
        <v>0</v>
      </c>
      <c r="I519" t="n">
        <v>0</v>
      </c>
      <c r="J519" t="n">
        <v>0</v>
      </c>
      <c r="K519" t="n">
        <v>0</v>
      </c>
      <c r="L519" t="n">
        <v>0</v>
      </c>
      <c r="M519" t="n">
        <v>0</v>
      </c>
      <c r="N519" t="n">
        <v>0</v>
      </c>
      <c r="O519" t="n">
        <v>0</v>
      </c>
      <c r="P519" t="n">
        <v>0</v>
      </c>
      <c r="Q519" t="n">
        <v>0</v>
      </c>
      <c r="R519" s="2" t="inlineStr"/>
    </row>
    <row r="520" ht="15" customHeight="1">
      <c r="A520" t="inlineStr">
        <is>
          <t>A 49183-2025</t>
        </is>
      </c>
      <c r="B520" s="1" t="n">
        <v>45938.39741898148</v>
      </c>
      <c r="C520" s="1" t="n">
        <v>46001</v>
      </c>
      <c r="D520" t="inlineStr">
        <is>
          <t>ÖREBRO LÄN</t>
        </is>
      </c>
      <c r="E520" t="inlineStr">
        <is>
          <t>LINDESBERG</t>
        </is>
      </c>
      <c r="G520" t="n">
        <v>4.4</v>
      </c>
      <c r="H520" t="n">
        <v>0</v>
      </c>
      <c r="I520" t="n">
        <v>0</v>
      </c>
      <c r="J520" t="n">
        <v>0</v>
      </c>
      <c r="K520" t="n">
        <v>0</v>
      </c>
      <c r="L520" t="n">
        <v>0</v>
      </c>
      <c r="M520" t="n">
        <v>0</v>
      </c>
      <c r="N520" t="n">
        <v>0</v>
      </c>
      <c r="O520" t="n">
        <v>0</v>
      </c>
      <c r="P520" t="n">
        <v>0</v>
      </c>
      <c r="Q520" t="n">
        <v>0</v>
      </c>
      <c r="R520" s="2" t="inlineStr"/>
    </row>
    <row r="521" ht="15" customHeight="1">
      <c r="A521" t="inlineStr">
        <is>
          <t>A 57320-2025</t>
        </is>
      </c>
      <c r="B521" s="1" t="n">
        <v>45980.01553240741</v>
      </c>
      <c r="C521" s="1" t="n">
        <v>46001</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36747-2024</t>
        </is>
      </c>
      <c r="B522" s="1" t="n">
        <v>45538.34193287037</v>
      </c>
      <c r="C522" s="1" t="n">
        <v>46001</v>
      </c>
      <c r="D522" t="inlineStr">
        <is>
          <t>ÖREBRO LÄN</t>
        </is>
      </c>
      <c r="E522" t="inlineStr">
        <is>
          <t>LINDESBERG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37301-2025</t>
        </is>
      </c>
      <c r="B523" s="1" t="n">
        <v>45876.59166666667</v>
      </c>
      <c r="C523" s="1" t="n">
        <v>46001</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49100-2025</t>
        </is>
      </c>
      <c r="B524" s="1" t="n">
        <v>45937.71556712963</v>
      </c>
      <c r="C524" s="1" t="n">
        <v>46001</v>
      </c>
      <c r="D524" t="inlineStr">
        <is>
          <t>ÖREBRO LÄN</t>
        </is>
      </c>
      <c r="E524" t="inlineStr">
        <is>
          <t>LINDESBERG</t>
        </is>
      </c>
      <c r="G524" t="n">
        <v>2.2</v>
      </c>
      <c r="H524" t="n">
        <v>0</v>
      </c>
      <c r="I524" t="n">
        <v>0</v>
      </c>
      <c r="J524" t="n">
        <v>0</v>
      </c>
      <c r="K524" t="n">
        <v>0</v>
      </c>
      <c r="L524" t="n">
        <v>0</v>
      </c>
      <c r="M524" t="n">
        <v>0</v>
      </c>
      <c r="N524" t="n">
        <v>0</v>
      </c>
      <c r="O524" t="n">
        <v>0</v>
      </c>
      <c r="P524" t="n">
        <v>0</v>
      </c>
      <c r="Q524" t="n">
        <v>0</v>
      </c>
      <c r="R524" s="2" t="inlineStr"/>
    </row>
    <row r="525" ht="15" customHeight="1">
      <c r="A525" t="inlineStr">
        <is>
          <t>A 57356-2025</t>
        </is>
      </c>
      <c r="B525" s="1" t="n">
        <v>45980.36633101852</v>
      </c>
      <c r="C525" s="1" t="n">
        <v>46001</v>
      </c>
      <c r="D525" t="inlineStr">
        <is>
          <t>ÖREBRO LÄN</t>
        </is>
      </c>
      <c r="E525" t="inlineStr">
        <is>
          <t>LINDESBERG</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57358-2025</t>
        </is>
      </c>
      <c r="B526" s="1" t="n">
        <v>45980.36679398148</v>
      </c>
      <c r="C526" s="1" t="n">
        <v>46001</v>
      </c>
      <c r="D526" t="inlineStr">
        <is>
          <t>ÖREBRO LÄN</t>
        </is>
      </c>
      <c r="E526" t="inlineStr">
        <is>
          <t>LINDESBERG</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57363-2025</t>
        </is>
      </c>
      <c r="B527" s="1" t="n">
        <v>45980.3716087963</v>
      </c>
      <c r="C527" s="1" t="n">
        <v>46001</v>
      </c>
      <c r="D527" t="inlineStr">
        <is>
          <t>ÖREBRO LÄN</t>
        </is>
      </c>
      <c r="E527" t="inlineStr">
        <is>
          <t>LINDESBERG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57315-2025</t>
        </is>
      </c>
      <c r="B528" s="1" t="n">
        <v>45980.00753472222</v>
      </c>
      <c r="C528" s="1" t="n">
        <v>46001</v>
      </c>
      <c r="D528" t="inlineStr">
        <is>
          <t>ÖREBRO LÄN</t>
        </is>
      </c>
      <c r="E528" t="inlineStr">
        <is>
          <t>LINDESBERG</t>
        </is>
      </c>
      <c r="F528" t="inlineStr">
        <is>
          <t>Sveaskog</t>
        </is>
      </c>
      <c r="G528" t="n">
        <v>2.5</v>
      </c>
      <c r="H528" t="n">
        <v>0</v>
      </c>
      <c r="I528" t="n">
        <v>0</v>
      </c>
      <c r="J528" t="n">
        <v>0</v>
      </c>
      <c r="K528" t="n">
        <v>0</v>
      </c>
      <c r="L528" t="n">
        <v>0</v>
      </c>
      <c r="M528" t="n">
        <v>0</v>
      </c>
      <c r="N528" t="n">
        <v>0</v>
      </c>
      <c r="O528" t="n">
        <v>0</v>
      </c>
      <c r="P528" t="n">
        <v>0</v>
      </c>
      <c r="Q528" t="n">
        <v>0</v>
      </c>
      <c r="R528" s="2" t="inlineStr"/>
    </row>
    <row r="529" ht="15" customHeight="1">
      <c r="A529" t="inlineStr">
        <is>
          <t>A 57316-2025</t>
        </is>
      </c>
      <c r="B529" s="1" t="n">
        <v>45980.0115625</v>
      </c>
      <c r="C529" s="1" t="n">
        <v>46001</v>
      </c>
      <c r="D529" t="inlineStr">
        <is>
          <t>ÖREBRO LÄN</t>
        </is>
      </c>
      <c r="E529" t="inlineStr">
        <is>
          <t>LINDESBERG</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37500-2025</t>
        </is>
      </c>
      <c r="B530" s="1" t="n">
        <v>45877.64776620371</v>
      </c>
      <c r="C530" s="1" t="n">
        <v>46001</v>
      </c>
      <c r="D530" t="inlineStr">
        <is>
          <t>ÖREBRO LÄN</t>
        </is>
      </c>
      <c r="E530" t="inlineStr">
        <is>
          <t>LINDESBERG</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37503-2025</t>
        </is>
      </c>
      <c r="B531" s="1" t="n">
        <v>45877.65075231482</v>
      </c>
      <c r="C531" s="1" t="n">
        <v>46001</v>
      </c>
      <c r="D531" t="inlineStr">
        <is>
          <t>ÖREBRO LÄN</t>
        </is>
      </c>
      <c r="E531" t="inlineStr">
        <is>
          <t>LINDESBERG</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37501-2025</t>
        </is>
      </c>
      <c r="B532" s="1" t="n">
        <v>45877.64847222222</v>
      </c>
      <c r="C532" s="1" t="n">
        <v>46001</v>
      </c>
      <c r="D532" t="inlineStr">
        <is>
          <t>ÖREBRO LÄN</t>
        </is>
      </c>
      <c r="E532" t="inlineStr">
        <is>
          <t>LINDESBERG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37552-2025</t>
        </is>
      </c>
      <c r="B533" s="1" t="n">
        <v>45880.28673611111</v>
      </c>
      <c r="C533" s="1" t="n">
        <v>46001</v>
      </c>
      <c r="D533" t="inlineStr">
        <is>
          <t>ÖREBRO LÄN</t>
        </is>
      </c>
      <c r="E533" t="inlineStr">
        <is>
          <t>LINDESBERG</t>
        </is>
      </c>
      <c r="G533" t="n">
        <v>1.4</v>
      </c>
      <c r="H533" t="n">
        <v>0</v>
      </c>
      <c r="I533" t="n">
        <v>0</v>
      </c>
      <c r="J533" t="n">
        <v>0</v>
      </c>
      <c r="K533" t="n">
        <v>0</v>
      </c>
      <c r="L533" t="n">
        <v>0</v>
      </c>
      <c r="M533" t="n">
        <v>0</v>
      </c>
      <c r="N533" t="n">
        <v>0</v>
      </c>
      <c r="O533" t="n">
        <v>0</v>
      </c>
      <c r="P533" t="n">
        <v>0</v>
      </c>
      <c r="Q533" t="n">
        <v>0</v>
      </c>
      <c r="R533" s="2" t="inlineStr"/>
    </row>
    <row r="534" ht="15" customHeight="1">
      <c r="A534" t="inlineStr">
        <is>
          <t>A 32097-2024</t>
        </is>
      </c>
      <c r="B534" s="1" t="n">
        <v>45511.39445601852</v>
      </c>
      <c r="C534" s="1" t="n">
        <v>46001</v>
      </c>
      <c r="D534" t="inlineStr">
        <is>
          <t>ÖREBRO LÄN</t>
        </is>
      </c>
      <c r="E534" t="inlineStr">
        <is>
          <t>LINDESBERG</t>
        </is>
      </c>
      <c r="G534" t="n">
        <v>1.7</v>
      </c>
      <c r="H534" t="n">
        <v>0</v>
      </c>
      <c r="I534" t="n">
        <v>0</v>
      </c>
      <c r="J534" t="n">
        <v>0</v>
      </c>
      <c r="K534" t="n">
        <v>0</v>
      </c>
      <c r="L534" t="n">
        <v>0</v>
      </c>
      <c r="M534" t="n">
        <v>0</v>
      </c>
      <c r="N534" t="n">
        <v>0</v>
      </c>
      <c r="O534" t="n">
        <v>0</v>
      </c>
      <c r="P534" t="n">
        <v>0</v>
      </c>
      <c r="Q534" t="n">
        <v>0</v>
      </c>
      <c r="R534" s="2" t="inlineStr"/>
    </row>
    <row r="535" ht="15" customHeight="1">
      <c r="A535" t="inlineStr">
        <is>
          <t>A 32099-2024</t>
        </is>
      </c>
      <c r="B535" s="1" t="n">
        <v>45511.40297453704</v>
      </c>
      <c r="C535" s="1" t="n">
        <v>46001</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61360-2024</t>
        </is>
      </c>
      <c r="B536" s="1" t="n">
        <v>45646</v>
      </c>
      <c r="C536" s="1" t="n">
        <v>46001</v>
      </c>
      <c r="D536" t="inlineStr">
        <is>
          <t>ÖREBRO LÄN</t>
        </is>
      </c>
      <c r="E536" t="inlineStr">
        <is>
          <t>LINDESBERG</t>
        </is>
      </c>
      <c r="F536" t="inlineStr">
        <is>
          <t>Sveaskog</t>
        </is>
      </c>
      <c r="G536" t="n">
        <v>6.5</v>
      </c>
      <c r="H536" t="n">
        <v>0</v>
      </c>
      <c r="I536" t="n">
        <v>0</v>
      </c>
      <c r="J536" t="n">
        <v>0</v>
      </c>
      <c r="K536" t="n">
        <v>0</v>
      </c>
      <c r="L536" t="n">
        <v>0</v>
      </c>
      <c r="M536" t="n">
        <v>0</v>
      </c>
      <c r="N536" t="n">
        <v>0</v>
      </c>
      <c r="O536" t="n">
        <v>0</v>
      </c>
      <c r="P536" t="n">
        <v>0</v>
      </c>
      <c r="Q536" t="n">
        <v>0</v>
      </c>
      <c r="R536" s="2" t="inlineStr"/>
    </row>
    <row r="537" ht="15" customHeight="1">
      <c r="A537" t="inlineStr">
        <is>
          <t>A 3803-2023</t>
        </is>
      </c>
      <c r="B537" s="1" t="n">
        <v>44951.5830324074</v>
      </c>
      <c r="C537" s="1" t="n">
        <v>46001</v>
      </c>
      <c r="D537" t="inlineStr">
        <is>
          <t>ÖREBRO LÄN</t>
        </is>
      </c>
      <c r="E537" t="inlineStr">
        <is>
          <t>LINDESBERG</t>
        </is>
      </c>
      <c r="G537" t="n">
        <v>0.9</v>
      </c>
      <c r="H537" t="n">
        <v>0</v>
      </c>
      <c r="I537" t="n">
        <v>0</v>
      </c>
      <c r="J537" t="n">
        <v>0</v>
      </c>
      <c r="K537" t="n">
        <v>0</v>
      </c>
      <c r="L537" t="n">
        <v>0</v>
      </c>
      <c r="M537" t="n">
        <v>0</v>
      </c>
      <c r="N537" t="n">
        <v>0</v>
      </c>
      <c r="O537" t="n">
        <v>0</v>
      </c>
      <c r="P537" t="n">
        <v>0</v>
      </c>
      <c r="Q537" t="n">
        <v>0</v>
      </c>
      <c r="R537" s="2" t="inlineStr"/>
    </row>
    <row r="538" ht="15" customHeight="1">
      <c r="A538" t="inlineStr">
        <is>
          <t>A 60200-2024</t>
        </is>
      </c>
      <c r="B538" s="1" t="n">
        <v>45642.66184027777</v>
      </c>
      <c r="C538" s="1" t="n">
        <v>46001</v>
      </c>
      <c r="D538" t="inlineStr">
        <is>
          <t>ÖREBRO LÄN</t>
        </is>
      </c>
      <c r="E538" t="inlineStr">
        <is>
          <t>LINDESBERG</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27702-2025</t>
        </is>
      </c>
      <c r="B539" s="1" t="n">
        <v>45813</v>
      </c>
      <c r="C539" s="1" t="n">
        <v>46001</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48867-2025</t>
        </is>
      </c>
      <c r="B540" s="1" t="n">
        <v>45937.4484837963</v>
      </c>
      <c r="C540" s="1" t="n">
        <v>46001</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37491-2025</t>
        </is>
      </c>
      <c r="B541" s="1" t="n">
        <v>45877.64144675926</v>
      </c>
      <c r="C541" s="1" t="n">
        <v>46001</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37499-2025</t>
        </is>
      </c>
      <c r="B542" s="1" t="n">
        <v>45877.64605324074</v>
      </c>
      <c r="C542" s="1" t="n">
        <v>46001</v>
      </c>
      <c r="D542" t="inlineStr">
        <is>
          <t>ÖREBRO LÄN</t>
        </is>
      </c>
      <c r="E542" t="inlineStr">
        <is>
          <t>LINDESBERG</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37602-2025</t>
        </is>
      </c>
      <c r="B543" s="1" t="n">
        <v>45880</v>
      </c>
      <c r="C543" s="1" t="n">
        <v>46001</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37625-2025</t>
        </is>
      </c>
      <c r="B544" s="1" t="n">
        <v>45880.46056712963</v>
      </c>
      <c r="C544" s="1" t="n">
        <v>46001</v>
      </c>
      <c r="D544" t="inlineStr">
        <is>
          <t>ÖREBRO LÄN</t>
        </is>
      </c>
      <c r="E544" t="inlineStr">
        <is>
          <t>LINDESBERG</t>
        </is>
      </c>
      <c r="G544" t="n">
        <v>12.5</v>
      </c>
      <c r="H544" t="n">
        <v>0</v>
      </c>
      <c r="I544" t="n">
        <v>0</v>
      </c>
      <c r="J544" t="n">
        <v>0</v>
      </c>
      <c r="K544" t="n">
        <v>0</v>
      </c>
      <c r="L544" t="n">
        <v>0</v>
      </c>
      <c r="M544" t="n">
        <v>0</v>
      </c>
      <c r="N544" t="n">
        <v>0</v>
      </c>
      <c r="O544" t="n">
        <v>0</v>
      </c>
      <c r="P544" t="n">
        <v>0</v>
      </c>
      <c r="Q544" t="n">
        <v>0</v>
      </c>
      <c r="R544" s="2" t="inlineStr"/>
    </row>
    <row r="545" ht="15" customHeight="1">
      <c r="A545" t="inlineStr">
        <is>
          <t>A 49133-2025</t>
        </is>
      </c>
      <c r="B545" s="1" t="n">
        <v>45937.92319444445</v>
      </c>
      <c r="C545" s="1" t="n">
        <v>46001</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37553-2025</t>
        </is>
      </c>
      <c r="B546" s="1" t="n">
        <v>45880.3172337963</v>
      </c>
      <c r="C546" s="1" t="n">
        <v>46001</v>
      </c>
      <c r="D546" t="inlineStr">
        <is>
          <t>ÖREBRO LÄN</t>
        </is>
      </c>
      <c r="E546" t="inlineStr">
        <is>
          <t>LINDESBERG</t>
        </is>
      </c>
      <c r="G546" t="n">
        <v>0.6</v>
      </c>
      <c r="H546" t="n">
        <v>0</v>
      </c>
      <c r="I546" t="n">
        <v>0</v>
      </c>
      <c r="J546" t="n">
        <v>0</v>
      </c>
      <c r="K546" t="n">
        <v>0</v>
      </c>
      <c r="L546" t="n">
        <v>0</v>
      </c>
      <c r="M546" t="n">
        <v>0</v>
      </c>
      <c r="N546" t="n">
        <v>0</v>
      </c>
      <c r="O546" t="n">
        <v>0</v>
      </c>
      <c r="P546" t="n">
        <v>0</v>
      </c>
      <c r="Q546" t="n">
        <v>0</v>
      </c>
      <c r="R546" s="2" t="inlineStr"/>
    </row>
    <row r="547" ht="15" customHeight="1">
      <c r="A547" t="inlineStr">
        <is>
          <t>A 37497-2025</t>
        </is>
      </c>
      <c r="B547" s="1" t="n">
        <v>45877.64431712963</v>
      </c>
      <c r="C547" s="1" t="n">
        <v>46001</v>
      </c>
      <c r="D547" t="inlineStr">
        <is>
          <t>ÖREBRO LÄN</t>
        </is>
      </c>
      <c r="E547" t="inlineStr">
        <is>
          <t>LINDESBERG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37492-2025</t>
        </is>
      </c>
      <c r="B548" s="1" t="n">
        <v>45877.64230324074</v>
      </c>
      <c r="C548" s="1" t="n">
        <v>46001</v>
      </c>
      <c r="D548" t="inlineStr">
        <is>
          <t>ÖREBRO LÄN</t>
        </is>
      </c>
      <c r="E548" t="inlineStr">
        <is>
          <t>LINDESBERG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57299-2025</t>
        </is>
      </c>
      <c r="B549" s="1" t="n">
        <v>45979.81347222222</v>
      </c>
      <c r="C549" s="1" t="n">
        <v>46001</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57359-2025</t>
        </is>
      </c>
      <c r="B550" s="1" t="n">
        <v>45980.36866898148</v>
      </c>
      <c r="C550" s="1" t="n">
        <v>46001</v>
      </c>
      <c r="D550" t="inlineStr">
        <is>
          <t>ÖREBRO LÄN</t>
        </is>
      </c>
      <c r="E550" t="inlineStr">
        <is>
          <t>LINDESBERG</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37490-2025</t>
        </is>
      </c>
      <c r="B551" s="1" t="n">
        <v>45877.63989583333</v>
      </c>
      <c r="C551" s="1" t="n">
        <v>46001</v>
      </c>
      <c r="D551" t="inlineStr">
        <is>
          <t>ÖREBRO LÄN</t>
        </is>
      </c>
      <c r="E551" t="inlineStr">
        <is>
          <t>LINDESBERG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57361-2025</t>
        </is>
      </c>
      <c r="B552" s="1" t="n">
        <v>45980.36988425926</v>
      </c>
      <c r="C552" s="1" t="n">
        <v>46001</v>
      </c>
      <c r="D552" t="inlineStr">
        <is>
          <t>ÖREBRO LÄN</t>
        </is>
      </c>
      <c r="E552" t="inlineStr">
        <is>
          <t>LINDESBERG</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57300-2025</t>
        </is>
      </c>
      <c r="B553" s="1" t="n">
        <v>45979.81403935186</v>
      </c>
      <c r="C553" s="1" t="n">
        <v>46001</v>
      </c>
      <c r="D553" t="inlineStr">
        <is>
          <t>ÖREBRO LÄN</t>
        </is>
      </c>
      <c r="E553" t="inlineStr">
        <is>
          <t>LINDESBERG</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25229-2021</t>
        </is>
      </c>
      <c r="B554" s="1" t="n">
        <v>44342.39703703704</v>
      </c>
      <c r="C554" s="1" t="n">
        <v>46001</v>
      </c>
      <c r="D554" t="inlineStr">
        <is>
          <t>ÖREBRO LÄN</t>
        </is>
      </c>
      <c r="E554" t="inlineStr">
        <is>
          <t>LINDESBERG</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49707-2025</t>
        </is>
      </c>
      <c r="B555" s="1" t="n">
        <v>45939.67951388889</v>
      </c>
      <c r="C555" s="1" t="n">
        <v>46001</v>
      </c>
      <c r="D555" t="inlineStr">
        <is>
          <t>ÖREBRO LÄN</t>
        </is>
      </c>
      <c r="E555" t="inlineStr">
        <is>
          <t>LINDESBERG</t>
        </is>
      </c>
      <c r="F555" t="inlineStr">
        <is>
          <t>Kommuner</t>
        </is>
      </c>
      <c r="G555" t="n">
        <v>0.6</v>
      </c>
      <c r="H555" t="n">
        <v>0</v>
      </c>
      <c r="I555" t="n">
        <v>0</v>
      </c>
      <c r="J555" t="n">
        <v>0</v>
      </c>
      <c r="K555" t="n">
        <v>0</v>
      </c>
      <c r="L555" t="n">
        <v>0</v>
      </c>
      <c r="M555" t="n">
        <v>0</v>
      </c>
      <c r="N555" t="n">
        <v>0</v>
      </c>
      <c r="O555" t="n">
        <v>0</v>
      </c>
      <c r="P555" t="n">
        <v>0</v>
      </c>
      <c r="Q555" t="n">
        <v>0</v>
      </c>
      <c r="R555" s="2" t="inlineStr"/>
    </row>
    <row r="556" ht="15" customHeight="1">
      <c r="A556" t="inlineStr">
        <is>
          <t>A 34093-2022</t>
        </is>
      </c>
      <c r="B556" s="1" t="n">
        <v>44791</v>
      </c>
      <c r="C556" s="1" t="n">
        <v>46001</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37935-2025</t>
        </is>
      </c>
      <c r="B557" s="1" t="n">
        <v>45881.59550925926</v>
      </c>
      <c r="C557" s="1" t="n">
        <v>46001</v>
      </c>
      <c r="D557" t="inlineStr">
        <is>
          <t>ÖREBRO LÄN</t>
        </is>
      </c>
      <c r="E557" t="inlineStr">
        <is>
          <t>LINDESBERG</t>
        </is>
      </c>
      <c r="G557" t="n">
        <v>5.1</v>
      </c>
      <c r="H557" t="n">
        <v>0</v>
      </c>
      <c r="I557" t="n">
        <v>0</v>
      </c>
      <c r="J557" t="n">
        <v>0</v>
      </c>
      <c r="K557" t="n">
        <v>0</v>
      </c>
      <c r="L557" t="n">
        <v>0</v>
      </c>
      <c r="M557" t="n">
        <v>0</v>
      </c>
      <c r="N557" t="n">
        <v>0</v>
      </c>
      <c r="O557" t="n">
        <v>0</v>
      </c>
      <c r="P557" t="n">
        <v>0</v>
      </c>
      <c r="Q557" t="n">
        <v>0</v>
      </c>
      <c r="R557" s="2" t="inlineStr"/>
    </row>
    <row r="558" ht="15" customHeight="1">
      <c r="A558" t="inlineStr">
        <is>
          <t>A 37837-2025</t>
        </is>
      </c>
      <c r="B558" s="1" t="n">
        <v>45881.42791666667</v>
      </c>
      <c r="C558" s="1" t="n">
        <v>46001</v>
      </c>
      <c r="D558" t="inlineStr">
        <is>
          <t>ÖREBRO LÄN</t>
        </is>
      </c>
      <c r="E558" t="inlineStr">
        <is>
          <t>LINDESBERG</t>
        </is>
      </c>
      <c r="G558" t="n">
        <v>1.3</v>
      </c>
      <c r="H558" t="n">
        <v>0</v>
      </c>
      <c r="I558" t="n">
        <v>0</v>
      </c>
      <c r="J558" t="n">
        <v>0</v>
      </c>
      <c r="K558" t="n">
        <v>0</v>
      </c>
      <c r="L558" t="n">
        <v>0</v>
      </c>
      <c r="M558" t="n">
        <v>0</v>
      </c>
      <c r="N558" t="n">
        <v>0</v>
      </c>
      <c r="O558" t="n">
        <v>0</v>
      </c>
      <c r="P558" t="n">
        <v>0</v>
      </c>
      <c r="Q558" t="n">
        <v>0</v>
      </c>
      <c r="R558" s="2" t="inlineStr"/>
    </row>
    <row r="559" ht="15" customHeight="1">
      <c r="A559" t="inlineStr">
        <is>
          <t>A 58697-2024</t>
        </is>
      </c>
      <c r="B559" s="1" t="n">
        <v>45635.63706018519</v>
      </c>
      <c r="C559" s="1" t="n">
        <v>46001</v>
      </c>
      <c r="D559" t="inlineStr">
        <is>
          <t>ÖREBRO LÄN</t>
        </is>
      </c>
      <c r="E559" t="inlineStr">
        <is>
          <t>LINDESBERG</t>
        </is>
      </c>
      <c r="G559" t="n">
        <v>25.1</v>
      </c>
      <c r="H559" t="n">
        <v>0</v>
      </c>
      <c r="I559" t="n">
        <v>0</v>
      </c>
      <c r="J559" t="n">
        <v>0</v>
      </c>
      <c r="K559" t="n">
        <v>0</v>
      </c>
      <c r="L559" t="n">
        <v>0</v>
      </c>
      <c r="M559" t="n">
        <v>0</v>
      </c>
      <c r="N559" t="n">
        <v>0</v>
      </c>
      <c r="O559" t="n">
        <v>0</v>
      </c>
      <c r="P559" t="n">
        <v>0</v>
      </c>
      <c r="Q559" t="n">
        <v>0</v>
      </c>
      <c r="R559" s="2" t="inlineStr"/>
    </row>
    <row r="560" ht="15" customHeight="1">
      <c r="A560" t="inlineStr">
        <is>
          <t>A 49946-2025</t>
        </is>
      </c>
      <c r="B560" s="1" t="n">
        <v>45940.69862268519</v>
      </c>
      <c r="C560" s="1" t="n">
        <v>46001</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49944-2025</t>
        </is>
      </c>
      <c r="B561" s="1" t="n">
        <v>45940.69643518519</v>
      </c>
      <c r="C561" s="1" t="n">
        <v>46001</v>
      </c>
      <c r="D561" t="inlineStr">
        <is>
          <t>ÖREBRO LÄN</t>
        </is>
      </c>
      <c r="E561" t="inlineStr">
        <is>
          <t>LINDESBERG</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49947-2025</t>
        </is>
      </c>
      <c r="B562" s="1" t="n">
        <v>45940.70018518518</v>
      </c>
      <c r="C562" s="1" t="n">
        <v>46001</v>
      </c>
      <c r="D562" t="inlineStr">
        <is>
          <t>ÖREBRO LÄN</t>
        </is>
      </c>
      <c r="E562" t="inlineStr">
        <is>
          <t>LINDESBERG</t>
        </is>
      </c>
      <c r="F562" t="inlineStr">
        <is>
          <t>Sveaskog</t>
        </is>
      </c>
      <c r="G562" t="n">
        <v>3.2</v>
      </c>
      <c r="H562" t="n">
        <v>0</v>
      </c>
      <c r="I562" t="n">
        <v>0</v>
      </c>
      <c r="J562" t="n">
        <v>0</v>
      </c>
      <c r="K562" t="n">
        <v>0</v>
      </c>
      <c r="L562" t="n">
        <v>0</v>
      </c>
      <c r="M562" t="n">
        <v>0</v>
      </c>
      <c r="N562" t="n">
        <v>0</v>
      </c>
      <c r="O562" t="n">
        <v>0</v>
      </c>
      <c r="P562" t="n">
        <v>0</v>
      </c>
      <c r="Q562" t="n">
        <v>0</v>
      </c>
      <c r="R562" s="2" t="inlineStr"/>
    </row>
    <row r="563" ht="15" customHeight="1">
      <c r="A563" t="inlineStr">
        <is>
          <t>A 58166-2025</t>
        </is>
      </c>
      <c r="B563" s="1" t="n">
        <v>45982.71017361111</v>
      </c>
      <c r="C563" s="1" t="n">
        <v>46001</v>
      </c>
      <c r="D563" t="inlineStr">
        <is>
          <t>ÖREBRO LÄN</t>
        </is>
      </c>
      <c r="E563" t="inlineStr">
        <is>
          <t>LINDESBERG</t>
        </is>
      </c>
      <c r="G563" t="n">
        <v>2.5</v>
      </c>
      <c r="H563" t="n">
        <v>0</v>
      </c>
      <c r="I563" t="n">
        <v>0</v>
      </c>
      <c r="J563" t="n">
        <v>0</v>
      </c>
      <c r="K563" t="n">
        <v>0</v>
      </c>
      <c r="L563" t="n">
        <v>0</v>
      </c>
      <c r="M563" t="n">
        <v>0</v>
      </c>
      <c r="N563" t="n">
        <v>0</v>
      </c>
      <c r="O563" t="n">
        <v>0</v>
      </c>
      <c r="P563" t="n">
        <v>0</v>
      </c>
      <c r="Q563" t="n">
        <v>0</v>
      </c>
      <c r="R563" s="2" t="inlineStr"/>
    </row>
    <row r="564" ht="15" customHeight="1">
      <c r="A564" t="inlineStr">
        <is>
          <t>A 38509-2025</t>
        </is>
      </c>
      <c r="B564" s="1" t="n">
        <v>45884.38858796296</v>
      </c>
      <c r="C564" s="1" t="n">
        <v>46001</v>
      </c>
      <c r="D564" t="inlineStr">
        <is>
          <t>ÖREBRO LÄN</t>
        </is>
      </c>
      <c r="E564" t="inlineStr">
        <is>
          <t>LINDESBERG</t>
        </is>
      </c>
      <c r="G564" t="n">
        <v>14.9</v>
      </c>
      <c r="H564" t="n">
        <v>0</v>
      </c>
      <c r="I564" t="n">
        <v>0</v>
      </c>
      <c r="J564" t="n">
        <v>0</v>
      </c>
      <c r="K564" t="n">
        <v>0</v>
      </c>
      <c r="L564" t="n">
        <v>0</v>
      </c>
      <c r="M564" t="n">
        <v>0</v>
      </c>
      <c r="N564" t="n">
        <v>0</v>
      </c>
      <c r="O564" t="n">
        <v>0</v>
      </c>
      <c r="P564" t="n">
        <v>0</v>
      </c>
      <c r="Q564" t="n">
        <v>0</v>
      </c>
      <c r="R564" s="2" t="inlineStr"/>
    </row>
    <row r="565" ht="15" customHeight="1">
      <c r="A565" t="inlineStr">
        <is>
          <t>A 49943-2025</t>
        </is>
      </c>
      <c r="B565" s="1" t="n">
        <v>45940.69521990741</v>
      </c>
      <c r="C565" s="1" t="n">
        <v>46001</v>
      </c>
      <c r="D565" t="inlineStr">
        <is>
          <t>ÖREBRO LÄN</t>
        </is>
      </c>
      <c r="E565" t="inlineStr">
        <is>
          <t>LINDESBERG</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17115-2025</t>
        </is>
      </c>
      <c r="B566" s="1" t="n">
        <v>45755.68247685185</v>
      </c>
      <c r="C566" s="1" t="n">
        <v>46001</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16054-2022</t>
        </is>
      </c>
      <c r="B567" s="1" t="n">
        <v>44665</v>
      </c>
      <c r="C567" s="1" t="n">
        <v>46001</v>
      </c>
      <c r="D567" t="inlineStr">
        <is>
          <t>ÖREBRO LÄN</t>
        </is>
      </c>
      <c r="E567" t="inlineStr">
        <is>
          <t>LINDESBERG</t>
        </is>
      </c>
      <c r="G567" t="n">
        <v>6.9</v>
      </c>
      <c r="H567" t="n">
        <v>0</v>
      </c>
      <c r="I567" t="n">
        <v>0</v>
      </c>
      <c r="J567" t="n">
        <v>0</v>
      </c>
      <c r="K567" t="n">
        <v>0</v>
      </c>
      <c r="L567" t="n">
        <v>0</v>
      </c>
      <c r="M567" t="n">
        <v>0</v>
      </c>
      <c r="N567" t="n">
        <v>0</v>
      </c>
      <c r="O567" t="n">
        <v>0</v>
      </c>
      <c r="P567" t="n">
        <v>0</v>
      </c>
      <c r="Q567" t="n">
        <v>0</v>
      </c>
      <c r="R567" s="2" t="inlineStr"/>
    </row>
    <row r="568" ht="15" customHeight="1">
      <c r="A568" t="inlineStr">
        <is>
          <t>A 36136-2023</t>
        </is>
      </c>
      <c r="B568" s="1" t="n">
        <v>45149</v>
      </c>
      <c r="C568" s="1" t="n">
        <v>46001</v>
      </c>
      <c r="D568" t="inlineStr">
        <is>
          <t>ÖREBRO LÄN</t>
        </is>
      </c>
      <c r="E568" t="inlineStr">
        <is>
          <t>LINDESBERG</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13573-2025</t>
        </is>
      </c>
      <c r="B569" s="1" t="n">
        <v>45736</v>
      </c>
      <c r="C569" s="1" t="n">
        <v>46001</v>
      </c>
      <c r="D569" t="inlineStr">
        <is>
          <t>ÖREBRO LÄN</t>
        </is>
      </c>
      <c r="E569" t="inlineStr">
        <is>
          <t>LINDESBERG</t>
        </is>
      </c>
      <c r="G569" t="n">
        <v>11.7</v>
      </c>
      <c r="H569" t="n">
        <v>0</v>
      </c>
      <c r="I569" t="n">
        <v>0</v>
      </c>
      <c r="J569" t="n">
        <v>0</v>
      </c>
      <c r="K569" t="n">
        <v>0</v>
      </c>
      <c r="L569" t="n">
        <v>0</v>
      </c>
      <c r="M569" t="n">
        <v>0</v>
      </c>
      <c r="N569" t="n">
        <v>0</v>
      </c>
      <c r="O569" t="n">
        <v>0</v>
      </c>
      <c r="P569" t="n">
        <v>0</v>
      </c>
      <c r="Q569" t="n">
        <v>0</v>
      </c>
      <c r="R569" s="2" t="inlineStr"/>
    </row>
    <row r="570" ht="15" customHeight="1">
      <c r="A570" t="inlineStr">
        <is>
          <t>A 61601-2024</t>
        </is>
      </c>
      <c r="B570" s="1" t="n">
        <v>45646.63839120371</v>
      </c>
      <c r="C570" s="1" t="n">
        <v>46001</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40450-2023</t>
        </is>
      </c>
      <c r="B571" s="1" t="n">
        <v>45170</v>
      </c>
      <c r="C571" s="1" t="n">
        <v>46001</v>
      </c>
      <c r="D571" t="inlineStr">
        <is>
          <t>ÖREBRO LÄN</t>
        </is>
      </c>
      <c r="E571" t="inlineStr">
        <is>
          <t>LINDESBERG</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22824-2023</t>
        </is>
      </c>
      <c r="B572" s="1" t="n">
        <v>45072</v>
      </c>
      <c r="C572" s="1" t="n">
        <v>46001</v>
      </c>
      <c r="D572" t="inlineStr">
        <is>
          <t>ÖREBRO LÄN</t>
        </is>
      </c>
      <c r="E572" t="inlineStr">
        <is>
          <t>LINDESBERG</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72698-2021</t>
        </is>
      </c>
      <c r="B573" s="1" t="n">
        <v>44546.6679050926</v>
      </c>
      <c r="C573" s="1" t="n">
        <v>46001</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58056-2025</t>
        </is>
      </c>
      <c r="B574" s="1" t="n">
        <v>45982</v>
      </c>
      <c r="C574" s="1" t="n">
        <v>46001</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34237-2023</t>
        </is>
      </c>
      <c r="B575" s="1" t="n">
        <v>45138</v>
      </c>
      <c r="C575" s="1" t="n">
        <v>46001</v>
      </c>
      <c r="D575" t="inlineStr">
        <is>
          <t>ÖREBRO LÄN</t>
        </is>
      </c>
      <c r="E575" t="inlineStr">
        <is>
          <t>LINDESBERG</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32994-2023</t>
        </is>
      </c>
      <c r="B576" s="1" t="n">
        <v>45113</v>
      </c>
      <c r="C576" s="1" t="n">
        <v>46001</v>
      </c>
      <c r="D576" t="inlineStr">
        <is>
          <t>ÖREBRO LÄN</t>
        </is>
      </c>
      <c r="E576" t="inlineStr">
        <is>
          <t>LINDESBERG</t>
        </is>
      </c>
      <c r="G576" t="n">
        <v>2.3</v>
      </c>
      <c r="H576" t="n">
        <v>0</v>
      </c>
      <c r="I576" t="n">
        <v>0</v>
      </c>
      <c r="J576" t="n">
        <v>0</v>
      </c>
      <c r="K576" t="n">
        <v>0</v>
      </c>
      <c r="L576" t="n">
        <v>0</v>
      </c>
      <c r="M576" t="n">
        <v>0</v>
      </c>
      <c r="N576" t="n">
        <v>0</v>
      </c>
      <c r="O576" t="n">
        <v>0</v>
      </c>
      <c r="P576" t="n">
        <v>0</v>
      </c>
      <c r="Q576" t="n">
        <v>0</v>
      </c>
      <c r="R576" s="2" t="inlineStr"/>
    </row>
    <row r="577" ht="15" customHeight="1">
      <c r="A577" t="inlineStr">
        <is>
          <t>A 50072-2025</t>
        </is>
      </c>
      <c r="B577" s="1" t="n">
        <v>45943.45966435185</v>
      </c>
      <c r="C577" s="1" t="n">
        <v>46001</v>
      </c>
      <c r="D577" t="inlineStr">
        <is>
          <t>ÖREBRO LÄN</t>
        </is>
      </c>
      <c r="E577" t="inlineStr">
        <is>
          <t>LINDESBERG</t>
        </is>
      </c>
      <c r="G577" t="n">
        <v>1.5</v>
      </c>
      <c r="H577" t="n">
        <v>0</v>
      </c>
      <c r="I577" t="n">
        <v>0</v>
      </c>
      <c r="J577" t="n">
        <v>0</v>
      </c>
      <c r="K577" t="n">
        <v>0</v>
      </c>
      <c r="L577" t="n">
        <v>0</v>
      </c>
      <c r="M577" t="n">
        <v>0</v>
      </c>
      <c r="N577" t="n">
        <v>0</v>
      </c>
      <c r="O577" t="n">
        <v>0</v>
      </c>
      <c r="P577" t="n">
        <v>0</v>
      </c>
      <c r="Q577" t="n">
        <v>0</v>
      </c>
      <c r="R577" s="2" t="inlineStr"/>
    </row>
    <row r="578" ht="15" customHeight="1">
      <c r="A578" t="inlineStr">
        <is>
          <t>A 50086-2025</t>
        </is>
      </c>
      <c r="B578" s="1" t="n">
        <v>45943.47649305555</v>
      </c>
      <c r="C578" s="1" t="n">
        <v>46001</v>
      </c>
      <c r="D578" t="inlineStr">
        <is>
          <t>ÖREBRO LÄN</t>
        </is>
      </c>
      <c r="E578" t="inlineStr">
        <is>
          <t>LINDESBERG</t>
        </is>
      </c>
      <c r="F578" t="inlineStr">
        <is>
          <t>Sveaskog</t>
        </is>
      </c>
      <c r="G578" t="n">
        <v>3.6</v>
      </c>
      <c r="H578" t="n">
        <v>0</v>
      </c>
      <c r="I578" t="n">
        <v>0</v>
      </c>
      <c r="J578" t="n">
        <v>0</v>
      </c>
      <c r="K578" t="n">
        <v>0</v>
      </c>
      <c r="L578" t="n">
        <v>0</v>
      </c>
      <c r="M578" t="n">
        <v>0</v>
      </c>
      <c r="N578" t="n">
        <v>0</v>
      </c>
      <c r="O578" t="n">
        <v>0</v>
      </c>
      <c r="P578" t="n">
        <v>0</v>
      </c>
      <c r="Q578" t="n">
        <v>0</v>
      </c>
      <c r="R578" s="2" t="inlineStr"/>
    </row>
    <row r="579" ht="15" customHeight="1">
      <c r="A579" t="inlineStr">
        <is>
          <t>A 50073-2025</t>
        </is>
      </c>
      <c r="B579" s="1" t="n">
        <v>45943.4603125</v>
      </c>
      <c r="C579" s="1" t="n">
        <v>46001</v>
      </c>
      <c r="D579" t="inlineStr">
        <is>
          <t>ÖREBRO LÄN</t>
        </is>
      </c>
      <c r="E579" t="inlineStr">
        <is>
          <t>LINDESBERG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58050-2025</t>
        </is>
      </c>
      <c r="B580" s="1" t="n">
        <v>45982</v>
      </c>
      <c r="C580" s="1" t="n">
        <v>46001</v>
      </c>
      <c r="D580" t="inlineStr">
        <is>
          <t>ÖREBRO LÄN</t>
        </is>
      </c>
      <c r="E580" t="inlineStr">
        <is>
          <t>LINDESBERG</t>
        </is>
      </c>
      <c r="G580" t="n">
        <v>0.6</v>
      </c>
      <c r="H580" t="n">
        <v>0</v>
      </c>
      <c r="I580" t="n">
        <v>0</v>
      </c>
      <c r="J580" t="n">
        <v>0</v>
      </c>
      <c r="K580" t="n">
        <v>0</v>
      </c>
      <c r="L580" t="n">
        <v>0</v>
      </c>
      <c r="M580" t="n">
        <v>0</v>
      </c>
      <c r="N580" t="n">
        <v>0</v>
      </c>
      <c r="O580" t="n">
        <v>0</v>
      </c>
      <c r="P580" t="n">
        <v>0</v>
      </c>
      <c r="Q580" t="n">
        <v>0</v>
      </c>
      <c r="R580" s="2" t="inlineStr"/>
    </row>
    <row r="581" ht="15" customHeight="1">
      <c r="A581" t="inlineStr">
        <is>
          <t>A 36170-2021</t>
        </is>
      </c>
      <c r="B581" s="1" t="n">
        <v>44389</v>
      </c>
      <c r="C581" s="1" t="n">
        <v>46001</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46001</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50936-2025</t>
        </is>
      </c>
      <c r="B583" s="1" t="n">
        <v>45946.69616898148</v>
      </c>
      <c r="C583" s="1" t="n">
        <v>46001</v>
      </c>
      <c r="D583" t="inlineStr">
        <is>
          <t>ÖREBRO LÄN</t>
        </is>
      </c>
      <c r="E583" t="inlineStr">
        <is>
          <t>LINDESBERG</t>
        </is>
      </c>
      <c r="G583" t="n">
        <v>2.9</v>
      </c>
      <c r="H583" t="n">
        <v>0</v>
      </c>
      <c r="I583" t="n">
        <v>0</v>
      </c>
      <c r="J583" t="n">
        <v>0</v>
      </c>
      <c r="K583" t="n">
        <v>0</v>
      </c>
      <c r="L583" t="n">
        <v>0</v>
      </c>
      <c r="M583" t="n">
        <v>0</v>
      </c>
      <c r="N583" t="n">
        <v>0</v>
      </c>
      <c r="O583" t="n">
        <v>0</v>
      </c>
      <c r="P583" t="n">
        <v>0</v>
      </c>
      <c r="Q583" t="n">
        <v>0</v>
      </c>
      <c r="R583" s="2" t="inlineStr"/>
    </row>
    <row r="584" ht="15" customHeight="1">
      <c r="A584" t="inlineStr">
        <is>
          <t>A 58963-2025</t>
        </is>
      </c>
      <c r="B584" s="1" t="n">
        <v>45987.60012731481</v>
      </c>
      <c r="C584" s="1" t="n">
        <v>46001</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35230-2024</t>
        </is>
      </c>
      <c r="B585" s="1" t="n">
        <v>45530</v>
      </c>
      <c r="C585" s="1" t="n">
        <v>46001</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53721-2025</t>
        </is>
      </c>
      <c r="B586" s="1" t="n">
        <v>45960</v>
      </c>
      <c r="C586" s="1" t="n">
        <v>46001</v>
      </c>
      <c r="D586" t="inlineStr">
        <is>
          <t>ÖREBRO LÄN</t>
        </is>
      </c>
      <c r="E586" t="inlineStr">
        <is>
          <t>LINDESBERG</t>
        </is>
      </c>
      <c r="G586" t="n">
        <v>3.3</v>
      </c>
      <c r="H586" t="n">
        <v>0</v>
      </c>
      <c r="I586" t="n">
        <v>0</v>
      </c>
      <c r="J586" t="n">
        <v>0</v>
      </c>
      <c r="K586" t="n">
        <v>0</v>
      </c>
      <c r="L586" t="n">
        <v>0</v>
      </c>
      <c r="M586" t="n">
        <v>0</v>
      </c>
      <c r="N586" t="n">
        <v>0</v>
      </c>
      <c r="O586" t="n">
        <v>0</v>
      </c>
      <c r="P586" t="n">
        <v>0</v>
      </c>
      <c r="Q586" t="n">
        <v>0</v>
      </c>
      <c r="R586" s="2" t="inlineStr"/>
    </row>
    <row r="587" ht="15" customHeight="1">
      <c r="A587" t="inlineStr">
        <is>
          <t>A 9198-2025</t>
        </is>
      </c>
      <c r="B587" s="1" t="n">
        <v>45714</v>
      </c>
      <c r="C587" s="1" t="n">
        <v>46001</v>
      </c>
      <c r="D587" t="inlineStr">
        <is>
          <t>ÖREBRO LÄN</t>
        </is>
      </c>
      <c r="E587" t="inlineStr">
        <is>
          <t>LINDESBERG</t>
        </is>
      </c>
      <c r="G587" t="n">
        <v>3.3</v>
      </c>
      <c r="H587" t="n">
        <v>0</v>
      </c>
      <c r="I587" t="n">
        <v>0</v>
      </c>
      <c r="J587" t="n">
        <v>0</v>
      </c>
      <c r="K587" t="n">
        <v>0</v>
      </c>
      <c r="L587" t="n">
        <v>0</v>
      </c>
      <c r="M587" t="n">
        <v>0</v>
      </c>
      <c r="N587" t="n">
        <v>0</v>
      </c>
      <c r="O587" t="n">
        <v>0</v>
      </c>
      <c r="P587" t="n">
        <v>0</v>
      </c>
      <c r="Q587" t="n">
        <v>0</v>
      </c>
      <c r="R587" s="2" t="inlineStr"/>
    </row>
    <row r="588" ht="15" customHeight="1">
      <c r="A588" t="inlineStr">
        <is>
          <t>A 16618-2023</t>
        </is>
      </c>
      <c r="B588" s="1" t="n">
        <v>45030</v>
      </c>
      <c r="C588" s="1" t="n">
        <v>46001</v>
      </c>
      <c r="D588" t="inlineStr">
        <is>
          <t>ÖREBRO LÄN</t>
        </is>
      </c>
      <c r="E588" t="inlineStr">
        <is>
          <t>LINDESBERG</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50765-2025</t>
        </is>
      </c>
      <c r="B589" s="1" t="n">
        <v>45946.44216435185</v>
      </c>
      <c r="C589" s="1" t="n">
        <v>46001</v>
      </c>
      <c r="D589" t="inlineStr">
        <is>
          <t>ÖREBRO LÄN</t>
        </is>
      </c>
      <c r="E589" t="inlineStr">
        <is>
          <t>LINDESBERG</t>
        </is>
      </c>
      <c r="F589" t="inlineStr">
        <is>
          <t>Sveaskog</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4298-2025</t>
        </is>
      </c>
      <c r="B590" s="1" t="n">
        <v>45685</v>
      </c>
      <c r="C590" s="1" t="n">
        <v>46001</v>
      </c>
      <c r="D590" t="inlineStr">
        <is>
          <t>ÖREBRO LÄN</t>
        </is>
      </c>
      <c r="E590" t="inlineStr">
        <is>
          <t>LINDESBERG</t>
        </is>
      </c>
      <c r="G590" t="n">
        <v>13.5</v>
      </c>
      <c r="H590" t="n">
        <v>0</v>
      </c>
      <c r="I590" t="n">
        <v>0</v>
      </c>
      <c r="J590" t="n">
        <v>0</v>
      </c>
      <c r="K590" t="n">
        <v>0</v>
      </c>
      <c r="L590" t="n">
        <v>0</v>
      </c>
      <c r="M590" t="n">
        <v>0</v>
      </c>
      <c r="N590" t="n">
        <v>0</v>
      </c>
      <c r="O590" t="n">
        <v>0</v>
      </c>
      <c r="P590" t="n">
        <v>0</v>
      </c>
      <c r="Q590" t="n">
        <v>0</v>
      </c>
      <c r="R590" s="2" t="inlineStr"/>
    </row>
    <row r="591" ht="15" customHeight="1">
      <c r="A591" t="inlineStr">
        <is>
          <t>A 4999-2025</t>
        </is>
      </c>
      <c r="B591" s="1" t="n">
        <v>45691.36253472222</v>
      </c>
      <c r="C591" s="1" t="n">
        <v>46001</v>
      </c>
      <c r="D591" t="inlineStr">
        <is>
          <t>ÖREBRO LÄN</t>
        </is>
      </c>
      <c r="E591" t="inlineStr">
        <is>
          <t>LINDESBERG</t>
        </is>
      </c>
      <c r="G591" t="n">
        <v>4.7</v>
      </c>
      <c r="H591" t="n">
        <v>0</v>
      </c>
      <c r="I591" t="n">
        <v>0</v>
      </c>
      <c r="J591" t="n">
        <v>0</v>
      </c>
      <c r="K591" t="n">
        <v>0</v>
      </c>
      <c r="L591" t="n">
        <v>0</v>
      </c>
      <c r="M591" t="n">
        <v>0</v>
      </c>
      <c r="N591" t="n">
        <v>0</v>
      </c>
      <c r="O591" t="n">
        <v>0</v>
      </c>
      <c r="P591" t="n">
        <v>0</v>
      </c>
      <c r="Q591" t="n">
        <v>0</v>
      </c>
      <c r="R591" s="2" t="inlineStr"/>
    </row>
    <row r="592" ht="15" customHeight="1">
      <c r="A592" t="inlineStr">
        <is>
          <t>A 50933-2025</t>
        </is>
      </c>
      <c r="B592" s="1" t="n">
        <v>45946.68859953704</v>
      </c>
      <c r="C592" s="1" t="n">
        <v>46001</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15892-2025</t>
        </is>
      </c>
      <c r="B593" s="1" t="n">
        <v>45749</v>
      </c>
      <c r="C593" s="1" t="n">
        <v>46001</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51030-2025</t>
        </is>
      </c>
      <c r="B594" s="1" t="n">
        <v>45947.40105324074</v>
      </c>
      <c r="C594" s="1" t="n">
        <v>46001</v>
      </c>
      <c r="D594" t="inlineStr">
        <is>
          <t>ÖREBRO LÄN</t>
        </is>
      </c>
      <c r="E594" t="inlineStr">
        <is>
          <t>LINDESBERG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45428-2023</t>
        </is>
      </c>
      <c r="B595" s="1" t="n">
        <v>45194</v>
      </c>
      <c r="C595" s="1" t="n">
        <v>46001</v>
      </c>
      <c r="D595" t="inlineStr">
        <is>
          <t>ÖREBRO LÄN</t>
        </is>
      </c>
      <c r="E595" t="inlineStr">
        <is>
          <t>LINDESBERG</t>
        </is>
      </c>
      <c r="G595" t="n">
        <v>7.7</v>
      </c>
      <c r="H595" t="n">
        <v>0</v>
      </c>
      <c r="I595" t="n">
        <v>0</v>
      </c>
      <c r="J595" t="n">
        <v>0</v>
      </c>
      <c r="K595" t="n">
        <v>0</v>
      </c>
      <c r="L595" t="n">
        <v>0</v>
      </c>
      <c r="M595" t="n">
        <v>0</v>
      </c>
      <c r="N595" t="n">
        <v>0</v>
      </c>
      <c r="O595" t="n">
        <v>0</v>
      </c>
      <c r="P595" t="n">
        <v>0</v>
      </c>
      <c r="Q595" t="n">
        <v>0</v>
      </c>
      <c r="R595" s="2" t="inlineStr"/>
    </row>
    <row r="596" ht="15" customHeight="1">
      <c r="A596" t="inlineStr">
        <is>
          <t>A 51186-2025</t>
        </is>
      </c>
      <c r="B596" s="1" t="n">
        <v>45947.62353009259</v>
      </c>
      <c r="C596" s="1" t="n">
        <v>46001</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28082-2021</t>
        </is>
      </c>
      <c r="B597" s="1" t="n">
        <v>44355</v>
      </c>
      <c r="C597" s="1" t="n">
        <v>46001</v>
      </c>
      <c r="D597" t="inlineStr">
        <is>
          <t>ÖREBRO LÄN</t>
        </is>
      </c>
      <c r="E597" t="inlineStr">
        <is>
          <t>LINDESBERG</t>
        </is>
      </c>
      <c r="F597" t="inlineStr">
        <is>
          <t>Sveaskog</t>
        </is>
      </c>
      <c r="G597" t="n">
        <v>9.9</v>
      </c>
      <c r="H597" t="n">
        <v>0</v>
      </c>
      <c r="I597" t="n">
        <v>0</v>
      </c>
      <c r="J597" t="n">
        <v>0</v>
      </c>
      <c r="K597" t="n">
        <v>0</v>
      </c>
      <c r="L597" t="n">
        <v>0</v>
      </c>
      <c r="M597" t="n">
        <v>0</v>
      </c>
      <c r="N597" t="n">
        <v>0</v>
      </c>
      <c r="O597" t="n">
        <v>0</v>
      </c>
      <c r="P597" t="n">
        <v>0</v>
      </c>
      <c r="Q597" t="n">
        <v>0</v>
      </c>
      <c r="R597" s="2" t="inlineStr"/>
    </row>
    <row r="598" ht="15" customHeight="1">
      <c r="A598" t="inlineStr">
        <is>
          <t>A 57911-2022</t>
        </is>
      </c>
      <c r="B598" s="1" t="n">
        <v>44900.36149305556</v>
      </c>
      <c r="C598" s="1" t="n">
        <v>46001</v>
      </c>
      <c r="D598" t="inlineStr">
        <is>
          <t>ÖREBRO LÄN</t>
        </is>
      </c>
      <c r="E598" t="inlineStr">
        <is>
          <t>LINDESBERG</t>
        </is>
      </c>
      <c r="G598" t="n">
        <v>4.9</v>
      </c>
      <c r="H598" t="n">
        <v>0</v>
      </c>
      <c r="I598" t="n">
        <v>0</v>
      </c>
      <c r="J598" t="n">
        <v>0</v>
      </c>
      <c r="K598" t="n">
        <v>0</v>
      </c>
      <c r="L598" t="n">
        <v>0</v>
      </c>
      <c r="M598" t="n">
        <v>0</v>
      </c>
      <c r="N598" t="n">
        <v>0</v>
      </c>
      <c r="O598" t="n">
        <v>0</v>
      </c>
      <c r="P598" t="n">
        <v>0</v>
      </c>
      <c r="Q598" t="n">
        <v>0</v>
      </c>
      <c r="R598" s="2" t="inlineStr"/>
    </row>
    <row r="599" ht="15" customHeight="1">
      <c r="A599" t="inlineStr">
        <is>
          <t>A 64427-2021</t>
        </is>
      </c>
      <c r="B599" s="1" t="n">
        <v>44511</v>
      </c>
      <c r="C599" s="1" t="n">
        <v>46001</v>
      </c>
      <c r="D599" t="inlineStr">
        <is>
          <t>ÖREBRO LÄN</t>
        </is>
      </c>
      <c r="E599" t="inlineStr">
        <is>
          <t>LINDESBERG</t>
        </is>
      </c>
      <c r="G599" t="n">
        <v>2.2</v>
      </c>
      <c r="H599" t="n">
        <v>0</v>
      </c>
      <c r="I599" t="n">
        <v>0</v>
      </c>
      <c r="J599" t="n">
        <v>0</v>
      </c>
      <c r="K599" t="n">
        <v>0</v>
      </c>
      <c r="L599" t="n">
        <v>0</v>
      </c>
      <c r="M599" t="n">
        <v>0</v>
      </c>
      <c r="N599" t="n">
        <v>0</v>
      </c>
      <c r="O599" t="n">
        <v>0</v>
      </c>
      <c r="P599" t="n">
        <v>0</v>
      </c>
      <c r="Q599" t="n">
        <v>0</v>
      </c>
      <c r="R599" s="2" t="inlineStr"/>
    </row>
    <row r="600" ht="15" customHeight="1">
      <c r="A600" t="inlineStr">
        <is>
          <t>A 51172-2025</t>
        </is>
      </c>
      <c r="B600" s="1" t="n">
        <v>45947.60508101852</v>
      </c>
      <c r="C600" s="1" t="n">
        <v>46001</v>
      </c>
      <c r="D600" t="inlineStr">
        <is>
          <t>ÖREBRO LÄN</t>
        </is>
      </c>
      <c r="E600" t="inlineStr">
        <is>
          <t>LINDESBERG</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19077-2025</t>
        </is>
      </c>
      <c r="B601" s="1" t="n">
        <v>45766.33309027777</v>
      </c>
      <c r="C601" s="1" t="n">
        <v>46001</v>
      </c>
      <c r="D601" t="inlineStr">
        <is>
          <t>ÖREBRO LÄN</t>
        </is>
      </c>
      <c r="E601" t="inlineStr">
        <is>
          <t>LINDESBERG</t>
        </is>
      </c>
      <c r="G601" t="n">
        <v>0</v>
      </c>
      <c r="H601" t="n">
        <v>0</v>
      </c>
      <c r="I601" t="n">
        <v>0</v>
      </c>
      <c r="J601" t="n">
        <v>0</v>
      </c>
      <c r="K601" t="n">
        <v>0</v>
      </c>
      <c r="L601" t="n">
        <v>0</v>
      </c>
      <c r="M601" t="n">
        <v>0</v>
      </c>
      <c r="N601" t="n">
        <v>0</v>
      </c>
      <c r="O601" t="n">
        <v>0</v>
      </c>
      <c r="P601" t="n">
        <v>0</v>
      </c>
      <c r="Q601" t="n">
        <v>0</v>
      </c>
      <c r="R601" s="2" t="inlineStr"/>
    </row>
    <row r="602" ht="15" customHeight="1">
      <c r="A602" t="inlineStr">
        <is>
          <t>A 49544-2023</t>
        </is>
      </c>
      <c r="B602" s="1" t="n">
        <v>45211</v>
      </c>
      <c r="C602" s="1" t="n">
        <v>46001</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52102-2025</t>
        </is>
      </c>
      <c r="B603" s="1" t="n">
        <v>45952.68358796297</v>
      </c>
      <c r="C603" s="1" t="n">
        <v>46001</v>
      </c>
      <c r="D603" t="inlineStr">
        <is>
          <t>ÖREBRO LÄN</t>
        </is>
      </c>
      <c r="E603" t="inlineStr">
        <is>
          <t>LINDESBERG</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52117-2025</t>
        </is>
      </c>
      <c r="B604" s="1" t="n">
        <v>45952.70765046297</v>
      </c>
      <c r="C604" s="1" t="n">
        <v>46001</v>
      </c>
      <c r="D604" t="inlineStr">
        <is>
          <t>ÖREBRO LÄN</t>
        </is>
      </c>
      <c r="E604" t="inlineStr">
        <is>
          <t>LINDESBERG</t>
        </is>
      </c>
      <c r="G604" t="n">
        <v>4.6</v>
      </c>
      <c r="H604" t="n">
        <v>0</v>
      </c>
      <c r="I604" t="n">
        <v>0</v>
      </c>
      <c r="J604" t="n">
        <v>0</v>
      </c>
      <c r="K604" t="n">
        <v>0</v>
      </c>
      <c r="L604" t="n">
        <v>0</v>
      </c>
      <c r="M604" t="n">
        <v>0</v>
      </c>
      <c r="N604" t="n">
        <v>0</v>
      </c>
      <c r="O604" t="n">
        <v>0</v>
      </c>
      <c r="P604" t="n">
        <v>0</v>
      </c>
      <c r="Q604" t="n">
        <v>0</v>
      </c>
      <c r="R604" s="2" t="inlineStr"/>
    </row>
    <row r="605" ht="15" customHeight="1">
      <c r="A605" t="inlineStr">
        <is>
          <t>A 15094-2025</t>
        </is>
      </c>
      <c r="B605" s="1" t="n">
        <v>45744.32981481482</v>
      </c>
      <c r="C605" s="1" t="n">
        <v>46001</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13969-2025</t>
        </is>
      </c>
      <c r="B606" s="1" t="n">
        <v>45738.43714120371</v>
      </c>
      <c r="C606" s="1" t="n">
        <v>46001</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24352-2023</t>
        </is>
      </c>
      <c r="B607" s="1" t="n">
        <v>45082.31421296296</v>
      </c>
      <c r="C607" s="1" t="n">
        <v>46001</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46001</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52098-2025</t>
        </is>
      </c>
      <c r="B609" s="1" t="n">
        <v>45952.68001157408</v>
      </c>
      <c r="C609" s="1" t="n">
        <v>46001</v>
      </c>
      <c r="D609" t="inlineStr">
        <is>
          <t>ÖREBRO LÄN</t>
        </is>
      </c>
      <c r="E609" t="inlineStr">
        <is>
          <t>LINDESBERG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52103-2025</t>
        </is>
      </c>
      <c r="B610" s="1" t="n">
        <v>45952.68439814815</v>
      </c>
      <c r="C610" s="1" t="n">
        <v>46001</v>
      </c>
      <c r="D610" t="inlineStr">
        <is>
          <t>ÖREBRO LÄN</t>
        </is>
      </c>
      <c r="E610" t="inlineStr">
        <is>
          <t>LINDESBERG</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36024-2021</t>
        </is>
      </c>
      <c r="B611" s="1" t="n">
        <v>44389</v>
      </c>
      <c r="C611" s="1" t="n">
        <v>46001</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10823-2023</t>
        </is>
      </c>
      <c r="B612" s="1" t="n">
        <v>44990</v>
      </c>
      <c r="C612" s="1" t="n">
        <v>46001</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52101-2025</t>
        </is>
      </c>
      <c r="B613" s="1" t="n">
        <v>45952.68271990741</v>
      </c>
      <c r="C613" s="1" t="n">
        <v>46001</v>
      </c>
      <c r="D613" t="inlineStr">
        <is>
          <t>ÖREBRO LÄN</t>
        </is>
      </c>
      <c r="E613" t="inlineStr">
        <is>
          <t>LINDESBERG</t>
        </is>
      </c>
      <c r="F613" t="inlineStr">
        <is>
          <t>Sveaskog</t>
        </is>
      </c>
      <c r="G613" t="n">
        <v>10.9</v>
      </c>
      <c r="H613" t="n">
        <v>0</v>
      </c>
      <c r="I613" t="n">
        <v>0</v>
      </c>
      <c r="J613" t="n">
        <v>0</v>
      </c>
      <c r="K613" t="n">
        <v>0</v>
      </c>
      <c r="L613" t="n">
        <v>0</v>
      </c>
      <c r="M613" t="n">
        <v>0</v>
      </c>
      <c r="N613" t="n">
        <v>0</v>
      </c>
      <c r="O613" t="n">
        <v>0</v>
      </c>
      <c r="P613" t="n">
        <v>0</v>
      </c>
      <c r="Q613" t="n">
        <v>0</v>
      </c>
      <c r="R613" s="2" t="inlineStr"/>
    </row>
    <row r="614" ht="15" customHeight="1">
      <c r="A614" t="inlineStr">
        <is>
          <t>A 52104-2025</t>
        </is>
      </c>
      <c r="B614" s="1" t="n">
        <v>45952.68524305556</v>
      </c>
      <c r="C614" s="1" t="n">
        <v>46001</v>
      </c>
      <c r="D614" t="inlineStr">
        <is>
          <t>ÖREBRO LÄN</t>
        </is>
      </c>
      <c r="E614" t="inlineStr">
        <is>
          <t>LINDESBERG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58603-2023</t>
        </is>
      </c>
      <c r="B615" s="1" t="n">
        <v>45251</v>
      </c>
      <c r="C615" s="1" t="n">
        <v>46001</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13417-2025</t>
        </is>
      </c>
      <c r="B616" s="1" t="n">
        <v>45736.30940972222</v>
      </c>
      <c r="C616" s="1" t="n">
        <v>46001</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43066-2021</t>
        </is>
      </c>
      <c r="B617" s="1" t="n">
        <v>44431</v>
      </c>
      <c r="C617" s="1" t="n">
        <v>46001</v>
      </c>
      <c r="D617" t="inlineStr">
        <is>
          <t>ÖREBRO LÄN</t>
        </is>
      </c>
      <c r="E617" t="inlineStr">
        <is>
          <t>LINDESBERG</t>
        </is>
      </c>
      <c r="G617" t="n">
        <v>0.6</v>
      </c>
      <c r="H617" t="n">
        <v>0</v>
      </c>
      <c r="I617" t="n">
        <v>0</v>
      </c>
      <c r="J617" t="n">
        <v>0</v>
      </c>
      <c r="K617" t="n">
        <v>0</v>
      </c>
      <c r="L617" t="n">
        <v>0</v>
      </c>
      <c r="M617" t="n">
        <v>0</v>
      </c>
      <c r="N617" t="n">
        <v>0</v>
      </c>
      <c r="O617" t="n">
        <v>0</v>
      </c>
      <c r="P617" t="n">
        <v>0</v>
      </c>
      <c r="Q617" t="n">
        <v>0</v>
      </c>
      <c r="R617" s="2" t="inlineStr"/>
    </row>
    <row r="618" ht="15" customHeight="1">
      <c r="A618" t="inlineStr">
        <is>
          <t>A 23603-2023</t>
        </is>
      </c>
      <c r="B618" s="1" t="n">
        <v>45077</v>
      </c>
      <c r="C618" s="1" t="n">
        <v>46001</v>
      </c>
      <c r="D618" t="inlineStr">
        <is>
          <t>ÖREBRO LÄN</t>
        </is>
      </c>
      <c r="E618" t="inlineStr">
        <is>
          <t>LINDESBERG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23607-2023</t>
        </is>
      </c>
      <c r="B619" s="1" t="n">
        <v>45077</v>
      </c>
      <c r="C619" s="1" t="n">
        <v>46001</v>
      </c>
      <c r="D619" t="inlineStr">
        <is>
          <t>ÖREBRO LÄN</t>
        </is>
      </c>
      <c r="E619" t="inlineStr">
        <is>
          <t>LINDESBERG</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23612-2023</t>
        </is>
      </c>
      <c r="B620" s="1" t="n">
        <v>45077</v>
      </c>
      <c r="C620" s="1" t="n">
        <v>46001</v>
      </c>
      <c r="D620" t="inlineStr">
        <is>
          <t>ÖREBRO LÄN</t>
        </is>
      </c>
      <c r="E620" t="inlineStr">
        <is>
          <t>LINDESBERG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52401-2025</t>
        </is>
      </c>
      <c r="B621" s="1" t="n">
        <v>45954.35075231481</v>
      </c>
      <c r="C621" s="1" t="n">
        <v>46001</v>
      </c>
      <c r="D621" t="inlineStr">
        <is>
          <t>ÖREBRO LÄN</t>
        </is>
      </c>
      <c r="E621" t="inlineStr">
        <is>
          <t>LINDESBERG</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23102-2023</t>
        </is>
      </c>
      <c r="B622" s="1" t="n">
        <v>45075.44152777778</v>
      </c>
      <c r="C622" s="1" t="n">
        <v>46001</v>
      </c>
      <c r="D622" t="inlineStr">
        <is>
          <t>ÖREBRO LÄN</t>
        </is>
      </c>
      <c r="E622" t="inlineStr">
        <is>
          <t>LINDESBERG</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15212-2025</t>
        </is>
      </c>
      <c r="B623" s="1" t="n">
        <v>45744.57673611111</v>
      </c>
      <c r="C623" s="1" t="n">
        <v>46001</v>
      </c>
      <c r="D623" t="inlineStr">
        <is>
          <t>ÖREBRO LÄN</t>
        </is>
      </c>
      <c r="E623" t="inlineStr">
        <is>
          <t>LINDESBERG</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3148-2023</t>
        </is>
      </c>
      <c r="B624" s="1" t="n">
        <v>44946.54424768518</v>
      </c>
      <c r="C624" s="1" t="n">
        <v>46001</v>
      </c>
      <c r="D624" t="inlineStr">
        <is>
          <t>ÖREBRO LÄN</t>
        </is>
      </c>
      <c r="E624" t="inlineStr">
        <is>
          <t>LINDESBERG</t>
        </is>
      </c>
      <c r="G624" t="n">
        <v>5.5</v>
      </c>
      <c r="H624" t="n">
        <v>0</v>
      </c>
      <c r="I624" t="n">
        <v>0</v>
      </c>
      <c r="J624" t="n">
        <v>0</v>
      </c>
      <c r="K624" t="n">
        <v>0</v>
      </c>
      <c r="L624" t="n">
        <v>0</v>
      </c>
      <c r="M624" t="n">
        <v>0</v>
      </c>
      <c r="N624" t="n">
        <v>0</v>
      </c>
      <c r="O624" t="n">
        <v>0</v>
      </c>
      <c r="P624" t="n">
        <v>0</v>
      </c>
      <c r="Q624" t="n">
        <v>0</v>
      </c>
      <c r="R624" s="2" t="inlineStr"/>
    </row>
    <row r="625" ht="15" customHeight="1">
      <c r="A625" t="inlineStr">
        <is>
          <t>A 52298-2025</t>
        </is>
      </c>
      <c r="B625" s="1" t="n">
        <v>45953.61387731481</v>
      </c>
      <c r="C625" s="1" t="n">
        <v>46001</v>
      </c>
      <c r="D625" t="inlineStr">
        <is>
          <t>ÖREBRO LÄN</t>
        </is>
      </c>
      <c r="E625" t="inlineStr">
        <is>
          <t>LINDESBERG</t>
        </is>
      </c>
      <c r="G625" t="n">
        <v>18.2</v>
      </c>
      <c r="H625" t="n">
        <v>0</v>
      </c>
      <c r="I625" t="n">
        <v>0</v>
      </c>
      <c r="J625" t="n">
        <v>0</v>
      </c>
      <c r="K625" t="n">
        <v>0</v>
      </c>
      <c r="L625" t="n">
        <v>0</v>
      </c>
      <c r="M625" t="n">
        <v>0</v>
      </c>
      <c r="N625" t="n">
        <v>0</v>
      </c>
      <c r="O625" t="n">
        <v>0</v>
      </c>
      <c r="P625" t="n">
        <v>0</v>
      </c>
      <c r="Q625" t="n">
        <v>0</v>
      </c>
      <c r="R625" s="2" t="inlineStr"/>
    </row>
    <row r="626" ht="15" customHeight="1">
      <c r="A626" t="inlineStr">
        <is>
          <t>A 52730-2025</t>
        </is>
      </c>
      <c r="B626" s="1" t="n">
        <v>45957.36386574074</v>
      </c>
      <c r="C626" s="1" t="n">
        <v>46001</v>
      </c>
      <c r="D626" t="inlineStr">
        <is>
          <t>ÖREBRO LÄN</t>
        </is>
      </c>
      <c r="E626" t="inlineStr">
        <is>
          <t>LINDESBERG</t>
        </is>
      </c>
      <c r="F626" t="inlineStr">
        <is>
          <t>Sveaskog</t>
        </is>
      </c>
      <c r="G626" t="n">
        <v>5</v>
      </c>
      <c r="H626" t="n">
        <v>0</v>
      </c>
      <c r="I626" t="n">
        <v>0</v>
      </c>
      <c r="J626" t="n">
        <v>0</v>
      </c>
      <c r="K626" t="n">
        <v>0</v>
      </c>
      <c r="L626" t="n">
        <v>0</v>
      </c>
      <c r="M626" t="n">
        <v>0</v>
      </c>
      <c r="N626" t="n">
        <v>0</v>
      </c>
      <c r="O626" t="n">
        <v>0</v>
      </c>
      <c r="P626" t="n">
        <v>0</v>
      </c>
      <c r="Q626" t="n">
        <v>0</v>
      </c>
      <c r="R626" s="2" t="inlineStr"/>
    </row>
    <row r="627" ht="15" customHeight="1">
      <c r="A627" t="inlineStr">
        <is>
          <t>A 50225-2021</t>
        </is>
      </c>
      <c r="B627" s="1" t="n">
        <v>44457</v>
      </c>
      <c r="C627" s="1" t="n">
        <v>46001</v>
      </c>
      <c r="D627" t="inlineStr">
        <is>
          <t>ÖREBRO LÄN</t>
        </is>
      </c>
      <c r="E627" t="inlineStr">
        <is>
          <t>LINDESBERG</t>
        </is>
      </c>
      <c r="G627" t="n">
        <v>2.5</v>
      </c>
      <c r="H627" t="n">
        <v>0</v>
      </c>
      <c r="I627" t="n">
        <v>0</v>
      </c>
      <c r="J627" t="n">
        <v>0</v>
      </c>
      <c r="K627" t="n">
        <v>0</v>
      </c>
      <c r="L627" t="n">
        <v>0</v>
      </c>
      <c r="M627" t="n">
        <v>0</v>
      </c>
      <c r="N627" t="n">
        <v>0</v>
      </c>
      <c r="O627" t="n">
        <v>0</v>
      </c>
      <c r="P627" t="n">
        <v>0</v>
      </c>
      <c r="Q627" t="n">
        <v>0</v>
      </c>
      <c r="R627" s="2" t="inlineStr"/>
    </row>
    <row r="628" ht="15" customHeight="1">
      <c r="A628" t="inlineStr">
        <is>
          <t>A 61202-2023</t>
        </is>
      </c>
      <c r="B628" s="1" t="n">
        <v>45264.38084490741</v>
      </c>
      <c r="C628" s="1" t="n">
        <v>46001</v>
      </c>
      <c r="D628" t="inlineStr">
        <is>
          <t>ÖREBRO LÄN</t>
        </is>
      </c>
      <c r="E628" t="inlineStr">
        <is>
          <t>LINDESBERG</t>
        </is>
      </c>
      <c r="G628" t="n">
        <v>0.9</v>
      </c>
      <c r="H628" t="n">
        <v>0</v>
      </c>
      <c r="I628" t="n">
        <v>0</v>
      </c>
      <c r="J628" t="n">
        <v>0</v>
      </c>
      <c r="K628" t="n">
        <v>0</v>
      </c>
      <c r="L628" t="n">
        <v>0</v>
      </c>
      <c r="M628" t="n">
        <v>0</v>
      </c>
      <c r="N628" t="n">
        <v>0</v>
      </c>
      <c r="O628" t="n">
        <v>0</v>
      </c>
      <c r="P628" t="n">
        <v>0</v>
      </c>
      <c r="Q628" t="n">
        <v>0</v>
      </c>
      <c r="R628" s="2" t="inlineStr"/>
    </row>
    <row r="629" ht="15" customHeight="1">
      <c r="A629" t="inlineStr">
        <is>
          <t>A 53187-2025</t>
        </is>
      </c>
      <c r="B629" s="1" t="n">
        <v>45958.55577546296</v>
      </c>
      <c r="C629" s="1" t="n">
        <v>46001</v>
      </c>
      <c r="D629" t="inlineStr">
        <is>
          <t>ÖREBRO LÄN</t>
        </is>
      </c>
      <c r="E629" t="inlineStr">
        <is>
          <t>LINDESBERG</t>
        </is>
      </c>
      <c r="F629" t="inlineStr">
        <is>
          <t>Kommuner</t>
        </is>
      </c>
      <c r="G629" t="n">
        <v>2.7</v>
      </c>
      <c r="H629" t="n">
        <v>0</v>
      </c>
      <c r="I629" t="n">
        <v>0</v>
      </c>
      <c r="J629" t="n">
        <v>0</v>
      </c>
      <c r="K629" t="n">
        <v>0</v>
      </c>
      <c r="L629" t="n">
        <v>0</v>
      </c>
      <c r="M629" t="n">
        <v>0</v>
      </c>
      <c r="N629" t="n">
        <v>0</v>
      </c>
      <c r="O629" t="n">
        <v>0</v>
      </c>
      <c r="P629" t="n">
        <v>0</v>
      </c>
      <c r="Q629" t="n">
        <v>0</v>
      </c>
      <c r="R629" s="2" t="inlineStr"/>
    </row>
    <row r="630" ht="15" customHeight="1">
      <c r="A630" t="inlineStr">
        <is>
          <t>A 14187-2024</t>
        </is>
      </c>
      <c r="B630" s="1" t="n">
        <v>45393.35787037037</v>
      </c>
      <c r="C630" s="1" t="n">
        <v>46001</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195-2022</t>
        </is>
      </c>
      <c r="B631" s="1" t="n">
        <v>44564</v>
      </c>
      <c r="C631" s="1" t="n">
        <v>46001</v>
      </c>
      <c r="D631" t="inlineStr">
        <is>
          <t>ÖREBRO LÄN</t>
        </is>
      </c>
      <c r="E631" t="inlineStr">
        <is>
          <t>LINDESBERG</t>
        </is>
      </c>
      <c r="G631" t="n">
        <v>4.7</v>
      </c>
      <c r="H631" t="n">
        <v>0</v>
      </c>
      <c r="I631" t="n">
        <v>0</v>
      </c>
      <c r="J631" t="n">
        <v>0</v>
      </c>
      <c r="K631" t="n">
        <v>0</v>
      </c>
      <c r="L631" t="n">
        <v>0</v>
      </c>
      <c r="M631" t="n">
        <v>0</v>
      </c>
      <c r="N631" t="n">
        <v>0</v>
      </c>
      <c r="O631" t="n">
        <v>0</v>
      </c>
      <c r="P631" t="n">
        <v>0</v>
      </c>
      <c r="Q631" t="n">
        <v>0</v>
      </c>
      <c r="R631" s="2" t="inlineStr"/>
    </row>
    <row r="632" ht="15" customHeight="1">
      <c r="A632" t="inlineStr">
        <is>
          <t>A 29500-2023</t>
        </is>
      </c>
      <c r="B632" s="1" t="n">
        <v>45106</v>
      </c>
      <c r="C632" s="1" t="n">
        <v>46001</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39140-2024</t>
        </is>
      </c>
      <c r="B633" s="1" t="n">
        <v>45548</v>
      </c>
      <c r="C633" s="1" t="n">
        <v>46001</v>
      </c>
      <c r="D633" t="inlineStr">
        <is>
          <t>ÖREBRO LÄN</t>
        </is>
      </c>
      <c r="E633" t="inlineStr">
        <is>
          <t>LINDESBERG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60806-2025</t>
        </is>
      </c>
      <c r="B634" s="1" t="n">
        <v>45999.43730324074</v>
      </c>
      <c r="C634" s="1" t="n">
        <v>46001</v>
      </c>
      <c r="D634" t="inlineStr">
        <is>
          <t>ÖREBRO LÄN</t>
        </is>
      </c>
      <c r="E634" t="inlineStr">
        <is>
          <t>LINDESBERG</t>
        </is>
      </c>
      <c r="G634" t="n">
        <v>7.9</v>
      </c>
      <c r="H634" t="n">
        <v>0</v>
      </c>
      <c r="I634" t="n">
        <v>0</v>
      </c>
      <c r="J634" t="n">
        <v>0</v>
      </c>
      <c r="K634" t="n">
        <v>0</v>
      </c>
      <c r="L634" t="n">
        <v>0</v>
      </c>
      <c r="M634" t="n">
        <v>0</v>
      </c>
      <c r="N634" t="n">
        <v>0</v>
      </c>
      <c r="O634" t="n">
        <v>0</v>
      </c>
      <c r="P634" t="n">
        <v>0</v>
      </c>
      <c r="Q634" t="n">
        <v>0</v>
      </c>
      <c r="R634" s="2" t="inlineStr"/>
    </row>
    <row r="635" ht="15" customHeight="1">
      <c r="A635" t="inlineStr">
        <is>
          <t>A 265-2023</t>
        </is>
      </c>
      <c r="B635" s="1" t="n">
        <v>44928</v>
      </c>
      <c r="C635" s="1" t="n">
        <v>46001</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41582-2021</t>
        </is>
      </c>
      <c r="B636" s="1" t="n">
        <v>44425.40297453704</v>
      </c>
      <c r="C636" s="1" t="n">
        <v>46001</v>
      </c>
      <c r="D636" t="inlineStr">
        <is>
          <t>ÖREBRO LÄN</t>
        </is>
      </c>
      <c r="E636" t="inlineStr">
        <is>
          <t>LINDESBERG</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19392-2025</t>
        </is>
      </c>
      <c r="B637" s="1" t="n">
        <v>45769.66260416667</v>
      </c>
      <c r="C637" s="1" t="n">
        <v>46001</v>
      </c>
      <c r="D637" t="inlineStr">
        <is>
          <t>ÖREBRO LÄN</t>
        </is>
      </c>
      <c r="E637" t="inlineStr">
        <is>
          <t>LINDESBERG</t>
        </is>
      </c>
      <c r="G637" t="n">
        <v>6.5</v>
      </c>
      <c r="H637" t="n">
        <v>0</v>
      </c>
      <c r="I637" t="n">
        <v>0</v>
      </c>
      <c r="J637" t="n">
        <v>0</v>
      </c>
      <c r="K637" t="n">
        <v>0</v>
      </c>
      <c r="L637" t="n">
        <v>0</v>
      </c>
      <c r="M637" t="n">
        <v>0</v>
      </c>
      <c r="N637" t="n">
        <v>0</v>
      </c>
      <c r="O637" t="n">
        <v>0</v>
      </c>
      <c r="P637" t="n">
        <v>0</v>
      </c>
      <c r="Q637" t="n">
        <v>0</v>
      </c>
      <c r="R637" s="2" t="inlineStr"/>
    </row>
    <row r="638" ht="15" customHeight="1">
      <c r="A638" t="inlineStr">
        <is>
          <t>A 59052-2023</t>
        </is>
      </c>
      <c r="B638" s="1" t="n">
        <v>45252.78021990741</v>
      </c>
      <c r="C638" s="1" t="n">
        <v>46001</v>
      </c>
      <c r="D638" t="inlineStr">
        <is>
          <t>ÖREBRO LÄN</t>
        </is>
      </c>
      <c r="E638" t="inlineStr">
        <is>
          <t>LINDESBERG</t>
        </is>
      </c>
      <c r="G638" t="n">
        <v>4.2</v>
      </c>
      <c r="H638" t="n">
        <v>0</v>
      </c>
      <c r="I638" t="n">
        <v>0</v>
      </c>
      <c r="J638" t="n">
        <v>0</v>
      </c>
      <c r="K638" t="n">
        <v>0</v>
      </c>
      <c r="L638" t="n">
        <v>0</v>
      </c>
      <c r="M638" t="n">
        <v>0</v>
      </c>
      <c r="N638" t="n">
        <v>0</v>
      </c>
      <c r="O638" t="n">
        <v>0</v>
      </c>
      <c r="P638" t="n">
        <v>0</v>
      </c>
      <c r="Q638" t="n">
        <v>0</v>
      </c>
      <c r="R638" s="2" t="inlineStr"/>
    </row>
    <row r="639" ht="15" customHeight="1">
      <c r="A639" t="inlineStr">
        <is>
          <t>A 6-2023</t>
        </is>
      </c>
      <c r="B639" s="1" t="n">
        <v>44927.72487268518</v>
      </c>
      <c r="C639" s="1" t="n">
        <v>46001</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54864-2024</t>
        </is>
      </c>
      <c r="B640" s="1" t="n">
        <v>45618.59456018519</v>
      </c>
      <c r="C640" s="1" t="n">
        <v>46001</v>
      </c>
      <c r="D640" t="inlineStr">
        <is>
          <t>ÖREBRO LÄN</t>
        </is>
      </c>
      <c r="E640" t="inlineStr">
        <is>
          <t>LINDESBERG</t>
        </is>
      </c>
      <c r="F640" t="inlineStr">
        <is>
          <t>Sveaskog</t>
        </is>
      </c>
      <c r="G640" t="n">
        <v>4.4</v>
      </c>
      <c r="H640" t="n">
        <v>0</v>
      </c>
      <c r="I640" t="n">
        <v>0</v>
      </c>
      <c r="J640" t="n">
        <v>0</v>
      </c>
      <c r="K640" t="n">
        <v>0</v>
      </c>
      <c r="L640" t="n">
        <v>0</v>
      </c>
      <c r="M640" t="n">
        <v>0</v>
      </c>
      <c r="N640" t="n">
        <v>0</v>
      </c>
      <c r="O640" t="n">
        <v>0</v>
      </c>
      <c r="P640" t="n">
        <v>0</v>
      </c>
      <c r="Q640" t="n">
        <v>0</v>
      </c>
      <c r="R640" s="2" t="inlineStr"/>
    </row>
    <row r="641" ht="15" customHeight="1">
      <c r="A641" t="inlineStr">
        <is>
          <t>A 52402-2025</t>
        </is>
      </c>
      <c r="B641" s="1" t="n">
        <v>45954.35387731482</v>
      </c>
      <c r="C641" s="1" t="n">
        <v>46001</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7211-2024</t>
        </is>
      </c>
      <c r="B642" s="1" t="n">
        <v>45344.623125</v>
      </c>
      <c r="C642" s="1" t="n">
        <v>46001</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15899-2025</t>
        </is>
      </c>
      <c r="B643" s="1" t="n">
        <v>45749.42258101852</v>
      </c>
      <c r="C643" s="1" t="n">
        <v>46001</v>
      </c>
      <c r="D643" t="inlineStr">
        <is>
          <t>ÖREBRO LÄN</t>
        </is>
      </c>
      <c r="E643" t="inlineStr">
        <is>
          <t>LINDESBERG</t>
        </is>
      </c>
      <c r="G643" t="n">
        <v>6.6</v>
      </c>
      <c r="H643" t="n">
        <v>0</v>
      </c>
      <c r="I643" t="n">
        <v>0</v>
      </c>
      <c r="J643" t="n">
        <v>0</v>
      </c>
      <c r="K643" t="n">
        <v>0</v>
      </c>
      <c r="L643" t="n">
        <v>0</v>
      </c>
      <c r="M643" t="n">
        <v>0</v>
      </c>
      <c r="N643" t="n">
        <v>0</v>
      </c>
      <c r="O643" t="n">
        <v>0</v>
      </c>
      <c r="P643" t="n">
        <v>0</v>
      </c>
      <c r="Q643" t="n">
        <v>0</v>
      </c>
      <c r="R643" s="2" t="inlineStr"/>
    </row>
    <row r="644" ht="15" customHeight="1">
      <c r="A644" t="inlineStr">
        <is>
          <t>A 50275-2024</t>
        </is>
      </c>
      <c r="B644" s="1" t="n">
        <v>45600.60071759259</v>
      </c>
      <c r="C644" s="1" t="n">
        <v>46001</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7992-2025</t>
        </is>
      </c>
      <c r="B645" s="1" t="n">
        <v>45707</v>
      </c>
      <c r="C645" s="1" t="n">
        <v>46001</v>
      </c>
      <c r="D645" t="inlineStr">
        <is>
          <t>ÖREBRO LÄN</t>
        </is>
      </c>
      <c r="E645" t="inlineStr">
        <is>
          <t>LINDESBERG</t>
        </is>
      </c>
      <c r="G645" t="n">
        <v>4.8</v>
      </c>
      <c r="H645" t="n">
        <v>0</v>
      </c>
      <c r="I645" t="n">
        <v>0</v>
      </c>
      <c r="J645" t="n">
        <v>0</v>
      </c>
      <c r="K645" t="n">
        <v>0</v>
      </c>
      <c r="L645" t="n">
        <v>0</v>
      </c>
      <c r="M645" t="n">
        <v>0</v>
      </c>
      <c r="N645" t="n">
        <v>0</v>
      </c>
      <c r="O645" t="n">
        <v>0</v>
      </c>
      <c r="P645" t="n">
        <v>0</v>
      </c>
      <c r="Q645" t="n">
        <v>0</v>
      </c>
      <c r="R645" s="2" t="inlineStr"/>
    </row>
    <row r="646" ht="15" customHeight="1">
      <c r="A646" t="inlineStr">
        <is>
          <t>A 3294-2024</t>
        </is>
      </c>
      <c r="B646" s="1" t="n">
        <v>45316</v>
      </c>
      <c r="C646" s="1" t="n">
        <v>46001</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41947-2023</t>
        </is>
      </c>
      <c r="B647" s="1" t="n">
        <v>45177.31795138889</v>
      </c>
      <c r="C647" s="1" t="n">
        <v>46001</v>
      </c>
      <c r="D647" t="inlineStr">
        <is>
          <t>ÖREBRO LÄN</t>
        </is>
      </c>
      <c r="E647" t="inlineStr">
        <is>
          <t>LINDESBERG</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16447-2025</t>
        </is>
      </c>
      <c r="B648" s="1" t="n">
        <v>45751.50498842593</v>
      </c>
      <c r="C648" s="1" t="n">
        <v>46001</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29975-2023</t>
        </is>
      </c>
      <c r="B649" s="1" t="n">
        <v>45108.7553587963</v>
      </c>
      <c r="C649" s="1" t="n">
        <v>46001</v>
      </c>
      <c r="D649" t="inlineStr">
        <is>
          <t>ÖREBRO LÄN</t>
        </is>
      </c>
      <c r="E649" t="inlineStr">
        <is>
          <t>LINDESBERG</t>
        </is>
      </c>
      <c r="G649" t="n">
        <v>6.4</v>
      </c>
      <c r="H649" t="n">
        <v>0</v>
      </c>
      <c r="I649" t="n">
        <v>0</v>
      </c>
      <c r="J649" t="n">
        <v>0</v>
      </c>
      <c r="K649" t="n">
        <v>0</v>
      </c>
      <c r="L649" t="n">
        <v>0</v>
      </c>
      <c r="M649" t="n">
        <v>0</v>
      </c>
      <c r="N649" t="n">
        <v>0</v>
      </c>
      <c r="O649" t="n">
        <v>0</v>
      </c>
      <c r="P649" t="n">
        <v>0</v>
      </c>
      <c r="Q649" t="n">
        <v>0</v>
      </c>
      <c r="R649" s="2" t="inlineStr"/>
    </row>
    <row r="650" ht="15" customHeight="1">
      <c r="A650" t="inlineStr">
        <is>
          <t>A 16448-2025</t>
        </is>
      </c>
      <c r="B650" s="1" t="n">
        <v>45751.5056712963</v>
      </c>
      <c r="C650" s="1" t="n">
        <v>46001</v>
      </c>
      <c r="D650" t="inlineStr">
        <is>
          <t>ÖREBRO LÄN</t>
        </is>
      </c>
      <c r="E650" t="inlineStr">
        <is>
          <t>LINDESBERG</t>
        </is>
      </c>
      <c r="G650" t="n">
        <v>20.1</v>
      </c>
      <c r="H650" t="n">
        <v>0</v>
      </c>
      <c r="I650" t="n">
        <v>0</v>
      </c>
      <c r="J650" t="n">
        <v>0</v>
      </c>
      <c r="K650" t="n">
        <v>0</v>
      </c>
      <c r="L650" t="n">
        <v>0</v>
      </c>
      <c r="M650" t="n">
        <v>0</v>
      </c>
      <c r="N650" t="n">
        <v>0</v>
      </c>
      <c r="O650" t="n">
        <v>0</v>
      </c>
      <c r="P650" t="n">
        <v>0</v>
      </c>
      <c r="Q650" t="n">
        <v>0</v>
      </c>
      <c r="R650" s="2" t="inlineStr"/>
    </row>
    <row r="651" ht="15" customHeight="1">
      <c r="A651" t="inlineStr">
        <is>
          <t>A 7126-2025</t>
        </is>
      </c>
      <c r="B651" s="1" t="n">
        <v>45702</v>
      </c>
      <c r="C651" s="1" t="n">
        <v>46001</v>
      </c>
      <c r="D651" t="inlineStr">
        <is>
          <t>ÖREBRO LÄN</t>
        </is>
      </c>
      <c r="E651" t="inlineStr">
        <is>
          <t>LINDESBERG</t>
        </is>
      </c>
      <c r="G651" t="n">
        <v>1.3</v>
      </c>
      <c r="H651" t="n">
        <v>0</v>
      </c>
      <c r="I651" t="n">
        <v>0</v>
      </c>
      <c r="J651" t="n">
        <v>0</v>
      </c>
      <c r="K651" t="n">
        <v>0</v>
      </c>
      <c r="L651" t="n">
        <v>0</v>
      </c>
      <c r="M651" t="n">
        <v>0</v>
      </c>
      <c r="N651" t="n">
        <v>0</v>
      </c>
      <c r="O651" t="n">
        <v>0</v>
      </c>
      <c r="P651" t="n">
        <v>0</v>
      </c>
      <c r="Q651" t="n">
        <v>0</v>
      </c>
      <c r="R651" s="2" t="inlineStr"/>
    </row>
    <row r="652" ht="15" customHeight="1">
      <c r="A652" t="inlineStr">
        <is>
          <t>A 40085-2023</t>
        </is>
      </c>
      <c r="B652" s="1" t="n">
        <v>45168.92155092592</v>
      </c>
      <c r="C652" s="1" t="n">
        <v>46001</v>
      </c>
      <c r="D652" t="inlineStr">
        <is>
          <t>ÖREBRO LÄN</t>
        </is>
      </c>
      <c r="E652" t="inlineStr">
        <is>
          <t>LINDESBERG</t>
        </is>
      </c>
      <c r="G652" t="n">
        <v>6.1</v>
      </c>
      <c r="H652" t="n">
        <v>0</v>
      </c>
      <c r="I652" t="n">
        <v>0</v>
      </c>
      <c r="J652" t="n">
        <v>0</v>
      </c>
      <c r="K652" t="n">
        <v>0</v>
      </c>
      <c r="L652" t="n">
        <v>0</v>
      </c>
      <c r="M652" t="n">
        <v>0</v>
      </c>
      <c r="N652" t="n">
        <v>0</v>
      </c>
      <c r="O652" t="n">
        <v>0</v>
      </c>
      <c r="P652" t="n">
        <v>0</v>
      </c>
      <c r="Q652" t="n">
        <v>0</v>
      </c>
      <c r="R652" s="2" t="inlineStr"/>
    </row>
    <row r="653" ht="15" customHeight="1">
      <c r="A653" t="inlineStr">
        <is>
          <t>A 28470-2023</t>
        </is>
      </c>
      <c r="B653" s="1" t="n">
        <v>45103</v>
      </c>
      <c r="C653" s="1" t="n">
        <v>46001</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32002-2023</t>
        </is>
      </c>
      <c r="B654" s="1" t="n">
        <v>45119.46452546296</v>
      </c>
      <c r="C654" s="1" t="n">
        <v>46001</v>
      </c>
      <c r="D654" t="inlineStr">
        <is>
          <t>ÖREBRO LÄN</t>
        </is>
      </c>
      <c r="E654" t="inlineStr">
        <is>
          <t>LINDESBERG</t>
        </is>
      </c>
      <c r="F654" t="inlineStr">
        <is>
          <t>Kyrkan</t>
        </is>
      </c>
      <c r="G654" t="n">
        <v>0.6</v>
      </c>
      <c r="H654" t="n">
        <v>0</v>
      </c>
      <c r="I654" t="n">
        <v>0</v>
      </c>
      <c r="J654" t="n">
        <v>0</v>
      </c>
      <c r="K654" t="n">
        <v>0</v>
      </c>
      <c r="L654" t="n">
        <v>0</v>
      </c>
      <c r="M654" t="n">
        <v>0</v>
      </c>
      <c r="N654" t="n">
        <v>0</v>
      </c>
      <c r="O654" t="n">
        <v>0</v>
      </c>
      <c r="P654" t="n">
        <v>0</v>
      </c>
      <c r="Q654" t="n">
        <v>0</v>
      </c>
      <c r="R654" s="2" t="inlineStr"/>
    </row>
    <row r="655" ht="15" customHeight="1">
      <c r="A655" t="inlineStr">
        <is>
          <t>A 29849-2023</t>
        </is>
      </c>
      <c r="B655" s="1" t="n">
        <v>45107</v>
      </c>
      <c r="C655" s="1" t="n">
        <v>46001</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5784-2025</t>
        </is>
      </c>
      <c r="B656" s="1" t="n">
        <v>45694</v>
      </c>
      <c r="C656" s="1" t="n">
        <v>46001</v>
      </c>
      <c r="D656" t="inlineStr">
        <is>
          <t>ÖREBRO LÄN</t>
        </is>
      </c>
      <c r="E656" t="inlineStr">
        <is>
          <t>LINDESBERG</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69208-2021</t>
        </is>
      </c>
      <c r="B657" s="1" t="n">
        <v>44531.3575</v>
      </c>
      <c r="C657" s="1" t="n">
        <v>46001</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45038-2024</t>
        </is>
      </c>
      <c r="B658" s="1" t="n">
        <v>45575.53331018519</v>
      </c>
      <c r="C658" s="1" t="n">
        <v>46001</v>
      </c>
      <c r="D658" t="inlineStr">
        <is>
          <t>ÖREBRO LÄN</t>
        </is>
      </c>
      <c r="E658" t="inlineStr">
        <is>
          <t>LINDESBERG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45046-2024</t>
        </is>
      </c>
      <c r="B659" s="1" t="n">
        <v>45575.54489583334</v>
      </c>
      <c r="C659" s="1" t="n">
        <v>46001</v>
      </c>
      <c r="D659" t="inlineStr">
        <is>
          <t>ÖREBRO LÄN</t>
        </is>
      </c>
      <c r="E659" t="inlineStr">
        <is>
          <t>LINDESBERG</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38552-2023</t>
        </is>
      </c>
      <c r="B660" s="1" t="n">
        <v>45162.5978125</v>
      </c>
      <c r="C660" s="1" t="n">
        <v>46001</v>
      </c>
      <c r="D660" t="inlineStr">
        <is>
          <t>ÖREBRO LÄN</t>
        </is>
      </c>
      <c r="E660" t="inlineStr">
        <is>
          <t>LINDESBERG</t>
        </is>
      </c>
      <c r="G660" t="n">
        <v>10.4</v>
      </c>
      <c r="H660" t="n">
        <v>0</v>
      </c>
      <c r="I660" t="n">
        <v>0</v>
      </c>
      <c r="J660" t="n">
        <v>0</v>
      </c>
      <c r="K660" t="n">
        <v>0</v>
      </c>
      <c r="L660" t="n">
        <v>0</v>
      </c>
      <c r="M660" t="n">
        <v>0</v>
      </c>
      <c r="N660" t="n">
        <v>0</v>
      </c>
      <c r="O660" t="n">
        <v>0</v>
      </c>
      <c r="P660" t="n">
        <v>0</v>
      </c>
      <c r="Q660" t="n">
        <v>0</v>
      </c>
      <c r="R660" s="2" t="inlineStr"/>
    </row>
    <row r="661" ht="15" customHeight="1">
      <c r="A661" t="inlineStr">
        <is>
          <t>A 64084-2023</t>
        </is>
      </c>
      <c r="B661" s="1" t="n">
        <v>45279</v>
      </c>
      <c r="C661" s="1" t="n">
        <v>46001</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33424-2024</t>
        </is>
      </c>
      <c r="B662" s="1" t="n">
        <v>45519.51627314815</v>
      </c>
      <c r="C662" s="1" t="n">
        <v>46001</v>
      </c>
      <c r="D662" t="inlineStr">
        <is>
          <t>ÖREBRO LÄN</t>
        </is>
      </c>
      <c r="E662" t="inlineStr">
        <is>
          <t>LINDESBERG</t>
        </is>
      </c>
      <c r="F662" t="inlineStr">
        <is>
          <t>Sveaskog</t>
        </is>
      </c>
      <c r="G662" t="n">
        <v>0.1</v>
      </c>
      <c r="H662" t="n">
        <v>0</v>
      </c>
      <c r="I662" t="n">
        <v>0</v>
      </c>
      <c r="J662" t="n">
        <v>0</v>
      </c>
      <c r="K662" t="n">
        <v>0</v>
      </c>
      <c r="L662" t="n">
        <v>0</v>
      </c>
      <c r="M662" t="n">
        <v>0</v>
      </c>
      <c r="N662" t="n">
        <v>0</v>
      </c>
      <c r="O662" t="n">
        <v>0</v>
      </c>
      <c r="P662" t="n">
        <v>0</v>
      </c>
      <c r="Q662" t="n">
        <v>0</v>
      </c>
      <c r="R662" s="2" t="inlineStr"/>
    </row>
    <row r="663" ht="15" customHeight="1">
      <c r="A663" t="inlineStr">
        <is>
          <t>A 33427-2024</t>
        </is>
      </c>
      <c r="B663" s="1" t="n">
        <v>45519.52232638889</v>
      </c>
      <c r="C663" s="1" t="n">
        <v>46001</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36509-2024</t>
        </is>
      </c>
      <c r="B664" s="1" t="n">
        <v>45537.42240740741</v>
      </c>
      <c r="C664" s="1" t="n">
        <v>46001</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29894-2023</t>
        </is>
      </c>
      <c r="B665" s="1" t="n">
        <v>45107</v>
      </c>
      <c r="C665" s="1" t="n">
        <v>46001</v>
      </c>
      <c r="D665" t="inlineStr">
        <is>
          <t>ÖREBRO LÄN</t>
        </is>
      </c>
      <c r="E665" t="inlineStr">
        <is>
          <t>LINDESBERG</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11559-2024</t>
        </is>
      </c>
      <c r="B666" s="1" t="n">
        <v>45373.30434027778</v>
      </c>
      <c r="C666" s="1" t="n">
        <v>46001</v>
      </c>
      <c r="D666" t="inlineStr">
        <is>
          <t>ÖREBRO LÄN</t>
        </is>
      </c>
      <c r="E666" t="inlineStr">
        <is>
          <t>LINDESBERG</t>
        </is>
      </c>
      <c r="F666" t="inlineStr">
        <is>
          <t>BillerudKorsnäs AB</t>
        </is>
      </c>
      <c r="G666" t="n">
        <v>1.9</v>
      </c>
      <c r="H666" t="n">
        <v>0</v>
      </c>
      <c r="I666" t="n">
        <v>0</v>
      </c>
      <c r="J666" t="n">
        <v>0</v>
      </c>
      <c r="K666" t="n">
        <v>0</v>
      </c>
      <c r="L666" t="n">
        <v>0</v>
      </c>
      <c r="M666" t="n">
        <v>0</v>
      </c>
      <c r="N666" t="n">
        <v>0</v>
      </c>
      <c r="O666" t="n">
        <v>0</v>
      </c>
      <c r="P666" t="n">
        <v>0</v>
      </c>
      <c r="Q666" t="n">
        <v>0</v>
      </c>
      <c r="R666" s="2" t="inlineStr"/>
    </row>
    <row r="667" ht="15" customHeight="1">
      <c r="A667" t="inlineStr">
        <is>
          <t>A 13472-2023</t>
        </is>
      </c>
      <c r="B667" s="1" t="n">
        <v>45005</v>
      </c>
      <c r="C667" s="1" t="n">
        <v>46001</v>
      </c>
      <c r="D667" t="inlineStr">
        <is>
          <t>ÖREBRO LÄN</t>
        </is>
      </c>
      <c r="E667" t="inlineStr">
        <is>
          <t>LINDESBERG</t>
        </is>
      </c>
      <c r="G667" t="n">
        <v>2.5</v>
      </c>
      <c r="H667" t="n">
        <v>0</v>
      </c>
      <c r="I667" t="n">
        <v>0</v>
      </c>
      <c r="J667" t="n">
        <v>0</v>
      </c>
      <c r="K667" t="n">
        <v>0</v>
      </c>
      <c r="L667" t="n">
        <v>0</v>
      </c>
      <c r="M667" t="n">
        <v>0</v>
      </c>
      <c r="N667" t="n">
        <v>0</v>
      </c>
      <c r="O667" t="n">
        <v>0</v>
      </c>
      <c r="P667" t="n">
        <v>0</v>
      </c>
      <c r="Q667" t="n">
        <v>0</v>
      </c>
      <c r="R667" s="2" t="inlineStr"/>
    </row>
    <row r="668" ht="15" customHeight="1">
      <c r="A668" t="inlineStr">
        <is>
          <t>A 52284-2024</t>
        </is>
      </c>
      <c r="B668" s="1" t="n">
        <v>45608</v>
      </c>
      <c r="C668" s="1" t="n">
        <v>46001</v>
      </c>
      <c r="D668" t="inlineStr">
        <is>
          <t>ÖREBRO LÄN</t>
        </is>
      </c>
      <c r="E668" t="inlineStr">
        <is>
          <t>LINDESBERG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38613-2024</t>
        </is>
      </c>
      <c r="B669" s="1" t="n">
        <v>45546.68743055555</v>
      </c>
      <c r="C669" s="1" t="n">
        <v>46001</v>
      </c>
      <c r="D669" t="inlineStr">
        <is>
          <t>ÖREBRO LÄN</t>
        </is>
      </c>
      <c r="E669" t="inlineStr">
        <is>
          <t>LINDESBERG</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73500-2021</t>
        </is>
      </c>
      <c r="B670" s="1" t="n">
        <v>44551</v>
      </c>
      <c r="C670" s="1" t="n">
        <v>46001</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56507-2021</t>
        </is>
      </c>
      <c r="B671" s="1" t="n">
        <v>44480.58034722223</v>
      </c>
      <c r="C671" s="1" t="n">
        <v>46001</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65194-2023</t>
        </is>
      </c>
      <c r="B672" s="1" t="n">
        <v>45289</v>
      </c>
      <c r="C672" s="1" t="n">
        <v>46001</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9436-2023</t>
        </is>
      </c>
      <c r="B673" s="1" t="n">
        <v>44981</v>
      </c>
      <c r="C673" s="1" t="n">
        <v>46001</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36121-2023</t>
        </is>
      </c>
      <c r="B674" s="1" t="n">
        <v>45148</v>
      </c>
      <c r="C674" s="1" t="n">
        <v>46001</v>
      </c>
      <c r="D674" t="inlineStr">
        <is>
          <t>ÖREBRO LÄN</t>
        </is>
      </c>
      <c r="E674" t="inlineStr">
        <is>
          <t>LINDESBERG</t>
        </is>
      </c>
      <c r="G674" t="n">
        <v>7.1</v>
      </c>
      <c r="H674" t="n">
        <v>0</v>
      </c>
      <c r="I674" t="n">
        <v>0</v>
      </c>
      <c r="J674" t="n">
        <v>0</v>
      </c>
      <c r="K674" t="n">
        <v>0</v>
      </c>
      <c r="L674" t="n">
        <v>0</v>
      </c>
      <c r="M674" t="n">
        <v>0</v>
      </c>
      <c r="N674" t="n">
        <v>0</v>
      </c>
      <c r="O674" t="n">
        <v>0</v>
      </c>
      <c r="P674" t="n">
        <v>0</v>
      </c>
      <c r="Q674" t="n">
        <v>0</v>
      </c>
      <c r="R674" s="2" t="inlineStr"/>
    </row>
    <row r="675" ht="15" customHeight="1">
      <c r="A675" t="inlineStr">
        <is>
          <t>A 34838-2023</t>
        </is>
      </c>
      <c r="B675" s="1" t="n">
        <v>45141.76530092592</v>
      </c>
      <c r="C675" s="1" t="n">
        <v>46001</v>
      </c>
      <c r="D675" t="inlineStr">
        <is>
          <t>ÖREBRO LÄN</t>
        </is>
      </c>
      <c r="E675" t="inlineStr">
        <is>
          <t>LINDESBERG</t>
        </is>
      </c>
      <c r="G675" t="n">
        <v>3</v>
      </c>
      <c r="H675" t="n">
        <v>0</v>
      </c>
      <c r="I675" t="n">
        <v>0</v>
      </c>
      <c r="J675" t="n">
        <v>0</v>
      </c>
      <c r="K675" t="n">
        <v>0</v>
      </c>
      <c r="L675" t="n">
        <v>0</v>
      </c>
      <c r="M675" t="n">
        <v>0</v>
      </c>
      <c r="N675" t="n">
        <v>0</v>
      </c>
      <c r="O675" t="n">
        <v>0</v>
      </c>
      <c r="P675" t="n">
        <v>0</v>
      </c>
      <c r="Q675" t="n">
        <v>0</v>
      </c>
      <c r="R675" s="2" t="inlineStr"/>
    </row>
    <row r="676" ht="15" customHeight="1">
      <c r="A676" t="inlineStr">
        <is>
          <t>A 31024-2023</t>
        </is>
      </c>
      <c r="B676" s="1" t="n">
        <v>45113</v>
      </c>
      <c r="C676" s="1" t="n">
        <v>46001</v>
      </c>
      <c r="D676" t="inlineStr">
        <is>
          <t>ÖREBRO LÄN</t>
        </is>
      </c>
      <c r="E676" t="inlineStr">
        <is>
          <t>LINDESBERG</t>
        </is>
      </c>
      <c r="G676" t="n">
        <v>5.1</v>
      </c>
      <c r="H676" t="n">
        <v>0</v>
      </c>
      <c r="I676" t="n">
        <v>0</v>
      </c>
      <c r="J676" t="n">
        <v>0</v>
      </c>
      <c r="K676" t="n">
        <v>0</v>
      </c>
      <c r="L676" t="n">
        <v>0</v>
      </c>
      <c r="M676" t="n">
        <v>0</v>
      </c>
      <c r="N676" t="n">
        <v>0</v>
      </c>
      <c r="O676" t="n">
        <v>0</v>
      </c>
      <c r="P676" t="n">
        <v>0</v>
      </c>
      <c r="Q676" t="n">
        <v>0</v>
      </c>
      <c r="R676" s="2" t="inlineStr"/>
    </row>
    <row r="677" ht="15" customHeight="1">
      <c r="A677" t="inlineStr">
        <is>
          <t>A 33281-2024</t>
        </is>
      </c>
      <c r="B677" s="1" t="n">
        <v>45518.71202546296</v>
      </c>
      <c r="C677" s="1" t="n">
        <v>46001</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33283-2024</t>
        </is>
      </c>
      <c r="B678" s="1" t="n">
        <v>45518.71591435185</v>
      </c>
      <c r="C678" s="1" t="n">
        <v>46001</v>
      </c>
      <c r="D678" t="inlineStr">
        <is>
          <t>ÖREBRO LÄN</t>
        </is>
      </c>
      <c r="E678" t="inlineStr">
        <is>
          <t>LINDESBERG</t>
        </is>
      </c>
      <c r="G678" t="n">
        <v>3.9</v>
      </c>
      <c r="H678" t="n">
        <v>0</v>
      </c>
      <c r="I678" t="n">
        <v>0</v>
      </c>
      <c r="J678" t="n">
        <v>0</v>
      </c>
      <c r="K678" t="n">
        <v>0</v>
      </c>
      <c r="L678" t="n">
        <v>0</v>
      </c>
      <c r="M678" t="n">
        <v>0</v>
      </c>
      <c r="N678" t="n">
        <v>0</v>
      </c>
      <c r="O678" t="n">
        <v>0</v>
      </c>
      <c r="P678" t="n">
        <v>0</v>
      </c>
      <c r="Q678" t="n">
        <v>0</v>
      </c>
      <c r="R678" s="2" t="inlineStr"/>
    </row>
    <row r="679" ht="15" customHeight="1">
      <c r="A679" t="inlineStr">
        <is>
          <t>A 61960-2024</t>
        </is>
      </c>
      <c r="B679" s="1" t="n">
        <v>45653.53664351852</v>
      </c>
      <c r="C679" s="1" t="n">
        <v>46001</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48756-2024</t>
        </is>
      </c>
      <c r="B680" s="1" t="n">
        <v>45593.59681712963</v>
      </c>
      <c r="C680" s="1" t="n">
        <v>46001</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60449-2024</t>
        </is>
      </c>
      <c r="B681" s="1" t="n">
        <v>45643</v>
      </c>
      <c r="C681" s="1" t="n">
        <v>46001</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15060-2024</t>
        </is>
      </c>
      <c r="B682" s="1" t="n">
        <v>45399.56596064815</v>
      </c>
      <c r="C682" s="1" t="n">
        <v>46001</v>
      </c>
      <c r="D682" t="inlineStr">
        <is>
          <t>ÖREBRO LÄN</t>
        </is>
      </c>
      <c r="E682" t="inlineStr">
        <is>
          <t>LINDESBERG</t>
        </is>
      </c>
      <c r="F682" t="inlineStr">
        <is>
          <t>Sveaskog</t>
        </is>
      </c>
      <c r="G682" t="n">
        <v>3.8</v>
      </c>
      <c r="H682" t="n">
        <v>0</v>
      </c>
      <c r="I682" t="n">
        <v>0</v>
      </c>
      <c r="J682" t="n">
        <v>0</v>
      </c>
      <c r="K682" t="n">
        <v>0</v>
      </c>
      <c r="L682" t="n">
        <v>0</v>
      </c>
      <c r="M682" t="n">
        <v>0</v>
      </c>
      <c r="N682" t="n">
        <v>0</v>
      </c>
      <c r="O682" t="n">
        <v>0</v>
      </c>
      <c r="P682" t="n">
        <v>0</v>
      </c>
      <c r="Q682" t="n">
        <v>0</v>
      </c>
      <c r="R682" s="2" t="inlineStr"/>
    </row>
    <row r="683" ht="15" customHeight="1">
      <c r="A683" t="inlineStr">
        <is>
          <t>A 53510-2024</t>
        </is>
      </c>
      <c r="B683" s="1" t="n">
        <v>45614.5968287037</v>
      </c>
      <c r="C683" s="1" t="n">
        <v>46001</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34676-2023</t>
        </is>
      </c>
      <c r="B684" s="1" t="n">
        <v>45140</v>
      </c>
      <c r="C684" s="1" t="n">
        <v>46001</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61594-2024</t>
        </is>
      </c>
      <c r="B685" s="1" t="n">
        <v>45646.63482638889</v>
      </c>
      <c r="C685" s="1" t="n">
        <v>46001</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40563-2023</t>
        </is>
      </c>
      <c r="B686" s="1" t="n">
        <v>45170.45921296296</v>
      </c>
      <c r="C686" s="1" t="n">
        <v>46001</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7026-2024</t>
        </is>
      </c>
      <c r="B687" s="1" t="n">
        <v>45343.58587962963</v>
      </c>
      <c r="C687" s="1" t="n">
        <v>46001</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41353-2024</t>
        </is>
      </c>
      <c r="B688" s="1" t="n">
        <v>45559</v>
      </c>
      <c r="C688" s="1" t="n">
        <v>46001</v>
      </c>
      <c r="D688" t="inlineStr">
        <is>
          <t>ÖREBRO LÄN</t>
        </is>
      </c>
      <c r="E688" t="inlineStr">
        <is>
          <t>LINDESBERG</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51379-2023</t>
        </is>
      </c>
      <c r="B689" s="1" t="n">
        <v>45219</v>
      </c>
      <c r="C689" s="1" t="n">
        <v>46001</v>
      </c>
      <c r="D689" t="inlineStr">
        <is>
          <t>ÖREBRO LÄN</t>
        </is>
      </c>
      <c r="E689" t="inlineStr">
        <is>
          <t>LINDESBERG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5080-2024</t>
        </is>
      </c>
      <c r="B690" s="1" t="n">
        <v>45330</v>
      </c>
      <c r="C690" s="1" t="n">
        <v>46001</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12307-2025</t>
        </is>
      </c>
      <c r="B691" s="1" t="n">
        <v>45729.76231481481</v>
      </c>
      <c r="C691" s="1" t="n">
        <v>46001</v>
      </c>
      <c r="D691" t="inlineStr">
        <is>
          <t>ÖREBRO LÄN</t>
        </is>
      </c>
      <c r="E691" t="inlineStr">
        <is>
          <t>LINDESBERG</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45056-2024</t>
        </is>
      </c>
      <c r="B692" s="1" t="n">
        <v>45575.55273148148</v>
      </c>
      <c r="C692" s="1" t="n">
        <v>46001</v>
      </c>
      <c r="D692" t="inlineStr">
        <is>
          <t>ÖREBRO LÄN</t>
        </is>
      </c>
      <c r="E692" t="inlineStr">
        <is>
          <t>LINDESBERG</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45058-2024</t>
        </is>
      </c>
      <c r="B693" s="1" t="n">
        <v>45575.5547337963</v>
      </c>
      <c r="C693" s="1" t="n">
        <v>46001</v>
      </c>
      <c r="D693" t="inlineStr">
        <is>
          <t>ÖREBRO LÄN</t>
        </is>
      </c>
      <c r="E693" t="inlineStr">
        <is>
          <t>LINDESBERG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45063-2024</t>
        </is>
      </c>
      <c r="B694" s="1" t="n">
        <v>45575.55684027778</v>
      </c>
      <c r="C694" s="1" t="n">
        <v>46001</v>
      </c>
      <c r="D694" t="inlineStr">
        <is>
          <t>ÖREBRO LÄN</t>
        </is>
      </c>
      <c r="E694" t="inlineStr">
        <is>
          <t>LINDESBERG</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45072-2024</t>
        </is>
      </c>
      <c r="B695" s="1" t="n">
        <v>45575.56686342593</v>
      </c>
      <c r="C695" s="1" t="n">
        <v>46001</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45075-2024</t>
        </is>
      </c>
      <c r="B696" s="1" t="n">
        <v>45575.56820601852</v>
      </c>
      <c r="C696" s="1" t="n">
        <v>46001</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41948-2023</t>
        </is>
      </c>
      <c r="B697" s="1" t="n">
        <v>45177.33091435185</v>
      </c>
      <c r="C697" s="1" t="n">
        <v>46001</v>
      </c>
      <c r="D697" t="inlineStr">
        <is>
          <t>ÖREBRO LÄN</t>
        </is>
      </c>
      <c r="E697" t="inlineStr">
        <is>
          <t>LINDESBERG</t>
        </is>
      </c>
      <c r="F697" t="inlineStr">
        <is>
          <t>Kyrkan</t>
        </is>
      </c>
      <c r="G697" t="n">
        <v>1.4</v>
      </c>
      <c r="H697" t="n">
        <v>0</v>
      </c>
      <c r="I697" t="n">
        <v>0</v>
      </c>
      <c r="J697" t="n">
        <v>0</v>
      </c>
      <c r="K697" t="n">
        <v>0</v>
      </c>
      <c r="L697" t="n">
        <v>0</v>
      </c>
      <c r="M697" t="n">
        <v>0</v>
      </c>
      <c r="N697" t="n">
        <v>0</v>
      </c>
      <c r="O697" t="n">
        <v>0</v>
      </c>
      <c r="P697" t="n">
        <v>0</v>
      </c>
      <c r="Q697" t="n">
        <v>0</v>
      </c>
      <c r="R697" s="2" t="inlineStr"/>
    </row>
    <row r="698" ht="15" customHeight="1">
      <c r="A698" t="inlineStr">
        <is>
          <t>A 67016-2021</t>
        </is>
      </c>
      <c r="B698" s="1" t="n">
        <v>44522</v>
      </c>
      <c r="C698" s="1" t="n">
        <v>46001</v>
      </c>
      <c r="D698" t="inlineStr">
        <is>
          <t>ÖREBRO LÄN</t>
        </is>
      </c>
      <c r="E698" t="inlineStr">
        <is>
          <t>LINDESBERG</t>
        </is>
      </c>
      <c r="G698" t="n">
        <v>8</v>
      </c>
      <c r="H698" t="n">
        <v>0</v>
      </c>
      <c r="I698" t="n">
        <v>0</v>
      </c>
      <c r="J698" t="n">
        <v>0</v>
      </c>
      <c r="K698" t="n">
        <v>0</v>
      </c>
      <c r="L698" t="n">
        <v>0</v>
      </c>
      <c r="M698" t="n">
        <v>0</v>
      </c>
      <c r="N698" t="n">
        <v>0</v>
      </c>
      <c r="O698" t="n">
        <v>0</v>
      </c>
      <c r="P698" t="n">
        <v>0</v>
      </c>
      <c r="Q698" t="n">
        <v>0</v>
      </c>
      <c r="R698" s="2" t="inlineStr"/>
    </row>
    <row r="699" ht="15" customHeight="1">
      <c r="A699" t="inlineStr">
        <is>
          <t>A 10111-2022</t>
        </is>
      </c>
      <c r="B699" s="1" t="n">
        <v>44621.85737268518</v>
      </c>
      <c r="C699" s="1" t="n">
        <v>46001</v>
      </c>
      <c r="D699" t="inlineStr">
        <is>
          <t>ÖREBRO LÄN</t>
        </is>
      </c>
      <c r="E699" t="inlineStr">
        <is>
          <t>LINDESBERG</t>
        </is>
      </c>
      <c r="G699" t="n">
        <v>2.4</v>
      </c>
      <c r="H699" t="n">
        <v>0</v>
      </c>
      <c r="I699" t="n">
        <v>0</v>
      </c>
      <c r="J699" t="n">
        <v>0</v>
      </c>
      <c r="K699" t="n">
        <v>0</v>
      </c>
      <c r="L699" t="n">
        <v>0</v>
      </c>
      <c r="M699" t="n">
        <v>0</v>
      </c>
      <c r="N699" t="n">
        <v>0</v>
      </c>
      <c r="O699" t="n">
        <v>0</v>
      </c>
      <c r="P699" t="n">
        <v>0</v>
      </c>
      <c r="Q699" t="n">
        <v>0</v>
      </c>
      <c r="R699" s="2" t="inlineStr"/>
    </row>
    <row r="700" ht="15" customHeight="1">
      <c r="A700" t="inlineStr">
        <is>
          <t>A 19960-2023</t>
        </is>
      </c>
      <c r="B700" s="1" t="n">
        <v>45054</v>
      </c>
      <c r="C700" s="1" t="n">
        <v>46001</v>
      </c>
      <c r="D700" t="inlineStr">
        <is>
          <t>ÖREBRO LÄN</t>
        </is>
      </c>
      <c r="E700" t="inlineStr">
        <is>
          <t>LINDESBERG</t>
        </is>
      </c>
      <c r="G700" t="n">
        <v>6.2</v>
      </c>
      <c r="H700" t="n">
        <v>0</v>
      </c>
      <c r="I700" t="n">
        <v>0</v>
      </c>
      <c r="J700" t="n">
        <v>0</v>
      </c>
      <c r="K700" t="n">
        <v>0</v>
      </c>
      <c r="L700" t="n">
        <v>0</v>
      </c>
      <c r="M700" t="n">
        <v>0</v>
      </c>
      <c r="N700" t="n">
        <v>0</v>
      </c>
      <c r="O700" t="n">
        <v>0</v>
      </c>
      <c r="P700" t="n">
        <v>0</v>
      </c>
      <c r="Q700" t="n">
        <v>0</v>
      </c>
      <c r="R700" s="2" t="inlineStr"/>
    </row>
    <row r="701" ht="15" customHeight="1">
      <c r="A701" t="inlineStr">
        <is>
          <t>A 50972-2023</t>
        </is>
      </c>
      <c r="B701" s="1" t="n">
        <v>45218</v>
      </c>
      <c r="C701" s="1" t="n">
        <v>46001</v>
      </c>
      <c r="D701" t="inlineStr">
        <is>
          <t>ÖREBRO LÄN</t>
        </is>
      </c>
      <c r="E701" t="inlineStr">
        <is>
          <t>LINDESBERG</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33507-2023</t>
        </is>
      </c>
      <c r="B702" s="1" t="n">
        <v>45131</v>
      </c>
      <c r="C702" s="1" t="n">
        <v>46001</v>
      </c>
      <c r="D702" t="inlineStr">
        <is>
          <t>ÖREBRO LÄN</t>
        </is>
      </c>
      <c r="E702" t="inlineStr">
        <is>
          <t>LINDESBERG</t>
        </is>
      </c>
      <c r="G702" t="n">
        <v>3.2</v>
      </c>
      <c r="H702" t="n">
        <v>0</v>
      </c>
      <c r="I702" t="n">
        <v>0</v>
      </c>
      <c r="J702" t="n">
        <v>0</v>
      </c>
      <c r="K702" t="n">
        <v>0</v>
      </c>
      <c r="L702" t="n">
        <v>0</v>
      </c>
      <c r="M702" t="n">
        <v>0</v>
      </c>
      <c r="N702" t="n">
        <v>0</v>
      </c>
      <c r="O702" t="n">
        <v>0</v>
      </c>
      <c r="P702" t="n">
        <v>0</v>
      </c>
      <c r="Q702" t="n">
        <v>0</v>
      </c>
      <c r="R702" s="2" t="inlineStr"/>
    </row>
    <row r="703" ht="15" customHeight="1">
      <c r="A703" t="inlineStr">
        <is>
          <t>A 2406-2024</t>
        </is>
      </c>
      <c r="B703" s="1" t="n">
        <v>45310</v>
      </c>
      <c r="C703" s="1" t="n">
        <v>46001</v>
      </c>
      <c r="D703" t="inlineStr">
        <is>
          <t>ÖREBRO LÄN</t>
        </is>
      </c>
      <c r="E703" t="inlineStr">
        <is>
          <t>LINDESBERG</t>
        </is>
      </c>
      <c r="G703" t="n">
        <v>16.1</v>
      </c>
      <c r="H703" t="n">
        <v>0</v>
      </c>
      <c r="I703" t="n">
        <v>0</v>
      </c>
      <c r="J703" t="n">
        <v>0</v>
      </c>
      <c r="K703" t="n">
        <v>0</v>
      </c>
      <c r="L703" t="n">
        <v>0</v>
      </c>
      <c r="M703" t="n">
        <v>0</v>
      </c>
      <c r="N703" t="n">
        <v>0</v>
      </c>
      <c r="O703" t="n">
        <v>0</v>
      </c>
      <c r="P703" t="n">
        <v>0</v>
      </c>
      <c r="Q703" t="n">
        <v>0</v>
      </c>
      <c r="R703" s="2" t="inlineStr"/>
    </row>
    <row r="704" ht="15" customHeight="1">
      <c r="A704" t="inlineStr">
        <is>
          <t>A 17895-2022</t>
        </is>
      </c>
      <c r="B704" s="1" t="n">
        <v>44683</v>
      </c>
      <c r="C704" s="1" t="n">
        <v>46001</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1395-2025</t>
        </is>
      </c>
      <c r="B705" s="1" t="n">
        <v>45667</v>
      </c>
      <c r="C705" s="1" t="n">
        <v>46001</v>
      </c>
      <c r="D705" t="inlineStr">
        <is>
          <t>ÖREBRO LÄN</t>
        </is>
      </c>
      <c r="E705" t="inlineStr">
        <is>
          <t>LINDESBERG</t>
        </is>
      </c>
      <c r="G705" t="n">
        <v>4.6</v>
      </c>
      <c r="H705" t="n">
        <v>0</v>
      </c>
      <c r="I705" t="n">
        <v>0</v>
      </c>
      <c r="J705" t="n">
        <v>0</v>
      </c>
      <c r="K705" t="n">
        <v>0</v>
      </c>
      <c r="L705" t="n">
        <v>0</v>
      </c>
      <c r="M705" t="n">
        <v>0</v>
      </c>
      <c r="N705" t="n">
        <v>0</v>
      </c>
      <c r="O705" t="n">
        <v>0</v>
      </c>
      <c r="P705" t="n">
        <v>0</v>
      </c>
      <c r="Q705" t="n">
        <v>0</v>
      </c>
      <c r="R705" s="2" t="inlineStr"/>
    </row>
    <row r="706" ht="15" customHeight="1">
      <c r="A706" t="inlineStr">
        <is>
          <t>A 52928-2024</t>
        </is>
      </c>
      <c r="B706" s="1" t="n">
        <v>45610</v>
      </c>
      <c r="C706" s="1" t="n">
        <v>46001</v>
      </c>
      <c r="D706" t="inlineStr">
        <is>
          <t>ÖREBRO LÄN</t>
        </is>
      </c>
      <c r="E706" t="inlineStr">
        <is>
          <t>LINDESBERG</t>
        </is>
      </c>
      <c r="G706" t="n">
        <v>8.6</v>
      </c>
      <c r="H706" t="n">
        <v>0</v>
      </c>
      <c r="I706" t="n">
        <v>0</v>
      </c>
      <c r="J706" t="n">
        <v>0</v>
      </c>
      <c r="K706" t="n">
        <v>0</v>
      </c>
      <c r="L706" t="n">
        <v>0</v>
      </c>
      <c r="M706" t="n">
        <v>0</v>
      </c>
      <c r="N706" t="n">
        <v>0</v>
      </c>
      <c r="O706" t="n">
        <v>0</v>
      </c>
      <c r="P706" t="n">
        <v>0</v>
      </c>
      <c r="Q706" t="n">
        <v>0</v>
      </c>
      <c r="R706" s="2" t="inlineStr"/>
    </row>
    <row r="707" ht="15" customHeight="1">
      <c r="A707" t="inlineStr">
        <is>
          <t>A 33716-2021</t>
        </is>
      </c>
      <c r="B707" s="1" t="n">
        <v>44378.46857638889</v>
      </c>
      <c r="C707" s="1" t="n">
        <v>46001</v>
      </c>
      <c r="D707" t="inlineStr">
        <is>
          <t>ÖREBRO LÄN</t>
        </is>
      </c>
      <c r="E707" t="inlineStr">
        <is>
          <t>LINDESBERG</t>
        </is>
      </c>
      <c r="G707" t="n">
        <v>4.6</v>
      </c>
      <c r="H707" t="n">
        <v>0</v>
      </c>
      <c r="I707" t="n">
        <v>0</v>
      </c>
      <c r="J707" t="n">
        <v>0</v>
      </c>
      <c r="K707" t="n">
        <v>0</v>
      </c>
      <c r="L707" t="n">
        <v>0</v>
      </c>
      <c r="M707" t="n">
        <v>0</v>
      </c>
      <c r="N707" t="n">
        <v>0</v>
      </c>
      <c r="O707" t="n">
        <v>0</v>
      </c>
      <c r="P707" t="n">
        <v>0</v>
      </c>
      <c r="Q707" t="n">
        <v>0</v>
      </c>
      <c r="R707" s="2" t="inlineStr"/>
    </row>
    <row r="708" ht="15" customHeight="1">
      <c r="A708" t="inlineStr">
        <is>
          <t>A 40970-2023</t>
        </is>
      </c>
      <c r="B708" s="1" t="n">
        <v>45173</v>
      </c>
      <c r="C708" s="1" t="n">
        <v>46001</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13729-2025</t>
        </is>
      </c>
      <c r="B709" s="1" t="n">
        <v>45737.3846412037</v>
      </c>
      <c r="C709" s="1" t="n">
        <v>46001</v>
      </c>
      <c r="D709" t="inlineStr">
        <is>
          <t>ÖREBRO LÄN</t>
        </is>
      </c>
      <c r="E709" t="inlineStr">
        <is>
          <t>LINDESBERG</t>
        </is>
      </c>
      <c r="F709" t="inlineStr">
        <is>
          <t>Sveaskog</t>
        </is>
      </c>
      <c r="G709" t="n">
        <v>5.4</v>
      </c>
      <c r="H709" t="n">
        <v>0</v>
      </c>
      <c r="I709" t="n">
        <v>0</v>
      </c>
      <c r="J709" t="n">
        <v>0</v>
      </c>
      <c r="K709" t="n">
        <v>0</v>
      </c>
      <c r="L709" t="n">
        <v>0</v>
      </c>
      <c r="M709" t="n">
        <v>0</v>
      </c>
      <c r="N709" t="n">
        <v>0</v>
      </c>
      <c r="O709" t="n">
        <v>0</v>
      </c>
      <c r="P709" t="n">
        <v>0</v>
      </c>
      <c r="Q709" t="n">
        <v>0</v>
      </c>
      <c r="R709" s="2" t="inlineStr"/>
    </row>
    <row r="710" ht="15" customHeight="1">
      <c r="A710" t="inlineStr">
        <is>
          <t>A 60492-2024</t>
        </is>
      </c>
      <c r="B710" s="1" t="n">
        <v>45642</v>
      </c>
      <c r="C710" s="1" t="n">
        <v>46001</v>
      </c>
      <c r="D710" t="inlineStr">
        <is>
          <t>ÖREBRO LÄN</t>
        </is>
      </c>
      <c r="E710" t="inlineStr">
        <is>
          <t>LINDESBERG</t>
        </is>
      </c>
      <c r="G710" t="n">
        <v>2.6</v>
      </c>
      <c r="H710" t="n">
        <v>0</v>
      </c>
      <c r="I710" t="n">
        <v>0</v>
      </c>
      <c r="J710" t="n">
        <v>0</v>
      </c>
      <c r="K710" t="n">
        <v>0</v>
      </c>
      <c r="L710" t="n">
        <v>0</v>
      </c>
      <c r="M710" t="n">
        <v>0</v>
      </c>
      <c r="N710" t="n">
        <v>0</v>
      </c>
      <c r="O710" t="n">
        <v>0</v>
      </c>
      <c r="P710" t="n">
        <v>0</v>
      </c>
      <c r="Q710" t="n">
        <v>0</v>
      </c>
      <c r="R710" s="2" t="inlineStr"/>
    </row>
    <row r="711" ht="15" customHeight="1">
      <c r="A711" t="inlineStr">
        <is>
          <t>A 40117-2023</t>
        </is>
      </c>
      <c r="B711" s="1" t="n">
        <v>45168.94197916667</v>
      </c>
      <c r="C711" s="1" t="n">
        <v>46001</v>
      </c>
      <c r="D711" t="inlineStr">
        <is>
          <t>ÖREBRO LÄN</t>
        </is>
      </c>
      <c r="E711" t="inlineStr">
        <is>
          <t>LINDESBERG</t>
        </is>
      </c>
      <c r="G711" t="n">
        <v>2.3</v>
      </c>
      <c r="H711" t="n">
        <v>0</v>
      </c>
      <c r="I711" t="n">
        <v>0</v>
      </c>
      <c r="J711" t="n">
        <v>0</v>
      </c>
      <c r="K711" t="n">
        <v>0</v>
      </c>
      <c r="L711" t="n">
        <v>0</v>
      </c>
      <c r="M711" t="n">
        <v>0</v>
      </c>
      <c r="N711" t="n">
        <v>0</v>
      </c>
      <c r="O711" t="n">
        <v>0</v>
      </c>
      <c r="P711" t="n">
        <v>0</v>
      </c>
      <c r="Q711" t="n">
        <v>0</v>
      </c>
      <c r="R711" s="2" t="inlineStr"/>
    </row>
    <row r="712" ht="15" customHeight="1">
      <c r="A712" t="inlineStr">
        <is>
          <t>A 11366-2024</t>
        </is>
      </c>
      <c r="B712" s="1" t="n">
        <v>45372.40246527778</v>
      </c>
      <c r="C712" s="1" t="n">
        <v>46001</v>
      </c>
      <c r="D712" t="inlineStr">
        <is>
          <t>ÖREBRO LÄN</t>
        </is>
      </c>
      <c r="E712" t="inlineStr">
        <is>
          <t>LINDESBERG</t>
        </is>
      </c>
      <c r="G712" t="n">
        <v>4.4</v>
      </c>
      <c r="H712" t="n">
        <v>0</v>
      </c>
      <c r="I712" t="n">
        <v>0</v>
      </c>
      <c r="J712" t="n">
        <v>0</v>
      </c>
      <c r="K712" t="n">
        <v>0</v>
      </c>
      <c r="L712" t="n">
        <v>0</v>
      </c>
      <c r="M712" t="n">
        <v>0</v>
      </c>
      <c r="N712" t="n">
        <v>0</v>
      </c>
      <c r="O712" t="n">
        <v>0</v>
      </c>
      <c r="P712" t="n">
        <v>0</v>
      </c>
      <c r="Q712" t="n">
        <v>0</v>
      </c>
      <c r="R712" s="2" t="inlineStr"/>
    </row>
    <row r="713" ht="15" customHeight="1">
      <c r="A713" t="inlineStr">
        <is>
          <t>A 60943-2024</t>
        </is>
      </c>
      <c r="B713" s="1" t="n">
        <v>45645.3737962963</v>
      </c>
      <c r="C713" s="1" t="n">
        <v>46001</v>
      </c>
      <c r="D713" t="inlineStr">
        <is>
          <t>ÖREBRO LÄN</t>
        </is>
      </c>
      <c r="E713" t="inlineStr">
        <is>
          <t>LINDESBERG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56912-2024</t>
        </is>
      </c>
      <c r="B714" s="1" t="n">
        <v>45628.59233796296</v>
      </c>
      <c r="C714" s="1" t="n">
        <v>46001</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47620-2023</t>
        </is>
      </c>
      <c r="B715" s="1" t="n">
        <v>45203.510625</v>
      </c>
      <c r="C715" s="1" t="n">
        <v>46001</v>
      </c>
      <c r="D715" t="inlineStr">
        <is>
          <t>ÖREBRO LÄN</t>
        </is>
      </c>
      <c r="E715" t="inlineStr">
        <is>
          <t>LINDESBERG</t>
        </is>
      </c>
      <c r="G715" t="n">
        <v>2.7</v>
      </c>
      <c r="H715" t="n">
        <v>0</v>
      </c>
      <c r="I715" t="n">
        <v>0</v>
      </c>
      <c r="J715" t="n">
        <v>0</v>
      </c>
      <c r="K715" t="n">
        <v>0</v>
      </c>
      <c r="L715" t="n">
        <v>0</v>
      </c>
      <c r="M715" t="n">
        <v>0</v>
      </c>
      <c r="N715" t="n">
        <v>0</v>
      </c>
      <c r="O715" t="n">
        <v>0</v>
      </c>
      <c r="P715" t="n">
        <v>0</v>
      </c>
      <c r="Q715" t="n">
        <v>0</v>
      </c>
      <c r="R715" s="2" t="inlineStr"/>
    </row>
    <row r="716" ht="15" customHeight="1">
      <c r="A716" t="inlineStr">
        <is>
          <t>A 44010-2023</t>
        </is>
      </c>
      <c r="B716" s="1" t="n">
        <v>45188</v>
      </c>
      <c r="C716" s="1" t="n">
        <v>46001</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2107-2022</t>
        </is>
      </c>
      <c r="B717" s="1" t="n">
        <v>44577.83484953704</v>
      </c>
      <c r="C717" s="1" t="n">
        <v>46001</v>
      </c>
      <c r="D717" t="inlineStr">
        <is>
          <t>ÖREBRO LÄN</t>
        </is>
      </c>
      <c r="E717" t="inlineStr">
        <is>
          <t>LINDESBERG</t>
        </is>
      </c>
      <c r="G717" t="n">
        <v>2.9</v>
      </c>
      <c r="H717" t="n">
        <v>0</v>
      </c>
      <c r="I717" t="n">
        <v>0</v>
      </c>
      <c r="J717" t="n">
        <v>0</v>
      </c>
      <c r="K717" t="n">
        <v>0</v>
      </c>
      <c r="L717" t="n">
        <v>0</v>
      </c>
      <c r="M717" t="n">
        <v>0</v>
      </c>
      <c r="N717" t="n">
        <v>0</v>
      </c>
      <c r="O717" t="n">
        <v>0</v>
      </c>
      <c r="P717" t="n">
        <v>0</v>
      </c>
      <c r="Q717" t="n">
        <v>0</v>
      </c>
      <c r="R717" s="2" t="inlineStr"/>
    </row>
    <row r="718" ht="15" customHeight="1">
      <c r="A718" t="inlineStr">
        <is>
          <t>A 16864-2022</t>
        </is>
      </c>
      <c r="B718" s="1" t="n">
        <v>44675</v>
      </c>
      <c r="C718" s="1" t="n">
        <v>46001</v>
      </c>
      <c r="D718" t="inlineStr">
        <is>
          <t>ÖREBRO LÄN</t>
        </is>
      </c>
      <c r="E718" t="inlineStr">
        <is>
          <t>LINDESBERG</t>
        </is>
      </c>
      <c r="F718" t="inlineStr">
        <is>
          <t>Kyrkan</t>
        </is>
      </c>
      <c r="G718" t="n">
        <v>1.7</v>
      </c>
      <c r="H718" t="n">
        <v>0</v>
      </c>
      <c r="I718" t="n">
        <v>0</v>
      </c>
      <c r="J718" t="n">
        <v>0</v>
      </c>
      <c r="K718" t="n">
        <v>0</v>
      </c>
      <c r="L718" t="n">
        <v>0</v>
      </c>
      <c r="M718" t="n">
        <v>0</v>
      </c>
      <c r="N718" t="n">
        <v>0</v>
      </c>
      <c r="O718" t="n">
        <v>0</v>
      </c>
      <c r="P718" t="n">
        <v>0</v>
      </c>
      <c r="Q718" t="n">
        <v>0</v>
      </c>
      <c r="R718" s="2" t="inlineStr"/>
    </row>
    <row r="719" ht="15" customHeight="1">
      <c r="A719" t="inlineStr">
        <is>
          <t>A 32928-2023</t>
        </is>
      </c>
      <c r="B719" s="1" t="n">
        <v>45125.41458333333</v>
      </c>
      <c r="C719" s="1" t="n">
        <v>46001</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21016-2023</t>
        </is>
      </c>
      <c r="B720" s="1" t="n">
        <v>45061.53414351852</v>
      </c>
      <c r="C720" s="1" t="n">
        <v>46001</v>
      </c>
      <c r="D720" t="inlineStr">
        <is>
          <t>ÖREBRO LÄN</t>
        </is>
      </c>
      <c r="E720" t="inlineStr">
        <is>
          <t>LINDESBERG</t>
        </is>
      </c>
      <c r="G720" t="n">
        <v>8.1</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46001</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27440-2023</t>
        </is>
      </c>
      <c r="B722" s="1" t="n">
        <v>45097.39893518519</v>
      </c>
      <c r="C722" s="1" t="n">
        <v>46001</v>
      </c>
      <c r="D722" t="inlineStr">
        <is>
          <t>ÖREBRO LÄN</t>
        </is>
      </c>
      <c r="E722" t="inlineStr">
        <is>
          <t>LINDESBERG</t>
        </is>
      </c>
      <c r="G722" t="n">
        <v>6.6</v>
      </c>
      <c r="H722" t="n">
        <v>0</v>
      </c>
      <c r="I722" t="n">
        <v>0</v>
      </c>
      <c r="J722" t="n">
        <v>0</v>
      </c>
      <c r="K722" t="n">
        <v>0</v>
      </c>
      <c r="L722" t="n">
        <v>0</v>
      </c>
      <c r="M722" t="n">
        <v>0</v>
      </c>
      <c r="N722" t="n">
        <v>0</v>
      </c>
      <c r="O722" t="n">
        <v>0</v>
      </c>
      <c r="P722" t="n">
        <v>0</v>
      </c>
      <c r="Q722" t="n">
        <v>0</v>
      </c>
      <c r="R722" s="2" t="inlineStr"/>
    </row>
    <row r="723" ht="15" customHeight="1">
      <c r="A723" t="inlineStr">
        <is>
          <t>A 40905-2023</t>
        </is>
      </c>
      <c r="B723" s="1" t="n">
        <v>45173.39315972223</v>
      </c>
      <c r="C723" s="1" t="n">
        <v>46001</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41951-2023</t>
        </is>
      </c>
      <c r="B724" s="1" t="n">
        <v>45177.33991898148</v>
      </c>
      <c r="C724" s="1" t="n">
        <v>46001</v>
      </c>
      <c r="D724" t="inlineStr">
        <is>
          <t>ÖREBRO LÄN</t>
        </is>
      </c>
      <c r="E724" t="inlineStr">
        <is>
          <t>LINDESBERG</t>
        </is>
      </c>
      <c r="F724" t="inlineStr">
        <is>
          <t>Kyrkan</t>
        </is>
      </c>
      <c r="G724" t="n">
        <v>3.3</v>
      </c>
      <c r="H724" t="n">
        <v>0</v>
      </c>
      <c r="I724" t="n">
        <v>0</v>
      </c>
      <c r="J724" t="n">
        <v>0</v>
      </c>
      <c r="K724" t="n">
        <v>0</v>
      </c>
      <c r="L724" t="n">
        <v>0</v>
      </c>
      <c r="M724" t="n">
        <v>0</v>
      </c>
      <c r="N724" t="n">
        <v>0</v>
      </c>
      <c r="O724" t="n">
        <v>0</v>
      </c>
      <c r="P724" t="n">
        <v>0</v>
      </c>
      <c r="Q724" t="n">
        <v>0</v>
      </c>
      <c r="R724" s="2" t="inlineStr"/>
    </row>
    <row r="725" ht="15" customHeight="1">
      <c r="A725" t="inlineStr">
        <is>
          <t>A 4310-2025</t>
        </is>
      </c>
      <c r="B725" s="1" t="n">
        <v>45685</v>
      </c>
      <c r="C725" s="1" t="n">
        <v>46001</v>
      </c>
      <c r="D725" t="inlineStr">
        <is>
          <t>ÖREBRO LÄN</t>
        </is>
      </c>
      <c r="E725" t="inlineStr">
        <is>
          <t>LINDESBERG</t>
        </is>
      </c>
      <c r="G725" t="n">
        <v>1.2</v>
      </c>
      <c r="H725" t="n">
        <v>0</v>
      </c>
      <c r="I725" t="n">
        <v>0</v>
      </c>
      <c r="J725" t="n">
        <v>0</v>
      </c>
      <c r="K725" t="n">
        <v>0</v>
      </c>
      <c r="L725" t="n">
        <v>0</v>
      </c>
      <c r="M725" t="n">
        <v>0</v>
      </c>
      <c r="N725" t="n">
        <v>0</v>
      </c>
      <c r="O725" t="n">
        <v>0</v>
      </c>
      <c r="P725" t="n">
        <v>0</v>
      </c>
      <c r="Q725" t="n">
        <v>0</v>
      </c>
      <c r="R725" s="2" t="inlineStr"/>
    </row>
    <row r="726" ht="15" customHeight="1">
      <c r="A726" t="inlineStr">
        <is>
          <t>A 40758-2021</t>
        </is>
      </c>
      <c r="B726" s="1" t="n">
        <v>44420</v>
      </c>
      <c r="C726" s="1" t="n">
        <v>46001</v>
      </c>
      <c r="D726" t="inlineStr">
        <is>
          <t>ÖREBRO LÄN</t>
        </is>
      </c>
      <c r="E726" t="inlineStr">
        <is>
          <t>LINDESBERG</t>
        </is>
      </c>
      <c r="G726" t="n">
        <v>5</v>
      </c>
      <c r="H726" t="n">
        <v>0</v>
      </c>
      <c r="I726" t="n">
        <v>0</v>
      </c>
      <c r="J726" t="n">
        <v>0</v>
      </c>
      <c r="K726" t="n">
        <v>0</v>
      </c>
      <c r="L726" t="n">
        <v>0</v>
      </c>
      <c r="M726" t="n">
        <v>0</v>
      </c>
      <c r="N726" t="n">
        <v>0</v>
      </c>
      <c r="O726" t="n">
        <v>0</v>
      </c>
      <c r="P726" t="n">
        <v>0</v>
      </c>
      <c r="Q726" t="n">
        <v>0</v>
      </c>
      <c r="R726" s="2" t="inlineStr"/>
    </row>
    <row r="727" ht="15" customHeight="1">
      <c r="A727" t="inlineStr">
        <is>
          <t>A 34025-2024</t>
        </is>
      </c>
      <c r="B727" s="1" t="n">
        <v>45523.58565972222</v>
      </c>
      <c r="C727" s="1" t="n">
        <v>46001</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10712-2021</t>
        </is>
      </c>
      <c r="B728" s="1" t="n">
        <v>44258</v>
      </c>
      <c r="C728" s="1" t="n">
        <v>46001</v>
      </c>
      <c r="D728" t="inlineStr">
        <is>
          <t>ÖREBRO LÄN</t>
        </is>
      </c>
      <c r="E728" t="inlineStr">
        <is>
          <t>LINDESBERG</t>
        </is>
      </c>
      <c r="G728" t="n">
        <v>0.7</v>
      </c>
      <c r="H728" t="n">
        <v>0</v>
      </c>
      <c r="I728" t="n">
        <v>0</v>
      </c>
      <c r="J728" t="n">
        <v>0</v>
      </c>
      <c r="K728" t="n">
        <v>0</v>
      </c>
      <c r="L728" t="n">
        <v>0</v>
      </c>
      <c r="M728" t="n">
        <v>0</v>
      </c>
      <c r="N728" t="n">
        <v>0</v>
      </c>
      <c r="O728" t="n">
        <v>0</v>
      </c>
      <c r="P728" t="n">
        <v>0</v>
      </c>
      <c r="Q728" t="n">
        <v>0</v>
      </c>
      <c r="R728" s="2" t="inlineStr"/>
    </row>
    <row r="729" ht="15" customHeight="1">
      <c r="A729" t="inlineStr">
        <is>
          <t>A 7990-2025</t>
        </is>
      </c>
      <c r="B729" s="1" t="n">
        <v>45707</v>
      </c>
      <c r="C729" s="1" t="n">
        <v>46001</v>
      </c>
      <c r="D729" t="inlineStr">
        <is>
          <t>ÖREBRO LÄN</t>
        </is>
      </c>
      <c r="E729" t="inlineStr">
        <is>
          <t>LINDESBERG</t>
        </is>
      </c>
      <c r="G729" t="n">
        <v>4.4</v>
      </c>
      <c r="H729" t="n">
        <v>0</v>
      </c>
      <c r="I729" t="n">
        <v>0</v>
      </c>
      <c r="J729" t="n">
        <v>0</v>
      </c>
      <c r="K729" t="n">
        <v>0</v>
      </c>
      <c r="L729" t="n">
        <v>0</v>
      </c>
      <c r="M729" t="n">
        <v>0</v>
      </c>
      <c r="N729" t="n">
        <v>0</v>
      </c>
      <c r="O729" t="n">
        <v>0</v>
      </c>
      <c r="P729" t="n">
        <v>0</v>
      </c>
      <c r="Q729" t="n">
        <v>0</v>
      </c>
      <c r="R729" s="2" t="inlineStr"/>
    </row>
    <row r="730" ht="15" customHeight="1">
      <c r="A730" t="inlineStr">
        <is>
          <t>A 61691-2023</t>
        </is>
      </c>
      <c r="B730" s="1" t="n">
        <v>45265.64142361111</v>
      </c>
      <c r="C730" s="1" t="n">
        <v>46001</v>
      </c>
      <c r="D730" t="inlineStr">
        <is>
          <t>ÖREBRO LÄN</t>
        </is>
      </c>
      <c r="E730" t="inlineStr">
        <is>
          <t>LINDESBERG</t>
        </is>
      </c>
      <c r="G730" t="n">
        <v>2.6</v>
      </c>
      <c r="H730" t="n">
        <v>0</v>
      </c>
      <c r="I730" t="n">
        <v>0</v>
      </c>
      <c r="J730" t="n">
        <v>0</v>
      </c>
      <c r="K730" t="n">
        <v>0</v>
      </c>
      <c r="L730" t="n">
        <v>0</v>
      </c>
      <c r="M730" t="n">
        <v>0</v>
      </c>
      <c r="N730" t="n">
        <v>0</v>
      </c>
      <c r="O730" t="n">
        <v>0</v>
      </c>
      <c r="P730" t="n">
        <v>0</v>
      </c>
      <c r="Q730" t="n">
        <v>0</v>
      </c>
      <c r="R730" s="2" t="inlineStr"/>
    </row>
    <row r="731" ht="15" customHeight="1">
      <c r="A731" t="inlineStr">
        <is>
          <t>A 37507-2023</t>
        </is>
      </c>
      <c r="B731" s="1" t="n">
        <v>45158.41768518519</v>
      </c>
      <c r="C731" s="1" t="n">
        <v>46001</v>
      </c>
      <c r="D731" t="inlineStr">
        <is>
          <t>ÖREBRO LÄN</t>
        </is>
      </c>
      <c r="E731" t="inlineStr">
        <is>
          <t>LINDESBERG</t>
        </is>
      </c>
      <c r="G731" t="n">
        <v>0.6</v>
      </c>
      <c r="H731" t="n">
        <v>0</v>
      </c>
      <c r="I731" t="n">
        <v>0</v>
      </c>
      <c r="J731" t="n">
        <v>0</v>
      </c>
      <c r="K731" t="n">
        <v>0</v>
      </c>
      <c r="L731" t="n">
        <v>0</v>
      </c>
      <c r="M731" t="n">
        <v>0</v>
      </c>
      <c r="N731" t="n">
        <v>0</v>
      </c>
      <c r="O731" t="n">
        <v>0</v>
      </c>
      <c r="P731" t="n">
        <v>0</v>
      </c>
      <c r="Q731" t="n">
        <v>0</v>
      </c>
      <c r="R731" s="2" t="inlineStr"/>
    </row>
    <row r="732" ht="15" customHeight="1">
      <c r="A732" t="inlineStr">
        <is>
          <t>A 41576-2021</t>
        </is>
      </c>
      <c r="B732" s="1" t="n">
        <v>44425</v>
      </c>
      <c r="C732" s="1" t="n">
        <v>46001</v>
      </c>
      <c r="D732" t="inlineStr">
        <is>
          <t>ÖREBRO LÄN</t>
        </is>
      </c>
      <c r="E732" t="inlineStr">
        <is>
          <t>LINDESBERG</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46675-2023</t>
        </is>
      </c>
      <c r="B733" s="1" t="n">
        <v>45194</v>
      </c>
      <c r="C733" s="1" t="n">
        <v>46001</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34434-2023</t>
        </is>
      </c>
      <c r="B734" s="1" t="n">
        <v>45139.63480324074</v>
      </c>
      <c r="C734" s="1" t="n">
        <v>46001</v>
      </c>
      <c r="D734" t="inlineStr">
        <is>
          <t>ÖREBRO LÄN</t>
        </is>
      </c>
      <c r="E734" t="inlineStr">
        <is>
          <t>LINDESBERG</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54432-2023</t>
        </is>
      </c>
      <c r="B735" s="1" t="n">
        <v>45233.42121527778</v>
      </c>
      <c r="C735" s="1" t="n">
        <v>46001</v>
      </c>
      <c r="D735" t="inlineStr">
        <is>
          <t>ÖREBRO LÄN</t>
        </is>
      </c>
      <c r="E735" t="inlineStr">
        <is>
          <t>LINDESBERG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15933-2025</t>
        </is>
      </c>
      <c r="B736" s="1" t="n">
        <v>45749.47251157407</v>
      </c>
      <c r="C736" s="1" t="n">
        <v>46001</v>
      </c>
      <c r="D736" t="inlineStr">
        <is>
          <t>ÖREBRO LÄN</t>
        </is>
      </c>
      <c r="E736" t="inlineStr">
        <is>
          <t>LINDESBERG</t>
        </is>
      </c>
      <c r="G736" t="n">
        <v>6.1</v>
      </c>
      <c r="H736" t="n">
        <v>0</v>
      </c>
      <c r="I736" t="n">
        <v>0</v>
      </c>
      <c r="J736" t="n">
        <v>0</v>
      </c>
      <c r="K736" t="n">
        <v>0</v>
      </c>
      <c r="L736" t="n">
        <v>0</v>
      </c>
      <c r="M736" t="n">
        <v>0</v>
      </c>
      <c r="N736" t="n">
        <v>0</v>
      </c>
      <c r="O736" t="n">
        <v>0</v>
      </c>
      <c r="P736" t="n">
        <v>0</v>
      </c>
      <c r="Q736" t="n">
        <v>0</v>
      </c>
      <c r="R736" s="2" t="inlineStr"/>
    </row>
    <row r="737" ht="15" customHeight="1">
      <c r="A737" t="inlineStr">
        <is>
          <t>A 15936-2025</t>
        </is>
      </c>
      <c r="B737" s="1" t="n">
        <v>45749.4737962963</v>
      </c>
      <c r="C737" s="1" t="n">
        <v>46001</v>
      </c>
      <c r="D737" t="inlineStr">
        <is>
          <t>ÖREBRO LÄN</t>
        </is>
      </c>
      <c r="E737" t="inlineStr">
        <is>
          <t>LINDESBERG</t>
        </is>
      </c>
      <c r="G737" t="n">
        <v>22.3</v>
      </c>
      <c r="H737" t="n">
        <v>0</v>
      </c>
      <c r="I737" t="n">
        <v>0</v>
      </c>
      <c r="J737" t="n">
        <v>0</v>
      </c>
      <c r="K737" t="n">
        <v>0</v>
      </c>
      <c r="L737" t="n">
        <v>0</v>
      </c>
      <c r="M737" t="n">
        <v>0</v>
      </c>
      <c r="N737" t="n">
        <v>0</v>
      </c>
      <c r="O737" t="n">
        <v>0</v>
      </c>
      <c r="P737" t="n">
        <v>0</v>
      </c>
      <c r="Q737" t="n">
        <v>0</v>
      </c>
      <c r="R737" s="2" t="inlineStr"/>
    </row>
    <row r="738" ht="15" customHeight="1">
      <c r="A738" t="inlineStr">
        <is>
          <t>A 1490-2024</t>
        </is>
      </c>
      <c r="B738" s="1" t="n">
        <v>45305</v>
      </c>
      <c r="C738" s="1" t="n">
        <v>46001</v>
      </c>
      <c r="D738" t="inlineStr">
        <is>
          <t>ÖREBRO LÄN</t>
        </is>
      </c>
      <c r="E738" t="inlineStr">
        <is>
          <t>LINDESBERG</t>
        </is>
      </c>
      <c r="G738" t="n">
        <v>17.6</v>
      </c>
      <c r="H738" t="n">
        <v>0</v>
      </c>
      <c r="I738" t="n">
        <v>0</v>
      </c>
      <c r="J738" t="n">
        <v>0</v>
      </c>
      <c r="K738" t="n">
        <v>0</v>
      </c>
      <c r="L738" t="n">
        <v>0</v>
      </c>
      <c r="M738" t="n">
        <v>0</v>
      </c>
      <c r="N738" t="n">
        <v>0</v>
      </c>
      <c r="O738" t="n">
        <v>0</v>
      </c>
      <c r="P738" t="n">
        <v>0</v>
      </c>
      <c r="Q738" t="n">
        <v>0</v>
      </c>
      <c r="R738" s="2" t="inlineStr"/>
    </row>
    <row r="739" ht="15" customHeight="1">
      <c r="A739" t="inlineStr">
        <is>
          <t>A 53168-2023</t>
        </is>
      </c>
      <c r="B739" s="1" t="n">
        <v>45229</v>
      </c>
      <c r="C739" s="1" t="n">
        <v>46001</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17242-2025</t>
        </is>
      </c>
      <c r="B740" s="1" t="n">
        <v>45756.49009259259</v>
      </c>
      <c r="C740" s="1" t="n">
        <v>46001</v>
      </c>
      <c r="D740" t="inlineStr">
        <is>
          <t>ÖREBRO LÄN</t>
        </is>
      </c>
      <c r="E740" t="inlineStr">
        <is>
          <t>LINDESBERG</t>
        </is>
      </c>
      <c r="G740" t="n">
        <v>7.3</v>
      </c>
      <c r="H740" t="n">
        <v>0</v>
      </c>
      <c r="I740" t="n">
        <v>0</v>
      </c>
      <c r="J740" t="n">
        <v>0</v>
      </c>
      <c r="K740" t="n">
        <v>0</v>
      </c>
      <c r="L740" t="n">
        <v>0</v>
      </c>
      <c r="M740" t="n">
        <v>0</v>
      </c>
      <c r="N740" t="n">
        <v>0</v>
      </c>
      <c r="O740" t="n">
        <v>0</v>
      </c>
      <c r="P740" t="n">
        <v>0</v>
      </c>
      <c r="Q740" t="n">
        <v>0</v>
      </c>
      <c r="R740" s="2" t="inlineStr"/>
    </row>
    <row r="741" ht="15" customHeight="1">
      <c r="A741" t="inlineStr">
        <is>
          <t>A 4603-2024</t>
        </is>
      </c>
      <c r="B741" s="1" t="n">
        <v>45328</v>
      </c>
      <c r="C741" s="1" t="n">
        <v>46001</v>
      </c>
      <c r="D741" t="inlineStr">
        <is>
          <t>ÖREBRO LÄN</t>
        </is>
      </c>
      <c r="E741" t="inlineStr">
        <is>
          <t>LINDESBERG</t>
        </is>
      </c>
      <c r="F741" t="inlineStr">
        <is>
          <t>BillerudKorsnäs AB</t>
        </is>
      </c>
      <c r="G741" t="n">
        <v>4.3</v>
      </c>
      <c r="H741" t="n">
        <v>0</v>
      </c>
      <c r="I741" t="n">
        <v>0</v>
      </c>
      <c r="J741" t="n">
        <v>0</v>
      </c>
      <c r="K741" t="n">
        <v>0</v>
      </c>
      <c r="L741" t="n">
        <v>0</v>
      </c>
      <c r="M741" t="n">
        <v>0</v>
      </c>
      <c r="N741" t="n">
        <v>0</v>
      </c>
      <c r="O741" t="n">
        <v>0</v>
      </c>
      <c r="P741" t="n">
        <v>0</v>
      </c>
      <c r="Q741" t="n">
        <v>0</v>
      </c>
      <c r="R741" s="2" t="inlineStr"/>
    </row>
    <row r="742" ht="15" customHeight="1">
      <c r="A742" t="inlineStr">
        <is>
          <t>A 53062-2023</t>
        </is>
      </c>
      <c r="B742" s="1" t="n">
        <v>45227.31859953704</v>
      </c>
      <c r="C742" s="1" t="n">
        <v>46001</v>
      </c>
      <c r="D742" t="inlineStr">
        <is>
          <t>ÖREBRO LÄN</t>
        </is>
      </c>
      <c r="E742" t="inlineStr">
        <is>
          <t>LINDESBERG</t>
        </is>
      </c>
      <c r="G742" t="n">
        <v>3.1</v>
      </c>
      <c r="H742" t="n">
        <v>0</v>
      </c>
      <c r="I742" t="n">
        <v>0</v>
      </c>
      <c r="J742" t="n">
        <v>0</v>
      </c>
      <c r="K742" t="n">
        <v>0</v>
      </c>
      <c r="L742" t="n">
        <v>0</v>
      </c>
      <c r="M742" t="n">
        <v>0</v>
      </c>
      <c r="N742" t="n">
        <v>0</v>
      </c>
      <c r="O742" t="n">
        <v>0</v>
      </c>
      <c r="P742" t="n">
        <v>0</v>
      </c>
      <c r="Q742" t="n">
        <v>0</v>
      </c>
      <c r="R742" s="2" t="inlineStr"/>
    </row>
    <row r="743" ht="15" customHeight="1">
      <c r="A743" t="inlineStr">
        <is>
          <t>A 8902-2024</t>
        </is>
      </c>
      <c r="B743" s="1" t="n">
        <v>45357.34521990741</v>
      </c>
      <c r="C743" s="1" t="n">
        <v>46001</v>
      </c>
      <c r="D743" t="inlineStr">
        <is>
          <t>ÖREBRO LÄN</t>
        </is>
      </c>
      <c r="E743" t="inlineStr">
        <is>
          <t>LINDESBERG</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59631-2023</t>
        </is>
      </c>
      <c r="B744" s="1" t="n">
        <v>45254.68105324074</v>
      </c>
      <c r="C744" s="1" t="n">
        <v>46001</v>
      </c>
      <c r="D744" t="inlineStr">
        <is>
          <t>ÖREBRO LÄN</t>
        </is>
      </c>
      <c r="E744" t="inlineStr">
        <is>
          <t>LINDESBERG</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19110-2025</t>
        </is>
      </c>
      <c r="B745" s="1" t="n">
        <v>45768.49947916667</v>
      </c>
      <c r="C745" s="1" t="n">
        <v>46001</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21245-2024</t>
        </is>
      </c>
      <c r="B746" s="1" t="n">
        <v>45440</v>
      </c>
      <c r="C746" s="1" t="n">
        <v>46001</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29350-2022</t>
        </is>
      </c>
      <c r="B747" s="1" t="n">
        <v>44753</v>
      </c>
      <c r="C747" s="1" t="n">
        <v>46001</v>
      </c>
      <c r="D747" t="inlineStr">
        <is>
          <t>ÖREBRO LÄN</t>
        </is>
      </c>
      <c r="E747" t="inlineStr">
        <is>
          <t>LINDESBERG</t>
        </is>
      </c>
      <c r="G747" t="n">
        <v>7.7</v>
      </c>
      <c r="H747" t="n">
        <v>0</v>
      </c>
      <c r="I747" t="n">
        <v>0</v>
      </c>
      <c r="J747" t="n">
        <v>0</v>
      </c>
      <c r="K747" t="n">
        <v>0</v>
      </c>
      <c r="L747" t="n">
        <v>0</v>
      </c>
      <c r="M747" t="n">
        <v>0</v>
      </c>
      <c r="N747" t="n">
        <v>0</v>
      </c>
      <c r="O747" t="n">
        <v>0</v>
      </c>
      <c r="P747" t="n">
        <v>0</v>
      </c>
      <c r="Q747" t="n">
        <v>0</v>
      </c>
      <c r="R747" s="2" t="inlineStr"/>
    </row>
    <row r="748" ht="15" customHeight="1">
      <c r="A748" t="inlineStr">
        <is>
          <t>A 10836-2024</t>
        </is>
      </c>
      <c r="B748" s="1" t="n">
        <v>45369</v>
      </c>
      <c r="C748" s="1" t="n">
        <v>46001</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2414-2024</t>
        </is>
      </c>
      <c r="B749" s="1" t="n">
        <v>45310.87931712963</v>
      </c>
      <c r="C749" s="1" t="n">
        <v>46001</v>
      </c>
      <c r="D749" t="inlineStr">
        <is>
          <t>ÖREBRO LÄN</t>
        </is>
      </c>
      <c r="E749" t="inlineStr">
        <is>
          <t>LINDESBERG</t>
        </is>
      </c>
      <c r="G749" t="n">
        <v>7.2</v>
      </c>
      <c r="H749" t="n">
        <v>0</v>
      </c>
      <c r="I749" t="n">
        <v>0</v>
      </c>
      <c r="J749" t="n">
        <v>0</v>
      </c>
      <c r="K749" t="n">
        <v>0</v>
      </c>
      <c r="L749" t="n">
        <v>0</v>
      </c>
      <c r="M749" t="n">
        <v>0</v>
      </c>
      <c r="N749" t="n">
        <v>0</v>
      </c>
      <c r="O749" t="n">
        <v>0</v>
      </c>
      <c r="P749" t="n">
        <v>0</v>
      </c>
      <c r="Q749" t="n">
        <v>0</v>
      </c>
      <c r="R749" s="2" t="inlineStr"/>
    </row>
    <row r="750" ht="15" customHeight="1">
      <c r="A750" t="inlineStr">
        <is>
          <t>A 28463-2024</t>
        </is>
      </c>
      <c r="B750" s="1" t="n">
        <v>45477.70315972222</v>
      </c>
      <c r="C750" s="1" t="n">
        <v>46001</v>
      </c>
      <c r="D750" t="inlineStr">
        <is>
          <t>ÖREBRO LÄN</t>
        </is>
      </c>
      <c r="E750" t="inlineStr">
        <is>
          <t>LINDESBERG</t>
        </is>
      </c>
      <c r="G750" t="n">
        <v>6.3</v>
      </c>
      <c r="H750" t="n">
        <v>0</v>
      </c>
      <c r="I750" t="n">
        <v>0</v>
      </c>
      <c r="J750" t="n">
        <v>0</v>
      </c>
      <c r="K750" t="n">
        <v>0</v>
      </c>
      <c r="L750" t="n">
        <v>0</v>
      </c>
      <c r="M750" t="n">
        <v>0</v>
      </c>
      <c r="N750" t="n">
        <v>0</v>
      </c>
      <c r="O750" t="n">
        <v>0</v>
      </c>
      <c r="P750" t="n">
        <v>0</v>
      </c>
      <c r="Q750" t="n">
        <v>0</v>
      </c>
      <c r="R750" s="2" t="inlineStr"/>
    </row>
    <row r="751" ht="15" customHeight="1">
      <c r="A751" t="inlineStr">
        <is>
          <t>A 63668-2023</t>
        </is>
      </c>
      <c r="B751" s="1" t="n">
        <v>45274</v>
      </c>
      <c r="C751" s="1" t="n">
        <v>46001</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8139-2023</t>
        </is>
      </c>
      <c r="B752" s="1" t="n">
        <v>44970</v>
      </c>
      <c r="C752" s="1" t="n">
        <v>46001</v>
      </c>
      <c r="D752" t="inlineStr">
        <is>
          <t>ÖREBRO LÄN</t>
        </is>
      </c>
      <c r="E752" t="inlineStr">
        <is>
          <t>LINDESBERG</t>
        </is>
      </c>
      <c r="G752" t="n">
        <v>3.6</v>
      </c>
      <c r="H752" t="n">
        <v>0</v>
      </c>
      <c r="I752" t="n">
        <v>0</v>
      </c>
      <c r="J752" t="n">
        <v>0</v>
      </c>
      <c r="K752" t="n">
        <v>0</v>
      </c>
      <c r="L752" t="n">
        <v>0</v>
      </c>
      <c r="M752" t="n">
        <v>0</v>
      </c>
      <c r="N752" t="n">
        <v>0</v>
      </c>
      <c r="O752" t="n">
        <v>0</v>
      </c>
      <c r="P752" t="n">
        <v>0</v>
      </c>
      <c r="Q752" t="n">
        <v>0</v>
      </c>
      <c r="R752" s="2" t="inlineStr"/>
    </row>
    <row r="753" ht="15" customHeight="1">
      <c r="A753" t="inlineStr">
        <is>
          <t>A 12276-2025</t>
        </is>
      </c>
      <c r="B753" s="1" t="n">
        <v>45729.65061342593</v>
      </c>
      <c r="C753" s="1" t="n">
        <v>46001</v>
      </c>
      <c r="D753" t="inlineStr">
        <is>
          <t>ÖREBRO LÄN</t>
        </is>
      </c>
      <c r="E753" t="inlineStr">
        <is>
          <t>LINDESBERG</t>
        </is>
      </c>
      <c r="G753" t="n">
        <v>7.6</v>
      </c>
      <c r="H753" t="n">
        <v>0</v>
      </c>
      <c r="I753" t="n">
        <v>0</v>
      </c>
      <c r="J753" t="n">
        <v>0</v>
      </c>
      <c r="K753" t="n">
        <v>0</v>
      </c>
      <c r="L753" t="n">
        <v>0</v>
      </c>
      <c r="M753" t="n">
        <v>0</v>
      </c>
      <c r="N753" t="n">
        <v>0</v>
      </c>
      <c r="O753" t="n">
        <v>0</v>
      </c>
      <c r="P753" t="n">
        <v>0</v>
      </c>
      <c r="Q753" t="n">
        <v>0</v>
      </c>
      <c r="R753" s="2" t="inlineStr"/>
    </row>
    <row r="754" ht="15" customHeight="1">
      <c r="A754" t="inlineStr">
        <is>
          <t>A 36291-2022</t>
        </is>
      </c>
      <c r="B754" s="1" t="n">
        <v>44803.64361111111</v>
      </c>
      <c r="C754" s="1" t="n">
        <v>46001</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61597-2023</t>
        </is>
      </c>
      <c r="B755" s="1" t="n">
        <v>45265.49225694445</v>
      </c>
      <c r="C755" s="1" t="n">
        <v>46001</v>
      </c>
      <c r="D755" t="inlineStr">
        <is>
          <t>ÖREBRO LÄN</t>
        </is>
      </c>
      <c r="E755" t="inlineStr">
        <is>
          <t>LINDESBERG</t>
        </is>
      </c>
      <c r="G755" t="n">
        <v>10.3</v>
      </c>
      <c r="H755" t="n">
        <v>0</v>
      </c>
      <c r="I755" t="n">
        <v>0</v>
      </c>
      <c r="J755" t="n">
        <v>0</v>
      </c>
      <c r="K755" t="n">
        <v>0</v>
      </c>
      <c r="L755" t="n">
        <v>0</v>
      </c>
      <c r="M755" t="n">
        <v>0</v>
      </c>
      <c r="N755" t="n">
        <v>0</v>
      </c>
      <c r="O755" t="n">
        <v>0</v>
      </c>
      <c r="P755" t="n">
        <v>0</v>
      </c>
      <c r="Q755" t="n">
        <v>0</v>
      </c>
      <c r="R755" s="2" t="inlineStr"/>
    </row>
    <row r="756" ht="15" customHeight="1">
      <c r="A756" t="inlineStr">
        <is>
          <t>A 62968-2023</t>
        </is>
      </c>
      <c r="B756" s="1" t="n">
        <v>45272.57385416667</v>
      </c>
      <c r="C756" s="1" t="n">
        <v>46001</v>
      </c>
      <c r="D756" t="inlineStr">
        <is>
          <t>ÖREBRO LÄN</t>
        </is>
      </c>
      <c r="E756" t="inlineStr">
        <is>
          <t>LINDESBERG</t>
        </is>
      </c>
      <c r="G756" t="n">
        <v>0.6</v>
      </c>
      <c r="H756" t="n">
        <v>0</v>
      </c>
      <c r="I756" t="n">
        <v>0</v>
      </c>
      <c r="J756" t="n">
        <v>0</v>
      </c>
      <c r="K756" t="n">
        <v>0</v>
      </c>
      <c r="L756" t="n">
        <v>0</v>
      </c>
      <c r="M756" t="n">
        <v>0</v>
      </c>
      <c r="N756" t="n">
        <v>0</v>
      </c>
      <c r="O756" t="n">
        <v>0</v>
      </c>
      <c r="P756" t="n">
        <v>0</v>
      </c>
      <c r="Q756" t="n">
        <v>0</v>
      </c>
      <c r="R756" s="2" t="inlineStr"/>
    </row>
    <row r="757" ht="15" customHeight="1">
      <c r="A757" t="inlineStr">
        <is>
          <t>A 24270-2023</t>
        </is>
      </c>
      <c r="B757" s="1" t="n">
        <v>45079</v>
      </c>
      <c r="C757" s="1" t="n">
        <v>46001</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24271-2023</t>
        </is>
      </c>
      <c r="B758" s="1" t="n">
        <v>45079</v>
      </c>
      <c r="C758" s="1" t="n">
        <v>46001</v>
      </c>
      <c r="D758" t="inlineStr">
        <is>
          <t>ÖREBRO LÄN</t>
        </is>
      </c>
      <c r="E758" t="inlineStr">
        <is>
          <t>LINDESBERG</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62866-2023</t>
        </is>
      </c>
      <c r="B759" s="1" t="n">
        <v>45272.36168981482</v>
      </c>
      <c r="C759" s="1" t="n">
        <v>46001</v>
      </c>
      <c r="D759" t="inlineStr">
        <is>
          <t>ÖREBRO LÄN</t>
        </is>
      </c>
      <c r="E759" t="inlineStr">
        <is>
          <t>LINDESBERG</t>
        </is>
      </c>
      <c r="G759" t="n">
        <v>14.5</v>
      </c>
      <c r="H759" t="n">
        <v>0</v>
      </c>
      <c r="I759" t="n">
        <v>0</v>
      </c>
      <c r="J759" t="n">
        <v>0</v>
      </c>
      <c r="K759" t="n">
        <v>0</v>
      </c>
      <c r="L759" t="n">
        <v>0</v>
      </c>
      <c r="M759" t="n">
        <v>0</v>
      </c>
      <c r="N759" t="n">
        <v>0</v>
      </c>
      <c r="O759" t="n">
        <v>0</v>
      </c>
      <c r="P759" t="n">
        <v>0</v>
      </c>
      <c r="Q759" t="n">
        <v>0</v>
      </c>
      <c r="R759" s="2" t="inlineStr"/>
    </row>
    <row r="760" ht="15" customHeight="1">
      <c r="A760" t="inlineStr">
        <is>
          <t>A 13416-2025</t>
        </is>
      </c>
      <c r="B760" s="1" t="n">
        <v>45736.308125</v>
      </c>
      <c r="C760" s="1" t="n">
        <v>46001</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4013-2025</t>
        </is>
      </c>
      <c r="B761" s="1" t="n">
        <v>45684.5790162037</v>
      </c>
      <c r="C761" s="1" t="n">
        <v>46001</v>
      </c>
      <c r="D761" t="inlineStr">
        <is>
          <t>ÖREBRO LÄN</t>
        </is>
      </c>
      <c r="E761" t="inlineStr">
        <is>
          <t>LINDESBERG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44803-2024</t>
        </is>
      </c>
      <c r="B762" s="1" t="n">
        <v>45574.65087962963</v>
      </c>
      <c r="C762" s="1" t="n">
        <v>46001</v>
      </c>
      <c r="D762" t="inlineStr">
        <is>
          <t>ÖREBRO LÄN</t>
        </is>
      </c>
      <c r="E762" t="inlineStr">
        <is>
          <t>LINDESBERG</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27130-2024</t>
        </is>
      </c>
      <c r="B763" s="1" t="n">
        <v>45471.52072916667</v>
      </c>
      <c r="C763" s="1" t="n">
        <v>46001</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59804-2023</t>
        </is>
      </c>
      <c r="B764" s="1" t="n">
        <v>45257.48188657407</v>
      </c>
      <c r="C764" s="1" t="n">
        <v>46001</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27434-2023</t>
        </is>
      </c>
      <c r="B765" s="1" t="n">
        <v>45097.38688657407</v>
      </c>
      <c r="C765" s="1" t="n">
        <v>46001</v>
      </c>
      <c r="D765" t="inlineStr">
        <is>
          <t>ÖREBRO LÄN</t>
        </is>
      </c>
      <c r="E765" t="inlineStr">
        <is>
          <t>LINDESBERG</t>
        </is>
      </c>
      <c r="G765" t="n">
        <v>10.7</v>
      </c>
      <c r="H765" t="n">
        <v>0</v>
      </c>
      <c r="I765" t="n">
        <v>0</v>
      </c>
      <c r="J765" t="n">
        <v>0</v>
      </c>
      <c r="K765" t="n">
        <v>0</v>
      </c>
      <c r="L765" t="n">
        <v>0</v>
      </c>
      <c r="M765" t="n">
        <v>0</v>
      </c>
      <c r="N765" t="n">
        <v>0</v>
      </c>
      <c r="O765" t="n">
        <v>0</v>
      </c>
      <c r="P765" t="n">
        <v>0</v>
      </c>
      <c r="Q765" t="n">
        <v>0</v>
      </c>
      <c r="R765" s="2" t="inlineStr"/>
    </row>
    <row r="766" ht="15" customHeight="1">
      <c r="A766" t="inlineStr">
        <is>
          <t>A 45060-2024</t>
        </is>
      </c>
      <c r="B766" s="1" t="n">
        <v>45575.55570601852</v>
      </c>
      <c r="C766" s="1" t="n">
        <v>46001</v>
      </c>
      <c r="D766" t="inlineStr">
        <is>
          <t>ÖREBRO LÄN</t>
        </is>
      </c>
      <c r="E766" t="inlineStr">
        <is>
          <t>LINDESBERG</t>
        </is>
      </c>
      <c r="F766" t="inlineStr">
        <is>
          <t>Sveaskog</t>
        </is>
      </c>
      <c r="G766" t="n">
        <v>4.6</v>
      </c>
      <c r="H766" t="n">
        <v>0</v>
      </c>
      <c r="I766" t="n">
        <v>0</v>
      </c>
      <c r="J766" t="n">
        <v>0</v>
      </c>
      <c r="K766" t="n">
        <v>0</v>
      </c>
      <c r="L766" t="n">
        <v>0</v>
      </c>
      <c r="M766" t="n">
        <v>0</v>
      </c>
      <c r="N766" t="n">
        <v>0</v>
      </c>
      <c r="O766" t="n">
        <v>0</v>
      </c>
      <c r="P766" t="n">
        <v>0</v>
      </c>
      <c r="Q766" t="n">
        <v>0</v>
      </c>
      <c r="R766" s="2" t="inlineStr"/>
    </row>
    <row r="767" ht="15" customHeight="1">
      <c r="A767" t="inlineStr">
        <is>
          <t>A 72706-2021</t>
        </is>
      </c>
      <c r="B767" s="1" t="n">
        <v>44546.67222222222</v>
      </c>
      <c r="C767" s="1" t="n">
        <v>46001</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53366-2023</t>
        </is>
      </c>
      <c r="B768" s="1" t="n">
        <v>45229</v>
      </c>
      <c r="C768" s="1" t="n">
        <v>46001</v>
      </c>
      <c r="D768" t="inlineStr">
        <is>
          <t>ÖREBRO LÄN</t>
        </is>
      </c>
      <c r="E768" t="inlineStr">
        <is>
          <t>LINDESBERG</t>
        </is>
      </c>
      <c r="G768" t="n">
        <v>1.9</v>
      </c>
      <c r="H768" t="n">
        <v>0</v>
      </c>
      <c r="I768" t="n">
        <v>0</v>
      </c>
      <c r="J768" t="n">
        <v>0</v>
      </c>
      <c r="K768" t="n">
        <v>0</v>
      </c>
      <c r="L768" t="n">
        <v>0</v>
      </c>
      <c r="M768" t="n">
        <v>0</v>
      </c>
      <c r="N768" t="n">
        <v>0</v>
      </c>
      <c r="O768" t="n">
        <v>0</v>
      </c>
      <c r="P768" t="n">
        <v>0</v>
      </c>
      <c r="Q768" t="n">
        <v>0</v>
      </c>
      <c r="R768" s="2" t="inlineStr"/>
    </row>
    <row r="769" ht="15" customHeight="1">
      <c r="A769" t="inlineStr">
        <is>
          <t>A 19219-2023</t>
        </is>
      </c>
      <c r="B769" s="1" t="n">
        <v>45048</v>
      </c>
      <c r="C769" s="1" t="n">
        <v>46001</v>
      </c>
      <c r="D769" t="inlineStr">
        <is>
          <t>ÖREBRO LÄN</t>
        </is>
      </c>
      <c r="E769" t="inlineStr">
        <is>
          <t>LINDESBERG</t>
        </is>
      </c>
      <c r="G769" t="n">
        <v>1</v>
      </c>
      <c r="H769" t="n">
        <v>0</v>
      </c>
      <c r="I769" t="n">
        <v>0</v>
      </c>
      <c r="J769" t="n">
        <v>0</v>
      </c>
      <c r="K769" t="n">
        <v>0</v>
      </c>
      <c r="L769" t="n">
        <v>0</v>
      </c>
      <c r="M769" t="n">
        <v>0</v>
      </c>
      <c r="N769" t="n">
        <v>0</v>
      </c>
      <c r="O769" t="n">
        <v>0</v>
      </c>
      <c r="P769" t="n">
        <v>0</v>
      </c>
      <c r="Q769" t="n">
        <v>0</v>
      </c>
      <c r="R769" s="2" t="inlineStr"/>
    </row>
    <row r="770" ht="15" customHeight="1">
      <c r="A770" t="inlineStr">
        <is>
          <t>A 19043-2023</t>
        </is>
      </c>
      <c r="B770" s="1" t="n">
        <v>45047.7181712963</v>
      </c>
      <c r="C770" s="1" t="n">
        <v>46001</v>
      </c>
      <c r="D770" t="inlineStr">
        <is>
          <t>ÖREBRO LÄN</t>
        </is>
      </c>
      <c r="E770" t="inlineStr">
        <is>
          <t>LINDESBERG</t>
        </is>
      </c>
      <c r="G770" t="n">
        <v>2.6</v>
      </c>
      <c r="H770" t="n">
        <v>0</v>
      </c>
      <c r="I770" t="n">
        <v>0</v>
      </c>
      <c r="J770" t="n">
        <v>0</v>
      </c>
      <c r="K770" t="n">
        <v>0</v>
      </c>
      <c r="L770" t="n">
        <v>0</v>
      </c>
      <c r="M770" t="n">
        <v>0</v>
      </c>
      <c r="N770" t="n">
        <v>0</v>
      </c>
      <c r="O770" t="n">
        <v>0</v>
      </c>
      <c r="P770" t="n">
        <v>0</v>
      </c>
      <c r="Q770" t="n">
        <v>0</v>
      </c>
      <c r="R770" s="2" t="inlineStr"/>
    </row>
    <row r="771" ht="15" customHeight="1">
      <c r="A771" t="inlineStr">
        <is>
          <t>A 27031-2024</t>
        </is>
      </c>
      <c r="B771" s="1" t="n">
        <v>45471.42659722222</v>
      </c>
      <c r="C771" s="1" t="n">
        <v>46001</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38696-2024</t>
        </is>
      </c>
      <c r="B772" s="1" t="n">
        <v>45547.36590277778</v>
      </c>
      <c r="C772" s="1" t="n">
        <v>46001</v>
      </c>
      <c r="D772" t="inlineStr">
        <is>
          <t>ÖREBRO LÄN</t>
        </is>
      </c>
      <c r="E772" t="inlineStr">
        <is>
          <t>LINDESBERG</t>
        </is>
      </c>
      <c r="G772" t="n">
        <v>2</v>
      </c>
      <c r="H772" t="n">
        <v>0</v>
      </c>
      <c r="I772" t="n">
        <v>0</v>
      </c>
      <c r="J772" t="n">
        <v>0</v>
      </c>
      <c r="K772" t="n">
        <v>0</v>
      </c>
      <c r="L772" t="n">
        <v>0</v>
      </c>
      <c r="M772" t="n">
        <v>0</v>
      </c>
      <c r="N772" t="n">
        <v>0</v>
      </c>
      <c r="O772" t="n">
        <v>0</v>
      </c>
      <c r="P772" t="n">
        <v>0</v>
      </c>
      <c r="Q772" t="n">
        <v>0</v>
      </c>
      <c r="R772" s="2" t="inlineStr"/>
    </row>
    <row r="773" ht="15" customHeight="1">
      <c r="A773" t="inlineStr">
        <is>
          <t>A 66214-2020</t>
        </is>
      </c>
      <c r="B773" s="1" t="n">
        <v>44175</v>
      </c>
      <c r="C773" s="1" t="n">
        <v>46001</v>
      </c>
      <c r="D773" t="inlineStr">
        <is>
          <t>ÖREBRO LÄN</t>
        </is>
      </c>
      <c r="E773" t="inlineStr">
        <is>
          <t>LINDESBERG</t>
        </is>
      </c>
      <c r="G773" t="n">
        <v>3.7</v>
      </c>
      <c r="H773" t="n">
        <v>0</v>
      </c>
      <c r="I773" t="n">
        <v>0</v>
      </c>
      <c r="J773" t="n">
        <v>0</v>
      </c>
      <c r="K773" t="n">
        <v>0</v>
      </c>
      <c r="L773" t="n">
        <v>0</v>
      </c>
      <c r="M773" t="n">
        <v>0</v>
      </c>
      <c r="N773" t="n">
        <v>0</v>
      </c>
      <c r="O773" t="n">
        <v>0</v>
      </c>
      <c r="P773" t="n">
        <v>0</v>
      </c>
      <c r="Q773" t="n">
        <v>0</v>
      </c>
      <c r="R773" s="2" t="inlineStr"/>
    </row>
    <row r="774" ht="15" customHeight="1">
      <c r="A774" t="inlineStr">
        <is>
          <t>A 4924-2021</t>
        </is>
      </c>
      <c r="B774" s="1" t="n">
        <v>44227</v>
      </c>
      <c r="C774" s="1" t="n">
        <v>46001</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54663-2021</t>
        </is>
      </c>
      <c r="B775" s="1" t="n">
        <v>44473.6343287037</v>
      </c>
      <c r="C775" s="1" t="n">
        <v>46001</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32262-2021</t>
        </is>
      </c>
      <c r="B776" s="1" t="n">
        <v>44371.47609953704</v>
      </c>
      <c r="C776" s="1" t="n">
        <v>46001</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48265-2021</t>
        </is>
      </c>
      <c r="B777" s="1" t="n">
        <v>44449</v>
      </c>
      <c r="C777" s="1" t="n">
        <v>46001</v>
      </c>
      <c r="D777" t="inlineStr">
        <is>
          <t>ÖREBRO LÄN</t>
        </is>
      </c>
      <c r="E777" t="inlineStr">
        <is>
          <t>LINDESBERG</t>
        </is>
      </c>
      <c r="G777" t="n">
        <v>23.7</v>
      </c>
      <c r="H777" t="n">
        <v>0</v>
      </c>
      <c r="I777" t="n">
        <v>0</v>
      </c>
      <c r="J777" t="n">
        <v>0</v>
      </c>
      <c r="K777" t="n">
        <v>0</v>
      </c>
      <c r="L777" t="n">
        <v>0</v>
      </c>
      <c r="M777" t="n">
        <v>0</v>
      </c>
      <c r="N777" t="n">
        <v>0</v>
      </c>
      <c r="O777" t="n">
        <v>0</v>
      </c>
      <c r="P777" t="n">
        <v>0</v>
      </c>
      <c r="Q777" t="n">
        <v>0</v>
      </c>
      <c r="R777" s="2" t="inlineStr"/>
    </row>
    <row r="778" ht="15" customHeight="1">
      <c r="A778" t="inlineStr">
        <is>
          <t>A 14028-2023</t>
        </is>
      </c>
      <c r="B778" s="1" t="n">
        <v>45008</v>
      </c>
      <c r="C778" s="1" t="n">
        <v>46001</v>
      </c>
      <c r="D778" t="inlineStr">
        <is>
          <t>ÖREBRO LÄN</t>
        </is>
      </c>
      <c r="E778" t="inlineStr">
        <is>
          <t>LINDESBERG</t>
        </is>
      </c>
      <c r="F778" t="inlineStr">
        <is>
          <t>Kyrkan</t>
        </is>
      </c>
      <c r="G778" t="n">
        <v>1.1</v>
      </c>
      <c r="H778" t="n">
        <v>0</v>
      </c>
      <c r="I778" t="n">
        <v>0</v>
      </c>
      <c r="J778" t="n">
        <v>0</v>
      </c>
      <c r="K778" t="n">
        <v>0</v>
      </c>
      <c r="L778" t="n">
        <v>0</v>
      </c>
      <c r="M778" t="n">
        <v>0</v>
      </c>
      <c r="N778" t="n">
        <v>0</v>
      </c>
      <c r="O778" t="n">
        <v>0</v>
      </c>
      <c r="P778" t="n">
        <v>0</v>
      </c>
      <c r="Q778" t="n">
        <v>0</v>
      </c>
      <c r="R778" s="2" t="inlineStr"/>
    </row>
    <row r="779" ht="15" customHeight="1">
      <c r="A779" t="inlineStr">
        <is>
          <t>A 57069-2022</t>
        </is>
      </c>
      <c r="B779" s="1" t="n">
        <v>44895</v>
      </c>
      <c r="C779" s="1" t="n">
        <v>46001</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61405-2022</t>
        </is>
      </c>
      <c r="B780" s="1" t="n">
        <v>44916</v>
      </c>
      <c r="C780" s="1" t="n">
        <v>46001</v>
      </c>
      <c r="D780" t="inlineStr">
        <is>
          <t>ÖREBRO LÄN</t>
        </is>
      </c>
      <c r="E780" t="inlineStr">
        <is>
          <t>LINDESBERG</t>
        </is>
      </c>
      <c r="G780" t="n">
        <v>4.4</v>
      </c>
      <c r="H780" t="n">
        <v>0</v>
      </c>
      <c r="I780" t="n">
        <v>0</v>
      </c>
      <c r="J780" t="n">
        <v>0</v>
      </c>
      <c r="K780" t="n">
        <v>0</v>
      </c>
      <c r="L780" t="n">
        <v>0</v>
      </c>
      <c r="M780" t="n">
        <v>0</v>
      </c>
      <c r="N780" t="n">
        <v>0</v>
      </c>
      <c r="O780" t="n">
        <v>0</v>
      </c>
      <c r="P780" t="n">
        <v>0</v>
      </c>
      <c r="Q780" t="n">
        <v>0</v>
      </c>
      <c r="R780" s="2" t="inlineStr"/>
    </row>
    <row r="781" ht="15" customHeight="1">
      <c r="A781" t="inlineStr">
        <is>
          <t>A 9961-2023</t>
        </is>
      </c>
      <c r="B781" s="1" t="n">
        <v>44979</v>
      </c>
      <c r="C781" s="1" t="n">
        <v>46001</v>
      </c>
      <c r="D781" t="inlineStr">
        <is>
          <t>ÖREBRO LÄN</t>
        </is>
      </c>
      <c r="E781" t="inlineStr">
        <is>
          <t>LINDESBERG</t>
        </is>
      </c>
      <c r="G781" t="n">
        <v>4.8</v>
      </c>
      <c r="H781" t="n">
        <v>0</v>
      </c>
      <c r="I781" t="n">
        <v>0</v>
      </c>
      <c r="J781" t="n">
        <v>0</v>
      </c>
      <c r="K781" t="n">
        <v>0</v>
      </c>
      <c r="L781" t="n">
        <v>0</v>
      </c>
      <c r="M781" t="n">
        <v>0</v>
      </c>
      <c r="N781" t="n">
        <v>0</v>
      </c>
      <c r="O781" t="n">
        <v>0</v>
      </c>
      <c r="P781" t="n">
        <v>0</v>
      </c>
      <c r="Q781" t="n">
        <v>0</v>
      </c>
      <c r="R781" s="2" t="inlineStr"/>
    </row>
    <row r="782" ht="15" customHeight="1">
      <c r="A782" t="inlineStr">
        <is>
          <t>A 45041-2024</t>
        </is>
      </c>
      <c r="B782" s="1" t="n">
        <v>45575.53690972222</v>
      </c>
      <c r="C782" s="1" t="n">
        <v>46001</v>
      </c>
      <c r="D782" t="inlineStr">
        <is>
          <t>ÖREBRO LÄN</t>
        </is>
      </c>
      <c r="E782" t="inlineStr">
        <is>
          <t>LINDESBERG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45068-2024</t>
        </is>
      </c>
      <c r="B783" s="1" t="n">
        <v>45575.56256944445</v>
      </c>
      <c r="C783" s="1" t="n">
        <v>46001</v>
      </c>
      <c r="D783" t="inlineStr">
        <is>
          <t>ÖREBRO LÄN</t>
        </is>
      </c>
      <c r="E783" t="inlineStr">
        <is>
          <t>LINDESBERG</t>
        </is>
      </c>
      <c r="F783" t="inlineStr">
        <is>
          <t>Sveaskog</t>
        </is>
      </c>
      <c r="G783" t="n">
        <v>16.5</v>
      </c>
      <c r="H783" t="n">
        <v>0</v>
      </c>
      <c r="I783" t="n">
        <v>0</v>
      </c>
      <c r="J783" t="n">
        <v>0</v>
      </c>
      <c r="K783" t="n">
        <v>0</v>
      </c>
      <c r="L783" t="n">
        <v>0</v>
      </c>
      <c r="M783" t="n">
        <v>0</v>
      </c>
      <c r="N783" t="n">
        <v>0</v>
      </c>
      <c r="O783" t="n">
        <v>0</v>
      </c>
      <c r="P783" t="n">
        <v>0</v>
      </c>
      <c r="Q783" t="n">
        <v>0</v>
      </c>
      <c r="R783" s="2" t="inlineStr"/>
    </row>
    <row r="784" ht="15" customHeight="1">
      <c r="A784" t="inlineStr">
        <is>
          <t>A 39419-2023</t>
        </is>
      </c>
      <c r="B784" s="1" t="n">
        <v>45166.68493055556</v>
      </c>
      <c r="C784" s="1" t="n">
        <v>46001</v>
      </c>
      <c r="D784" t="inlineStr">
        <is>
          <t>ÖREBRO LÄN</t>
        </is>
      </c>
      <c r="E784" t="inlineStr">
        <is>
          <t>LINDESBERG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10825-2021</t>
        </is>
      </c>
      <c r="B785" s="1" t="n">
        <v>44259</v>
      </c>
      <c r="C785" s="1" t="n">
        <v>46001</v>
      </c>
      <c r="D785" t="inlineStr">
        <is>
          <t>ÖREBRO LÄN</t>
        </is>
      </c>
      <c r="E785" t="inlineStr">
        <is>
          <t>LINDESBERG</t>
        </is>
      </c>
      <c r="G785" t="n">
        <v>7.4</v>
      </c>
      <c r="H785" t="n">
        <v>0</v>
      </c>
      <c r="I785" t="n">
        <v>0</v>
      </c>
      <c r="J785" t="n">
        <v>0</v>
      </c>
      <c r="K785" t="n">
        <v>0</v>
      </c>
      <c r="L785" t="n">
        <v>0</v>
      </c>
      <c r="M785" t="n">
        <v>0</v>
      </c>
      <c r="N785" t="n">
        <v>0</v>
      </c>
      <c r="O785" t="n">
        <v>0</v>
      </c>
      <c r="P785" t="n">
        <v>0</v>
      </c>
      <c r="Q785" t="n">
        <v>0</v>
      </c>
      <c r="R785" s="2" t="inlineStr"/>
    </row>
    <row r="786" ht="15" customHeight="1">
      <c r="A786" t="inlineStr">
        <is>
          <t>A 15745-2024</t>
        </is>
      </c>
      <c r="B786" s="1" t="n">
        <v>45404.55239583334</v>
      </c>
      <c r="C786" s="1" t="n">
        <v>46001</v>
      </c>
      <c r="D786" t="inlineStr">
        <is>
          <t>ÖREBRO LÄN</t>
        </is>
      </c>
      <c r="E786" t="inlineStr">
        <is>
          <t>LINDESBERG</t>
        </is>
      </c>
      <c r="F786" t="inlineStr">
        <is>
          <t>Sveaskog</t>
        </is>
      </c>
      <c r="G786" t="n">
        <v>6.2</v>
      </c>
      <c r="H786" t="n">
        <v>0</v>
      </c>
      <c r="I786" t="n">
        <v>0</v>
      </c>
      <c r="J786" t="n">
        <v>0</v>
      </c>
      <c r="K786" t="n">
        <v>0</v>
      </c>
      <c r="L786" t="n">
        <v>0</v>
      </c>
      <c r="M786" t="n">
        <v>0</v>
      </c>
      <c r="N786" t="n">
        <v>0</v>
      </c>
      <c r="O786" t="n">
        <v>0</v>
      </c>
      <c r="P786" t="n">
        <v>0</v>
      </c>
      <c r="Q786" t="n">
        <v>0</v>
      </c>
      <c r="R786" s="2" t="inlineStr"/>
    </row>
    <row r="787" ht="15" customHeight="1">
      <c r="A787" t="inlineStr">
        <is>
          <t>A 15750-2024</t>
        </is>
      </c>
      <c r="B787" s="1" t="n">
        <v>45404.55601851852</v>
      </c>
      <c r="C787" s="1" t="n">
        <v>46001</v>
      </c>
      <c r="D787" t="inlineStr">
        <is>
          <t>ÖREBRO LÄN</t>
        </is>
      </c>
      <c r="E787" t="inlineStr">
        <is>
          <t>LINDESBERG</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60115-2022</t>
        </is>
      </c>
      <c r="B788" s="1" t="n">
        <v>44902</v>
      </c>
      <c r="C788" s="1" t="n">
        <v>46001</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29857-2023</t>
        </is>
      </c>
      <c r="B789" s="1" t="n">
        <v>45107</v>
      </c>
      <c r="C789" s="1" t="n">
        <v>46001</v>
      </c>
      <c r="D789" t="inlineStr">
        <is>
          <t>ÖREBRO LÄN</t>
        </is>
      </c>
      <c r="E789" t="inlineStr">
        <is>
          <t>LINDESBERG</t>
        </is>
      </c>
      <c r="G789" t="n">
        <v>0.6</v>
      </c>
      <c r="H789" t="n">
        <v>0</v>
      </c>
      <c r="I789" t="n">
        <v>0</v>
      </c>
      <c r="J789" t="n">
        <v>0</v>
      </c>
      <c r="K789" t="n">
        <v>0</v>
      </c>
      <c r="L789" t="n">
        <v>0</v>
      </c>
      <c r="M789" t="n">
        <v>0</v>
      </c>
      <c r="N789" t="n">
        <v>0</v>
      </c>
      <c r="O789" t="n">
        <v>0</v>
      </c>
      <c r="P789" t="n">
        <v>0</v>
      </c>
      <c r="Q789" t="n">
        <v>0</v>
      </c>
      <c r="R789" s="2" t="inlineStr"/>
    </row>
    <row r="790" ht="15" customHeight="1">
      <c r="A790" t="inlineStr">
        <is>
          <t>A 44664-2023</t>
        </is>
      </c>
      <c r="B790" s="1" t="n">
        <v>45189</v>
      </c>
      <c r="C790" s="1" t="n">
        <v>46001</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18610-2021</t>
        </is>
      </c>
      <c r="B791" s="1" t="n">
        <v>44306.6371412037</v>
      </c>
      <c r="C791" s="1" t="n">
        <v>46001</v>
      </c>
      <c r="D791" t="inlineStr">
        <is>
          <t>ÖREBRO LÄN</t>
        </is>
      </c>
      <c r="E791" t="inlineStr">
        <is>
          <t>LINDESBERG</t>
        </is>
      </c>
      <c r="G791" t="n">
        <v>3</v>
      </c>
      <c r="H791" t="n">
        <v>0</v>
      </c>
      <c r="I791" t="n">
        <v>0</v>
      </c>
      <c r="J791" t="n">
        <v>0</v>
      </c>
      <c r="K791" t="n">
        <v>0</v>
      </c>
      <c r="L791" t="n">
        <v>0</v>
      </c>
      <c r="M791" t="n">
        <v>0</v>
      </c>
      <c r="N791" t="n">
        <v>0</v>
      </c>
      <c r="O791" t="n">
        <v>0</v>
      </c>
      <c r="P791" t="n">
        <v>0</v>
      </c>
      <c r="Q791" t="n">
        <v>0</v>
      </c>
      <c r="R791" s="2" t="inlineStr"/>
    </row>
    <row r="792" ht="15" customHeight="1">
      <c r="A792" t="inlineStr">
        <is>
          <t>A 19026-2021</t>
        </is>
      </c>
      <c r="B792" s="1" t="n">
        <v>44308</v>
      </c>
      <c r="C792" s="1" t="n">
        <v>46001</v>
      </c>
      <c r="D792" t="inlineStr">
        <is>
          <t>ÖREBRO LÄN</t>
        </is>
      </c>
      <c r="E792" t="inlineStr">
        <is>
          <t>LINDESBERG</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47535-2022</t>
        </is>
      </c>
      <c r="B793" s="1" t="n">
        <v>44853.79818287037</v>
      </c>
      <c r="C793" s="1" t="n">
        <v>46001</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30830-2024</t>
        </is>
      </c>
      <c r="B794" s="1" t="n">
        <v>45497</v>
      </c>
      <c r="C794" s="1" t="n">
        <v>46001</v>
      </c>
      <c r="D794" t="inlineStr">
        <is>
          <t>ÖREBRO LÄN</t>
        </is>
      </c>
      <c r="E794" t="inlineStr">
        <is>
          <t>LINDESBERG</t>
        </is>
      </c>
      <c r="G794" t="n">
        <v>2.8</v>
      </c>
      <c r="H794" t="n">
        <v>0</v>
      </c>
      <c r="I794" t="n">
        <v>0</v>
      </c>
      <c r="J794" t="n">
        <v>0</v>
      </c>
      <c r="K794" t="n">
        <v>0</v>
      </c>
      <c r="L794" t="n">
        <v>0</v>
      </c>
      <c r="M794" t="n">
        <v>0</v>
      </c>
      <c r="N794" t="n">
        <v>0</v>
      </c>
      <c r="O794" t="n">
        <v>0</v>
      </c>
      <c r="P794" t="n">
        <v>0</v>
      </c>
      <c r="Q794" t="n">
        <v>0</v>
      </c>
      <c r="R794" s="2" t="inlineStr"/>
    </row>
    <row r="795" ht="15" customHeight="1">
      <c r="A795" t="inlineStr">
        <is>
          <t>A 59395-2022</t>
        </is>
      </c>
      <c r="B795" s="1" t="n">
        <v>44906.73321759259</v>
      </c>
      <c r="C795" s="1" t="n">
        <v>46001</v>
      </c>
      <c r="D795" t="inlineStr">
        <is>
          <t>ÖREBRO LÄN</t>
        </is>
      </c>
      <c r="E795" t="inlineStr">
        <is>
          <t>LINDESBERG</t>
        </is>
      </c>
      <c r="G795" t="n">
        <v>4.3</v>
      </c>
      <c r="H795" t="n">
        <v>0</v>
      </c>
      <c r="I795" t="n">
        <v>0</v>
      </c>
      <c r="J795" t="n">
        <v>0</v>
      </c>
      <c r="K795" t="n">
        <v>0</v>
      </c>
      <c r="L795" t="n">
        <v>0</v>
      </c>
      <c r="M795" t="n">
        <v>0</v>
      </c>
      <c r="N795" t="n">
        <v>0</v>
      </c>
      <c r="O795" t="n">
        <v>0</v>
      </c>
      <c r="P795" t="n">
        <v>0</v>
      </c>
      <c r="Q795" t="n">
        <v>0</v>
      </c>
      <c r="R795" s="2" t="inlineStr"/>
    </row>
    <row r="796" ht="15" customHeight="1">
      <c r="A796" t="inlineStr">
        <is>
          <t>A 55272-2023</t>
        </is>
      </c>
      <c r="B796" s="1" t="n">
        <v>45237.67819444444</v>
      </c>
      <c r="C796" s="1" t="n">
        <v>46001</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53597-2024</t>
        </is>
      </c>
      <c r="B797" s="1" t="n">
        <v>45614.68083333333</v>
      </c>
      <c r="C797" s="1" t="n">
        <v>46001</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27576-2024</t>
        </is>
      </c>
      <c r="B798" s="1" t="n">
        <v>45474.65005787037</v>
      </c>
      <c r="C798" s="1" t="n">
        <v>46001</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21986-2023</t>
        </is>
      </c>
      <c r="B799" s="1" t="n">
        <v>45068</v>
      </c>
      <c r="C799" s="1" t="n">
        <v>46001</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52930-2024</t>
        </is>
      </c>
      <c r="B800" s="1" t="n">
        <v>45610.7466087963</v>
      </c>
      <c r="C800" s="1" t="n">
        <v>46001</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2103-2022</t>
        </is>
      </c>
      <c r="B801" s="1" t="n">
        <v>44577.81121527778</v>
      </c>
      <c r="C801" s="1" t="n">
        <v>46001</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54860-2024</t>
        </is>
      </c>
      <c r="B802" s="1" t="n">
        <v>45618.59219907408</v>
      </c>
      <c r="C802" s="1" t="n">
        <v>46001</v>
      </c>
      <c r="D802" t="inlineStr">
        <is>
          <t>ÖREBRO LÄN</t>
        </is>
      </c>
      <c r="E802" t="inlineStr">
        <is>
          <t>LINDESBERG</t>
        </is>
      </c>
      <c r="F802" t="inlineStr">
        <is>
          <t>Sveaskog</t>
        </is>
      </c>
      <c r="G802" t="n">
        <v>0.3</v>
      </c>
      <c r="H802" t="n">
        <v>0</v>
      </c>
      <c r="I802" t="n">
        <v>0</v>
      </c>
      <c r="J802" t="n">
        <v>0</v>
      </c>
      <c r="K802" t="n">
        <v>0</v>
      </c>
      <c r="L802" t="n">
        <v>0</v>
      </c>
      <c r="M802" t="n">
        <v>0</v>
      </c>
      <c r="N802" t="n">
        <v>0</v>
      </c>
      <c r="O802" t="n">
        <v>0</v>
      </c>
      <c r="P802" t="n">
        <v>0</v>
      </c>
      <c r="Q802" t="n">
        <v>0</v>
      </c>
      <c r="R802" s="2" t="inlineStr"/>
    </row>
    <row r="803" ht="15" customHeight="1">
      <c r="A803" t="inlineStr">
        <is>
          <t>A 49358-2023</t>
        </is>
      </c>
      <c r="B803" s="1" t="n">
        <v>45211</v>
      </c>
      <c r="C803" s="1" t="n">
        <v>46001</v>
      </c>
      <c r="D803" t="inlineStr">
        <is>
          <t>ÖREBRO LÄN</t>
        </is>
      </c>
      <c r="E803" t="inlineStr">
        <is>
          <t>LINDESBERG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23579-2022</t>
        </is>
      </c>
      <c r="B804" s="1" t="n">
        <v>44721.52627314815</v>
      </c>
      <c r="C804" s="1" t="n">
        <v>46001</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32009-2023</t>
        </is>
      </c>
      <c r="B805" s="1" t="n">
        <v>45119</v>
      </c>
      <c r="C805" s="1" t="n">
        <v>46001</v>
      </c>
      <c r="D805" t="inlineStr">
        <is>
          <t>ÖREBRO LÄN</t>
        </is>
      </c>
      <c r="E805" t="inlineStr">
        <is>
          <t>LINDESBERG</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46647-2024</t>
        </is>
      </c>
      <c r="B806" s="1" t="n">
        <v>45583</v>
      </c>
      <c r="C806" s="1" t="n">
        <v>46001</v>
      </c>
      <c r="D806" t="inlineStr">
        <is>
          <t>ÖREBRO LÄN</t>
        </is>
      </c>
      <c r="E806" t="inlineStr">
        <is>
          <t>LINDESBERG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23260-2024</t>
        </is>
      </c>
      <c r="B807" s="1" t="n">
        <v>45453.36664351852</v>
      </c>
      <c r="C807" s="1" t="n">
        <v>46001</v>
      </c>
      <c r="D807" t="inlineStr">
        <is>
          <t>ÖREBRO LÄN</t>
        </is>
      </c>
      <c r="E807" t="inlineStr">
        <is>
          <t>LINDESBERG</t>
        </is>
      </c>
      <c r="F807" t="inlineStr">
        <is>
          <t>Sveaskog</t>
        </is>
      </c>
      <c r="G807" t="n">
        <v>0.3</v>
      </c>
      <c r="H807" t="n">
        <v>0</v>
      </c>
      <c r="I807" t="n">
        <v>0</v>
      </c>
      <c r="J807" t="n">
        <v>0</v>
      </c>
      <c r="K807" t="n">
        <v>0</v>
      </c>
      <c r="L807" t="n">
        <v>0</v>
      </c>
      <c r="M807" t="n">
        <v>0</v>
      </c>
      <c r="N807" t="n">
        <v>0</v>
      </c>
      <c r="O807" t="n">
        <v>0</v>
      </c>
      <c r="P807" t="n">
        <v>0</v>
      </c>
      <c r="Q807" t="n">
        <v>0</v>
      </c>
      <c r="R807" s="2" t="inlineStr"/>
    </row>
    <row r="808" ht="15" customHeight="1">
      <c r="A808" t="inlineStr">
        <is>
          <t>A 26067-2022</t>
        </is>
      </c>
      <c r="B808" s="1" t="n">
        <v>44734.64337962963</v>
      </c>
      <c r="C808" s="1" t="n">
        <v>46001</v>
      </c>
      <c r="D808" t="inlineStr">
        <is>
          <t>ÖREBRO LÄN</t>
        </is>
      </c>
      <c r="E808" t="inlineStr">
        <is>
          <t>LINDESBERG</t>
        </is>
      </c>
      <c r="G808" t="n">
        <v>3.1</v>
      </c>
      <c r="H808" t="n">
        <v>0</v>
      </c>
      <c r="I808" t="n">
        <v>0</v>
      </c>
      <c r="J808" t="n">
        <v>0</v>
      </c>
      <c r="K808" t="n">
        <v>0</v>
      </c>
      <c r="L808" t="n">
        <v>0</v>
      </c>
      <c r="M808" t="n">
        <v>0</v>
      </c>
      <c r="N808" t="n">
        <v>0</v>
      </c>
      <c r="O808" t="n">
        <v>0</v>
      </c>
      <c r="P808" t="n">
        <v>0</v>
      </c>
      <c r="Q808" t="n">
        <v>0</v>
      </c>
      <c r="R808" s="2" t="inlineStr"/>
    </row>
    <row r="809" ht="15" customHeight="1">
      <c r="A809" t="inlineStr">
        <is>
          <t>A 3233-2023</t>
        </is>
      </c>
      <c r="B809" s="1" t="n">
        <v>44946</v>
      </c>
      <c r="C809" s="1" t="n">
        <v>46001</v>
      </c>
      <c r="D809" t="inlineStr">
        <is>
          <t>ÖREBRO LÄN</t>
        </is>
      </c>
      <c r="E809" t="inlineStr">
        <is>
          <t>LINDESBERG</t>
        </is>
      </c>
      <c r="G809" t="n">
        <v>3</v>
      </c>
      <c r="H809" t="n">
        <v>0</v>
      </c>
      <c r="I809" t="n">
        <v>0</v>
      </c>
      <c r="J809" t="n">
        <v>0</v>
      </c>
      <c r="K809" t="n">
        <v>0</v>
      </c>
      <c r="L809" t="n">
        <v>0</v>
      </c>
      <c r="M809" t="n">
        <v>0</v>
      </c>
      <c r="N809" t="n">
        <v>0</v>
      </c>
      <c r="O809" t="n">
        <v>0</v>
      </c>
      <c r="P809" t="n">
        <v>0</v>
      </c>
      <c r="Q809" t="n">
        <v>0</v>
      </c>
      <c r="R809" s="2" t="inlineStr"/>
    </row>
    <row r="810" ht="15" customHeight="1">
      <c r="A810" t="inlineStr">
        <is>
          <t>A 5047-2023</t>
        </is>
      </c>
      <c r="B810" s="1" t="n">
        <v>44958.58982638889</v>
      </c>
      <c r="C810" s="1" t="n">
        <v>46001</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8836-2023</t>
        </is>
      </c>
      <c r="B811" s="1" t="n">
        <v>44978</v>
      </c>
      <c r="C811" s="1" t="n">
        <v>46001</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38460-2024</t>
        </is>
      </c>
      <c r="B812" s="1" t="n">
        <v>45546.46497685185</v>
      </c>
      <c r="C812" s="1" t="n">
        <v>46001</v>
      </c>
      <c r="D812" t="inlineStr">
        <is>
          <t>ÖREBRO LÄN</t>
        </is>
      </c>
      <c r="E812" t="inlineStr">
        <is>
          <t>LINDESBERG</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46219-2022</t>
        </is>
      </c>
      <c r="B813" s="1" t="n">
        <v>44846</v>
      </c>
      <c r="C813" s="1" t="n">
        <v>46001</v>
      </c>
      <c r="D813" t="inlineStr">
        <is>
          <t>ÖREBRO LÄN</t>
        </is>
      </c>
      <c r="E813" t="inlineStr">
        <is>
          <t>LINDESBERG</t>
        </is>
      </c>
      <c r="G813" t="n">
        <v>6</v>
      </c>
      <c r="H813" t="n">
        <v>0</v>
      </c>
      <c r="I813" t="n">
        <v>0</v>
      </c>
      <c r="J813" t="n">
        <v>0</v>
      </c>
      <c r="K813" t="n">
        <v>0</v>
      </c>
      <c r="L813" t="n">
        <v>0</v>
      </c>
      <c r="M813" t="n">
        <v>0</v>
      </c>
      <c r="N813" t="n">
        <v>0</v>
      </c>
      <c r="O813" t="n">
        <v>0</v>
      </c>
      <c r="P813" t="n">
        <v>0</v>
      </c>
      <c r="Q813" t="n">
        <v>0</v>
      </c>
      <c r="R813" s="2" t="inlineStr"/>
    </row>
    <row r="814" ht="15" customHeight="1">
      <c r="A814" t="inlineStr">
        <is>
          <t>A 11953-2024</t>
        </is>
      </c>
      <c r="B814" s="1" t="n">
        <v>45376.70292824074</v>
      </c>
      <c r="C814" s="1" t="n">
        <v>46001</v>
      </c>
      <c r="D814" t="inlineStr">
        <is>
          <t>ÖREBRO LÄN</t>
        </is>
      </c>
      <c r="E814" t="inlineStr">
        <is>
          <t>LINDESBERG</t>
        </is>
      </c>
      <c r="G814" t="n">
        <v>5.7</v>
      </c>
      <c r="H814" t="n">
        <v>0</v>
      </c>
      <c r="I814" t="n">
        <v>0</v>
      </c>
      <c r="J814" t="n">
        <v>0</v>
      </c>
      <c r="K814" t="n">
        <v>0</v>
      </c>
      <c r="L814" t="n">
        <v>0</v>
      </c>
      <c r="M814" t="n">
        <v>0</v>
      </c>
      <c r="N814" t="n">
        <v>0</v>
      </c>
      <c r="O814" t="n">
        <v>0</v>
      </c>
      <c r="P814" t="n">
        <v>0</v>
      </c>
      <c r="Q814" t="n">
        <v>0</v>
      </c>
      <c r="R814" s="2" t="inlineStr"/>
    </row>
    <row r="815" ht="15" customHeight="1">
      <c r="A815" t="inlineStr">
        <is>
          <t>A 4440-2024</t>
        </is>
      </c>
      <c r="B815" s="1" t="n">
        <v>45327</v>
      </c>
      <c r="C815" s="1" t="n">
        <v>46001</v>
      </c>
      <c r="D815" t="inlineStr">
        <is>
          <t>ÖREBRO LÄN</t>
        </is>
      </c>
      <c r="E815" t="inlineStr">
        <is>
          <t>LINDESBERG</t>
        </is>
      </c>
      <c r="F815" t="inlineStr">
        <is>
          <t>BillerudKorsnäs AB</t>
        </is>
      </c>
      <c r="G815" t="n">
        <v>2</v>
      </c>
      <c r="H815" t="n">
        <v>0</v>
      </c>
      <c r="I815" t="n">
        <v>0</v>
      </c>
      <c r="J815" t="n">
        <v>0</v>
      </c>
      <c r="K815" t="n">
        <v>0</v>
      </c>
      <c r="L815" t="n">
        <v>0</v>
      </c>
      <c r="M815" t="n">
        <v>0</v>
      </c>
      <c r="N815" t="n">
        <v>0</v>
      </c>
      <c r="O815" t="n">
        <v>0</v>
      </c>
      <c r="P815" t="n">
        <v>0</v>
      </c>
      <c r="Q815" t="n">
        <v>0</v>
      </c>
      <c r="R815" s="2" t="inlineStr"/>
    </row>
    <row r="816" ht="15" customHeight="1">
      <c r="A816" t="inlineStr">
        <is>
          <t>A 48244-2024</t>
        </is>
      </c>
      <c r="B816" s="1" t="n">
        <v>45590.39471064815</v>
      </c>
      <c r="C816" s="1" t="n">
        <v>46001</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59633-2023</t>
        </is>
      </c>
      <c r="B817" s="1" t="n">
        <v>45254</v>
      </c>
      <c r="C817" s="1" t="n">
        <v>46001</v>
      </c>
      <c r="D817" t="inlineStr">
        <is>
          <t>ÖREBRO LÄN</t>
        </is>
      </c>
      <c r="E817" t="inlineStr">
        <is>
          <t>LINDESBERG</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18418-2025</t>
        </is>
      </c>
      <c r="B818" s="1" t="n">
        <v>45762.61817129629</v>
      </c>
      <c r="C818" s="1" t="n">
        <v>46001</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23649-2023</t>
        </is>
      </c>
      <c r="B819" s="1" t="n">
        <v>45074</v>
      </c>
      <c r="C819" s="1" t="n">
        <v>46001</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43081-2021</t>
        </is>
      </c>
      <c r="B820" s="1" t="n">
        <v>44431</v>
      </c>
      <c r="C820" s="1" t="n">
        <v>46001</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51071-2022</t>
        </is>
      </c>
      <c r="B821" s="1" t="n">
        <v>44868.36924768519</v>
      </c>
      <c r="C821" s="1" t="n">
        <v>46001</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44449-2023</t>
        </is>
      </c>
      <c r="B822" s="1" t="n">
        <v>45189.38135416667</v>
      </c>
      <c r="C822" s="1" t="n">
        <v>46001</v>
      </c>
      <c r="D822" t="inlineStr">
        <is>
          <t>ÖREBRO LÄN</t>
        </is>
      </c>
      <c r="E822" t="inlineStr">
        <is>
          <t>LINDESBERG</t>
        </is>
      </c>
      <c r="G822" t="n">
        <v>13.7</v>
      </c>
      <c r="H822" t="n">
        <v>0</v>
      </c>
      <c r="I822" t="n">
        <v>0</v>
      </c>
      <c r="J822" t="n">
        <v>0</v>
      </c>
      <c r="K822" t="n">
        <v>0</v>
      </c>
      <c r="L822" t="n">
        <v>0</v>
      </c>
      <c r="M822" t="n">
        <v>0</v>
      </c>
      <c r="N822" t="n">
        <v>0</v>
      </c>
      <c r="O822" t="n">
        <v>0</v>
      </c>
      <c r="P822" t="n">
        <v>0</v>
      </c>
      <c r="Q822" t="n">
        <v>0</v>
      </c>
      <c r="R822" s="2" t="inlineStr"/>
    </row>
    <row r="823" ht="15" customHeight="1">
      <c r="A823" t="inlineStr">
        <is>
          <t>A 15894-2025</t>
        </is>
      </c>
      <c r="B823" s="1" t="n">
        <v>45749</v>
      </c>
      <c r="C823" s="1" t="n">
        <v>46001</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34436-2023</t>
        </is>
      </c>
      <c r="B824" s="1" t="n">
        <v>45139.64328703703</v>
      </c>
      <c r="C824" s="1" t="n">
        <v>46001</v>
      </c>
      <c r="D824" t="inlineStr">
        <is>
          <t>ÖREBRO LÄN</t>
        </is>
      </c>
      <c r="E824" t="inlineStr">
        <is>
          <t>LINDESBERG</t>
        </is>
      </c>
      <c r="F824" t="inlineStr">
        <is>
          <t>Kyrkan</t>
        </is>
      </c>
      <c r="G824" t="n">
        <v>5.8</v>
      </c>
      <c r="H824" t="n">
        <v>0</v>
      </c>
      <c r="I824" t="n">
        <v>0</v>
      </c>
      <c r="J824" t="n">
        <v>0</v>
      </c>
      <c r="K824" t="n">
        <v>0</v>
      </c>
      <c r="L824" t="n">
        <v>0</v>
      </c>
      <c r="M824" t="n">
        <v>0</v>
      </c>
      <c r="N824" t="n">
        <v>0</v>
      </c>
      <c r="O824" t="n">
        <v>0</v>
      </c>
      <c r="P824" t="n">
        <v>0</v>
      </c>
      <c r="Q824" t="n">
        <v>0</v>
      </c>
      <c r="R824" s="2" t="inlineStr"/>
    </row>
    <row r="825" ht="15" customHeight="1">
      <c r="A825" t="inlineStr">
        <is>
          <t>A 45078-2024</t>
        </is>
      </c>
      <c r="B825" s="1" t="n">
        <v>45575.57104166667</v>
      </c>
      <c r="C825" s="1" t="n">
        <v>46001</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27001-2024</t>
        </is>
      </c>
      <c r="B826" s="1" t="n">
        <v>45471.38995370371</v>
      </c>
      <c r="C826" s="1" t="n">
        <v>46001</v>
      </c>
      <c r="D826" t="inlineStr">
        <is>
          <t>ÖREBRO LÄN</t>
        </is>
      </c>
      <c r="E826" t="inlineStr">
        <is>
          <t>LINDESBERG</t>
        </is>
      </c>
      <c r="G826" t="n">
        <v>2.8</v>
      </c>
      <c r="H826" t="n">
        <v>0</v>
      </c>
      <c r="I826" t="n">
        <v>0</v>
      </c>
      <c r="J826" t="n">
        <v>0</v>
      </c>
      <c r="K826" t="n">
        <v>0</v>
      </c>
      <c r="L826" t="n">
        <v>0</v>
      </c>
      <c r="M826" t="n">
        <v>0</v>
      </c>
      <c r="N826" t="n">
        <v>0</v>
      </c>
      <c r="O826" t="n">
        <v>0</v>
      </c>
      <c r="P826" t="n">
        <v>0</v>
      </c>
      <c r="Q826" t="n">
        <v>0</v>
      </c>
      <c r="R826" s="2" t="inlineStr"/>
    </row>
    <row r="827" ht="15" customHeight="1">
      <c r="A827" t="inlineStr">
        <is>
          <t>A 20467-2023</t>
        </is>
      </c>
      <c r="B827" s="1" t="n">
        <v>45057</v>
      </c>
      <c r="C827" s="1" t="n">
        <v>46001</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25012-2023</t>
        </is>
      </c>
      <c r="B828" s="1" t="n">
        <v>45085</v>
      </c>
      <c r="C828" s="1" t="n">
        <v>46001</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26778-2023</t>
        </is>
      </c>
      <c r="B829" s="1" t="n">
        <v>45093.48221064815</v>
      </c>
      <c r="C829" s="1" t="n">
        <v>46001</v>
      </c>
      <c r="D829" t="inlineStr">
        <is>
          <t>ÖREBRO LÄN</t>
        </is>
      </c>
      <c r="E829" t="inlineStr">
        <is>
          <t>LINDESBERG</t>
        </is>
      </c>
      <c r="G829" t="n">
        <v>7.5</v>
      </c>
      <c r="H829" t="n">
        <v>0</v>
      </c>
      <c r="I829" t="n">
        <v>0</v>
      </c>
      <c r="J829" t="n">
        <v>0</v>
      </c>
      <c r="K829" t="n">
        <v>0</v>
      </c>
      <c r="L829" t="n">
        <v>0</v>
      </c>
      <c r="M829" t="n">
        <v>0</v>
      </c>
      <c r="N829" t="n">
        <v>0</v>
      </c>
      <c r="O829" t="n">
        <v>0</v>
      </c>
      <c r="P829" t="n">
        <v>0</v>
      </c>
      <c r="Q829" t="n">
        <v>0</v>
      </c>
      <c r="R829" s="2" t="inlineStr"/>
    </row>
    <row r="830" ht="15" customHeight="1">
      <c r="A830" t="inlineStr">
        <is>
          <t>A 50170-2022</t>
        </is>
      </c>
      <c r="B830" s="1" t="n">
        <v>44865.600625</v>
      </c>
      <c r="C830" s="1" t="n">
        <v>46001</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1354-2024</t>
        </is>
      </c>
      <c r="B831" s="1" t="n">
        <v>45303</v>
      </c>
      <c r="C831" s="1" t="n">
        <v>46001</v>
      </c>
      <c r="D831" t="inlineStr">
        <is>
          <t>ÖREBRO LÄN</t>
        </is>
      </c>
      <c r="E831" t="inlineStr">
        <is>
          <t>LINDESBERG</t>
        </is>
      </c>
      <c r="G831" t="n">
        <v>2.1</v>
      </c>
      <c r="H831" t="n">
        <v>0</v>
      </c>
      <c r="I831" t="n">
        <v>0</v>
      </c>
      <c r="J831" t="n">
        <v>0</v>
      </c>
      <c r="K831" t="n">
        <v>0</v>
      </c>
      <c r="L831" t="n">
        <v>0</v>
      </c>
      <c r="M831" t="n">
        <v>0</v>
      </c>
      <c r="N831" t="n">
        <v>0</v>
      </c>
      <c r="O831" t="n">
        <v>0</v>
      </c>
      <c r="P831" t="n">
        <v>0</v>
      </c>
      <c r="Q831" t="n">
        <v>0</v>
      </c>
      <c r="R831" s="2" t="inlineStr"/>
    </row>
    <row r="832" ht="15" customHeight="1">
      <c r="A832" t="inlineStr">
        <is>
          <t>A 33886-2024</t>
        </is>
      </c>
      <c r="B832" s="1" t="n">
        <v>45523.31621527778</v>
      </c>
      <c r="C832" s="1" t="n">
        <v>46001</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50285-2022</t>
        </is>
      </c>
      <c r="B833" s="1" t="n">
        <v>44865.87770833333</v>
      </c>
      <c r="C833" s="1" t="n">
        <v>46001</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1405-2025</t>
        </is>
      </c>
      <c r="B834" s="1" t="n">
        <v>45667</v>
      </c>
      <c r="C834" s="1" t="n">
        <v>46001</v>
      </c>
      <c r="D834" t="inlineStr">
        <is>
          <t>ÖREBRO LÄN</t>
        </is>
      </c>
      <c r="E834" t="inlineStr">
        <is>
          <t>LINDESBERG</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40456-2023</t>
        </is>
      </c>
      <c r="B835" s="1" t="n">
        <v>45170</v>
      </c>
      <c r="C835" s="1" t="n">
        <v>46001</v>
      </c>
      <c r="D835" t="inlineStr">
        <is>
          <t>ÖREBRO LÄN</t>
        </is>
      </c>
      <c r="E835" t="inlineStr">
        <is>
          <t>LINDESBERG</t>
        </is>
      </c>
      <c r="F835" t="inlineStr">
        <is>
          <t>Kyrkan</t>
        </is>
      </c>
      <c r="G835" t="n">
        <v>0.6</v>
      </c>
      <c r="H835" t="n">
        <v>0</v>
      </c>
      <c r="I835" t="n">
        <v>0</v>
      </c>
      <c r="J835" t="n">
        <v>0</v>
      </c>
      <c r="K835" t="n">
        <v>0</v>
      </c>
      <c r="L835" t="n">
        <v>0</v>
      </c>
      <c r="M835" t="n">
        <v>0</v>
      </c>
      <c r="N835" t="n">
        <v>0</v>
      </c>
      <c r="O835" t="n">
        <v>0</v>
      </c>
      <c r="P835" t="n">
        <v>0</v>
      </c>
      <c r="Q835" t="n">
        <v>0</v>
      </c>
      <c r="R835" s="2" t="inlineStr"/>
    </row>
    <row r="836" ht="15" customHeight="1">
      <c r="A836" t="inlineStr">
        <is>
          <t>A 28562-2023</t>
        </is>
      </c>
      <c r="B836" s="1" t="n">
        <v>45103.53614583334</v>
      </c>
      <c r="C836" s="1" t="n">
        <v>46001</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17463-2023</t>
        </is>
      </c>
      <c r="B837" s="1" t="n">
        <v>45036</v>
      </c>
      <c r="C837" s="1" t="n">
        <v>46001</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6511-2025</t>
        </is>
      </c>
      <c r="B838" s="1" t="n">
        <v>45699.65424768518</v>
      </c>
      <c r="C838" s="1" t="n">
        <v>46001</v>
      </c>
      <c r="D838" t="inlineStr">
        <is>
          <t>ÖREBRO LÄN</t>
        </is>
      </c>
      <c r="E838" t="inlineStr">
        <is>
          <t>LINDESBERG</t>
        </is>
      </c>
      <c r="G838" t="n">
        <v>9.1</v>
      </c>
      <c r="H838" t="n">
        <v>0</v>
      </c>
      <c r="I838" t="n">
        <v>0</v>
      </c>
      <c r="J838" t="n">
        <v>0</v>
      </c>
      <c r="K838" t="n">
        <v>0</v>
      </c>
      <c r="L838" t="n">
        <v>0</v>
      </c>
      <c r="M838" t="n">
        <v>0</v>
      </c>
      <c r="N838" t="n">
        <v>0</v>
      </c>
      <c r="O838" t="n">
        <v>0</v>
      </c>
      <c r="P838" t="n">
        <v>0</v>
      </c>
      <c r="Q838" t="n">
        <v>0</v>
      </c>
      <c r="R838" s="2" t="inlineStr"/>
    </row>
    <row r="839" ht="15" customHeight="1">
      <c r="A839" t="inlineStr">
        <is>
          <t>A 16791-2024</t>
        </is>
      </c>
      <c r="B839" s="1" t="n">
        <v>45411.42858796296</v>
      </c>
      <c r="C839" s="1" t="n">
        <v>46001</v>
      </c>
      <c r="D839" t="inlineStr">
        <is>
          <t>ÖREBRO LÄN</t>
        </is>
      </c>
      <c r="E839" t="inlineStr">
        <is>
          <t>LINDESBERG</t>
        </is>
      </c>
      <c r="G839" t="n">
        <v>16.1</v>
      </c>
      <c r="H839" t="n">
        <v>0</v>
      </c>
      <c r="I839" t="n">
        <v>0</v>
      </c>
      <c r="J839" t="n">
        <v>0</v>
      </c>
      <c r="K839" t="n">
        <v>0</v>
      </c>
      <c r="L839" t="n">
        <v>0</v>
      </c>
      <c r="M839" t="n">
        <v>0</v>
      </c>
      <c r="N839" t="n">
        <v>0</v>
      </c>
      <c r="O839" t="n">
        <v>0</v>
      </c>
      <c r="P839" t="n">
        <v>0</v>
      </c>
      <c r="Q839" t="n">
        <v>0</v>
      </c>
      <c r="R839" s="2" t="inlineStr"/>
    </row>
    <row r="840" ht="15" customHeight="1">
      <c r="A840" t="inlineStr">
        <is>
          <t>A 22829-2023</t>
        </is>
      </c>
      <c r="B840" s="1" t="n">
        <v>45072.42776620371</v>
      </c>
      <c r="C840" s="1" t="n">
        <v>46001</v>
      </c>
      <c r="D840" t="inlineStr">
        <is>
          <t>ÖREBRO LÄN</t>
        </is>
      </c>
      <c r="E840" t="inlineStr">
        <is>
          <t>LINDESBERG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60105-2022</t>
        </is>
      </c>
      <c r="B841" s="1" t="n">
        <v>44902</v>
      </c>
      <c r="C841" s="1" t="n">
        <v>46001</v>
      </c>
      <c r="D841" t="inlineStr">
        <is>
          <t>ÖREBRO LÄN</t>
        </is>
      </c>
      <c r="E841" t="inlineStr">
        <is>
          <t>LINDESBERG</t>
        </is>
      </c>
      <c r="G841" t="n">
        <v>0.5</v>
      </c>
      <c r="H841" t="n">
        <v>0</v>
      </c>
      <c r="I841" t="n">
        <v>0</v>
      </c>
      <c r="J841" t="n">
        <v>0</v>
      </c>
      <c r="K841" t="n">
        <v>0</v>
      </c>
      <c r="L841" t="n">
        <v>0</v>
      </c>
      <c r="M841" t="n">
        <v>0</v>
      </c>
      <c r="N841" t="n">
        <v>0</v>
      </c>
      <c r="O841" t="n">
        <v>0</v>
      </c>
      <c r="P841" t="n">
        <v>0</v>
      </c>
      <c r="Q841" t="n">
        <v>0</v>
      </c>
      <c r="R841" s="2" t="inlineStr"/>
    </row>
    <row r="842" ht="15" customHeight="1">
      <c r="A842" t="inlineStr">
        <is>
          <t>A 53046-2024</t>
        </is>
      </c>
      <c r="B842" s="1" t="n">
        <v>45611.44960648148</v>
      </c>
      <c r="C842" s="1" t="n">
        <v>46001</v>
      </c>
      <c r="D842" t="inlineStr">
        <is>
          <t>ÖREBRO LÄN</t>
        </is>
      </c>
      <c r="E842" t="inlineStr">
        <is>
          <t>LINDESBERG</t>
        </is>
      </c>
      <c r="G842" t="n">
        <v>1.2</v>
      </c>
      <c r="H842" t="n">
        <v>0</v>
      </c>
      <c r="I842" t="n">
        <v>0</v>
      </c>
      <c r="J842" t="n">
        <v>0</v>
      </c>
      <c r="K842" t="n">
        <v>0</v>
      </c>
      <c r="L842" t="n">
        <v>0</v>
      </c>
      <c r="M842" t="n">
        <v>0</v>
      </c>
      <c r="N842" t="n">
        <v>0</v>
      </c>
      <c r="O842" t="n">
        <v>0</v>
      </c>
      <c r="P842" t="n">
        <v>0</v>
      </c>
      <c r="Q842" t="n">
        <v>0</v>
      </c>
      <c r="R842" s="2" t="inlineStr"/>
    </row>
    <row r="843" ht="15" customHeight="1">
      <c r="A843" t="inlineStr">
        <is>
          <t>A 18590-2023</t>
        </is>
      </c>
      <c r="B843" s="1" t="n">
        <v>45043.40300925926</v>
      </c>
      <c r="C843" s="1" t="n">
        <v>46001</v>
      </c>
      <c r="D843" t="inlineStr">
        <is>
          <t>ÖREBRO LÄN</t>
        </is>
      </c>
      <c r="E843" t="inlineStr">
        <is>
          <t>LINDESBERG</t>
        </is>
      </c>
      <c r="G843" t="n">
        <v>2.4</v>
      </c>
      <c r="H843" t="n">
        <v>0</v>
      </c>
      <c r="I843" t="n">
        <v>0</v>
      </c>
      <c r="J843" t="n">
        <v>0</v>
      </c>
      <c r="K843" t="n">
        <v>0</v>
      </c>
      <c r="L843" t="n">
        <v>0</v>
      </c>
      <c r="M843" t="n">
        <v>0</v>
      </c>
      <c r="N843" t="n">
        <v>0</v>
      </c>
      <c r="O843" t="n">
        <v>0</v>
      </c>
      <c r="P843" t="n">
        <v>0</v>
      </c>
      <c r="Q843" t="n">
        <v>0</v>
      </c>
      <c r="R843" s="2" t="inlineStr"/>
    </row>
    <row r="844" ht="15" customHeight="1">
      <c r="A844" t="inlineStr">
        <is>
          <t>A 51539-2024</t>
        </is>
      </c>
      <c r="B844" s="1" t="n">
        <v>45604.58837962963</v>
      </c>
      <c r="C844" s="1" t="n">
        <v>46001</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15852-2025</t>
        </is>
      </c>
      <c r="B845" s="1" t="n">
        <v>45749</v>
      </c>
      <c r="C845" s="1" t="n">
        <v>46001</v>
      </c>
      <c r="D845" t="inlineStr">
        <is>
          <t>ÖREBRO LÄN</t>
        </is>
      </c>
      <c r="E845" t="inlineStr">
        <is>
          <t>LINDESBERG</t>
        </is>
      </c>
      <c r="G845" t="n">
        <v>8.9</v>
      </c>
      <c r="H845" t="n">
        <v>0</v>
      </c>
      <c r="I845" t="n">
        <v>0</v>
      </c>
      <c r="J845" t="n">
        <v>0</v>
      </c>
      <c r="K845" t="n">
        <v>0</v>
      </c>
      <c r="L845" t="n">
        <v>0</v>
      </c>
      <c r="M845" t="n">
        <v>0</v>
      </c>
      <c r="N845" t="n">
        <v>0</v>
      </c>
      <c r="O845" t="n">
        <v>0</v>
      </c>
      <c r="P845" t="n">
        <v>0</v>
      </c>
      <c r="Q845" t="n">
        <v>0</v>
      </c>
      <c r="R845" s="2" t="inlineStr"/>
    </row>
    <row r="846" ht="15" customHeight="1">
      <c r="A846" t="inlineStr">
        <is>
          <t>A 34539-2024</t>
        </is>
      </c>
      <c r="B846" s="1" t="n">
        <v>45525.7374537037</v>
      </c>
      <c r="C846" s="1" t="n">
        <v>46001</v>
      </c>
      <c r="D846" t="inlineStr">
        <is>
          <t>ÖREBRO LÄN</t>
        </is>
      </c>
      <c r="E846" t="inlineStr">
        <is>
          <t>LINDESBERG</t>
        </is>
      </c>
      <c r="G846" t="n">
        <v>5.4</v>
      </c>
      <c r="H846" t="n">
        <v>0</v>
      </c>
      <c r="I846" t="n">
        <v>0</v>
      </c>
      <c r="J846" t="n">
        <v>0</v>
      </c>
      <c r="K846" t="n">
        <v>0</v>
      </c>
      <c r="L846" t="n">
        <v>0</v>
      </c>
      <c r="M846" t="n">
        <v>0</v>
      </c>
      <c r="N846" t="n">
        <v>0</v>
      </c>
      <c r="O846" t="n">
        <v>0</v>
      </c>
      <c r="P846" t="n">
        <v>0</v>
      </c>
      <c r="Q846" t="n">
        <v>0</v>
      </c>
      <c r="R846" s="2" t="inlineStr"/>
    </row>
    <row r="847" ht="15" customHeight="1">
      <c r="A847" t="inlineStr">
        <is>
          <t>A 35739-2024</t>
        </is>
      </c>
      <c r="B847" s="1" t="n">
        <v>45532</v>
      </c>
      <c r="C847" s="1" t="n">
        <v>46001</v>
      </c>
      <c r="D847" t="inlineStr">
        <is>
          <t>ÖREBRO LÄN</t>
        </is>
      </c>
      <c r="E847" t="inlineStr">
        <is>
          <t>LINDESBERG</t>
        </is>
      </c>
      <c r="G847" t="n">
        <v>0.6</v>
      </c>
      <c r="H847" t="n">
        <v>0</v>
      </c>
      <c r="I847" t="n">
        <v>0</v>
      </c>
      <c r="J847" t="n">
        <v>0</v>
      </c>
      <c r="K847" t="n">
        <v>0</v>
      </c>
      <c r="L847" t="n">
        <v>0</v>
      </c>
      <c r="M847" t="n">
        <v>0</v>
      </c>
      <c r="N847" t="n">
        <v>0</v>
      </c>
      <c r="O847" t="n">
        <v>0</v>
      </c>
      <c r="P847" t="n">
        <v>0</v>
      </c>
      <c r="Q847" t="n">
        <v>0</v>
      </c>
      <c r="R847" s="2" t="inlineStr"/>
    </row>
    <row r="848" ht="15" customHeight="1">
      <c r="A848" t="inlineStr">
        <is>
          <t>A 1383-2025</t>
        </is>
      </c>
      <c r="B848" s="1" t="n">
        <v>45667</v>
      </c>
      <c r="C848" s="1" t="n">
        <v>46001</v>
      </c>
      <c r="D848" t="inlineStr">
        <is>
          <t>ÖREBRO LÄN</t>
        </is>
      </c>
      <c r="E848" t="inlineStr">
        <is>
          <t>LINDESBERG</t>
        </is>
      </c>
      <c r="G848" t="n">
        <v>5</v>
      </c>
      <c r="H848" t="n">
        <v>0</v>
      </c>
      <c r="I848" t="n">
        <v>0</v>
      </c>
      <c r="J848" t="n">
        <v>0</v>
      </c>
      <c r="K848" t="n">
        <v>0</v>
      </c>
      <c r="L848" t="n">
        <v>0</v>
      </c>
      <c r="M848" t="n">
        <v>0</v>
      </c>
      <c r="N848" t="n">
        <v>0</v>
      </c>
      <c r="O848" t="n">
        <v>0</v>
      </c>
      <c r="P848" t="n">
        <v>0</v>
      </c>
      <c r="Q848" t="n">
        <v>0</v>
      </c>
      <c r="R848" s="2" t="inlineStr"/>
    </row>
    <row r="849" ht="15" customHeight="1">
      <c r="A849" t="inlineStr">
        <is>
          <t>A 10057-2025</t>
        </is>
      </c>
      <c r="B849" s="1" t="n">
        <v>45719.52871527777</v>
      </c>
      <c r="C849" s="1" t="n">
        <v>46001</v>
      </c>
      <c r="D849" t="inlineStr">
        <is>
          <t>ÖREBRO LÄN</t>
        </is>
      </c>
      <c r="E849" t="inlineStr">
        <is>
          <t>LINDESBERG</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13823-2021</t>
        </is>
      </c>
      <c r="B850" s="1" t="n">
        <v>44276</v>
      </c>
      <c r="C850" s="1" t="n">
        <v>46001</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43247-2023</t>
        </is>
      </c>
      <c r="B851" s="1" t="n">
        <v>45183.48666666666</v>
      </c>
      <c r="C851" s="1" t="n">
        <v>46001</v>
      </c>
      <c r="D851" t="inlineStr">
        <is>
          <t>ÖREBRO LÄN</t>
        </is>
      </c>
      <c r="E851" t="inlineStr">
        <is>
          <t>LINDESBERG</t>
        </is>
      </c>
      <c r="G851" t="n">
        <v>3</v>
      </c>
      <c r="H851" t="n">
        <v>0</v>
      </c>
      <c r="I851" t="n">
        <v>0</v>
      </c>
      <c r="J851" t="n">
        <v>0</v>
      </c>
      <c r="K851" t="n">
        <v>0</v>
      </c>
      <c r="L851" t="n">
        <v>0</v>
      </c>
      <c r="M851" t="n">
        <v>0</v>
      </c>
      <c r="N851" t="n">
        <v>0</v>
      </c>
      <c r="O851" t="n">
        <v>0</v>
      </c>
      <c r="P851" t="n">
        <v>0</v>
      </c>
      <c r="Q851" t="n">
        <v>0</v>
      </c>
      <c r="R851" s="2" t="inlineStr"/>
    </row>
    <row r="852" ht="15" customHeight="1">
      <c r="A852" t="inlineStr">
        <is>
          <t>A 626-2025</t>
        </is>
      </c>
      <c r="B852" s="1" t="n">
        <v>45664</v>
      </c>
      <c r="C852" s="1" t="n">
        <v>46001</v>
      </c>
      <c r="D852" t="inlineStr">
        <is>
          <t>ÖREBRO LÄN</t>
        </is>
      </c>
      <c r="E852" t="inlineStr">
        <is>
          <t>LINDESBERG</t>
        </is>
      </c>
      <c r="G852" t="n">
        <v>0.5</v>
      </c>
      <c r="H852" t="n">
        <v>0</v>
      </c>
      <c r="I852" t="n">
        <v>0</v>
      </c>
      <c r="J852" t="n">
        <v>0</v>
      </c>
      <c r="K852" t="n">
        <v>0</v>
      </c>
      <c r="L852" t="n">
        <v>0</v>
      </c>
      <c r="M852" t="n">
        <v>0</v>
      </c>
      <c r="N852" t="n">
        <v>0</v>
      </c>
      <c r="O852" t="n">
        <v>0</v>
      </c>
      <c r="P852" t="n">
        <v>0</v>
      </c>
      <c r="Q852" t="n">
        <v>0</v>
      </c>
      <c r="R852" s="2" t="inlineStr"/>
    </row>
    <row r="853" ht="15" customHeight="1">
      <c r="A853" t="inlineStr">
        <is>
          <t>A 43046-2022</t>
        </is>
      </c>
      <c r="B853" s="1" t="n">
        <v>44833</v>
      </c>
      <c r="C853" s="1" t="n">
        <v>46001</v>
      </c>
      <c r="D853" t="inlineStr">
        <is>
          <t>ÖREBRO LÄN</t>
        </is>
      </c>
      <c r="E853" t="inlineStr">
        <is>
          <t>LINDESBERG</t>
        </is>
      </c>
      <c r="G853" t="n">
        <v>0.9</v>
      </c>
      <c r="H853" t="n">
        <v>0</v>
      </c>
      <c r="I853" t="n">
        <v>0</v>
      </c>
      <c r="J853" t="n">
        <v>0</v>
      </c>
      <c r="K853" t="n">
        <v>0</v>
      </c>
      <c r="L853" t="n">
        <v>0</v>
      </c>
      <c r="M853" t="n">
        <v>0</v>
      </c>
      <c r="N853" t="n">
        <v>0</v>
      </c>
      <c r="O853" t="n">
        <v>0</v>
      </c>
      <c r="P853" t="n">
        <v>0</v>
      </c>
      <c r="Q853" t="n">
        <v>0</v>
      </c>
      <c r="R853" s="2" t="inlineStr"/>
    </row>
    <row r="854" ht="15" customHeight="1">
      <c r="A854" t="inlineStr">
        <is>
          <t>A 57795-2021</t>
        </is>
      </c>
      <c r="B854" s="1" t="n">
        <v>44484</v>
      </c>
      <c r="C854" s="1" t="n">
        <v>46001</v>
      </c>
      <c r="D854" t="inlineStr">
        <is>
          <t>ÖREBRO LÄN</t>
        </is>
      </c>
      <c r="E854" t="inlineStr">
        <is>
          <t>LINDESBERG</t>
        </is>
      </c>
      <c r="G854" t="n">
        <v>39.4</v>
      </c>
      <c r="H854" t="n">
        <v>0</v>
      </c>
      <c r="I854" t="n">
        <v>0</v>
      </c>
      <c r="J854" t="n">
        <v>0</v>
      </c>
      <c r="K854" t="n">
        <v>0</v>
      </c>
      <c r="L854" t="n">
        <v>0</v>
      </c>
      <c r="M854" t="n">
        <v>0</v>
      </c>
      <c r="N854" t="n">
        <v>0</v>
      </c>
      <c r="O854" t="n">
        <v>0</v>
      </c>
      <c r="P854" t="n">
        <v>0</v>
      </c>
      <c r="Q854" t="n">
        <v>0</v>
      </c>
      <c r="R854" s="2" t="inlineStr"/>
    </row>
    <row r="855" ht="15" customHeight="1">
      <c r="A855" t="inlineStr">
        <is>
          <t>A 43433-2024</t>
        </is>
      </c>
      <c r="B855" s="1" t="n">
        <v>45568.64523148148</v>
      </c>
      <c r="C855" s="1" t="n">
        <v>46001</v>
      </c>
      <c r="D855" t="inlineStr">
        <is>
          <t>ÖREBRO LÄN</t>
        </is>
      </c>
      <c r="E855" t="inlineStr">
        <is>
          <t>LINDESBERG</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6604-2024</t>
        </is>
      </c>
      <c r="B856" s="1" t="n">
        <v>45341.56577546296</v>
      </c>
      <c r="C856" s="1" t="n">
        <v>46001</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5550-2024</t>
        </is>
      </c>
      <c r="B857" s="1" t="n">
        <v>45334</v>
      </c>
      <c r="C857" s="1" t="n">
        <v>46001</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63125-2023</t>
        </is>
      </c>
      <c r="B858" s="1" t="n">
        <v>45273</v>
      </c>
      <c r="C858" s="1" t="n">
        <v>46001</v>
      </c>
      <c r="D858" t="inlineStr">
        <is>
          <t>ÖREBRO LÄN</t>
        </is>
      </c>
      <c r="E858" t="inlineStr">
        <is>
          <t>LINDESBERG</t>
        </is>
      </c>
      <c r="G858" t="n">
        <v>1.7</v>
      </c>
      <c r="H858" t="n">
        <v>0</v>
      </c>
      <c r="I858" t="n">
        <v>0</v>
      </c>
      <c r="J858" t="n">
        <v>0</v>
      </c>
      <c r="K858" t="n">
        <v>0</v>
      </c>
      <c r="L858" t="n">
        <v>0</v>
      </c>
      <c r="M858" t="n">
        <v>0</v>
      </c>
      <c r="N858" t="n">
        <v>0</v>
      </c>
      <c r="O858" t="n">
        <v>0</v>
      </c>
      <c r="P858" t="n">
        <v>0</v>
      </c>
      <c r="Q858" t="n">
        <v>0</v>
      </c>
      <c r="R858" s="2" t="inlineStr"/>
    </row>
    <row r="859" ht="15" customHeight="1">
      <c r="A859" t="inlineStr">
        <is>
          <t>A 15752-2024</t>
        </is>
      </c>
      <c r="B859" s="1" t="n">
        <v>45404.55681712963</v>
      </c>
      <c r="C859" s="1" t="n">
        <v>46001</v>
      </c>
      <c r="D859" t="inlineStr">
        <is>
          <t>ÖREBRO LÄN</t>
        </is>
      </c>
      <c r="E859" t="inlineStr">
        <is>
          <t>LINDESBERG</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35229-2024</t>
        </is>
      </c>
      <c r="B860" s="1" t="n">
        <v>45530</v>
      </c>
      <c r="C860" s="1" t="n">
        <v>46001</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50986-2023</t>
        </is>
      </c>
      <c r="B861" s="1" t="n">
        <v>45218</v>
      </c>
      <c r="C861" s="1" t="n">
        <v>46001</v>
      </c>
      <c r="D861" t="inlineStr">
        <is>
          <t>ÖREBRO LÄN</t>
        </is>
      </c>
      <c r="E861" t="inlineStr">
        <is>
          <t>LINDESBERG</t>
        </is>
      </c>
      <c r="F861" t="inlineStr">
        <is>
          <t>Sveaskog</t>
        </is>
      </c>
      <c r="G861" t="n">
        <v>3.1</v>
      </c>
      <c r="H861" t="n">
        <v>0</v>
      </c>
      <c r="I861" t="n">
        <v>0</v>
      </c>
      <c r="J861" t="n">
        <v>0</v>
      </c>
      <c r="K861" t="n">
        <v>0</v>
      </c>
      <c r="L861" t="n">
        <v>0</v>
      </c>
      <c r="M861" t="n">
        <v>0</v>
      </c>
      <c r="N861" t="n">
        <v>0</v>
      </c>
      <c r="O861" t="n">
        <v>0</v>
      </c>
      <c r="P861" t="n">
        <v>0</v>
      </c>
      <c r="Q861" t="n">
        <v>0</v>
      </c>
      <c r="R861" s="2" t="inlineStr"/>
    </row>
    <row r="862" ht="15" customHeight="1">
      <c r="A862" t="inlineStr">
        <is>
          <t>A 25046-2024</t>
        </is>
      </c>
      <c r="B862" s="1" t="n">
        <v>45462</v>
      </c>
      <c r="C862" s="1" t="n">
        <v>46001</v>
      </c>
      <c r="D862" t="inlineStr">
        <is>
          <t>ÖREBRO LÄN</t>
        </is>
      </c>
      <c r="E862" t="inlineStr">
        <is>
          <t>LINDESBERG</t>
        </is>
      </c>
      <c r="G862" t="n">
        <v>4.1</v>
      </c>
      <c r="H862" t="n">
        <v>0</v>
      </c>
      <c r="I862" t="n">
        <v>0</v>
      </c>
      <c r="J862" t="n">
        <v>0</v>
      </c>
      <c r="K862" t="n">
        <v>0</v>
      </c>
      <c r="L862" t="n">
        <v>0</v>
      </c>
      <c r="M862" t="n">
        <v>0</v>
      </c>
      <c r="N862" t="n">
        <v>0</v>
      </c>
      <c r="O862" t="n">
        <v>0</v>
      </c>
      <c r="P862" t="n">
        <v>0</v>
      </c>
      <c r="Q862" t="n">
        <v>0</v>
      </c>
      <c r="R862" s="2" t="inlineStr"/>
    </row>
    <row r="863" ht="15" customHeight="1">
      <c r="A863" t="inlineStr">
        <is>
          <t>A 44675-2021</t>
        </is>
      </c>
      <c r="B863" s="1" t="n">
        <v>44438</v>
      </c>
      <c r="C863" s="1" t="n">
        <v>46001</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32829-2024</t>
        </is>
      </c>
      <c r="B864" s="1" t="n">
        <v>45516.59447916667</v>
      </c>
      <c r="C864" s="1" t="n">
        <v>46001</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43416-2024</t>
        </is>
      </c>
      <c r="B865" s="1" t="n">
        <v>45568.62625</v>
      </c>
      <c r="C865" s="1" t="n">
        <v>46001</v>
      </c>
      <c r="D865" t="inlineStr">
        <is>
          <t>ÖREBRO LÄN</t>
        </is>
      </c>
      <c r="E865" t="inlineStr">
        <is>
          <t>LINDESBERG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54859-2024</t>
        </is>
      </c>
      <c r="B866" s="1" t="n">
        <v>45618.58962962963</v>
      </c>
      <c r="C866" s="1" t="n">
        <v>46001</v>
      </c>
      <c r="D866" t="inlineStr">
        <is>
          <t>ÖREBRO LÄN</t>
        </is>
      </c>
      <c r="E866" t="inlineStr">
        <is>
          <t>LINDESBERG</t>
        </is>
      </c>
      <c r="F866" t="inlineStr">
        <is>
          <t>Sveaskog</t>
        </is>
      </c>
      <c r="G866" t="n">
        <v>5.3</v>
      </c>
      <c r="H866" t="n">
        <v>0</v>
      </c>
      <c r="I866" t="n">
        <v>0</v>
      </c>
      <c r="J866" t="n">
        <v>0</v>
      </c>
      <c r="K866" t="n">
        <v>0</v>
      </c>
      <c r="L866" t="n">
        <v>0</v>
      </c>
      <c r="M866" t="n">
        <v>0</v>
      </c>
      <c r="N866" t="n">
        <v>0</v>
      </c>
      <c r="O866" t="n">
        <v>0</v>
      </c>
      <c r="P866" t="n">
        <v>0</v>
      </c>
      <c r="Q866" t="n">
        <v>0</v>
      </c>
      <c r="R866" s="2" t="inlineStr"/>
    </row>
    <row r="867" ht="15" customHeight="1">
      <c r="A867" t="inlineStr">
        <is>
          <t>A 10654-2023</t>
        </is>
      </c>
      <c r="B867" s="1" t="n">
        <v>44984</v>
      </c>
      <c r="C867" s="1" t="n">
        <v>46001</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30534-2023</t>
        </is>
      </c>
      <c r="B868" s="1" t="n">
        <v>45111</v>
      </c>
      <c r="C868" s="1" t="n">
        <v>46001</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27013-2024</t>
        </is>
      </c>
      <c r="B869" s="1" t="n">
        <v>45471.40384259259</v>
      </c>
      <c r="C869" s="1" t="n">
        <v>46001</v>
      </c>
      <c r="D869" t="inlineStr">
        <is>
          <t>ÖREBRO LÄN</t>
        </is>
      </c>
      <c r="E869" t="inlineStr">
        <is>
          <t>LINDESBERG</t>
        </is>
      </c>
      <c r="G869" t="n">
        <v>5.2</v>
      </c>
      <c r="H869" t="n">
        <v>0</v>
      </c>
      <c r="I869" t="n">
        <v>0</v>
      </c>
      <c r="J869" t="n">
        <v>0</v>
      </c>
      <c r="K869" t="n">
        <v>0</v>
      </c>
      <c r="L869" t="n">
        <v>0</v>
      </c>
      <c r="M869" t="n">
        <v>0</v>
      </c>
      <c r="N869" t="n">
        <v>0</v>
      </c>
      <c r="O869" t="n">
        <v>0</v>
      </c>
      <c r="P869" t="n">
        <v>0</v>
      </c>
      <c r="Q869" t="n">
        <v>0</v>
      </c>
      <c r="R869" s="2" t="inlineStr"/>
    </row>
    <row r="870" ht="15" customHeight="1">
      <c r="A870" t="inlineStr">
        <is>
          <t>A 9140-2025</t>
        </is>
      </c>
      <c r="B870" s="1" t="n">
        <v>45714.31533564815</v>
      </c>
      <c r="C870" s="1" t="n">
        <v>46001</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28469-2023</t>
        </is>
      </c>
      <c r="B871" s="1" t="n">
        <v>45103</v>
      </c>
      <c r="C871" s="1" t="n">
        <v>46001</v>
      </c>
      <c r="D871" t="inlineStr">
        <is>
          <t>ÖREBRO LÄN</t>
        </is>
      </c>
      <c r="E871" t="inlineStr">
        <is>
          <t>LINDESBERG</t>
        </is>
      </c>
      <c r="G871" t="n">
        <v>0.3</v>
      </c>
      <c r="H871" t="n">
        <v>0</v>
      </c>
      <c r="I871" t="n">
        <v>0</v>
      </c>
      <c r="J871" t="n">
        <v>0</v>
      </c>
      <c r="K871" t="n">
        <v>0</v>
      </c>
      <c r="L871" t="n">
        <v>0</v>
      </c>
      <c r="M871" t="n">
        <v>0</v>
      </c>
      <c r="N871" t="n">
        <v>0</v>
      </c>
      <c r="O871" t="n">
        <v>0</v>
      </c>
      <c r="P871" t="n">
        <v>0</v>
      </c>
      <c r="Q871" t="n">
        <v>0</v>
      </c>
      <c r="R871" s="2" t="inlineStr"/>
    </row>
    <row r="872" ht="15" customHeight="1">
      <c r="A872" t="inlineStr">
        <is>
          <t>A 12278-2025</t>
        </is>
      </c>
      <c r="B872" s="1" t="n">
        <v>45729.65171296296</v>
      </c>
      <c r="C872" s="1" t="n">
        <v>46001</v>
      </c>
      <c r="D872" t="inlineStr">
        <is>
          <t>ÖREBRO LÄN</t>
        </is>
      </c>
      <c r="E872" t="inlineStr">
        <is>
          <t>LINDESBERG</t>
        </is>
      </c>
      <c r="G872" t="n">
        <v>3.2</v>
      </c>
      <c r="H872" t="n">
        <v>0</v>
      </c>
      <c r="I872" t="n">
        <v>0</v>
      </c>
      <c r="J872" t="n">
        <v>0</v>
      </c>
      <c r="K872" t="n">
        <v>0</v>
      </c>
      <c r="L872" t="n">
        <v>0</v>
      </c>
      <c r="M872" t="n">
        <v>0</v>
      </c>
      <c r="N872" t="n">
        <v>0</v>
      </c>
      <c r="O872" t="n">
        <v>0</v>
      </c>
      <c r="P872" t="n">
        <v>0</v>
      </c>
      <c r="Q872" t="n">
        <v>0</v>
      </c>
      <c r="R872" s="2" t="inlineStr"/>
    </row>
    <row r="873" ht="15" customHeight="1">
      <c r="A873" t="inlineStr">
        <is>
          <t>A 20954-2024</t>
        </is>
      </c>
      <c r="B873" s="1" t="n">
        <v>45439.56605324074</v>
      </c>
      <c r="C873" s="1" t="n">
        <v>46001</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46001</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36773-2024</t>
        </is>
      </c>
      <c r="B875" s="1" t="n">
        <v>45538</v>
      </c>
      <c r="C875" s="1" t="n">
        <v>46001</v>
      </c>
      <c r="D875" t="inlineStr">
        <is>
          <t>ÖREBRO LÄN</t>
        </is>
      </c>
      <c r="E875" t="inlineStr">
        <is>
          <t>LINDESBERG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53897-2024</t>
        </is>
      </c>
      <c r="B876" s="1" t="n">
        <v>45615.69570601852</v>
      </c>
      <c r="C876" s="1" t="n">
        <v>46001</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12692-2024</t>
        </is>
      </c>
      <c r="B877" s="1" t="n">
        <v>45384.43418981481</v>
      </c>
      <c r="C877" s="1" t="n">
        <v>46001</v>
      </c>
      <c r="D877" t="inlineStr">
        <is>
          <t>ÖREBRO LÄN</t>
        </is>
      </c>
      <c r="E877" t="inlineStr">
        <is>
          <t>LINDESBERG</t>
        </is>
      </c>
      <c r="G877" t="n">
        <v>5.2</v>
      </c>
      <c r="H877" t="n">
        <v>0</v>
      </c>
      <c r="I877" t="n">
        <v>0</v>
      </c>
      <c r="J877" t="n">
        <v>0</v>
      </c>
      <c r="K877" t="n">
        <v>0</v>
      </c>
      <c r="L877" t="n">
        <v>0</v>
      </c>
      <c r="M877" t="n">
        <v>0</v>
      </c>
      <c r="N877" t="n">
        <v>0</v>
      </c>
      <c r="O877" t="n">
        <v>0</v>
      </c>
      <c r="P877" t="n">
        <v>0</v>
      </c>
      <c r="Q877" t="n">
        <v>0</v>
      </c>
      <c r="R877" s="2" t="inlineStr"/>
    </row>
    <row r="878" ht="15" customHeight="1">
      <c r="A878" t="inlineStr">
        <is>
          <t>A 15325-2024</t>
        </is>
      </c>
      <c r="B878" s="1" t="n">
        <v>45400.6709837963</v>
      </c>
      <c r="C878" s="1" t="n">
        <v>46001</v>
      </c>
      <c r="D878" t="inlineStr">
        <is>
          <t>ÖREBRO LÄN</t>
        </is>
      </c>
      <c r="E878" t="inlineStr">
        <is>
          <t>LINDESBERG</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7119-2025</t>
        </is>
      </c>
      <c r="B879" s="1" t="n">
        <v>45702</v>
      </c>
      <c r="C879" s="1" t="n">
        <v>46001</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20804-2025</t>
        </is>
      </c>
      <c r="B880" s="1" t="n">
        <v>45776.65518518518</v>
      </c>
      <c r="C880" s="1" t="n">
        <v>46001</v>
      </c>
      <c r="D880" t="inlineStr">
        <is>
          <t>ÖREBRO LÄN</t>
        </is>
      </c>
      <c r="E880" t="inlineStr">
        <is>
          <t>LINDESBERG</t>
        </is>
      </c>
      <c r="G880" t="n">
        <v>3.2</v>
      </c>
      <c r="H880" t="n">
        <v>0</v>
      </c>
      <c r="I880" t="n">
        <v>0</v>
      </c>
      <c r="J880" t="n">
        <v>0</v>
      </c>
      <c r="K880" t="n">
        <v>0</v>
      </c>
      <c r="L880" t="n">
        <v>0</v>
      </c>
      <c r="M880" t="n">
        <v>0</v>
      </c>
      <c r="N880" t="n">
        <v>0</v>
      </c>
      <c r="O880" t="n">
        <v>0</v>
      </c>
      <c r="P880" t="n">
        <v>0</v>
      </c>
      <c r="Q880" t="n">
        <v>0</v>
      </c>
      <c r="R880" s="2" t="inlineStr"/>
    </row>
    <row r="881" ht="15" customHeight="1">
      <c r="A881" t="inlineStr">
        <is>
          <t>A 20923-2025</t>
        </is>
      </c>
      <c r="B881" s="1" t="n">
        <v>45777.41673611111</v>
      </c>
      <c r="C881" s="1" t="n">
        <v>46001</v>
      </c>
      <c r="D881" t="inlineStr">
        <is>
          <t>ÖREBRO LÄN</t>
        </is>
      </c>
      <c r="E881" t="inlineStr">
        <is>
          <t>LINDESBERG</t>
        </is>
      </c>
      <c r="F881" t="inlineStr">
        <is>
          <t>Sveaskog</t>
        </is>
      </c>
      <c r="G881" t="n">
        <v>10.3</v>
      </c>
      <c r="H881" t="n">
        <v>0</v>
      </c>
      <c r="I881" t="n">
        <v>0</v>
      </c>
      <c r="J881" t="n">
        <v>0</v>
      </c>
      <c r="K881" t="n">
        <v>0</v>
      </c>
      <c r="L881" t="n">
        <v>0</v>
      </c>
      <c r="M881" t="n">
        <v>0</v>
      </c>
      <c r="N881" t="n">
        <v>0</v>
      </c>
      <c r="O881" t="n">
        <v>0</v>
      </c>
      <c r="P881" t="n">
        <v>0</v>
      </c>
      <c r="Q881" t="n">
        <v>0</v>
      </c>
      <c r="R881" s="2" t="inlineStr"/>
    </row>
    <row r="882" ht="15" customHeight="1">
      <c r="A882" t="inlineStr">
        <is>
          <t>A 20950-2025</t>
        </is>
      </c>
      <c r="B882" s="1" t="n">
        <v>45777.43878472222</v>
      </c>
      <c r="C882" s="1" t="n">
        <v>46001</v>
      </c>
      <c r="D882" t="inlineStr">
        <is>
          <t>ÖREBRO LÄN</t>
        </is>
      </c>
      <c r="E882" t="inlineStr">
        <is>
          <t>LINDESBERG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12795-2025</t>
        </is>
      </c>
      <c r="B883" s="1" t="n">
        <v>45733.60959490741</v>
      </c>
      <c r="C883" s="1" t="n">
        <v>46001</v>
      </c>
      <c r="D883" t="inlineStr">
        <is>
          <t>ÖREBRO LÄN</t>
        </is>
      </c>
      <c r="E883" t="inlineStr">
        <is>
          <t>LINDESBERG</t>
        </is>
      </c>
      <c r="G883" t="n">
        <v>10.8</v>
      </c>
      <c r="H883" t="n">
        <v>0</v>
      </c>
      <c r="I883" t="n">
        <v>0</v>
      </c>
      <c r="J883" t="n">
        <v>0</v>
      </c>
      <c r="K883" t="n">
        <v>0</v>
      </c>
      <c r="L883" t="n">
        <v>0</v>
      </c>
      <c r="M883" t="n">
        <v>0</v>
      </c>
      <c r="N883" t="n">
        <v>0</v>
      </c>
      <c r="O883" t="n">
        <v>0</v>
      </c>
      <c r="P883" t="n">
        <v>0</v>
      </c>
      <c r="Q883" t="n">
        <v>0</v>
      </c>
      <c r="R883" s="2" t="inlineStr"/>
    </row>
    <row r="884" ht="15" customHeight="1">
      <c r="A884" t="inlineStr">
        <is>
          <t>A 20930-2025</t>
        </is>
      </c>
      <c r="B884" s="1" t="n">
        <v>45777.42628472222</v>
      </c>
      <c r="C884" s="1" t="n">
        <v>46001</v>
      </c>
      <c r="D884" t="inlineStr">
        <is>
          <t>ÖREBRO LÄN</t>
        </is>
      </c>
      <c r="E884" t="inlineStr">
        <is>
          <t>LINDESBERG</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20944-2025</t>
        </is>
      </c>
      <c r="B885" s="1" t="n">
        <v>45777</v>
      </c>
      <c r="C885" s="1" t="n">
        <v>46001</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21812-2025</t>
        </is>
      </c>
      <c r="B886" s="1" t="n">
        <v>45783.71833333333</v>
      </c>
      <c r="C886" s="1" t="n">
        <v>46001</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31861-2024</t>
        </is>
      </c>
      <c r="B887" s="1" t="n">
        <v>45509.73383101852</v>
      </c>
      <c r="C887" s="1" t="n">
        <v>46001</v>
      </c>
      <c r="D887" t="inlineStr">
        <is>
          <t>ÖREBRO LÄN</t>
        </is>
      </c>
      <c r="E887" t="inlineStr">
        <is>
          <t>LINDESBERG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43195-2024</t>
        </is>
      </c>
      <c r="B888" s="1" t="n">
        <v>45567.68003472222</v>
      </c>
      <c r="C888" s="1" t="n">
        <v>46001</v>
      </c>
      <c r="D888" t="inlineStr">
        <is>
          <t>ÖREBRO LÄN</t>
        </is>
      </c>
      <c r="E888" t="inlineStr">
        <is>
          <t>LINDESBERG</t>
        </is>
      </c>
      <c r="G888" t="n">
        <v>27.8</v>
      </c>
      <c r="H888" t="n">
        <v>0</v>
      </c>
      <c r="I888" t="n">
        <v>0</v>
      </c>
      <c r="J888" t="n">
        <v>0</v>
      </c>
      <c r="K888" t="n">
        <v>0</v>
      </c>
      <c r="L888" t="n">
        <v>0</v>
      </c>
      <c r="M888" t="n">
        <v>0</v>
      </c>
      <c r="N888" t="n">
        <v>0</v>
      </c>
      <c r="O888" t="n">
        <v>0</v>
      </c>
      <c r="P888" t="n">
        <v>0</v>
      </c>
      <c r="Q888" t="n">
        <v>0</v>
      </c>
      <c r="R888" s="2" t="inlineStr"/>
    </row>
    <row r="889" ht="15" customHeight="1">
      <c r="A889" t="inlineStr">
        <is>
          <t>A 24583-2024</t>
        </is>
      </c>
      <c r="B889" s="1" t="n">
        <v>45460.46358796296</v>
      </c>
      <c r="C889" s="1" t="n">
        <v>46001</v>
      </c>
      <c r="D889" t="inlineStr">
        <is>
          <t>ÖREBRO LÄN</t>
        </is>
      </c>
      <c r="E889" t="inlineStr">
        <is>
          <t>LINDESBERG</t>
        </is>
      </c>
      <c r="G889" t="n">
        <v>13.7</v>
      </c>
      <c r="H889" t="n">
        <v>0</v>
      </c>
      <c r="I889" t="n">
        <v>0</v>
      </c>
      <c r="J889" t="n">
        <v>0</v>
      </c>
      <c r="K889" t="n">
        <v>0</v>
      </c>
      <c r="L889" t="n">
        <v>0</v>
      </c>
      <c r="M889" t="n">
        <v>0</v>
      </c>
      <c r="N889" t="n">
        <v>0</v>
      </c>
      <c r="O889" t="n">
        <v>0</v>
      </c>
      <c r="P889" t="n">
        <v>0</v>
      </c>
      <c r="Q889" t="n">
        <v>0</v>
      </c>
      <c r="R889" s="2" t="inlineStr"/>
    </row>
    <row r="890" ht="15" customHeight="1">
      <c r="A890" t="inlineStr">
        <is>
          <t>A 28776-2023</t>
        </is>
      </c>
      <c r="B890" s="1" t="n">
        <v>45104.34107638889</v>
      </c>
      <c r="C890" s="1" t="n">
        <v>46001</v>
      </c>
      <c r="D890" t="inlineStr">
        <is>
          <t>ÖREBRO LÄN</t>
        </is>
      </c>
      <c r="E890" t="inlineStr">
        <is>
          <t>LINDESBERG</t>
        </is>
      </c>
      <c r="F890" t="inlineStr">
        <is>
          <t>Sveaskog</t>
        </is>
      </c>
      <c r="G890" t="n">
        <v>4.1</v>
      </c>
      <c r="H890" t="n">
        <v>0</v>
      </c>
      <c r="I890" t="n">
        <v>0</v>
      </c>
      <c r="J890" t="n">
        <v>0</v>
      </c>
      <c r="K890" t="n">
        <v>0</v>
      </c>
      <c r="L890" t="n">
        <v>0</v>
      </c>
      <c r="M890" t="n">
        <v>0</v>
      </c>
      <c r="N890" t="n">
        <v>0</v>
      </c>
      <c r="O890" t="n">
        <v>0</v>
      </c>
      <c r="P890" t="n">
        <v>0</v>
      </c>
      <c r="Q890" t="n">
        <v>0</v>
      </c>
      <c r="R890" s="2" t="inlineStr"/>
    </row>
    <row r="891" ht="15" customHeight="1">
      <c r="A891" t="inlineStr">
        <is>
          <t>A 22438-2025</t>
        </is>
      </c>
      <c r="B891" s="1" t="n">
        <v>45786</v>
      </c>
      <c r="C891" s="1" t="n">
        <v>46001</v>
      </c>
      <c r="D891" t="inlineStr">
        <is>
          <t>ÖREBRO LÄN</t>
        </is>
      </c>
      <c r="E891" t="inlineStr">
        <is>
          <t>LINDESBERG</t>
        </is>
      </c>
      <c r="F891" t="inlineStr">
        <is>
          <t>Sveaskog</t>
        </is>
      </c>
      <c r="G891" t="n">
        <v>6.1</v>
      </c>
      <c r="H891" t="n">
        <v>0</v>
      </c>
      <c r="I891" t="n">
        <v>0</v>
      </c>
      <c r="J891" t="n">
        <v>0</v>
      </c>
      <c r="K891" t="n">
        <v>0</v>
      </c>
      <c r="L891" t="n">
        <v>0</v>
      </c>
      <c r="M891" t="n">
        <v>0</v>
      </c>
      <c r="N891" t="n">
        <v>0</v>
      </c>
      <c r="O891" t="n">
        <v>0</v>
      </c>
      <c r="P891" t="n">
        <v>0</v>
      </c>
      <c r="Q891" t="n">
        <v>0</v>
      </c>
      <c r="R891" s="2" t="inlineStr"/>
    </row>
    <row r="892" ht="15" customHeight="1">
      <c r="A892" t="inlineStr">
        <is>
          <t>A 43532-2024</t>
        </is>
      </c>
      <c r="B892" s="1" t="n">
        <v>45569.3533912037</v>
      </c>
      <c r="C892" s="1" t="n">
        <v>46001</v>
      </c>
      <c r="D892" t="inlineStr">
        <is>
          <t>ÖREBRO LÄN</t>
        </is>
      </c>
      <c r="E892" t="inlineStr">
        <is>
          <t>LINDESBERG</t>
        </is>
      </c>
      <c r="G892" t="n">
        <v>2.4</v>
      </c>
      <c r="H892" t="n">
        <v>0</v>
      </c>
      <c r="I892" t="n">
        <v>0</v>
      </c>
      <c r="J892" t="n">
        <v>0</v>
      </c>
      <c r="K892" t="n">
        <v>0</v>
      </c>
      <c r="L892" t="n">
        <v>0</v>
      </c>
      <c r="M892" t="n">
        <v>0</v>
      </c>
      <c r="N892" t="n">
        <v>0</v>
      </c>
      <c r="O892" t="n">
        <v>0</v>
      </c>
      <c r="P892" t="n">
        <v>0</v>
      </c>
      <c r="Q892" t="n">
        <v>0</v>
      </c>
      <c r="R892" s="2" t="inlineStr"/>
    </row>
    <row r="893" ht="15" customHeight="1">
      <c r="A893" t="inlineStr">
        <is>
          <t>A 59282-2023</t>
        </is>
      </c>
      <c r="B893" s="1" t="n">
        <v>45253</v>
      </c>
      <c r="C893" s="1" t="n">
        <v>46001</v>
      </c>
      <c r="D893" t="inlineStr">
        <is>
          <t>ÖREBRO LÄN</t>
        </is>
      </c>
      <c r="E893" t="inlineStr">
        <is>
          <t>LINDESBERG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47601-2023</t>
        </is>
      </c>
      <c r="B894" s="1" t="n">
        <v>45203.45681712963</v>
      </c>
      <c r="C894" s="1" t="n">
        <v>46001</v>
      </c>
      <c r="D894" t="inlineStr">
        <is>
          <t>ÖREBRO LÄN</t>
        </is>
      </c>
      <c r="E894" t="inlineStr">
        <is>
          <t>LINDESBERG</t>
        </is>
      </c>
      <c r="G894" t="n">
        <v>37.6</v>
      </c>
      <c r="H894" t="n">
        <v>0</v>
      </c>
      <c r="I894" t="n">
        <v>0</v>
      </c>
      <c r="J894" t="n">
        <v>0</v>
      </c>
      <c r="K894" t="n">
        <v>0</v>
      </c>
      <c r="L894" t="n">
        <v>0</v>
      </c>
      <c r="M894" t="n">
        <v>0</v>
      </c>
      <c r="N894" t="n">
        <v>0</v>
      </c>
      <c r="O894" t="n">
        <v>0</v>
      </c>
      <c r="P894" t="n">
        <v>0</v>
      </c>
      <c r="Q894" t="n">
        <v>0</v>
      </c>
      <c r="R894" s="2" t="inlineStr"/>
    </row>
    <row r="895" ht="15" customHeight="1">
      <c r="A895" t="inlineStr">
        <is>
          <t>A 62308-2023</t>
        </is>
      </c>
      <c r="B895" s="1" t="n">
        <v>45267.69052083333</v>
      </c>
      <c r="C895" s="1" t="n">
        <v>46001</v>
      </c>
      <c r="D895" t="inlineStr">
        <is>
          <t>ÖREBRO LÄN</t>
        </is>
      </c>
      <c r="E895" t="inlineStr">
        <is>
          <t>LINDESBERG</t>
        </is>
      </c>
      <c r="F895" t="inlineStr">
        <is>
          <t>Naturvårdsverket</t>
        </is>
      </c>
      <c r="G895" t="n">
        <v>3.1</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46001</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36686-2024</t>
        </is>
      </c>
      <c r="B897" s="1" t="n">
        <v>45537.665</v>
      </c>
      <c r="C897" s="1" t="n">
        <v>46001</v>
      </c>
      <c r="D897" t="inlineStr">
        <is>
          <t>ÖREBRO LÄN</t>
        </is>
      </c>
      <c r="E897" t="inlineStr">
        <is>
          <t>LINDESBERG</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53355-2023</t>
        </is>
      </c>
      <c r="B898" s="1" t="n">
        <v>45229.66430555555</v>
      </c>
      <c r="C898" s="1" t="n">
        <v>46001</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c r="A899" t="inlineStr">
        <is>
          <t>A 36680-2024</t>
        </is>
      </c>
      <c r="B899" s="1" t="n">
        <v>45537.65305555556</v>
      </c>
      <c r="C899" s="1" t="n">
        <v>46001</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2025-12-10T10:24:35Z</dcterms:created>
  <dcterms:modified xmlns:dcterms="http://purl.org/dc/terms/" xmlns:xsi="http://www.w3.org/2001/XMLSchema-instance" xsi:type="dcterms:W3CDTF">2025-12-10T10:24:35Z</dcterms:modified>
</cp:coreProperties>
</file>