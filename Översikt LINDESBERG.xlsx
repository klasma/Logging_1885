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46182</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46182</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46182</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46182</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46182</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46182</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46182</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46182</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46182</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8195-2026</t>
        </is>
      </c>
      <c r="B15" s="1" t="n">
        <v>46064.43017361111</v>
      </c>
      <c r="C15" s="1" t="n">
        <v>46182</v>
      </c>
      <c r="D15" t="inlineStr">
        <is>
          <t>ÖREBRO LÄN</t>
        </is>
      </c>
      <c r="E15" t="inlineStr">
        <is>
          <t>LINDESBERG</t>
        </is>
      </c>
      <c r="G15" t="n">
        <v>2.3</v>
      </c>
      <c r="H15" t="n">
        <v>5</v>
      </c>
      <c r="I15" t="n">
        <v>2</v>
      </c>
      <c r="J15" t="n">
        <v>3</v>
      </c>
      <c r="K15" t="n">
        <v>0</v>
      </c>
      <c r="L15" t="n">
        <v>0</v>
      </c>
      <c r="M15" t="n">
        <v>0</v>
      </c>
      <c r="N15" t="n">
        <v>0</v>
      </c>
      <c r="O15" t="n">
        <v>3</v>
      </c>
      <c r="P15" t="n">
        <v>0</v>
      </c>
      <c r="Q15" t="n">
        <v>6</v>
      </c>
      <c r="R15" s="2" t="inlineStr">
        <is>
          <t>Grönsångare
Spillkråka
Svartvit flugsnappare
Rödgul trumpetsvamp
Tvåblad
Kungsfågel</t>
        </is>
      </c>
      <c r="S15">
        <f>HYPERLINK("https://klasma.github.io/Logging_1885/artfynd/A 8195-2026 artfynd.xlsx", "A 8195-2026")</f>
        <v/>
      </c>
      <c r="T15">
        <f>HYPERLINK("https://klasma.github.io/Logging_1885/kartor/A 8195-2026 karta.png", "A 8195-2026")</f>
        <v/>
      </c>
      <c r="V15">
        <f>HYPERLINK("https://klasma.github.io/Logging_1885/klagomål/A 8195-2026 FSC-klagomål.docx", "A 8195-2026")</f>
        <v/>
      </c>
      <c r="W15">
        <f>HYPERLINK("https://klasma.github.io/Logging_1885/klagomålsmail/A 8195-2026 FSC-klagomål mail.docx", "A 8195-2026")</f>
        <v/>
      </c>
      <c r="X15">
        <f>HYPERLINK("https://klasma.github.io/Logging_1885/tillsyn/A 8195-2026 tillsynsbegäran.docx", "A 8195-2026")</f>
        <v/>
      </c>
      <c r="Y15">
        <f>HYPERLINK("https://klasma.github.io/Logging_1885/tillsynsmail/A 8195-2026 tillsynsbegäran mail.docx", "A 8195-2026")</f>
        <v/>
      </c>
      <c r="Z15">
        <f>HYPERLINK("https://klasma.github.io/Logging_1885/fåglar/A 8195-2026 prioriterade fågelarter.docx", "A 8195-2026")</f>
        <v/>
      </c>
    </row>
    <row r="16" ht="15" customHeight="1">
      <c r="A16" t="inlineStr">
        <is>
          <t>A 8186-2026</t>
        </is>
      </c>
      <c r="B16" s="1" t="n">
        <v>46064.42189814815</v>
      </c>
      <c r="C16" s="1" t="n">
        <v>46182</v>
      </c>
      <c r="D16" t="inlineStr">
        <is>
          <t>ÖREBRO LÄN</t>
        </is>
      </c>
      <c r="E16" t="inlineStr">
        <is>
          <t>LINDESBERG</t>
        </is>
      </c>
      <c r="G16" t="n">
        <v>2.4</v>
      </c>
      <c r="H16" t="n">
        <v>6</v>
      </c>
      <c r="I16" t="n">
        <v>0</v>
      </c>
      <c r="J16" t="n">
        <v>3</v>
      </c>
      <c r="K16" t="n">
        <v>0</v>
      </c>
      <c r="L16" t="n">
        <v>1</v>
      </c>
      <c r="M16" t="n">
        <v>0</v>
      </c>
      <c r="N16" t="n">
        <v>0</v>
      </c>
      <c r="O16" t="n">
        <v>4</v>
      </c>
      <c r="P16" t="n">
        <v>1</v>
      </c>
      <c r="Q16" t="n">
        <v>6</v>
      </c>
      <c r="R16" s="2" t="inlineStr">
        <is>
          <t>Asknätfjäril
Grönsångare
Svartvit flugsnappare
Ärtsångare
Grönsiska
Kungsfågel</t>
        </is>
      </c>
      <c r="S16">
        <f>HYPERLINK("https://klasma.github.io/Logging_1885/artfynd/A 8186-2026 artfynd.xlsx", "A 8186-2026")</f>
        <v/>
      </c>
      <c r="T16">
        <f>HYPERLINK("https://klasma.github.io/Logging_1885/kartor/A 8186-2026 karta.png", "A 8186-2026")</f>
        <v/>
      </c>
      <c r="V16">
        <f>HYPERLINK("https://klasma.github.io/Logging_1885/klagomål/A 8186-2026 FSC-klagomål.docx", "A 8186-2026")</f>
        <v/>
      </c>
      <c r="W16">
        <f>HYPERLINK("https://klasma.github.io/Logging_1885/klagomålsmail/A 8186-2026 FSC-klagomål mail.docx", "A 8186-2026")</f>
        <v/>
      </c>
      <c r="X16">
        <f>HYPERLINK("https://klasma.github.io/Logging_1885/tillsyn/A 8186-2026 tillsynsbegäran.docx", "A 8186-2026")</f>
        <v/>
      </c>
      <c r="Y16">
        <f>HYPERLINK("https://klasma.github.io/Logging_1885/tillsynsmail/A 8186-2026 tillsynsbegäran mail.docx", "A 8186-2026")</f>
        <v/>
      </c>
      <c r="Z16">
        <f>HYPERLINK("https://klasma.github.io/Logging_1885/fåglar/A 8186-2026 prioriterade fågelarter.docx", "A 8186-2026")</f>
        <v/>
      </c>
    </row>
    <row r="17" ht="15" customHeight="1">
      <c r="A17" t="inlineStr">
        <is>
          <t>A 43429-2024</t>
        </is>
      </c>
      <c r="B17" s="1" t="n">
        <v>45568.63905092593</v>
      </c>
      <c r="C17" s="1" t="n">
        <v>46182</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46182</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46182</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46182</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46182</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42636-2025</t>
        </is>
      </c>
      <c r="B22" s="1" t="n">
        <v>45905.90789351852</v>
      </c>
      <c r="C22" s="1" t="n">
        <v>46182</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46182</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54020-2024</t>
        </is>
      </c>
      <c r="B24" s="1" t="n">
        <v>45616.38605324074</v>
      </c>
      <c r="C24" s="1" t="n">
        <v>46182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28035-2023</t>
        </is>
      </c>
      <c r="B25" s="1" t="n">
        <v>45099</v>
      </c>
      <c r="C25" s="1" t="n">
        <v>46182</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49945-2025</t>
        </is>
      </c>
      <c r="B26" s="1" t="n">
        <v>45940.69754629629</v>
      </c>
      <c r="C26" s="1" t="n">
        <v>46182</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46182</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20744-2026</t>
        </is>
      </c>
      <c r="B28" s="1" t="n">
        <v>46141.58104166666</v>
      </c>
      <c r="C28" s="1" t="n">
        <v>46182</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20364-2026</t>
        </is>
      </c>
      <c r="B29" s="1" t="n">
        <v>46139.67759259259</v>
      </c>
      <c r="C29" s="1" t="n">
        <v>46182</v>
      </c>
      <c r="D29" t="inlineStr">
        <is>
          <t>ÖREBRO LÄN</t>
        </is>
      </c>
      <c r="E29" t="inlineStr">
        <is>
          <t>LINDESBERG</t>
        </is>
      </c>
      <c r="G29" t="n">
        <v>8.199999999999999</v>
      </c>
      <c r="H29" t="n">
        <v>2</v>
      </c>
      <c r="I29" t="n">
        <v>1</v>
      </c>
      <c r="J29" t="n">
        <v>2</v>
      </c>
      <c r="K29" t="n">
        <v>0</v>
      </c>
      <c r="L29" t="n">
        <v>0</v>
      </c>
      <c r="M29" t="n">
        <v>0</v>
      </c>
      <c r="N29" t="n">
        <v>0</v>
      </c>
      <c r="O29" t="n">
        <v>2</v>
      </c>
      <c r="P29" t="n">
        <v>0</v>
      </c>
      <c r="Q29" t="n">
        <v>3</v>
      </c>
      <c r="R29" s="2" t="inlineStr">
        <is>
          <t>Spillkråka
Tretåig hackspett
Bronshjon</t>
        </is>
      </c>
      <c r="S29">
        <f>HYPERLINK("https://klasma.github.io/Logging_1885/artfynd/A 20364-2026 artfynd.xlsx", "A 20364-2026")</f>
        <v/>
      </c>
      <c r="T29">
        <f>HYPERLINK("https://klasma.github.io/Logging_1885/kartor/A 20364-2026 karta.png", "A 20364-2026")</f>
        <v/>
      </c>
      <c r="V29">
        <f>HYPERLINK("https://klasma.github.io/Logging_1885/klagomål/A 20364-2026 FSC-klagomål.docx", "A 20364-2026")</f>
        <v/>
      </c>
      <c r="W29">
        <f>HYPERLINK("https://klasma.github.io/Logging_1885/klagomålsmail/A 20364-2026 FSC-klagomål mail.docx", "A 20364-2026")</f>
        <v/>
      </c>
      <c r="X29">
        <f>HYPERLINK("https://klasma.github.io/Logging_1885/tillsyn/A 20364-2026 tillsynsbegäran.docx", "A 20364-2026")</f>
        <v/>
      </c>
      <c r="Y29">
        <f>HYPERLINK("https://klasma.github.io/Logging_1885/tillsynsmail/A 20364-2026 tillsynsbegäran mail.docx", "A 20364-2026")</f>
        <v/>
      </c>
      <c r="Z29">
        <f>HYPERLINK("https://klasma.github.io/Logging_1885/fåglar/A 20364-2026 prioriterade fågelarter.docx", "A 20364-2026")</f>
        <v/>
      </c>
    </row>
    <row r="30" ht="15" customHeight="1">
      <c r="A30" t="inlineStr">
        <is>
          <t>A 54332-2021</t>
        </is>
      </c>
      <c r="B30" s="1" t="n">
        <v>44472</v>
      </c>
      <c r="C30" s="1" t="n">
        <v>46182</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15687-2023</t>
        </is>
      </c>
      <c r="B31" s="1" t="n">
        <v>45021</v>
      </c>
      <c r="C31" s="1" t="n">
        <v>46182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46182</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33574-2022</t>
        </is>
      </c>
      <c r="B33" s="1" t="n">
        <v>44789</v>
      </c>
      <c r="C33" s="1" t="n">
        <v>46182</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42629-2025</t>
        </is>
      </c>
      <c r="B34" s="1" t="n">
        <v>45905.88938657408</v>
      </c>
      <c r="C34" s="1" t="n">
        <v>46182</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1475-2025</t>
        </is>
      </c>
      <c r="B35" s="1" t="n">
        <v>45670</v>
      </c>
      <c r="C35" s="1" t="n">
        <v>46182</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57319-2025</t>
        </is>
      </c>
      <c r="B36" s="1" t="n">
        <v>45980.01497685185</v>
      </c>
      <c r="C36" s="1" t="n">
        <v>46182</v>
      </c>
      <c r="D36" t="inlineStr">
        <is>
          <t>ÖREBRO LÄN</t>
        </is>
      </c>
      <c r="E36" t="inlineStr">
        <is>
          <t>LINDESBERG</t>
        </is>
      </c>
      <c r="F36" t="inlineStr">
        <is>
          <t>Sveaskog</t>
        </is>
      </c>
      <c r="G36" t="n">
        <v>15.3</v>
      </c>
      <c r="H36" t="n">
        <v>1</v>
      </c>
      <c r="I36" t="n">
        <v>2</v>
      </c>
      <c r="J36" t="n">
        <v>0</v>
      </c>
      <c r="K36" t="n">
        <v>0</v>
      </c>
      <c r="L36" t="n">
        <v>0</v>
      </c>
      <c r="M36" t="n">
        <v>0</v>
      </c>
      <c r="N36" t="n">
        <v>0</v>
      </c>
      <c r="O36" t="n">
        <v>0</v>
      </c>
      <c r="P36" t="n">
        <v>0</v>
      </c>
      <c r="Q36" t="n">
        <v>2</v>
      </c>
      <c r="R36" s="2" t="inlineStr">
        <is>
          <t>Dropptaggsvamp
Plattlummer</t>
        </is>
      </c>
      <c r="S36">
        <f>HYPERLINK("https://klasma.github.io/Logging_1885/artfynd/A 57319-2025 artfynd.xlsx", "A 57319-2025")</f>
        <v/>
      </c>
      <c r="T36">
        <f>HYPERLINK("https://klasma.github.io/Logging_1885/kartor/A 57319-2025 karta.png", "A 57319-2025")</f>
        <v/>
      </c>
      <c r="V36">
        <f>HYPERLINK("https://klasma.github.io/Logging_1885/klagomål/A 57319-2025 FSC-klagomål.docx", "A 57319-2025")</f>
        <v/>
      </c>
      <c r="W36">
        <f>HYPERLINK("https://klasma.github.io/Logging_1885/klagomålsmail/A 57319-2025 FSC-klagomål mail.docx", "A 57319-2025")</f>
        <v/>
      </c>
      <c r="X36">
        <f>HYPERLINK("https://klasma.github.io/Logging_1885/tillsyn/A 57319-2025 tillsynsbegäran.docx", "A 57319-2025")</f>
        <v/>
      </c>
      <c r="Y36">
        <f>HYPERLINK("https://klasma.github.io/Logging_1885/tillsynsmail/A 57319-2025 tillsynsbegäran mail.docx", "A 57319-2025")</f>
        <v/>
      </c>
    </row>
    <row r="37" ht="15" customHeight="1">
      <c r="A37" t="inlineStr">
        <is>
          <t>A 16103-2026</t>
        </is>
      </c>
      <c r="B37" s="1" t="n">
        <v>46108.59048611111</v>
      </c>
      <c r="C37" s="1" t="n">
        <v>46182</v>
      </c>
      <c r="D37" t="inlineStr">
        <is>
          <t>ÖREBRO LÄN</t>
        </is>
      </c>
      <c r="E37" t="inlineStr">
        <is>
          <t>LINDESBERG</t>
        </is>
      </c>
      <c r="G37" t="n">
        <v>5.5</v>
      </c>
      <c r="H37" t="n">
        <v>1</v>
      </c>
      <c r="I37" t="n">
        <v>0</v>
      </c>
      <c r="J37" t="n">
        <v>2</v>
      </c>
      <c r="K37" t="n">
        <v>0</v>
      </c>
      <c r="L37" t="n">
        <v>0</v>
      </c>
      <c r="M37" t="n">
        <v>0</v>
      </c>
      <c r="N37" t="n">
        <v>0</v>
      </c>
      <c r="O37" t="n">
        <v>2</v>
      </c>
      <c r="P37" t="n">
        <v>0</v>
      </c>
      <c r="Q37" t="n">
        <v>2</v>
      </c>
      <c r="R37" s="2" t="inlineStr">
        <is>
          <t>Garnlav
Spillkråka</t>
        </is>
      </c>
      <c r="S37">
        <f>HYPERLINK("https://klasma.github.io/Logging_1885/artfynd/A 16103-2026 artfynd.xlsx", "A 16103-2026")</f>
        <v/>
      </c>
      <c r="T37">
        <f>HYPERLINK("https://klasma.github.io/Logging_1885/kartor/A 16103-2026 karta.png", "A 16103-2026")</f>
        <v/>
      </c>
      <c r="V37">
        <f>HYPERLINK("https://klasma.github.io/Logging_1885/klagomål/A 16103-2026 FSC-klagomål.docx", "A 16103-2026")</f>
        <v/>
      </c>
      <c r="W37">
        <f>HYPERLINK("https://klasma.github.io/Logging_1885/klagomålsmail/A 16103-2026 FSC-klagomål mail.docx", "A 16103-2026")</f>
        <v/>
      </c>
      <c r="X37">
        <f>HYPERLINK("https://klasma.github.io/Logging_1885/tillsyn/A 16103-2026 tillsynsbegäran.docx", "A 16103-2026")</f>
        <v/>
      </c>
      <c r="Y37">
        <f>HYPERLINK("https://klasma.github.io/Logging_1885/tillsynsmail/A 16103-2026 tillsynsbegäran mail.docx", "A 16103-2026")</f>
        <v/>
      </c>
      <c r="Z37">
        <f>HYPERLINK("https://klasma.github.io/Logging_1885/fåglar/A 16103-2026 prioriterade fågelarter.docx", "A 16103-2026")</f>
        <v/>
      </c>
    </row>
    <row r="38" ht="15" customHeight="1">
      <c r="A38" t="inlineStr">
        <is>
          <t>A 38380-2024</t>
        </is>
      </c>
      <c r="B38" s="1" t="n">
        <v>45546.28121527778</v>
      </c>
      <c r="C38" s="1" t="n">
        <v>46182</v>
      </c>
      <c r="D38" t="inlineStr">
        <is>
          <t>ÖREBRO LÄN</t>
        </is>
      </c>
      <c r="E38" t="inlineStr">
        <is>
          <t>LINDESBERG</t>
        </is>
      </c>
      <c r="G38" t="n">
        <v>6.8</v>
      </c>
      <c r="H38" t="n">
        <v>2</v>
      </c>
      <c r="I38" t="n">
        <v>0</v>
      </c>
      <c r="J38" t="n">
        <v>0</v>
      </c>
      <c r="K38" t="n">
        <v>0</v>
      </c>
      <c r="L38" t="n">
        <v>0</v>
      </c>
      <c r="M38" t="n">
        <v>0</v>
      </c>
      <c r="N38" t="n">
        <v>0</v>
      </c>
      <c r="O38" t="n">
        <v>0</v>
      </c>
      <c r="P38" t="n">
        <v>0</v>
      </c>
      <c r="Q38" t="n">
        <v>2</v>
      </c>
      <c r="R38" s="2" t="inlineStr">
        <is>
          <t>Blåsippa
Gullviva</t>
        </is>
      </c>
      <c r="S38">
        <f>HYPERLINK("https://klasma.github.io/Logging_1885/artfynd/A 38380-2024 artfynd.xlsx", "A 38380-2024")</f>
        <v/>
      </c>
      <c r="T38">
        <f>HYPERLINK("https://klasma.github.io/Logging_1885/kartor/A 38380-2024 karta.png", "A 38380-2024")</f>
        <v/>
      </c>
      <c r="V38">
        <f>HYPERLINK("https://klasma.github.io/Logging_1885/klagomål/A 38380-2024 FSC-klagomål.docx", "A 38380-2024")</f>
        <v/>
      </c>
      <c r="W38">
        <f>HYPERLINK("https://klasma.github.io/Logging_1885/klagomålsmail/A 38380-2024 FSC-klagomål mail.docx", "A 38380-2024")</f>
        <v/>
      </c>
      <c r="X38">
        <f>HYPERLINK("https://klasma.github.io/Logging_1885/tillsyn/A 38380-2024 tillsynsbegäran.docx", "A 38380-2024")</f>
        <v/>
      </c>
      <c r="Y38">
        <f>HYPERLINK("https://klasma.github.io/Logging_1885/tillsynsmail/A 38380-2024 tillsynsbegäran mail.docx", "A 38380-2024")</f>
        <v/>
      </c>
    </row>
    <row r="39" ht="15" customHeight="1">
      <c r="A39" t="inlineStr">
        <is>
          <t>A 25097-2026</t>
        </is>
      </c>
      <c r="B39" s="1" t="n">
        <v>46175.34005787037</v>
      </c>
      <c r="C39" s="1" t="n">
        <v>46182</v>
      </c>
      <c r="D39" t="inlineStr">
        <is>
          <t>ÖREBRO LÄN</t>
        </is>
      </c>
      <c r="E39" t="inlineStr">
        <is>
          <t>LINDESBERG</t>
        </is>
      </c>
      <c r="F39" t="inlineStr">
        <is>
          <t>Sveaskog</t>
        </is>
      </c>
      <c r="G39" t="n">
        <v>23</v>
      </c>
      <c r="H39" t="n">
        <v>1</v>
      </c>
      <c r="I39" t="n">
        <v>1</v>
      </c>
      <c r="J39" t="n">
        <v>0</v>
      </c>
      <c r="K39" t="n">
        <v>0</v>
      </c>
      <c r="L39" t="n">
        <v>0</v>
      </c>
      <c r="M39" t="n">
        <v>0</v>
      </c>
      <c r="N39" t="n">
        <v>0</v>
      </c>
      <c r="O39" t="n">
        <v>0</v>
      </c>
      <c r="P39" t="n">
        <v>0</v>
      </c>
      <c r="Q39" t="n">
        <v>2</v>
      </c>
      <c r="R39" s="2" t="inlineStr">
        <is>
          <t>Korallblylav
Fläcknycklar</t>
        </is>
      </c>
      <c r="S39">
        <f>HYPERLINK("https://klasma.github.io/Logging_1885/artfynd/A 25097-2026 artfynd.xlsx", "A 25097-2026")</f>
        <v/>
      </c>
      <c r="T39">
        <f>HYPERLINK("https://klasma.github.io/Logging_1885/kartor/A 25097-2026 karta.png", "A 25097-2026")</f>
        <v/>
      </c>
      <c r="V39">
        <f>HYPERLINK("https://klasma.github.io/Logging_1885/klagomål/A 25097-2026 FSC-klagomål.docx", "A 25097-2026")</f>
        <v/>
      </c>
      <c r="W39">
        <f>HYPERLINK("https://klasma.github.io/Logging_1885/klagomålsmail/A 25097-2026 FSC-klagomål mail.docx", "A 25097-2026")</f>
        <v/>
      </c>
      <c r="X39">
        <f>HYPERLINK("https://klasma.github.io/Logging_1885/tillsyn/A 25097-2026 tillsynsbegäran.docx", "A 25097-2026")</f>
        <v/>
      </c>
      <c r="Y39">
        <f>HYPERLINK("https://klasma.github.io/Logging_1885/tillsynsmail/A 25097-2026 tillsynsbegäran mail.docx", "A 25097-2026")</f>
        <v/>
      </c>
    </row>
    <row r="40" ht="15" customHeight="1">
      <c r="A40" t="inlineStr">
        <is>
          <t>A 25096-2026</t>
        </is>
      </c>
      <c r="B40" s="1" t="n">
        <v>46175.33916666666</v>
      </c>
      <c r="C40" s="1" t="n">
        <v>46182</v>
      </c>
      <c r="D40" t="inlineStr">
        <is>
          <t>ÖREBRO LÄN</t>
        </is>
      </c>
      <c r="E40" t="inlineStr">
        <is>
          <t>LINDESBERG</t>
        </is>
      </c>
      <c r="F40" t="inlineStr">
        <is>
          <t>Sveaskog</t>
        </is>
      </c>
      <c r="G40" t="n">
        <v>6.7</v>
      </c>
      <c r="H40" t="n">
        <v>1</v>
      </c>
      <c r="I40" t="n">
        <v>0</v>
      </c>
      <c r="J40" t="n">
        <v>1</v>
      </c>
      <c r="K40" t="n">
        <v>0</v>
      </c>
      <c r="L40" t="n">
        <v>0</v>
      </c>
      <c r="M40" t="n">
        <v>0</v>
      </c>
      <c r="N40" t="n">
        <v>0</v>
      </c>
      <c r="O40" t="n">
        <v>1</v>
      </c>
      <c r="P40" t="n">
        <v>0</v>
      </c>
      <c r="Q40" t="n">
        <v>2</v>
      </c>
      <c r="R40" s="2" t="inlineStr">
        <is>
          <t>Lunglav
Revlummer</t>
        </is>
      </c>
      <c r="S40">
        <f>HYPERLINK("https://klasma.github.io/Logging_1885/artfynd/A 25096-2026 artfynd.xlsx", "A 25096-2026")</f>
        <v/>
      </c>
      <c r="T40">
        <f>HYPERLINK("https://klasma.github.io/Logging_1885/kartor/A 25096-2026 karta.png", "A 25096-2026")</f>
        <v/>
      </c>
      <c r="V40">
        <f>HYPERLINK("https://klasma.github.io/Logging_1885/klagomål/A 25096-2026 FSC-klagomål.docx", "A 25096-2026")</f>
        <v/>
      </c>
      <c r="W40">
        <f>HYPERLINK("https://klasma.github.io/Logging_1885/klagomålsmail/A 25096-2026 FSC-klagomål mail.docx", "A 25096-2026")</f>
        <v/>
      </c>
      <c r="X40">
        <f>HYPERLINK("https://klasma.github.io/Logging_1885/tillsyn/A 25096-2026 tillsynsbegäran.docx", "A 25096-2026")</f>
        <v/>
      </c>
      <c r="Y40">
        <f>HYPERLINK("https://klasma.github.io/Logging_1885/tillsynsmail/A 25096-2026 tillsynsbegäran mail.docx", "A 25096-2026")</f>
        <v/>
      </c>
    </row>
    <row r="41" ht="15" customHeight="1">
      <c r="A41" t="inlineStr">
        <is>
          <t>A 51851-2025</t>
        </is>
      </c>
      <c r="B41" s="1" t="n">
        <v>45952.35611111111</v>
      </c>
      <c r="C41" s="1" t="n">
        <v>46182</v>
      </c>
      <c r="D41" t="inlineStr">
        <is>
          <t>ÖREBRO LÄN</t>
        </is>
      </c>
      <c r="E41" t="inlineStr">
        <is>
          <t>LINDESBERG</t>
        </is>
      </c>
      <c r="G41" t="n">
        <v>6.9</v>
      </c>
      <c r="H41" t="n">
        <v>0</v>
      </c>
      <c r="I41" t="n">
        <v>0</v>
      </c>
      <c r="J41" t="n">
        <v>2</v>
      </c>
      <c r="K41" t="n">
        <v>0</v>
      </c>
      <c r="L41" t="n">
        <v>0</v>
      </c>
      <c r="M41" t="n">
        <v>0</v>
      </c>
      <c r="N41" t="n">
        <v>0</v>
      </c>
      <c r="O41" t="n">
        <v>2</v>
      </c>
      <c r="P41" t="n">
        <v>0</v>
      </c>
      <c r="Q41" t="n">
        <v>2</v>
      </c>
      <c r="R41" s="2" t="inlineStr">
        <is>
          <t>Garnlav
Motaggsvamp</t>
        </is>
      </c>
      <c r="S41">
        <f>HYPERLINK("https://klasma.github.io/Logging_1885/artfynd/A 51851-2025 artfynd.xlsx", "A 51851-2025")</f>
        <v/>
      </c>
      <c r="T41">
        <f>HYPERLINK("https://klasma.github.io/Logging_1885/kartor/A 51851-2025 karta.png", "A 51851-2025")</f>
        <v/>
      </c>
      <c r="V41">
        <f>HYPERLINK("https://klasma.github.io/Logging_1885/klagomål/A 51851-2025 FSC-klagomål.docx", "A 51851-2025")</f>
        <v/>
      </c>
      <c r="W41">
        <f>HYPERLINK("https://klasma.github.io/Logging_1885/klagomålsmail/A 51851-2025 FSC-klagomål mail.docx", "A 51851-2025")</f>
        <v/>
      </c>
      <c r="X41">
        <f>HYPERLINK("https://klasma.github.io/Logging_1885/tillsyn/A 51851-2025 tillsynsbegäran.docx", "A 51851-2025")</f>
        <v/>
      </c>
      <c r="Y41">
        <f>HYPERLINK("https://klasma.github.io/Logging_1885/tillsynsmail/A 51851-2025 tillsynsbegäran mail.docx", "A 51851-2025")</f>
        <v/>
      </c>
    </row>
    <row r="42" ht="15" customHeight="1">
      <c r="A42" t="inlineStr">
        <is>
          <t>A 53686-2024</t>
        </is>
      </c>
      <c r="B42" s="1" t="n">
        <v>45615</v>
      </c>
      <c r="C42" s="1" t="n">
        <v>46182</v>
      </c>
      <c r="D42" t="inlineStr">
        <is>
          <t>ÖREBRO LÄN</t>
        </is>
      </c>
      <c r="E42" t="inlineStr">
        <is>
          <t>LINDESBERG</t>
        </is>
      </c>
      <c r="G42" t="n">
        <v>9.1</v>
      </c>
      <c r="H42" t="n">
        <v>0</v>
      </c>
      <c r="I42" t="n">
        <v>1</v>
      </c>
      <c r="J42" t="n">
        <v>1</v>
      </c>
      <c r="K42" t="n">
        <v>0</v>
      </c>
      <c r="L42" t="n">
        <v>0</v>
      </c>
      <c r="M42" t="n">
        <v>0</v>
      </c>
      <c r="N42" t="n">
        <v>0</v>
      </c>
      <c r="O42" t="n">
        <v>1</v>
      </c>
      <c r="P42" t="n">
        <v>0</v>
      </c>
      <c r="Q42" t="n">
        <v>2</v>
      </c>
      <c r="R42" s="2" t="inlineStr">
        <is>
          <t>Dofttaggsvamp
Vedticka</t>
        </is>
      </c>
      <c r="S42">
        <f>HYPERLINK("https://klasma.github.io/Logging_1885/artfynd/A 53686-2024 artfynd.xlsx", "A 53686-2024")</f>
        <v/>
      </c>
      <c r="T42">
        <f>HYPERLINK("https://klasma.github.io/Logging_1885/kartor/A 53686-2024 karta.png", "A 53686-2024")</f>
        <v/>
      </c>
      <c r="V42">
        <f>HYPERLINK("https://klasma.github.io/Logging_1885/klagomål/A 53686-2024 FSC-klagomål.docx", "A 53686-2024")</f>
        <v/>
      </c>
      <c r="W42">
        <f>HYPERLINK("https://klasma.github.io/Logging_1885/klagomålsmail/A 53686-2024 FSC-klagomål mail.docx", "A 53686-2024")</f>
        <v/>
      </c>
      <c r="X42">
        <f>HYPERLINK("https://klasma.github.io/Logging_1885/tillsyn/A 53686-2024 tillsynsbegäran.docx", "A 53686-2024")</f>
        <v/>
      </c>
      <c r="Y42">
        <f>HYPERLINK("https://klasma.github.io/Logging_1885/tillsynsmail/A 53686-2024 tillsynsbegäran mail.docx", "A 53686-2024")</f>
        <v/>
      </c>
    </row>
    <row r="43" ht="15" customHeight="1">
      <c r="A43" t="inlineStr">
        <is>
          <t>A 32713-2021</t>
        </is>
      </c>
      <c r="B43" s="1" t="n">
        <v>44375</v>
      </c>
      <c r="C43" s="1" t="n">
        <v>46182</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46182</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46182</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28569-2024</t>
        </is>
      </c>
      <c r="B46" s="1" t="n">
        <v>45478.39592592593</v>
      </c>
      <c r="C46" s="1" t="n">
        <v>46182</v>
      </c>
      <c r="D46" t="inlineStr">
        <is>
          <t>ÖREBRO LÄN</t>
        </is>
      </c>
      <c r="E46" t="inlineStr">
        <is>
          <t>LINDESBERG</t>
        </is>
      </c>
      <c r="F46" t="inlineStr">
        <is>
          <t>Sveaskog</t>
        </is>
      </c>
      <c r="G46" t="n">
        <v>2.6</v>
      </c>
      <c r="H46" t="n">
        <v>0</v>
      </c>
      <c r="I46" t="n">
        <v>0</v>
      </c>
      <c r="J46" t="n">
        <v>1</v>
      </c>
      <c r="K46" t="n">
        <v>0</v>
      </c>
      <c r="L46" t="n">
        <v>0</v>
      </c>
      <c r="M46" t="n">
        <v>0</v>
      </c>
      <c r="N46" t="n">
        <v>0</v>
      </c>
      <c r="O46" t="n">
        <v>1</v>
      </c>
      <c r="P46" t="n">
        <v>0</v>
      </c>
      <c r="Q46" t="n">
        <v>1</v>
      </c>
      <c r="R46" s="2" t="inlineStr">
        <is>
          <t>Granticka</t>
        </is>
      </c>
      <c r="S46">
        <f>HYPERLINK("https://klasma.github.io/Logging_1885/artfynd/A 28569-2024 artfynd.xlsx", "A 28569-2024")</f>
        <v/>
      </c>
      <c r="T46">
        <f>HYPERLINK("https://klasma.github.io/Logging_1885/kartor/A 28569-2024 karta.png", "A 28569-2024")</f>
        <v/>
      </c>
      <c r="V46">
        <f>HYPERLINK("https://klasma.github.io/Logging_1885/klagomål/A 28569-2024 FSC-klagomål.docx", "A 28569-2024")</f>
        <v/>
      </c>
      <c r="W46">
        <f>HYPERLINK("https://klasma.github.io/Logging_1885/klagomålsmail/A 28569-2024 FSC-klagomål mail.docx", "A 28569-2024")</f>
        <v/>
      </c>
      <c r="X46">
        <f>HYPERLINK("https://klasma.github.io/Logging_1885/tillsyn/A 28569-2024 tillsynsbegäran.docx", "A 28569-2024")</f>
        <v/>
      </c>
      <c r="Y46">
        <f>HYPERLINK("https://klasma.github.io/Logging_1885/tillsynsmail/A 28569-2024 tillsynsbegäran mail.docx", "A 28569-2024")</f>
        <v/>
      </c>
    </row>
    <row r="47" ht="15" customHeight="1">
      <c r="A47" t="inlineStr">
        <is>
          <t>A 31052-2025</t>
        </is>
      </c>
      <c r="B47" s="1" t="n">
        <v>45832.56153935185</v>
      </c>
      <c r="C47" s="1" t="n">
        <v>46182</v>
      </c>
      <c r="D47" t="inlineStr">
        <is>
          <t>ÖREBRO LÄN</t>
        </is>
      </c>
      <c r="E47" t="inlineStr">
        <is>
          <t>LINDESBERG</t>
        </is>
      </c>
      <c r="F47" t="inlineStr">
        <is>
          <t>Sveaskog</t>
        </is>
      </c>
      <c r="G47" t="n">
        <v>1.1</v>
      </c>
      <c r="H47" t="n">
        <v>1</v>
      </c>
      <c r="I47" t="n">
        <v>0</v>
      </c>
      <c r="J47" t="n">
        <v>0</v>
      </c>
      <c r="K47" t="n">
        <v>0</v>
      </c>
      <c r="L47" t="n">
        <v>0</v>
      </c>
      <c r="M47" t="n">
        <v>0</v>
      </c>
      <c r="N47" t="n">
        <v>0</v>
      </c>
      <c r="O47" t="n">
        <v>0</v>
      </c>
      <c r="P47" t="n">
        <v>0</v>
      </c>
      <c r="Q47" t="n">
        <v>1</v>
      </c>
      <c r="R47" s="2" t="inlineStr">
        <is>
          <t>Fläcknycklar</t>
        </is>
      </c>
      <c r="S47">
        <f>HYPERLINK("https://klasma.github.io/Logging_1885/artfynd/A 31052-2025 artfynd.xlsx", "A 31052-2025")</f>
        <v/>
      </c>
      <c r="T47">
        <f>HYPERLINK("https://klasma.github.io/Logging_1885/kartor/A 31052-2025 karta.png", "A 31052-2025")</f>
        <v/>
      </c>
      <c r="V47">
        <f>HYPERLINK("https://klasma.github.io/Logging_1885/klagomål/A 31052-2025 FSC-klagomål.docx", "A 31052-2025")</f>
        <v/>
      </c>
      <c r="W47">
        <f>HYPERLINK("https://klasma.github.io/Logging_1885/klagomålsmail/A 31052-2025 FSC-klagomål mail.docx", "A 31052-2025")</f>
        <v/>
      </c>
      <c r="X47">
        <f>HYPERLINK("https://klasma.github.io/Logging_1885/tillsyn/A 31052-2025 tillsynsbegäran.docx", "A 31052-2025")</f>
        <v/>
      </c>
      <c r="Y47">
        <f>HYPERLINK("https://klasma.github.io/Logging_1885/tillsynsmail/A 31052-2025 tillsynsbegäran mail.docx", "A 31052-2025")</f>
        <v/>
      </c>
    </row>
    <row r="48" ht="15" customHeight="1">
      <c r="A48" t="inlineStr">
        <is>
          <t>A 61129-2024</t>
        </is>
      </c>
      <c r="B48" s="1" t="n">
        <v>45645</v>
      </c>
      <c r="C48" s="1" t="n">
        <v>46182</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36669-2024</t>
        </is>
      </c>
      <c r="B49" s="1" t="n">
        <v>45537.64484953704</v>
      </c>
      <c r="C49" s="1" t="n">
        <v>46182</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Garnlav</t>
        </is>
      </c>
      <c r="S49">
        <f>HYPERLINK("https://klasma.github.io/Logging_1885/artfynd/A 36669-2024 artfynd.xlsx", "A 36669-2024")</f>
        <v/>
      </c>
      <c r="T49">
        <f>HYPERLINK("https://klasma.github.io/Logging_1885/kartor/A 36669-2024 karta.png", "A 36669-2024")</f>
        <v/>
      </c>
      <c r="V49">
        <f>HYPERLINK("https://klasma.github.io/Logging_1885/klagomål/A 36669-2024 FSC-klagomål.docx", "A 36669-2024")</f>
        <v/>
      </c>
      <c r="W49">
        <f>HYPERLINK("https://klasma.github.io/Logging_1885/klagomålsmail/A 36669-2024 FSC-klagomål mail.docx", "A 36669-2024")</f>
        <v/>
      </c>
      <c r="X49">
        <f>HYPERLINK("https://klasma.github.io/Logging_1885/tillsyn/A 36669-2024 tillsynsbegäran.docx", "A 36669-2024")</f>
        <v/>
      </c>
      <c r="Y49">
        <f>HYPERLINK("https://klasma.github.io/Logging_1885/tillsynsmail/A 36669-2024 tillsynsbegäran mail.docx", "A 36669-2024")</f>
        <v/>
      </c>
    </row>
    <row r="50" ht="15" customHeight="1">
      <c r="A50" t="inlineStr">
        <is>
          <t>A 16791-2024</t>
        </is>
      </c>
      <c r="B50" s="1" t="n">
        <v>45411.42858796296</v>
      </c>
      <c r="C50" s="1" t="n">
        <v>46182</v>
      </c>
      <c r="D50" t="inlineStr">
        <is>
          <t>ÖREBRO LÄN</t>
        </is>
      </c>
      <c r="E50" t="inlineStr">
        <is>
          <t>LINDESBERG</t>
        </is>
      </c>
      <c r="G50" t="n">
        <v>16.1</v>
      </c>
      <c r="H50" t="n">
        <v>1</v>
      </c>
      <c r="I50" t="n">
        <v>0</v>
      </c>
      <c r="J50" t="n">
        <v>1</v>
      </c>
      <c r="K50" t="n">
        <v>0</v>
      </c>
      <c r="L50" t="n">
        <v>0</v>
      </c>
      <c r="M50" t="n">
        <v>0</v>
      </c>
      <c r="N50" t="n">
        <v>0</v>
      </c>
      <c r="O50" t="n">
        <v>1</v>
      </c>
      <c r="P50" t="n">
        <v>0</v>
      </c>
      <c r="Q50" t="n">
        <v>1</v>
      </c>
      <c r="R50" s="2" t="inlineStr">
        <is>
          <t>Spillkråka</t>
        </is>
      </c>
      <c r="S50">
        <f>HYPERLINK("https://klasma.github.io/Logging_1885/artfynd/A 16791-2024 artfynd.xlsx", "A 16791-2024")</f>
        <v/>
      </c>
      <c r="T50">
        <f>HYPERLINK("https://klasma.github.io/Logging_1885/kartor/A 16791-2024 karta.png", "A 16791-2024")</f>
        <v/>
      </c>
      <c r="V50">
        <f>HYPERLINK("https://klasma.github.io/Logging_1885/klagomål/A 16791-2024 FSC-klagomål.docx", "A 16791-2024")</f>
        <v/>
      </c>
      <c r="W50">
        <f>HYPERLINK("https://klasma.github.io/Logging_1885/klagomålsmail/A 16791-2024 FSC-klagomål mail.docx", "A 16791-2024")</f>
        <v/>
      </c>
      <c r="X50">
        <f>HYPERLINK("https://klasma.github.io/Logging_1885/tillsyn/A 16791-2024 tillsynsbegäran.docx", "A 16791-2024")</f>
        <v/>
      </c>
      <c r="Y50">
        <f>HYPERLINK("https://klasma.github.io/Logging_1885/tillsynsmail/A 16791-2024 tillsynsbegäran mail.docx", "A 16791-2024")</f>
        <v/>
      </c>
      <c r="Z50">
        <f>HYPERLINK("https://klasma.github.io/Logging_1885/fåglar/A 16791-2024 prioriterade fågelarter.docx", "A 16791-2024")</f>
        <v/>
      </c>
    </row>
    <row r="51" ht="15" customHeight="1">
      <c r="A51" t="inlineStr">
        <is>
          <t>A 53600-2024</t>
        </is>
      </c>
      <c r="B51" s="1" t="n">
        <v>45614.68596064814</v>
      </c>
      <c r="C51" s="1" t="n">
        <v>46182</v>
      </c>
      <c r="D51" t="inlineStr">
        <is>
          <t>ÖREBRO LÄN</t>
        </is>
      </c>
      <c r="E51" t="inlineStr">
        <is>
          <t>LINDESBERG</t>
        </is>
      </c>
      <c r="G51" t="n">
        <v>2.2</v>
      </c>
      <c r="H51" t="n">
        <v>1</v>
      </c>
      <c r="I51" t="n">
        <v>0</v>
      </c>
      <c r="J51" t="n">
        <v>0</v>
      </c>
      <c r="K51" t="n">
        <v>0</v>
      </c>
      <c r="L51" t="n">
        <v>1</v>
      </c>
      <c r="M51" t="n">
        <v>0</v>
      </c>
      <c r="N51" t="n">
        <v>0</v>
      </c>
      <c r="O51" t="n">
        <v>1</v>
      </c>
      <c r="P51" t="n">
        <v>1</v>
      </c>
      <c r="Q51" t="n">
        <v>1</v>
      </c>
      <c r="R51" s="2" t="inlineStr">
        <is>
          <t>Asknätfjäril</t>
        </is>
      </c>
      <c r="S51">
        <f>HYPERLINK("https://klasma.github.io/Logging_1885/artfynd/A 53600-2024 artfynd.xlsx", "A 53600-2024")</f>
        <v/>
      </c>
      <c r="T51">
        <f>HYPERLINK("https://klasma.github.io/Logging_1885/kartor/A 53600-2024 karta.png", "A 53600-2024")</f>
        <v/>
      </c>
      <c r="V51">
        <f>HYPERLINK("https://klasma.github.io/Logging_1885/klagomål/A 53600-2024 FSC-klagomål.docx", "A 53600-2024")</f>
        <v/>
      </c>
      <c r="W51">
        <f>HYPERLINK("https://klasma.github.io/Logging_1885/klagomålsmail/A 53600-2024 FSC-klagomål mail.docx", "A 53600-2024")</f>
        <v/>
      </c>
      <c r="X51">
        <f>HYPERLINK("https://klasma.github.io/Logging_1885/tillsyn/A 53600-2024 tillsynsbegäran.docx", "A 53600-2024")</f>
        <v/>
      </c>
      <c r="Y51">
        <f>HYPERLINK("https://klasma.github.io/Logging_1885/tillsynsmail/A 53600-2024 tillsynsbegäran mail.docx", "A 53600-2024")</f>
        <v/>
      </c>
    </row>
    <row r="52" ht="15" customHeight="1">
      <c r="A52" t="inlineStr">
        <is>
          <t>A 45467-2025</t>
        </is>
      </c>
      <c r="B52" s="1" t="n">
        <v>45922.49990740741</v>
      </c>
      <c r="C52" s="1" t="n">
        <v>46182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37834-2025</t>
        </is>
      </c>
      <c r="B53" s="1" t="n">
        <v>45881.42446759259</v>
      </c>
      <c r="C53" s="1" t="n">
        <v>46182</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 agg.</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70466-2021</t>
        </is>
      </c>
      <c r="B54" s="1" t="n">
        <v>44536</v>
      </c>
      <c r="C54" s="1" t="n">
        <v>46182</v>
      </c>
      <c r="D54" t="inlineStr">
        <is>
          <t>ÖREBRO LÄN</t>
        </is>
      </c>
      <c r="E54" t="inlineStr">
        <is>
          <t>LINDESBERG</t>
        </is>
      </c>
      <c r="G54" t="n">
        <v>4.4</v>
      </c>
      <c r="H54" t="n">
        <v>1</v>
      </c>
      <c r="I54" t="n">
        <v>0</v>
      </c>
      <c r="J54" t="n">
        <v>0</v>
      </c>
      <c r="K54" t="n">
        <v>1</v>
      </c>
      <c r="L54" t="n">
        <v>0</v>
      </c>
      <c r="M54" t="n">
        <v>0</v>
      </c>
      <c r="N54" t="n">
        <v>0</v>
      </c>
      <c r="O54" t="n">
        <v>1</v>
      </c>
      <c r="P54" t="n">
        <v>1</v>
      </c>
      <c r="Q54" t="n">
        <v>1</v>
      </c>
      <c r="R54" s="2" t="inlineStr">
        <is>
          <t>Knärot</t>
        </is>
      </c>
      <c r="S54">
        <f>HYPERLINK("https://klasma.github.io/Logging_1885/artfynd/A 70466-2021 artfynd.xlsx", "A 70466-2021")</f>
        <v/>
      </c>
      <c r="T54">
        <f>HYPERLINK("https://klasma.github.io/Logging_1885/kartor/A 70466-2021 karta.png", "A 70466-2021")</f>
        <v/>
      </c>
      <c r="U54">
        <f>HYPERLINK("https://klasma.github.io/Logging_1885/knärot/A 70466-2021 karta knärot.png", "A 70466-2021")</f>
        <v/>
      </c>
      <c r="V54">
        <f>HYPERLINK("https://klasma.github.io/Logging_1885/klagomål/A 70466-2021 FSC-klagomål.docx", "A 70466-2021")</f>
        <v/>
      </c>
      <c r="W54">
        <f>HYPERLINK("https://klasma.github.io/Logging_1885/klagomålsmail/A 70466-2021 FSC-klagomål mail.docx", "A 70466-2021")</f>
        <v/>
      </c>
      <c r="X54">
        <f>HYPERLINK("https://klasma.github.io/Logging_1885/tillsyn/A 70466-2021 tillsynsbegäran.docx", "A 70466-2021")</f>
        <v/>
      </c>
      <c r="Y54">
        <f>HYPERLINK("https://klasma.github.io/Logging_1885/tillsynsmail/A 70466-2021 tillsynsbegäran mail.docx", "A 70466-2021")</f>
        <v/>
      </c>
    </row>
    <row r="55" ht="15" customHeight="1">
      <c r="A55" t="inlineStr">
        <is>
          <t>A 48956-2025</t>
        </is>
      </c>
      <c r="B55" s="1" t="n">
        <v>45937.54982638889</v>
      </c>
      <c r="C55" s="1" t="n">
        <v>46182</v>
      </c>
      <c r="D55" t="inlineStr">
        <is>
          <t>ÖREBRO LÄN</t>
        </is>
      </c>
      <c r="E55" t="inlineStr">
        <is>
          <t>LINDESBERG</t>
        </is>
      </c>
      <c r="F55" t="inlineStr">
        <is>
          <t>Sveaskog</t>
        </is>
      </c>
      <c r="G55" t="n">
        <v>2.7</v>
      </c>
      <c r="H55" t="n">
        <v>1</v>
      </c>
      <c r="I55" t="n">
        <v>0</v>
      </c>
      <c r="J55" t="n">
        <v>0</v>
      </c>
      <c r="K55" t="n">
        <v>0</v>
      </c>
      <c r="L55" t="n">
        <v>0</v>
      </c>
      <c r="M55" t="n">
        <v>0</v>
      </c>
      <c r="N55" t="n">
        <v>0</v>
      </c>
      <c r="O55" t="n">
        <v>0</v>
      </c>
      <c r="P55" t="n">
        <v>0</v>
      </c>
      <c r="Q55" t="n">
        <v>1</v>
      </c>
      <c r="R55" s="2" t="inlineStr">
        <is>
          <t>Mattlummer</t>
        </is>
      </c>
      <c r="S55">
        <f>HYPERLINK("https://klasma.github.io/Logging_1885/artfynd/A 48956-2025 artfynd.xlsx", "A 48956-2025")</f>
        <v/>
      </c>
      <c r="T55">
        <f>HYPERLINK("https://klasma.github.io/Logging_1885/kartor/A 48956-2025 karta.png", "A 48956-2025")</f>
        <v/>
      </c>
      <c r="V55">
        <f>HYPERLINK("https://klasma.github.io/Logging_1885/klagomål/A 48956-2025 FSC-klagomål.docx", "A 48956-2025")</f>
        <v/>
      </c>
      <c r="W55">
        <f>HYPERLINK("https://klasma.github.io/Logging_1885/klagomålsmail/A 48956-2025 FSC-klagomål mail.docx", "A 48956-2025")</f>
        <v/>
      </c>
      <c r="X55">
        <f>HYPERLINK("https://klasma.github.io/Logging_1885/tillsyn/A 48956-2025 tillsynsbegäran.docx", "A 48956-2025")</f>
        <v/>
      </c>
      <c r="Y55">
        <f>HYPERLINK("https://klasma.github.io/Logging_1885/tillsynsmail/A 48956-2025 tillsynsbegäran mail.docx", "A 48956-2025")</f>
        <v/>
      </c>
    </row>
    <row r="56" ht="15" customHeight="1">
      <c r="A56" t="inlineStr">
        <is>
          <t>A 58206-2023</t>
        </is>
      </c>
      <c r="B56" s="1" t="n">
        <v>45250</v>
      </c>
      <c r="C56" s="1" t="n">
        <v>46182</v>
      </c>
      <c r="D56" t="inlineStr">
        <is>
          <t>ÖREBRO LÄN</t>
        </is>
      </c>
      <c r="E56" t="inlineStr">
        <is>
          <t>LINDESBERG</t>
        </is>
      </c>
      <c r="F56" t="inlineStr">
        <is>
          <t>Sveaskog</t>
        </is>
      </c>
      <c r="G56" t="n">
        <v>1.4</v>
      </c>
      <c r="H56" t="n">
        <v>1</v>
      </c>
      <c r="I56" t="n">
        <v>0</v>
      </c>
      <c r="J56" t="n">
        <v>0</v>
      </c>
      <c r="K56" t="n">
        <v>0</v>
      </c>
      <c r="L56" t="n">
        <v>0</v>
      </c>
      <c r="M56" t="n">
        <v>0</v>
      </c>
      <c r="N56" t="n">
        <v>0</v>
      </c>
      <c r="O56" t="n">
        <v>0</v>
      </c>
      <c r="P56" t="n">
        <v>0</v>
      </c>
      <c r="Q56" t="n">
        <v>1</v>
      </c>
      <c r="R56" s="2" t="inlineStr">
        <is>
          <t>Fläcknycklar</t>
        </is>
      </c>
      <c r="S56">
        <f>HYPERLINK("https://klasma.github.io/Logging_1885/artfynd/A 58206-2023 artfynd.xlsx", "A 58206-2023")</f>
        <v/>
      </c>
      <c r="T56">
        <f>HYPERLINK("https://klasma.github.io/Logging_1885/kartor/A 58206-2023 karta.png", "A 58206-2023")</f>
        <v/>
      </c>
      <c r="V56">
        <f>HYPERLINK("https://klasma.github.io/Logging_1885/klagomål/A 58206-2023 FSC-klagomål.docx", "A 58206-2023")</f>
        <v/>
      </c>
      <c r="W56">
        <f>HYPERLINK("https://klasma.github.io/Logging_1885/klagomålsmail/A 58206-2023 FSC-klagomål mail.docx", "A 58206-2023")</f>
        <v/>
      </c>
      <c r="X56">
        <f>HYPERLINK("https://klasma.github.io/Logging_1885/tillsyn/A 58206-2023 tillsynsbegäran.docx", "A 58206-2023")</f>
        <v/>
      </c>
      <c r="Y56">
        <f>HYPERLINK("https://klasma.github.io/Logging_1885/tillsynsmail/A 58206-2023 tillsynsbegäran mail.docx", "A 58206-2023")</f>
        <v/>
      </c>
    </row>
    <row r="57" ht="15" customHeight="1">
      <c r="A57" t="inlineStr">
        <is>
          <t>A 3729-2023</t>
        </is>
      </c>
      <c r="B57" s="1" t="n">
        <v>44949</v>
      </c>
      <c r="C57" s="1" t="n">
        <v>46182</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50777-2025</t>
        </is>
      </c>
      <c r="B58" s="1" t="n">
        <v>45946.45171296296</v>
      </c>
      <c r="C58" s="1" t="n">
        <v>46182</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50766-2025</t>
        </is>
      </c>
      <c r="B59" s="1" t="n">
        <v>45946.44423611111</v>
      </c>
      <c r="C59" s="1" t="n">
        <v>46182</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50768-2025</t>
        </is>
      </c>
      <c r="B60" s="1" t="n">
        <v>45946.44790509259</v>
      </c>
      <c r="C60" s="1" t="n">
        <v>46182</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52337-2025</t>
        </is>
      </c>
      <c r="B61" s="1" t="n">
        <v>45953.69287037037</v>
      </c>
      <c r="C61" s="1" t="n">
        <v>46182</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28787-2023</t>
        </is>
      </c>
      <c r="B62" s="1" t="n">
        <v>45104.3483912037</v>
      </c>
      <c r="C62" s="1" t="n">
        <v>46182</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64513-2023</t>
        </is>
      </c>
      <c r="B63" s="1" t="n">
        <v>45281</v>
      </c>
      <c r="C63" s="1" t="n">
        <v>46182</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61132-2024</t>
        </is>
      </c>
      <c r="B64" s="1" t="n">
        <v>45645</v>
      </c>
      <c r="C64" s="1" t="n">
        <v>46182</v>
      </c>
      <c r="D64" t="inlineStr">
        <is>
          <t>ÖREBRO LÄN</t>
        </is>
      </c>
      <c r="E64" t="inlineStr">
        <is>
          <t>LINDESBERG</t>
        </is>
      </c>
      <c r="F64" t="inlineStr">
        <is>
          <t>Sveaskog</t>
        </is>
      </c>
      <c r="G64" t="n">
        <v>2.5</v>
      </c>
      <c r="H64" t="n">
        <v>0</v>
      </c>
      <c r="I64" t="n">
        <v>1</v>
      </c>
      <c r="J64" t="n">
        <v>0</v>
      </c>
      <c r="K64" t="n">
        <v>0</v>
      </c>
      <c r="L64" t="n">
        <v>0</v>
      </c>
      <c r="M64" t="n">
        <v>0</v>
      </c>
      <c r="N64" t="n">
        <v>0</v>
      </c>
      <c r="O64" t="n">
        <v>0</v>
      </c>
      <c r="P64" t="n">
        <v>0</v>
      </c>
      <c r="Q64" t="n">
        <v>1</v>
      </c>
      <c r="R64" s="2" t="inlineStr">
        <is>
          <t>Bollvitmossa</t>
        </is>
      </c>
      <c r="S64">
        <f>HYPERLINK("https://klasma.github.io/Logging_1885/artfynd/A 61132-2024 artfynd.xlsx", "A 61132-2024")</f>
        <v/>
      </c>
      <c r="T64">
        <f>HYPERLINK("https://klasma.github.io/Logging_1885/kartor/A 61132-2024 karta.png", "A 61132-2024")</f>
        <v/>
      </c>
      <c r="V64">
        <f>HYPERLINK("https://klasma.github.io/Logging_1885/klagomål/A 61132-2024 FSC-klagomål.docx", "A 61132-2024")</f>
        <v/>
      </c>
      <c r="W64">
        <f>HYPERLINK("https://klasma.github.io/Logging_1885/klagomålsmail/A 61132-2024 FSC-klagomål mail.docx", "A 61132-2024")</f>
        <v/>
      </c>
      <c r="X64">
        <f>HYPERLINK("https://klasma.github.io/Logging_1885/tillsyn/A 61132-2024 tillsynsbegäran.docx", "A 61132-2024")</f>
        <v/>
      </c>
      <c r="Y64">
        <f>HYPERLINK("https://klasma.github.io/Logging_1885/tillsynsmail/A 61132-2024 tillsynsbegäran mail.docx", "A 61132-2024")</f>
        <v/>
      </c>
    </row>
    <row r="65" ht="15" customHeight="1">
      <c r="A65" t="inlineStr">
        <is>
          <t>A 8172-2026</t>
        </is>
      </c>
      <c r="B65" s="1" t="n">
        <v>46064</v>
      </c>
      <c r="C65" s="1" t="n">
        <v>46182</v>
      </c>
      <c r="D65" t="inlineStr">
        <is>
          <t>ÖREBRO LÄN</t>
        </is>
      </c>
      <c r="E65" t="inlineStr">
        <is>
          <t>LINDESBERG</t>
        </is>
      </c>
      <c r="G65" t="n">
        <v>2.9</v>
      </c>
      <c r="H65" t="n">
        <v>0</v>
      </c>
      <c r="I65" t="n">
        <v>0</v>
      </c>
      <c r="J65" t="n">
        <v>0</v>
      </c>
      <c r="K65" t="n">
        <v>0</v>
      </c>
      <c r="L65" t="n">
        <v>1</v>
      </c>
      <c r="M65" t="n">
        <v>0</v>
      </c>
      <c r="N65" t="n">
        <v>0</v>
      </c>
      <c r="O65" t="n">
        <v>1</v>
      </c>
      <c r="P65" t="n">
        <v>1</v>
      </c>
      <c r="Q65" t="n">
        <v>1</v>
      </c>
      <c r="R65" s="2" t="inlineStr">
        <is>
          <t>Bågtuss</t>
        </is>
      </c>
      <c r="S65">
        <f>HYPERLINK("https://klasma.github.io/Logging_1885/artfynd/A 8172-2026 artfynd.xlsx", "A 8172-2026")</f>
        <v/>
      </c>
      <c r="T65">
        <f>HYPERLINK("https://klasma.github.io/Logging_1885/kartor/A 8172-2026 karta.png", "A 8172-2026")</f>
        <v/>
      </c>
      <c r="U65">
        <f>HYPERLINK("https://klasma.github.io/Logging_1885/knärot/A 8172-2026 karta knärot.png", "A 8172-2026")</f>
        <v/>
      </c>
      <c r="V65">
        <f>HYPERLINK("https://klasma.github.io/Logging_1885/klagomål/A 8172-2026 FSC-klagomål.docx", "A 8172-2026")</f>
        <v/>
      </c>
      <c r="W65">
        <f>HYPERLINK("https://klasma.github.io/Logging_1885/klagomålsmail/A 8172-2026 FSC-klagomål mail.docx", "A 8172-2026")</f>
        <v/>
      </c>
      <c r="X65">
        <f>HYPERLINK("https://klasma.github.io/Logging_1885/tillsyn/A 8172-2026 tillsynsbegäran.docx", "A 8172-2026")</f>
        <v/>
      </c>
      <c r="Y65">
        <f>HYPERLINK("https://klasma.github.io/Logging_1885/tillsynsmail/A 8172-2026 tillsynsbegäran mail.docx", "A 8172-2026")</f>
        <v/>
      </c>
    </row>
    <row r="66" ht="15" customHeight="1">
      <c r="A66" t="inlineStr">
        <is>
          <t>A 57362-2025</t>
        </is>
      </c>
      <c r="B66" s="1" t="n">
        <v>45980.37108796297</v>
      </c>
      <c r="C66" s="1" t="n">
        <v>46182</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67013-2021</t>
        </is>
      </c>
      <c r="B67" s="1" t="n">
        <v>44522</v>
      </c>
      <c r="C67" s="1" t="n">
        <v>46182</v>
      </c>
      <c r="D67" t="inlineStr">
        <is>
          <t>ÖREBRO LÄN</t>
        </is>
      </c>
      <c r="E67" t="inlineStr">
        <is>
          <t>LINDESBERG</t>
        </is>
      </c>
      <c r="G67" t="n">
        <v>0.5</v>
      </c>
      <c r="H67" t="n">
        <v>0</v>
      </c>
      <c r="I67" t="n">
        <v>0</v>
      </c>
      <c r="J67" t="n">
        <v>1</v>
      </c>
      <c r="K67" t="n">
        <v>0</v>
      </c>
      <c r="L67" t="n">
        <v>0</v>
      </c>
      <c r="M67" t="n">
        <v>0</v>
      </c>
      <c r="N67" t="n">
        <v>0</v>
      </c>
      <c r="O67" t="n">
        <v>1</v>
      </c>
      <c r="P67" t="n">
        <v>0</v>
      </c>
      <c r="Q67" t="n">
        <v>1</v>
      </c>
      <c r="R67" s="2" t="inlineStr">
        <is>
          <t>Skogsklocka</t>
        </is>
      </c>
      <c r="S67">
        <f>HYPERLINK("https://klasma.github.io/Logging_1885/artfynd/A 67013-2021 artfynd.xlsx", "A 67013-2021")</f>
        <v/>
      </c>
      <c r="T67">
        <f>HYPERLINK("https://klasma.github.io/Logging_1885/kartor/A 67013-2021 karta.png", "A 67013-2021")</f>
        <v/>
      </c>
      <c r="V67">
        <f>HYPERLINK("https://klasma.github.io/Logging_1885/klagomål/A 67013-2021 FSC-klagomål.docx", "A 67013-2021")</f>
        <v/>
      </c>
      <c r="W67">
        <f>HYPERLINK("https://klasma.github.io/Logging_1885/klagomålsmail/A 67013-2021 FSC-klagomål mail.docx", "A 67013-2021")</f>
        <v/>
      </c>
      <c r="X67">
        <f>HYPERLINK("https://klasma.github.io/Logging_1885/tillsyn/A 67013-2021 tillsynsbegäran.docx", "A 67013-2021")</f>
        <v/>
      </c>
      <c r="Y67">
        <f>HYPERLINK("https://klasma.github.io/Logging_1885/tillsynsmail/A 67013-2021 tillsynsbegäran mail.docx", "A 67013-2021")</f>
        <v/>
      </c>
    </row>
    <row r="68" ht="15" customHeight="1">
      <c r="A68" t="inlineStr">
        <is>
          <t>A 8175-2026</t>
        </is>
      </c>
      <c r="B68" s="1" t="n">
        <v>46064</v>
      </c>
      <c r="C68" s="1" t="n">
        <v>46182</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Svart trolldruva</t>
        </is>
      </c>
      <c r="S68">
        <f>HYPERLINK("https://klasma.github.io/Logging_1885/artfynd/A 8175-2026 artfynd.xlsx", "A 8175-2026")</f>
        <v/>
      </c>
      <c r="T68">
        <f>HYPERLINK("https://klasma.github.io/Logging_1885/kartor/A 8175-2026 karta.png", "A 8175-2026")</f>
        <v/>
      </c>
      <c r="V68">
        <f>HYPERLINK("https://klasma.github.io/Logging_1885/klagomål/A 8175-2026 FSC-klagomål.docx", "A 8175-2026")</f>
        <v/>
      </c>
      <c r="W68">
        <f>HYPERLINK("https://klasma.github.io/Logging_1885/klagomålsmail/A 8175-2026 FSC-klagomål mail.docx", "A 8175-2026")</f>
        <v/>
      </c>
      <c r="X68">
        <f>HYPERLINK("https://klasma.github.io/Logging_1885/tillsyn/A 8175-2026 tillsynsbegäran.docx", "A 8175-2026")</f>
        <v/>
      </c>
      <c r="Y68">
        <f>HYPERLINK("https://klasma.github.io/Logging_1885/tillsynsmail/A 8175-2026 tillsynsbegäran mail.docx", "A 8175-2026")</f>
        <v/>
      </c>
    </row>
    <row r="69" ht="15" customHeight="1">
      <c r="A69" t="inlineStr">
        <is>
          <t>A 16692-2026</t>
        </is>
      </c>
      <c r="B69" s="1" t="n">
        <v>46112.82201388889</v>
      </c>
      <c r="C69" s="1" t="n">
        <v>46182</v>
      </c>
      <c r="D69" t="inlineStr">
        <is>
          <t>ÖREBRO LÄN</t>
        </is>
      </c>
      <c r="E69" t="inlineStr">
        <is>
          <t>LINDESBERG</t>
        </is>
      </c>
      <c r="G69" t="n">
        <v>4.9</v>
      </c>
      <c r="H69" t="n">
        <v>1</v>
      </c>
      <c r="I69" t="n">
        <v>0</v>
      </c>
      <c r="J69" t="n">
        <v>1</v>
      </c>
      <c r="K69" t="n">
        <v>0</v>
      </c>
      <c r="L69" t="n">
        <v>0</v>
      </c>
      <c r="M69" t="n">
        <v>0</v>
      </c>
      <c r="N69" t="n">
        <v>0</v>
      </c>
      <c r="O69" t="n">
        <v>1</v>
      </c>
      <c r="P69" t="n">
        <v>0</v>
      </c>
      <c r="Q69" t="n">
        <v>1</v>
      </c>
      <c r="R69" s="2" t="inlineStr">
        <is>
          <t>Spillkråka</t>
        </is>
      </c>
      <c r="S69">
        <f>HYPERLINK("https://klasma.github.io/Logging_1885/artfynd/A 16692-2026 artfynd.xlsx", "A 16692-2026")</f>
        <v/>
      </c>
      <c r="T69">
        <f>HYPERLINK("https://klasma.github.io/Logging_1885/kartor/A 16692-2026 karta.png", "A 16692-2026")</f>
        <v/>
      </c>
      <c r="V69">
        <f>HYPERLINK("https://klasma.github.io/Logging_1885/klagomål/A 16692-2026 FSC-klagomål.docx", "A 16692-2026")</f>
        <v/>
      </c>
      <c r="W69">
        <f>HYPERLINK("https://klasma.github.io/Logging_1885/klagomålsmail/A 16692-2026 FSC-klagomål mail.docx", "A 16692-2026")</f>
        <v/>
      </c>
      <c r="X69">
        <f>HYPERLINK("https://klasma.github.io/Logging_1885/tillsyn/A 16692-2026 tillsynsbegäran.docx", "A 16692-2026")</f>
        <v/>
      </c>
      <c r="Y69">
        <f>HYPERLINK("https://klasma.github.io/Logging_1885/tillsynsmail/A 16692-2026 tillsynsbegäran mail.docx", "A 16692-2026")</f>
        <v/>
      </c>
      <c r="Z69">
        <f>HYPERLINK("https://klasma.github.io/Logging_1885/fåglar/A 16692-2026 prioriterade fågelarter.docx", "A 16692-2026")</f>
        <v/>
      </c>
    </row>
    <row r="70" ht="15" customHeight="1">
      <c r="A70" t="inlineStr">
        <is>
          <t>A 16693-2026</t>
        </is>
      </c>
      <c r="B70" s="1" t="n">
        <v>46112.83422453704</v>
      </c>
      <c r="C70" s="1" t="n">
        <v>46182</v>
      </c>
      <c r="D70" t="inlineStr">
        <is>
          <t>ÖREBRO LÄN</t>
        </is>
      </c>
      <c r="E70" t="inlineStr">
        <is>
          <t>LINDESBERG</t>
        </is>
      </c>
      <c r="G70" t="n">
        <v>2.1</v>
      </c>
      <c r="H70" t="n">
        <v>1</v>
      </c>
      <c r="I70" t="n">
        <v>0</v>
      </c>
      <c r="J70" t="n">
        <v>0</v>
      </c>
      <c r="K70" t="n">
        <v>0</v>
      </c>
      <c r="L70" t="n">
        <v>0</v>
      </c>
      <c r="M70" t="n">
        <v>0</v>
      </c>
      <c r="N70" t="n">
        <v>0</v>
      </c>
      <c r="O70" t="n">
        <v>0</v>
      </c>
      <c r="P70" t="n">
        <v>0</v>
      </c>
      <c r="Q70" t="n">
        <v>1</v>
      </c>
      <c r="R70" s="2" t="inlineStr">
        <is>
          <t>Tjäder</t>
        </is>
      </c>
      <c r="S70">
        <f>HYPERLINK("https://klasma.github.io/Logging_1885/artfynd/A 16693-2026 artfynd.xlsx", "A 16693-2026")</f>
        <v/>
      </c>
      <c r="T70">
        <f>HYPERLINK("https://klasma.github.io/Logging_1885/kartor/A 16693-2026 karta.png", "A 16693-2026")</f>
        <v/>
      </c>
      <c r="V70">
        <f>HYPERLINK("https://klasma.github.io/Logging_1885/klagomål/A 16693-2026 FSC-klagomål.docx", "A 16693-2026")</f>
        <v/>
      </c>
      <c r="W70">
        <f>HYPERLINK("https://klasma.github.io/Logging_1885/klagomålsmail/A 16693-2026 FSC-klagomål mail.docx", "A 16693-2026")</f>
        <v/>
      </c>
      <c r="X70">
        <f>HYPERLINK("https://klasma.github.io/Logging_1885/tillsyn/A 16693-2026 tillsynsbegäran.docx", "A 16693-2026")</f>
        <v/>
      </c>
      <c r="Y70">
        <f>HYPERLINK("https://klasma.github.io/Logging_1885/tillsynsmail/A 16693-2026 tillsynsbegäran mail.docx", "A 16693-2026")</f>
        <v/>
      </c>
      <c r="Z70">
        <f>HYPERLINK("https://klasma.github.io/Logging_1885/fåglar/A 16693-2026 prioriterade fågelarter.docx", "A 16693-2026")</f>
        <v/>
      </c>
    </row>
    <row r="71" ht="15" customHeight="1">
      <c r="A71" t="inlineStr">
        <is>
          <t>A 21440-2025</t>
        </is>
      </c>
      <c r="B71" s="1" t="n">
        <v>45782.5300462963</v>
      </c>
      <c r="C71" s="1" t="n">
        <v>46182</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23337-2026</t>
        </is>
      </c>
      <c r="B72" s="1" t="n">
        <v>46162.56237268518</v>
      </c>
      <c r="C72" s="1" t="n">
        <v>46182</v>
      </c>
      <c r="D72" t="inlineStr">
        <is>
          <t>ÖREBRO LÄN</t>
        </is>
      </c>
      <c r="E72" t="inlineStr">
        <is>
          <t>LINDESBERG</t>
        </is>
      </c>
      <c r="F72" t="inlineStr">
        <is>
          <t>Naturvårdsverket</t>
        </is>
      </c>
      <c r="G72" t="n">
        <v>1.4</v>
      </c>
      <c r="H72" t="n">
        <v>1</v>
      </c>
      <c r="I72" t="n">
        <v>0</v>
      </c>
      <c r="J72" t="n">
        <v>1</v>
      </c>
      <c r="K72" t="n">
        <v>0</v>
      </c>
      <c r="L72" t="n">
        <v>0</v>
      </c>
      <c r="M72" t="n">
        <v>0</v>
      </c>
      <c r="N72" t="n">
        <v>0</v>
      </c>
      <c r="O72" t="n">
        <v>1</v>
      </c>
      <c r="P72" t="n">
        <v>0</v>
      </c>
      <c r="Q72" t="n">
        <v>1</v>
      </c>
      <c r="R72" s="2" t="inlineStr">
        <is>
          <t>Spillkråka</t>
        </is>
      </c>
      <c r="S72">
        <f>HYPERLINK("https://klasma.github.io/Logging_1885/artfynd/A 23337-2026 artfynd.xlsx", "A 23337-2026")</f>
        <v/>
      </c>
      <c r="T72">
        <f>HYPERLINK("https://klasma.github.io/Logging_1885/kartor/A 23337-2026 karta.png", "A 23337-2026")</f>
        <v/>
      </c>
      <c r="V72">
        <f>HYPERLINK("https://klasma.github.io/Logging_1885/klagomål/A 23337-2026 FSC-klagomål.docx", "A 23337-2026")</f>
        <v/>
      </c>
      <c r="W72">
        <f>HYPERLINK("https://klasma.github.io/Logging_1885/klagomålsmail/A 23337-2026 FSC-klagomål mail.docx", "A 23337-2026")</f>
        <v/>
      </c>
      <c r="X72">
        <f>HYPERLINK("https://klasma.github.io/Logging_1885/tillsyn/A 23337-2026 tillsynsbegäran.docx", "A 23337-2026")</f>
        <v/>
      </c>
      <c r="Y72">
        <f>HYPERLINK("https://klasma.github.io/Logging_1885/tillsynsmail/A 23337-2026 tillsynsbegäran mail.docx", "A 23337-2026")</f>
        <v/>
      </c>
      <c r="Z72">
        <f>HYPERLINK("https://klasma.github.io/Logging_1885/fåglar/A 23337-2026 prioriterade fågelarter.docx", "A 23337-2026")</f>
        <v/>
      </c>
    </row>
    <row r="73" ht="15" customHeight="1">
      <c r="A73" t="inlineStr">
        <is>
          <t>A 6192-2025</t>
        </is>
      </c>
      <c r="B73" s="1" t="n">
        <v>45698.46697916667</v>
      </c>
      <c r="C73" s="1" t="n">
        <v>46182</v>
      </c>
      <c r="D73" t="inlineStr">
        <is>
          <t>ÖREBRO LÄN</t>
        </is>
      </c>
      <c r="E73" t="inlineStr">
        <is>
          <t>LINDESBERG</t>
        </is>
      </c>
      <c r="F73" t="inlineStr">
        <is>
          <t>BillerudKorsnäs AB</t>
        </is>
      </c>
      <c r="G73" t="n">
        <v>1.8</v>
      </c>
      <c r="H73" t="n">
        <v>1</v>
      </c>
      <c r="I73" t="n">
        <v>0</v>
      </c>
      <c r="J73" t="n">
        <v>0</v>
      </c>
      <c r="K73" t="n">
        <v>0</v>
      </c>
      <c r="L73" t="n">
        <v>0</v>
      </c>
      <c r="M73" t="n">
        <v>0</v>
      </c>
      <c r="N73" t="n">
        <v>0</v>
      </c>
      <c r="O73" t="n">
        <v>0</v>
      </c>
      <c r="P73" t="n">
        <v>0</v>
      </c>
      <c r="Q73" t="n">
        <v>1</v>
      </c>
      <c r="R73" s="2" t="inlineStr">
        <is>
          <t>Blåsippa</t>
        </is>
      </c>
      <c r="S73">
        <f>HYPERLINK("https://klasma.github.io/Logging_1885/artfynd/A 6192-2025 artfynd.xlsx", "A 6192-2025")</f>
        <v/>
      </c>
      <c r="T73">
        <f>HYPERLINK("https://klasma.github.io/Logging_1885/kartor/A 6192-2025 karta.png", "A 6192-2025")</f>
        <v/>
      </c>
      <c r="V73">
        <f>HYPERLINK("https://klasma.github.io/Logging_1885/klagomål/A 6192-2025 FSC-klagomål.docx", "A 6192-2025")</f>
        <v/>
      </c>
      <c r="W73">
        <f>HYPERLINK("https://klasma.github.io/Logging_1885/klagomålsmail/A 6192-2025 FSC-klagomål mail.docx", "A 6192-2025")</f>
        <v/>
      </c>
      <c r="X73">
        <f>HYPERLINK("https://klasma.github.io/Logging_1885/tillsyn/A 6192-2025 tillsynsbegäran.docx", "A 6192-2025")</f>
        <v/>
      </c>
      <c r="Y73">
        <f>HYPERLINK("https://klasma.github.io/Logging_1885/tillsynsmail/A 6192-2025 tillsynsbegäran mail.docx", "A 6192-2025")</f>
        <v/>
      </c>
    </row>
    <row r="74" ht="15" customHeight="1">
      <c r="A74" t="inlineStr">
        <is>
          <t>A 18180-2026</t>
        </is>
      </c>
      <c r="B74" s="1" t="n">
        <v>46125.67597222222</v>
      </c>
      <c r="C74" s="1" t="n">
        <v>46182</v>
      </c>
      <c r="D74" t="inlineStr">
        <is>
          <t>ÖREBRO LÄN</t>
        </is>
      </c>
      <c r="E74" t="inlineStr">
        <is>
          <t>LINDESBERG</t>
        </is>
      </c>
      <c r="F74" t="inlineStr">
        <is>
          <t>Sveaskog</t>
        </is>
      </c>
      <c r="G74" t="n">
        <v>2.1</v>
      </c>
      <c r="H74" t="n">
        <v>0</v>
      </c>
      <c r="I74" t="n">
        <v>1</v>
      </c>
      <c r="J74" t="n">
        <v>0</v>
      </c>
      <c r="K74" t="n">
        <v>0</v>
      </c>
      <c r="L74" t="n">
        <v>0</v>
      </c>
      <c r="M74" t="n">
        <v>0</v>
      </c>
      <c r="N74" t="n">
        <v>0</v>
      </c>
      <c r="O74" t="n">
        <v>0</v>
      </c>
      <c r="P74" t="n">
        <v>0</v>
      </c>
      <c r="Q74" t="n">
        <v>1</v>
      </c>
      <c r="R74" s="2" t="inlineStr">
        <is>
          <t>Dropptaggsvamp</t>
        </is>
      </c>
      <c r="S74">
        <f>HYPERLINK("https://klasma.github.io/Logging_1885/artfynd/A 18180-2026 artfynd.xlsx", "A 18180-2026")</f>
        <v/>
      </c>
      <c r="T74">
        <f>HYPERLINK("https://klasma.github.io/Logging_1885/kartor/A 18180-2026 karta.png", "A 18180-2026")</f>
        <v/>
      </c>
      <c r="V74">
        <f>HYPERLINK("https://klasma.github.io/Logging_1885/klagomål/A 18180-2026 FSC-klagomål.docx", "A 18180-2026")</f>
        <v/>
      </c>
      <c r="W74">
        <f>HYPERLINK("https://klasma.github.io/Logging_1885/klagomålsmail/A 18180-2026 FSC-klagomål mail.docx", "A 18180-2026")</f>
        <v/>
      </c>
      <c r="X74">
        <f>HYPERLINK("https://klasma.github.io/Logging_1885/tillsyn/A 18180-2026 tillsynsbegäran.docx", "A 18180-2026")</f>
        <v/>
      </c>
      <c r="Y74">
        <f>HYPERLINK("https://klasma.github.io/Logging_1885/tillsynsmail/A 18180-2026 tillsynsbegäran mail.docx", "A 18180-2026")</f>
        <v/>
      </c>
    </row>
    <row r="75" ht="15" customHeight="1">
      <c r="A75" t="inlineStr">
        <is>
          <t>A 21467-2026</t>
        </is>
      </c>
      <c r="B75" s="1" t="n">
        <v>46148.46989583333</v>
      </c>
      <c r="C75" s="1" t="n">
        <v>46182</v>
      </c>
      <c r="D75" t="inlineStr">
        <is>
          <t>ÖREBRO LÄN</t>
        </is>
      </c>
      <c r="E75" t="inlineStr">
        <is>
          <t>LINDESBERG</t>
        </is>
      </c>
      <c r="G75" t="n">
        <v>1.5</v>
      </c>
      <c r="H75" t="n">
        <v>1</v>
      </c>
      <c r="I75" t="n">
        <v>0</v>
      </c>
      <c r="J75" t="n">
        <v>1</v>
      </c>
      <c r="K75" t="n">
        <v>0</v>
      </c>
      <c r="L75" t="n">
        <v>0</v>
      </c>
      <c r="M75" t="n">
        <v>0</v>
      </c>
      <c r="N75" t="n">
        <v>0</v>
      </c>
      <c r="O75" t="n">
        <v>1</v>
      </c>
      <c r="P75" t="n">
        <v>0</v>
      </c>
      <c r="Q75" t="n">
        <v>1</v>
      </c>
      <c r="R75" s="2" t="inlineStr">
        <is>
          <t>Spillkråka</t>
        </is>
      </c>
      <c r="S75">
        <f>HYPERLINK("https://klasma.github.io/Logging_1885/artfynd/A 21467-2026 artfynd.xlsx", "A 21467-2026")</f>
        <v/>
      </c>
      <c r="T75">
        <f>HYPERLINK("https://klasma.github.io/Logging_1885/kartor/A 21467-2026 karta.png", "A 21467-2026")</f>
        <v/>
      </c>
      <c r="U75">
        <f>HYPERLINK("https://klasma.github.io/Logging_1885/knärot/A 21467-2026 karta knärot.png", "A 21467-2026")</f>
        <v/>
      </c>
      <c r="V75">
        <f>HYPERLINK("https://klasma.github.io/Logging_1885/klagomål/A 21467-2026 FSC-klagomål.docx", "A 21467-2026")</f>
        <v/>
      </c>
      <c r="W75">
        <f>HYPERLINK("https://klasma.github.io/Logging_1885/klagomålsmail/A 21467-2026 FSC-klagomål mail.docx", "A 21467-2026")</f>
        <v/>
      </c>
      <c r="X75">
        <f>HYPERLINK("https://klasma.github.io/Logging_1885/tillsyn/A 21467-2026 tillsynsbegäran.docx", "A 21467-2026")</f>
        <v/>
      </c>
      <c r="Y75">
        <f>HYPERLINK("https://klasma.github.io/Logging_1885/tillsynsmail/A 21467-2026 tillsynsbegäran mail.docx", "A 21467-2026")</f>
        <v/>
      </c>
      <c r="Z75">
        <f>HYPERLINK("https://klasma.github.io/Logging_1885/fåglar/A 21467-2026 prioriterade fågelarter.docx", "A 21467-2026")</f>
        <v/>
      </c>
    </row>
    <row r="76" ht="15" customHeight="1">
      <c r="A76" t="inlineStr">
        <is>
          <t>A 18178-2026</t>
        </is>
      </c>
      <c r="B76" s="1" t="n">
        <v>46125.67452546296</v>
      </c>
      <c r="C76" s="1" t="n">
        <v>46182</v>
      </c>
      <c r="D76" t="inlineStr">
        <is>
          <t>ÖREBRO LÄN</t>
        </is>
      </c>
      <c r="E76" t="inlineStr">
        <is>
          <t>LINDESBERG</t>
        </is>
      </c>
      <c r="F76" t="inlineStr">
        <is>
          <t>Sveaskog</t>
        </is>
      </c>
      <c r="G76" t="n">
        <v>4.4</v>
      </c>
      <c r="H76" t="n">
        <v>0</v>
      </c>
      <c r="I76" t="n">
        <v>0</v>
      </c>
      <c r="J76" t="n">
        <v>1</v>
      </c>
      <c r="K76" t="n">
        <v>0</v>
      </c>
      <c r="L76" t="n">
        <v>0</v>
      </c>
      <c r="M76" t="n">
        <v>0</v>
      </c>
      <c r="N76" t="n">
        <v>0</v>
      </c>
      <c r="O76" t="n">
        <v>1</v>
      </c>
      <c r="P76" t="n">
        <v>0</v>
      </c>
      <c r="Q76" t="n">
        <v>1</v>
      </c>
      <c r="R76" s="2" t="inlineStr">
        <is>
          <t>Svartvit taggsvamp</t>
        </is>
      </c>
      <c r="S76">
        <f>HYPERLINK("https://klasma.github.io/Logging_1885/artfynd/A 18178-2026 artfynd.xlsx", "A 18178-2026")</f>
        <v/>
      </c>
      <c r="T76">
        <f>HYPERLINK("https://klasma.github.io/Logging_1885/kartor/A 18178-2026 karta.png", "A 18178-2026")</f>
        <v/>
      </c>
      <c r="V76">
        <f>HYPERLINK("https://klasma.github.io/Logging_1885/klagomål/A 18178-2026 FSC-klagomål.docx", "A 18178-2026")</f>
        <v/>
      </c>
      <c r="W76">
        <f>HYPERLINK("https://klasma.github.io/Logging_1885/klagomålsmail/A 18178-2026 FSC-klagomål mail.docx", "A 18178-2026")</f>
        <v/>
      </c>
      <c r="X76">
        <f>HYPERLINK("https://klasma.github.io/Logging_1885/tillsyn/A 18178-2026 tillsynsbegäran.docx", "A 18178-2026")</f>
        <v/>
      </c>
      <c r="Y76">
        <f>HYPERLINK("https://klasma.github.io/Logging_1885/tillsynsmail/A 18178-2026 tillsynsbegäran mail.docx", "A 18178-2026")</f>
        <v/>
      </c>
    </row>
    <row r="77" ht="15" customHeight="1">
      <c r="A77" t="inlineStr">
        <is>
          <t>A 18639-2026</t>
        </is>
      </c>
      <c r="B77" s="1" t="n">
        <v>46128.32203703704</v>
      </c>
      <c r="C77" s="1" t="n">
        <v>46182</v>
      </c>
      <c r="D77" t="inlineStr">
        <is>
          <t>ÖREBRO LÄN</t>
        </is>
      </c>
      <c r="E77" t="inlineStr">
        <is>
          <t>LINDESBERG</t>
        </is>
      </c>
      <c r="F77" t="inlineStr">
        <is>
          <t>Sveaskog</t>
        </is>
      </c>
      <c r="G77" t="n">
        <v>6</v>
      </c>
      <c r="H77" t="n">
        <v>1</v>
      </c>
      <c r="I77" t="n">
        <v>1</v>
      </c>
      <c r="J77" t="n">
        <v>0</v>
      </c>
      <c r="K77" t="n">
        <v>0</v>
      </c>
      <c r="L77" t="n">
        <v>0</v>
      </c>
      <c r="M77" t="n">
        <v>0</v>
      </c>
      <c r="N77" t="n">
        <v>0</v>
      </c>
      <c r="O77" t="n">
        <v>0</v>
      </c>
      <c r="P77" t="n">
        <v>0</v>
      </c>
      <c r="Q77" t="n">
        <v>1</v>
      </c>
      <c r="R77" s="2" t="inlineStr">
        <is>
          <t>Plattlummer</t>
        </is>
      </c>
      <c r="S77">
        <f>HYPERLINK("https://klasma.github.io/Logging_1885/artfynd/A 18639-2026 artfynd.xlsx", "A 18639-2026")</f>
        <v/>
      </c>
      <c r="T77">
        <f>HYPERLINK("https://klasma.github.io/Logging_1885/kartor/A 18639-2026 karta.png", "A 18639-2026")</f>
        <v/>
      </c>
      <c r="V77">
        <f>HYPERLINK("https://klasma.github.io/Logging_1885/klagomål/A 18639-2026 FSC-klagomål.docx", "A 18639-2026")</f>
        <v/>
      </c>
      <c r="W77">
        <f>HYPERLINK("https://klasma.github.io/Logging_1885/klagomålsmail/A 18639-2026 FSC-klagomål mail.docx", "A 18639-2026")</f>
        <v/>
      </c>
      <c r="X77">
        <f>HYPERLINK("https://klasma.github.io/Logging_1885/tillsyn/A 18639-2026 tillsynsbegäran.docx", "A 18639-2026")</f>
        <v/>
      </c>
      <c r="Y77">
        <f>HYPERLINK("https://klasma.github.io/Logging_1885/tillsynsmail/A 18639-2026 tillsynsbegäran mail.docx", "A 18639-2026")</f>
        <v/>
      </c>
    </row>
    <row r="78" ht="15" customHeight="1">
      <c r="A78" t="inlineStr">
        <is>
          <t>A 56049-2022</t>
        </is>
      </c>
      <c r="B78" s="1" t="n">
        <v>44889.5746875</v>
      </c>
      <c r="C78" s="1" t="n">
        <v>46182</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43154-2021</t>
        </is>
      </c>
      <c r="B79" s="1" t="n">
        <v>44431.69783564815</v>
      </c>
      <c r="C79" s="1" t="n">
        <v>46182</v>
      </c>
      <c r="D79" t="inlineStr">
        <is>
          <t>ÖREBRO LÄN</t>
        </is>
      </c>
      <c r="E79" t="inlineStr">
        <is>
          <t>LINDESBERG</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46182</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46182</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46182</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48986-2021</t>
        </is>
      </c>
      <c r="B83" s="1" t="n">
        <v>44453</v>
      </c>
      <c r="C83" s="1" t="n">
        <v>46182</v>
      </c>
      <c r="D83" t="inlineStr">
        <is>
          <t>ÖREBRO LÄN</t>
        </is>
      </c>
      <c r="E83" t="inlineStr">
        <is>
          <t>LINDESBERG</t>
        </is>
      </c>
      <c r="G83" t="n">
        <v>1.5</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46182</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46182</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46570-2021</t>
        </is>
      </c>
      <c r="B86" s="1" t="n">
        <v>44445.4953587963</v>
      </c>
      <c r="C86" s="1" t="n">
        <v>46182</v>
      </c>
      <c r="D86" t="inlineStr">
        <is>
          <t>ÖREBRO LÄN</t>
        </is>
      </c>
      <c r="E86" t="inlineStr">
        <is>
          <t>LINDESBERG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46182</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46182</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46182</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8555-2022</t>
        </is>
      </c>
      <c r="B90" s="1" t="n">
        <v>44613</v>
      </c>
      <c r="C90" s="1" t="n">
        <v>46182</v>
      </c>
      <c r="D90" t="inlineStr">
        <is>
          <t>ÖREBRO LÄN</t>
        </is>
      </c>
      <c r="E90" t="inlineStr">
        <is>
          <t>LINDESBERG</t>
        </is>
      </c>
      <c r="G90" t="n">
        <v>8.1</v>
      </c>
      <c r="H90" t="n">
        <v>0</v>
      </c>
      <c r="I90" t="n">
        <v>0</v>
      </c>
      <c r="J90" t="n">
        <v>0</v>
      </c>
      <c r="K90" t="n">
        <v>0</v>
      </c>
      <c r="L90" t="n">
        <v>0</v>
      </c>
      <c r="M90" t="n">
        <v>0</v>
      </c>
      <c r="N90" t="n">
        <v>0</v>
      </c>
      <c r="O90" t="n">
        <v>0</v>
      </c>
      <c r="P90" t="n">
        <v>0</v>
      </c>
      <c r="Q90" t="n">
        <v>0</v>
      </c>
      <c r="R90" s="2" t="inlineStr"/>
    </row>
    <row r="91" ht="15" customHeight="1">
      <c r="A91" t="inlineStr">
        <is>
          <t>A 42511-2021</t>
        </is>
      </c>
      <c r="B91" s="1" t="n">
        <v>44427.75243055556</v>
      </c>
      <c r="C91" s="1" t="n">
        <v>46182</v>
      </c>
      <c r="D91" t="inlineStr">
        <is>
          <t>ÖREBRO LÄN</t>
        </is>
      </c>
      <c r="E91" t="inlineStr">
        <is>
          <t>LINDESBERG</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46182</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45961-2021</t>
        </is>
      </c>
      <c r="B93" s="1" t="n">
        <v>44441.66886574074</v>
      </c>
      <c r="C93" s="1" t="n">
        <v>46182</v>
      </c>
      <c r="D93" t="inlineStr">
        <is>
          <t>ÖREBRO LÄN</t>
        </is>
      </c>
      <c r="E93" t="inlineStr">
        <is>
          <t>LINDESBERG</t>
        </is>
      </c>
      <c r="G93" t="n">
        <v>1</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46182</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46182</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46182</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46182</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46182</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51122-2021</t>
        </is>
      </c>
      <c r="B99" s="1" t="n">
        <v>44460</v>
      </c>
      <c r="C99" s="1" t="n">
        <v>46182</v>
      </c>
      <c r="D99" t="inlineStr">
        <is>
          <t>ÖREBRO LÄN</t>
        </is>
      </c>
      <c r="E99" t="inlineStr">
        <is>
          <t>LINDESBERG</t>
        </is>
      </c>
      <c r="G99" t="n">
        <v>1.9</v>
      </c>
      <c r="H99" t="n">
        <v>0</v>
      </c>
      <c r="I99" t="n">
        <v>0</v>
      </c>
      <c r="J99" t="n">
        <v>0</v>
      </c>
      <c r="K99" t="n">
        <v>0</v>
      </c>
      <c r="L99" t="n">
        <v>0</v>
      </c>
      <c r="M99" t="n">
        <v>0</v>
      </c>
      <c r="N99" t="n">
        <v>0</v>
      </c>
      <c r="O99" t="n">
        <v>0</v>
      </c>
      <c r="P99" t="n">
        <v>0</v>
      </c>
      <c r="Q99" t="n">
        <v>0</v>
      </c>
      <c r="R99" s="2" t="inlineStr"/>
    </row>
    <row r="100" ht="15" customHeight="1">
      <c r="A100" t="inlineStr">
        <is>
          <t>A 12522-2022</t>
        </is>
      </c>
      <c r="B100" s="1" t="n">
        <v>44638</v>
      </c>
      <c r="C100" s="1" t="n">
        <v>46182</v>
      </c>
      <c r="D100" t="inlineStr">
        <is>
          <t>ÖREBRO LÄN</t>
        </is>
      </c>
      <c r="E100" t="inlineStr">
        <is>
          <t>LINDESBERG</t>
        </is>
      </c>
      <c r="G100" t="n">
        <v>6.2</v>
      </c>
      <c r="H100" t="n">
        <v>0</v>
      </c>
      <c r="I100" t="n">
        <v>0</v>
      </c>
      <c r="J100" t="n">
        <v>0</v>
      </c>
      <c r="K100" t="n">
        <v>0</v>
      </c>
      <c r="L100" t="n">
        <v>0</v>
      </c>
      <c r="M100" t="n">
        <v>0</v>
      </c>
      <c r="N100" t="n">
        <v>0</v>
      </c>
      <c r="O100" t="n">
        <v>0</v>
      </c>
      <c r="P100" t="n">
        <v>0</v>
      </c>
      <c r="Q100" t="n">
        <v>0</v>
      </c>
      <c r="R100" s="2" t="inlineStr"/>
    </row>
    <row r="101" ht="15" customHeight="1">
      <c r="A101" t="inlineStr">
        <is>
          <t>A 29623-2022</t>
        </is>
      </c>
      <c r="B101" s="1" t="n">
        <v>44754</v>
      </c>
      <c r="C101" s="1" t="n">
        <v>46182</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46182</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46182</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10821-2022</t>
        </is>
      </c>
      <c r="B104" s="1" t="n">
        <v>44627</v>
      </c>
      <c r="C104" s="1" t="n">
        <v>46182</v>
      </c>
      <c r="D104" t="inlineStr">
        <is>
          <t>ÖREBRO LÄN</t>
        </is>
      </c>
      <c r="E104" t="inlineStr">
        <is>
          <t>LINDESBERG</t>
        </is>
      </c>
      <c r="G104" t="n">
        <v>0.4</v>
      </c>
      <c r="H104" t="n">
        <v>0</v>
      </c>
      <c r="I104" t="n">
        <v>0</v>
      </c>
      <c r="J104" t="n">
        <v>0</v>
      </c>
      <c r="K104" t="n">
        <v>0</v>
      </c>
      <c r="L104" t="n">
        <v>0</v>
      </c>
      <c r="M104" t="n">
        <v>0</v>
      </c>
      <c r="N104" t="n">
        <v>0</v>
      </c>
      <c r="O104" t="n">
        <v>0</v>
      </c>
      <c r="P104" t="n">
        <v>0</v>
      </c>
      <c r="Q104" t="n">
        <v>0</v>
      </c>
      <c r="R104" s="2" t="inlineStr"/>
    </row>
    <row r="105" ht="15" customHeight="1">
      <c r="A105" t="inlineStr">
        <is>
          <t>A 16939-2022</t>
        </is>
      </c>
      <c r="B105" s="1" t="n">
        <v>44676</v>
      </c>
      <c r="C105" s="1" t="n">
        <v>46182</v>
      </c>
      <c r="D105" t="inlineStr">
        <is>
          <t>ÖREBRO LÄN</t>
        </is>
      </c>
      <c r="E105" t="inlineStr">
        <is>
          <t>LINDESBERG</t>
        </is>
      </c>
      <c r="G105" t="n">
        <v>1.7</v>
      </c>
      <c r="H105" t="n">
        <v>0</v>
      </c>
      <c r="I105" t="n">
        <v>0</v>
      </c>
      <c r="J105" t="n">
        <v>0</v>
      </c>
      <c r="K105" t="n">
        <v>0</v>
      </c>
      <c r="L105" t="n">
        <v>0</v>
      </c>
      <c r="M105" t="n">
        <v>0</v>
      </c>
      <c r="N105" t="n">
        <v>0</v>
      </c>
      <c r="O105" t="n">
        <v>0</v>
      </c>
      <c r="P105" t="n">
        <v>0</v>
      </c>
      <c r="Q105" t="n">
        <v>0</v>
      </c>
      <c r="R105" s="2" t="inlineStr"/>
    </row>
    <row r="106" ht="15" customHeight="1">
      <c r="A106" t="inlineStr">
        <is>
          <t>A 33309-2021</t>
        </is>
      </c>
      <c r="B106" s="1" t="n">
        <v>44377</v>
      </c>
      <c r="C106" s="1" t="n">
        <v>46182</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33322-2021</t>
        </is>
      </c>
      <c r="B107" s="1" t="n">
        <v>44377.44943287037</v>
      </c>
      <c r="C107" s="1" t="n">
        <v>46182</v>
      </c>
      <c r="D107" t="inlineStr">
        <is>
          <t>ÖREBRO LÄN</t>
        </is>
      </c>
      <c r="E107" t="inlineStr">
        <is>
          <t>LINDESBERG</t>
        </is>
      </c>
      <c r="G107" t="n">
        <v>2.2</v>
      </c>
      <c r="H107" t="n">
        <v>0</v>
      </c>
      <c r="I107" t="n">
        <v>0</v>
      </c>
      <c r="J107" t="n">
        <v>0</v>
      </c>
      <c r="K107" t="n">
        <v>0</v>
      </c>
      <c r="L107" t="n">
        <v>0</v>
      </c>
      <c r="M107" t="n">
        <v>0</v>
      </c>
      <c r="N107" t="n">
        <v>0</v>
      </c>
      <c r="O107" t="n">
        <v>0</v>
      </c>
      <c r="P107" t="n">
        <v>0</v>
      </c>
      <c r="Q107" t="n">
        <v>0</v>
      </c>
      <c r="R107" s="2" t="inlineStr"/>
    </row>
    <row r="108" ht="15" customHeight="1">
      <c r="A108" t="inlineStr">
        <is>
          <t>A 6958-2022</t>
        </is>
      </c>
      <c r="B108" s="1" t="n">
        <v>44603</v>
      </c>
      <c r="C108" s="1" t="n">
        <v>46182</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11361-2022</t>
        </is>
      </c>
      <c r="B109" s="1" t="n">
        <v>44630</v>
      </c>
      <c r="C109" s="1" t="n">
        <v>46182</v>
      </c>
      <c r="D109" t="inlineStr">
        <is>
          <t>ÖREBRO LÄN</t>
        </is>
      </c>
      <c r="E109" t="inlineStr">
        <is>
          <t>LINDESBERG</t>
        </is>
      </c>
      <c r="G109" t="n">
        <v>2.9</v>
      </c>
      <c r="H109" t="n">
        <v>0</v>
      </c>
      <c r="I109" t="n">
        <v>0</v>
      </c>
      <c r="J109" t="n">
        <v>0</v>
      </c>
      <c r="K109" t="n">
        <v>0</v>
      </c>
      <c r="L109" t="n">
        <v>0</v>
      </c>
      <c r="M109" t="n">
        <v>0</v>
      </c>
      <c r="N109" t="n">
        <v>0</v>
      </c>
      <c r="O109" t="n">
        <v>0</v>
      </c>
      <c r="P109" t="n">
        <v>0</v>
      </c>
      <c r="Q109" t="n">
        <v>0</v>
      </c>
      <c r="R109" s="2" t="inlineStr"/>
    </row>
    <row r="110" ht="15" customHeight="1">
      <c r="A110" t="inlineStr">
        <is>
          <t>A 49745-2022</t>
        </is>
      </c>
      <c r="B110" s="1" t="n">
        <v>44862</v>
      </c>
      <c r="C110" s="1" t="n">
        <v>46182</v>
      </c>
      <c r="D110" t="inlineStr">
        <is>
          <t>ÖREBRO LÄN</t>
        </is>
      </c>
      <c r="E110" t="inlineStr">
        <is>
          <t>LINDESBERG</t>
        </is>
      </c>
      <c r="F110" t="inlineStr">
        <is>
          <t>Sveaskog</t>
        </is>
      </c>
      <c r="G110" t="n">
        <v>3.1</v>
      </c>
      <c r="H110" t="n">
        <v>0</v>
      </c>
      <c r="I110" t="n">
        <v>0</v>
      </c>
      <c r="J110" t="n">
        <v>0</v>
      </c>
      <c r="K110" t="n">
        <v>0</v>
      </c>
      <c r="L110" t="n">
        <v>0</v>
      </c>
      <c r="M110" t="n">
        <v>0</v>
      </c>
      <c r="N110" t="n">
        <v>0</v>
      </c>
      <c r="O110" t="n">
        <v>0</v>
      </c>
      <c r="P110" t="n">
        <v>0</v>
      </c>
      <c r="Q110" t="n">
        <v>0</v>
      </c>
      <c r="R110" s="2" t="inlineStr"/>
    </row>
    <row r="111" ht="15" customHeight="1">
      <c r="A111" t="inlineStr">
        <is>
          <t>A 11164-2022</t>
        </is>
      </c>
      <c r="B111" s="1" t="n">
        <v>44629</v>
      </c>
      <c r="C111" s="1" t="n">
        <v>46182</v>
      </c>
      <c r="D111" t="inlineStr">
        <is>
          <t>ÖREBRO LÄN</t>
        </is>
      </c>
      <c r="E111" t="inlineStr">
        <is>
          <t>LINDESBERG</t>
        </is>
      </c>
      <c r="G111" t="n">
        <v>6.7</v>
      </c>
      <c r="H111" t="n">
        <v>0</v>
      </c>
      <c r="I111" t="n">
        <v>0</v>
      </c>
      <c r="J111" t="n">
        <v>0</v>
      </c>
      <c r="K111" t="n">
        <v>0</v>
      </c>
      <c r="L111" t="n">
        <v>0</v>
      </c>
      <c r="M111" t="n">
        <v>0</v>
      </c>
      <c r="N111" t="n">
        <v>0</v>
      </c>
      <c r="O111" t="n">
        <v>0</v>
      </c>
      <c r="P111" t="n">
        <v>0</v>
      </c>
      <c r="Q111" t="n">
        <v>0</v>
      </c>
      <c r="R111" s="2" t="inlineStr"/>
    </row>
    <row r="112" ht="15" customHeight="1">
      <c r="A112" t="inlineStr">
        <is>
          <t>A 22481-2022</t>
        </is>
      </c>
      <c r="B112" s="1" t="n">
        <v>44713.61145833333</v>
      </c>
      <c r="C112" s="1" t="n">
        <v>46182</v>
      </c>
      <c r="D112" t="inlineStr">
        <is>
          <t>ÖREBRO LÄN</t>
        </is>
      </c>
      <c r="E112" t="inlineStr">
        <is>
          <t>LINDESBERG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46182</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32615-2021</t>
        </is>
      </c>
      <c r="B114" s="1" t="n">
        <v>44375</v>
      </c>
      <c r="C114" s="1" t="n">
        <v>46182</v>
      </c>
      <c r="D114" t="inlineStr">
        <is>
          <t>ÖREBRO LÄN</t>
        </is>
      </c>
      <c r="E114" t="inlineStr">
        <is>
          <t>LINDESBERG</t>
        </is>
      </c>
      <c r="G114" t="n">
        <v>5</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46182</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53153-2021</t>
        </is>
      </c>
      <c r="B116" s="1" t="n">
        <v>44468.34099537037</v>
      </c>
      <c r="C116" s="1" t="n">
        <v>46182</v>
      </c>
      <c r="D116" t="inlineStr">
        <is>
          <t>ÖREBRO LÄN</t>
        </is>
      </c>
      <c r="E116" t="inlineStr">
        <is>
          <t>LINDESBERG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40099-2021</t>
        </is>
      </c>
      <c r="B117" s="1" t="n">
        <v>44418.58454861111</v>
      </c>
      <c r="C117" s="1" t="n">
        <v>46182</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2110-2022</t>
        </is>
      </c>
      <c r="B118" s="1" t="n">
        <v>44577.84596064815</v>
      </c>
      <c r="C118" s="1" t="n">
        <v>46182</v>
      </c>
      <c r="D118" t="inlineStr">
        <is>
          <t>ÖREBRO LÄN</t>
        </is>
      </c>
      <c r="E118" t="inlineStr">
        <is>
          <t>LINDESBERG</t>
        </is>
      </c>
      <c r="G118" t="n">
        <v>4.4</v>
      </c>
      <c r="H118" t="n">
        <v>0</v>
      </c>
      <c r="I118" t="n">
        <v>0</v>
      </c>
      <c r="J118" t="n">
        <v>0</v>
      </c>
      <c r="K118" t="n">
        <v>0</v>
      </c>
      <c r="L118" t="n">
        <v>0</v>
      </c>
      <c r="M118" t="n">
        <v>0</v>
      </c>
      <c r="N118" t="n">
        <v>0</v>
      </c>
      <c r="O118" t="n">
        <v>0</v>
      </c>
      <c r="P118" t="n">
        <v>0</v>
      </c>
      <c r="Q118" t="n">
        <v>0</v>
      </c>
      <c r="R118" s="2" t="inlineStr"/>
    </row>
    <row r="119" ht="15" customHeight="1">
      <c r="A119" t="inlineStr">
        <is>
          <t>A 16424-2022</t>
        </is>
      </c>
      <c r="B119" s="1" t="n">
        <v>44671</v>
      </c>
      <c r="C119" s="1" t="n">
        <v>46182</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62981-2021</t>
        </is>
      </c>
      <c r="B120" s="1" t="n">
        <v>44505.36354166667</v>
      </c>
      <c r="C120" s="1" t="n">
        <v>46182</v>
      </c>
      <c r="D120" t="inlineStr">
        <is>
          <t>ÖREBRO LÄN</t>
        </is>
      </c>
      <c r="E120" t="inlineStr">
        <is>
          <t>LINDESBERG</t>
        </is>
      </c>
      <c r="G120" t="n">
        <v>2.3</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46182</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72713-2021</t>
        </is>
      </c>
      <c r="B122" s="1" t="n">
        <v>44546.67978009259</v>
      </c>
      <c r="C122" s="1" t="n">
        <v>46182</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40351-2022</t>
        </is>
      </c>
      <c r="B123" s="1" t="n">
        <v>44823.37396990741</v>
      </c>
      <c r="C123" s="1" t="n">
        <v>46182</v>
      </c>
      <c r="D123" t="inlineStr">
        <is>
          <t>ÖREBRO LÄN</t>
        </is>
      </c>
      <c r="E123" t="inlineStr">
        <is>
          <t>LINDESBERG</t>
        </is>
      </c>
      <c r="G123" t="n">
        <v>0.3</v>
      </c>
      <c r="H123" t="n">
        <v>0</v>
      </c>
      <c r="I123" t="n">
        <v>0</v>
      </c>
      <c r="J123" t="n">
        <v>0</v>
      </c>
      <c r="K123" t="n">
        <v>0</v>
      </c>
      <c r="L123" t="n">
        <v>0</v>
      </c>
      <c r="M123" t="n">
        <v>0</v>
      </c>
      <c r="N123" t="n">
        <v>0</v>
      </c>
      <c r="O123" t="n">
        <v>0</v>
      </c>
      <c r="P123" t="n">
        <v>0</v>
      </c>
      <c r="Q123" t="n">
        <v>0</v>
      </c>
      <c r="R123" s="2" t="inlineStr"/>
    </row>
    <row r="124" ht="15" customHeight="1">
      <c r="A124" t="inlineStr">
        <is>
          <t>A 33785-2021</t>
        </is>
      </c>
      <c r="B124" s="1" t="n">
        <v>44378.55319444444</v>
      </c>
      <c r="C124" s="1" t="n">
        <v>46182</v>
      </c>
      <c r="D124" t="inlineStr">
        <is>
          <t>ÖREBRO LÄN</t>
        </is>
      </c>
      <c r="E124" t="inlineStr">
        <is>
          <t>LINDESBERG</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67060-2021</t>
        </is>
      </c>
      <c r="B125" s="1" t="n">
        <v>44522.87423611111</v>
      </c>
      <c r="C125" s="1" t="n">
        <v>46182</v>
      </c>
      <c r="D125" t="inlineStr">
        <is>
          <t>ÖREBRO LÄN</t>
        </is>
      </c>
      <c r="E125" t="inlineStr">
        <is>
          <t>LINDESBERG</t>
        </is>
      </c>
      <c r="G125" t="n">
        <v>6.3</v>
      </c>
      <c r="H125" t="n">
        <v>0</v>
      </c>
      <c r="I125" t="n">
        <v>0</v>
      </c>
      <c r="J125" t="n">
        <v>0</v>
      </c>
      <c r="K125" t="n">
        <v>0</v>
      </c>
      <c r="L125" t="n">
        <v>0</v>
      </c>
      <c r="M125" t="n">
        <v>0</v>
      </c>
      <c r="N125" t="n">
        <v>0</v>
      </c>
      <c r="O125" t="n">
        <v>0</v>
      </c>
      <c r="P125" t="n">
        <v>0</v>
      </c>
      <c r="Q125" t="n">
        <v>0</v>
      </c>
      <c r="R125" s="2" t="inlineStr"/>
    </row>
    <row r="126" ht="15" customHeight="1">
      <c r="A126" t="inlineStr">
        <is>
          <t>A 11926-2022</t>
        </is>
      </c>
      <c r="B126" s="1" t="n">
        <v>44635.51386574074</v>
      </c>
      <c r="C126" s="1" t="n">
        <v>46182</v>
      </c>
      <c r="D126" t="inlineStr">
        <is>
          <t>ÖREBRO LÄN</t>
        </is>
      </c>
      <c r="E126" t="inlineStr">
        <is>
          <t>LINDESBERG</t>
        </is>
      </c>
      <c r="G126" t="n">
        <v>2.7</v>
      </c>
      <c r="H126" t="n">
        <v>0</v>
      </c>
      <c r="I126" t="n">
        <v>0</v>
      </c>
      <c r="J126" t="n">
        <v>0</v>
      </c>
      <c r="K126" t="n">
        <v>0</v>
      </c>
      <c r="L126" t="n">
        <v>0</v>
      </c>
      <c r="M126" t="n">
        <v>0</v>
      </c>
      <c r="N126" t="n">
        <v>0</v>
      </c>
      <c r="O126" t="n">
        <v>0</v>
      </c>
      <c r="P126" t="n">
        <v>0</v>
      </c>
      <c r="Q126" t="n">
        <v>0</v>
      </c>
      <c r="R126" s="2" t="inlineStr"/>
    </row>
    <row r="127" ht="15" customHeight="1">
      <c r="A127" t="inlineStr">
        <is>
          <t>A 28741-2021</t>
        </is>
      </c>
      <c r="B127" s="1" t="n">
        <v>44357</v>
      </c>
      <c r="C127" s="1" t="n">
        <v>46182</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44197-2021</t>
        </is>
      </c>
      <c r="B128" s="1" t="n">
        <v>44434.74203703704</v>
      </c>
      <c r="C128" s="1" t="n">
        <v>46182</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19562-2022</t>
        </is>
      </c>
      <c r="B129" s="1" t="n">
        <v>44693.66775462963</v>
      </c>
      <c r="C129" s="1" t="n">
        <v>46182</v>
      </c>
      <c r="D129" t="inlineStr">
        <is>
          <t>ÖREBRO LÄN</t>
        </is>
      </c>
      <c r="E129" t="inlineStr">
        <is>
          <t>LINDESBERG</t>
        </is>
      </c>
      <c r="F129" t="inlineStr">
        <is>
          <t>Kyrkan</t>
        </is>
      </c>
      <c r="G129" t="n">
        <v>4.2</v>
      </c>
      <c r="H129" t="n">
        <v>0</v>
      </c>
      <c r="I129" t="n">
        <v>0</v>
      </c>
      <c r="J129" t="n">
        <v>0</v>
      </c>
      <c r="K129" t="n">
        <v>0</v>
      </c>
      <c r="L129" t="n">
        <v>0</v>
      </c>
      <c r="M129" t="n">
        <v>0</v>
      </c>
      <c r="N129" t="n">
        <v>0</v>
      </c>
      <c r="O129" t="n">
        <v>0</v>
      </c>
      <c r="P129" t="n">
        <v>0</v>
      </c>
      <c r="Q129" t="n">
        <v>0</v>
      </c>
      <c r="R129" s="2" t="inlineStr"/>
    </row>
    <row r="130" ht="15" customHeight="1">
      <c r="A130" t="inlineStr">
        <is>
          <t>A 57765-2021</t>
        </is>
      </c>
      <c r="B130" s="1" t="n">
        <v>44484.56523148148</v>
      </c>
      <c r="C130" s="1" t="n">
        <v>46182</v>
      </c>
      <c r="D130" t="inlineStr">
        <is>
          <t>ÖREBRO LÄN</t>
        </is>
      </c>
      <c r="E130" t="inlineStr">
        <is>
          <t>LINDESBERG</t>
        </is>
      </c>
      <c r="G130" t="n">
        <v>3.4</v>
      </c>
      <c r="H130" t="n">
        <v>0</v>
      </c>
      <c r="I130" t="n">
        <v>0</v>
      </c>
      <c r="J130" t="n">
        <v>0</v>
      </c>
      <c r="K130" t="n">
        <v>0</v>
      </c>
      <c r="L130" t="n">
        <v>0</v>
      </c>
      <c r="M130" t="n">
        <v>0</v>
      </c>
      <c r="N130" t="n">
        <v>0</v>
      </c>
      <c r="O130" t="n">
        <v>0</v>
      </c>
      <c r="P130" t="n">
        <v>0</v>
      </c>
      <c r="Q130" t="n">
        <v>0</v>
      </c>
      <c r="R130" s="2" t="inlineStr"/>
    </row>
    <row r="131" ht="15" customHeight="1">
      <c r="A131" t="inlineStr">
        <is>
          <t>A 19057-2022</t>
        </is>
      </c>
      <c r="B131" s="1" t="n">
        <v>44691</v>
      </c>
      <c r="C131" s="1" t="n">
        <v>46182</v>
      </c>
      <c r="D131" t="inlineStr">
        <is>
          <t>ÖREBRO LÄN</t>
        </is>
      </c>
      <c r="E131" t="inlineStr">
        <is>
          <t>LINDESBERG</t>
        </is>
      </c>
      <c r="G131" t="n">
        <v>2.1</v>
      </c>
      <c r="H131" t="n">
        <v>0</v>
      </c>
      <c r="I131" t="n">
        <v>0</v>
      </c>
      <c r="J131" t="n">
        <v>0</v>
      </c>
      <c r="K131" t="n">
        <v>0</v>
      </c>
      <c r="L131" t="n">
        <v>0</v>
      </c>
      <c r="M131" t="n">
        <v>0</v>
      </c>
      <c r="N131" t="n">
        <v>0</v>
      </c>
      <c r="O131" t="n">
        <v>0</v>
      </c>
      <c r="P131" t="n">
        <v>0</v>
      </c>
      <c r="Q131" t="n">
        <v>0</v>
      </c>
      <c r="R131" s="2" t="inlineStr"/>
    </row>
    <row r="132" ht="15" customHeight="1">
      <c r="A132" t="inlineStr">
        <is>
          <t>A 19612-2022</t>
        </is>
      </c>
      <c r="B132" s="1" t="n">
        <v>44694.29309027778</v>
      </c>
      <c r="C132" s="1" t="n">
        <v>46182</v>
      </c>
      <c r="D132" t="inlineStr">
        <is>
          <t>ÖREBRO LÄN</t>
        </is>
      </c>
      <c r="E132" t="inlineStr">
        <is>
          <t>LINDESBERG</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63071-2021</t>
        </is>
      </c>
      <c r="B133" s="1" t="n">
        <v>44505</v>
      </c>
      <c r="C133" s="1" t="n">
        <v>46182</v>
      </c>
      <c r="D133" t="inlineStr">
        <is>
          <t>ÖREBRO LÄN</t>
        </is>
      </c>
      <c r="E133" t="inlineStr">
        <is>
          <t>LINDESBERG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59182-2021</t>
        </is>
      </c>
      <c r="B134" s="1" t="n">
        <v>44490</v>
      </c>
      <c r="C134" s="1" t="n">
        <v>46182</v>
      </c>
      <c r="D134" t="inlineStr">
        <is>
          <t>ÖREBRO LÄN</t>
        </is>
      </c>
      <c r="E134" t="inlineStr">
        <is>
          <t>LINDESBERG</t>
        </is>
      </c>
      <c r="G134" t="n">
        <v>1.4</v>
      </c>
      <c r="H134" t="n">
        <v>0</v>
      </c>
      <c r="I134" t="n">
        <v>0</v>
      </c>
      <c r="J134" t="n">
        <v>0</v>
      </c>
      <c r="K134" t="n">
        <v>0</v>
      </c>
      <c r="L134" t="n">
        <v>0</v>
      </c>
      <c r="M134" t="n">
        <v>0</v>
      </c>
      <c r="N134" t="n">
        <v>0</v>
      </c>
      <c r="O134" t="n">
        <v>0</v>
      </c>
      <c r="P134" t="n">
        <v>0</v>
      </c>
      <c r="Q134" t="n">
        <v>0</v>
      </c>
      <c r="R134" s="2" t="inlineStr"/>
    </row>
    <row r="135" ht="15" customHeight="1">
      <c r="A135" t="inlineStr">
        <is>
          <t>A 11271-2022</t>
        </is>
      </c>
      <c r="B135" s="1" t="n">
        <v>44629</v>
      </c>
      <c r="C135" s="1" t="n">
        <v>46182</v>
      </c>
      <c r="D135" t="inlineStr">
        <is>
          <t>ÖREBRO LÄN</t>
        </is>
      </c>
      <c r="E135" t="inlineStr">
        <is>
          <t>LINDESBERG</t>
        </is>
      </c>
      <c r="G135" t="n">
        <v>7.8</v>
      </c>
      <c r="H135" t="n">
        <v>0</v>
      </c>
      <c r="I135" t="n">
        <v>0</v>
      </c>
      <c r="J135" t="n">
        <v>0</v>
      </c>
      <c r="K135" t="n">
        <v>0</v>
      </c>
      <c r="L135" t="n">
        <v>0</v>
      </c>
      <c r="M135" t="n">
        <v>0</v>
      </c>
      <c r="N135" t="n">
        <v>0</v>
      </c>
      <c r="O135" t="n">
        <v>0</v>
      </c>
      <c r="P135" t="n">
        <v>0</v>
      </c>
      <c r="Q135" t="n">
        <v>0</v>
      </c>
      <c r="R135" s="2" t="inlineStr"/>
    </row>
    <row r="136" ht="15" customHeight="1">
      <c r="A136" t="inlineStr">
        <is>
          <t>A 41580-2021</t>
        </is>
      </c>
      <c r="B136" s="1" t="n">
        <v>44425.40128472223</v>
      </c>
      <c r="C136" s="1" t="n">
        <v>46182</v>
      </c>
      <c r="D136" t="inlineStr">
        <is>
          <t>ÖREBRO LÄN</t>
        </is>
      </c>
      <c r="E136" t="inlineStr">
        <is>
          <t>LINDESBERG</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16123-2022</t>
        </is>
      </c>
      <c r="B137" s="1" t="n">
        <v>44665</v>
      </c>
      <c r="C137" s="1" t="n">
        <v>46182</v>
      </c>
      <c r="D137" t="inlineStr">
        <is>
          <t>ÖREBRO LÄN</t>
        </is>
      </c>
      <c r="E137" t="inlineStr">
        <is>
          <t>LINDESBERG</t>
        </is>
      </c>
      <c r="G137" t="n">
        <v>10.6</v>
      </c>
      <c r="H137" t="n">
        <v>0</v>
      </c>
      <c r="I137" t="n">
        <v>0</v>
      </c>
      <c r="J137" t="n">
        <v>0</v>
      </c>
      <c r="K137" t="n">
        <v>0</v>
      </c>
      <c r="L137" t="n">
        <v>0</v>
      </c>
      <c r="M137" t="n">
        <v>0</v>
      </c>
      <c r="N137" t="n">
        <v>0</v>
      </c>
      <c r="O137" t="n">
        <v>0</v>
      </c>
      <c r="P137" t="n">
        <v>0</v>
      </c>
      <c r="Q137" t="n">
        <v>0</v>
      </c>
      <c r="R137" s="2" t="inlineStr"/>
    </row>
    <row r="138" ht="15" customHeight="1">
      <c r="A138" t="inlineStr">
        <is>
          <t>A 47425-2021</t>
        </is>
      </c>
      <c r="B138" s="1" t="n">
        <v>44447</v>
      </c>
      <c r="C138" s="1" t="n">
        <v>46182</v>
      </c>
      <c r="D138" t="inlineStr">
        <is>
          <t>ÖREBRO LÄN</t>
        </is>
      </c>
      <c r="E138" t="inlineStr">
        <is>
          <t>LINDESBERG</t>
        </is>
      </c>
      <c r="G138" t="n">
        <v>0.4</v>
      </c>
      <c r="H138" t="n">
        <v>0</v>
      </c>
      <c r="I138" t="n">
        <v>0</v>
      </c>
      <c r="J138" t="n">
        <v>0</v>
      </c>
      <c r="K138" t="n">
        <v>0</v>
      </c>
      <c r="L138" t="n">
        <v>0</v>
      </c>
      <c r="M138" t="n">
        <v>0</v>
      </c>
      <c r="N138" t="n">
        <v>0</v>
      </c>
      <c r="O138" t="n">
        <v>0</v>
      </c>
      <c r="P138" t="n">
        <v>0</v>
      </c>
      <c r="Q138" t="n">
        <v>0</v>
      </c>
      <c r="R138" s="2" t="inlineStr"/>
    </row>
    <row r="139" ht="15" customHeight="1">
      <c r="A139" t="inlineStr">
        <is>
          <t>A 50498-2021</t>
        </is>
      </c>
      <c r="B139" s="1" t="n">
        <v>44459.57613425926</v>
      </c>
      <c r="C139" s="1" t="n">
        <v>46182</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43453-2021</t>
        </is>
      </c>
      <c r="B140" s="1" t="n">
        <v>44432.68241898148</v>
      </c>
      <c r="C140" s="1" t="n">
        <v>46182</v>
      </c>
      <c r="D140" t="inlineStr">
        <is>
          <t>ÖREBRO LÄN</t>
        </is>
      </c>
      <c r="E140" t="inlineStr">
        <is>
          <t>LINDESBERG</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43452-2021</t>
        </is>
      </c>
      <c r="B141" s="1" t="n">
        <v>44432</v>
      </c>
      <c r="C141" s="1" t="n">
        <v>46182</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c r="U141">
        <f>HYPERLINK("https://klasma.github.io/Logging_1885/knärot/A 43452-2021 karta knärot.png", "A 43452-2021")</f>
        <v/>
      </c>
      <c r="V141">
        <f>HYPERLINK("https://klasma.github.io/Logging_1885/klagomål/A 43452-2021 FSC-klagomål.docx", "A 43452-2021")</f>
        <v/>
      </c>
      <c r="W141">
        <f>HYPERLINK("https://klasma.github.io/Logging_1885/klagomålsmail/A 43452-2021 FSC-klagomål mail.docx", "A 43452-2021")</f>
        <v/>
      </c>
      <c r="X141">
        <f>HYPERLINK("https://klasma.github.io/Logging_1885/tillsyn/A 43452-2021 tillsynsbegäran.docx", "A 43452-2021")</f>
        <v/>
      </c>
      <c r="Y141">
        <f>HYPERLINK("https://klasma.github.io/Logging_1885/tillsynsmail/A 43452-2021 tillsynsbegäran mail.docx", "A 43452-2021")</f>
        <v/>
      </c>
    </row>
    <row r="142" ht="15" customHeight="1">
      <c r="A142" t="inlineStr">
        <is>
          <t>A 5338-2022</t>
        </is>
      </c>
      <c r="B142" s="1" t="n">
        <v>44594</v>
      </c>
      <c r="C142" s="1" t="n">
        <v>46182</v>
      </c>
      <c r="D142" t="inlineStr">
        <is>
          <t>ÖREBRO LÄN</t>
        </is>
      </c>
      <c r="E142" t="inlineStr">
        <is>
          <t>LINDESBERG</t>
        </is>
      </c>
      <c r="G142" t="n">
        <v>1.3</v>
      </c>
      <c r="H142" t="n">
        <v>0</v>
      </c>
      <c r="I142" t="n">
        <v>0</v>
      </c>
      <c r="J142" t="n">
        <v>0</v>
      </c>
      <c r="K142" t="n">
        <v>0</v>
      </c>
      <c r="L142" t="n">
        <v>0</v>
      </c>
      <c r="M142" t="n">
        <v>0</v>
      </c>
      <c r="N142" t="n">
        <v>0</v>
      </c>
      <c r="O142" t="n">
        <v>0</v>
      </c>
      <c r="P142" t="n">
        <v>0</v>
      </c>
      <c r="Q142" t="n">
        <v>0</v>
      </c>
      <c r="R142" s="2" t="inlineStr"/>
    </row>
    <row r="143" ht="15" customHeight="1">
      <c r="A143" t="inlineStr">
        <is>
          <t>A 58103-2021</t>
        </is>
      </c>
      <c r="B143" s="1" t="n">
        <v>44487.51556712963</v>
      </c>
      <c r="C143" s="1" t="n">
        <v>46182</v>
      </c>
      <c r="D143" t="inlineStr">
        <is>
          <t>ÖREBRO LÄN</t>
        </is>
      </c>
      <c r="E143" t="inlineStr">
        <is>
          <t>LINDESBERG</t>
        </is>
      </c>
      <c r="G143" t="n">
        <v>0.6</v>
      </c>
      <c r="H143" t="n">
        <v>0</v>
      </c>
      <c r="I143" t="n">
        <v>0</v>
      </c>
      <c r="J143" t="n">
        <v>0</v>
      </c>
      <c r="K143" t="n">
        <v>0</v>
      </c>
      <c r="L143" t="n">
        <v>0</v>
      </c>
      <c r="M143" t="n">
        <v>0</v>
      </c>
      <c r="N143" t="n">
        <v>0</v>
      </c>
      <c r="O143" t="n">
        <v>0</v>
      </c>
      <c r="P143" t="n">
        <v>0</v>
      </c>
      <c r="Q143" t="n">
        <v>0</v>
      </c>
      <c r="R143" s="2" t="inlineStr"/>
    </row>
    <row r="144" ht="15" customHeight="1">
      <c r="A144" t="inlineStr">
        <is>
          <t>A 52187-2021</t>
        </is>
      </c>
      <c r="B144" s="1" t="n">
        <v>44463</v>
      </c>
      <c r="C144" s="1" t="n">
        <v>46182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60900-2021</t>
        </is>
      </c>
      <c r="B145" s="1" t="n">
        <v>44497</v>
      </c>
      <c r="C145" s="1" t="n">
        <v>46182</v>
      </c>
      <c r="D145" t="inlineStr">
        <is>
          <t>ÖREBRO LÄN</t>
        </is>
      </c>
      <c r="E145" t="inlineStr">
        <is>
          <t>LINDESBERG</t>
        </is>
      </c>
      <c r="G145" t="n">
        <v>7.3</v>
      </c>
      <c r="H145" t="n">
        <v>0</v>
      </c>
      <c r="I145" t="n">
        <v>0</v>
      </c>
      <c r="J145" t="n">
        <v>0</v>
      </c>
      <c r="K145" t="n">
        <v>0</v>
      </c>
      <c r="L145" t="n">
        <v>0</v>
      </c>
      <c r="M145" t="n">
        <v>0</v>
      </c>
      <c r="N145" t="n">
        <v>0</v>
      </c>
      <c r="O145" t="n">
        <v>0</v>
      </c>
      <c r="P145" t="n">
        <v>0</v>
      </c>
      <c r="Q145" t="n">
        <v>0</v>
      </c>
      <c r="R145" s="2" t="inlineStr"/>
    </row>
    <row r="146" ht="15" customHeight="1">
      <c r="A146" t="inlineStr">
        <is>
          <t>A 50069-2021</t>
        </is>
      </c>
      <c r="B146" s="1" t="n">
        <v>44456</v>
      </c>
      <c r="C146" s="1" t="n">
        <v>46182</v>
      </c>
      <c r="D146" t="inlineStr">
        <is>
          <t>ÖREBRO LÄN</t>
        </is>
      </c>
      <c r="E146" t="inlineStr">
        <is>
          <t>LINDESBERG</t>
        </is>
      </c>
      <c r="G146" t="n">
        <v>14.5</v>
      </c>
      <c r="H146" t="n">
        <v>0</v>
      </c>
      <c r="I146" t="n">
        <v>0</v>
      </c>
      <c r="J146" t="n">
        <v>0</v>
      </c>
      <c r="K146" t="n">
        <v>0</v>
      </c>
      <c r="L146" t="n">
        <v>0</v>
      </c>
      <c r="M146" t="n">
        <v>0</v>
      </c>
      <c r="N146" t="n">
        <v>0</v>
      </c>
      <c r="O146" t="n">
        <v>0</v>
      </c>
      <c r="P146" t="n">
        <v>0</v>
      </c>
      <c r="Q146" t="n">
        <v>0</v>
      </c>
      <c r="R146" s="2" t="inlineStr"/>
    </row>
    <row r="147" ht="15" customHeight="1">
      <c r="A147" t="inlineStr">
        <is>
          <t>A 39773-2022</t>
        </is>
      </c>
      <c r="B147" s="1" t="n">
        <v>44819</v>
      </c>
      <c r="C147" s="1" t="n">
        <v>46182</v>
      </c>
      <c r="D147" t="inlineStr">
        <is>
          <t>ÖREBRO LÄN</t>
        </is>
      </c>
      <c r="E147" t="inlineStr">
        <is>
          <t>LINDESBERG</t>
        </is>
      </c>
      <c r="G147" t="n">
        <v>0.3</v>
      </c>
      <c r="H147" t="n">
        <v>0</v>
      </c>
      <c r="I147" t="n">
        <v>0</v>
      </c>
      <c r="J147" t="n">
        <v>0</v>
      </c>
      <c r="K147" t="n">
        <v>0</v>
      </c>
      <c r="L147" t="n">
        <v>0</v>
      </c>
      <c r="M147" t="n">
        <v>0</v>
      </c>
      <c r="N147" t="n">
        <v>0</v>
      </c>
      <c r="O147" t="n">
        <v>0</v>
      </c>
      <c r="P147" t="n">
        <v>0</v>
      </c>
      <c r="Q147" t="n">
        <v>0</v>
      </c>
      <c r="R147" s="2" t="inlineStr"/>
    </row>
    <row r="148" ht="15" customHeight="1">
      <c r="A148" t="inlineStr">
        <is>
          <t>A 25885-2022</t>
        </is>
      </c>
      <c r="B148" s="1" t="n">
        <v>44733.71126157408</v>
      </c>
      <c r="C148" s="1" t="n">
        <v>46182</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16600-2022</t>
        </is>
      </c>
      <c r="B149" s="1" t="n">
        <v>44672</v>
      </c>
      <c r="C149" s="1" t="n">
        <v>46182</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41207-2022</t>
        </is>
      </c>
      <c r="B150" s="1" t="n">
        <v>44825.99293981482</v>
      </c>
      <c r="C150" s="1" t="n">
        <v>46182</v>
      </c>
      <c r="D150" t="inlineStr">
        <is>
          <t>ÖREBRO LÄN</t>
        </is>
      </c>
      <c r="E150" t="inlineStr">
        <is>
          <t>LINDESBERG</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44677-2021</t>
        </is>
      </c>
      <c r="B151" s="1" t="n">
        <v>44438.30614583333</v>
      </c>
      <c r="C151" s="1" t="n">
        <v>46182</v>
      </c>
      <c r="D151" t="inlineStr">
        <is>
          <t>ÖREBRO LÄN</t>
        </is>
      </c>
      <c r="E151" t="inlineStr">
        <is>
          <t>LINDESBERG</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10277-2022</t>
        </is>
      </c>
      <c r="B152" s="1" t="n">
        <v>44622.69101851852</v>
      </c>
      <c r="C152" s="1" t="n">
        <v>46182</v>
      </c>
      <c r="D152" t="inlineStr">
        <is>
          <t>ÖREBRO LÄN</t>
        </is>
      </c>
      <c r="E152" t="inlineStr">
        <is>
          <t>LINDESBERG</t>
        </is>
      </c>
      <c r="G152" t="n">
        <v>4.2</v>
      </c>
      <c r="H152" t="n">
        <v>0</v>
      </c>
      <c r="I152" t="n">
        <v>0</v>
      </c>
      <c r="J152" t="n">
        <v>0</v>
      </c>
      <c r="K152" t="n">
        <v>0</v>
      </c>
      <c r="L152" t="n">
        <v>0</v>
      </c>
      <c r="M152" t="n">
        <v>0</v>
      </c>
      <c r="N152" t="n">
        <v>0</v>
      </c>
      <c r="O152" t="n">
        <v>0</v>
      </c>
      <c r="P152" t="n">
        <v>0</v>
      </c>
      <c r="Q152" t="n">
        <v>0</v>
      </c>
      <c r="R152" s="2" t="inlineStr"/>
    </row>
    <row r="153" ht="15" customHeight="1">
      <c r="A153" t="inlineStr">
        <is>
          <t>A 48154-2021</t>
        </is>
      </c>
      <c r="B153" s="1" t="n">
        <v>44449</v>
      </c>
      <c r="C153" s="1" t="n">
        <v>46182</v>
      </c>
      <c r="D153" t="inlineStr">
        <is>
          <t>ÖREBRO LÄN</t>
        </is>
      </c>
      <c r="E153" t="inlineStr">
        <is>
          <t>LINDESBERG</t>
        </is>
      </c>
      <c r="G153" t="n">
        <v>0.4</v>
      </c>
      <c r="H153" t="n">
        <v>0</v>
      </c>
      <c r="I153" t="n">
        <v>0</v>
      </c>
      <c r="J153" t="n">
        <v>0</v>
      </c>
      <c r="K153" t="n">
        <v>0</v>
      </c>
      <c r="L153" t="n">
        <v>0</v>
      </c>
      <c r="M153" t="n">
        <v>0</v>
      </c>
      <c r="N153" t="n">
        <v>0</v>
      </c>
      <c r="O153" t="n">
        <v>0</v>
      </c>
      <c r="P153" t="n">
        <v>0</v>
      </c>
      <c r="Q153" t="n">
        <v>0</v>
      </c>
      <c r="R153" s="2" t="inlineStr"/>
    </row>
    <row r="154" ht="15" customHeight="1">
      <c r="A154" t="inlineStr">
        <is>
          <t>A 52851-2022</t>
        </is>
      </c>
      <c r="B154" s="1" t="n">
        <v>44875.47543981481</v>
      </c>
      <c r="C154" s="1" t="n">
        <v>46182</v>
      </c>
      <c r="D154" t="inlineStr">
        <is>
          <t>ÖREBRO LÄN</t>
        </is>
      </c>
      <c r="E154" t="inlineStr">
        <is>
          <t>LINDESBERG</t>
        </is>
      </c>
      <c r="G154" t="n">
        <v>2.9</v>
      </c>
      <c r="H154" t="n">
        <v>0</v>
      </c>
      <c r="I154" t="n">
        <v>0</v>
      </c>
      <c r="J154" t="n">
        <v>0</v>
      </c>
      <c r="K154" t="n">
        <v>0</v>
      </c>
      <c r="L154" t="n">
        <v>0</v>
      </c>
      <c r="M154" t="n">
        <v>0</v>
      </c>
      <c r="N154" t="n">
        <v>0</v>
      </c>
      <c r="O154" t="n">
        <v>0</v>
      </c>
      <c r="P154" t="n">
        <v>0</v>
      </c>
      <c r="Q154" t="n">
        <v>0</v>
      </c>
      <c r="R154" s="2" t="inlineStr"/>
    </row>
    <row r="155" ht="15" customHeight="1">
      <c r="A155" t="inlineStr">
        <is>
          <t>A 59655-2021</t>
        </is>
      </c>
      <c r="B155" s="1" t="n">
        <v>44491</v>
      </c>
      <c r="C155" s="1" t="n">
        <v>46182</v>
      </c>
      <c r="D155" t="inlineStr">
        <is>
          <t>ÖREBRO LÄN</t>
        </is>
      </c>
      <c r="E155" t="inlineStr">
        <is>
          <t>LINDESBERG</t>
        </is>
      </c>
      <c r="G155" t="n">
        <v>7</v>
      </c>
      <c r="H155" t="n">
        <v>0</v>
      </c>
      <c r="I155" t="n">
        <v>0</v>
      </c>
      <c r="J155" t="n">
        <v>0</v>
      </c>
      <c r="K155" t="n">
        <v>0</v>
      </c>
      <c r="L155" t="n">
        <v>0</v>
      </c>
      <c r="M155" t="n">
        <v>0</v>
      </c>
      <c r="N155" t="n">
        <v>0</v>
      </c>
      <c r="O155" t="n">
        <v>0</v>
      </c>
      <c r="P155" t="n">
        <v>0</v>
      </c>
      <c r="Q155" t="n">
        <v>0</v>
      </c>
      <c r="R155" s="2" t="inlineStr"/>
    </row>
    <row r="156" ht="15" customHeight="1">
      <c r="A156" t="inlineStr">
        <is>
          <t>A 68491-2021</t>
        </is>
      </c>
      <c r="B156" s="1" t="n">
        <v>44526</v>
      </c>
      <c r="C156" s="1" t="n">
        <v>46182</v>
      </c>
      <c r="D156" t="inlineStr">
        <is>
          <t>ÖREBRO LÄN</t>
        </is>
      </c>
      <c r="E156" t="inlineStr">
        <is>
          <t>LINDESBERG</t>
        </is>
      </c>
      <c r="G156" t="n">
        <v>1</v>
      </c>
      <c r="H156" t="n">
        <v>0</v>
      </c>
      <c r="I156" t="n">
        <v>0</v>
      </c>
      <c r="J156" t="n">
        <v>0</v>
      </c>
      <c r="K156" t="n">
        <v>0</v>
      </c>
      <c r="L156" t="n">
        <v>0</v>
      </c>
      <c r="M156" t="n">
        <v>0</v>
      </c>
      <c r="N156" t="n">
        <v>0</v>
      </c>
      <c r="O156" t="n">
        <v>0</v>
      </c>
      <c r="P156" t="n">
        <v>0</v>
      </c>
      <c r="Q156" t="n">
        <v>0</v>
      </c>
      <c r="R156" s="2" t="inlineStr"/>
    </row>
    <row r="157" ht="15" customHeight="1">
      <c r="A157" t="inlineStr">
        <is>
          <t>A 36221-2021</t>
        </is>
      </c>
      <c r="B157" s="1" t="n">
        <v>44389</v>
      </c>
      <c r="C157" s="1" t="n">
        <v>46182</v>
      </c>
      <c r="D157" t="inlineStr">
        <is>
          <t>ÖREBRO LÄN</t>
        </is>
      </c>
      <c r="E157" t="inlineStr">
        <is>
          <t>LINDESBERG</t>
        </is>
      </c>
      <c r="G157" t="n">
        <v>5.9</v>
      </c>
      <c r="H157" t="n">
        <v>0</v>
      </c>
      <c r="I157" t="n">
        <v>0</v>
      </c>
      <c r="J157" t="n">
        <v>0</v>
      </c>
      <c r="K157" t="n">
        <v>0</v>
      </c>
      <c r="L157" t="n">
        <v>0</v>
      </c>
      <c r="M157" t="n">
        <v>0</v>
      </c>
      <c r="N157" t="n">
        <v>0</v>
      </c>
      <c r="O157" t="n">
        <v>0</v>
      </c>
      <c r="P157" t="n">
        <v>0</v>
      </c>
      <c r="Q157" t="n">
        <v>0</v>
      </c>
      <c r="R157" s="2" t="inlineStr"/>
    </row>
    <row r="158" ht="15" customHeight="1">
      <c r="A158" t="inlineStr">
        <is>
          <t>A 47044-2021</t>
        </is>
      </c>
      <c r="B158" s="1" t="n">
        <v>44446</v>
      </c>
      <c r="C158" s="1" t="n">
        <v>46182</v>
      </c>
      <c r="D158" t="inlineStr">
        <is>
          <t>ÖREBRO LÄN</t>
        </is>
      </c>
      <c r="E158" t="inlineStr">
        <is>
          <t>LINDESBERG</t>
        </is>
      </c>
      <c r="G158" t="n">
        <v>5</v>
      </c>
      <c r="H158" t="n">
        <v>0</v>
      </c>
      <c r="I158" t="n">
        <v>0</v>
      </c>
      <c r="J158" t="n">
        <v>0</v>
      </c>
      <c r="K158" t="n">
        <v>0</v>
      </c>
      <c r="L158" t="n">
        <v>0</v>
      </c>
      <c r="M158" t="n">
        <v>0</v>
      </c>
      <c r="N158" t="n">
        <v>0</v>
      </c>
      <c r="O158" t="n">
        <v>0</v>
      </c>
      <c r="P158" t="n">
        <v>0</v>
      </c>
      <c r="Q158" t="n">
        <v>0</v>
      </c>
      <c r="R158" s="2" t="inlineStr"/>
    </row>
    <row r="159" ht="15" customHeight="1">
      <c r="A159" t="inlineStr">
        <is>
          <t>A 56123-2022</t>
        </is>
      </c>
      <c r="B159" s="1" t="n">
        <v>44889.68100694445</v>
      </c>
      <c r="C159" s="1" t="n">
        <v>46182</v>
      </c>
      <c r="D159" t="inlineStr">
        <is>
          <t>ÖREBRO LÄN</t>
        </is>
      </c>
      <c r="E159" t="inlineStr">
        <is>
          <t>LINDESBERG</t>
        </is>
      </c>
      <c r="G159" t="n">
        <v>2.2</v>
      </c>
      <c r="H159" t="n">
        <v>0</v>
      </c>
      <c r="I159" t="n">
        <v>0</v>
      </c>
      <c r="J159" t="n">
        <v>0</v>
      </c>
      <c r="K159" t="n">
        <v>0</v>
      </c>
      <c r="L159" t="n">
        <v>0</v>
      </c>
      <c r="M159" t="n">
        <v>0</v>
      </c>
      <c r="N159" t="n">
        <v>0</v>
      </c>
      <c r="O159" t="n">
        <v>0</v>
      </c>
      <c r="P159" t="n">
        <v>0</v>
      </c>
      <c r="Q159" t="n">
        <v>0</v>
      </c>
      <c r="R159" s="2" t="inlineStr"/>
    </row>
    <row r="160" ht="15" customHeight="1">
      <c r="A160" t="inlineStr">
        <is>
          <t>A 6726-2022</t>
        </is>
      </c>
      <c r="B160" s="1" t="n">
        <v>44602</v>
      </c>
      <c r="C160" s="1" t="n">
        <v>46182</v>
      </c>
      <c r="D160" t="inlineStr">
        <is>
          <t>ÖREBRO LÄN</t>
        </is>
      </c>
      <c r="E160" t="inlineStr">
        <is>
          <t>LINDESBERG</t>
        </is>
      </c>
      <c r="G160" t="n">
        <v>1.5</v>
      </c>
      <c r="H160" t="n">
        <v>0</v>
      </c>
      <c r="I160" t="n">
        <v>0</v>
      </c>
      <c r="J160" t="n">
        <v>0</v>
      </c>
      <c r="K160" t="n">
        <v>0</v>
      </c>
      <c r="L160" t="n">
        <v>0</v>
      </c>
      <c r="M160" t="n">
        <v>0</v>
      </c>
      <c r="N160" t="n">
        <v>0</v>
      </c>
      <c r="O160" t="n">
        <v>0</v>
      </c>
      <c r="P160" t="n">
        <v>0</v>
      </c>
      <c r="Q160" t="n">
        <v>0</v>
      </c>
      <c r="R160" s="2" t="inlineStr"/>
    </row>
    <row r="161" ht="15" customHeight="1">
      <c r="A161" t="inlineStr">
        <is>
          <t>A 70475-2021</t>
        </is>
      </c>
      <c r="B161" s="1" t="n">
        <v>44536</v>
      </c>
      <c r="C161" s="1" t="n">
        <v>46182</v>
      </c>
      <c r="D161" t="inlineStr">
        <is>
          <t>ÖREBRO LÄN</t>
        </is>
      </c>
      <c r="E161" t="inlineStr">
        <is>
          <t>LINDESBERG</t>
        </is>
      </c>
      <c r="G161" t="n">
        <v>0.7</v>
      </c>
      <c r="H161" t="n">
        <v>0</v>
      </c>
      <c r="I161" t="n">
        <v>0</v>
      </c>
      <c r="J161" t="n">
        <v>0</v>
      </c>
      <c r="K161" t="n">
        <v>0</v>
      </c>
      <c r="L161" t="n">
        <v>0</v>
      </c>
      <c r="M161" t="n">
        <v>0</v>
      </c>
      <c r="N161" t="n">
        <v>0</v>
      </c>
      <c r="O161" t="n">
        <v>0</v>
      </c>
      <c r="P161" t="n">
        <v>0</v>
      </c>
      <c r="Q161" t="n">
        <v>0</v>
      </c>
      <c r="R161" s="2" t="inlineStr"/>
    </row>
    <row r="162" ht="15" customHeight="1">
      <c r="A162" t="inlineStr">
        <is>
          <t>A 36220-2021</t>
        </is>
      </c>
      <c r="B162" s="1" t="n">
        <v>44389</v>
      </c>
      <c r="C162" s="1" t="n">
        <v>46182</v>
      </c>
      <c r="D162" t="inlineStr">
        <is>
          <t>ÖREBRO LÄN</t>
        </is>
      </c>
      <c r="E162" t="inlineStr">
        <is>
          <t>LINDESBERG</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33084-2021</t>
        </is>
      </c>
      <c r="B163" s="1" t="n">
        <v>44376</v>
      </c>
      <c r="C163" s="1" t="n">
        <v>46182</v>
      </c>
      <c r="D163" t="inlineStr">
        <is>
          <t>ÖREBRO LÄN</t>
        </is>
      </c>
      <c r="E163" t="inlineStr">
        <is>
          <t>LINDESBERG</t>
        </is>
      </c>
      <c r="G163" t="n">
        <v>3.1</v>
      </c>
      <c r="H163" t="n">
        <v>0</v>
      </c>
      <c r="I163" t="n">
        <v>0</v>
      </c>
      <c r="J163" t="n">
        <v>0</v>
      </c>
      <c r="K163" t="n">
        <v>0</v>
      </c>
      <c r="L163" t="n">
        <v>0</v>
      </c>
      <c r="M163" t="n">
        <v>0</v>
      </c>
      <c r="N163" t="n">
        <v>0</v>
      </c>
      <c r="O163" t="n">
        <v>0</v>
      </c>
      <c r="P163" t="n">
        <v>0</v>
      </c>
      <c r="Q163" t="n">
        <v>0</v>
      </c>
      <c r="R163" s="2" t="inlineStr"/>
    </row>
    <row r="164" ht="15" customHeight="1">
      <c r="A164" t="inlineStr">
        <is>
          <t>A 59006-2021</t>
        </is>
      </c>
      <c r="B164" s="1" t="n">
        <v>44490</v>
      </c>
      <c r="C164" s="1" t="n">
        <v>46182</v>
      </c>
      <c r="D164" t="inlineStr">
        <is>
          <t>ÖREBRO LÄN</t>
        </is>
      </c>
      <c r="E164" t="inlineStr">
        <is>
          <t>LINDESBERG</t>
        </is>
      </c>
      <c r="G164" t="n">
        <v>5.6</v>
      </c>
      <c r="H164" t="n">
        <v>0</v>
      </c>
      <c r="I164" t="n">
        <v>0</v>
      </c>
      <c r="J164" t="n">
        <v>0</v>
      </c>
      <c r="K164" t="n">
        <v>0</v>
      </c>
      <c r="L164" t="n">
        <v>0</v>
      </c>
      <c r="M164" t="n">
        <v>0</v>
      </c>
      <c r="N164" t="n">
        <v>0</v>
      </c>
      <c r="O164" t="n">
        <v>0</v>
      </c>
      <c r="P164" t="n">
        <v>0</v>
      </c>
      <c r="Q164" t="n">
        <v>0</v>
      </c>
      <c r="R164" s="2" t="inlineStr"/>
    </row>
    <row r="165" ht="15" customHeight="1">
      <c r="A165" t="inlineStr">
        <is>
          <t>A 20238-2022</t>
        </is>
      </c>
      <c r="B165" s="1" t="n">
        <v>44698.62354166667</v>
      </c>
      <c r="C165" s="1" t="n">
        <v>46182</v>
      </c>
      <c r="D165" t="inlineStr">
        <is>
          <t>ÖREBRO LÄN</t>
        </is>
      </c>
      <c r="E165" t="inlineStr">
        <is>
          <t>LINDESBERG</t>
        </is>
      </c>
      <c r="F165" t="inlineStr">
        <is>
          <t>Naturvårdsverket</t>
        </is>
      </c>
      <c r="G165" t="n">
        <v>2.9</v>
      </c>
      <c r="H165" t="n">
        <v>0</v>
      </c>
      <c r="I165" t="n">
        <v>0</v>
      </c>
      <c r="J165" t="n">
        <v>0</v>
      </c>
      <c r="K165" t="n">
        <v>0</v>
      </c>
      <c r="L165" t="n">
        <v>0</v>
      </c>
      <c r="M165" t="n">
        <v>0</v>
      </c>
      <c r="N165" t="n">
        <v>0</v>
      </c>
      <c r="O165" t="n">
        <v>0</v>
      </c>
      <c r="P165" t="n">
        <v>0</v>
      </c>
      <c r="Q165" t="n">
        <v>0</v>
      </c>
      <c r="R165" s="2" t="inlineStr"/>
    </row>
    <row r="166" ht="15" customHeight="1">
      <c r="A166" t="inlineStr">
        <is>
          <t>A 32818-2022</t>
        </is>
      </c>
      <c r="B166" s="1" t="n">
        <v>44784.38697916667</v>
      </c>
      <c r="C166" s="1" t="n">
        <v>46182</v>
      </c>
      <c r="D166" t="inlineStr">
        <is>
          <t>ÖREBRO LÄN</t>
        </is>
      </c>
      <c r="E166" t="inlineStr">
        <is>
          <t>LINDESBERG</t>
        </is>
      </c>
      <c r="G166" t="n">
        <v>1.5</v>
      </c>
      <c r="H166" t="n">
        <v>0</v>
      </c>
      <c r="I166" t="n">
        <v>0</v>
      </c>
      <c r="J166" t="n">
        <v>0</v>
      </c>
      <c r="K166" t="n">
        <v>0</v>
      </c>
      <c r="L166" t="n">
        <v>0</v>
      </c>
      <c r="M166" t="n">
        <v>0</v>
      </c>
      <c r="N166" t="n">
        <v>0</v>
      </c>
      <c r="O166" t="n">
        <v>0</v>
      </c>
      <c r="P166" t="n">
        <v>0</v>
      </c>
      <c r="Q166" t="n">
        <v>0</v>
      </c>
      <c r="R166" s="2" t="inlineStr"/>
    </row>
    <row r="167" ht="15" customHeight="1">
      <c r="A167" t="inlineStr">
        <is>
          <t>A 7859-2022</t>
        </is>
      </c>
      <c r="B167" s="1" t="n">
        <v>44608</v>
      </c>
      <c r="C167" s="1" t="n">
        <v>46182</v>
      </c>
      <c r="D167" t="inlineStr">
        <is>
          <t>ÖREBRO LÄN</t>
        </is>
      </c>
      <c r="E167" t="inlineStr">
        <is>
          <t>LINDESBERG</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2406-2024</t>
        </is>
      </c>
      <c r="B168" s="1" t="n">
        <v>45310</v>
      </c>
      <c r="C168" s="1" t="n">
        <v>46182</v>
      </c>
      <c r="D168" t="inlineStr">
        <is>
          <t>ÖREBRO LÄN</t>
        </is>
      </c>
      <c r="E168" t="inlineStr">
        <is>
          <t>LINDESBERG</t>
        </is>
      </c>
      <c r="G168" t="n">
        <v>16.1</v>
      </c>
      <c r="H168" t="n">
        <v>0</v>
      </c>
      <c r="I168" t="n">
        <v>0</v>
      </c>
      <c r="J168" t="n">
        <v>0</v>
      </c>
      <c r="K168" t="n">
        <v>0</v>
      </c>
      <c r="L168" t="n">
        <v>0</v>
      </c>
      <c r="M168" t="n">
        <v>0</v>
      </c>
      <c r="N168" t="n">
        <v>0</v>
      </c>
      <c r="O168" t="n">
        <v>0</v>
      </c>
      <c r="P168" t="n">
        <v>0</v>
      </c>
      <c r="Q168" t="n">
        <v>0</v>
      </c>
      <c r="R168" s="2" t="inlineStr"/>
    </row>
    <row r="169" ht="15" customHeight="1">
      <c r="A169" t="inlineStr">
        <is>
          <t>A 13417-2025</t>
        </is>
      </c>
      <c r="B169" s="1" t="n">
        <v>45736.30940972222</v>
      </c>
      <c r="C169" s="1" t="n">
        <v>46182</v>
      </c>
      <c r="D169" t="inlineStr">
        <is>
          <t>ÖREBRO LÄN</t>
        </is>
      </c>
      <c r="E169" t="inlineStr">
        <is>
          <t>LINDESBERG</t>
        </is>
      </c>
      <c r="G169" t="n">
        <v>2.2</v>
      </c>
      <c r="H169" t="n">
        <v>0</v>
      </c>
      <c r="I169" t="n">
        <v>0</v>
      </c>
      <c r="J169" t="n">
        <v>0</v>
      </c>
      <c r="K169" t="n">
        <v>0</v>
      </c>
      <c r="L169" t="n">
        <v>0</v>
      </c>
      <c r="M169" t="n">
        <v>0</v>
      </c>
      <c r="N169" t="n">
        <v>0</v>
      </c>
      <c r="O169" t="n">
        <v>0</v>
      </c>
      <c r="P169" t="n">
        <v>0</v>
      </c>
      <c r="Q169" t="n">
        <v>0</v>
      </c>
      <c r="R169" s="2" t="inlineStr"/>
    </row>
    <row r="170" ht="15" customHeight="1">
      <c r="A170" t="inlineStr">
        <is>
          <t>A 35990-2021</t>
        </is>
      </c>
      <c r="B170" s="1" t="n">
        <v>44389</v>
      </c>
      <c r="C170" s="1" t="n">
        <v>46182</v>
      </c>
      <c r="D170" t="inlineStr">
        <is>
          <t>ÖREBRO LÄN</t>
        </is>
      </c>
      <c r="E170" t="inlineStr">
        <is>
          <t>LINDESBERG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71090-2021</t>
        </is>
      </c>
      <c r="B171" s="1" t="n">
        <v>44539.31923611111</v>
      </c>
      <c r="C171" s="1" t="n">
        <v>46182</v>
      </c>
      <c r="D171" t="inlineStr">
        <is>
          <t>ÖREBRO LÄN</t>
        </is>
      </c>
      <c r="E171" t="inlineStr">
        <is>
          <t>LINDESBERG</t>
        </is>
      </c>
      <c r="G171" t="n">
        <v>4.3</v>
      </c>
      <c r="H171" t="n">
        <v>0</v>
      </c>
      <c r="I171" t="n">
        <v>0</v>
      </c>
      <c r="J171" t="n">
        <v>0</v>
      </c>
      <c r="K171" t="n">
        <v>0</v>
      </c>
      <c r="L171" t="n">
        <v>0</v>
      </c>
      <c r="M171" t="n">
        <v>0</v>
      </c>
      <c r="N171" t="n">
        <v>0</v>
      </c>
      <c r="O171" t="n">
        <v>0</v>
      </c>
      <c r="P171" t="n">
        <v>0</v>
      </c>
      <c r="Q171" t="n">
        <v>0</v>
      </c>
      <c r="R171" s="2" t="inlineStr"/>
    </row>
    <row r="172" ht="15" customHeight="1">
      <c r="A172" t="inlineStr">
        <is>
          <t>A 71092-2021</t>
        </is>
      </c>
      <c r="B172" s="1" t="n">
        <v>44539</v>
      </c>
      <c r="C172" s="1" t="n">
        <v>46182</v>
      </c>
      <c r="D172" t="inlineStr">
        <is>
          <t>ÖREBRO LÄN</t>
        </is>
      </c>
      <c r="E172" t="inlineStr">
        <is>
          <t>LINDESBERG</t>
        </is>
      </c>
      <c r="G172" t="n">
        <v>0.8</v>
      </c>
      <c r="H172" t="n">
        <v>0</v>
      </c>
      <c r="I172" t="n">
        <v>0</v>
      </c>
      <c r="J172" t="n">
        <v>0</v>
      </c>
      <c r="K172" t="n">
        <v>0</v>
      </c>
      <c r="L172" t="n">
        <v>0</v>
      </c>
      <c r="M172" t="n">
        <v>0</v>
      </c>
      <c r="N172" t="n">
        <v>0</v>
      </c>
      <c r="O172" t="n">
        <v>0</v>
      </c>
      <c r="P172" t="n">
        <v>0</v>
      </c>
      <c r="Q172" t="n">
        <v>0</v>
      </c>
      <c r="R172" s="2" t="inlineStr"/>
    </row>
    <row r="173" ht="15" customHeight="1">
      <c r="A173" t="inlineStr">
        <is>
          <t>A 33282-2024</t>
        </is>
      </c>
      <c r="B173" s="1" t="n">
        <v>45518.71482638889</v>
      </c>
      <c r="C173" s="1" t="n">
        <v>46182</v>
      </c>
      <c r="D173" t="inlineStr">
        <is>
          <t>ÖREBRO LÄN</t>
        </is>
      </c>
      <c r="E173" t="inlineStr">
        <is>
          <t>LINDESBERG</t>
        </is>
      </c>
      <c r="G173" t="n">
        <v>7.5</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46182</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46182</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72698-2021</t>
        </is>
      </c>
      <c r="B176" s="1" t="n">
        <v>44546.6679050926</v>
      </c>
      <c r="C176" s="1" t="n">
        <v>46182</v>
      </c>
      <c r="D176" t="inlineStr">
        <is>
          <t>ÖREBRO LÄN</t>
        </is>
      </c>
      <c r="E176" t="inlineStr">
        <is>
          <t>LINDESBERG</t>
        </is>
      </c>
      <c r="G176" t="n">
        <v>1.6</v>
      </c>
      <c r="H176" t="n">
        <v>0</v>
      </c>
      <c r="I176" t="n">
        <v>0</v>
      </c>
      <c r="J176" t="n">
        <v>0</v>
      </c>
      <c r="K176" t="n">
        <v>0</v>
      </c>
      <c r="L176" t="n">
        <v>0</v>
      </c>
      <c r="M176" t="n">
        <v>0</v>
      </c>
      <c r="N176" t="n">
        <v>0</v>
      </c>
      <c r="O176" t="n">
        <v>0</v>
      </c>
      <c r="P176" t="n">
        <v>0</v>
      </c>
      <c r="Q176" t="n">
        <v>0</v>
      </c>
      <c r="R176" s="2" t="inlineStr"/>
    </row>
    <row r="177" ht="15" customHeight="1">
      <c r="A177" t="inlineStr">
        <is>
          <t>A 19110-2025</t>
        </is>
      </c>
      <c r="B177" s="1" t="n">
        <v>45768.49947916667</v>
      </c>
      <c r="C177" s="1" t="n">
        <v>46182</v>
      </c>
      <c r="D177" t="inlineStr">
        <is>
          <t>ÖREBRO LÄN</t>
        </is>
      </c>
      <c r="E177" t="inlineStr">
        <is>
          <t>LINDESBERG</t>
        </is>
      </c>
      <c r="G177" t="n">
        <v>2.6</v>
      </c>
      <c r="H177" t="n">
        <v>0</v>
      </c>
      <c r="I177" t="n">
        <v>0</v>
      </c>
      <c r="J177" t="n">
        <v>0</v>
      </c>
      <c r="K177" t="n">
        <v>0</v>
      </c>
      <c r="L177" t="n">
        <v>0</v>
      </c>
      <c r="M177" t="n">
        <v>0</v>
      </c>
      <c r="N177" t="n">
        <v>0</v>
      </c>
      <c r="O177" t="n">
        <v>0</v>
      </c>
      <c r="P177" t="n">
        <v>0</v>
      </c>
      <c r="Q177" t="n">
        <v>0</v>
      </c>
      <c r="R177" s="2" t="inlineStr"/>
    </row>
    <row r="178" ht="15" customHeight="1">
      <c r="A178" t="inlineStr">
        <is>
          <t>A 48365-2021</t>
        </is>
      </c>
      <c r="B178" s="1" t="n">
        <v>44451.78710648148</v>
      </c>
      <c r="C178" s="1" t="n">
        <v>46182</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46678-2023</t>
        </is>
      </c>
      <c r="B179" s="1" t="n">
        <v>45194</v>
      </c>
      <c r="C179" s="1" t="n">
        <v>46182</v>
      </c>
      <c r="D179" t="inlineStr">
        <is>
          <t>ÖREBRO LÄN</t>
        </is>
      </c>
      <c r="E179" t="inlineStr">
        <is>
          <t>LINDESBERG</t>
        </is>
      </c>
      <c r="G179" t="n">
        <v>1.4</v>
      </c>
      <c r="H179" t="n">
        <v>0</v>
      </c>
      <c r="I179" t="n">
        <v>0</v>
      </c>
      <c r="J179" t="n">
        <v>0</v>
      </c>
      <c r="K179" t="n">
        <v>0</v>
      </c>
      <c r="L179" t="n">
        <v>0</v>
      </c>
      <c r="M179" t="n">
        <v>0</v>
      </c>
      <c r="N179" t="n">
        <v>0</v>
      </c>
      <c r="O179" t="n">
        <v>0</v>
      </c>
      <c r="P179" t="n">
        <v>0</v>
      </c>
      <c r="Q179" t="n">
        <v>0</v>
      </c>
      <c r="R179" s="2" t="inlineStr"/>
    </row>
    <row r="180" ht="15" customHeight="1">
      <c r="A180" t="inlineStr">
        <is>
          <t>A 23579-2022</t>
        </is>
      </c>
      <c r="B180" s="1" t="n">
        <v>44721.52627314815</v>
      </c>
      <c r="C180" s="1" t="n">
        <v>46182</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53054-2022</t>
        </is>
      </c>
      <c r="B181" s="1" t="n">
        <v>44876.35706018518</v>
      </c>
      <c r="C181" s="1" t="n">
        <v>46182</v>
      </c>
      <c r="D181" t="inlineStr">
        <is>
          <t>ÖREBRO LÄN</t>
        </is>
      </c>
      <c r="E181" t="inlineStr">
        <is>
          <t>LINDESBERG</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35230-2024</t>
        </is>
      </c>
      <c r="B182" s="1" t="n">
        <v>45530</v>
      </c>
      <c r="C182" s="1" t="n">
        <v>46182</v>
      </c>
      <c r="D182" t="inlineStr">
        <is>
          <t>ÖREBRO LÄN</t>
        </is>
      </c>
      <c r="E182" t="inlineStr">
        <is>
          <t>LINDESBERG</t>
        </is>
      </c>
      <c r="G182" t="n">
        <v>1.7</v>
      </c>
      <c r="H182" t="n">
        <v>0</v>
      </c>
      <c r="I182" t="n">
        <v>0</v>
      </c>
      <c r="J182" t="n">
        <v>0</v>
      </c>
      <c r="K182" t="n">
        <v>0</v>
      </c>
      <c r="L182" t="n">
        <v>0</v>
      </c>
      <c r="M182" t="n">
        <v>0</v>
      </c>
      <c r="N182" t="n">
        <v>0</v>
      </c>
      <c r="O182" t="n">
        <v>0</v>
      </c>
      <c r="P182" t="n">
        <v>0</v>
      </c>
      <c r="Q182" t="n">
        <v>0</v>
      </c>
      <c r="R182" s="2" t="inlineStr"/>
    </row>
    <row r="183" ht="15" customHeight="1">
      <c r="A183" t="inlineStr">
        <is>
          <t>A 65194-2023</t>
        </is>
      </c>
      <c r="B183" s="1" t="n">
        <v>45289</v>
      </c>
      <c r="C183" s="1" t="n">
        <v>46182</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20467-2023</t>
        </is>
      </c>
      <c r="B184" s="1" t="n">
        <v>45057</v>
      </c>
      <c r="C184" s="1" t="n">
        <v>46182</v>
      </c>
      <c r="D184" t="inlineStr">
        <is>
          <t>ÖREBRO LÄN</t>
        </is>
      </c>
      <c r="E184" t="inlineStr">
        <is>
          <t>LINDESBERG</t>
        </is>
      </c>
      <c r="G184" t="n">
        <v>2.1</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46182</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46182</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69208-2021</t>
        </is>
      </c>
      <c r="B187" s="1" t="n">
        <v>44531.3575</v>
      </c>
      <c r="C187" s="1" t="n">
        <v>46182</v>
      </c>
      <c r="D187" t="inlineStr">
        <is>
          <t>ÖREBRO LÄN</t>
        </is>
      </c>
      <c r="E187" t="inlineStr">
        <is>
          <t>LINDESBERG</t>
        </is>
      </c>
      <c r="G187" t="n">
        <v>2</v>
      </c>
      <c r="H187" t="n">
        <v>0</v>
      </c>
      <c r="I187" t="n">
        <v>0</v>
      </c>
      <c r="J187" t="n">
        <v>0</v>
      </c>
      <c r="K187" t="n">
        <v>0</v>
      </c>
      <c r="L187" t="n">
        <v>0</v>
      </c>
      <c r="M187" t="n">
        <v>0</v>
      </c>
      <c r="N187" t="n">
        <v>0</v>
      </c>
      <c r="O187" t="n">
        <v>0</v>
      </c>
      <c r="P187" t="n">
        <v>0</v>
      </c>
      <c r="Q187" t="n">
        <v>0</v>
      </c>
      <c r="R187" s="2" t="inlineStr"/>
    </row>
    <row r="188" ht="15" customHeight="1">
      <c r="A188" t="inlineStr">
        <is>
          <t>A 35140-2023</t>
        </is>
      </c>
      <c r="B188" s="1" t="n">
        <v>45145</v>
      </c>
      <c r="C188" s="1" t="n">
        <v>46182</v>
      </c>
      <c r="D188" t="inlineStr">
        <is>
          <t>ÖREBRO LÄN</t>
        </is>
      </c>
      <c r="E188" t="inlineStr">
        <is>
          <t>LINDESBERG</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46182</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46182</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13943-2022</t>
        </is>
      </c>
      <c r="B191" s="1" t="n">
        <v>44650.47945601852</v>
      </c>
      <c r="C191" s="1" t="n">
        <v>46182</v>
      </c>
      <c r="D191" t="inlineStr">
        <is>
          <t>ÖREBRO LÄN</t>
        </is>
      </c>
      <c r="E191" t="inlineStr">
        <is>
          <t>LINDESBERG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56260-2021</t>
        </is>
      </c>
      <c r="B192" s="1" t="n">
        <v>44479.58512731481</v>
      </c>
      <c r="C192" s="1" t="n">
        <v>46182</v>
      </c>
      <c r="D192" t="inlineStr">
        <is>
          <t>ÖREBRO LÄN</t>
        </is>
      </c>
      <c r="E192" t="inlineStr">
        <is>
          <t>LINDESBERG</t>
        </is>
      </c>
      <c r="G192" t="n">
        <v>1.4</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46182</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38762-2021</t>
        </is>
      </c>
      <c r="B194" s="1" t="n">
        <v>44410.61837962963</v>
      </c>
      <c r="C194" s="1" t="n">
        <v>46182</v>
      </c>
      <c r="D194" t="inlineStr">
        <is>
          <t>ÖREBRO LÄN</t>
        </is>
      </c>
      <c r="E194" t="inlineStr">
        <is>
          <t>LINDESBERG</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9751-2022</t>
        </is>
      </c>
      <c r="B195" s="1" t="n">
        <v>44618</v>
      </c>
      <c r="C195" s="1" t="n">
        <v>46182</v>
      </c>
      <c r="D195" t="inlineStr">
        <is>
          <t>ÖREBRO LÄN</t>
        </is>
      </c>
      <c r="E195" t="inlineStr">
        <is>
          <t>LINDESBERG</t>
        </is>
      </c>
      <c r="G195" t="n">
        <v>13.9</v>
      </c>
      <c r="H195" t="n">
        <v>0</v>
      </c>
      <c r="I195" t="n">
        <v>0</v>
      </c>
      <c r="J195" t="n">
        <v>0</v>
      </c>
      <c r="K195" t="n">
        <v>0</v>
      </c>
      <c r="L195" t="n">
        <v>0</v>
      </c>
      <c r="M195" t="n">
        <v>0</v>
      </c>
      <c r="N195" t="n">
        <v>0</v>
      </c>
      <c r="O195" t="n">
        <v>0</v>
      </c>
      <c r="P195" t="n">
        <v>0</v>
      </c>
      <c r="Q195" t="n">
        <v>0</v>
      </c>
      <c r="R195" s="2" t="inlineStr"/>
    </row>
    <row r="196" ht="15" customHeight="1">
      <c r="A196" t="inlineStr">
        <is>
          <t>A 6962-2023</t>
        </is>
      </c>
      <c r="B196" s="1" t="n">
        <v>44967.60165509259</v>
      </c>
      <c r="C196" s="1" t="n">
        <v>46182</v>
      </c>
      <c r="D196" t="inlineStr">
        <is>
          <t>ÖREBRO LÄN</t>
        </is>
      </c>
      <c r="E196" t="inlineStr">
        <is>
          <t>LINDESBERG</t>
        </is>
      </c>
      <c r="G196" t="n">
        <v>11.4</v>
      </c>
      <c r="H196" t="n">
        <v>0</v>
      </c>
      <c r="I196" t="n">
        <v>0</v>
      </c>
      <c r="J196" t="n">
        <v>0</v>
      </c>
      <c r="K196" t="n">
        <v>0</v>
      </c>
      <c r="L196" t="n">
        <v>0</v>
      </c>
      <c r="M196" t="n">
        <v>0</v>
      </c>
      <c r="N196" t="n">
        <v>0</v>
      </c>
      <c r="O196" t="n">
        <v>0</v>
      </c>
      <c r="P196" t="n">
        <v>0</v>
      </c>
      <c r="Q196" t="n">
        <v>0</v>
      </c>
      <c r="R196" s="2" t="inlineStr"/>
    </row>
    <row r="197" ht="15" customHeight="1">
      <c r="A197" t="inlineStr">
        <is>
          <t>A 36015-2021</t>
        </is>
      </c>
      <c r="B197" s="1" t="n">
        <v>44389</v>
      </c>
      <c r="C197" s="1" t="n">
        <v>46182</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39419-2023</t>
        </is>
      </c>
      <c r="B198" s="1" t="n">
        <v>45166.68493055556</v>
      </c>
      <c r="C198" s="1" t="n">
        <v>46182</v>
      </c>
      <c r="D198" t="inlineStr">
        <is>
          <t>ÖREBRO LÄN</t>
        </is>
      </c>
      <c r="E198" t="inlineStr">
        <is>
          <t>LINDESBERG</t>
        </is>
      </c>
      <c r="F198" t="inlineStr">
        <is>
          <t>Sveaskog</t>
        </is>
      </c>
      <c r="G198" t="n">
        <v>0.4</v>
      </c>
      <c r="H198" t="n">
        <v>0</v>
      </c>
      <c r="I198" t="n">
        <v>0</v>
      </c>
      <c r="J198" t="n">
        <v>0</v>
      </c>
      <c r="K198" t="n">
        <v>0</v>
      </c>
      <c r="L198" t="n">
        <v>0</v>
      </c>
      <c r="M198" t="n">
        <v>0</v>
      </c>
      <c r="N198" t="n">
        <v>0</v>
      </c>
      <c r="O198" t="n">
        <v>0</v>
      </c>
      <c r="P198" t="n">
        <v>0</v>
      </c>
      <c r="Q198" t="n">
        <v>0</v>
      </c>
      <c r="R198" s="2" t="inlineStr"/>
    </row>
    <row r="199" ht="15" customHeight="1">
      <c r="A199" t="inlineStr">
        <is>
          <t>A 46603-2021</t>
        </is>
      </c>
      <c r="B199" s="1" t="n">
        <v>44445</v>
      </c>
      <c r="C199" s="1" t="n">
        <v>46182</v>
      </c>
      <c r="D199" t="inlineStr">
        <is>
          <t>ÖREBRO LÄN</t>
        </is>
      </c>
      <c r="E199" t="inlineStr">
        <is>
          <t>LINDESBERG</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20954-2024</t>
        </is>
      </c>
      <c r="B200" s="1" t="n">
        <v>45439.56605324074</v>
      </c>
      <c r="C200" s="1" t="n">
        <v>46182</v>
      </c>
      <c r="D200" t="inlineStr">
        <is>
          <t>ÖREBRO LÄN</t>
        </is>
      </c>
      <c r="E200" t="inlineStr">
        <is>
          <t>LINDESBERG</t>
        </is>
      </c>
      <c r="G200" t="n">
        <v>0.9</v>
      </c>
      <c r="H200" t="n">
        <v>0</v>
      </c>
      <c r="I200" t="n">
        <v>0</v>
      </c>
      <c r="J200" t="n">
        <v>0</v>
      </c>
      <c r="K200" t="n">
        <v>0</v>
      </c>
      <c r="L200" t="n">
        <v>0</v>
      </c>
      <c r="M200" t="n">
        <v>0</v>
      </c>
      <c r="N200" t="n">
        <v>0</v>
      </c>
      <c r="O200" t="n">
        <v>0</v>
      </c>
      <c r="P200" t="n">
        <v>0</v>
      </c>
      <c r="Q200" t="n">
        <v>0</v>
      </c>
      <c r="R200" s="2" t="inlineStr"/>
    </row>
    <row r="201" ht="15" customHeight="1">
      <c r="A201" t="inlineStr">
        <is>
          <t>A 12073-2022</t>
        </is>
      </c>
      <c r="B201" s="1" t="n">
        <v>44636.46935185185</v>
      </c>
      <c r="C201" s="1" t="n">
        <v>46182</v>
      </c>
      <c r="D201" t="inlineStr">
        <is>
          <t>ÖREBRO LÄN</t>
        </is>
      </c>
      <c r="E201" t="inlineStr">
        <is>
          <t>LINDESBERG</t>
        </is>
      </c>
      <c r="G201" t="n">
        <v>2.3</v>
      </c>
      <c r="H201" t="n">
        <v>0</v>
      </c>
      <c r="I201" t="n">
        <v>0</v>
      </c>
      <c r="J201" t="n">
        <v>0</v>
      </c>
      <c r="K201" t="n">
        <v>0</v>
      </c>
      <c r="L201" t="n">
        <v>0</v>
      </c>
      <c r="M201" t="n">
        <v>0</v>
      </c>
      <c r="N201" t="n">
        <v>0</v>
      </c>
      <c r="O201" t="n">
        <v>0</v>
      </c>
      <c r="P201" t="n">
        <v>0</v>
      </c>
      <c r="Q201" t="n">
        <v>0</v>
      </c>
      <c r="R201" s="2" t="inlineStr"/>
    </row>
    <row r="202" ht="15" customHeight="1">
      <c r="A202" t="inlineStr">
        <is>
          <t>A 30767-2023</t>
        </is>
      </c>
      <c r="B202" s="1" t="n">
        <v>45112.67952546296</v>
      </c>
      <c r="C202" s="1" t="n">
        <v>46182</v>
      </c>
      <c r="D202" t="inlineStr">
        <is>
          <t>ÖREBRO LÄN</t>
        </is>
      </c>
      <c r="E202" t="inlineStr">
        <is>
          <t>LINDESBERG</t>
        </is>
      </c>
      <c r="G202" t="n">
        <v>3.9</v>
      </c>
      <c r="H202" t="n">
        <v>0</v>
      </c>
      <c r="I202" t="n">
        <v>0</v>
      </c>
      <c r="J202" t="n">
        <v>0</v>
      </c>
      <c r="K202" t="n">
        <v>0</v>
      </c>
      <c r="L202" t="n">
        <v>0</v>
      </c>
      <c r="M202" t="n">
        <v>0</v>
      </c>
      <c r="N202" t="n">
        <v>0</v>
      </c>
      <c r="O202" t="n">
        <v>0</v>
      </c>
      <c r="P202" t="n">
        <v>0</v>
      </c>
      <c r="Q202" t="n">
        <v>0</v>
      </c>
      <c r="R202" s="2" t="inlineStr"/>
    </row>
    <row r="203" ht="15" customHeight="1">
      <c r="A203" t="inlineStr">
        <is>
          <t>A 35222-2021</t>
        </is>
      </c>
      <c r="B203" s="1" t="n">
        <v>44384.56912037037</v>
      </c>
      <c r="C203" s="1" t="n">
        <v>46182</v>
      </c>
      <c r="D203" t="inlineStr">
        <is>
          <t>ÖREBRO LÄN</t>
        </is>
      </c>
      <c r="E203" t="inlineStr">
        <is>
          <t>LINDESBERG</t>
        </is>
      </c>
      <c r="G203" t="n">
        <v>10.5</v>
      </c>
      <c r="H203" t="n">
        <v>0</v>
      </c>
      <c r="I203" t="n">
        <v>0</v>
      </c>
      <c r="J203" t="n">
        <v>0</v>
      </c>
      <c r="K203" t="n">
        <v>0</v>
      </c>
      <c r="L203" t="n">
        <v>0</v>
      </c>
      <c r="M203" t="n">
        <v>0</v>
      </c>
      <c r="N203" t="n">
        <v>0</v>
      </c>
      <c r="O203" t="n">
        <v>0</v>
      </c>
      <c r="P203" t="n">
        <v>0</v>
      </c>
      <c r="Q203" t="n">
        <v>0</v>
      </c>
      <c r="R203" s="2" t="inlineStr"/>
    </row>
    <row r="204" ht="15" customHeight="1">
      <c r="A204" t="inlineStr">
        <is>
          <t>A 6470-2024</t>
        </is>
      </c>
      <c r="B204" s="1" t="n">
        <v>45338</v>
      </c>
      <c r="C204" s="1" t="n">
        <v>46182</v>
      </c>
      <c r="D204" t="inlineStr">
        <is>
          <t>ÖREBRO LÄN</t>
        </is>
      </c>
      <c r="E204" t="inlineStr">
        <is>
          <t>LINDESBERG</t>
        </is>
      </c>
      <c r="G204" t="n">
        <v>1.2</v>
      </c>
      <c r="H204" t="n">
        <v>0</v>
      </c>
      <c r="I204" t="n">
        <v>0</v>
      </c>
      <c r="J204" t="n">
        <v>0</v>
      </c>
      <c r="K204" t="n">
        <v>0</v>
      </c>
      <c r="L204" t="n">
        <v>0</v>
      </c>
      <c r="M204" t="n">
        <v>0</v>
      </c>
      <c r="N204" t="n">
        <v>0</v>
      </c>
      <c r="O204" t="n">
        <v>0</v>
      </c>
      <c r="P204" t="n">
        <v>0</v>
      </c>
      <c r="Q204" t="n">
        <v>0</v>
      </c>
      <c r="R204" s="2" t="inlineStr"/>
    </row>
    <row r="205" ht="15" customHeight="1">
      <c r="A205" t="inlineStr">
        <is>
          <t>A 48939-2021</t>
        </is>
      </c>
      <c r="B205" s="1" t="n">
        <v>44453</v>
      </c>
      <c r="C205" s="1" t="n">
        <v>46182</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45978-2021</t>
        </is>
      </c>
      <c r="B206" s="1" t="n">
        <v>44441.70047453704</v>
      </c>
      <c r="C206" s="1" t="n">
        <v>46182</v>
      </c>
      <c r="D206" t="inlineStr">
        <is>
          <t>ÖREBRO LÄN</t>
        </is>
      </c>
      <c r="E206" t="inlineStr">
        <is>
          <t>LINDESBERG</t>
        </is>
      </c>
      <c r="G206" t="n">
        <v>4.4</v>
      </c>
      <c r="H206" t="n">
        <v>0</v>
      </c>
      <c r="I206" t="n">
        <v>0</v>
      </c>
      <c r="J206" t="n">
        <v>0</v>
      </c>
      <c r="K206" t="n">
        <v>0</v>
      </c>
      <c r="L206" t="n">
        <v>0</v>
      </c>
      <c r="M206" t="n">
        <v>0</v>
      </c>
      <c r="N206" t="n">
        <v>0</v>
      </c>
      <c r="O206" t="n">
        <v>0</v>
      </c>
      <c r="P206" t="n">
        <v>0</v>
      </c>
      <c r="Q206" t="n">
        <v>0</v>
      </c>
      <c r="R206" s="2" t="inlineStr"/>
    </row>
    <row r="207" ht="15" customHeight="1">
      <c r="A207" t="inlineStr">
        <is>
          <t>A 70500-2021</t>
        </is>
      </c>
      <c r="B207" s="1" t="n">
        <v>44536</v>
      </c>
      <c r="C207" s="1" t="n">
        <v>46182</v>
      </c>
      <c r="D207" t="inlineStr">
        <is>
          <t>ÖREBRO LÄN</t>
        </is>
      </c>
      <c r="E207" t="inlineStr">
        <is>
          <t>LINDESBERG</t>
        </is>
      </c>
      <c r="G207" t="n">
        <v>1.8</v>
      </c>
      <c r="H207" t="n">
        <v>0</v>
      </c>
      <c r="I207" t="n">
        <v>0</v>
      </c>
      <c r="J207" t="n">
        <v>0</v>
      </c>
      <c r="K207" t="n">
        <v>0</v>
      </c>
      <c r="L207" t="n">
        <v>0</v>
      </c>
      <c r="M207" t="n">
        <v>0</v>
      </c>
      <c r="N207" t="n">
        <v>0</v>
      </c>
      <c r="O207" t="n">
        <v>0</v>
      </c>
      <c r="P207" t="n">
        <v>0</v>
      </c>
      <c r="Q207" t="n">
        <v>0</v>
      </c>
      <c r="R207" s="2" t="inlineStr"/>
    </row>
    <row r="208" ht="15" customHeight="1">
      <c r="A208" t="inlineStr">
        <is>
          <t>A 40692-2021</t>
        </is>
      </c>
      <c r="B208" s="1" t="n">
        <v>44420.60616898148</v>
      </c>
      <c r="C208" s="1" t="n">
        <v>46182</v>
      </c>
      <c r="D208" t="inlineStr">
        <is>
          <t>ÖREBRO LÄN</t>
        </is>
      </c>
      <c r="E208" t="inlineStr">
        <is>
          <t>LINDESBERG</t>
        </is>
      </c>
      <c r="G208" t="n">
        <v>0.6</v>
      </c>
      <c r="H208" t="n">
        <v>0</v>
      </c>
      <c r="I208" t="n">
        <v>0</v>
      </c>
      <c r="J208" t="n">
        <v>0</v>
      </c>
      <c r="K208" t="n">
        <v>0</v>
      </c>
      <c r="L208" t="n">
        <v>0</v>
      </c>
      <c r="M208" t="n">
        <v>0</v>
      </c>
      <c r="N208" t="n">
        <v>0</v>
      </c>
      <c r="O208" t="n">
        <v>0</v>
      </c>
      <c r="P208" t="n">
        <v>0</v>
      </c>
      <c r="Q208" t="n">
        <v>0</v>
      </c>
      <c r="R208" s="2" t="inlineStr"/>
    </row>
    <row r="209" ht="15" customHeight="1">
      <c r="A209" t="inlineStr">
        <is>
          <t>A 29857-2023</t>
        </is>
      </c>
      <c r="B209" s="1" t="n">
        <v>45107</v>
      </c>
      <c r="C209" s="1" t="n">
        <v>46182</v>
      </c>
      <c r="D209" t="inlineStr">
        <is>
          <t>ÖREBRO LÄN</t>
        </is>
      </c>
      <c r="E209" t="inlineStr">
        <is>
          <t>LINDESBERG</t>
        </is>
      </c>
      <c r="G209" t="n">
        <v>0.6</v>
      </c>
      <c r="H209" t="n">
        <v>0</v>
      </c>
      <c r="I209" t="n">
        <v>0</v>
      </c>
      <c r="J209" t="n">
        <v>0</v>
      </c>
      <c r="K209" t="n">
        <v>0</v>
      </c>
      <c r="L209" t="n">
        <v>0</v>
      </c>
      <c r="M209" t="n">
        <v>0</v>
      </c>
      <c r="N209" t="n">
        <v>0</v>
      </c>
      <c r="O209" t="n">
        <v>0</v>
      </c>
      <c r="P209" t="n">
        <v>0</v>
      </c>
      <c r="Q209" t="n">
        <v>0</v>
      </c>
      <c r="R209" s="2" t="inlineStr"/>
    </row>
    <row r="210" ht="15" customHeight="1">
      <c r="A210" t="inlineStr">
        <is>
          <t>A 33707-2021</t>
        </is>
      </c>
      <c r="B210" s="1" t="n">
        <v>44378.46403935185</v>
      </c>
      <c r="C210" s="1" t="n">
        <v>46182</v>
      </c>
      <c r="D210" t="inlineStr">
        <is>
          <t>ÖREBRO LÄN</t>
        </is>
      </c>
      <c r="E210" t="inlineStr">
        <is>
          <t>LINDESBERG</t>
        </is>
      </c>
      <c r="G210" t="n">
        <v>2</v>
      </c>
      <c r="H210" t="n">
        <v>0</v>
      </c>
      <c r="I210" t="n">
        <v>0</v>
      </c>
      <c r="J210" t="n">
        <v>0</v>
      </c>
      <c r="K210" t="n">
        <v>0</v>
      </c>
      <c r="L210" t="n">
        <v>0</v>
      </c>
      <c r="M210" t="n">
        <v>0</v>
      </c>
      <c r="N210" t="n">
        <v>0</v>
      </c>
      <c r="O210" t="n">
        <v>0</v>
      </c>
      <c r="P210" t="n">
        <v>0</v>
      </c>
      <c r="Q210" t="n">
        <v>0</v>
      </c>
      <c r="R210" s="2" t="inlineStr"/>
    </row>
    <row r="211" ht="15" customHeight="1">
      <c r="A211" t="inlineStr">
        <is>
          <t>A 49055-2022</t>
        </is>
      </c>
      <c r="B211" s="1" t="n">
        <v>44860</v>
      </c>
      <c r="C211" s="1" t="n">
        <v>46182</v>
      </c>
      <c r="D211" t="inlineStr">
        <is>
          <t>ÖREBRO LÄN</t>
        </is>
      </c>
      <c r="E211" t="inlineStr">
        <is>
          <t>LINDESBERG</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11218-2025</t>
        </is>
      </c>
      <c r="B212" s="1" t="n">
        <v>45726.33763888889</v>
      </c>
      <c r="C212" s="1" t="n">
        <v>46182</v>
      </c>
      <c r="D212" t="inlineStr">
        <is>
          <t>ÖREBRO LÄN</t>
        </is>
      </c>
      <c r="E212" t="inlineStr">
        <is>
          <t>LINDESBERG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11220-2025</t>
        </is>
      </c>
      <c r="B213" s="1" t="n">
        <v>45726.34090277777</v>
      </c>
      <c r="C213" s="1" t="n">
        <v>46182</v>
      </c>
      <c r="D213" t="inlineStr">
        <is>
          <t>ÖREBRO LÄN</t>
        </is>
      </c>
      <c r="E213" t="inlineStr">
        <is>
          <t>LINDESBERG</t>
        </is>
      </c>
      <c r="G213" t="n">
        <v>1</v>
      </c>
      <c r="H213" t="n">
        <v>0</v>
      </c>
      <c r="I213" t="n">
        <v>0</v>
      </c>
      <c r="J213" t="n">
        <v>0</v>
      </c>
      <c r="K213" t="n">
        <v>0</v>
      </c>
      <c r="L213" t="n">
        <v>0</v>
      </c>
      <c r="M213" t="n">
        <v>0</v>
      </c>
      <c r="N213" t="n">
        <v>0</v>
      </c>
      <c r="O213" t="n">
        <v>0</v>
      </c>
      <c r="P213" t="n">
        <v>0</v>
      </c>
      <c r="Q213" t="n">
        <v>0</v>
      </c>
      <c r="R213" s="2" t="inlineStr"/>
    </row>
    <row r="214" ht="15" customHeight="1">
      <c r="A214" t="inlineStr">
        <is>
          <t>A 37616-2023</t>
        </is>
      </c>
      <c r="B214" s="1" t="n">
        <v>45159.44525462963</v>
      </c>
      <c r="C214" s="1" t="n">
        <v>46182</v>
      </c>
      <c r="D214" t="inlineStr">
        <is>
          <t>ÖREBRO LÄN</t>
        </is>
      </c>
      <c r="E214" t="inlineStr">
        <is>
          <t>LINDESBERG</t>
        </is>
      </c>
      <c r="G214" t="n">
        <v>5.3</v>
      </c>
      <c r="H214" t="n">
        <v>0</v>
      </c>
      <c r="I214" t="n">
        <v>0</v>
      </c>
      <c r="J214" t="n">
        <v>0</v>
      </c>
      <c r="K214" t="n">
        <v>0</v>
      </c>
      <c r="L214" t="n">
        <v>0</v>
      </c>
      <c r="M214" t="n">
        <v>0</v>
      </c>
      <c r="N214" t="n">
        <v>0</v>
      </c>
      <c r="O214" t="n">
        <v>0</v>
      </c>
      <c r="P214" t="n">
        <v>0</v>
      </c>
      <c r="Q214" t="n">
        <v>0</v>
      </c>
      <c r="R214" s="2" t="inlineStr"/>
    </row>
    <row r="215" ht="15" customHeight="1">
      <c r="A215" t="inlineStr">
        <is>
          <t>A 35739-2024</t>
        </is>
      </c>
      <c r="B215" s="1" t="n">
        <v>45532</v>
      </c>
      <c r="C215" s="1" t="n">
        <v>46182</v>
      </c>
      <c r="D215" t="inlineStr">
        <is>
          <t>ÖREBRO LÄN</t>
        </is>
      </c>
      <c r="E215" t="inlineStr">
        <is>
          <t>LINDESBERG</t>
        </is>
      </c>
      <c r="G215" t="n">
        <v>0.6</v>
      </c>
      <c r="H215" t="n">
        <v>0</v>
      </c>
      <c r="I215" t="n">
        <v>0</v>
      </c>
      <c r="J215" t="n">
        <v>0</v>
      </c>
      <c r="K215" t="n">
        <v>0</v>
      </c>
      <c r="L215" t="n">
        <v>0</v>
      </c>
      <c r="M215" t="n">
        <v>0</v>
      </c>
      <c r="N215" t="n">
        <v>0</v>
      </c>
      <c r="O215" t="n">
        <v>0</v>
      </c>
      <c r="P215" t="n">
        <v>0</v>
      </c>
      <c r="Q215" t="n">
        <v>0</v>
      </c>
      <c r="R215" s="2" t="inlineStr"/>
    </row>
    <row r="216" ht="15" customHeight="1">
      <c r="A216" t="inlineStr">
        <is>
          <t>A 8213-2023</t>
        </is>
      </c>
      <c r="B216" s="1" t="n">
        <v>44974.55693287037</v>
      </c>
      <c r="C216" s="1" t="n">
        <v>46182</v>
      </c>
      <c r="D216" t="inlineStr">
        <is>
          <t>ÖREBRO LÄN</t>
        </is>
      </c>
      <c r="E216" t="inlineStr">
        <is>
          <t>LINDESBERG</t>
        </is>
      </c>
      <c r="G216" t="n">
        <v>0.7</v>
      </c>
      <c r="H216" t="n">
        <v>0</v>
      </c>
      <c r="I216" t="n">
        <v>0</v>
      </c>
      <c r="J216" t="n">
        <v>0</v>
      </c>
      <c r="K216" t="n">
        <v>0</v>
      </c>
      <c r="L216" t="n">
        <v>0</v>
      </c>
      <c r="M216" t="n">
        <v>0</v>
      </c>
      <c r="N216" t="n">
        <v>0</v>
      </c>
      <c r="O216" t="n">
        <v>0</v>
      </c>
      <c r="P216" t="n">
        <v>0</v>
      </c>
      <c r="Q216" t="n">
        <v>0</v>
      </c>
      <c r="R216" s="2" t="inlineStr"/>
    </row>
    <row r="217" ht="15" customHeight="1">
      <c r="A217" t="inlineStr">
        <is>
          <t>A 28562-2023</t>
        </is>
      </c>
      <c r="B217" s="1" t="n">
        <v>45103.53614583334</v>
      </c>
      <c r="C217" s="1" t="n">
        <v>46182</v>
      </c>
      <c r="D217" t="inlineStr">
        <is>
          <t>ÖREBRO LÄN</t>
        </is>
      </c>
      <c r="E217" t="inlineStr">
        <is>
          <t>LINDESBERG</t>
        </is>
      </c>
      <c r="G217" t="n">
        <v>2</v>
      </c>
      <c r="H217" t="n">
        <v>0</v>
      </c>
      <c r="I217" t="n">
        <v>0</v>
      </c>
      <c r="J217" t="n">
        <v>0</v>
      </c>
      <c r="K217" t="n">
        <v>0</v>
      </c>
      <c r="L217" t="n">
        <v>0</v>
      </c>
      <c r="M217" t="n">
        <v>0</v>
      </c>
      <c r="N217" t="n">
        <v>0</v>
      </c>
      <c r="O217" t="n">
        <v>0</v>
      </c>
      <c r="P217" t="n">
        <v>0</v>
      </c>
      <c r="Q217" t="n">
        <v>0</v>
      </c>
      <c r="R217" s="2" t="inlineStr"/>
    </row>
    <row r="218" ht="15" customHeight="1">
      <c r="A218" t="inlineStr">
        <is>
          <t>A 48363-2021</t>
        </is>
      </c>
      <c r="B218" s="1" t="n">
        <v>44451</v>
      </c>
      <c r="C218" s="1" t="n">
        <v>46182</v>
      </c>
      <c r="D218" t="inlineStr">
        <is>
          <t>ÖREBRO LÄN</t>
        </is>
      </c>
      <c r="E218" t="inlineStr">
        <is>
          <t>LINDESBERG</t>
        </is>
      </c>
      <c r="G218" t="n">
        <v>2.7</v>
      </c>
      <c r="H218" t="n">
        <v>0</v>
      </c>
      <c r="I218" t="n">
        <v>0</v>
      </c>
      <c r="J218" t="n">
        <v>0</v>
      </c>
      <c r="K218" t="n">
        <v>0</v>
      </c>
      <c r="L218" t="n">
        <v>0</v>
      </c>
      <c r="M218" t="n">
        <v>0</v>
      </c>
      <c r="N218" t="n">
        <v>0</v>
      </c>
      <c r="O218" t="n">
        <v>0</v>
      </c>
      <c r="P218" t="n">
        <v>0</v>
      </c>
      <c r="Q218" t="n">
        <v>0</v>
      </c>
      <c r="R218" s="2" t="inlineStr"/>
    </row>
    <row r="219" ht="15" customHeight="1">
      <c r="A219" t="inlineStr">
        <is>
          <t>A 52153-2022</t>
        </is>
      </c>
      <c r="B219" s="1" t="n">
        <v>44873.47148148148</v>
      </c>
      <c r="C219" s="1" t="n">
        <v>46182</v>
      </c>
      <c r="D219" t="inlineStr">
        <is>
          <t>ÖREBRO LÄN</t>
        </is>
      </c>
      <c r="E219" t="inlineStr">
        <is>
          <t>LINDESBERG</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16618-2023</t>
        </is>
      </c>
      <c r="B220" s="1" t="n">
        <v>45030</v>
      </c>
      <c r="C220" s="1" t="n">
        <v>46182</v>
      </c>
      <c r="D220" t="inlineStr">
        <is>
          <t>ÖREBRO LÄN</t>
        </is>
      </c>
      <c r="E220" t="inlineStr">
        <is>
          <t>LINDESBERG</t>
        </is>
      </c>
      <c r="F220" t="inlineStr">
        <is>
          <t>Kommuner</t>
        </is>
      </c>
      <c r="G220" t="n">
        <v>4.6</v>
      </c>
      <c r="H220" t="n">
        <v>0</v>
      </c>
      <c r="I220" t="n">
        <v>0</v>
      </c>
      <c r="J220" t="n">
        <v>0</v>
      </c>
      <c r="K220" t="n">
        <v>0</v>
      </c>
      <c r="L220" t="n">
        <v>0</v>
      </c>
      <c r="M220" t="n">
        <v>0</v>
      </c>
      <c r="N220" t="n">
        <v>0</v>
      </c>
      <c r="O220" t="n">
        <v>0</v>
      </c>
      <c r="P220" t="n">
        <v>0</v>
      </c>
      <c r="Q220" t="n">
        <v>0</v>
      </c>
      <c r="R220" s="2" t="inlineStr"/>
    </row>
    <row r="221" ht="15" customHeight="1">
      <c r="A221" t="inlineStr">
        <is>
          <t>A 21016-2023</t>
        </is>
      </c>
      <c r="B221" s="1" t="n">
        <v>45061.53414351852</v>
      </c>
      <c r="C221" s="1" t="n">
        <v>46182</v>
      </c>
      <c r="D221" t="inlineStr">
        <is>
          <t>ÖREBRO LÄN</t>
        </is>
      </c>
      <c r="E221" t="inlineStr">
        <is>
          <t>LINDESBERG</t>
        </is>
      </c>
      <c r="G221" t="n">
        <v>8.1</v>
      </c>
      <c r="H221" t="n">
        <v>0</v>
      </c>
      <c r="I221" t="n">
        <v>0</v>
      </c>
      <c r="J221" t="n">
        <v>0</v>
      </c>
      <c r="K221" t="n">
        <v>0</v>
      </c>
      <c r="L221" t="n">
        <v>0</v>
      </c>
      <c r="M221" t="n">
        <v>0</v>
      </c>
      <c r="N221" t="n">
        <v>0</v>
      </c>
      <c r="O221" t="n">
        <v>0</v>
      </c>
      <c r="P221" t="n">
        <v>0</v>
      </c>
      <c r="Q221" t="n">
        <v>0</v>
      </c>
      <c r="R221" s="2" t="inlineStr"/>
    </row>
    <row r="222" ht="15" customHeight="1">
      <c r="A222" t="inlineStr">
        <is>
          <t>A 64084-2023</t>
        </is>
      </c>
      <c r="B222" s="1" t="n">
        <v>45279</v>
      </c>
      <c r="C222" s="1" t="n">
        <v>46182</v>
      </c>
      <c r="D222" t="inlineStr">
        <is>
          <t>ÖREBRO LÄN</t>
        </is>
      </c>
      <c r="E222" t="inlineStr">
        <is>
          <t>LINDESBERG</t>
        </is>
      </c>
      <c r="G222" t="n">
        <v>2.1</v>
      </c>
      <c r="H222" t="n">
        <v>0</v>
      </c>
      <c r="I222" t="n">
        <v>0</v>
      </c>
      <c r="J222" t="n">
        <v>0</v>
      </c>
      <c r="K222" t="n">
        <v>0</v>
      </c>
      <c r="L222" t="n">
        <v>0</v>
      </c>
      <c r="M222" t="n">
        <v>0</v>
      </c>
      <c r="N222" t="n">
        <v>0</v>
      </c>
      <c r="O222" t="n">
        <v>0</v>
      </c>
      <c r="P222" t="n">
        <v>0</v>
      </c>
      <c r="Q222" t="n">
        <v>0</v>
      </c>
      <c r="R222" s="2" t="inlineStr"/>
    </row>
    <row r="223" ht="15" customHeight="1">
      <c r="A223" t="inlineStr">
        <is>
          <t>A 33886-2024</t>
        </is>
      </c>
      <c r="B223" s="1" t="n">
        <v>45523.31621527778</v>
      </c>
      <c r="C223" s="1" t="n">
        <v>46182</v>
      </c>
      <c r="D223" t="inlineStr">
        <is>
          <t>ÖREBRO LÄN</t>
        </is>
      </c>
      <c r="E223" t="inlineStr">
        <is>
          <t>LINDESBERG</t>
        </is>
      </c>
      <c r="G223" t="n">
        <v>1.3</v>
      </c>
      <c r="H223" t="n">
        <v>0</v>
      </c>
      <c r="I223" t="n">
        <v>0</v>
      </c>
      <c r="J223" t="n">
        <v>0</v>
      </c>
      <c r="K223" t="n">
        <v>0</v>
      </c>
      <c r="L223" t="n">
        <v>0</v>
      </c>
      <c r="M223" t="n">
        <v>0</v>
      </c>
      <c r="N223" t="n">
        <v>0</v>
      </c>
      <c r="O223" t="n">
        <v>0</v>
      </c>
      <c r="P223" t="n">
        <v>0</v>
      </c>
      <c r="Q223" t="n">
        <v>0</v>
      </c>
      <c r="R223" s="2" t="inlineStr"/>
    </row>
    <row r="224" ht="15" customHeight="1">
      <c r="A224" t="inlineStr">
        <is>
          <t>A 43046-2022</t>
        </is>
      </c>
      <c r="B224" s="1" t="n">
        <v>44833</v>
      </c>
      <c r="C224" s="1" t="n">
        <v>46182</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53046-2024</t>
        </is>
      </c>
      <c r="B225" s="1" t="n">
        <v>45611.44960648148</v>
      </c>
      <c r="C225" s="1" t="n">
        <v>46182</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30122-2021</t>
        </is>
      </c>
      <c r="B226" s="1" t="n">
        <v>44363</v>
      </c>
      <c r="C226" s="1" t="n">
        <v>46182</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17895-2022</t>
        </is>
      </c>
      <c r="B227" s="1" t="n">
        <v>44683</v>
      </c>
      <c r="C227" s="1" t="n">
        <v>46182</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62866-2023</t>
        </is>
      </c>
      <c r="B228" s="1" t="n">
        <v>45272.36168981482</v>
      </c>
      <c r="C228" s="1" t="n">
        <v>46182</v>
      </c>
      <c r="D228" t="inlineStr">
        <is>
          <t>ÖREBRO LÄN</t>
        </is>
      </c>
      <c r="E228" t="inlineStr">
        <is>
          <t>LINDESBERG</t>
        </is>
      </c>
      <c r="G228" t="n">
        <v>14.5</v>
      </c>
      <c r="H228" t="n">
        <v>0</v>
      </c>
      <c r="I228" t="n">
        <v>0</v>
      </c>
      <c r="J228" t="n">
        <v>0</v>
      </c>
      <c r="K228" t="n">
        <v>0</v>
      </c>
      <c r="L228" t="n">
        <v>0</v>
      </c>
      <c r="M228" t="n">
        <v>0</v>
      </c>
      <c r="N228" t="n">
        <v>0</v>
      </c>
      <c r="O228" t="n">
        <v>0</v>
      </c>
      <c r="P228" t="n">
        <v>0</v>
      </c>
      <c r="Q228" t="n">
        <v>0</v>
      </c>
      <c r="R228" s="2" t="inlineStr"/>
    </row>
    <row r="229" ht="15" customHeight="1">
      <c r="A229" t="inlineStr">
        <is>
          <t>A 6-2023</t>
        </is>
      </c>
      <c r="B229" s="1" t="n">
        <v>44927.72487268518</v>
      </c>
      <c r="C229" s="1" t="n">
        <v>46182</v>
      </c>
      <c r="D229" t="inlineStr">
        <is>
          <t>ÖREBRO LÄN</t>
        </is>
      </c>
      <c r="E229" t="inlineStr">
        <is>
          <t>LINDESBERG</t>
        </is>
      </c>
      <c r="G229" t="n">
        <v>2.8</v>
      </c>
      <c r="H229" t="n">
        <v>0</v>
      </c>
      <c r="I229" t="n">
        <v>0</v>
      </c>
      <c r="J229" t="n">
        <v>0</v>
      </c>
      <c r="K229" t="n">
        <v>0</v>
      </c>
      <c r="L229" t="n">
        <v>0</v>
      </c>
      <c r="M229" t="n">
        <v>0</v>
      </c>
      <c r="N229" t="n">
        <v>0</v>
      </c>
      <c r="O229" t="n">
        <v>0</v>
      </c>
      <c r="P229" t="n">
        <v>0</v>
      </c>
      <c r="Q229" t="n">
        <v>0</v>
      </c>
      <c r="R229" s="2" t="inlineStr"/>
    </row>
    <row r="230" ht="15" customHeight="1">
      <c r="A230" t="inlineStr">
        <is>
          <t>A 64372-2021</t>
        </is>
      </c>
      <c r="B230" s="1" t="n">
        <v>44511.39611111111</v>
      </c>
      <c r="C230" s="1" t="n">
        <v>46182</v>
      </c>
      <c r="D230" t="inlineStr">
        <is>
          <t>ÖREBRO LÄN</t>
        </is>
      </c>
      <c r="E230" t="inlineStr">
        <is>
          <t>LINDESBERG</t>
        </is>
      </c>
      <c r="G230" t="n">
        <v>3.6</v>
      </c>
      <c r="H230" t="n">
        <v>0</v>
      </c>
      <c r="I230" t="n">
        <v>0</v>
      </c>
      <c r="J230" t="n">
        <v>0</v>
      </c>
      <c r="K230" t="n">
        <v>0</v>
      </c>
      <c r="L230" t="n">
        <v>0</v>
      </c>
      <c r="M230" t="n">
        <v>0</v>
      </c>
      <c r="N230" t="n">
        <v>0</v>
      </c>
      <c r="O230" t="n">
        <v>0</v>
      </c>
      <c r="P230" t="n">
        <v>0</v>
      </c>
      <c r="Q230" t="n">
        <v>0</v>
      </c>
      <c r="R230" s="2" t="inlineStr"/>
    </row>
    <row r="231" ht="15" customHeight="1">
      <c r="A231" t="inlineStr">
        <is>
          <t>A 51539-2024</t>
        </is>
      </c>
      <c r="B231" s="1" t="n">
        <v>45604.58837962963</v>
      </c>
      <c r="C231" s="1" t="n">
        <v>46182</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63508-2023</t>
        </is>
      </c>
      <c r="B232" s="1" t="n">
        <v>45274</v>
      </c>
      <c r="C232" s="1" t="n">
        <v>46182</v>
      </c>
      <c r="D232" t="inlineStr">
        <is>
          <t>ÖREBRO LÄN</t>
        </is>
      </c>
      <c r="E232" t="inlineStr">
        <is>
          <t>LINDESBERG</t>
        </is>
      </c>
      <c r="G232" t="n">
        <v>1.4</v>
      </c>
      <c r="H232" t="n">
        <v>0</v>
      </c>
      <c r="I232" t="n">
        <v>0</v>
      </c>
      <c r="J232" t="n">
        <v>0</v>
      </c>
      <c r="K232" t="n">
        <v>0</v>
      </c>
      <c r="L232" t="n">
        <v>0</v>
      </c>
      <c r="M232" t="n">
        <v>0</v>
      </c>
      <c r="N232" t="n">
        <v>0</v>
      </c>
      <c r="O232" t="n">
        <v>0</v>
      </c>
      <c r="P232" t="n">
        <v>0</v>
      </c>
      <c r="Q232" t="n">
        <v>0</v>
      </c>
      <c r="R232" s="2" t="inlineStr"/>
    </row>
    <row r="233" ht="15" customHeight="1">
      <c r="A233" t="inlineStr">
        <is>
          <t>A 27296-2025</t>
        </is>
      </c>
      <c r="B233" s="1" t="n">
        <v>45812.56952546296</v>
      </c>
      <c r="C233" s="1" t="n">
        <v>46182</v>
      </c>
      <c r="D233" t="inlineStr">
        <is>
          <t>ÖREBRO LÄN</t>
        </is>
      </c>
      <c r="E233" t="inlineStr">
        <is>
          <t>LINDESBERG</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36136-2023</t>
        </is>
      </c>
      <c r="B234" s="1" t="n">
        <v>45149</v>
      </c>
      <c r="C234" s="1" t="n">
        <v>46182</v>
      </c>
      <c r="D234" t="inlineStr">
        <is>
          <t>ÖREBRO LÄN</t>
        </is>
      </c>
      <c r="E234" t="inlineStr">
        <is>
          <t>LINDESBERG</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12692-2024</t>
        </is>
      </c>
      <c r="B235" s="1" t="n">
        <v>45384.43418981481</v>
      </c>
      <c r="C235" s="1" t="n">
        <v>46182</v>
      </c>
      <c r="D235" t="inlineStr">
        <is>
          <t>ÖREBRO LÄN</t>
        </is>
      </c>
      <c r="E235" t="inlineStr">
        <is>
          <t>LINDESBERG</t>
        </is>
      </c>
      <c r="G235" t="n">
        <v>5.2</v>
      </c>
      <c r="H235" t="n">
        <v>0</v>
      </c>
      <c r="I235" t="n">
        <v>0</v>
      </c>
      <c r="J235" t="n">
        <v>0</v>
      </c>
      <c r="K235" t="n">
        <v>0</v>
      </c>
      <c r="L235" t="n">
        <v>0</v>
      </c>
      <c r="M235" t="n">
        <v>0</v>
      </c>
      <c r="N235" t="n">
        <v>0</v>
      </c>
      <c r="O235" t="n">
        <v>0</v>
      </c>
      <c r="P235" t="n">
        <v>0</v>
      </c>
      <c r="Q235" t="n">
        <v>0</v>
      </c>
      <c r="R235" s="2" t="inlineStr"/>
    </row>
    <row r="236" ht="15" customHeight="1">
      <c r="A236" t="inlineStr">
        <is>
          <t>A 38509-2025</t>
        </is>
      </c>
      <c r="B236" s="1" t="n">
        <v>45884.38858796296</v>
      </c>
      <c r="C236" s="1" t="n">
        <v>46182</v>
      </c>
      <c r="D236" t="inlineStr">
        <is>
          <t>ÖREBRO LÄN</t>
        </is>
      </c>
      <c r="E236" t="inlineStr">
        <is>
          <t>LINDESBERG</t>
        </is>
      </c>
      <c r="G236" t="n">
        <v>14.9</v>
      </c>
      <c r="H236" t="n">
        <v>0</v>
      </c>
      <c r="I236" t="n">
        <v>0</v>
      </c>
      <c r="J236" t="n">
        <v>0</v>
      </c>
      <c r="K236" t="n">
        <v>0</v>
      </c>
      <c r="L236" t="n">
        <v>0</v>
      </c>
      <c r="M236" t="n">
        <v>0</v>
      </c>
      <c r="N236" t="n">
        <v>0</v>
      </c>
      <c r="O236" t="n">
        <v>0</v>
      </c>
      <c r="P236" t="n">
        <v>0</v>
      </c>
      <c r="Q236" t="n">
        <v>0</v>
      </c>
      <c r="R236" s="2" t="inlineStr"/>
    </row>
    <row r="237" ht="15" customHeight="1">
      <c r="A237" t="inlineStr">
        <is>
          <t>A 61594-2024</t>
        </is>
      </c>
      <c r="B237" s="1" t="n">
        <v>45646.63482638889</v>
      </c>
      <c r="C237" s="1" t="n">
        <v>46182</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34025-2024</t>
        </is>
      </c>
      <c r="B238" s="1" t="n">
        <v>45523.58565972222</v>
      </c>
      <c r="C238" s="1" t="n">
        <v>46182</v>
      </c>
      <c r="D238" t="inlineStr">
        <is>
          <t>ÖREBRO LÄN</t>
        </is>
      </c>
      <c r="E238" t="inlineStr">
        <is>
          <t>LINDESBERG</t>
        </is>
      </c>
      <c r="G238" t="n">
        <v>1.3</v>
      </c>
      <c r="H238" t="n">
        <v>0</v>
      </c>
      <c r="I238" t="n">
        <v>0</v>
      </c>
      <c r="J238" t="n">
        <v>0</v>
      </c>
      <c r="K238" t="n">
        <v>0</v>
      </c>
      <c r="L238" t="n">
        <v>0</v>
      </c>
      <c r="M238" t="n">
        <v>0</v>
      </c>
      <c r="N238" t="n">
        <v>0</v>
      </c>
      <c r="O238" t="n">
        <v>0</v>
      </c>
      <c r="P238" t="n">
        <v>0</v>
      </c>
      <c r="Q238" t="n">
        <v>0</v>
      </c>
      <c r="R238" s="2" t="inlineStr"/>
    </row>
    <row r="239" ht="15" customHeight="1">
      <c r="A239" t="inlineStr">
        <is>
          <t>A 19077-2025</t>
        </is>
      </c>
      <c r="B239" s="1" t="n">
        <v>45766.33309027777</v>
      </c>
      <c r="C239" s="1" t="n">
        <v>46182</v>
      </c>
      <c r="D239" t="inlineStr">
        <is>
          <t>ÖREBRO LÄN</t>
        </is>
      </c>
      <c r="E239" t="inlineStr">
        <is>
          <t>LINDESBERG</t>
        </is>
      </c>
      <c r="G239" t="n">
        <v>0</v>
      </c>
      <c r="H239" t="n">
        <v>0</v>
      </c>
      <c r="I239" t="n">
        <v>0</v>
      </c>
      <c r="J239" t="n">
        <v>0</v>
      </c>
      <c r="K239" t="n">
        <v>0</v>
      </c>
      <c r="L239" t="n">
        <v>0</v>
      </c>
      <c r="M239" t="n">
        <v>0</v>
      </c>
      <c r="N239" t="n">
        <v>0</v>
      </c>
      <c r="O239" t="n">
        <v>0</v>
      </c>
      <c r="P239" t="n">
        <v>0</v>
      </c>
      <c r="Q239" t="n">
        <v>0</v>
      </c>
      <c r="R239" s="2" t="inlineStr"/>
    </row>
    <row r="240" ht="15" customHeight="1">
      <c r="A240" t="inlineStr">
        <is>
          <t>A 34676-2023</t>
        </is>
      </c>
      <c r="B240" s="1" t="n">
        <v>45140</v>
      </c>
      <c r="C240" s="1" t="n">
        <v>46182</v>
      </c>
      <c r="D240" t="inlineStr">
        <is>
          <t>ÖREBRO LÄN</t>
        </is>
      </c>
      <c r="E240" t="inlineStr">
        <is>
          <t>LINDESBERG</t>
        </is>
      </c>
      <c r="G240" t="n">
        <v>2.4</v>
      </c>
      <c r="H240" t="n">
        <v>0</v>
      </c>
      <c r="I240" t="n">
        <v>0</v>
      </c>
      <c r="J240" t="n">
        <v>0</v>
      </c>
      <c r="K240" t="n">
        <v>0</v>
      </c>
      <c r="L240" t="n">
        <v>0</v>
      </c>
      <c r="M240" t="n">
        <v>0</v>
      </c>
      <c r="N240" t="n">
        <v>0</v>
      </c>
      <c r="O240" t="n">
        <v>0</v>
      </c>
      <c r="P240" t="n">
        <v>0</v>
      </c>
      <c r="Q240" t="n">
        <v>0</v>
      </c>
      <c r="R240" s="2" t="inlineStr"/>
    </row>
    <row r="241" ht="15" customHeight="1">
      <c r="A241" t="inlineStr">
        <is>
          <t>A 16447-2025</t>
        </is>
      </c>
      <c r="B241" s="1" t="n">
        <v>45751.50498842593</v>
      </c>
      <c r="C241" s="1" t="n">
        <v>46182</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2569-2023</t>
        </is>
      </c>
      <c r="B242" s="1" t="n">
        <v>44943.73792824074</v>
      </c>
      <c r="C242" s="1" t="n">
        <v>46182</v>
      </c>
      <c r="D242" t="inlineStr">
        <is>
          <t>ÖREBRO LÄN</t>
        </is>
      </c>
      <c r="E242" t="inlineStr">
        <is>
          <t>LINDESBERG</t>
        </is>
      </c>
      <c r="G242" t="n">
        <v>2.3</v>
      </c>
      <c r="H242" t="n">
        <v>0</v>
      </c>
      <c r="I242" t="n">
        <v>0</v>
      </c>
      <c r="J242" t="n">
        <v>0</v>
      </c>
      <c r="K242" t="n">
        <v>0</v>
      </c>
      <c r="L242" t="n">
        <v>0</v>
      </c>
      <c r="M242" t="n">
        <v>0</v>
      </c>
      <c r="N242" t="n">
        <v>0</v>
      </c>
      <c r="O242" t="n">
        <v>0</v>
      </c>
      <c r="P242" t="n">
        <v>0</v>
      </c>
      <c r="Q242" t="n">
        <v>0</v>
      </c>
      <c r="R242" s="2" t="inlineStr"/>
    </row>
    <row r="243" ht="15" customHeight="1">
      <c r="A243" t="inlineStr">
        <is>
          <t>A 13884-2023</t>
        </is>
      </c>
      <c r="B243" s="1" t="n">
        <v>45007</v>
      </c>
      <c r="C243" s="1" t="n">
        <v>46182</v>
      </c>
      <c r="D243" t="inlineStr">
        <is>
          <t>ÖREBRO LÄN</t>
        </is>
      </c>
      <c r="E243" t="inlineStr">
        <is>
          <t>LINDESBERG</t>
        </is>
      </c>
      <c r="F243" t="inlineStr">
        <is>
          <t>Kommuner</t>
        </is>
      </c>
      <c r="G243" t="n">
        <v>7.7</v>
      </c>
      <c r="H243" t="n">
        <v>0</v>
      </c>
      <c r="I243" t="n">
        <v>0</v>
      </c>
      <c r="J243" t="n">
        <v>0</v>
      </c>
      <c r="K243" t="n">
        <v>0</v>
      </c>
      <c r="L243" t="n">
        <v>0</v>
      </c>
      <c r="M243" t="n">
        <v>0</v>
      </c>
      <c r="N243" t="n">
        <v>0</v>
      </c>
      <c r="O243" t="n">
        <v>0</v>
      </c>
      <c r="P243" t="n">
        <v>0</v>
      </c>
      <c r="Q243" t="n">
        <v>0</v>
      </c>
      <c r="R243" s="2" t="inlineStr"/>
    </row>
    <row r="244" ht="15" customHeight="1">
      <c r="A244" t="inlineStr">
        <is>
          <t>A 19960-2023</t>
        </is>
      </c>
      <c r="B244" s="1" t="n">
        <v>45054</v>
      </c>
      <c r="C244" s="1" t="n">
        <v>46182</v>
      </c>
      <c r="D244" t="inlineStr">
        <is>
          <t>ÖREBRO LÄN</t>
        </is>
      </c>
      <c r="E244" t="inlineStr">
        <is>
          <t>LINDESBERG</t>
        </is>
      </c>
      <c r="G244" t="n">
        <v>6.2</v>
      </c>
      <c r="H244" t="n">
        <v>0</v>
      </c>
      <c r="I244" t="n">
        <v>0</v>
      </c>
      <c r="J244" t="n">
        <v>0</v>
      </c>
      <c r="K244" t="n">
        <v>0</v>
      </c>
      <c r="L244" t="n">
        <v>0</v>
      </c>
      <c r="M244" t="n">
        <v>0</v>
      </c>
      <c r="N244" t="n">
        <v>0</v>
      </c>
      <c r="O244" t="n">
        <v>0</v>
      </c>
      <c r="P244" t="n">
        <v>0</v>
      </c>
      <c r="Q244" t="n">
        <v>0</v>
      </c>
      <c r="R244" s="2" t="inlineStr"/>
    </row>
    <row r="245" ht="15" customHeight="1">
      <c r="A245" t="inlineStr">
        <is>
          <t>A 50275-2024</t>
        </is>
      </c>
      <c r="B245" s="1" t="n">
        <v>45600.60071759259</v>
      </c>
      <c r="C245" s="1" t="n">
        <v>46182</v>
      </c>
      <c r="D245" t="inlineStr">
        <is>
          <t>ÖREBRO LÄN</t>
        </is>
      </c>
      <c r="E245" t="inlineStr">
        <is>
          <t>LINDESBERG</t>
        </is>
      </c>
      <c r="G245" t="n">
        <v>4.3</v>
      </c>
      <c r="H245" t="n">
        <v>0</v>
      </c>
      <c r="I245" t="n">
        <v>0</v>
      </c>
      <c r="J245" t="n">
        <v>0</v>
      </c>
      <c r="K245" t="n">
        <v>0</v>
      </c>
      <c r="L245" t="n">
        <v>0</v>
      </c>
      <c r="M245" t="n">
        <v>0</v>
      </c>
      <c r="N245" t="n">
        <v>0</v>
      </c>
      <c r="O245" t="n">
        <v>0</v>
      </c>
      <c r="P245" t="n">
        <v>0</v>
      </c>
      <c r="Q245" t="n">
        <v>0</v>
      </c>
      <c r="R245" s="2" t="inlineStr"/>
    </row>
    <row r="246" ht="15" customHeight="1">
      <c r="A246" t="inlineStr">
        <is>
          <t>A 17463-2023</t>
        </is>
      </c>
      <c r="B246" s="1" t="n">
        <v>45036</v>
      </c>
      <c r="C246" s="1" t="n">
        <v>46182</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46647-2024</t>
        </is>
      </c>
      <c r="B247" s="1" t="n">
        <v>45583</v>
      </c>
      <c r="C247" s="1" t="n">
        <v>46182</v>
      </c>
      <c r="D247" t="inlineStr">
        <is>
          <t>ÖREBRO LÄN</t>
        </is>
      </c>
      <c r="E247" t="inlineStr">
        <is>
          <t>LINDESBERG</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28040-2025</t>
        </is>
      </c>
      <c r="B248" s="1" t="n">
        <v>45817.6455324074</v>
      </c>
      <c r="C248" s="1" t="n">
        <v>46182</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46182</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46182</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37507-2023</t>
        </is>
      </c>
      <c r="B251" s="1" t="n">
        <v>45158.41768518519</v>
      </c>
      <c r="C251" s="1" t="n">
        <v>46182</v>
      </c>
      <c r="D251" t="inlineStr">
        <is>
          <t>ÖREBRO LÄN</t>
        </is>
      </c>
      <c r="E251" t="inlineStr">
        <is>
          <t>LINDESBERG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33280-2024</t>
        </is>
      </c>
      <c r="B252" s="1" t="n">
        <v>45518.71048611111</v>
      </c>
      <c r="C252" s="1" t="n">
        <v>46182</v>
      </c>
      <c r="D252" t="inlineStr">
        <is>
          <t>ÖREBRO LÄN</t>
        </is>
      </c>
      <c r="E252" t="inlineStr">
        <is>
          <t>LINDESBERG</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33281-2024</t>
        </is>
      </c>
      <c r="B253" s="1" t="n">
        <v>45518.71202546296</v>
      </c>
      <c r="C253" s="1" t="n">
        <v>46182</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33283-2024</t>
        </is>
      </c>
      <c r="B254" s="1" t="n">
        <v>45518.71591435185</v>
      </c>
      <c r="C254" s="1" t="n">
        <v>46182</v>
      </c>
      <c r="D254" t="inlineStr">
        <is>
          <t>ÖREBRO LÄN</t>
        </is>
      </c>
      <c r="E254" t="inlineStr">
        <is>
          <t>LINDESBERG</t>
        </is>
      </c>
      <c r="G254" t="n">
        <v>3.9</v>
      </c>
      <c r="H254" t="n">
        <v>0</v>
      </c>
      <c r="I254" t="n">
        <v>0</v>
      </c>
      <c r="J254" t="n">
        <v>0</v>
      </c>
      <c r="K254" t="n">
        <v>0</v>
      </c>
      <c r="L254" t="n">
        <v>0</v>
      </c>
      <c r="M254" t="n">
        <v>0</v>
      </c>
      <c r="N254" t="n">
        <v>0</v>
      </c>
      <c r="O254" t="n">
        <v>0</v>
      </c>
      <c r="P254" t="n">
        <v>0</v>
      </c>
      <c r="Q254" t="n">
        <v>0</v>
      </c>
      <c r="R254" s="2" t="inlineStr"/>
    </row>
    <row r="255" ht="15" customHeight="1">
      <c r="A255" t="inlineStr">
        <is>
          <t>A 39140-2024</t>
        </is>
      </c>
      <c r="B255" s="1" t="n">
        <v>45548</v>
      </c>
      <c r="C255" s="1" t="n">
        <v>46182</v>
      </c>
      <c r="D255" t="inlineStr">
        <is>
          <t>ÖREBRO LÄN</t>
        </is>
      </c>
      <c r="E255" t="inlineStr">
        <is>
          <t>LINDESBERG</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38861-2025</t>
        </is>
      </c>
      <c r="B256" s="1" t="n">
        <v>45887.56101851852</v>
      </c>
      <c r="C256" s="1" t="n">
        <v>46182</v>
      </c>
      <c r="D256" t="inlineStr">
        <is>
          <t>ÖREBRO LÄN</t>
        </is>
      </c>
      <c r="E256" t="inlineStr">
        <is>
          <t>LINDESBERG</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39429-2025</t>
        </is>
      </c>
      <c r="B257" s="1" t="n">
        <v>45889.67577546297</v>
      </c>
      <c r="C257" s="1" t="n">
        <v>46182</v>
      </c>
      <c r="D257" t="inlineStr">
        <is>
          <t>ÖREBRO LÄN</t>
        </is>
      </c>
      <c r="E257" t="inlineStr">
        <is>
          <t>LINDESBERG</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39421-2025</t>
        </is>
      </c>
      <c r="B258" s="1" t="n">
        <v>45889.66935185185</v>
      </c>
      <c r="C258" s="1" t="n">
        <v>46182</v>
      </c>
      <c r="D258" t="inlineStr">
        <is>
          <t>ÖREBRO LÄN</t>
        </is>
      </c>
      <c r="E258" t="inlineStr">
        <is>
          <t>LINDESBERG</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53189-2023</t>
        </is>
      </c>
      <c r="B259" s="1" t="n">
        <v>45194</v>
      </c>
      <c r="C259" s="1" t="n">
        <v>46182</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28991-2025</t>
        </is>
      </c>
      <c r="B260" s="1" t="n">
        <v>45821.37199074074</v>
      </c>
      <c r="C260" s="1" t="n">
        <v>46182</v>
      </c>
      <c r="D260" t="inlineStr">
        <is>
          <t>ÖREBRO LÄN</t>
        </is>
      </c>
      <c r="E260" t="inlineStr">
        <is>
          <t>LINDESBERG</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39424-2025</t>
        </is>
      </c>
      <c r="B261" s="1" t="n">
        <v>45889.67290509259</v>
      </c>
      <c r="C261" s="1" t="n">
        <v>46182</v>
      </c>
      <c r="D261" t="inlineStr">
        <is>
          <t>ÖREBRO LÄN</t>
        </is>
      </c>
      <c r="E261" t="inlineStr">
        <is>
          <t>LINDESBERG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23649-2023</t>
        </is>
      </c>
      <c r="B262" s="1" t="n">
        <v>45074</v>
      </c>
      <c r="C262" s="1" t="n">
        <v>46182</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45041-2024</t>
        </is>
      </c>
      <c r="B263" s="1" t="n">
        <v>45575.53690972222</v>
      </c>
      <c r="C263" s="1" t="n">
        <v>46182</v>
      </c>
      <c r="D263" t="inlineStr">
        <is>
          <t>ÖREBRO LÄN</t>
        </is>
      </c>
      <c r="E263" t="inlineStr">
        <is>
          <t>LINDESBERG</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29938-2024</t>
        </is>
      </c>
      <c r="B264" s="1" t="n">
        <v>45488.41480324074</v>
      </c>
      <c r="C264" s="1" t="n">
        <v>46182</v>
      </c>
      <c r="D264" t="inlineStr">
        <is>
          <t>ÖREBRO LÄN</t>
        </is>
      </c>
      <c r="E264" t="inlineStr">
        <is>
          <t>LINDESBERG</t>
        </is>
      </c>
      <c r="G264" t="n">
        <v>4</v>
      </c>
      <c r="H264" t="n">
        <v>0</v>
      </c>
      <c r="I264" t="n">
        <v>0</v>
      </c>
      <c r="J264" t="n">
        <v>0</v>
      </c>
      <c r="K264" t="n">
        <v>0</v>
      </c>
      <c r="L264" t="n">
        <v>0</v>
      </c>
      <c r="M264" t="n">
        <v>0</v>
      </c>
      <c r="N264" t="n">
        <v>0</v>
      </c>
      <c r="O264" t="n">
        <v>0</v>
      </c>
      <c r="P264" t="n">
        <v>0</v>
      </c>
      <c r="Q264" t="n">
        <v>0</v>
      </c>
      <c r="R264" s="2" t="inlineStr"/>
    </row>
    <row r="265" ht="15" customHeight="1">
      <c r="A265" t="inlineStr">
        <is>
          <t>A 47535-2022</t>
        </is>
      </c>
      <c r="B265" s="1" t="n">
        <v>44853.79818287037</v>
      </c>
      <c r="C265" s="1" t="n">
        <v>46182</v>
      </c>
      <c r="D265" t="inlineStr">
        <is>
          <t>ÖREBRO LÄN</t>
        </is>
      </c>
      <c r="E265" t="inlineStr">
        <is>
          <t>LINDESBERG</t>
        </is>
      </c>
      <c r="G265" t="n">
        <v>3</v>
      </c>
      <c r="H265" t="n">
        <v>0</v>
      </c>
      <c r="I265" t="n">
        <v>0</v>
      </c>
      <c r="J265" t="n">
        <v>0</v>
      </c>
      <c r="K265" t="n">
        <v>0</v>
      </c>
      <c r="L265" t="n">
        <v>0</v>
      </c>
      <c r="M265" t="n">
        <v>0</v>
      </c>
      <c r="N265" t="n">
        <v>0</v>
      </c>
      <c r="O265" t="n">
        <v>0</v>
      </c>
      <c r="P265" t="n">
        <v>0</v>
      </c>
      <c r="Q265" t="n">
        <v>0</v>
      </c>
      <c r="R265" s="2" t="inlineStr"/>
    </row>
    <row r="266" ht="15" customHeight="1">
      <c r="A266" t="inlineStr">
        <is>
          <t>A 43433-2024</t>
        </is>
      </c>
      <c r="B266" s="1" t="n">
        <v>45568.64523148148</v>
      </c>
      <c r="C266" s="1" t="n">
        <v>46182</v>
      </c>
      <c r="D266" t="inlineStr">
        <is>
          <t>ÖREBRO LÄN</t>
        </is>
      </c>
      <c r="E266" t="inlineStr">
        <is>
          <t>LINDESBERG</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32928-2023</t>
        </is>
      </c>
      <c r="B267" s="1" t="n">
        <v>45125.41458333333</v>
      </c>
      <c r="C267" s="1" t="n">
        <v>46182</v>
      </c>
      <c r="D267" t="inlineStr">
        <is>
          <t>ÖREBRO LÄN</t>
        </is>
      </c>
      <c r="E267" t="inlineStr">
        <is>
          <t>LINDESBERG</t>
        </is>
      </c>
      <c r="G267" t="n">
        <v>4.8</v>
      </c>
      <c r="H267" t="n">
        <v>0</v>
      </c>
      <c r="I267" t="n">
        <v>0</v>
      </c>
      <c r="J267" t="n">
        <v>0</v>
      </c>
      <c r="K267" t="n">
        <v>0</v>
      </c>
      <c r="L267" t="n">
        <v>0</v>
      </c>
      <c r="M267" t="n">
        <v>0</v>
      </c>
      <c r="N267" t="n">
        <v>0</v>
      </c>
      <c r="O267" t="n">
        <v>0</v>
      </c>
      <c r="P267" t="n">
        <v>0</v>
      </c>
      <c r="Q267" t="n">
        <v>0</v>
      </c>
      <c r="R267" s="2" t="inlineStr"/>
    </row>
    <row r="268" ht="15" customHeight="1">
      <c r="A268" t="inlineStr">
        <is>
          <t>A 32994-2023</t>
        </is>
      </c>
      <c r="B268" s="1" t="n">
        <v>45113</v>
      </c>
      <c r="C268" s="1" t="n">
        <v>46182</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30341-2025</t>
        </is>
      </c>
      <c r="B269" s="1" t="n">
        <v>45827.51862268519</v>
      </c>
      <c r="C269" s="1" t="n">
        <v>46182</v>
      </c>
      <c r="D269" t="inlineStr">
        <is>
          <t>ÖREBRO LÄN</t>
        </is>
      </c>
      <c r="E269" t="inlineStr">
        <is>
          <t>LINDESBERG</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30340-2025</t>
        </is>
      </c>
      <c r="B270" s="1" t="n">
        <v>45827.51753472222</v>
      </c>
      <c r="C270" s="1" t="n">
        <v>46182</v>
      </c>
      <c r="D270" t="inlineStr">
        <is>
          <t>ÖREBRO LÄN</t>
        </is>
      </c>
      <c r="E270" t="inlineStr">
        <is>
          <t>LINDESBERG</t>
        </is>
      </c>
      <c r="F270" t="inlineStr">
        <is>
          <t>Sveaskog</t>
        </is>
      </c>
      <c r="G270" t="n">
        <v>2.5</v>
      </c>
      <c r="H270" t="n">
        <v>0</v>
      </c>
      <c r="I270" t="n">
        <v>0</v>
      </c>
      <c r="J270" t="n">
        <v>0</v>
      </c>
      <c r="K270" t="n">
        <v>0</v>
      </c>
      <c r="L270" t="n">
        <v>0</v>
      </c>
      <c r="M270" t="n">
        <v>0</v>
      </c>
      <c r="N270" t="n">
        <v>0</v>
      </c>
      <c r="O270" t="n">
        <v>0</v>
      </c>
      <c r="P270" t="n">
        <v>0</v>
      </c>
      <c r="Q270" t="n">
        <v>0</v>
      </c>
      <c r="R270" s="2" t="inlineStr"/>
    </row>
    <row r="271" ht="15" customHeight="1">
      <c r="A271" t="inlineStr">
        <is>
          <t>A 30339-2025</t>
        </is>
      </c>
      <c r="B271" s="1" t="n">
        <v>45827.51628472222</v>
      </c>
      <c r="C271" s="1" t="n">
        <v>46182</v>
      </c>
      <c r="D271" t="inlineStr">
        <is>
          <t>ÖREBRO LÄN</t>
        </is>
      </c>
      <c r="E271" t="inlineStr">
        <is>
          <t>LINDESBERG</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34029-2024</t>
        </is>
      </c>
      <c r="B272" s="1" t="n">
        <v>45523</v>
      </c>
      <c r="C272" s="1" t="n">
        <v>46182</v>
      </c>
      <c r="D272" t="inlineStr">
        <is>
          <t>ÖREBRO LÄN</t>
        </is>
      </c>
      <c r="E272" t="inlineStr">
        <is>
          <t>LINDESBERG</t>
        </is>
      </c>
      <c r="G272" t="n">
        <v>1.9</v>
      </c>
      <c r="H272" t="n">
        <v>0</v>
      </c>
      <c r="I272" t="n">
        <v>0</v>
      </c>
      <c r="J272" t="n">
        <v>0</v>
      </c>
      <c r="K272" t="n">
        <v>0</v>
      </c>
      <c r="L272" t="n">
        <v>0</v>
      </c>
      <c r="M272" t="n">
        <v>0</v>
      </c>
      <c r="N272" t="n">
        <v>0</v>
      </c>
      <c r="O272" t="n">
        <v>0</v>
      </c>
      <c r="P272" t="n">
        <v>0</v>
      </c>
      <c r="Q272" t="n">
        <v>0</v>
      </c>
      <c r="R272" s="2" t="inlineStr"/>
    </row>
    <row r="273" ht="15" customHeight="1">
      <c r="A273" t="inlineStr">
        <is>
          <t>A 23102-2023</t>
        </is>
      </c>
      <c r="B273" s="1" t="n">
        <v>45075.44152777778</v>
      </c>
      <c r="C273" s="1" t="n">
        <v>46182</v>
      </c>
      <c r="D273" t="inlineStr">
        <is>
          <t>ÖREBRO LÄN</t>
        </is>
      </c>
      <c r="E273" t="inlineStr">
        <is>
          <t>LINDESBERG</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40347-2025</t>
        </is>
      </c>
      <c r="B274" s="1" t="n">
        <v>45895.4790625</v>
      </c>
      <c r="C274" s="1" t="n">
        <v>46182</v>
      </c>
      <c r="D274" t="inlineStr">
        <is>
          <t>ÖREBRO LÄN</t>
        </is>
      </c>
      <c r="E274" t="inlineStr">
        <is>
          <t>LINDESBERG</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40346-2025</t>
        </is>
      </c>
      <c r="B275" s="1" t="n">
        <v>45895.47704861111</v>
      </c>
      <c r="C275" s="1" t="n">
        <v>46182</v>
      </c>
      <c r="D275" t="inlineStr">
        <is>
          <t>ÖREBRO LÄN</t>
        </is>
      </c>
      <c r="E275" t="inlineStr">
        <is>
          <t>LINDESBERG</t>
        </is>
      </c>
      <c r="F275" t="inlineStr">
        <is>
          <t>Sveaskog</t>
        </is>
      </c>
      <c r="G275" t="n">
        <v>0.5</v>
      </c>
      <c r="H275" t="n">
        <v>0</v>
      </c>
      <c r="I275" t="n">
        <v>0</v>
      </c>
      <c r="J275" t="n">
        <v>0</v>
      </c>
      <c r="K275" t="n">
        <v>0</v>
      </c>
      <c r="L275" t="n">
        <v>0</v>
      </c>
      <c r="M275" t="n">
        <v>0</v>
      </c>
      <c r="N275" t="n">
        <v>0</v>
      </c>
      <c r="O275" t="n">
        <v>0</v>
      </c>
      <c r="P275" t="n">
        <v>0</v>
      </c>
      <c r="Q275" t="n">
        <v>0</v>
      </c>
      <c r="R275" s="2" t="inlineStr"/>
    </row>
    <row r="276" ht="15" customHeight="1">
      <c r="A276" t="inlineStr">
        <is>
          <t>A 2414-2024</t>
        </is>
      </c>
      <c r="B276" s="1" t="n">
        <v>45310.87931712963</v>
      </c>
      <c r="C276" s="1" t="n">
        <v>46182</v>
      </c>
      <c r="D276" t="inlineStr">
        <is>
          <t>ÖREBRO LÄN</t>
        </is>
      </c>
      <c r="E276" t="inlineStr">
        <is>
          <t>LINDESBERG</t>
        </is>
      </c>
      <c r="G276" t="n">
        <v>7.2</v>
      </c>
      <c r="H276" t="n">
        <v>0</v>
      </c>
      <c r="I276" t="n">
        <v>0</v>
      </c>
      <c r="J276" t="n">
        <v>0</v>
      </c>
      <c r="K276" t="n">
        <v>0</v>
      </c>
      <c r="L276" t="n">
        <v>0</v>
      </c>
      <c r="M276" t="n">
        <v>0</v>
      </c>
      <c r="N276" t="n">
        <v>0</v>
      </c>
      <c r="O276" t="n">
        <v>0</v>
      </c>
      <c r="P276" t="n">
        <v>0</v>
      </c>
      <c r="Q276" t="n">
        <v>0</v>
      </c>
      <c r="R276" s="2" t="inlineStr"/>
    </row>
    <row r="277" ht="15" customHeight="1">
      <c r="A277" t="inlineStr">
        <is>
          <t>A 40357-2025</t>
        </is>
      </c>
      <c r="B277" s="1" t="n">
        <v>45895.48927083334</v>
      </c>
      <c r="C277" s="1" t="n">
        <v>46182</v>
      </c>
      <c r="D277" t="inlineStr">
        <is>
          <t>ÖREBRO LÄN</t>
        </is>
      </c>
      <c r="E277" t="inlineStr">
        <is>
          <t>LINDESBERG</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1490-2024</t>
        </is>
      </c>
      <c r="B278" s="1" t="n">
        <v>45305</v>
      </c>
      <c r="C278" s="1" t="n">
        <v>46182</v>
      </c>
      <c r="D278" t="inlineStr">
        <is>
          <t>ÖREBRO LÄN</t>
        </is>
      </c>
      <c r="E278" t="inlineStr">
        <is>
          <t>LINDESBERG</t>
        </is>
      </c>
      <c r="G278" t="n">
        <v>17.6</v>
      </c>
      <c r="H278" t="n">
        <v>0</v>
      </c>
      <c r="I278" t="n">
        <v>0</v>
      </c>
      <c r="J278" t="n">
        <v>0</v>
      </c>
      <c r="K278" t="n">
        <v>0</v>
      </c>
      <c r="L278" t="n">
        <v>0</v>
      </c>
      <c r="M278" t="n">
        <v>0</v>
      </c>
      <c r="N278" t="n">
        <v>0</v>
      </c>
      <c r="O278" t="n">
        <v>0</v>
      </c>
      <c r="P278" t="n">
        <v>0</v>
      </c>
      <c r="Q278" t="n">
        <v>0</v>
      </c>
      <c r="R278" s="2" t="inlineStr"/>
    </row>
    <row r="279" ht="15" customHeight="1">
      <c r="A279" t="inlineStr">
        <is>
          <t>A 45062-2022</t>
        </is>
      </c>
      <c r="B279" s="1" t="n">
        <v>44841</v>
      </c>
      <c r="C279" s="1" t="n">
        <v>46182</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41889-2025</t>
        </is>
      </c>
      <c r="B280" s="1" t="n">
        <v>45903.37475694445</v>
      </c>
      <c r="C280" s="1" t="n">
        <v>46182</v>
      </c>
      <c r="D280" t="inlineStr">
        <is>
          <t>ÖREBRO LÄN</t>
        </is>
      </c>
      <c r="E280" t="inlineStr">
        <is>
          <t>LINDESBERG</t>
        </is>
      </c>
      <c r="F280" t="inlineStr">
        <is>
          <t>Sveaskog</t>
        </is>
      </c>
      <c r="G280" t="n">
        <v>7.7</v>
      </c>
      <c r="H280" t="n">
        <v>0</v>
      </c>
      <c r="I280" t="n">
        <v>0</v>
      </c>
      <c r="J280" t="n">
        <v>0</v>
      </c>
      <c r="K280" t="n">
        <v>0</v>
      </c>
      <c r="L280" t="n">
        <v>0</v>
      </c>
      <c r="M280" t="n">
        <v>0</v>
      </c>
      <c r="N280" t="n">
        <v>0</v>
      </c>
      <c r="O280" t="n">
        <v>0</v>
      </c>
      <c r="P280" t="n">
        <v>0</v>
      </c>
      <c r="Q280" t="n">
        <v>0</v>
      </c>
      <c r="R280" s="2" t="inlineStr"/>
    </row>
    <row r="281" ht="15" customHeight="1">
      <c r="A281" t="inlineStr">
        <is>
          <t>A 21012-2023</t>
        </is>
      </c>
      <c r="B281" s="1" t="n">
        <v>45061.52474537037</v>
      </c>
      <c r="C281" s="1" t="n">
        <v>46182</v>
      </c>
      <c r="D281" t="inlineStr">
        <is>
          <t>ÖREBRO LÄN</t>
        </is>
      </c>
      <c r="E281" t="inlineStr">
        <is>
          <t>LINDESBERG</t>
        </is>
      </c>
      <c r="G281" t="n">
        <v>0.5</v>
      </c>
      <c r="H281" t="n">
        <v>0</v>
      </c>
      <c r="I281" t="n">
        <v>0</v>
      </c>
      <c r="J281" t="n">
        <v>0</v>
      </c>
      <c r="K281" t="n">
        <v>0</v>
      </c>
      <c r="L281" t="n">
        <v>0</v>
      </c>
      <c r="M281" t="n">
        <v>0</v>
      </c>
      <c r="N281" t="n">
        <v>0</v>
      </c>
      <c r="O281" t="n">
        <v>0</v>
      </c>
      <c r="P281" t="n">
        <v>0</v>
      </c>
      <c r="Q281" t="n">
        <v>0</v>
      </c>
      <c r="R281" s="2" t="inlineStr"/>
    </row>
    <row r="282" ht="15" customHeight="1">
      <c r="A282" t="inlineStr">
        <is>
          <t>A 27434-2023</t>
        </is>
      </c>
      <c r="B282" s="1" t="n">
        <v>45097.38688657407</v>
      </c>
      <c r="C282" s="1" t="n">
        <v>46182</v>
      </c>
      <c r="D282" t="inlineStr">
        <is>
          <t>ÖREBRO LÄN</t>
        </is>
      </c>
      <c r="E282" t="inlineStr">
        <is>
          <t>LINDESBERG</t>
        </is>
      </c>
      <c r="G282" t="n">
        <v>10.7</v>
      </c>
      <c r="H282" t="n">
        <v>0</v>
      </c>
      <c r="I282" t="n">
        <v>0</v>
      </c>
      <c r="J282" t="n">
        <v>0</v>
      </c>
      <c r="K282" t="n">
        <v>0</v>
      </c>
      <c r="L282" t="n">
        <v>0</v>
      </c>
      <c r="M282" t="n">
        <v>0</v>
      </c>
      <c r="N282" t="n">
        <v>0</v>
      </c>
      <c r="O282" t="n">
        <v>0</v>
      </c>
      <c r="P282" t="n">
        <v>0</v>
      </c>
      <c r="Q282" t="n">
        <v>0</v>
      </c>
      <c r="R282" s="2" t="inlineStr"/>
    </row>
    <row r="283" ht="15" customHeight="1">
      <c r="A283" t="inlineStr">
        <is>
          <t>A 31018-2025</t>
        </is>
      </c>
      <c r="B283" s="1" t="n">
        <v>45832.51255787037</v>
      </c>
      <c r="C283" s="1" t="n">
        <v>46182</v>
      </c>
      <c r="D283" t="inlineStr">
        <is>
          <t>ÖREBRO LÄN</t>
        </is>
      </c>
      <c r="E283" t="inlineStr">
        <is>
          <t>LINDESBERG</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40456-2023</t>
        </is>
      </c>
      <c r="B284" s="1" t="n">
        <v>45170</v>
      </c>
      <c r="C284" s="1" t="n">
        <v>46182</v>
      </c>
      <c r="D284" t="inlineStr">
        <is>
          <t>ÖREBRO LÄN</t>
        </is>
      </c>
      <c r="E284" t="inlineStr">
        <is>
          <t>LINDESBERG</t>
        </is>
      </c>
      <c r="F284" t="inlineStr">
        <is>
          <t>Kyrkan</t>
        </is>
      </c>
      <c r="G284" t="n">
        <v>0.6</v>
      </c>
      <c r="H284" t="n">
        <v>0</v>
      </c>
      <c r="I284" t="n">
        <v>0</v>
      </c>
      <c r="J284" t="n">
        <v>0</v>
      </c>
      <c r="K284" t="n">
        <v>0</v>
      </c>
      <c r="L284" t="n">
        <v>0</v>
      </c>
      <c r="M284" t="n">
        <v>0</v>
      </c>
      <c r="N284" t="n">
        <v>0</v>
      </c>
      <c r="O284" t="n">
        <v>0</v>
      </c>
      <c r="P284" t="n">
        <v>0</v>
      </c>
      <c r="Q284" t="n">
        <v>0</v>
      </c>
      <c r="R284" s="2" t="inlineStr"/>
    </row>
    <row r="285" ht="15" customHeight="1">
      <c r="A285" t="inlineStr">
        <is>
          <t>A 31085-2025</t>
        </is>
      </c>
      <c r="B285" s="1" t="n">
        <v>45832.5902662037</v>
      </c>
      <c r="C285" s="1" t="n">
        <v>46182</v>
      </c>
      <c r="D285" t="inlineStr">
        <is>
          <t>ÖREBRO LÄN</t>
        </is>
      </c>
      <c r="E285" t="inlineStr">
        <is>
          <t>LINDESBERG</t>
        </is>
      </c>
      <c r="F285" t="inlineStr">
        <is>
          <t>Sveaskog</t>
        </is>
      </c>
      <c r="G285" t="n">
        <v>0.3</v>
      </c>
      <c r="H285" t="n">
        <v>0</v>
      </c>
      <c r="I285" t="n">
        <v>0</v>
      </c>
      <c r="J285" t="n">
        <v>0</v>
      </c>
      <c r="K285" t="n">
        <v>0</v>
      </c>
      <c r="L285" t="n">
        <v>0</v>
      </c>
      <c r="M285" t="n">
        <v>0</v>
      </c>
      <c r="N285" t="n">
        <v>0</v>
      </c>
      <c r="O285" t="n">
        <v>0</v>
      </c>
      <c r="P285" t="n">
        <v>0</v>
      </c>
      <c r="Q285" t="n">
        <v>0</v>
      </c>
      <c r="R285" s="2" t="inlineStr"/>
    </row>
    <row r="286" ht="15" customHeight="1">
      <c r="A286" t="inlineStr">
        <is>
          <t>A 7201-2024</t>
        </is>
      </c>
      <c r="B286" s="1" t="n">
        <v>45344.6027662037</v>
      </c>
      <c r="C286" s="1" t="n">
        <v>46182</v>
      </c>
      <c r="D286" t="inlineStr">
        <is>
          <t>ÖREBRO LÄN</t>
        </is>
      </c>
      <c r="E286" t="inlineStr">
        <is>
          <t>LINDESBERG</t>
        </is>
      </c>
      <c r="G286" t="n">
        <v>4.7</v>
      </c>
      <c r="H286" t="n">
        <v>0</v>
      </c>
      <c r="I286" t="n">
        <v>0</v>
      </c>
      <c r="J286" t="n">
        <v>0</v>
      </c>
      <c r="K286" t="n">
        <v>0</v>
      </c>
      <c r="L286" t="n">
        <v>0</v>
      </c>
      <c r="M286" t="n">
        <v>0</v>
      </c>
      <c r="N286" t="n">
        <v>0</v>
      </c>
      <c r="O286" t="n">
        <v>0</v>
      </c>
      <c r="P286" t="n">
        <v>0</v>
      </c>
      <c r="Q286" t="n">
        <v>0</v>
      </c>
      <c r="R286" s="2" t="inlineStr"/>
    </row>
    <row r="287" ht="15" customHeight="1">
      <c r="A287" t="inlineStr">
        <is>
          <t>A 5080-2024</t>
        </is>
      </c>
      <c r="B287" s="1" t="n">
        <v>45330</v>
      </c>
      <c r="C287" s="1" t="n">
        <v>46182</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42282-2024</t>
        </is>
      </c>
      <c r="B288" s="1" t="n">
        <v>45562.61158564815</v>
      </c>
      <c r="C288" s="1" t="n">
        <v>46182</v>
      </c>
      <c r="D288" t="inlineStr">
        <is>
          <t>ÖREBRO LÄN</t>
        </is>
      </c>
      <c r="E288" t="inlineStr">
        <is>
          <t>LINDESBERG</t>
        </is>
      </c>
      <c r="G288" t="n">
        <v>0.8</v>
      </c>
      <c r="H288" t="n">
        <v>0</v>
      </c>
      <c r="I288" t="n">
        <v>0</v>
      </c>
      <c r="J288" t="n">
        <v>0</v>
      </c>
      <c r="K288" t="n">
        <v>0</v>
      </c>
      <c r="L288" t="n">
        <v>0</v>
      </c>
      <c r="M288" t="n">
        <v>0</v>
      </c>
      <c r="N288" t="n">
        <v>0</v>
      </c>
      <c r="O288" t="n">
        <v>0</v>
      </c>
      <c r="P288" t="n">
        <v>0</v>
      </c>
      <c r="Q288" t="n">
        <v>0</v>
      </c>
      <c r="R288" s="2" t="inlineStr"/>
    </row>
    <row r="289" ht="15" customHeight="1">
      <c r="A289" t="inlineStr">
        <is>
          <t>A 31003-2025</t>
        </is>
      </c>
      <c r="B289" s="1" t="n">
        <v>45832.49579861111</v>
      </c>
      <c r="C289" s="1" t="n">
        <v>46182</v>
      </c>
      <c r="D289" t="inlineStr">
        <is>
          <t>ÖREBRO LÄN</t>
        </is>
      </c>
      <c r="E289" t="inlineStr">
        <is>
          <t>LINDESBERG</t>
        </is>
      </c>
      <c r="F289" t="inlineStr">
        <is>
          <t>Sveaskog</t>
        </is>
      </c>
      <c r="G289" t="n">
        <v>0.5</v>
      </c>
      <c r="H289" t="n">
        <v>0</v>
      </c>
      <c r="I289" t="n">
        <v>0</v>
      </c>
      <c r="J289" t="n">
        <v>0</v>
      </c>
      <c r="K289" t="n">
        <v>0</v>
      </c>
      <c r="L289" t="n">
        <v>0</v>
      </c>
      <c r="M289" t="n">
        <v>0</v>
      </c>
      <c r="N289" t="n">
        <v>0</v>
      </c>
      <c r="O289" t="n">
        <v>0</v>
      </c>
      <c r="P289" t="n">
        <v>0</v>
      </c>
      <c r="Q289" t="n">
        <v>0</v>
      </c>
      <c r="R289" s="2" t="inlineStr"/>
    </row>
    <row r="290" ht="15" customHeight="1">
      <c r="A290" t="inlineStr">
        <is>
          <t>A 31014-2025</t>
        </is>
      </c>
      <c r="B290" s="1" t="n">
        <v>45832.51028935185</v>
      </c>
      <c r="C290" s="1" t="n">
        <v>46182</v>
      </c>
      <c r="D290" t="inlineStr">
        <is>
          <t>ÖREBRO LÄN</t>
        </is>
      </c>
      <c r="E290" t="inlineStr">
        <is>
          <t>LINDESBERG</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32262-2021</t>
        </is>
      </c>
      <c r="B291" s="1" t="n">
        <v>44371.47609953704</v>
      </c>
      <c r="C291" s="1" t="n">
        <v>46182</v>
      </c>
      <c r="D291" t="inlineStr">
        <is>
          <t>ÖREBRO LÄN</t>
        </is>
      </c>
      <c r="E291" t="inlineStr">
        <is>
          <t>LINDESBERG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32284-2025</t>
        </is>
      </c>
      <c r="B292" s="1" t="n">
        <v>45835.68443287037</v>
      </c>
      <c r="C292" s="1" t="n">
        <v>46182</v>
      </c>
      <c r="D292" t="inlineStr">
        <is>
          <t>ÖREBRO LÄN</t>
        </is>
      </c>
      <c r="E292" t="inlineStr">
        <is>
          <t>LINDESBERG</t>
        </is>
      </c>
      <c r="G292" t="n">
        <v>1.1</v>
      </c>
      <c r="H292" t="n">
        <v>0</v>
      </c>
      <c r="I292" t="n">
        <v>0</v>
      </c>
      <c r="J292" t="n">
        <v>0</v>
      </c>
      <c r="K292" t="n">
        <v>0</v>
      </c>
      <c r="L292" t="n">
        <v>0</v>
      </c>
      <c r="M292" t="n">
        <v>0</v>
      </c>
      <c r="N292" t="n">
        <v>0</v>
      </c>
      <c r="O292" t="n">
        <v>0</v>
      </c>
      <c r="P292" t="n">
        <v>0</v>
      </c>
      <c r="Q292" t="n">
        <v>0</v>
      </c>
      <c r="R292" s="2" t="inlineStr"/>
    </row>
    <row r="293" ht="15" customHeight="1">
      <c r="A293" t="inlineStr">
        <is>
          <t>A 15899-2025</t>
        </is>
      </c>
      <c r="B293" s="1" t="n">
        <v>45749.42258101852</v>
      </c>
      <c r="C293" s="1" t="n">
        <v>46182</v>
      </c>
      <c r="D293" t="inlineStr">
        <is>
          <t>ÖREBRO LÄN</t>
        </is>
      </c>
      <c r="E293" t="inlineStr">
        <is>
          <t>LINDESBERG</t>
        </is>
      </c>
      <c r="G293" t="n">
        <v>6.6</v>
      </c>
      <c r="H293" t="n">
        <v>0</v>
      </c>
      <c r="I293" t="n">
        <v>0</v>
      </c>
      <c r="J293" t="n">
        <v>0</v>
      </c>
      <c r="K293" t="n">
        <v>0</v>
      </c>
      <c r="L293" t="n">
        <v>0</v>
      </c>
      <c r="M293" t="n">
        <v>0</v>
      </c>
      <c r="N293" t="n">
        <v>0</v>
      </c>
      <c r="O293" t="n">
        <v>0</v>
      </c>
      <c r="P293" t="n">
        <v>0</v>
      </c>
      <c r="Q293" t="n">
        <v>0</v>
      </c>
      <c r="R293" s="2" t="inlineStr"/>
    </row>
    <row r="294" ht="15" customHeight="1">
      <c r="A294" t="inlineStr">
        <is>
          <t>A 27576-2024</t>
        </is>
      </c>
      <c r="B294" s="1" t="n">
        <v>45474.65005787037</v>
      </c>
      <c r="C294" s="1" t="n">
        <v>46182</v>
      </c>
      <c r="D294" t="inlineStr">
        <is>
          <t>ÖREBRO LÄN</t>
        </is>
      </c>
      <c r="E294" t="inlineStr">
        <is>
          <t>LINDESBERG</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32099-2024</t>
        </is>
      </c>
      <c r="B295" s="1" t="n">
        <v>45511.40297453704</v>
      </c>
      <c r="C295" s="1" t="n">
        <v>46182</v>
      </c>
      <c r="D295" t="inlineStr">
        <is>
          <t>ÖREBRO LÄN</t>
        </is>
      </c>
      <c r="E295" t="inlineStr">
        <is>
          <t>LINDESBERG</t>
        </is>
      </c>
      <c r="G295" t="n">
        <v>2.3</v>
      </c>
      <c r="H295" t="n">
        <v>0</v>
      </c>
      <c r="I295" t="n">
        <v>0</v>
      </c>
      <c r="J295" t="n">
        <v>0</v>
      </c>
      <c r="K295" t="n">
        <v>0</v>
      </c>
      <c r="L295" t="n">
        <v>0</v>
      </c>
      <c r="M295" t="n">
        <v>0</v>
      </c>
      <c r="N295" t="n">
        <v>0</v>
      </c>
      <c r="O295" t="n">
        <v>0</v>
      </c>
      <c r="P295" t="n">
        <v>0</v>
      </c>
      <c r="Q295" t="n">
        <v>0</v>
      </c>
      <c r="R295" s="2" t="inlineStr"/>
    </row>
    <row r="296" ht="15" customHeight="1">
      <c r="A296" t="inlineStr">
        <is>
          <t>A 52284-2024</t>
        </is>
      </c>
      <c r="B296" s="1" t="n">
        <v>45608</v>
      </c>
      <c r="C296" s="1" t="n">
        <v>46182</v>
      </c>
      <c r="D296" t="inlineStr">
        <is>
          <t>ÖREBRO LÄN</t>
        </is>
      </c>
      <c r="E296" t="inlineStr">
        <is>
          <t>LINDESBERG</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8836-2023</t>
        </is>
      </c>
      <c r="B297" s="1" t="n">
        <v>44978</v>
      </c>
      <c r="C297" s="1" t="n">
        <v>46182</v>
      </c>
      <c r="D297" t="inlineStr">
        <is>
          <t>ÖREBRO LÄN</t>
        </is>
      </c>
      <c r="E297" t="inlineStr">
        <is>
          <t>LINDESBERG</t>
        </is>
      </c>
      <c r="G297" t="n">
        <v>1</v>
      </c>
      <c r="H297" t="n">
        <v>0</v>
      </c>
      <c r="I297" t="n">
        <v>0</v>
      </c>
      <c r="J297" t="n">
        <v>0</v>
      </c>
      <c r="K297" t="n">
        <v>0</v>
      </c>
      <c r="L297" t="n">
        <v>0</v>
      </c>
      <c r="M297" t="n">
        <v>0</v>
      </c>
      <c r="N297" t="n">
        <v>0</v>
      </c>
      <c r="O297" t="n">
        <v>0</v>
      </c>
      <c r="P297" t="n">
        <v>0</v>
      </c>
      <c r="Q297" t="n">
        <v>0</v>
      </c>
      <c r="R297" s="2" t="inlineStr"/>
    </row>
    <row r="298" ht="15" customHeight="1">
      <c r="A298" t="inlineStr">
        <is>
          <t>A 15895-2025</t>
        </is>
      </c>
      <c r="B298" s="1" t="n">
        <v>45749</v>
      </c>
      <c r="C298" s="1" t="n">
        <v>46182</v>
      </c>
      <c r="D298" t="inlineStr">
        <is>
          <t>ÖREBRO LÄN</t>
        </is>
      </c>
      <c r="E298" t="inlineStr">
        <is>
          <t>LINDESBERG</t>
        </is>
      </c>
      <c r="G298" t="n">
        <v>1</v>
      </c>
      <c r="H298" t="n">
        <v>0</v>
      </c>
      <c r="I298" t="n">
        <v>0</v>
      </c>
      <c r="J298" t="n">
        <v>0</v>
      </c>
      <c r="K298" t="n">
        <v>0</v>
      </c>
      <c r="L298" t="n">
        <v>0</v>
      </c>
      <c r="M298" t="n">
        <v>0</v>
      </c>
      <c r="N298" t="n">
        <v>0</v>
      </c>
      <c r="O298" t="n">
        <v>0</v>
      </c>
      <c r="P298" t="n">
        <v>0</v>
      </c>
      <c r="Q298" t="n">
        <v>0</v>
      </c>
      <c r="R298" s="2" t="inlineStr"/>
    </row>
    <row r="299" ht="15" customHeight="1">
      <c r="A299" t="inlineStr">
        <is>
          <t>A 5772-2023</t>
        </is>
      </c>
      <c r="B299" s="1" t="n">
        <v>44963.37709490741</v>
      </c>
      <c r="C299" s="1" t="n">
        <v>46182</v>
      </c>
      <c r="D299" t="inlineStr">
        <is>
          <t>ÖREBRO LÄN</t>
        </is>
      </c>
      <c r="E299" t="inlineStr">
        <is>
          <t>LINDESBERG</t>
        </is>
      </c>
      <c r="G299" t="n">
        <v>3</v>
      </c>
      <c r="H299" t="n">
        <v>0</v>
      </c>
      <c r="I299" t="n">
        <v>0</v>
      </c>
      <c r="J299" t="n">
        <v>0</v>
      </c>
      <c r="K299" t="n">
        <v>0</v>
      </c>
      <c r="L299" t="n">
        <v>0</v>
      </c>
      <c r="M299" t="n">
        <v>0</v>
      </c>
      <c r="N299" t="n">
        <v>0</v>
      </c>
      <c r="O299" t="n">
        <v>0</v>
      </c>
      <c r="P299" t="n">
        <v>0</v>
      </c>
      <c r="Q299" t="n">
        <v>0</v>
      </c>
      <c r="R299" s="2" t="inlineStr"/>
    </row>
    <row r="300" ht="15" customHeight="1">
      <c r="A300" t="inlineStr">
        <is>
          <t>A 56561-2023</t>
        </is>
      </c>
      <c r="B300" s="1" t="n">
        <v>45243</v>
      </c>
      <c r="C300" s="1" t="n">
        <v>46182</v>
      </c>
      <c r="D300" t="inlineStr">
        <is>
          <t>ÖREBRO LÄN</t>
        </is>
      </c>
      <c r="E300" t="inlineStr">
        <is>
          <t>LINDESBERG</t>
        </is>
      </c>
      <c r="G300" t="n">
        <v>1.9</v>
      </c>
      <c r="H300" t="n">
        <v>0</v>
      </c>
      <c r="I300" t="n">
        <v>0</v>
      </c>
      <c r="J300" t="n">
        <v>0</v>
      </c>
      <c r="K300" t="n">
        <v>0</v>
      </c>
      <c r="L300" t="n">
        <v>0</v>
      </c>
      <c r="M300" t="n">
        <v>0</v>
      </c>
      <c r="N300" t="n">
        <v>0</v>
      </c>
      <c r="O300" t="n">
        <v>0</v>
      </c>
      <c r="P300" t="n">
        <v>0</v>
      </c>
      <c r="Q300" t="n">
        <v>0</v>
      </c>
      <c r="R300" s="2" t="inlineStr"/>
    </row>
    <row r="301" ht="15" customHeight="1">
      <c r="A301" t="inlineStr">
        <is>
          <t>A 52930-2024</t>
        </is>
      </c>
      <c r="B301" s="1" t="n">
        <v>45610.7466087963</v>
      </c>
      <c r="C301" s="1" t="n">
        <v>46182</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56579-2023</t>
        </is>
      </c>
      <c r="B302" s="1" t="n">
        <v>45243.62420138889</v>
      </c>
      <c r="C302" s="1" t="n">
        <v>46182</v>
      </c>
      <c r="D302" t="inlineStr">
        <is>
          <t>ÖREBRO LÄN</t>
        </is>
      </c>
      <c r="E302" t="inlineStr">
        <is>
          <t>LINDESBERG</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56582-2023</t>
        </is>
      </c>
      <c r="B303" s="1" t="n">
        <v>45243</v>
      </c>
      <c r="C303" s="1" t="n">
        <v>46182</v>
      </c>
      <c r="D303" t="inlineStr">
        <is>
          <t>ÖREBRO LÄN</t>
        </is>
      </c>
      <c r="E303" t="inlineStr">
        <is>
          <t>LINDESBERG</t>
        </is>
      </c>
      <c r="F303" t="inlineStr">
        <is>
          <t>Naturvårdsverket</t>
        </is>
      </c>
      <c r="G303" t="n">
        <v>2.3</v>
      </c>
      <c r="H303" t="n">
        <v>0</v>
      </c>
      <c r="I303" t="n">
        <v>0</v>
      </c>
      <c r="J303" t="n">
        <v>0</v>
      </c>
      <c r="K303" t="n">
        <v>0</v>
      </c>
      <c r="L303" t="n">
        <v>0</v>
      </c>
      <c r="M303" t="n">
        <v>0</v>
      </c>
      <c r="N303" t="n">
        <v>0</v>
      </c>
      <c r="O303" t="n">
        <v>0</v>
      </c>
      <c r="P303" t="n">
        <v>0</v>
      </c>
      <c r="Q303" t="n">
        <v>0</v>
      </c>
      <c r="R303" s="2" t="inlineStr"/>
    </row>
    <row r="304" ht="15" customHeight="1">
      <c r="A304" t="inlineStr">
        <is>
          <t>A 41947-2023</t>
        </is>
      </c>
      <c r="B304" s="1" t="n">
        <v>45177.31795138889</v>
      </c>
      <c r="C304" s="1" t="n">
        <v>46182</v>
      </c>
      <c r="D304" t="inlineStr">
        <is>
          <t>ÖREBRO LÄN</t>
        </is>
      </c>
      <c r="E304" t="inlineStr">
        <is>
          <t>LINDESBERG</t>
        </is>
      </c>
      <c r="F304" t="inlineStr">
        <is>
          <t>Kyrkan</t>
        </is>
      </c>
      <c r="G304" t="n">
        <v>0.7</v>
      </c>
      <c r="H304" t="n">
        <v>0</v>
      </c>
      <c r="I304" t="n">
        <v>0</v>
      </c>
      <c r="J304" t="n">
        <v>0</v>
      </c>
      <c r="K304" t="n">
        <v>0</v>
      </c>
      <c r="L304" t="n">
        <v>0</v>
      </c>
      <c r="M304" t="n">
        <v>0</v>
      </c>
      <c r="N304" t="n">
        <v>0</v>
      </c>
      <c r="O304" t="n">
        <v>0</v>
      </c>
      <c r="P304" t="n">
        <v>0</v>
      </c>
      <c r="Q304" t="n">
        <v>0</v>
      </c>
      <c r="R304" s="2" t="inlineStr"/>
    </row>
    <row r="305" ht="15" customHeight="1">
      <c r="A305" t="inlineStr">
        <is>
          <t>A 37738-2024</t>
        </is>
      </c>
      <c r="B305" s="1" t="n">
        <v>45541.66916666667</v>
      </c>
      <c r="C305" s="1" t="n">
        <v>46182</v>
      </c>
      <c r="D305" t="inlineStr">
        <is>
          <t>ÖREBRO LÄN</t>
        </is>
      </c>
      <c r="E305" t="inlineStr">
        <is>
          <t>LINDESBERG</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42630-2025</t>
        </is>
      </c>
      <c r="B306" s="1" t="n">
        <v>45905.89143518519</v>
      </c>
      <c r="C306" s="1" t="n">
        <v>46182</v>
      </c>
      <c r="D306" t="inlineStr">
        <is>
          <t>ÖREBRO LÄN</t>
        </is>
      </c>
      <c r="E306" t="inlineStr">
        <is>
          <t>LINDESBERG</t>
        </is>
      </c>
      <c r="F306" t="inlineStr">
        <is>
          <t>Sveaskog</t>
        </is>
      </c>
      <c r="G306" t="n">
        <v>9.9</v>
      </c>
      <c r="H306" t="n">
        <v>0</v>
      </c>
      <c r="I306" t="n">
        <v>0</v>
      </c>
      <c r="J306" t="n">
        <v>0</v>
      </c>
      <c r="K306" t="n">
        <v>0</v>
      </c>
      <c r="L306" t="n">
        <v>0</v>
      </c>
      <c r="M306" t="n">
        <v>0</v>
      </c>
      <c r="N306" t="n">
        <v>0</v>
      </c>
      <c r="O306" t="n">
        <v>0</v>
      </c>
      <c r="P306" t="n">
        <v>0</v>
      </c>
      <c r="Q306" t="n">
        <v>0</v>
      </c>
      <c r="R306" s="2" t="inlineStr"/>
    </row>
    <row r="307" ht="15" customHeight="1">
      <c r="A307" t="inlineStr">
        <is>
          <t>A 36024-2021</t>
        </is>
      </c>
      <c r="B307" s="1" t="n">
        <v>44389</v>
      </c>
      <c r="C307" s="1" t="n">
        <v>46182</v>
      </c>
      <c r="D307" t="inlineStr">
        <is>
          <t>ÖREBRO LÄN</t>
        </is>
      </c>
      <c r="E307" t="inlineStr">
        <is>
          <t>LINDESBERG</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42631-2025</t>
        </is>
      </c>
      <c r="B308" s="1" t="n">
        <v>45905.89236111111</v>
      </c>
      <c r="C308" s="1" t="n">
        <v>46182</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15933-2025</t>
        </is>
      </c>
      <c r="B309" s="1" t="n">
        <v>45749.47251157407</v>
      </c>
      <c r="C309" s="1" t="n">
        <v>46182</v>
      </c>
      <c r="D309" t="inlineStr">
        <is>
          <t>ÖREBRO LÄN</t>
        </is>
      </c>
      <c r="E309" t="inlineStr">
        <is>
          <t>LINDESBERG</t>
        </is>
      </c>
      <c r="G309" t="n">
        <v>6.1</v>
      </c>
      <c r="H309" t="n">
        <v>0</v>
      </c>
      <c r="I309" t="n">
        <v>0</v>
      </c>
      <c r="J309" t="n">
        <v>0</v>
      </c>
      <c r="K309" t="n">
        <v>0</v>
      </c>
      <c r="L309" t="n">
        <v>0</v>
      </c>
      <c r="M309" t="n">
        <v>0</v>
      </c>
      <c r="N309" t="n">
        <v>0</v>
      </c>
      <c r="O309" t="n">
        <v>0</v>
      </c>
      <c r="P309" t="n">
        <v>0</v>
      </c>
      <c r="Q309" t="n">
        <v>0</v>
      </c>
      <c r="R309" s="2" t="inlineStr"/>
    </row>
    <row r="310" ht="15" customHeight="1">
      <c r="A310" t="inlineStr">
        <is>
          <t>A 11559-2024</t>
        </is>
      </c>
      <c r="B310" s="1" t="n">
        <v>45373.30434027778</v>
      </c>
      <c r="C310" s="1" t="n">
        <v>46182</v>
      </c>
      <c r="D310" t="inlineStr">
        <is>
          <t>ÖREBRO LÄN</t>
        </is>
      </c>
      <c r="E310" t="inlineStr">
        <is>
          <t>LINDESBERG</t>
        </is>
      </c>
      <c r="F310" t="inlineStr">
        <is>
          <t>BillerudKorsnäs AB</t>
        </is>
      </c>
      <c r="G310" t="n">
        <v>1.9</v>
      </c>
      <c r="H310" t="n">
        <v>0</v>
      </c>
      <c r="I310" t="n">
        <v>0</v>
      </c>
      <c r="J310" t="n">
        <v>0</v>
      </c>
      <c r="K310" t="n">
        <v>0</v>
      </c>
      <c r="L310" t="n">
        <v>0</v>
      </c>
      <c r="M310" t="n">
        <v>0</v>
      </c>
      <c r="N310" t="n">
        <v>0</v>
      </c>
      <c r="O310" t="n">
        <v>0</v>
      </c>
      <c r="P310" t="n">
        <v>0</v>
      </c>
      <c r="Q310" t="n">
        <v>0</v>
      </c>
      <c r="R310" s="2" t="inlineStr"/>
    </row>
    <row r="311" ht="15" customHeight="1">
      <c r="A311" t="inlineStr">
        <is>
          <t>A 13472-2023</t>
        </is>
      </c>
      <c r="B311" s="1" t="n">
        <v>45005</v>
      </c>
      <c r="C311" s="1" t="n">
        <v>46182</v>
      </c>
      <c r="D311" t="inlineStr">
        <is>
          <t>ÖREBRO LÄN</t>
        </is>
      </c>
      <c r="E311" t="inlineStr">
        <is>
          <t>LINDESBERG</t>
        </is>
      </c>
      <c r="G311" t="n">
        <v>2.5</v>
      </c>
      <c r="H311" t="n">
        <v>0</v>
      </c>
      <c r="I311" t="n">
        <v>0</v>
      </c>
      <c r="J311" t="n">
        <v>0</v>
      </c>
      <c r="K311" t="n">
        <v>0</v>
      </c>
      <c r="L311" t="n">
        <v>0</v>
      </c>
      <c r="M311" t="n">
        <v>0</v>
      </c>
      <c r="N311" t="n">
        <v>0</v>
      </c>
      <c r="O311" t="n">
        <v>0</v>
      </c>
      <c r="P311" t="n">
        <v>0</v>
      </c>
      <c r="Q311" t="n">
        <v>0</v>
      </c>
      <c r="R311" s="2" t="inlineStr"/>
    </row>
    <row r="312" ht="15" customHeight="1">
      <c r="A312" t="inlineStr">
        <is>
          <t>A 62968-2023</t>
        </is>
      </c>
      <c r="B312" s="1" t="n">
        <v>45272.57385416667</v>
      </c>
      <c r="C312" s="1" t="n">
        <v>46182</v>
      </c>
      <c r="D312" t="inlineStr">
        <is>
          <t>ÖREBRO LÄN</t>
        </is>
      </c>
      <c r="E312" t="inlineStr">
        <is>
          <t>LINDESBERG</t>
        </is>
      </c>
      <c r="G312" t="n">
        <v>0.6</v>
      </c>
      <c r="H312" t="n">
        <v>0</v>
      </c>
      <c r="I312" t="n">
        <v>0</v>
      </c>
      <c r="J312" t="n">
        <v>0</v>
      </c>
      <c r="K312" t="n">
        <v>0</v>
      </c>
      <c r="L312" t="n">
        <v>0</v>
      </c>
      <c r="M312" t="n">
        <v>0</v>
      </c>
      <c r="N312" t="n">
        <v>0</v>
      </c>
      <c r="O312" t="n">
        <v>0</v>
      </c>
      <c r="P312" t="n">
        <v>0</v>
      </c>
      <c r="Q312" t="n">
        <v>0</v>
      </c>
      <c r="R312" s="2" t="inlineStr"/>
    </row>
    <row r="313" ht="15" customHeight="1">
      <c r="A313" t="inlineStr">
        <is>
          <t>A 37843-2025</t>
        </is>
      </c>
      <c r="B313" s="1" t="n">
        <v>45881.43759259259</v>
      </c>
      <c r="C313" s="1" t="n">
        <v>46182</v>
      </c>
      <c r="D313" t="inlineStr">
        <is>
          <t>ÖREBRO LÄN</t>
        </is>
      </c>
      <c r="E313" t="inlineStr">
        <is>
          <t>LINDESBERG</t>
        </is>
      </c>
      <c r="G313" t="n">
        <v>5.2</v>
      </c>
      <c r="H313" t="n">
        <v>0</v>
      </c>
      <c r="I313" t="n">
        <v>0</v>
      </c>
      <c r="J313" t="n">
        <v>0</v>
      </c>
      <c r="K313" t="n">
        <v>0</v>
      </c>
      <c r="L313" t="n">
        <v>0</v>
      </c>
      <c r="M313" t="n">
        <v>0</v>
      </c>
      <c r="N313" t="n">
        <v>0</v>
      </c>
      <c r="O313" t="n">
        <v>0</v>
      </c>
      <c r="P313" t="n">
        <v>0</v>
      </c>
      <c r="Q313" t="n">
        <v>0</v>
      </c>
      <c r="R313" s="2" t="inlineStr"/>
    </row>
    <row r="314" ht="15" customHeight="1">
      <c r="A314" t="inlineStr">
        <is>
          <t>A 17087-2023</t>
        </is>
      </c>
      <c r="B314" s="1" t="n">
        <v>45034.5174537037</v>
      </c>
      <c r="C314" s="1" t="n">
        <v>46182</v>
      </c>
      <c r="D314" t="inlineStr">
        <is>
          <t>ÖREBRO LÄN</t>
        </is>
      </c>
      <c r="E314" t="inlineStr">
        <is>
          <t>LINDESBERG</t>
        </is>
      </c>
      <c r="G314" t="n">
        <v>2.7</v>
      </c>
      <c r="H314" t="n">
        <v>0</v>
      </c>
      <c r="I314" t="n">
        <v>0</v>
      </c>
      <c r="J314" t="n">
        <v>0</v>
      </c>
      <c r="K314" t="n">
        <v>0</v>
      </c>
      <c r="L314" t="n">
        <v>0</v>
      </c>
      <c r="M314" t="n">
        <v>0</v>
      </c>
      <c r="N314" t="n">
        <v>0</v>
      </c>
      <c r="O314" t="n">
        <v>0</v>
      </c>
      <c r="P314" t="n">
        <v>0</v>
      </c>
      <c r="Q314" t="n">
        <v>0</v>
      </c>
      <c r="R314" s="2" t="inlineStr"/>
    </row>
    <row r="315" ht="15" customHeight="1">
      <c r="A315" t="inlineStr">
        <is>
          <t>A 32727-2024</t>
        </is>
      </c>
      <c r="B315" s="1" t="n">
        <v>45516.4221412037</v>
      </c>
      <c r="C315" s="1" t="n">
        <v>46182</v>
      </c>
      <c r="D315" t="inlineStr">
        <is>
          <t>ÖREBRO LÄN</t>
        </is>
      </c>
      <c r="E315" t="inlineStr">
        <is>
          <t>LINDESBERG</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46484-2024</t>
        </is>
      </c>
      <c r="B316" s="1" t="n">
        <v>45582.57542824074</v>
      </c>
      <c r="C316" s="1" t="n">
        <v>46182</v>
      </c>
      <c r="D316" t="inlineStr">
        <is>
          <t>ÖREBRO LÄN</t>
        </is>
      </c>
      <c r="E316" t="inlineStr">
        <is>
          <t>LINDESBERG</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43847-2025</t>
        </is>
      </c>
      <c r="B317" s="1" t="n">
        <v>45912.63751157407</v>
      </c>
      <c r="C317" s="1" t="n">
        <v>46182</v>
      </c>
      <c r="D317" t="inlineStr">
        <is>
          <t>ÖREBRO LÄN</t>
        </is>
      </c>
      <c r="E317" t="inlineStr">
        <is>
          <t>LINDESBERG</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15936-2025</t>
        </is>
      </c>
      <c r="B318" s="1" t="n">
        <v>45749.4737962963</v>
      </c>
      <c r="C318" s="1" t="n">
        <v>46182</v>
      </c>
      <c r="D318" t="inlineStr">
        <is>
          <t>ÖREBRO LÄN</t>
        </is>
      </c>
      <c r="E318" t="inlineStr">
        <is>
          <t>LINDESBERG</t>
        </is>
      </c>
      <c r="G318" t="n">
        <v>22.3</v>
      </c>
      <c r="H318" t="n">
        <v>0</v>
      </c>
      <c r="I318" t="n">
        <v>0</v>
      </c>
      <c r="J318" t="n">
        <v>0</v>
      </c>
      <c r="K318" t="n">
        <v>0</v>
      </c>
      <c r="L318" t="n">
        <v>0</v>
      </c>
      <c r="M318" t="n">
        <v>0</v>
      </c>
      <c r="N318" t="n">
        <v>0</v>
      </c>
      <c r="O318" t="n">
        <v>0</v>
      </c>
      <c r="P318" t="n">
        <v>0</v>
      </c>
      <c r="Q318" t="n">
        <v>0</v>
      </c>
      <c r="R318" s="2" t="inlineStr"/>
    </row>
    <row r="319" ht="15" customHeight="1">
      <c r="A319" t="inlineStr">
        <is>
          <t>A 34104-2025</t>
        </is>
      </c>
      <c r="B319" s="1" t="n">
        <v>45845.49216435185</v>
      </c>
      <c r="C319" s="1" t="n">
        <v>46182</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10564-2023</t>
        </is>
      </c>
      <c r="B320" s="1" t="n">
        <v>44988</v>
      </c>
      <c r="C320" s="1" t="n">
        <v>46182</v>
      </c>
      <c r="D320" t="inlineStr">
        <is>
          <t>ÖREBRO LÄN</t>
        </is>
      </c>
      <c r="E320" t="inlineStr">
        <is>
          <t>LINDESBERG</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43837-2025</t>
        </is>
      </c>
      <c r="B321" s="1" t="n">
        <v>45912.63451388889</v>
      </c>
      <c r="C321" s="1" t="n">
        <v>46182</v>
      </c>
      <c r="D321" t="inlineStr">
        <is>
          <t>ÖREBRO LÄN</t>
        </is>
      </c>
      <c r="E321" t="inlineStr">
        <is>
          <t>LINDESBERG</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33574-2024</t>
        </is>
      </c>
      <c r="B322" s="1" t="n">
        <v>45520.32887731482</v>
      </c>
      <c r="C322" s="1" t="n">
        <v>46182</v>
      </c>
      <c r="D322" t="inlineStr">
        <is>
          <t>ÖREBRO LÄN</t>
        </is>
      </c>
      <c r="E322" t="inlineStr">
        <is>
          <t>LINDESBERG</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30830-2024</t>
        </is>
      </c>
      <c r="B323" s="1" t="n">
        <v>45497</v>
      </c>
      <c r="C323" s="1" t="n">
        <v>46182</v>
      </c>
      <c r="D323" t="inlineStr">
        <is>
          <t>ÖREBRO LÄN</t>
        </is>
      </c>
      <c r="E323" t="inlineStr">
        <is>
          <t>LINDESBERG</t>
        </is>
      </c>
      <c r="G323" t="n">
        <v>2.8</v>
      </c>
      <c r="H323" t="n">
        <v>0</v>
      </c>
      <c r="I323" t="n">
        <v>0</v>
      </c>
      <c r="J323" t="n">
        <v>0</v>
      </c>
      <c r="K323" t="n">
        <v>0</v>
      </c>
      <c r="L323" t="n">
        <v>0</v>
      </c>
      <c r="M323" t="n">
        <v>0</v>
      </c>
      <c r="N323" t="n">
        <v>0</v>
      </c>
      <c r="O323" t="n">
        <v>0</v>
      </c>
      <c r="P323" t="n">
        <v>0</v>
      </c>
      <c r="Q323" t="n">
        <v>0</v>
      </c>
      <c r="R323" s="2" t="inlineStr"/>
    </row>
    <row r="324" ht="15" customHeight="1">
      <c r="A324" t="inlineStr">
        <is>
          <t>A 43836-2025</t>
        </is>
      </c>
      <c r="B324" s="1" t="n">
        <v>45912.63359953704</v>
      </c>
      <c r="C324" s="1" t="n">
        <v>46182</v>
      </c>
      <c r="D324" t="inlineStr">
        <is>
          <t>ÖREBRO LÄN</t>
        </is>
      </c>
      <c r="E324" t="inlineStr">
        <is>
          <t>LINDESBERG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34097-2025</t>
        </is>
      </c>
      <c r="B325" s="1" t="n">
        <v>45845.4855787037</v>
      </c>
      <c r="C325" s="1" t="n">
        <v>46182</v>
      </c>
      <c r="D325" t="inlineStr">
        <is>
          <t>ÖREBRO LÄN</t>
        </is>
      </c>
      <c r="E325" t="inlineStr">
        <is>
          <t>LINDESBERG</t>
        </is>
      </c>
      <c r="G325" t="n">
        <v>1.2</v>
      </c>
      <c r="H325" t="n">
        <v>0</v>
      </c>
      <c r="I325" t="n">
        <v>0</v>
      </c>
      <c r="J325" t="n">
        <v>0</v>
      </c>
      <c r="K325" t="n">
        <v>0</v>
      </c>
      <c r="L325" t="n">
        <v>0</v>
      </c>
      <c r="M325" t="n">
        <v>0</v>
      </c>
      <c r="N325" t="n">
        <v>0</v>
      </c>
      <c r="O325" t="n">
        <v>0</v>
      </c>
      <c r="P325" t="n">
        <v>0</v>
      </c>
      <c r="Q325" t="n">
        <v>0</v>
      </c>
      <c r="R325" s="2" t="inlineStr"/>
    </row>
    <row r="326" ht="15" customHeight="1">
      <c r="A326" t="inlineStr">
        <is>
          <t>A 36291-2022</t>
        </is>
      </c>
      <c r="B326" s="1" t="n">
        <v>44803.64361111111</v>
      </c>
      <c r="C326" s="1" t="n">
        <v>46182</v>
      </c>
      <c r="D326" t="inlineStr">
        <is>
          <t>ÖREBRO LÄN</t>
        </is>
      </c>
      <c r="E326" t="inlineStr">
        <is>
          <t>LINDESBERG</t>
        </is>
      </c>
      <c r="G326" t="n">
        <v>3.8</v>
      </c>
      <c r="H326" t="n">
        <v>0</v>
      </c>
      <c r="I326" t="n">
        <v>0</v>
      </c>
      <c r="J326" t="n">
        <v>0</v>
      </c>
      <c r="K326" t="n">
        <v>0</v>
      </c>
      <c r="L326" t="n">
        <v>0</v>
      </c>
      <c r="M326" t="n">
        <v>0</v>
      </c>
      <c r="N326" t="n">
        <v>0</v>
      </c>
      <c r="O326" t="n">
        <v>0</v>
      </c>
      <c r="P326" t="n">
        <v>0</v>
      </c>
      <c r="Q326" t="n">
        <v>0</v>
      </c>
      <c r="R326" s="2" t="inlineStr"/>
    </row>
    <row r="327" ht="15" customHeight="1">
      <c r="A327" t="inlineStr">
        <is>
          <t>A 41576-2021</t>
        </is>
      </c>
      <c r="B327" s="1" t="n">
        <v>44425</v>
      </c>
      <c r="C327" s="1" t="n">
        <v>46182</v>
      </c>
      <c r="D327" t="inlineStr">
        <is>
          <t>ÖREBRO LÄN</t>
        </is>
      </c>
      <c r="E327" t="inlineStr">
        <is>
          <t>LINDESBERG</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10836-2024</t>
        </is>
      </c>
      <c r="B328" s="1" t="n">
        <v>45369</v>
      </c>
      <c r="C328" s="1" t="n">
        <v>46182</v>
      </c>
      <c r="D328" t="inlineStr">
        <is>
          <t>ÖREBRO LÄN</t>
        </is>
      </c>
      <c r="E328" t="inlineStr">
        <is>
          <t>LINDESBERG</t>
        </is>
      </c>
      <c r="G328" t="n">
        <v>2.8</v>
      </c>
      <c r="H328" t="n">
        <v>0</v>
      </c>
      <c r="I328" t="n">
        <v>0</v>
      </c>
      <c r="J328" t="n">
        <v>0</v>
      </c>
      <c r="K328" t="n">
        <v>0</v>
      </c>
      <c r="L328" t="n">
        <v>0</v>
      </c>
      <c r="M328" t="n">
        <v>0</v>
      </c>
      <c r="N328" t="n">
        <v>0</v>
      </c>
      <c r="O328" t="n">
        <v>0</v>
      </c>
      <c r="P328" t="n">
        <v>0</v>
      </c>
      <c r="Q328" t="n">
        <v>0</v>
      </c>
      <c r="R328" s="2" t="inlineStr"/>
    </row>
    <row r="329" ht="15" customHeight="1">
      <c r="A329" t="inlineStr">
        <is>
          <t>A 24916-2022</t>
        </is>
      </c>
      <c r="B329" s="1" t="n">
        <v>44728</v>
      </c>
      <c r="C329" s="1" t="n">
        <v>46182</v>
      </c>
      <c r="D329" t="inlineStr">
        <is>
          <t>ÖREBRO LÄN</t>
        </is>
      </c>
      <c r="E329" t="inlineStr">
        <is>
          <t>LINDESBERG</t>
        </is>
      </c>
      <c r="G329" t="n">
        <v>8.1</v>
      </c>
      <c r="H329" t="n">
        <v>0</v>
      </c>
      <c r="I329" t="n">
        <v>0</v>
      </c>
      <c r="J329" t="n">
        <v>0</v>
      </c>
      <c r="K329" t="n">
        <v>0</v>
      </c>
      <c r="L329" t="n">
        <v>0</v>
      </c>
      <c r="M329" t="n">
        <v>0</v>
      </c>
      <c r="N329" t="n">
        <v>0</v>
      </c>
      <c r="O329" t="n">
        <v>0</v>
      </c>
      <c r="P329" t="n">
        <v>0</v>
      </c>
      <c r="Q329" t="n">
        <v>0</v>
      </c>
      <c r="R329" s="2" t="inlineStr"/>
    </row>
    <row r="330" ht="15" customHeight="1">
      <c r="A330" t="inlineStr">
        <is>
          <t>A 5677-2025</t>
        </is>
      </c>
      <c r="B330" s="1" t="n">
        <v>45694</v>
      </c>
      <c r="C330" s="1" t="n">
        <v>46182</v>
      </c>
      <c r="D330" t="inlineStr">
        <is>
          <t>ÖREBRO LÄN</t>
        </is>
      </c>
      <c r="E330" t="inlineStr">
        <is>
          <t>LINDESBERG</t>
        </is>
      </c>
      <c r="G330" t="n">
        <v>1.6</v>
      </c>
      <c r="H330" t="n">
        <v>0</v>
      </c>
      <c r="I330" t="n">
        <v>0</v>
      </c>
      <c r="J330" t="n">
        <v>0</v>
      </c>
      <c r="K330" t="n">
        <v>0</v>
      </c>
      <c r="L330" t="n">
        <v>0</v>
      </c>
      <c r="M330" t="n">
        <v>0</v>
      </c>
      <c r="N330" t="n">
        <v>0</v>
      </c>
      <c r="O330" t="n">
        <v>0</v>
      </c>
      <c r="P330" t="n">
        <v>0</v>
      </c>
      <c r="Q330" t="n">
        <v>0</v>
      </c>
      <c r="R330" s="2" t="inlineStr"/>
    </row>
    <row r="331" ht="15" customHeight="1">
      <c r="A331" t="inlineStr">
        <is>
          <t>A 58741-2024</t>
        </is>
      </c>
      <c r="B331" s="1" t="n">
        <v>45635.69581018519</v>
      </c>
      <c r="C331" s="1" t="n">
        <v>46182</v>
      </c>
      <c r="D331" t="inlineStr">
        <is>
          <t>ÖREBRO LÄN</t>
        </is>
      </c>
      <c r="E331" t="inlineStr">
        <is>
          <t>LINDESBERG</t>
        </is>
      </c>
      <c r="G331" t="n">
        <v>1.5</v>
      </c>
      <c r="H331" t="n">
        <v>0</v>
      </c>
      <c r="I331" t="n">
        <v>0</v>
      </c>
      <c r="J331" t="n">
        <v>0</v>
      </c>
      <c r="K331" t="n">
        <v>0</v>
      </c>
      <c r="L331" t="n">
        <v>0</v>
      </c>
      <c r="M331" t="n">
        <v>0</v>
      </c>
      <c r="N331" t="n">
        <v>0</v>
      </c>
      <c r="O331" t="n">
        <v>0</v>
      </c>
      <c r="P331" t="n">
        <v>0</v>
      </c>
      <c r="Q331" t="n">
        <v>0</v>
      </c>
      <c r="R331" s="2" t="inlineStr"/>
    </row>
    <row r="332" ht="15" customHeight="1">
      <c r="A332" t="inlineStr">
        <is>
          <t>A 1681-2025</t>
        </is>
      </c>
      <c r="B332" s="1" t="n">
        <v>45670.69458333333</v>
      </c>
      <c r="C332" s="1" t="n">
        <v>46182</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33716-2021</t>
        </is>
      </c>
      <c r="B333" s="1" t="n">
        <v>44378.46857638889</v>
      </c>
      <c r="C333" s="1" t="n">
        <v>46182</v>
      </c>
      <c r="D333" t="inlineStr">
        <is>
          <t>ÖREBRO LÄN</t>
        </is>
      </c>
      <c r="E333" t="inlineStr">
        <is>
          <t>LINDESBERG</t>
        </is>
      </c>
      <c r="G333" t="n">
        <v>4.6</v>
      </c>
      <c r="H333" t="n">
        <v>0</v>
      </c>
      <c r="I333" t="n">
        <v>0</v>
      </c>
      <c r="J333" t="n">
        <v>0</v>
      </c>
      <c r="K333" t="n">
        <v>0</v>
      </c>
      <c r="L333" t="n">
        <v>0</v>
      </c>
      <c r="M333" t="n">
        <v>0</v>
      </c>
      <c r="N333" t="n">
        <v>0</v>
      </c>
      <c r="O333" t="n">
        <v>0</v>
      </c>
      <c r="P333" t="n">
        <v>0</v>
      </c>
      <c r="Q333" t="n">
        <v>0</v>
      </c>
      <c r="R333" s="2" t="inlineStr"/>
    </row>
    <row r="334" ht="15" customHeight="1">
      <c r="A334" t="inlineStr">
        <is>
          <t>A 23536-2023</t>
        </is>
      </c>
      <c r="B334" s="1" t="n">
        <v>45077</v>
      </c>
      <c r="C334" s="1" t="n">
        <v>46182</v>
      </c>
      <c r="D334" t="inlineStr">
        <is>
          <t>ÖREBRO LÄN</t>
        </is>
      </c>
      <c r="E334" t="inlineStr">
        <is>
          <t>LINDESBERG</t>
        </is>
      </c>
      <c r="F334" t="inlineStr">
        <is>
          <t>Kyrkan</t>
        </is>
      </c>
      <c r="G334" t="n">
        <v>0.5</v>
      </c>
      <c r="H334" t="n">
        <v>0</v>
      </c>
      <c r="I334" t="n">
        <v>0</v>
      </c>
      <c r="J334" t="n">
        <v>0</v>
      </c>
      <c r="K334" t="n">
        <v>0</v>
      </c>
      <c r="L334" t="n">
        <v>0</v>
      </c>
      <c r="M334" t="n">
        <v>0</v>
      </c>
      <c r="N334" t="n">
        <v>0</v>
      </c>
      <c r="O334" t="n">
        <v>0</v>
      </c>
      <c r="P334" t="n">
        <v>0</v>
      </c>
      <c r="Q334" t="n">
        <v>0</v>
      </c>
      <c r="R334" s="2" t="inlineStr"/>
    </row>
    <row r="335" ht="15" customHeight="1">
      <c r="A335" t="inlineStr">
        <is>
          <t>A 38552-2023</t>
        </is>
      </c>
      <c r="B335" s="1" t="n">
        <v>45162.5978125</v>
      </c>
      <c r="C335" s="1" t="n">
        <v>46182</v>
      </c>
      <c r="D335" t="inlineStr">
        <is>
          <t>ÖREBRO LÄN</t>
        </is>
      </c>
      <c r="E335" t="inlineStr">
        <is>
          <t>LINDESBERG</t>
        </is>
      </c>
      <c r="G335" t="n">
        <v>10.4</v>
      </c>
      <c r="H335" t="n">
        <v>0</v>
      </c>
      <c r="I335" t="n">
        <v>0</v>
      </c>
      <c r="J335" t="n">
        <v>0</v>
      </c>
      <c r="K335" t="n">
        <v>0</v>
      </c>
      <c r="L335" t="n">
        <v>0</v>
      </c>
      <c r="M335" t="n">
        <v>0</v>
      </c>
      <c r="N335" t="n">
        <v>0</v>
      </c>
      <c r="O335" t="n">
        <v>0</v>
      </c>
      <c r="P335" t="n">
        <v>0</v>
      </c>
      <c r="Q335" t="n">
        <v>0</v>
      </c>
      <c r="R335" s="2" t="inlineStr"/>
    </row>
    <row r="336" ht="15" customHeight="1">
      <c r="A336" t="inlineStr">
        <is>
          <t>A 19914-2024</t>
        </is>
      </c>
      <c r="B336" s="1" t="n">
        <v>45433.58099537037</v>
      </c>
      <c r="C336" s="1" t="n">
        <v>46182</v>
      </c>
      <c r="D336" t="inlineStr">
        <is>
          <t>ÖREBRO LÄN</t>
        </is>
      </c>
      <c r="E336" t="inlineStr">
        <is>
          <t>LINDESBERG</t>
        </is>
      </c>
      <c r="G336" t="n">
        <v>1.1</v>
      </c>
      <c r="H336" t="n">
        <v>0</v>
      </c>
      <c r="I336" t="n">
        <v>0</v>
      </c>
      <c r="J336" t="n">
        <v>0</v>
      </c>
      <c r="K336" t="n">
        <v>0</v>
      </c>
      <c r="L336" t="n">
        <v>0</v>
      </c>
      <c r="M336" t="n">
        <v>0</v>
      </c>
      <c r="N336" t="n">
        <v>0</v>
      </c>
      <c r="O336" t="n">
        <v>0</v>
      </c>
      <c r="P336" t="n">
        <v>0</v>
      </c>
      <c r="Q336" t="n">
        <v>0</v>
      </c>
      <c r="R336" s="2" t="inlineStr"/>
    </row>
    <row r="337" ht="15" customHeight="1">
      <c r="A337" t="inlineStr">
        <is>
          <t>A 26967-2022</t>
        </is>
      </c>
      <c r="B337" s="1" t="n">
        <v>44740.66997685185</v>
      </c>
      <c r="C337" s="1" t="n">
        <v>46182</v>
      </c>
      <c r="D337" t="inlineStr">
        <is>
          <t>ÖREBRO LÄN</t>
        </is>
      </c>
      <c r="E337" t="inlineStr">
        <is>
          <t>LINDESBERG</t>
        </is>
      </c>
      <c r="G337" t="n">
        <v>1.6</v>
      </c>
      <c r="H337" t="n">
        <v>0</v>
      </c>
      <c r="I337" t="n">
        <v>0</v>
      </c>
      <c r="J337" t="n">
        <v>0</v>
      </c>
      <c r="K337" t="n">
        <v>0</v>
      </c>
      <c r="L337" t="n">
        <v>0</v>
      </c>
      <c r="M337" t="n">
        <v>0</v>
      </c>
      <c r="N337" t="n">
        <v>0</v>
      </c>
      <c r="O337" t="n">
        <v>0</v>
      </c>
      <c r="P337" t="n">
        <v>0</v>
      </c>
      <c r="Q337" t="n">
        <v>0</v>
      </c>
      <c r="R337" s="2" t="inlineStr"/>
    </row>
    <row r="338" ht="15" customHeight="1">
      <c r="A338" t="inlineStr">
        <is>
          <t>A 55631-2022</t>
        </is>
      </c>
      <c r="B338" s="1" t="n">
        <v>44888.4577662037</v>
      </c>
      <c r="C338" s="1" t="n">
        <v>46182</v>
      </c>
      <c r="D338" t="inlineStr">
        <is>
          <t>ÖREBRO LÄN</t>
        </is>
      </c>
      <c r="E338" t="inlineStr">
        <is>
          <t>LINDESBERG</t>
        </is>
      </c>
      <c r="G338" t="n">
        <v>4.4</v>
      </c>
      <c r="H338" t="n">
        <v>0</v>
      </c>
      <c r="I338" t="n">
        <v>0</v>
      </c>
      <c r="J338" t="n">
        <v>0</v>
      </c>
      <c r="K338" t="n">
        <v>0</v>
      </c>
      <c r="L338" t="n">
        <v>0</v>
      </c>
      <c r="M338" t="n">
        <v>0</v>
      </c>
      <c r="N338" t="n">
        <v>0</v>
      </c>
      <c r="O338" t="n">
        <v>0</v>
      </c>
      <c r="P338" t="n">
        <v>0</v>
      </c>
      <c r="Q338" t="n">
        <v>0</v>
      </c>
      <c r="R338" s="2" t="inlineStr"/>
    </row>
    <row r="339" ht="15" customHeight="1">
      <c r="A339" t="inlineStr">
        <is>
          <t>A 47304-2024</t>
        </is>
      </c>
      <c r="B339" s="1" t="n">
        <v>45587</v>
      </c>
      <c r="C339" s="1" t="n">
        <v>46182</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265-2023</t>
        </is>
      </c>
      <c r="B340" s="1" t="n">
        <v>44928</v>
      </c>
      <c r="C340" s="1" t="n">
        <v>46182</v>
      </c>
      <c r="D340" t="inlineStr">
        <is>
          <t>ÖREBRO LÄN</t>
        </is>
      </c>
      <c r="E340" t="inlineStr">
        <is>
          <t>LINDESBERG</t>
        </is>
      </c>
      <c r="G340" t="n">
        <v>2.4</v>
      </c>
      <c r="H340" t="n">
        <v>0</v>
      </c>
      <c r="I340" t="n">
        <v>0</v>
      </c>
      <c r="J340" t="n">
        <v>0</v>
      </c>
      <c r="K340" t="n">
        <v>0</v>
      </c>
      <c r="L340" t="n">
        <v>0</v>
      </c>
      <c r="M340" t="n">
        <v>0</v>
      </c>
      <c r="N340" t="n">
        <v>0</v>
      </c>
      <c r="O340" t="n">
        <v>0</v>
      </c>
      <c r="P340" t="n">
        <v>0</v>
      </c>
      <c r="Q340" t="n">
        <v>0</v>
      </c>
      <c r="R340" s="2" t="inlineStr"/>
    </row>
    <row r="341" ht="15" customHeight="1">
      <c r="A341" t="inlineStr">
        <is>
          <t>A 43066-2021</t>
        </is>
      </c>
      <c r="B341" s="1" t="n">
        <v>44431</v>
      </c>
      <c r="C341" s="1" t="n">
        <v>46182</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36253-2024</t>
        </is>
      </c>
      <c r="B342" s="1" t="n">
        <v>45534.54032407407</v>
      </c>
      <c r="C342" s="1" t="n">
        <v>46182</v>
      </c>
      <c r="D342" t="inlineStr">
        <is>
          <t>ÖREBRO LÄN</t>
        </is>
      </c>
      <c r="E342" t="inlineStr">
        <is>
          <t>LINDESBERG</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60115-2022</t>
        </is>
      </c>
      <c r="B343" s="1" t="n">
        <v>44902</v>
      </c>
      <c r="C343" s="1" t="n">
        <v>46182</v>
      </c>
      <c r="D343" t="inlineStr">
        <is>
          <t>ÖREBRO LÄN</t>
        </is>
      </c>
      <c r="E343" t="inlineStr">
        <is>
          <t>LINDESBERG</t>
        </is>
      </c>
      <c r="G343" t="n">
        <v>0.5</v>
      </c>
      <c r="H343" t="n">
        <v>0</v>
      </c>
      <c r="I343" t="n">
        <v>0</v>
      </c>
      <c r="J343" t="n">
        <v>0</v>
      </c>
      <c r="K343" t="n">
        <v>0</v>
      </c>
      <c r="L343" t="n">
        <v>0</v>
      </c>
      <c r="M343" t="n">
        <v>0</v>
      </c>
      <c r="N343" t="n">
        <v>0</v>
      </c>
      <c r="O343" t="n">
        <v>0</v>
      </c>
      <c r="P343" t="n">
        <v>0</v>
      </c>
      <c r="Q343" t="n">
        <v>0</v>
      </c>
      <c r="R343" s="2" t="inlineStr"/>
    </row>
    <row r="344" ht="15" customHeight="1">
      <c r="A344" t="inlineStr">
        <is>
          <t>A 45428-2023</t>
        </is>
      </c>
      <c r="B344" s="1" t="n">
        <v>45194</v>
      </c>
      <c r="C344" s="1" t="n">
        <v>46182</v>
      </c>
      <c r="D344" t="inlineStr">
        <is>
          <t>ÖREBRO LÄN</t>
        </is>
      </c>
      <c r="E344" t="inlineStr">
        <is>
          <t>LINDESBERG</t>
        </is>
      </c>
      <c r="G344" t="n">
        <v>7.7</v>
      </c>
      <c r="H344" t="n">
        <v>0</v>
      </c>
      <c r="I344" t="n">
        <v>0</v>
      </c>
      <c r="J344" t="n">
        <v>0</v>
      </c>
      <c r="K344" t="n">
        <v>0</v>
      </c>
      <c r="L344" t="n">
        <v>0</v>
      </c>
      <c r="M344" t="n">
        <v>0</v>
      </c>
      <c r="N344" t="n">
        <v>0</v>
      </c>
      <c r="O344" t="n">
        <v>0</v>
      </c>
      <c r="P344" t="n">
        <v>0</v>
      </c>
      <c r="Q344" t="n">
        <v>0</v>
      </c>
      <c r="R344" s="2" t="inlineStr"/>
    </row>
    <row r="345" ht="15" customHeight="1">
      <c r="A345" t="inlineStr">
        <is>
          <t>A 53897-2024</t>
        </is>
      </c>
      <c r="B345" s="1" t="n">
        <v>45615.69570601852</v>
      </c>
      <c r="C345" s="1" t="n">
        <v>46182</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29975-2023</t>
        </is>
      </c>
      <c r="B346" s="1" t="n">
        <v>45108.7553587963</v>
      </c>
      <c r="C346" s="1" t="n">
        <v>46182</v>
      </c>
      <c r="D346" t="inlineStr">
        <is>
          <t>ÖREBRO LÄN</t>
        </is>
      </c>
      <c r="E346" t="inlineStr">
        <is>
          <t>LINDESBERG</t>
        </is>
      </c>
      <c r="G346" t="n">
        <v>6.4</v>
      </c>
      <c r="H346" t="n">
        <v>0</v>
      </c>
      <c r="I346" t="n">
        <v>0</v>
      </c>
      <c r="J346" t="n">
        <v>0</v>
      </c>
      <c r="K346" t="n">
        <v>0</v>
      </c>
      <c r="L346" t="n">
        <v>0</v>
      </c>
      <c r="M346" t="n">
        <v>0</v>
      </c>
      <c r="N346" t="n">
        <v>0</v>
      </c>
      <c r="O346" t="n">
        <v>0</v>
      </c>
      <c r="P346" t="n">
        <v>0</v>
      </c>
      <c r="Q346" t="n">
        <v>0</v>
      </c>
      <c r="R346" s="2" t="inlineStr"/>
    </row>
    <row r="347" ht="15" customHeight="1">
      <c r="A347" t="inlineStr">
        <is>
          <t>A 30514-2025</t>
        </is>
      </c>
      <c r="B347" s="1" t="n">
        <v>45831</v>
      </c>
      <c r="C347" s="1" t="n">
        <v>46182</v>
      </c>
      <c r="D347" t="inlineStr">
        <is>
          <t>ÖREBRO LÄN</t>
        </is>
      </c>
      <c r="E347" t="inlineStr">
        <is>
          <t>LINDESBERG</t>
        </is>
      </c>
      <c r="G347" t="n">
        <v>1.6</v>
      </c>
      <c r="H347" t="n">
        <v>0</v>
      </c>
      <c r="I347" t="n">
        <v>0</v>
      </c>
      <c r="J347" t="n">
        <v>0</v>
      </c>
      <c r="K347" t="n">
        <v>0</v>
      </c>
      <c r="L347" t="n">
        <v>0</v>
      </c>
      <c r="M347" t="n">
        <v>0</v>
      </c>
      <c r="N347" t="n">
        <v>0</v>
      </c>
      <c r="O347" t="n">
        <v>0</v>
      </c>
      <c r="P347" t="n">
        <v>0</v>
      </c>
      <c r="Q347" t="n">
        <v>0</v>
      </c>
      <c r="R347" s="2" t="inlineStr"/>
    </row>
    <row r="348" ht="15" customHeight="1">
      <c r="A348" t="inlineStr">
        <is>
          <t>A 56907-2024</t>
        </is>
      </c>
      <c r="B348" s="1" t="n">
        <v>45628.58975694444</v>
      </c>
      <c r="C348" s="1" t="n">
        <v>46182</v>
      </c>
      <c r="D348" t="inlineStr">
        <is>
          <t>ÖREBRO LÄN</t>
        </is>
      </c>
      <c r="E348" t="inlineStr">
        <is>
          <t>LINDESBERG</t>
        </is>
      </c>
      <c r="G348" t="n">
        <v>1.1</v>
      </c>
      <c r="H348" t="n">
        <v>0</v>
      </c>
      <c r="I348" t="n">
        <v>0</v>
      </c>
      <c r="J348" t="n">
        <v>0</v>
      </c>
      <c r="K348" t="n">
        <v>0</v>
      </c>
      <c r="L348" t="n">
        <v>0</v>
      </c>
      <c r="M348" t="n">
        <v>0</v>
      </c>
      <c r="N348" t="n">
        <v>0</v>
      </c>
      <c r="O348" t="n">
        <v>0</v>
      </c>
      <c r="P348" t="n">
        <v>0</v>
      </c>
      <c r="Q348" t="n">
        <v>0</v>
      </c>
      <c r="R348" s="2" t="inlineStr"/>
    </row>
    <row r="349" ht="15" customHeight="1">
      <c r="A349" t="inlineStr">
        <is>
          <t>A 45173-2024</t>
        </is>
      </c>
      <c r="B349" s="1" t="n">
        <v>45575.65721064815</v>
      </c>
      <c r="C349" s="1" t="n">
        <v>46182</v>
      </c>
      <c r="D349" t="inlineStr">
        <is>
          <t>ÖREBRO LÄN</t>
        </is>
      </c>
      <c r="E349" t="inlineStr">
        <is>
          <t>LINDESBERG</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30512-2025</t>
        </is>
      </c>
      <c r="B350" s="1" t="n">
        <v>45831</v>
      </c>
      <c r="C350" s="1" t="n">
        <v>46182</v>
      </c>
      <c r="D350" t="inlineStr">
        <is>
          <t>ÖREBRO LÄN</t>
        </is>
      </c>
      <c r="E350" t="inlineStr">
        <is>
          <t>LINDESBERG</t>
        </is>
      </c>
      <c r="G350" t="n">
        <v>4.5</v>
      </c>
      <c r="H350" t="n">
        <v>0</v>
      </c>
      <c r="I350" t="n">
        <v>0</v>
      </c>
      <c r="J350" t="n">
        <v>0</v>
      </c>
      <c r="K350" t="n">
        <v>0</v>
      </c>
      <c r="L350" t="n">
        <v>0</v>
      </c>
      <c r="M350" t="n">
        <v>0</v>
      </c>
      <c r="N350" t="n">
        <v>0</v>
      </c>
      <c r="O350" t="n">
        <v>0</v>
      </c>
      <c r="P350" t="n">
        <v>0</v>
      </c>
      <c r="Q350" t="n">
        <v>0</v>
      </c>
      <c r="R350" s="2" t="inlineStr"/>
    </row>
    <row r="351" ht="15" customHeight="1">
      <c r="A351" t="inlineStr">
        <is>
          <t>A 17242-2025</t>
        </is>
      </c>
      <c r="B351" s="1" t="n">
        <v>45756.49009259259</v>
      </c>
      <c r="C351" s="1" t="n">
        <v>46182</v>
      </c>
      <c r="D351" t="inlineStr">
        <is>
          <t>ÖREBRO LÄN</t>
        </is>
      </c>
      <c r="E351" t="inlineStr">
        <is>
          <t>LINDESBERG</t>
        </is>
      </c>
      <c r="G351" t="n">
        <v>7.3</v>
      </c>
      <c r="H351" t="n">
        <v>0</v>
      </c>
      <c r="I351" t="n">
        <v>0</v>
      </c>
      <c r="J351" t="n">
        <v>0</v>
      </c>
      <c r="K351" t="n">
        <v>0</v>
      </c>
      <c r="L351" t="n">
        <v>0</v>
      </c>
      <c r="M351" t="n">
        <v>0</v>
      </c>
      <c r="N351" t="n">
        <v>0</v>
      </c>
      <c r="O351" t="n">
        <v>0</v>
      </c>
      <c r="P351" t="n">
        <v>0</v>
      </c>
      <c r="Q351" t="n">
        <v>0</v>
      </c>
      <c r="R351" s="2" t="inlineStr"/>
    </row>
    <row r="352" ht="15" customHeight="1">
      <c r="A352" t="inlineStr">
        <is>
          <t>A 40905-2023</t>
        </is>
      </c>
      <c r="B352" s="1" t="n">
        <v>45173.39315972223</v>
      </c>
      <c r="C352" s="1" t="n">
        <v>46182</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7119-2025</t>
        </is>
      </c>
      <c r="B353" s="1" t="n">
        <v>45702</v>
      </c>
      <c r="C353" s="1" t="n">
        <v>46182</v>
      </c>
      <c r="D353" t="inlineStr">
        <is>
          <t>ÖREBRO LÄN</t>
        </is>
      </c>
      <c r="E353" t="inlineStr">
        <is>
          <t>LINDESBERG</t>
        </is>
      </c>
      <c r="G353" t="n">
        <v>0.9</v>
      </c>
      <c r="H353" t="n">
        <v>0</v>
      </c>
      <c r="I353" t="n">
        <v>0</v>
      </c>
      <c r="J353" t="n">
        <v>0</v>
      </c>
      <c r="K353" t="n">
        <v>0</v>
      </c>
      <c r="L353" t="n">
        <v>0</v>
      </c>
      <c r="M353" t="n">
        <v>0</v>
      </c>
      <c r="N353" t="n">
        <v>0</v>
      </c>
      <c r="O353" t="n">
        <v>0</v>
      </c>
      <c r="P353" t="n">
        <v>0</v>
      </c>
      <c r="Q353" t="n">
        <v>0</v>
      </c>
      <c r="R353" s="2" t="inlineStr"/>
    </row>
    <row r="354" ht="15" customHeight="1">
      <c r="A354" t="inlineStr">
        <is>
          <t>A 40085-2023</t>
        </is>
      </c>
      <c r="B354" s="1" t="n">
        <v>45168.92155092592</v>
      </c>
      <c r="C354" s="1" t="n">
        <v>46182</v>
      </c>
      <c r="D354" t="inlineStr">
        <is>
          <t>ÖREBRO LÄN</t>
        </is>
      </c>
      <c r="E354" t="inlineStr">
        <is>
          <t>LINDESBERG</t>
        </is>
      </c>
      <c r="G354" t="n">
        <v>6.1</v>
      </c>
      <c r="H354" t="n">
        <v>0</v>
      </c>
      <c r="I354" t="n">
        <v>0</v>
      </c>
      <c r="J354" t="n">
        <v>0</v>
      </c>
      <c r="K354" t="n">
        <v>0</v>
      </c>
      <c r="L354" t="n">
        <v>0</v>
      </c>
      <c r="M354" t="n">
        <v>0</v>
      </c>
      <c r="N354" t="n">
        <v>0</v>
      </c>
      <c r="O354" t="n">
        <v>0</v>
      </c>
      <c r="P354" t="n">
        <v>0</v>
      </c>
      <c r="Q354" t="n">
        <v>0</v>
      </c>
      <c r="R354" s="2" t="inlineStr"/>
    </row>
    <row r="355" ht="15" customHeight="1">
      <c r="A355" t="inlineStr">
        <is>
          <t>A 45060-2024</t>
        </is>
      </c>
      <c r="B355" s="1" t="n">
        <v>45575.55570601852</v>
      </c>
      <c r="C355" s="1" t="n">
        <v>46182</v>
      </c>
      <c r="D355" t="inlineStr">
        <is>
          <t>ÖREBRO LÄN</t>
        </is>
      </c>
      <c r="E355" t="inlineStr">
        <is>
          <t>LINDESBERG</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40117-2023</t>
        </is>
      </c>
      <c r="B356" s="1" t="n">
        <v>45168.94197916667</v>
      </c>
      <c r="C356" s="1" t="n">
        <v>46182</v>
      </c>
      <c r="D356" t="inlineStr">
        <is>
          <t>ÖREBRO LÄN</t>
        </is>
      </c>
      <c r="E356" t="inlineStr">
        <is>
          <t>LINDESBERG</t>
        </is>
      </c>
      <c r="G356" t="n">
        <v>2.3</v>
      </c>
      <c r="H356" t="n">
        <v>0</v>
      </c>
      <c r="I356" t="n">
        <v>0</v>
      </c>
      <c r="J356" t="n">
        <v>0</v>
      </c>
      <c r="K356" t="n">
        <v>0</v>
      </c>
      <c r="L356" t="n">
        <v>0</v>
      </c>
      <c r="M356" t="n">
        <v>0</v>
      </c>
      <c r="N356" t="n">
        <v>0</v>
      </c>
      <c r="O356" t="n">
        <v>0</v>
      </c>
      <c r="P356" t="n">
        <v>0</v>
      </c>
      <c r="Q356" t="n">
        <v>0</v>
      </c>
      <c r="R356" s="2" t="inlineStr"/>
    </row>
    <row r="357" ht="15" customHeight="1">
      <c r="A357" t="inlineStr">
        <is>
          <t>A 46404-2025</t>
        </is>
      </c>
      <c r="B357" s="1" t="n">
        <v>45925.56173611111</v>
      </c>
      <c r="C357" s="1" t="n">
        <v>46182</v>
      </c>
      <c r="D357" t="inlineStr">
        <is>
          <t>ÖREBRO LÄN</t>
        </is>
      </c>
      <c r="E357" t="inlineStr">
        <is>
          <t>LINDESBERG</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21390-2024</t>
        </is>
      </c>
      <c r="B358" s="1" t="n">
        <v>45441.30899305556</v>
      </c>
      <c r="C358" s="1" t="n">
        <v>46182</v>
      </c>
      <c r="D358" t="inlineStr">
        <is>
          <t>ÖREBRO LÄN</t>
        </is>
      </c>
      <c r="E358" t="inlineStr">
        <is>
          <t>LINDESBERG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21392-2024</t>
        </is>
      </c>
      <c r="B359" s="1" t="n">
        <v>45441.30998842593</v>
      </c>
      <c r="C359" s="1" t="n">
        <v>46182</v>
      </c>
      <c r="D359" t="inlineStr">
        <is>
          <t>ÖREBRO LÄN</t>
        </is>
      </c>
      <c r="E359" t="inlineStr">
        <is>
          <t>LINDESBERG</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9966-2023</t>
        </is>
      </c>
      <c r="B360" s="1" t="n">
        <v>44979</v>
      </c>
      <c r="C360" s="1" t="n">
        <v>46182</v>
      </c>
      <c r="D360" t="inlineStr">
        <is>
          <t>ÖREBRO LÄN</t>
        </is>
      </c>
      <c r="E360" t="inlineStr">
        <is>
          <t>LINDESBERG</t>
        </is>
      </c>
      <c r="G360" t="n">
        <v>4.1</v>
      </c>
      <c r="H360" t="n">
        <v>0</v>
      </c>
      <c r="I360" t="n">
        <v>0</v>
      </c>
      <c r="J360" t="n">
        <v>0</v>
      </c>
      <c r="K360" t="n">
        <v>0</v>
      </c>
      <c r="L360" t="n">
        <v>0</v>
      </c>
      <c r="M360" t="n">
        <v>0</v>
      </c>
      <c r="N360" t="n">
        <v>0</v>
      </c>
      <c r="O360" t="n">
        <v>0</v>
      </c>
      <c r="P360" t="n">
        <v>0</v>
      </c>
      <c r="Q360" t="n">
        <v>0</v>
      </c>
      <c r="R360" s="2" t="inlineStr"/>
    </row>
    <row r="361" ht="15" customHeight="1">
      <c r="A361" t="inlineStr">
        <is>
          <t>A 36859-2025</t>
        </is>
      </c>
      <c r="B361" s="1" t="n">
        <v>45874.40503472222</v>
      </c>
      <c r="C361" s="1" t="n">
        <v>46182</v>
      </c>
      <c r="D361" t="inlineStr">
        <is>
          <t>ÖREBRO LÄN</t>
        </is>
      </c>
      <c r="E361" t="inlineStr">
        <is>
          <t>LINDESBERG</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50972-2023</t>
        </is>
      </c>
      <c r="B362" s="1" t="n">
        <v>45218</v>
      </c>
      <c r="C362" s="1" t="n">
        <v>46182</v>
      </c>
      <c r="D362" t="inlineStr">
        <is>
          <t>ÖREBRO LÄN</t>
        </is>
      </c>
      <c r="E362" t="inlineStr">
        <is>
          <t>LINDESBERG</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37497-2025</t>
        </is>
      </c>
      <c r="B363" s="1" t="n">
        <v>45877.64431712963</v>
      </c>
      <c r="C363" s="1" t="n">
        <v>46182</v>
      </c>
      <c r="D363" t="inlineStr">
        <is>
          <t>ÖREBRO LÄN</t>
        </is>
      </c>
      <c r="E363" t="inlineStr">
        <is>
          <t>LINDESBERG</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46484-2025</t>
        </is>
      </c>
      <c r="B364" s="1" t="n">
        <v>45925.70290509259</v>
      </c>
      <c r="C364" s="1" t="n">
        <v>46182</v>
      </c>
      <c r="D364" t="inlineStr">
        <is>
          <t>ÖREBRO LÄN</t>
        </is>
      </c>
      <c r="E364" t="inlineStr">
        <is>
          <t>LINDESBERG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37301-2025</t>
        </is>
      </c>
      <c r="B365" s="1" t="n">
        <v>45876.59166666667</v>
      </c>
      <c r="C365" s="1" t="n">
        <v>46182</v>
      </c>
      <c r="D365" t="inlineStr">
        <is>
          <t>ÖREBRO LÄN</t>
        </is>
      </c>
      <c r="E365" t="inlineStr">
        <is>
          <t>LINDESBERG</t>
        </is>
      </c>
      <c r="G365" t="n">
        <v>1.4</v>
      </c>
      <c r="H365" t="n">
        <v>0</v>
      </c>
      <c r="I365" t="n">
        <v>0</v>
      </c>
      <c r="J365" t="n">
        <v>0</v>
      </c>
      <c r="K365" t="n">
        <v>0</v>
      </c>
      <c r="L365" t="n">
        <v>0</v>
      </c>
      <c r="M365" t="n">
        <v>0</v>
      </c>
      <c r="N365" t="n">
        <v>0</v>
      </c>
      <c r="O365" t="n">
        <v>0</v>
      </c>
      <c r="P365" t="n">
        <v>0</v>
      </c>
      <c r="Q365" t="n">
        <v>0</v>
      </c>
      <c r="R365" s="2" t="inlineStr"/>
    </row>
    <row r="366" ht="15" customHeight="1">
      <c r="A366" t="inlineStr">
        <is>
          <t>A 50225-2021</t>
        </is>
      </c>
      <c r="B366" s="1" t="n">
        <v>44457</v>
      </c>
      <c r="C366" s="1" t="n">
        <v>46182</v>
      </c>
      <c r="D366" t="inlineStr">
        <is>
          <t>ÖREBRO LÄN</t>
        </is>
      </c>
      <c r="E366" t="inlineStr">
        <is>
          <t>LINDESBERG</t>
        </is>
      </c>
      <c r="G366" t="n">
        <v>2.5</v>
      </c>
      <c r="H366" t="n">
        <v>0</v>
      </c>
      <c r="I366" t="n">
        <v>0</v>
      </c>
      <c r="J366" t="n">
        <v>0</v>
      </c>
      <c r="K366" t="n">
        <v>0</v>
      </c>
      <c r="L366" t="n">
        <v>0</v>
      </c>
      <c r="M366" t="n">
        <v>0</v>
      </c>
      <c r="N366" t="n">
        <v>0</v>
      </c>
      <c r="O366" t="n">
        <v>0</v>
      </c>
      <c r="P366" t="n">
        <v>0</v>
      </c>
      <c r="Q366" t="n">
        <v>0</v>
      </c>
      <c r="R366" s="2" t="inlineStr"/>
    </row>
    <row r="367" ht="15" customHeight="1">
      <c r="A367" t="inlineStr">
        <is>
          <t>A 48244-2024</t>
        </is>
      </c>
      <c r="B367" s="1" t="n">
        <v>45590.39471064815</v>
      </c>
      <c r="C367" s="1" t="n">
        <v>46182</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37837-2025</t>
        </is>
      </c>
      <c r="B368" s="1" t="n">
        <v>45881.42791666667</v>
      </c>
      <c r="C368" s="1" t="n">
        <v>46182</v>
      </c>
      <c r="D368" t="inlineStr">
        <is>
          <t>ÖREBRO LÄN</t>
        </is>
      </c>
      <c r="E368" t="inlineStr">
        <is>
          <t>LINDESBERG</t>
        </is>
      </c>
      <c r="G368" t="n">
        <v>1.3</v>
      </c>
      <c r="H368" t="n">
        <v>0</v>
      </c>
      <c r="I368" t="n">
        <v>0</v>
      </c>
      <c r="J368" t="n">
        <v>0</v>
      </c>
      <c r="K368" t="n">
        <v>0</v>
      </c>
      <c r="L368" t="n">
        <v>0</v>
      </c>
      <c r="M368" t="n">
        <v>0</v>
      </c>
      <c r="N368" t="n">
        <v>0</v>
      </c>
      <c r="O368" t="n">
        <v>0</v>
      </c>
      <c r="P368" t="n">
        <v>0</v>
      </c>
      <c r="Q368" t="n">
        <v>0</v>
      </c>
      <c r="R368" s="2" t="inlineStr"/>
    </row>
    <row r="369" ht="15" customHeight="1">
      <c r="A369" t="inlineStr">
        <is>
          <t>A 37602-2025</t>
        </is>
      </c>
      <c r="B369" s="1" t="n">
        <v>45880</v>
      </c>
      <c r="C369" s="1" t="n">
        <v>46182</v>
      </c>
      <c r="D369" t="inlineStr">
        <is>
          <t>ÖREBRO LÄN</t>
        </is>
      </c>
      <c r="E369" t="inlineStr">
        <is>
          <t>LINDESBERG</t>
        </is>
      </c>
      <c r="G369" t="n">
        <v>1</v>
      </c>
      <c r="H369" t="n">
        <v>0</v>
      </c>
      <c r="I369" t="n">
        <v>0</v>
      </c>
      <c r="J369" t="n">
        <v>0</v>
      </c>
      <c r="K369" t="n">
        <v>0</v>
      </c>
      <c r="L369" t="n">
        <v>0</v>
      </c>
      <c r="M369" t="n">
        <v>0</v>
      </c>
      <c r="N369" t="n">
        <v>0</v>
      </c>
      <c r="O369" t="n">
        <v>0</v>
      </c>
      <c r="P369" t="n">
        <v>0</v>
      </c>
      <c r="Q369" t="n">
        <v>0</v>
      </c>
      <c r="R369" s="2" t="inlineStr"/>
    </row>
    <row r="370" ht="15" customHeight="1">
      <c r="A370" t="inlineStr">
        <is>
          <t>A 37625-2025</t>
        </is>
      </c>
      <c r="B370" s="1" t="n">
        <v>45880.46056712963</v>
      </c>
      <c r="C370" s="1" t="n">
        <v>46182</v>
      </c>
      <c r="D370" t="inlineStr">
        <is>
          <t>ÖREBRO LÄN</t>
        </is>
      </c>
      <c r="E370" t="inlineStr">
        <is>
          <t>LINDESBERG</t>
        </is>
      </c>
      <c r="G370" t="n">
        <v>12.5</v>
      </c>
      <c r="H370" t="n">
        <v>0</v>
      </c>
      <c r="I370" t="n">
        <v>0</v>
      </c>
      <c r="J370" t="n">
        <v>0</v>
      </c>
      <c r="K370" t="n">
        <v>0</v>
      </c>
      <c r="L370" t="n">
        <v>0</v>
      </c>
      <c r="M370" t="n">
        <v>0</v>
      </c>
      <c r="N370" t="n">
        <v>0</v>
      </c>
      <c r="O370" t="n">
        <v>0</v>
      </c>
      <c r="P370" t="n">
        <v>0</v>
      </c>
      <c r="Q370" t="n">
        <v>0</v>
      </c>
      <c r="R370" s="2" t="inlineStr"/>
    </row>
    <row r="371" ht="15" customHeight="1">
      <c r="A371" t="inlineStr">
        <is>
          <t>A 60941-2024</t>
        </is>
      </c>
      <c r="B371" s="1" t="n">
        <v>45645.3712037037</v>
      </c>
      <c r="C371" s="1" t="n">
        <v>46182</v>
      </c>
      <c r="D371" t="inlineStr">
        <is>
          <t>ÖREBRO LÄN</t>
        </is>
      </c>
      <c r="E371" t="inlineStr">
        <is>
          <t>LINDESBERG</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20210-2024</t>
        </is>
      </c>
      <c r="B372" s="1" t="n">
        <v>45434.65854166666</v>
      </c>
      <c r="C372" s="1" t="n">
        <v>46182</v>
      </c>
      <c r="D372" t="inlineStr">
        <is>
          <t>ÖREBRO LÄN</t>
        </is>
      </c>
      <c r="E372" t="inlineStr">
        <is>
          <t>LINDESBERG</t>
        </is>
      </c>
      <c r="G372" t="n">
        <v>5.5</v>
      </c>
      <c r="H372" t="n">
        <v>0</v>
      </c>
      <c r="I372" t="n">
        <v>0</v>
      </c>
      <c r="J372" t="n">
        <v>0</v>
      </c>
      <c r="K372" t="n">
        <v>0</v>
      </c>
      <c r="L372" t="n">
        <v>0</v>
      </c>
      <c r="M372" t="n">
        <v>0</v>
      </c>
      <c r="N372" t="n">
        <v>0</v>
      </c>
      <c r="O372" t="n">
        <v>0</v>
      </c>
      <c r="P372" t="n">
        <v>0</v>
      </c>
      <c r="Q372" t="n">
        <v>0</v>
      </c>
      <c r="R372" s="2" t="inlineStr"/>
    </row>
    <row r="373" ht="15" customHeight="1">
      <c r="A373" t="inlineStr">
        <is>
          <t>A 37553-2025</t>
        </is>
      </c>
      <c r="B373" s="1" t="n">
        <v>45880.3172337963</v>
      </c>
      <c r="C373" s="1" t="n">
        <v>46182</v>
      </c>
      <c r="D373" t="inlineStr">
        <is>
          <t>ÖREBRO LÄN</t>
        </is>
      </c>
      <c r="E373" t="inlineStr">
        <is>
          <t>LINDESBERG</t>
        </is>
      </c>
      <c r="G373" t="n">
        <v>0.6</v>
      </c>
      <c r="H373" t="n">
        <v>0</v>
      </c>
      <c r="I373" t="n">
        <v>0</v>
      </c>
      <c r="J373" t="n">
        <v>0</v>
      </c>
      <c r="K373" t="n">
        <v>0</v>
      </c>
      <c r="L373" t="n">
        <v>0</v>
      </c>
      <c r="M373" t="n">
        <v>0</v>
      </c>
      <c r="N373" t="n">
        <v>0</v>
      </c>
      <c r="O373" t="n">
        <v>0</v>
      </c>
      <c r="P373" t="n">
        <v>0</v>
      </c>
      <c r="Q373" t="n">
        <v>0</v>
      </c>
      <c r="R373" s="2" t="inlineStr"/>
    </row>
    <row r="374" ht="15" customHeight="1">
      <c r="A374" t="inlineStr">
        <is>
          <t>A 56507-2021</t>
        </is>
      </c>
      <c r="B374" s="1" t="n">
        <v>44480.58034722223</v>
      </c>
      <c r="C374" s="1" t="n">
        <v>46182</v>
      </c>
      <c r="D374" t="inlineStr">
        <is>
          <t>ÖREBRO LÄN</t>
        </is>
      </c>
      <c r="E374" t="inlineStr">
        <is>
          <t>LINDESBERG</t>
        </is>
      </c>
      <c r="G374" t="n">
        <v>2.3</v>
      </c>
      <c r="H374" t="n">
        <v>0</v>
      </c>
      <c r="I374" t="n">
        <v>0</v>
      </c>
      <c r="J374" t="n">
        <v>0</v>
      </c>
      <c r="K374" t="n">
        <v>0</v>
      </c>
      <c r="L374" t="n">
        <v>0</v>
      </c>
      <c r="M374" t="n">
        <v>0</v>
      </c>
      <c r="N374" t="n">
        <v>0</v>
      </c>
      <c r="O374" t="n">
        <v>0</v>
      </c>
      <c r="P374" t="n">
        <v>0</v>
      </c>
      <c r="Q374" t="n">
        <v>0</v>
      </c>
      <c r="R374" s="2" t="inlineStr"/>
    </row>
    <row r="375" ht="15" customHeight="1">
      <c r="A375" t="inlineStr">
        <is>
          <t>A 24352-2023</t>
        </is>
      </c>
      <c r="B375" s="1" t="n">
        <v>45082.31421296296</v>
      </c>
      <c r="C375" s="1" t="n">
        <v>46182</v>
      </c>
      <c r="D375" t="inlineStr">
        <is>
          <t>ÖREBRO LÄN</t>
        </is>
      </c>
      <c r="E375" t="inlineStr">
        <is>
          <t>LINDESBERG</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47069-2023</t>
        </is>
      </c>
      <c r="B376" s="1" t="n">
        <v>45201</v>
      </c>
      <c r="C376" s="1" t="n">
        <v>46182</v>
      </c>
      <c r="D376" t="inlineStr">
        <is>
          <t>ÖREBRO LÄN</t>
        </is>
      </c>
      <c r="E376" t="inlineStr">
        <is>
          <t>LINDESBERG</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47074-2023</t>
        </is>
      </c>
      <c r="B377" s="1" t="n">
        <v>45201.60283564815</v>
      </c>
      <c r="C377" s="1" t="n">
        <v>46182</v>
      </c>
      <c r="D377" t="inlineStr">
        <is>
          <t>ÖREBRO LÄN</t>
        </is>
      </c>
      <c r="E377" t="inlineStr">
        <is>
          <t>LINDESBERG</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4997-2024</t>
        </is>
      </c>
      <c r="B378" s="1" t="n">
        <v>45329</v>
      </c>
      <c r="C378" s="1" t="n">
        <v>46182</v>
      </c>
      <c r="D378" t="inlineStr">
        <is>
          <t>ÖREBRO LÄN</t>
        </is>
      </c>
      <c r="E378" t="inlineStr">
        <is>
          <t>LINDESBERG</t>
        </is>
      </c>
      <c r="F378" t="inlineStr">
        <is>
          <t>BillerudKorsnäs AB</t>
        </is>
      </c>
      <c r="G378" t="n">
        <v>3</v>
      </c>
      <c r="H378" t="n">
        <v>0</v>
      </c>
      <c r="I378" t="n">
        <v>0</v>
      </c>
      <c r="J378" t="n">
        <v>0</v>
      </c>
      <c r="K378" t="n">
        <v>0</v>
      </c>
      <c r="L378" t="n">
        <v>0</v>
      </c>
      <c r="M378" t="n">
        <v>0</v>
      </c>
      <c r="N378" t="n">
        <v>0</v>
      </c>
      <c r="O378" t="n">
        <v>0</v>
      </c>
      <c r="P378" t="n">
        <v>0</v>
      </c>
      <c r="Q378" t="n">
        <v>0</v>
      </c>
      <c r="R378" s="2" t="inlineStr"/>
    </row>
    <row r="379" ht="15" customHeight="1">
      <c r="A379" t="inlineStr">
        <is>
          <t>A 33284-2024</t>
        </is>
      </c>
      <c r="B379" s="1" t="n">
        <v>45518.71721064814</v>
      </c>
      <c r="C379" s="1" t="n">
        <v>46182</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22824-2023</t>
        </is>
      </c>
      <c r="B380" s="1" t="n">
        <v>45072</v>
      </c>
      <c r="C380" s="1" t="n">
        <v>46182</v>
      </c>
      <c r="D380" t="inlineStr">
        <is>
          <t>ÖREBRO LÄN</t>
        </is>
      </c>
      <c r="E380" t="inlineStr">
        <is>
          <t>LINDESBERG</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47678-2025</t>
        </is>
      </c>
      <c r="B381" s="1" t="n">
        <v>45931.57967592592</v>
      </c>
      <c r="C381" s="1" t="n">
        <v>46182</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47676-2025</t>
        </is>
      </c>
      <c r="B382" s="1" t="n">
        <v>45931.57756944445</v>
      </c>
      <c r="C382" s="1" t="n">
        <v>46182</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38696-2024</t>
        </is>
      </c>
      <c r="B383" s="1" t="n">
        <v>45547.36590277778</v>
      </c>
      <c r="C383" s="1" t="n">
        <v>46182</v>
      </c>
      <c r="D383" t="inlineStr">
        <is>
          <t>ÖREBRO LÄN</t>
        </is>
      </c>
      <c r="E383" t="inlineStr">
        <is>
          <t>LINDESBERG</t>
        </is>
      </c>
      <c r="G383" t="n">
        <v>2</v>
      </c>
      <c r="H383" t="n">
        <v>0</v>
      </c>
      <c r="I383" t="n">
        <v>0</v>
      </c>
      <c r="J383" t="n">
        <v>0</v>
      </c>
      <c r="K383" t="n">
        <v>0</v>
      </c>
      <c r="L383" t="n">
        <v>0</v>
      </c>
      <c r="M383" t="n">
        <v>0</v>
      </c>
      <c r="N383" t="n">
        <v>0</v>
      </c>
      <c r="O383" t="n">
        <v>0</v>
      </c>
      <c r="P383" t="n">
        <v>0</v>
      </c>
      <c r="Q383" t="n">
        <v>0</v>
      </c>
      <c r="R383" s="2" t="inlineStr"/>
    </row>
    <row r="384" ht="15" customHeight="1">
      <c r="A384" t="inlineStr">
        <is>
          <t>A 38534-2025</t>
        </is>
      </c>
      <c r="B384" s="1" t="n">
        <v>45884</v>
      </c>
      <c r="C384" s="1" t="n">
        <v>46182</v>
      </c>
      <c r="D384" t="inlineStr">
        <is>
          <t>ÖREBRO LÄN</t>
        </is>
      </c>
      <c r="E384" t="inlineStr">
        <is>
          <t>LINDESBERG</t>
        </is>
      </c>
      <c r="G384" t="n">
        <v>4.9</v>
      </c>
      <c r="H384" t="n">
        <v>0</v>
      </c>
      <c r="I384" t="n">
        <v>0</v>
      </c>
      <c r="J384" t="n">
        <v>0</v>
      </c>
      <c r="K384" t="n">
        <v>0</v>
      </c>
      <c r="L384" t="n">
        <v>0</v>
      </c>
      <c r="M384" t="n">
        <v>0</v>
      </c>
      <c r="N384" t="n">
        <v>0</v>
      </c>
      <c r="O384" t="n">
        <v>0</v>
      </c>
      <c r="P384" t="n">
        <v>0</v>
      </c>
      <c r="Q384" t="n">
        <v>0</v>
      </c>
      <c r="R384" s="2" t="inlineStr"/>
    </row>
    <row r="385" ht="15" customHeight="1">
      <c r="A385" t="inlineStr">
        <is>
          <t>A 19219-2023</t>
        </is>
      </c>
      <c r="B385" s="1" t="n">
        <v>45048</v>
      </c>
      <c r="C385" s="1" t="n">
        <v>46182</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1742-2022</t>
        </is>
      </c>
      <c r="B386" s="1" t="n">
        <v>44574.50425925926</v>
      </c>
      <c r="C386" s="1" t="n">
        <v>46182</v>
      </c>
      <c r="D386" t="inlineStr">
        <is>
          <t>ÖREBRO LÄN</t>
        </is>
      </c>
      <c r="E386" t="inlineStr">
        <is>
          <t>LINDESBERG</t>
        </is>
      </c>
      <c r="G386" t="n">
        <v>0.9</v>
      </c>
      <c r="H386" t="n">
        <v>0</v>
      </c>
      <c r="I386" t="n">
        <v>0</v>
      </c>
      <c r="J386" t="n">
        <v>0</v>
      </c>
      <c r="K386" t="n">
        <v>0</v>
      </c>
      <c r="L386" t="n">
        <v>0</v>
      </c>
      <c r="M386" t="n">
        <v>0</v>
      </c>
      <c r="N386" t="n">
        <v>0</v>
      </c>
      <c r="O386" t="n">
        <v>0</v>
      </c>
      <c r="P386" t="n">
        <v>0</v>
      </c>
      <c r="Q386" t="n">
        <v>0</v>
      </c>
      <c r="R386" s="2" t="inlineStr"/>
    </row>
    <row r="387" ht="15" customHeight="1">
      <c r="A387" t="inlineStr">
        <is>
          <t>A 36509-2024</t>
        </is>
      </c>
      <c r="B387" s="1" t="n">
        <v>45537.42240740741</v>
      </c>
      <c r="C387" s="1" t="n">
        <v>46182</v>
      </c>
      <c r="D387" t="inlineStr">
        <is>
          <t>ÖREBRO LÄN</t>
        </is>
      </c>
      <c r="E387" t="inlineStr">
        <is>
          <t>LINDESBERG</t>
        </is>
      </c>
      <c r="G387" t="n">
        <v>1.5</v>
      </c>
      <c r="H387" t="n">
        <v>0</v>
      </c>
      <c r="I387" t="n">
        <v>0</v>
      </c>
      <c r="J387" t="n">
        <v>0</v>
      </c>
      <c r="K387" t="n">
        <v>0</v>
      </c>
      <c r="L387" t="n">
        <v>0</v>
      </c>
      <c r="M387" t="n">
        <v>0</v>
      </c>
      <c r="N387" t="n">
        <v>0</v>
      </c>
      <c r="O387" t="n">
        <v>0</v>
      </c>
      <c r="P387" t="n">
        <v>0</v>
      </c>
      <c r="Q387" t="n">
        <v>0</v>
      </c>
      <c r="R387" s="2" t="inlineStr"/>
    </row>
    <row r="388" ht="15" customHeight="1">
      <c r="A388" t="inlineStr">
        <is>
          <t>A 33428-2024</t>
        </is>
      </c>
      <c r="B388" s="1" t="n">
        <v>45519.52319444445</v>
      </c>
      <c r="C388" s="1" t="n">
        <v>46182</v>
      </c>
      <c r="D388" t="inlineStr">
        <is>
          <t>ÖREBRO LÄN</t>
        </is>
      </c>
      <c r="E388" t="inlineStr">
        <is>
          <t>LINDESBERG</t>
        </is>
      </c>
      <c r="F388" t="inlineStr">
        <is>
          <t>Sveaskog</t>
        </is>
      </c>
      <c r="G388" t="n">
        <v>0.2</v>
      </c>
      <c r="H388" t="n">
        <v>0</v>
      </c>
      <c r="I388" t="n">
        <v>0</v>
      </c>
      <c r="J388" t="n">
        <v>0</v>
      </c>
      <c r="K388" t="n">
        <v>0</v>
      </c>
      <c r="L388" t="n">
        <v>0</v>
      </c>
      <c r="M388" t="n">
        <v>0</v>
      </c>
      <c r="N388" t="n">
        <v>0</v>
      </c>
      <c r="O388" t="n">
        <v>0</v>
      </c>
      <c r="P388" t="n">
        <v>0</v>
      </c>
      <c r="Q388" t="n">
        <v>0</v>
      </c>
      <c r="R388" s="2" t="inlineStr"/>
    </row>
    <row r="389" ht="15" customHeight="1">
      <c r="A389" t="inlineStr">
        <is>
          <t>A 17104-2024</t>
        </is>
      </c>
      <c r="B389" s="1" t="n">
        <v>45412.54541666667</v>
      </c>
      <c r="C389" s="1" t="n">
        <v>46182</v>
      </c>
      <c r="D389" t="inlineStr">
        <is>
          <t>ÖREBRO LÄN</t>
        </is>
      </c>
      <c r="E389" t="inlineStr">
        <is>
          <t>LINDESBERG</t>
        </is>
      </c>
      <c r="G389" t="n">
        <v>2.2</v>
      </c>
      <c r="H389" t="n">
        <v>0</v>
      </c>
      <c r="I389" t="n">
        <v>0</v>
      </c>
      <c r="J389" t="n">
        <v>0</v>
      </c>
      <c r="K389" t="n">
        <v>0</v>
      </c>
      <c r="L389" t="n">
        <v>0</v>
      </c>
      <c r="M389" t="n">
        <v>0</v>
      </c>
      <c r="N389" t="n">
        <v>0</v>
      </c>
      <c r="O389" t="n">
        <v>0</v>
      </c>
      <c r="P389" t="n">
        <v>0</v>
      </c>
      <c r="Q389" t="n">
        <v>0</v>
      </c>
      <c r="R389" s="2" t="inlineStr"/>
    </row>
    <row r="390" ht="15" customHeight="1">
      <c r="A390" t="inlineStr">
        <is>
          <t>A 13350-2024</t>
        </is>
      </c>
      <c r="B390" s="1" t="n">
        <v>45387.24732638889</v>
      </c>
      <c r="C390" s="1" t="n">
        <v>46182</v>
      </c>
      <c r="D390" t="inlineStr">
        <is>
          <t>ÖREBRO LÄN</t>
        </is>
      </c>
      <c r="E390" t="inlineStr">
        <is>
          <t>LINDESBERG</t>
        </is>
      </c>
      <c r="G390" t="n">
        <v>4.1</v>
      </c>
      <c r="H390" t="n">
        <v>0</v>
      </c>
      <c r="I390" t="n">
        <v>0</v>
      </c>
      <c r="J390" t="n">
        <v>0</v>
      </c>
      <c r="K390" t="n">
        <v>0</v>
      </c>
      <c r="L390" t="n">
        <v>0</v>
      </c>
      <c r="M390" t="n">
        <v>0</v>
      </c>
      <c r="N390" t="n">
        <v>0</v>
      </c>
      <c r="O390" t="n">
        <v>0</v>
      </c>
      <c r="P390" t="n">
        <v>0</v>
      </c>
      <c r="Q390" t="n">
        <v>0</v>
      </c>
      <c r="R390" s="2" t="inlineStr"/>
    </row>
    <row r="391" ht="15" customHeight="1">
      <c r="A391" t="inlineStr">
        <is>
          <t>A 13351-2024</t>
        </is>
      </c>
      <c r="B391" s="1" t="n">
        <v>45387.2521875</v>
      </c>
      <c r="C391" s="1" t="n">
        <v>46182</v>
      </c>
      <c r="D391" t="inlineStr">
        <is>
          <t>ÖREBRO LÄN</t>
        </is>
      </c>
      <c r="E391" t="inlineStr">
        <is>
          <t>LINDESBERG</t>
        </is>
      </c>
      <c r="G391" t="n">
        <v>1.7</v>
      </c>
      <c r="H391" t="n">
        <v>0</v>
      </c>
      <c r="I391" t="n">
        <v>0</v>
      </c>
      <c r="J391" t="n">
        <v>0</v>
      </c>
      <c r="K391" t="n">
        <v>0</v>
      </c>
      <c r="L391" t="n">
        <v>0</v>
      </c>
      <c r="M391" t="n">
        <v>0</v>
      </c>
      <c r="N391" t="n">
        <v>0</v>
      </c>
      <c r="O391" t="n">
        <v>0</v>
      </c>
      <c r="P391" t="n">
        <v>0</v>
      </c>
      <c r="Q391" t="n">
        <v>0</v>
      </c>
      <c r="R391" s="2" t="inlineStr"/>
    </row>
    <row r="392" ht="15" customHeight="1">
      <c r="A392" t="inlineStr">
        <is>
          <t>A 52928-2024</t>
        </is>
      </c>
      <c r="B392" s="1" t="n">
        <v>45610</v>
      </c>
      <c r="C392" s="1" t="n">
        <v>46182</v>
      </c>
      <c r="D392" t="inlineStr">
        <is>
          <t>ÖREBRO LÄN</t>
        </is>
      </c>
      <c r="E392" t="inlineStr">
        <is>
          <t>LINDESBERG</t>
        </is>
      </c>
      <c r="G392" t="n">
        <v>8.6</v>
      </c>
      <c r="H392" t="n">
        <v>0</v>
      </c>
      <c r="I392" t="n">
        <v>0</v>
      </c>
      <c r="J392" t="n">
        <v>0</v>
      </c>
      <c r="K392" t="n">
        <v>0</v>
      </c>
      <c r="L392" t="n">
        <v>0</v>
      </c>
      <c r="M392" t="n">
        <v>0</v>
      </c>
      <c r="N392" t="n">
        <v>0</v>
      </c>
      <c r="O392" t="n">
        <v>0</v>
      </c>
      <c r="P392" t="n">
        <v>0</v>
      </c>
      <c r="Q392" t="n">
        <v>0</v>
      </c>
      <c r="R392" s="2" t="inlineStr"/>
    </row>
    <row r="393" ht="15" customHeight="1">
      <c r="A393" t="inlineStr">
        <is>
          <t>A 73500-2021</t>
        </is>
      </c>
      <c r="B393" s="1" t="n">
        <v>44551</v>
      </c>
      <c r="C393" s="1" t="n">
        <v>46182</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16864-2022</t>
        </is>
      </c>
      <c r="B394" s="1" t="n">
        <v>44675</v>
      </c>
      <c r="C394" s="1" t="n">
        <v>46182</v>
      </c>
      <c r="D394" t="inlineStr">
        <is>
          <t>ÖREBRO LÄN</t>
        </is>
      </c>
      <c r="E394" t="inlineStr">
        <is>
          <t>LINDESBERG</t>
        </is>
      </c>
      <c r="F394" t="inlineStr">
        <is>
          <t>Kyrkan</t>
        </is>
      </c>
      <c r="G394" t="n">
        <v>1.7</v>
      </c>
      <c r="H394" t="n">
        <v>0</v>
      </c>
      <c r="I394" t="n">
        <v>0</v>
      </c>
      <c r="J394" t="n">
        <v>0</v>
      </c>
      <c r="K394" t="n">
        <v>0</v>
      </c>
      <c r="L394" t="n">
        <v>0</v>
      </c>
      <c r="M394" t="n">
        <v>0</v>
      </c>
      <c r="N394" t="n">
        <v>0</v>
      </c>
      <c r="O394" t="n">
        <v>0</v>
      </c>
      <c r="P394" t="n">
        <v>0</v>
      </c>
      <c r="Q394" t="n">
        <v>0</v>
      </c>
      <c r="R394" s="2" t="inlineStr"/>
    </row>
    <row r="395" ht="15" customHeight="1">
      <c r="A395" t="inlineStr">
        <is>
          <t>A 34838-2023</t>
        </is>
      </c>
      <c r="B395" s="1" t="n">
        <v>45141.76530092592</v>
      </c>
      <c r="C395" s="1" t="n">
        <v>46182</v>
      </c>
      <c r="D395" t="inlineStr">
        <is>
          <t>ÖREBRO LÄN</t>
        </is>
      </c>
      <c r="E395" t="inlineStr">
        <is>
          <t>LINDESBERG</t>
        </is>
      </c>
      <c r="G395" t="n">
        <v>3</v>
      </c>
      <c r="H395" t="n">
        <v>0</v>
      </c>
      <c r="I395" t="n">
        <v>0</v>
      </c>
      <c r="J395" t="n">
        <v>0</v>
      </c>
      <c r="K395" t="n">
        <v>0</v>
      </c>
      <c r="L395" t="n">
        <v>0</v>
      </c>
      <c r="M395" t="n">
        <v>0</v>
      </c>
      <c r="N395" t="n">
        <v>0</v>
      </c>
      <c r="O395" t="n">
        <v>0</v>
      </c>
      <c r="P395" t="n">
        <v>0</v>
      </c>
      <c r="Q395" t="n">
        <v>0</v>
      </c>
      <c r="R395" s="2" t="inlineStr"/>
    </row>
    <row r="396" ht="15" customHeight="1">
      <c r="A396" t="inlineStr">
        <is>
          <t>A 15324-2024</t>
        </is>
      </c>
      <c r="B396" s="1" t="n">
        <v>45400.66995370371</v>
      </c>
      <c r="C396" s="1" t="n">
        <v>46182</v>
      </c>
      <c r="D396" t="inlineStr">
        <is>
          <t>ÖREBRO LÄN</t>
        </is>
      </c>
      <c r="E396" t="inlineStr">
        <is>
          <t>LINDESBERG</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36170-2021</t>
        </is>
      </c>
      <c r="B397" s="1" t="n">
        <v>44389</v>
      </c>
      <c r="C397" s="1" t="n">
        <v>46182</v>
      </c>
      <c r="D397" t="inlineStr">
        <is>
          <t>ÖREBRO LÄN</t>
        </is>
      </c>
      <c r="E397" t="inlineStr">
        <is>
          <t>LINDESBERG</t>
        </is>
      </c>
      <c r="G397" t="n">
        <v>0.4</v>
      </c>
      <c r="H397" t="n">
        <v>0</v>
      </c>
      <c r="I397" t="n">
        <v>0</v>
      </c>
      <c r="J397" t="n">
        <v>0</v>
      </c>
      <c r="K397" t="n">
        <v>0</v>
      </c>
      <c r="L397" t="n">
        <v>0</v>
      </c>
      <c r="M397" t="n">
        <v>0</v>
      </c>
      <c r="N397" t="n">
        <v>0</v>
      </c>
      <c r="O397" t="n">
        <v>0</v>
      </c>
      <c r="P397" t="n">
        <v>0</v>
      </c>
      <c r="Q397" t="n">
        <v>0</v>
      </c>
      <c r="R397" s="2" t="inlineStr"/>
    </row>
    <row r="398" ht="15" customHeight="1">
      <c r="A398" t="inlineStr">
        <is>
          <t>A 48620-2025</t>
        </is>
      </c>
      <c r="B398" s="1" t="n">
        <v>45936.49210648148</v>
      </c>
      <c r="C398" s="1" t="n">
        <v>46182</v>
      </c>
      <c r="D398" t="inlineStr">
        <is>
          <t>ÖREBRO LÄN</t>
        </is>
      </c>
      <c r="E398" t="inlineStr">
        <is>
          <t>LINDESBERG</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7180-2023</t>
        </is>
      </c>
      <c r="B399" s="1" t="n">
        <v>44970.51849537037</v>
      </c>
      <c r="C399" s="1" t="n">
        <v>46182</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46675-2023</t>
        </is>
      </c>
      <c r="B400" s="1" t="n">
        <v>45194</v>
      </c>
      <c r="C400" s="1" t="n">
        <v>46182</v>
      </c>
      <c r="D400" t="inlineStr">
        <is>
          <t>ÖREBRO LÄN</t>
        </is>
      </c>
      <c r="E400" t="inlineStr">
        <is>
          <t>LINDESBERG</t>
        </is>
      </c>
      <c r="G400" t="n">
        <v>3.8</v>
      </c>
      <c r="H400" t="n">
        <v>0</v>
      </c>
      <c r="I400" t="n">
        <v>0</v>
      </c>
      <c r="J400" t="n">
        <v>0</v>
      </c>
      <c r="K400" t="n">
        <v>0</v>
      </c>
      <c r="L400" t="n">
        <v>0</v>
      </c>
      <c r="M400" t="n">
        <v>0</v>
      </c>
      <c r="N400" t="n">
        <v>0</v>
      </c>
      <c r="O400" t="n">
        <v>0</v>
      </c>
      <c r="P400" t="n">
        <v>0</v>
      </c>
      <c r="Q400" t="n">
        <v>0</v>
      </c>
      <c r="R400" s="2" t="inlineStr"/>
    </row>
    <row r="401" ht="15" customHeight="1">
      <c r="A401" t="inlineStr">
        <is>
          <t>A 50964-2023</t>
        </is>
      </c>
      <c r="B401" s="1" t="n">
        <v>45218.488125</v>
      </c>
      <c r="C401" s="1" t="n">
        <v>46182</v>
      </c>
      <c r="D401" t="inlineStr">
        <is>
          <t>ÖREBRO LÄN</t>
        </is>
      </c>
      <c r="E401" t="inlineStr">
        <is>
          <t>LINDESBERG</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48618-2025</t>
        </is>
      </c>
      <c r="B402" s="1" t="n">
        <v>45936.49026620371</v>
      </c>
      <c r="C402" s="1" t="n">
        <v>46182</v>
      </c>
      <c r="D402" t="inlineStr">
        <is>
          <t>ÖREBRO LÄN</t>
        </is>
      </c>
      <c r="E402" t="inlineStr">
        <is>
          <t>LINDESBERG</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48867-2025</t>
        </is>
      </c>
      <c r="B403" s="1" t="n">
        <v>45937.4484837963</v>
      </c>
      <c r="C403" s="1" t="n">
        <v>46182</v>
      </c>
      <c r="D403" t="inlineStr">
        <is>
          <t>ÖREBRO LÄN</t>
        </is>
      </c>
      <c r="E403" t="inlineStr">
        <is>
          <t>LINDESBERG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49133-2025</t>
        </is>
      </c>
      <c r="B404" s="1" t="n">
        <v>45937.92319444445</v>
      </c>
      <c r="C404" s="1" t="n">
        <v>46182</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27702-2025</t>
        </is>
      </c>
      <c r="B405" s="1" t="n">
        <v>45813</v>
      </c>
      <c r="C405" s="1" t="n">
        <v>46182</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48993-2025</t>
        </is>
      </c>
      <c r="B406" s="1" t="n">
        <v>45937.58590277778</v>
      </c>
      <c r="C406" s="1" t="n">
        <v>46182</v>
      </c>
      <c r="D406" t="inlineStr">
        <is>
          <t>ÖREBRO LÄN</t>
        </is>
      </c>
      <c r="E406" t="inlineStr">
        <is>
          <t>LINDESBERG</t>
        </is>
      </c>
      <c r="F406" t="inlineStr">
        <is>
          <t>Kyrkan</t>
        </is>
      </c>
      <c r="G406" t="n">
        <v>4</v>
      </c>
      <c r="H406" t="n">
        <v>0</v>
      </c>
      <c r="I406" t="n">
        <v>0</v>
      </c>
      <c r="J406" t="n">
        <v>0</v>
      </c>
      <c r="K406" t="n">
        <v>0</v>
      </c>
      <c r="L406" t="n">
        <v>0</v>
      </c>
      <c r="M406" t="n">
        <v>0</v>
      </c>
      <c r="N406" t="n">
        <v>0</v>
      </c>
      <c r="O406" t="n">
        <v>0</v>
      </c>
      <c r="P406" t="n">
        <v>0</v>
      </c>
      <c r="Q406" t="n">
        <v>0</v>
      </c>
      <c r="R406" s="2" t="inlineStr"/>
    </row>
    <row r="407" ht="15" customHeight="1">
      <c r="A407" t="inlineStr">
        <is>
          <t>A 610-2026</t>
        </is>
      </c>
      <c r="B407" s="1" t="n">
        <v>46029</v>
      </c>
      <c r="C407" s="1" t="n">
        <v>46182</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50619-2022</t>
        </is>
      </c>
      <c r="B408" s="1" t="n">
        <v>44866.79668981482</v>
      </c>
      <c r="C408" s="1" t="n">
        <v>46182</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36893-2024</t>
        </is>
      </c>
      <c r="B409" s="1" t="n">
        <v>45538</v>
      </c>
      <c r="C409" s="1" t="n">
        <v>46182</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49183-2025</t>
        </is>
      </c>
      <c r="B410" s="1" t="n">
        <v>45938.39741898148</v>
      </c>
      <c r="C410" s="1" t="n">
        <v>46182</v>
      </c>
      <c r="D410" t="inlineStr">
        <is>
          <t>ÖREBRO LÄN</t>
        </is>
      </c>
      <c r="E410" t="inlineStr">
        <is>
          <t>LINDESBERG</t>
        </is>
      </c>
      <c r="G410" t="n">
        <v>4.4</v>
      </c>
      <c r="H410" t="n">
        <v>0</v>
      </c>
      <c r="I410" t="n">
        <v>0</v>
      </c>
      <c r="J410" t="n">
        <v>0</v>
      </c>
      <c r="K410" t="n">
        <v>0</v>
      </c>
      <c r="L410" t="n">
        <v>0</v>
      </c>
      <c r="M410" t="n">
        <v>0</v>
      </c>
      <c r="N410" t="n">
        <v>0</v>
      </c>
      <c r="O410" t="n">
        <v>0</v>
      </c>
      <c r="P410" t="n">
        <v>0</v>
      </c>
      <c r="Q410" t="n">
        <v>0</v>
      </c>
      <c r="R410" s="2" t="inlineStr"/>
    </row>
    <row r="411" ht="15" customHeight="1">
      <c r="A411" t="inlineStr">
        <is>
          <t>A 49707-2025</t>
        </is>
      </c>
      <c r="B411" s="1" t="n">
        <v>45939.67951388889</v>
      </c>
      <c r="C411" s="1" t="n">
        <v>46182</v>
      </c>
      <c r="D411" t="inlineStr">
        <is>
          <t>ÖREBRO LÄN</t>
        </is>
      </c>
      <c r="E411" t="inlineStr">
        <is>
          <t>LINDESBERG</t>
        </is>
      </c>
      <c r="F411" t="inlineStr">
        <is>
          <t>Kommuner</t>
        </is>
      </c>
      <c r="G411" t="n">
        <v>0.6</v>
      </c>
      <c r="H411" t="n">
        <v>0</v>
      </c>
      <c r="I411" t="n">
        <v>0</v>
      </c>
      <c r="J411" t="n">
        <v>0</v>
      </c>
      <c r="K411" t="n">
        <v>0</v>
      </c>
      <c r="L411" t="n">
        <v>0</v>
      </c>
      <c r="M411" t="n">
        <v>0</v>
      </c>
      <c r="N411" t="n">
        <v>0</v>
      </c>
      <c r="O411" t="n">
        <v>0</v>
      </c>
      <c r="P411" t="n">
        <v>0</v>
      </c>
      <c r="Q411" t="n">
        <v>0</v>
      </c>
      <c r="R411" s="2" t="inlineStr"/>
    </row>
    <row r="412" ht="15" customHeight="1">
      <c r="A412" t="inlineStr">
        <is>
          <t>A 11953-2024</t>
        </is>
      </c>
      <c r="B412" s="1" t="n">
        <v>45376.70292824074</v>
      </c>
      <c r="C412" s="1" t="n">
        <v>46182</v>
      </c>
      <c r="D412" t="inlineStr">
        <is>
          <t>ÖREBRO LÄN</t>
        </is>
      </c>
      <c r="E412" t="inlineStr">
        <is>
          <t>LINDESBERG</t>
        </is>
      </c>
      <c r="G412" t="n">
        <v>5.7</v>
      </c>
      <c r="H412" t="n">
        <v>0</v>
      </c>
      <c r="I412" t="n">
        <v>0</v>
      </c>
      <c r="J412" t="n">
        <v>0</v>
      </c>
      <c r="K412" t="n">
        <v>0</v>
      </c>
      <c r="L412" t="n">
        <v>0</v>
      </c>
      <c r="M412" t="n">
        <v>0</v>
      </c>
      <c r="N412" t="n">
        <v>0</v>
      </c>
      <c r="O412" t="n">
        <v>0</v>
      </c>
      <c r="P412" t="n">
        <v>0</v>
      </c>
      <c r="Q412" t="n">
        <v>0</v>
      </c>
      <c r="R412" s="2" t="inlineStr"/>
    </row>
    <row r="413" ht="15" customHeight="1">
      <c r="A413" t="inlineStr">
        <is>
          <t>A 50170-2022</t>
        </is>
      </c>
      <c r="B413" s="1" t="n">
        <v>44865.600625</v>
      </c>
      <c r="C413" s="1" t="n">
        <v>46182</v>
      </c>
      <c r="D413" t="inlineStr">
        <is>
          <t>ÖREBRO LÄN</t>
        </is>
      </c>
      <c r="E413" t="inlineStr">
        <is>
          <t>LINDESBERG</t>
        </is>
      </c>
      <c r="G413" t="n">
        <v>2.1</v>
      </c>
      <c r="H413" t="n">
        <v>0</v>
      </c>
      <c r="I413" t="n">
        <v>0</v>
      </c>
      <c r="J413" t="n">
        <v>0</v>
      </c>
      <c r="K413" t="n">
        <v>0</v>
      </c>
      <c r="L413" t="n">
        <v>0</v>
      </c>
      <c r="M413" t="n">
        <v>0</v>
      </c>
      <c r="N413" t="n">
        <v>0</v>
      </c>
      <c r="O413" t="n">
        <v>0</v>
      </c>
      <c r="P413" t="n">
        <v>0</v>
      </c>
      <c r="Q413" t="n">
        <v>0</v>
      </c>
      <c r="R413" s="2" t="inlineStr"/>
    </row>
    <row r="414" ht="15" customHeight="1">
      <c r="A414" t="inlineStr">
        <is>
          <t>A 911-2026</t>
        </is>
      </c>
      <c r="B414" s="1" t="n">
        <v>46030.47725694445</v>
      </c>
      <c r="C414" s="1" t="n">
        <v>46182</v>
      </c>
      <c r="D414" t="inlineStr">
        <is>
          <t>ÖREBRO LÄN</t>
        </is>
      </c>
      <c r="E414" t="inlineStr">
        <is>
          <t>LINDESBERG</t>
        </is>
      </c>
      <c r="G414" t="n">
        <v>1.6</v>
      </c>
      <c r="H414" t="n">
        <v>0</v>
      </c>
      <c r="I414" t="n">
        <v>0</v>
      </c>
      <c r="J414" t="n">
        <v>0</v>
      </c>
      <c r="K414" t="n">
        <v>0</v>
      </c>
      <c r="L414" t="n">
        <v>0</v>
      </c>
      <c r="M414" t="n">
        <v>0</v>
      </c>
      <c r="N414" t="n">
        <v>0</v>
      </c>
      <c r="O414" t="n">
        <v>0</v>
      </c>
      <c r="P414" t="n">
        <v>0</v>
      </c>
      <c r="Q414" t="n">
        <v>0</v>
      </c>
      <c r="R414" s="2" t="inlineStr"/>
    </row>
    <row r="415" ht="15" customHeight="1">
      <c r="A415" t="inlineStr">
        <is>
          <t>A 28469-2023</t>
        </is>
      </c>
      <c r="B415" s="1" t="n">
        <v>45103</v>
      </c>
      <c r="C415" s="1" t="n">
        <v>46182</v>
      </c>
      <c r="D415" t="inlineStr">
        <is>
          <t>ÖREBRO LÄN</t>
        </is>
      </c>
      <c r="E415" t="inlineStr">
        <is>
          <t>LINDESBERG</t>
        </is>
      </c>
      <c r="G415" t="n">
        <v>0.3</v>
      </c>
      <c r="H415" t="n">
        <v>0</v>
      </c>
      <c r="I415" t="n">
        <v>0</v>
      </c>
      <c r="J415" t="n">
        <v>0</v>
      </c>
      <c r="K415" t="n">
        <v>0</v>
      </c>
      <c r="L415" t="n">
        <v>0</v>
      </c>
      <c r="M415" t="n">
        <v>0</v>
      </c>
      <c r="N415" t="n">
        <v>0</v>
      </c>
      <c r="O415" t="n">
        <v>0</v>
      </c>
      <c r="P415" t="n">
        <v>0</v>
      </c>
      <c r="Q415" t="n">
        <v>0</v>
      </c>
      <c r="R415" s="2" t="inlineStr"/>
    </row>
    <row r="416" ht="15" customHeight="1">
      <c r="A416" t="inlineStr">
        <is>
          <t>A 72706-2021</t>
        </is>
      </c>
      <c r="B416" s="1" t="n">
        <v>44546.67222222222</v>
      </c>
      <c r="C416" s="1" t="n">
        <v>46182</v>
      </c>
      <c r="D416" t="inlineStr">
        <is>
          <t>ÖREBRO LÄN</t>
        </is>
      </c>
      <c r="E416" t="inlineStr">
        <is>
          <t>LINDESBERG</t>
        </is>
      </c>
      <c r="G416" t="n">
        <v>1.7</v>
      </c>
      <c r="H416" t="n">
        <v>0</v>
      </c>
      <c r="I416" t="n">
        <v>0</v>
      </c>
      <c r="J416" t="n">
        <v>0</v>
      </c>
      <c r="K416" t="n">
        <v>0</v>
      </c>
      <c r="L416" t="n">
        <v>0</v>
      </c>
      <c r="M416" t="n">
        <v>0</v>
      </c>
      <c r="N416" t="n">
        <v>0</v>
      </c>
      <c r="O416" t="n">
        <v>0</v>
      </c>
      <c r="P416" t="n">
        <v>0</v>
      </c>
      <c r="Q416" t="n">
        <v>0</v>
      </c>
      <c r="R416" s="2" t="inlineStr"/>
    </row>
    <row r="417" ht="15" customHeight="1">
      <c r="A417" t="inlineStr">
        <is>
          <t>A 49946-2025</t>
        </is>
      </c>
      <c r="B417" s="1" t="n">
        <v>45940.69862268519</v>
      </c>
      <c r="C417" s="1" t="n">
        <v>46182</v>
      </c>
      <c r="D417" t="inlineStr">
        <is>
          <t>ÖREBRO LÄN</t>
        </is>
      </c>
      <c r="E417" t="inlineStr">
        <is>
          <t>LINDESBERG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2556-2026</t>
        </is>
      </c>
      <c r="B418" s="1" t="n">
        <v>46035</v>
      </c>
      <c r="C418" s="1" t="n">
        <v>46182</v>
      </c>
      <c r="D418" t="inlineStr">
        <is>
          <t>ÖREBRO LÄN</t>
        </is>
      </c>
      <c r="E418" t="inlineStr">
        <is>
          <t>LINDESBERG</t>
        </is>
      </c>
      <c r="G418" t="n">
        <v>3.4</v>
      </c>
      <c r="H418" t="n">
        <v>0</v>
      </c>
      <c r="I418" t="n">
        <v>0</v>
      </c>
      <c r="J418" t="n">
        <v>0</v>
      </c>
      <c r="K418" t="n">
        <v>0</v>
      </c>
      <c r="L418" t="n">
        <v>0</v>
      </c>
      <c r="M418" t="n">
        <v>0</v>
      </c>
      <c r="N418" t="n">
        <v>0</v>
      </c>
      <c r="O418" t="n">
        <v>0</v>
      </c>
      <c r="P418" t="n">
        <v>0</v>
      </c>
      <c r="Q418" t="n">
        <v>0</v>
      </c>
      <c r="R418" s="2" t="inlineStr"/>
    </row>
    <row r="419" ht="15" customHeight="1">
      <c r="A419" t="inlineStr">
        <is>
          <t>A 49943-2025</t>
        </is>
      </c>
      <c r="B419" s="1" t="n">
        <v>45940.69521990741</v>
      </c>
      <c r="C419" s="1" t="n">
        <v>46182</v>
      </c>
      <c r="D419" t="inlineStr">
        <is>
          <t>ÖREBRO LÄN</t>
        </is>
      </c>
      <c r="E419" t="inlineStr">
        <is>
          <t>LINDESBERG</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10111-2022</t>
        </is>
      </c>
      <c r="B420" s="1" t="n">
        <v>44621.85737268518</v>
      </c>
      <c r="C420" s="1" t="n">
        <v>46182</v>
      </c>
      <c r="D420" t="inlineStr">
        <is>
          <t>ÖREBRO LÄN</t>
        </is>
      </c>
      <c r="E420" t="inlineStr">
        <is>
          <t>LINDESBERG</t>
        </is>
      </c>
      <c r="G420" t="n">
        <v>2.4</v>
      </c>
      <c r="H420" t="n">
        <v>0</v>
      </c>
      <c r="I420" t="n">
        <v>0</v>
      </c>
      <c r="J420" t="n">
        <v>0</v>
      </c>
      <c r="K420" t="n">
        <v>0</v>
      </c>
      <c r="L420" t="n">
        <v>0</v>
      </c>
      <c r="M420" t="n">
        <v>0</v>
      </c>
      <c r="N420" t="n">
        <v>0</v>
      </c>
      <c r="O420" t="n">
        <v>0</v>
      </c>
      <c r="P420" t="n">
        <v>0</v>
      </c>
      <c r="Q420" t="n">
        <v>0</v>
      </c>
      <c r="R420" s="2" t="inlineStr"/>
    </row>
    <row r="421" ht="15" customHeight="1">
      <c r="A421" t="inlineStr">
        <is>
          <t>A 49944-2025</t>
        </is>
      </c>
      <c r="B421" s="1" t="n">
        <v>45940.69643518519</v>
      </c>
      <c r="C421" s="1" t="n">
        <v>46182</v>
      </c>
      <c r="D421" t="inlineStr">
        <is>
          <t>ÖREBRO LÄN</t>
        </is>
      </c>
      <c r="E421" t="inlineStr">
        <is>
          <t>LINDESBERG</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49947-2025</t>
        </is>
      </c>
      <c r="B422" s="1" t="n">
        <v>45940.70018518518</v>
      </c>
      <c r="C422" s="1" t="n">
        <v>46182</v>
      </c>
      <c r="D422" t="inlineStr">
        <is>
          <t>ÖREBRO LÄN</t>
        </is>
      </c>
      <c r="E422" t="inlineStr">
        <is>
          <t>LINDESBERG</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45481-2023</t>
        </is>
      </c>
      <c r="B423" s="1" t="n">
        <v>45194</v>
      </c>
      <c r="C423" s="1" t="n">
        <v>46182</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59766-2022</t>
        </is>
      </c>
      <c r="B424" s="1" t="n">
        <v>44908.49152777778</v>
      </c>
      <c r="C424" s="1" t="n">
        <v>46182</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50072-2025</t>
        </is>
      </c>
      <c r="B425" s="1" t="n">
        <v>45943.45966435185</v>
      </c>
      <c r="C425" s="1" t="n">
        <v>46182</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50086-2025</t>
        </is>
      </c>
      <c r="B426" s="1" t="n">
        <v>45943.47649305555</v>
      </c>
      <c r="C426" s="1" t="n">
        <v>46182</v>
      </c>
      <c r="D426" t="inlineStr">
        <is>
          <t>ÖREBRO LÄN</t>
        </is>
      </c>
      <c r="E426" t="inlineStr">
        <is>
          <t>LINDESBERG</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27013-2024</t>
        </is>
      </c>
      <c r="B427" s="1" t="n">
        <v>45471.40384259259</v>
      </c>
      <c r="C427" s="1" t="n">
        <v>46182</v>
      </c>
      <c r="D427" t="inlineStr">
        <is>
          <t>ÖREBRO LÄN</t>
        </is>
      </c>
      <c r="E427" t="inlineStr">
        <is>
          <t>LINDESBERG</t>
        </is>
      </c>
      <c r="G427" t="n">
        <v>5.2</v>
      </c>
      <c r="H427" t="n">
        <v>0</v>
      </c>
      <c r="I427" t="n">
        <v>0</v>
      </c>
      <c r="J427" t="n">
        <v>0</v>
      </c>
      <c r="K427" t="n">
        <v>0</v>
      </c>
      <c r="L427" t="n">
        <v>0</v>
      </c>
      <c r="M427" t="n">
        <v>0</v>
      </c>
      <c r="N427" t="n">
        <v>0</v>
      </c>
      <c r="O427" t="n">
        <v>0</v>
      </c>
      <c r="P427" t="n">
        <v>0</v>
      </c>
      <c r="Q427" t="n">
        <v>0</v>
      </c>
      <c r="R427" s="2" t="inlineStr"/>
    </row>
    <row r="428" ht="15" customHeight="1">
      <c r="A428" t="inlineStr">
        <is>
          <t>A 50073-2025</t>
        </is>
      </c>
      <c r="B428" s="1" t="n">
        <v>45943.4603125</v>
      </c>
      <c r="C428" s="1" t="n">
        <v>46182</v>
      </c>
      <c r="D428" t="inlineStr">
        <is>
          <t>ÖREBRO LÄN</t>
        </is>
      </c>
      <c r="E428" t="inlineStr">
        <is>
          <t>LINDESBERG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14231-2023</t>
        </is>
      </c>
      <c r="B429" s="1" t="n">
        <v>45009.64217592592</v>
      </c>
      <c r="C429" s="1" t="n">
        <v>46182</v>
      </c>
      <c r="D429" t="inlineStr">
        <is>
          <t>ÖREBRO LÄN</t>
        </is>
      </c>
      <c r="E429" t="inlineStr">
        <is>
          <t>LINDESBERG</t>
        </is>
      </c>
      <c r="G429" t="n">
        <v>4.3</v>
      </c>
      <c r="H429" t="n">
        <v>0</v>
      </c>
      <c r="I429" t="n">
        <v>0</v>
      </c>
      <c r="J429" t="n">
        <v>0</v>
      </c>
      <c r="K429" t="n">
        <v>0</v>
      </c>
      <c r="L429" t="n">
        <v>0</v>
      </c>
      <c r="M429" t="n">
        <v>0</v>
      </c>
      <c r="N429" t="n">
        <v>0</v>
      </c>
      <c r="O429" t="n">
        <v>0</v>
      </c>
      <c r="P429" t="n">
        <v>0</v>
      </c>
      <c r="Q429" t="n">
        <v>0</v>
      </c>
      <c r="R429" s="2" t="inlineStr"/>
    </row>
    <row r="430" ht="15" customHeight="1">
      <c r="A430" t="inlineStr">
        <is>
          <t>A 1749-2026</t>
        </is>
      </c>
      <c r="B430" s="1" t="n">
        <v>46034.65601851852</v>
      </c>
      <c r="C430" s="1" t="n">
        <v>46182</v>
      </c>
      <c r="D430" t="inlineStr">
        <is>
          <t>ÖREBRO LÄN</t>
        </is>
      </c>
      <c r="E430" t="inlineStr">
        <is>
          <t>LINDESBERG</t>
        </is>
      </c>
      <c r="G430" t="n">
        <v>2.2</v>
      </c>
      <c r="H430" t="n">
        <v>0</v>
      </c>
      <c r="I430" t="n">
        <v>0</v>
      </c>
      <c r="J430" t="n">
        <v>0</v>
      </c>
      <c r="K430" t="n">
        <v>0</v>
      </c>
      <c r="L430" t="n">
        <v>0</v>
      </c>
      <c r="M430" t="n">
        <v>0</v>
      </c>
      <c r="N430" t="n">
        <v>0</v>
      </c>
      <c r="O430" t="n">
        <v>0</v>
      </c>
      <c r="P430" t="n">
        <v>0</v>
      </c>
      <c r="Q430" t="n">
        <v>0</v>
      </c>
      <c r="R430" s="2" t="inlineStr"/>
    </row>
    <row r="431" ht="15" customHeight="1">
      <c r="A431" t="inlineStr">
        <is>
          <t>A 484-2022</t>
        </is>
      </c>
      <c r="B431" s="1" t="n">
        <v>44566</v>
      </c>
      <c r="C431" s="1" t="n">
        <v>46182</v>
      </c>
      <c r="D431" t="inlineStr">
        <is>
          <t>ÖREBRO LÄN</t>
        </is>
      </c>
      <c r="E431" t="inlineStr">
        <is>
          <t>LINDESBERG</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27134-2024</t>
        </is>
      </c>
      <c r="B432" s="1" t="n">
        <v>45471.52878472222</v>
      </c>
      <c r="C432" s="1" t="n">
        <v>46182</v>
      </c>
      <c r="D432" t="inlineStr">
        <is>
          <t>ÖREBRO LÄN</t>
        </is>
      </c>
      <c r="E432" t="inlineStr">
        <is>
          <t>LINDESBERG</t>
        </is>
      </c>
      <c r="G432" t="n">
        <v>0.7</v>
      </c>
      <c r="H432" t="n">
        <v>0</v>
      </c>
      <c r="I432" t="n">
        <v>0</v>
      </c>
      <c r="J432" t="n">
        <v>0</v>
      </c>
      <c r="K432" t="n">
        <v>0</v>
      </c>
      <c r="L432" t="n">
        <v>0</v>
      </c>
      <c r="M432" t="n">
        <v>0</v>
      </c>
      <c r="N432" t="n">
        <v>0</v>
      </c>
      <c r="O432" t="n">
        <v>0</v>
      </c>
      <c r="P432" t="n">
        <v>0</v>
      </c>
      <c r="Q432" t="n">
        <v>0</v>
      </c>
      <c r="R432" s="2" t="inlineStr"/>
    </row>
    <row r="433" ht="15" customHeight="1">
      <c r="A433" t="inlineStr">
        <is>
          <t>A 36121-2023</t>
        </is>
      </c>
      <c r="B433" s="1" t="n">
        <v>45148</v>
      </c>
      <c r="C433" s="1" t="n">
        <v>46182</v>
      </c>
      <c r="D433" t="inlineStr">
        <is>
          <t>ÖREBRO LÄN</t>
        </is>
      </c>
      <c r="E433" t="inlineStr">
        <is>
          <t>LINDESBERG</t>
        </is>
      </c>
      <c r="G433" t="n">
        <v>7.1</v>
      </c>
      <c r="H433" t="n">
        <v>0</v>
      </c>
      <c r="I433" t="n">
        <v>0</v>
      </c>
      <c r="J433" t="n">
        <v>0</v>
      </c>
      <c r="K433" t="n">
        <v>0</v>
      </c>
      <c r="L433" t="n">
        <v>0</v>
      </c>
      <c r="M433" t="n">
        <v>0</v>
      </c>
      <c r="N433" t="n">
        <v>0</v>
      </c>
      <c r="O433" t="n">
        <v>0</v>
      </c>
      <c r="P433" t="n">
        <v>0</v>
      </c>
      <c r="Q433" t="n">
        <v>0</v>
      </c>
      <c r="R433" s="2" t="inlineStr"/>
    </row>
    <row r="434" ht="15" customHeight="1">
      <c r="A434" t="inlineStr">
        <is>
          <t>A 36280-2023</t>
        </is>
      </c>
      <c r="B434" s="1" t="n">
        <v>45152.34586805556</v>
      </c>
      <c r="C434" s="1" t="n">
        <v>46182</v>
      </c>
      <c r="D434" t="inlineStr">
        <is>
          <t>ÖREBRO LÄN</t>
        </is>
      </c>
      <c r="E434" t="inlineStr">
        <is>
          <t>LINDESBERG</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2704-2026</t>
        </is>
      </c>
      <c r="B435" s="1" t="n">
        <v>46037.69133101852</v>
      </c>
      <c r="C435" s="1" t="n">
        <v>46182</v>
      </c>
      <c r="D435" t="inlineStr">
        <is>
          <t>ÖREBRO LÄN</t>
        </is>
      </c>
      <c r="E435" t="inlineStr">
        <is>
          <t>LINDESBERG</t>
        </is>
      </c>
      <c r="G435" t="n">
        <v>1.9</v>
      </c>
      <c r="H435" t="n">
        <v>0</v>
      </c>
      <c r="I435" t="n">
        <v>0</v>
      </c>
      <c r="J435" t="n">
        <v>0</v>
      </c>
      <c r="K435" t="n">
        <v>0</v>
      </c>
      <c r="L435" t="n">
        <v>0</v>
      </c>
      <c r="M435" t="n">
        <v>0</v>
      </c>
      <c r="N435" t="n">
        <v>0</v>
      </c>
      <c r="O435" t="n">
        <v>0</v>
      </c>
      <c r="P435" t="n">
        <v>0</v>
      </c>
      <c r="Q435" t="n">
        <v>0</v>
      </c>
      <c r="R435" s="2" t="inlineStr"/>
    </row>
    <row r="436" ht="15" customHeight="1">
      <c r="A436" t="inlineStr">
        <is>
          <t>A 1395-2025</t>
        </is>
      </c>
      <c r="B436" s="1" t="n">
        <v>45667</v>
      </c>
      <c r="C436" s="1" t="n">
        <v>46182</v>
      </c>
      <c r="D436" t="inlineStr">
        <is>
          <t>ÖREBRO LÄN</t>
        </is>
      </c>
      <c r="E436" t="inlineStr">
        <is>
          <t>LINDESBERG</t>
        </is>
      </c>
      <c r="G436" t="n">
        <v>4.6</v>
      </c>
      <c r="H436" t="n">
        <v>0</v>
      </c>
      <c r="I436" t="n">
        <v>0</v>
      </c>
      <c r="J436" t="n">
        <v>0</v>
      </c>
      <c r="K436" t="n">
        <v>0</v>
      </c>
      <c r="L436" t="n">
        <v>0</v>
      </c>
      <c r="M436" t="n">
        <v>0</v>
      </c>
      <c r="N436" t="n">
        <v>0</v>
      </c>
      <c r="O436" t="n">
        <v>0</v>
      </c>
      <c r="P436" t="n">
        <v>0</v>
      </c>
      <c r="Q436" t="n">
        <v>0</v>
      </c>
      <c r="R436" s="2" t="inlineStr"/>
    </row>
    <row r="437" ht="15" customHeight="1">
      <c r="A437" t="inlineStr">
        <is>
          <t>A 1405-2025</t>
        </is>
      </c>
      <c r="B437" s="1" t="n">
        <v>45667</v>
      </c>
      <c r="C437" s="1" t="n">
        <v>46182</v>
      </c>
      <c r="D437" t="inlineStr">
        <is>
          <t>ÖREBRO LÄN</t>
        </is>
      </c>
      <c r="E437" t="inlineStr">
        <is>
          <t>LINDESBERG</t>
        </is>
      </c>
      <c r="F437" t="inlineStr">
        <is>
          <t>Allmännings- och besparingsskogar</t>
        </is>
      </c>
      <c r="G437" t="n">
        <v>3.1</v>
      </c>
      <c r="H437" t="n">
        <v>0</v>
      </c>
      <c r="I437" t="n">
        <v>0</v>
      </c>
      <c r="J437" t="n">
        <v>0</v>
      </c>
      <c r="K437" t="n">
        <v>0</v>
      </c>
      <c r="L437" t="n">
        <v>0</v>
      </c>
      <c r="M437" t="n">
        <v>0</v>
      </c>
      <c r="N437" t="n">
        <v>0</v>
      </c>
      <c r="O437" t="n">
        <v>0</v>
      </c>
      <c r="P437" t="n">
        <v>0</v>
      </c>
      <c r="Q437" t="n">
        <v>0</v>
      </c>
      <c r="R437" s="2" t="inlineStr"/>
    </row>
    <row r="438" ht="15" customHeight="1">
      <c r="A438" t="inlineStr">
        <is>
          <t>A 44449-2023</t>
        </is>
      </c>
      <c r="B438" s="1" t="n">
        <v>45189.38135416667</v>
      </c>
      <c r="C438" s="1" t="n">
        <v>46182</v>
      </c>
      <c r="D438" t="inlineStr">
        <is>
          <t>ÖREBRO LÄN</t>
        </is>
      </c>
      <c r="E438" t="inlineStr">
        <is>
          <t>LINDESBERG</t>
        </is>
      </c>
      <c r="G438" t="n">
        <v>13.7</v>
      </c>
      <c r="H438" t="n">
        <v>0</v>
      </c>
      <c r="I438" t="n">
        <v>0</v>
      </c>
      <c r="J438" t="n">
        <v>0</v>
      </c>
      <c r="K438" t="n">
        <v>0</v>
      </c>
      <c r="L438" t="n">
        <v>0</v>
      </c>
      <c r="M438" t="n">
        <v>0</v>
      </c>
      <c r="N438" t="n">
        <v>0</v>
      </c>
      <c r="O438" t="n">
        <v>0</v>
      </c>
      <c r="P438" t="n">
        <v>0</v>
      </c>
      <c r="Q438" t="n">
        <v>0</v>
      </c>
      <c r="R438" s="2" t="inlineStr"/>
    </row>
    <row r="439" ht="15" customHeight="1">
      <c r="A439" t="inlineStr">
        <is>
          <t>A 3315-2026</t>
        </is>
      </c>
      <c r="B439" s="1" t="n">
        <v>46041.68443287037</v>
      </c>
      <c r="C439" s="1" t="n">
        <v>46182</v>
      </c>
      <c r="D439" t="inlineStr">
        <is>
          <t>ÖREBRO LÄN</t>
        </is>
      </c>
      <c r="E439" t="inlineStr">
        <is>
          <t>LINDESBERG</t>
        </is>
      </c>
      <c r="G439" t="n">
        <v>7.6</v>
      </c>
      <c r="H439" t="n">
        <v>0</v>
      </c>
      <c r="I439" t="n">
        <v>0</v>
      </c>
      <c r="J439" t="n">
        <v>0</v>
      </c>
      <c r="K439" t="n">
        <v>0</v>
      </c>
      <c r="L439" t="n">
        <v>0</v>
      </c>
      <c r="M439" t="n">
        <v>0</v>
      </c>
      <c r="N439" t="n">
        <v>0</v>
      </c>
      <c r="O439" t="n">
        <v>0</v>
      </c>
      <c r="P439" t="n">
        <v>0</v>
      </c>
      <c r="Q439" t="n">
        <v>0</v>
      </c>
      <c r="R439" s="2" t="inlineStr"/>
    </row>
    <row r="440" ht="15" customHeight="1">
      <c r="A440" t="inlineStr">
        <is>
          <t>A 2969-2026</t>
        </is>
      </c>
      <c r="B440" s="1" t="n">
        <v>46038.61912037037</v>
      </c>
      <c r="C440" s="1" t="n">
        <v>46182</v>
      </c>
      <c r="D440" t="inlineStr">
        <is>
          <t>ÖREBRO LÄN</t>
        </is>
      </c>
      <c r="E440" t="inlineStr">
        <is>
          <t>LINDESBERG</t>
        </is>
      </c>
      <c r="G440" t="n">
        <v>2.6</v>
      </c>
      <c r="H440" t="n">
        <v>0</v>
      </c>
      <c r="I440" t="n">
        <v>0</v>
      </c>
      <c r="J440" t="n">
        <v>0</v>
      </c>
      <c r="K440" t="n">
        <v>0</v>
      </c>
      <c r="L440" t="n">
        <v>0</v>
      </c>
      <c r="M440" t="n">
        <v>0</v>
      </c>
      <c r="N440" t="n">
        <v>0</v>
      </c>
      <c r="O440" t="n">
        <v>0</v>
      </c>
      <c r="P440" t="n">
        <v>0</v>
      </c>
      <c r="Q440" t="n">
        <v>0</v>
      </c>
      <c r="R440" s="2" t="inlineStr"/>
    </row>
    <row r="441" ht="15" customHeight="1">
      <c r="A441" t="inlineStr">
        <is>
          <t>A 2902-2026</t>
        </is>
      </c>
      <c r="B441" s="1" t="n">
        <v>46038.55849537037</v>
      </c>
      <c r="C441" s="1" t="n">
        <v>46182</v>
      </c>
      <c r="D441" t="inlineStr">
        <is>
          <t>ÖREBRO LÄN</t>
        </is>
      </c>
      <c r="E441" t="inlineStr">
        <is>
          <t>LINDESBERG</t>
        </is>
      </c>
      <c r="G441" t="n">
        <v>2.1</v>
      </c>
      <c r="H441" t="n">
        <v>0</v>
      </c>
      <c r="I441" t="n">
        <v>0</v>
      </c>
      <c r="J441" t="n">
        <v>0</v>
      </c>
      <c r="K441" t="n">
        <v>0</v>
      </c>
      <c r="L441" t="n">
        <v>0</v>
      </c>
      <c r="M441" t="n">
        <v>0</v>
      </c>
      <c r="N441" t="n">
        <v>0</v>
      </c>
      <c r="O441" t="n">
        <v>0</v>
      </c>
      <c r="P441" t="n">
        <v>0</v>
      </c>
      <c r="Q441" t="n">
        <v>0</v>
      </c>
      <c r="R441" s="2" t="inlineStr"/>
    </row>
    <row r="442" ht="15" customHeight="1">
      <c r="A442" t="inlineStr">
        <is>
          <t>A 45078-2024</t>
        </is>
      </c>
      <c r="B442" s="1" t="n">
        <v>45575.57104166667</v>
      </c>
      <c r="C442" s="1" t="n">
        <v>46182</v>
      </c>
      <c r="D442" t="inlineStr">
        <is>
          <t>ÖREBRO LÄN</t>
        </is>
      </c>
      <c r="E442" t="inlineStr">
        <is>
          <t>LINDESBERG</t>
        </is>
      </c>
      <c r="G442" t="n">
        <v>1.4</v>
      </c>
      <c r="H442" t="n">
        <v>0</v>
      </c>
      <c r="I442" t="n">
        <v>0</v>
      </c>
      <c r="J442" t="n">
        <v>0</v>
      </c>
      <c r="K442" t="n">
        <v>0</v>
      </c>
      <c r="L442" t="n">
        <v>0</v>
      </c>
      <c r="M442" t="n">
        <v>0</v>
      </c>
      <c r="N442" t="n">
        <v>0</v>
      </c>
      <c r="O442" t="n">
        <v>0</v>
      </c>
      <c r="P442" t="n">
        <v>0</v>
      </c>
      <c r="Q442" t="n">
        <v>0</v>
      </c>
      <c r="R442" s="2" t="inlineStr"/>
    </row>
    <row r="443" ht="15" customHeight="1">
      <c r="A443" t="inlineStr">
        <is>
          <t>A 2103-2022</t>
        </is>
      </c>
      <c r="B443" s="1" t="n">
        <v>44577.81121527778</v>
      </c>
      <c r="C443" s="1" t="n">
        <v>46182</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51172-2025</t>
        </is>
      </c>
      <c r="B444" s="1" t="n">
        <v>45947.60508101852</v>
      </c>
      <c r="C444" s="1" t="n">
        <v>46182</v>
      </c>
      <c r="D444" t="inlineStr">
        <is>
          <t>ÖREBRO LÄN</t>
        </is>
      </c>
      <c r="E444" t="inlineStr">
        <is>
          <t>LINDESBERG</t>
        </is>
      </c>
      <c r="F444" t="inlineStr">
        <is>
          <t>Kyrkan</t>
        </is>
      </c>
      <c r="G444" t="n">
        <v>0.9</v>
      </c>
      <c r="H444" t="n">
        <v>0</v>
      </c>
      <c r="I444" t="n">
        <v>0</v>
      </c>
      <c r="J444" t="n">
        <v>0</v>
      </c>
      <c r="K444" t="n">
        <v>0</v>
      </c>
      <c r="L444" t="n">
        <v>0</v>
      </c>
      <c r="M444" t="n">
        <v>0</v>
      </c>
      <c r="N444" t="n">
        <v>0</v>
      </c>
      <c r="O444" t="n">
        <v>0</v>
      </c>
      <c r="P444" t="n">
        <v>0</v>
      </c>
      <c r="Q444" t="n">
        <v>0</v>
      </c>
      <c r="R444" s="2" t="inlineStr"/>
    </row>
    <row r="445" ht="15" customHeight="1">
      <c r="A445" t="inlineStr">
        <is>
          <t>A 50933-2025</t>
        </is>
      </c>
      <c r="B445" s="1" t="n">
        <v>45946.68859953704</v>
      </c>
      <c r="C445" s="1" t="n">
        <v>46182</v>
      </c>
      <c r="D445" t="inlineStr">
        <is>
          <t>ÖREBRO LÄN</t>
        </is>
      </c>
      <c r="E445" t="inlineStr">
        <is>
          <t>LINDESBERG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2929-2026</t>
        </is>
      </c>
      <c r="B446" s="1" t="n">
        <v>46038.58241898148</v>
      </c>
      <c r="C446" s="1" t="n">
        <v>46182</v>
      </c>
      <c r="D446" t="inlineStr">
        <is>
          <t>ÖREBRO LÄN</t>
        </is>
      </c>
      <c r="E446" t="inlineStr">
        <is>
          <t>LINDESBERG</t>
        </is>
      </c>
      <c r="G446" t="n">
        <v>1.8</v>
      </c>
      <c r="H446" t="n">
        <v>0</v>
      </c>
      <c r="I446" t="n">
        <v>0</v>
      </c>
      <c r="J446" t="n">
        <v>0</v>
      </c>
      <c r="K446" t="n">
        <v>0</v>
      </c>
      <c r="L446" t="n">
        <v>0</v>
      </c>
      <c r="M446" t="n">
        <v>0</v>
      </c>
      <c r="N446" t="n">
        <v>0</v>
      </c>
      <c r="O446" t="n">
        <v>0</v>
      </c>
      <c r="P446" t="n">
        <v>0</v>
      </c>
      <c r="Q446" t="n">
        <v>0</v>
      </c>
      <c r="R446" s="2" t="inlineStr"/>
    </row>
    <row r="447" ht="15" customHeight="1">
      <c r="A447" t="inlineStr">
        <is>
          <t>A 2949-2026</t>
        </is>
      </c>
      <c r="B447" s="1" t="n">
        <v>46038.59640046296</v>
      </c>
      <c r="C447" s="1" t="n">
        <v>46182</v>
      </c>
      <c r="D447" t="inlineStr">
        <is>
          <t>ÖREBRO LÄN</t>
        </is>
      </c>
      <c r="E447" t="inlineStr">
        <is>
          <t>LINDESBERG</t>
        </is>
      </c>
      <c r="G447" t="n">
        <v>4</v>
      </c>
      <c r="H447" t="n">
        <v>0</v>
      </c>
      <c r="I447" t="n">
        <v>0</v>
      </c>
      <c r="J447" t="n">
        <v>0</v>
      </c>
      <c r="K447" t="n">
        <v>0</v>
      </c>
      <c r="L447" t="n">
        <v>0</v>
      </c>
      <c r="M447" t="n">
        <v>0</v>
      </c>
      <c r="N447" t="n">
        <v>0</v>
      </c>
      <c r="O447" t="n">
        <v>0</v>
      </c>
      <c r="P447" t="n">
        <v>0</v>
      </c>
      <c r="Q447" t="n">
        <v>0</v>
      </c>
      <c r="R447" s="2" t="inlineStr"/>
    </row>
    <row r="448" ht="15" customHeight="1">
      <c r="A448" t="inlineStr">
        <is>
          <t>A 2859-2026</t>
        </is>
      </c>
      <c r="B448" s="1" t="n">
        <v>46038.49269675926</v>
      </c>
      <c r="C448" s="1" t="n">
        <v>46182</v>
      </c>
      <c r="D448" t="inlineStr">
        <is>
          <t>ÖREBRO LÄN</t>
        </is>
      </c>
      <c r="E448" t="inlineStr">
        <is>
          <t>LINDESBERG</t>
        </is>
      </c>
      <c r="G448" t="n">
        <v>2.1</v>
      </c>
      <c r="H448" t="n">
        <v>0</v>
      </c>
      <c r="I448" t="n">
        <v>0</v>
      </c>
      <c r="J448" t="n">
        <v>0</v>
      </c>
      <c r="K448" t="n">
        <v>0</v>
      </c>
      <c r="L448" t="n">
        <v>0</v>
      </c>
      <c r="M448" t="n">
        <v>0</v>
      </c>
      <c r="N448" t="n">
        <v>0</v>
      </c>
      <c r="O448" t="n">
        <v>0</v>
      </c>
      <c r="P448" t="n">
        <v>0</v>
      </c>
      <c r="Q448" t="n">
        <v>0</v>
      </c>
      <c r="R448" s="2" t="inlineStr"/>
    </row>
    <row r="449" ht="15" customHeight="1">
      <c r="A449" t="inlineStr">
        <is>
          <t>A 2958-2026</t>
        </is>
      </c>
      <c r="B449" s="1" t="n">
        <v>46038.61067129629</v>
      </c>
      <c r="C449" s="1" t="n">
        <v>46182</v>
      </c>
      <c r="D449" t="inlineStr">
        <is>
          <t>ÖREBRO LÄN</t>
        </is>
      </c>
      <c r="E449" t="inlineStr">
        <is>
          <t>LINDESBERG</t>
        </is>
      </c>
      <c r="G449" t="n">
        <v>5.8</v>
      </c>
      <c r="H449" t="n">
        <v>0</v>
      </c>
      <c r="I449" t="n">
        <v>0</v>
      </c>
      <c r="J449" t="n">
        <v>0</v>
      </c>
      <c r="K449" t="n">
        <v>0</v>
      </c>
      <c r="L449" t="n">
        <v>0</v>
      </c>
      <c r="M449" t="n">
        <v>0</v>
      </c>
      <c r="N449" t="n">
        <v>0</v>
      </c>
      <c r="O449" t="n">
        <v>0</v>
      </c>
      <c r="P449" t="n">
        <v>0</v>
      </c>
      <c r="Q449" t="n">
        <v>0</v>
      </c>
      <c r="R449" s="2" t="inlineStr"/>
    </row>
    <row r="450" ht="15" customHeight="1">
      <c r="A450" t="inlineStr">
        <is>
          <t>A 50765-2025</t>
        </is>
      </c>
      <c r="B450" s="1" t="n">
        <v>45946.44216435185</v>
      </c>
      <c r="C450" s="1" t="n">
        <v>46182</v>
      </c>
      <c r="D450" t="inlineStr">
        <is>
          <t>ÖREBRO LÄN</t>
        </is>
      </c>
      <c r="E450" t="inlineStr">
        <is>
          <t>LINDESBERG</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51030-2025</t>
        </is>
      </c>
      <c r="B451" s="1" t="n">
        <v>45947.40105324074</v>
      </c>
      <c r="C451" s="1" t="n">
        <v>46182</v>
      </c>
      <c r="D451" t="inlineStr">
        <is>
          <t>ÖREBRO LÄN</t>
        </is>
      </c>
      <c r="E451" t="inlineStr">
        <is>
          <t>LINDESBERG</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33424-2024</t>
        </is>
      </c>
      <c r="B452" s="1" t="n">
        <v>45519.51627314815</v>
      </c>
      <c r="C452" s="1" t="n">
        <v>46182</v>
      </c>
      <c r="D452" t="inlineStr">
        <is>
          <t>ÖREBRO LÄN</t>
        </is>
      </c>
      <c r="E452" t="inlineStr">
        <is>
          <t>LINDESBERG</t>
        </is>
      </c>
      <c r="F452" t="inlineStr">
        <is>
          <t>Sveaskog</t>
        </is>
      </c>
      <c r="G452" t="n">
        <v>0.1</v>
      </c>
      <c r="H452" t="n">
        <v>0</v>
      </c>
      <c r="I452" t="n">
        <v>0</v>
      </c>
      <c r="J452" t="n">
        <v>0</v>
      </c>
      <c r="K452" t="n">
        <v>0</v>
      </c>
      <c r="L452" t="n">
        <v>0</v>
      </c>
      <c r="M452" t="n">
        <v>0</v>
      </c>
      <c r="N452" t="n">
        <v>0</v>
      </c>
      <c r="O452" t="n">
        <v>0</v>
      </c>
      <c r="P452" t="n">
        <v>0</v>
      </c>
      <c r="Q452" t="n">
        <v>0</v>
      </c>
      <c r="R452" s="2" t="inlineStr"/>
    </row>
    <row r="453" ht="15" customHeight="1">
      <c r="A453" t="inlineStr">
        <is>
          <t>A 57911-2022</t>
        </is>
      </c>
      <c r="B453" s="1" t="n">
        <v>44900.36149305556</v>
      </c>
      <c r="C453" s="1" t="n">
        <v>46182</v>
      </c>
      <c r="D453" t="inlineStr">
        <is>
          <t>ÖREBRO LÄN</t>
        </is>
      </c>
      <c r="E453" t="inlineStr">
        <is>
          <t>LINDESBERG</t>
        </is>
      </c>
      <c r="G453" t="n">
        <v>4.9</v>
      </c>
      <c r="H453" t="n">
        <v>0</v>
      </c>
      <c r="I453" t="n">
        <v>0</v>
      </c>
      <c r="J453" t="n">
        <v>0</v>
      </c>
      <c r="K453" t="n">
        <v>0</v>
      </c>
      <c r="L453" t="n">
        <v>0</v>
      </c>
      <c r="M453" t="n">
        <v>0</v>
      </c>
      <c r="N453" t="n">
        <v>0</v>
      </c>
      <c r="O453" t="n">
        <v>0</v>
      </c>
      <c r="P453" t="n">
        <v>0</v>
      </c>
      <c r="Q453" t="n">
        <v>0</v>
      </c>
      <c r="R453" s="2" t="inlineStr"/>
    </row>
    <row r="454" ht="15" customHeight="1">
      <c r="A454" t="inlineStr">
        <is>
          <t>A 6723-2022</t>
        </is>
      </c>
      <c r="B454" s="1" t="n">
        <v>44602.45162037037</v>
      </c>
      <c r="C454" s="1" t="n">
        <v>46182</v>
      </c>
      <c r="D454" t="inlineStr">
        <is>
          <t>ÖREBRO LÄN</t>
        </is>
      </c>
      <c r="E454" t="inlineStr">
        <is>
          <t>LINDESBERG</t>
        </is>
      </c>
      <c r="G454" t="n">
        <v>4.2</v>
      </c>
      <c r="H454" t="n">
        <v>0</v>
      </c>
      <c r="I454" t="n">
        <v>0</v>
      </c>
      <c r="J454" t="n">
        <v>0</v>
      </c>
      <c r="K454" t="n">
        <v>0</v>
      </c>
      <c r="L454" t="n">
        <v>0</v>
      </c>
      <c r="M454" t="n">
        <v>0</v>
      </c>
      <c r="N454" t="n">
        <v>0</v>
      </c>
      <c r="O454" t="n">
        <v>0</v>
      </c>
      <c r="P454" t="n">
        <v>0</v>
      </c>
      <c r="Q454" t="n">
        <v>0</v>
      </c>
      <c r="R454" s="2" t="inlineStr"/>
    </row>
    <row r="455" ht="15" customHeight="1">
      <c r="A455" t="inlineStr">
        <is>
          <t>A 50936-2025</t>
        </is>
      </c>
      <c r="B455" s="1" t="n">
        <v>45946.69616898148</v>
      </c>
      <c r="C455" s="1" t="n">
        <v>46182</v>
      </c>
      <c r="D455" t="inlineStr">
        <is>
          <t>ÖREBRO LÄN</t>
        </is>
      </c>
      <c r="E455" t="inlineStr">
        <is>
          <t>LINDESBERG</t>
        </is>
      </c>
      <c r="G455" t="n">
        <v>2.9</v>
      </c>
      <c r="H455" t="n">
        <v>0</v>
      </c>
      <c r="I455" t="n">
        <v>0</v>
      </c>
      <c r="J455" t="n">
        <v>0</v>
      </c>
      <c r="K455" t="n">
        <v>0</v>
      </c>
      <c r="L455" t="n">
        <v>0</v>
      </c>
      <c r="M455" t="n">
        <v>0</v>
      </c>
      <c r="N455" t="n">
        <v>0</v>
      </c>
      <c r="O455" t="n">
        <v>0</v>
      </c>
      <c r="P455" t="n">
        <v>0</v>
      </c>
      <c r="Q455" t="n">
        <v>0</v>
      </c>
      <c r="R455" s="2" t="inlineStr"/>
    </row>
    <row r="456" ht="15" customHeight="1">
      <c r="A456" t="inlineStr">
        <is>
          <t>A 28470-2023</t>
        </is>
      </c>
      <c r="B456" s="1" t="n">
        <v>45103</v>
      </c>
      <c r="C456" s="1" t="n">
        <v>46182</v>
      </c>
      <c r="D456" t="inlineStr">
        <is>
          <t>ÖREBRO LÄN</t>
        </is>
      </c>
      <c r="E456" t="inlineStr">
        <is>
          <t>LINDESBERG</t>
        </is>
      </c>
      <c r="G456" t="n">
        <v>6.7</v>
      </c>
      <c r="H456" t="n">
        <v>0</v>
      </c>
      <c r="I456" t="n">
        <v>0</v>
      </c>
      <c r="J456" t="n">
        <v>0</v>
      </c>
      <c r="K456" t="n">
        <v>0</v>
      </c>
      <c r="L456" t="n">
        <v>0</v>
      </c>
      <c r="M456" t="n">
        <v>0</v>
      </c>
      <c r="N456" t="n">
        <v>0</v>
      </c>
      <c r="O456" t="n">
        <v>0</v>
      </c>
      <c r="P456" t="n">
        <v>0</v>
      </c>
      <c r="Q456" t="n">
        <v>0</v>
      </c>
      <c r="R456" s="2" t="inlineStr"/>
    </row>
    <row r="457" ht="15" customHeight="1">
      <c r="A457" t="inlineStr">
        <is>
          <t>A 28032-2023</t>
        </is>
      </c>
      <c r="B457" s="1" t="n">
        <v>45099</v>
      </c>
      <c r="C457" s="1" t="n">
        <v>46182</v>
      </c>
      <c r="D457" t="inlineStr">
        <is>
          <t>ÖREBRO LÄN</t>
        </is>
      </c>
      <c r="E457" t="inlineStr">
        <is>
          <t>LINDESBERG</t>
        </is>
      </c>
      <c r="F457" t="inlineStr">
        <is>
          <t>Kyrkan</t>
        </is>
      </c>
      <c r="G457" t="n">
        <v>0.7</v>
      </c>
      <c r="H457" t="n">
        <v>0</v>
      </c>
      <c r="I457" t="n">
        <v>0</v>
      </c>
      <c r="J457" t="n">
        <v>0</v>
      </c>
      <c r="K457" t="n">
        <v>0</v>
      </c>
      <c r="L457" t="n">
        <v>0</v>
      </c>
      <c r="M457" t="n">
        <v>0</v>
      </c>
      <c r="N457" t="n">
        <v>0</v>
      </c>
      <c r="O457" t="n">
        <v>0</v>
      </c>
      <c r="P457" t="n">
        <v>0</v>
      </c>
      <c r="Q457" t="n">
        <v>0</v>
      </c>
      <c r="R457" s="2" t="inlineStr"/>
    </row>
    <row r="458" ht="15" customHeight="1">
      <c r="A458" t="inlineStr">
        <is>
          <t>A 62608-2021</t>
        </is>
      </c>
      <c r="B458" s="1" t="n">
        <v>44503</v>
      </c>
      <c r="C458" s="1" t="n">
        <v>46182</v>
      </c>
      <c r="D458" t="inlineStr">
        <is>
          <t>ÖREBRO LÄN</t>
        </is>
      </c>
      <c r="E458" t="inlineStr">
        <is>
          <t>LINDESBERG</t>
        </is>
      </c>
      <c r="G458" t="n">
        <v>1.4</v>
      </c>
      <c r="H458" t="n">
        <v>0</v>
      </c>
      <c r="I458" t="n">
        <v>0</v>
      </c>
      <c r="J458" t="n">
        <v>0</v>
      </c>
      <c r="K458" t="n">
        <v>0</v>
      </c>
      <c r="L458" t="n">
        <v>0</v>
      </c>
      <c r="M458" t="n">
        <v>0</v>
      </c>
      <c r="N458" t="n">
        <v>0</v>
      </c>
      <c r="O458" t="n">
        <v>0</v>
      </c>
      <c r="P458" t="n">
        <v>0</v>
      </c>
      <c r="Q458" t="n">
        <v>0</v>
      </c>
      <c r="R458" s="2" t="inlineStr"/>
    </row>
    <row r="459" ht="15" customHeight="1">
      <c r="A459" t="inlineStr">
        <is>
          <t>A 3660-2026</t>
        </is>
      </c>
      <c r="B459" s="1" t="n">
        <v>46043.38744212963</v>
      </c>
      <c r="C459" s="1" t="n">
        <v>46182</v>
      </c>
      <c r="D459" t="inlineStr">
        <is>
          <t>ÖREBRO LÄN</t>
        </is>
      </c>
      <c r="E459" t="inlineStr">
        <is>
          <t>LINDESBERG</t>
        </is>
      </c>
      <c r="G459" t="n">
        <v>3.4</v>
      </c>
      <c r="H459" t="n">
        <v>0</v>
      </c>
      <c r="I459" t="n">
        <v>0</v>
      </c>
      <c r="J459" t="n">
        <v>0</v>
      </c>
      <c r="K459" t="n">
        <v>0</v>
      </c>
      <c r="L459" t="n">
        <v>0</v>
      </c>
      <c r="M459" t="n">
        <v>0</v>
      </c>
      <c r="N459" t="n">
        <v>0</v>
      </c>
      <c r="O459" t="n">
        <v>0</v>
      </c>
      <c r="P459" t="n">
        <v>0</v>
      </c>
      <c r="Q459" t="n">
        <v>0</v>
      </c>
      <c r="R459" s="2" t="inlineStr"/>
    </row>
    <row r="460" ht="15" customHeight="1">
      <c r="A460" t="inlineStr">
        <is>
          <t>A 73860-2021</t>
        </is>
      </c>
      <c r="B460" s="1" t="n">
        <v>44553.35407407407</v>
      </c>
      <c r="C460" s="1" t="n">
        <v>46182</v>
      </c>
      <c r="D460" t="inlineStr">
        <is>
          <t>ÖREBRO LÄN</t>
        </is>
      </c>
      <c r="E460" t="inlineStr">
        <is>
          <t>LINDESBERG</t>
        </is>
      </c>
      <c r="G460" t="n">
        <v>12.7</v>
      </c>
      <c r="H460" t="n">
        <v>0</v>
      </c>
      <c r="I460" t="n">
        <v>0</v>
      </c>
      <c r="J460" t="n">
        <v>0</v>
      </c>
      <c r="K460" t="n">
        <v>0</v>
      </c>
      <c r="L460" t="n">
        <v>0</v>
      </c>
      <c r="M460" t="n">
        <v>0</v>
      </c>
      <c r="N460" t="n">
        <v>0</v>
      </c>
      <c r="O460" t="n">
        <v>0</v>
      </c>
      <c r="P460" t="n">
        <v>0</v>
      </c>
      <c r="Q460" t="n">
        <v>0</v>
      </c>
      <c r="R460" s="2" t="inlineStr"/>
    </row>
    <row r="461" ht="15" customHeight="1">
      <c r="A461" t="inlineStr">
        <is>
          <t>A 32097-2024</t>
        </is>
      </c>
      <c r="B461" s="1" t="n">
        <v>45511.39445601852</v>
      </c>
      <c r="C461" s="1" t="n">
        <v>46182</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3659-2026</t>
        </is>
      </c>
      <c r="B462" s="1" t="n">
        <v>46043</v>
      </c>
      <c r="C462" s="1" t="n">
        <v>46182</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26340-2022</t>
        </is>
      </c>
      <c r="B463" s="1" t="n">
        <v>44735.62539351852</v>
      </c>
      <c r="C463" s="1" t="n">
        <v>46182</v>
      </c>
      <c r="D463" t="inlineStr">
        <is>
          <t>ÖREBRO LÄN</t>
        </is>
      </c>
      <c r="E463" t="inlineStr">
        <is>
          <t>LINDESBERG</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3803-2023</t>
        </is>
      </c>
      <c r="B464" s="1" t="n">
        <v>44951.5830324074</v>
      </c>
      <c r="C464" s="1" t="n">
        <v>46182</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52117-2025</t>
        </is>
      </c>
      <c r="B465" s="1" t="n">
        <v>45952.70765046297</v>
      </c>
      <c r="C465" s="1" t="n">
        <v>46182</v>
      </c>
      <c r="D465" t="inlineStr">
        <is>
          <t>ÖREBRO LÄN</t>
        </is>
      </c>
      <c r="E465" t="inlineStr">
        <is>
          <t>LINDESBERG</t>
        </is>
      </c>
      <c r="G465" t="n">
        <v>4.6</v>
      </c>
      <c r="H465" t="n">
        <v>0</v>
      </c>
      <c r="I465" t="n">
        <v>0</v>
      </c>
      <c r="J465" t="n">
        <v>0</v>
      </c>
      <c r="K465" t="n">
        <v>0</v>
      </c>
      <c r="L465" t="n">
        <v>0</v>
      </c>
      <c r="M465" t="n">
        <v>0</v>
      </c>
      <c r="N465" t="n">
        <v>0</v>
      </c>
      <c r="O465" t="n">
        <v>0</v>
      </c>
      <c r="P465" t="n">
        <v>0</v>
      </c>
      <c r="Q465" t="n">
        <v>0</v>
      </c>
      <c r="R465" s="2" t="inlineStr"/>
    </row>
    <row r="466" ht="15" customHeight="1">
      <c r="A466" t="inlineStr">
        <is>
          <t>A 52103-2025</t>
        </is>
      </c>
      <c r="B466" s="1" t="n">
        <v>45952.68439814815</v>
      </c>
      <c r="C466" s="1" t="n">
        <v>46182</v>
      </c>
      <c r="D466" t="inlineStr">
        <is>
          <t>ÖREBRO LÄN</t>
        </is>
      </c>
      <c r="E466" t="inlineStr">
        <is>
          <t>LINDESBERG</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30534-2023</t>
        </is>
      </c>
      <c r="B467" s="1" t="n">
        <v>45111</v>
      </c>
      <c r="C467" s="1" t="n">
        <v>46182</v>
      </c>
      <c r="D467" t="inlineStr">
        <is>
          <t>ÖREBRO LÄN</t>
        </is>
      </c>
      <c r="E467" t="inlineStr">
        <is>
          <t>LINDESBERG</t>
        </is>
      </c>
      <c r="G467" t="n">
        <v>0.7</v>
      </c>
      <c r="H467" t="n">
        <v>0</v>
      </c>
      <c r="I467" t="n">
        <v>0</v>
      </c>
      <c r="J467" t="n">
        <v>0</v>
      </c>
      <c r="K467" t="n">
        <v>0</v>
      </c>
      <c r="L467" t="n">
        <v>0</v>
      </c>
      <c r="M467" t="n">
        <v>0</v>
      </c>
      <c r="N467" t="n">
        <v>0</v>
      </c>
      <c r="O467" t="n">
        <v>0</v>
      </c>
      <c r="P467" t="n">
        <v>0</v>
      </c>
      <c r="Q467" t="n">
        <v>0</v>
      </c>
      <c r="R467" s="2" t="inlineStr"/>
    </row>
    <row r="468" ht="15" customHeight="1">
      <c r="A468" t="inlineStr">
        <is>
          <t>A 33507-2023</t>
        </is>
      </c>
      <c r="B468" s="1" t="n">
        <v>45131</v>
      </c>
      <c r="C468" s="1" t="n">
        <v>46182</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24030-2023</t>
        </is>
      </c>
      <c r="B469" s="1" t="n">
        <v>45078.82620370371</v>
      </c>
      <c r="C469" s="1" t="n">
        <v>46182</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52104-2025</t>
        </is>
      </c>
      <c r="B470" s="1" t="n">
        <v>45952.68524305556</v>
      </c>
      <c r="C470" s="1" t="n">
        <v>46182</v>
      </c>
      <c r="D470" t="inlineStr">
        <is>
          <t>ÖREBRO LÄN</t>
        </is>
      </c>
      <c r="E470" t="inlineStr">
        <is>
          <t>LINDESBERG</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21986-2023</t>
        </is>
      </c>
      <c r="B471" s="1" t="n">
        <v>45068</v>
      </c>
      <c r="C471" s="1" t="n">
        <v>46182</v>
      </c>
      <c r="D471" t="inlineStr">
        <is>
          <t>ÖREBRO LÄN</t>
        </is>
      </c>
      <c r="E471" t="inlineStr">
        <is>
          <t>LINDESBERG</t>
        </is>
      </c>
      <c r="G471" t="n">
        <v>1.4</v>
      </c>
      <c r="H471" t="n">
        <v>0</v>
      </c>
      <c r="I471" t="n">
        <v>0</v>
      </c>
      <c r="J471" t="n">
        <v>0</v>
      </c>
      <c r="K471" t="n">
        <v>0</v>
      </c>
      <c r="L471" t="n">
        <v>0</v>
      </c>
      <c r="M471" t="n">
        <v>0</v>
      </c>
      <c r="N471" t="n">
        <v>0</v>
      </c>
      <c r="O471" t="n">
        <v>0</v>
      </c>
      <c r="P471" t="n">
        <v>0</v>
      </c>
      <c r="Q471" t="n">
        <v>0</v>
      </c>
      <c r="R471" s="2" t="inlineStr"/>
    </row>
    <row r="472" ht="15" customHeight="1">
      <c r="A472" t="inlineStr">
        <is>
          <t>A 54705-2022</t>
        </is>
      </c>
      <c r="B472" s="1" t="n">
        <v>44883</v>
      </c>
      <c r="C472" s="1" t="n">
        <v>46182</v>
      </c>
      <c r="D472" t="inlineStr">
        <is>
          <t>ÖREBRO LÄN</t>
        </is>
      </c>
      <c r="E472" t="inlineStr">
        <is>
          <t>LINDESBERG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59631-2023</t>
        </is>
      </c>
      <c r="B473" s="1" t="n">
        <v>45254.68105324074</v>
      </c>
      <c r="C473" s="1" t="n">
        <v>46182</v>
      </c>
      <c r="D473" t="inlineStr">
        <is>
          <t>ÖREBRO LÄN</t>
        </is>
      </c>
      <c r="E473" t="inlineStr">
        <is>
          <t>LINDESBERG</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34539-2024</t>
        </is>
      </c>
      <c r="B474" s="1" t="n">
        <v>45525.7374537037</v>
      </c>
      <c r="C474" s="1" t="n">
        <v>46182</v>
      </c>
      <c r="D474" t="inlineStr">
        <is>
          <t>ÖREBRO LÄN</t>
        </is>
      </c>
      <c r="E474" t="inlineStr">
        <is>
          <t>LINDESBERG</t>
        </is>
      </c>
      <c r="G474" t="n">
        <v>5.4</v>
      </c>
      <c r="H474" t="n">
        <v>0</v>
      </c>
      <c r="I474" t="n">
        <v>0</v>
      </c>
      <c r="J474" t="n">
        <v>0</v>
      </c>
      <c r="K474" t="n">
        <v>0</v>
      </c>
      <c r="L474" t="n">
        <v>0</v>
      </c>
      <c r="M474" t="n">
        <v>0</v>
      </c>
      <c r="N474" t="n">
        <v>0</v>
      </c>
      <c r="O474" t="n">
        <v>0</v>
      </c>
      <c r="P474" t="n">
        <v>0</v>
      </c>
      <c r="Q474" t="n">
        <v>0</v>
      </c>
      <c r="R474" s="2" t="inlineStr"/>
    </row>
    <row r="475" ht="15" customHeight="1">
      <c r="A475" t="inlineStr">
        <is>
          <t>A 44010-2023</t>
        </is>
      </c>
      <c r="B475" s="1" t="n">
        <v>45188</v>
      </c>
      <c r="C475" s="1" t="n">
        <v>46182</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3951-2026</t>
        </is>
      </c>
      <c r="B476" s="1" t="n">
        <v>46044</v>
      </c>
      <c r="C476" s="1" t="n">
        <v>46182</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50986-2023</t>
        </is>
      </c>
      <c r="B477" s="1" t="n">
        <v>45218</v>
      </c>
      <c r="C477" s="1" t="n">
        <v>46182</v>
      </c>
      <c r="D477" t="inlineStr">
        <is>
          <t>ÖREBRO LÄN</t>
        </is>
      </c>
      <c r="E477" t="inlineStr">
        <is>
          <t>LINDESBERG</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61969-2023</t>
        </is>
      </c>
      <c r="B478" s="1" t="n">
        <v>45266.58394675926</v>
      </c>
      <c r="C478" s="1" t="n">
        <v>46182</v>
      </c>
      <c r="D478" t="inlineStr">
        <is>
          <t>ÖREBRO LÄN</t>
        </is>
      </c>
      <c r="E478" t="inlineStr">
        <is>
          <t>LINDESBERG</t>
        </is>
      </c>
      <c r="G478" t="n">
        <v>10.5</v>
      </c>
      <c r="H478" t="n">
        <v>0</v>
      </c>
      <c r="I478" t="n">
        <v>0</v>
      </c>
      <c r="J478" t="n">
        <v>0</v>
      </c>
      <c r="K478" t="n">
        <v>0</v>
      </c>
      <c r="L478" t="n">
        <v>0</v>
      </c>
      <c r="M478" t="n">
        <v>0</v>
      </c>
      <c r="N478" t="n">
        <v>0</v>
      </c>
      <c r="O478" t="n">
        <v>0</v>
      </c>
      <c r="P478" t="n">
        <v>0</v>
      </c>
      <c r="Q478" t="n">
        <v>0</v>
      </c>
      <c r="R478" s="2" t="inlineStr"/>
    </row>
    <row r="479" ht="15" customHeight="1">
      <c r="A479" t="inlineStr">
        <is>
          <t>A 41951-2023</t>
        </is>
      </c>
      <c r="B479" s="1" t="n">
        <v>45177.33991898148</v>
      </c>
      <c r="C479" s="1" t="n">
        <v>46182</v>
      </c>
      <c r="D479" t="inlineStr">
        <is>
          <t>ÖREBRO LÄN</t>
        </is>
      </c>
      <c r="E479" t="inlineStr">
        <is>
          <t>LINDESBERG</t>
        </is>
      </c>
      <c r="F479" t="inlineStr">
        <is>
          <t>Kyrkan</t>
        </is>
      </c>
      <c r="G479" t="n">
        <v>3.3</v>
      </c>
      <c r="H479" t="n">
        <v>0</v>
      </c>
      <c r="I479" t="n">
        <v>0</v>
      </c>
      <c r="J479" t="n">
        <v>0</v>
      </c>
      <c r="K479" t="n">
        <v>0</v>
      </c>
      <c r="L479" t="n">
        <v>0</v>
      </c>
      <c r="M479" t="n">
        <v>0</v>
      </c>
      <c r="N479" t="n">
        <v>0</v>
      </c>
      <c r="O479" t="n">
        <v>0</v>
      </c>
      <c r="P479" t="n">
        <v>0</v>
      </c>
      <c r="Q479" t="n">
        <v>0</v>
      </c>
      <c r="R479" s="2" t="inlineStr"/>
    </row>
    <row r="480" ht="15" customHeight="1">
      <c r="A480" t="inlineStr">
        <is>
          <t>A 52401-2025</t>
        </is>
      </c>
      <c r="B480" s="1" t="n">
        <v>45954.35075231481</v>
      </c>
      <c r="C480" s="1" t="n">
        <v>46182</v>
      </c>
      <c r="D480" t="inlineStr">
        <is>
          <t>ÖREBRO LÄN</t>
        </is>
      </c>
      <c r="E480" t="inlineStr">
        <is>
          <t>LINDESBERG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58603-2023</t>
        </is>
      </c>
      <c r="B481" s="1" t="n">
        <v>45251</v>
      </c>
      <c r="C481" s="1" t="n">
        <v>46182</v>
      </c>
      <c r="D481" t="inlineStr">
        <is>
          <t>ÖREBRO LÄN</t>
        </is>
      </c>
      <c r="E481" t="inlineStr">
        <is>
          <t>LINDESBERG</t>
        </is>
      </c>
      <c r="G481" t="n">
        <v>1.1</v>
      </c>
      <c r="H481" t="n">
        <v>0</v>
      </c>
      <c r="I481" t="n">
        <v>0</v>
      </c>
      <c r="J481" t="n">
        <v>0</v>
      </c>
      <c r="K481" t="n">
        <v>0</v>
      </c>
      <c r="L481" t="n">
        <v>0</v>
      </c>
      <c r="M481" t="n">
        <v>0</v>
      </c>
      <c r="N481" t="n">
        <v>0</v>
      </c>
      <c r="O481" t="n">
        <v>0</v>
      </c>
      <c r="P481" t="n">
        <v>0</v>
      </c>
      <c r="Q481" t="n">
        <v>0</v>
      </c>
      <c r="R481" s="2" t="inlineStr"/>
    </row>
    <row r="482" ht="15" customHeight="1">
      <c r="A482" t="inlineStr">
        <is>
          <t>A 52402-2025</t>
        </is>
      </c>
      <c r="B482" s="1" t="n">
        <v>45954.35387731482</v>
      </c>
      <c r="C482" s="1" t="n">
        <v>46182</v>
      </c>
      <c r="D482" t="inlineStr">
        <is>
          <t>ÖREBRO LÄN</t>
        </is>
      </c>
      <c r="E482" t="inlineStr">
        <is>
          <t>LINDESBERG</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40450-2023</t>
        </is>
      </c>
      <c r="B483" s="1" t="n">
        <v>45170</v>
      </c>
      <c r="C483" s="1" t="n">
        <v>46182</v>
      </c>
      <c r="D483" t="inlineStr">
        <is>
          <t>ÖREBRO LÄN</t>
        </is>
      </c>
      <c r="E483" t="inlineStr">
        <is>
          <t>LINDESBERG</t>
        </is>
      </c>
      <c r="F483" t="inlineStr">
        <is>
          <t>Kyrkan</t>
        </is>
      </c>
      <c r="G483" t="n">
        <v>4.3</v>
      </c>
      <c r="H483" t="n">
        <v>0</v>
      </c>
      <c r="I483" t="n">
        <v>0</v>
      </c>
      <c r="J483" t="n">
        <v>0</v>
      </c>
      <c r="K483" t="n">
        <v>0</v>
      </c>
      <c r="L483" t="n">
        <v>0</v>
      </c>
      <c r="M483" t="n">
        <v>0</v>
      </c>
      <c r="N483" t="n">
        <v>0</v>
      </c>
      <c r="O483" t="n">
        <v>0</v>
      </c>
      <c r="P483" t="n">
        <v>0</v>
      </c>
      <c r="Q483" t="n">
        <v>0</v>
      </c>
      <c r="R483" s="2" t="inlineStr"/>
    </row>
    <row r="484" ht="15" customHeight="1">
      <c r="A484" t="inlineStr">
        <is>
          <t>A 53062-2023</t>
        </is>
      </c>
      <c r="B484" s="1" t="n">
        <v>45227.31859953704</v>
      </c>
      <c r="C484" s="1" t="n">
        <v>46182</v>
      </c>
      <c r="D484" t="inlineStr">
        <is>
          <t>ÖREBRO LÄN</t>
        </is>
      </c>
      <c r="E484" t="inlineStr">
        <is>
          <t>LINDESBERG</t>
        </is>
      </c>
      <c r="G484" t="n">
        <v>3.1</v>
      </c>
      <c r="H484" t="n">
        <v>0</v>
      </c>
      <c r="I484" t="n">
        <v>0</v>
      </c>
      <c r="J484" t="n">
        <v>0</v>
      </c>
      <c r="K484" t="n">
        <v>0</v>
      </c>
      <c r="L484" t="n">
        <v>0</v>
      </c>
      <c r="M484" t="n">
        <v>0</v>
      </c>
      <c r="N484" t="n">
        <v>0</v>
      </c>
      <c r="O484" t="n">
        <v>0</v>
      </c>
      <c r="P484" t="n">
        <v>0</v>
      </c>
      <c r="Q484" t="n">
        <v>0</v>
      </c>
      <c r="R484" s="2" t="inlineStr"/>
    </row>
    <row r="485" ht="15" customHeight="1">
      <c r="A485" t="inlineStr">
        <is>
          <t>A 14187-2024</t>
        </is>
      </c>
      <c r="B485" s="1" t="n">
        <v>45393.35787037037</v>
      </c>
      <c r="C485" s="1" t="n">
        <v>46182</v>
      </c>
      <c r="D485" t="inlineStr">
        <is>
          <t>ÖREBRO LÄN</t>
        </is>
      </c>
      <c r="E485" t="inlineStr">
        <is>
          <t>LINDESBERG</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18418-2025</t>
        </is>
      </c>
      <c r="B486" s="1" t="n">
        <v>45762.61817129629</v>
      </c>
      <c r="C486" s="1" t="n">
        <v>46182</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12739-2024</t>
        </is>
      </c>
      <c r="B487" s="1" t="n">
        <v>45384</v>
      </c>
      <c r="C487" s="1" t="n">
        <v>46182</v>
      </c>
      <c r="D487" t="inlineStr">
        <is>
          <t>ÖREBRO LÄN</t>
        </is>
      </c>
      <c r="E487" t="inlineStr">
        <is>
          <t>LINDESBERG</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29849-2023</t>
        </is>
      </c>
      <c r="B488" s="1" t="n">
        <v>45107</v>
      </c>
      <c r="C488" s="1" t="n">
        <v>46182</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60105-2022</t>
        </is>
      </c>
      <c r="B489" s="1" t="n">
        <v>44902</v>
      </c>
      <c r="C489" s="1" t="n">
        <v>46182</v>
      </c>
      <c r="D489" t="inlineStr">
        <is>
          <t>ÖREBRO LÄN</t>
        </is>
      </c>
      <c r="E489" t="inlineStr">
        <is>
          <t>LINDESBERG</t>
        </is>
      </c>
      <c r="G489" t="n">
        <v>0.5</v>
      </c>
      <c r="H489" t="n">
        <v>0</v>
      </c>
      <c r="I489" t="n">
        <v>0</v>
      </c>
      <c r="J489" t="n">
        <v>0</v>
      </c>
      <c r="K489" t="n">
        <v>0</v>
      </c>
      <c r="L489" t="n">
        <v>0</v>
      </c>
      <c r="M489" t="n">
        <v>0</v>
      </c>
      <c r="N489" t="n">
        <v>0</v>
      </c>
      <c r="O489" t="n">
        <v>0</v>
      </c>
      <c r="P489" t="n">
        <v>0</v>
      </c>
      <c r="Q489" t="n">
        <v>0</v>
      </c>
      <c r="R489" s="2" t="inlineStr"/>
    </row>
    <row r="490" ht="15" customHeight="1">
      <c r="A490" t="inlineStr">
        <is>
          <t>A 33427-2024</t>
        </is>
      </c>
      <c r="B490" s="1" t="n">
        <v>45519.52232638889</v>
      </c>
      <c r="C490" s="1" t="n">
        <v>46182</v>
      </c>
      <c r="D490" t="inlineStr">
        <is>
          <t>ÖREBRO LÄN</t>
        </is>
      </c>
      <c r="E490" t="inlineStr">
        <is>
          <t>LINDESBERG</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29894-2023</t>
        </is>
      </c>
      <c r="B491" s="1" t="n">
        <v>45107</v>
      </c>
      <c r="C491" s="1" t="n">
        <v>46182</v>
      </c>
      <c r="D491" t="inlineStr">
        <is>
          <t>ÖREBRO LÄN</t>
        </is>
      </c>
      <c r="E491" t="inlineStr">
        <is>
          <t>LINDESBERG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54249-2025</t>
        </is>
      </c>
      <c r="B492" s="1" t="n">
        <v>45964.64599537037</v>
      </c>
      <c r="C492" s="1" t="n">
        <v>46182</v>
      </c>
      <c r="D492" t="inlineStr">
        <is>
          <t>ÖREBRO LÄN</t>
        </is>
      </c>
      <c r="E492" t="inlineStr">
        <is>
          <t>LINDESBERG</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54070-2025</t>
        </is>
      </c>
      <c r="B493" s="1" t="n">
        <v>45964.34680555556</v>
      </c>
      <c r="C493" s="1" t="n">
        <v>46182</v>
      </c>
      <c r="D493" t="inlineStr">
        <is>
          <t>ÖREBRO LÄN</t>
        </is>
      </c>
      <c r="E493" t="inlineStr">
        <is>
          <t>LINDESBERG</t>
        </is>
      </c>
      <c r="G493" t="n">
        <v>0.5</v>
      </c>
      <c r="H493" t="n">
        <v>0</v>
      </c>
      <c r="I493" t="n">
        <v>0</v>
      </c>
      <c r="J493" t="n">
        <v>0</v>
      </c>
      <c r="K493" t="n">
        <v>0</v>
      </c>
      <c r="L493" t="n">
        <v>0</v>
      </c>
      <c r="M493" t="n">
        <v>0</v>
      </c>
      <c r="N493" t="n">
        <v>0</v>
      </c>
      <c r="O493" t="n">
        <v>0</v>
      </c>
      <c r="P493" t="n">
        <v>0</v>
      </c>
      <c r="Q493" t="n">
        <v>0</v>
      </c>
      <c r="R493" s="2" t="inlineStr"/>
    </row>
    <row r="494" ht="15" customHeight="1">
      <c r="A494" t="inlineStr">
        <is>
          <t>A 5235-2026</t>
        </is>
      </c>
      <c r="B494" s="1" t="n">
        <v>46049.84017361111</v>
      </c>
      <c r="C494" s="1" t="n">
        <v>46182</v>
      </c>
      <c r="D494" t="inlineStr">
        <is>
          <t>ÖREBRO LÄN</t>
        </is>
      </c>
      <c r="E494" t="inlineStr">
        <is>
          <t>LINDESBERG</t>
        </is>
      </c>
      <c r="G494" t="n">
        <v>4.8</v>
      </c>
      <c r="H494" t="n">
        <v>0</v>
      </c>
      <c r="I494" t="n">
        <v>0</v>
      </c>
      <c r="J494" t="n">
        <v>0</v>
      </c>
      <c r="K494" t="n">
        <v>0</v>
      </c>
      <c r="L494" t="n">
        <v>0</v>
      </c>
      <c r="M494" t="n">
        <v>0</v>
      </c>
      <c r="N494" t="n">
        <v>0</v>
      </c>
      <c r="O494" t="n">
        <v>0</v>
      </c>
      <c r="P494" t="n">
        <v>0</v>
      </c>
      <c r="Q494" t="n">
        <v>0</v>
      </c>
      <c r="R494" s="2" t="inlineStr"/>
    </row>
    <row r="495" ht="15" customHeight="1">
      <c r="A495" t="inlineStr">
        <is>
          <t>A 54072-2025</t>
        </is>
      </c>
      <c r="B495" s="1" t="n">
        <v>45964.3550925926</v>
      </c>
      <c r="C495" s="1" t="n">
        <v>46182</v>
      </c>
      <c r="D495" t="inlineStr">
        <is>
          <t>ÖREBRO LÄN</t>
        </is>
      </c>
      <c r="E495" t="inlineStr">
        <is>
          <t>LINDESBERG</t>
        </is>
      </c>
      <c r="G495" t="n">
        <v>1.3</v>
      </c>
      <c r="H495" t="n">
        <v>0</v>
      </c>
      <c r="I495" t="n">
        <v>0</v>
      </c>
      <c r="J495" t="n">
        <v>0</v>
      </c>
      <c r="K495" t="n">
        <v>0</v>
      </c>
      <c r="L495" t="n">
        <v>0</v>
      </c>
      <c r="M495" t="n">
        <v>0</v>
      </c>
      <c r="N495" t="n">
        <v>0</v>
      </c>
      <c r="O495" t="n">
        <v>0</v>
      </c>
      <c r="P495" t="n">
        <v>0</v>
      </c>
      <c r="Q495" t="n">
        <v>0</v>
      </c>
      <c r="R495" s="2" t="inlineStr"/>
    </row>
    <row r="496" ht="15" customHeight="1">
      <c r="A496" t="inlineStr">
        <is>
          <t>A 54250-2025</t>
        </is>
      </c>
      <c r="B496" s="1" t="n">
        <v>45964.64709490741</v>
      </c>
      <c r="C496" s="1" t="n">
        <v>46182</v>
      </c>
      <c r="D496" t="inlineStr">
        <is>
          <t>ÖREBRO LÄN</t>
        </is>
      </c>
      <c r="E496" t="inlineStr">
        <is>
          <t>LINDESBERG</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54251-2025</t>
        </is>
      </c>
      <c r="B497" s="1" t="n">
        <v>45964.64778935185</v>
      </c>
      <c r="C497" s="1" t="n">
        <v>46182</v>
      </c>
      <c r="D497" t="inlineStr">
        <is>
          <t>ÖREBRO LÄN</t>
        </is>
      </c>
      <c r="E497" t="inlineStr">
        <is>
          <t>LINDESBERG</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5715-2026</t>
        </is>
      </c>
      <c r="B498" s="1" t="n">
        <v>46051.53563657407</v>
      </c>
      <c r="C498" s="1" t="n">
        <v>46182</v>
      </c>
      <c r="D498" t="inlineStr">
        <is>
          <t>ÖREBRO LÄN</t>
        </is>
      </c>
      <c r="E498" t="inlineStr">
        <is>
          <t>LINDESBERG</t>
        </is>
      </c>
      <c r="G498" t="n">
        <v>0.7</v>
      </c>
      <c r="H498" t="n">
        <v>0</v>
      </c>
      <c r="I498" t="n">
        <v>0</v>
      </c>
      <c r="J498" t="n">
        <v>0</v>
      </c>
      <c r="K498" t="n">
        <v>0</v>
      </c>
      <c r="L498" t="n">
        <v>0</v>
      </c>
      <c r="M498" t="n">
        <v>0</v>
      </c>
      <c r="N498" t="n">
        <v>0</v>
      </c>
      <c r="O498" t="n">
        <v>0</v>
      </c>
      <c r="P498" t="n">
        <v>0</v>
      </c>
      <c r="Q498" t="n">
        <v>0</v>
      </c>
      <c r="R498" s="2" t="inlineStr"/>
    </row>
    <row r="499" ht="15" customHeight="1">
      <c r="A499" t="inlineStr">
        <is>
          <t>A 26093-2023</t>
        </is>
      </c>
      <c r="B499" s="1" t="n">
        <v>45091.39362268519</v>
      </c>
      <c r="C499" s="1" t="n">
        <v>46182</v>
      </c>
      <c r="D499" t="inlineStr">
        <is>
          <t>ÖREBRO LÄN</t>
        </is>
      </c>
      <c r="E499" t="inlineStr">
        <is>
          <t>LINDESBERG</t>
        </is>
      </c>
      <c r="G499" t="n">
        <v>0.4</v>
      </c>
      <c r="H499" t="n">
        <v>0</v>
      </c>
      <c r="I499" t="n">
        <v>0</v>
      </c>
      <c r="J499" t="n">
        <v>0</v>
      </c>
      <c r="K499" t="n">
        <v>0</v>
      </c>
      <c r="L499" t="n">
        <v>0</v>
      </c>
      <c r="M499" t="n">
        <v>0</v>
      </c>
      <c r="N499" t="n">
        <v>0</v>
      </c>
      <c r="O499" t="n">
        <v>0</v>
      </c>
      <c r="P499" t="n">
        <v>0</v>
      </c>
      <c r="Q499" t="n">
        <v>0</v>
      </c>
      <c r="R499" s="2" t="inlineStr"/>
    </row>
    <row r="500" ht="15" customHeight="1">
      <c r="A500" t="inlineStr">
        <is>
          <t>A 47066-2023</t>
        </is>
      </c>
      <c r="B500" s="1" t="n">
        <v>45201</v>
      </c>
      <c r="C500" s="1" t="n">
        <v>46182</v>
      </c>
      <c r="D500" t="inlineStr">
        <is>
          <t>ÖREBRO LÄN</t>
        </is>
      </c>
      <c r="E500" t="inlineStr">
        <is>
          <t>LINDESBERG</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36773-2024</t>
        </is>
      </c>
      <c r="B501" s="1" t="n">
        <v>45538</v>
      </c>
      <c r="C501" s="1" t="n">
        <v>46182</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40306-2022</t>
        </is>
      </c>
      <c r="B502" s="1" t="n">
        <v>44822</v>
      </c>
      <c r="C502" s="1" t="n">
        <v>46182</v>
      </c>
      <c r="D502" t="inlineStr">
        <is>
          <t>ÖREBRO LÄN</t>
        </is>
      </c>
      <c r="E502" t="inlineStr">
        <is>
          <t>LINDESBERG</t>
        </is>
      </c>
      <c r="G502" t="n">
        <v>11</v>
      </c>
      <c r="H502" t="n">
        <v>0</v>
      </c>
      <c r="I502" t="n">
        <v>0</v>
      </c>
      <c r="J502" t="n">
        <v>0</v>
      </c>
      <c r="K502" t="n">
        <v>0</v>
      </c>
      <c r="L502" t="n">
        <v>0</v>
      </c>
      <c r="M502" t="n">
        <v>0</v>
      </c>
      <c r="N502" t="n">
        <v>0</v>
      </c>
      <c r="O502" t="n">
        <v>0</v>
      </c>
      <c r="P502" t="n">
        <v>0</v>
      </c>
      <c r="Q502" t="n">
        <v>0</v>
      </c>
      <c r="R502" s="2" t="inlineStr"/>
    </row>
    <row r="503" ht="15" customHeight="1">
      <c r="A503" t="inlineStr">
        <is>
          <t>A 63668-2023</t>
        </is>
      </c>
      <c r="B503" s="1" t="n">
        <v>45274</v>
      </c>
      <c r="C503" s="1" t="n">
        <v>46182</v>
      </c>
      <c r="D503" t="inlineStr">
        <is>
          <t>ÖREBRO LÄN</t>
        </is>
      </c>
      <c r="E503" t="inlineStr">
        <is>
          <t>LINDESBERG</t>
        </is>
      </c>
      <c r="G503" t="n">
        <v>0.7</v>
      </c>
      <c r="H503" t="n">
        <v>0</v>
      </c>
      <c r="I503" t="n">
        <v>0</v>
      </c>
      <c r="J503" t="n">
        <v>0</v>
      </c>
      <c r="K503" t="n">
        <v>0</v>
      </c>
      <c r="L503" t="n">
        <v>0</v>
      </c>
      <c r="M503" t="n">
        <v>0</v>
      </c>
      <c r="N503" t="n">
        <v>0</v>
      </c>
      <c r="O503" t="n">
        <v>0</v>
      </c>
      <c r="P503" t="n">
        <v>0</v>
      </c>
      <c r="Q503" t="n">
        <v>0</v>
      </c>
      <c r="R503" s="2" t="inlineStr"/>
    </row>
    <row r="504" ht="15" customHeight="1">
      <c r="A504" t="inlineStr">
        <is>
          <t>A 59804-2023</t>
        </is>
      </c>
      <c r="B504" s="1" t="n">
        <v>45257.48188657407</v>
      </c>
      <c r="C504" s="1" t="n">
        <v>46182</v>
      </c>
      <c r="D504" t="inlineStr">
        <is>
          <t>ÖREBRO LÄN</t>
        </is>
      </c>
      <c r="E504" t="inlineStr">
        <is>
          <t>LINDESBERG</t>
        </is>
      </c>
      <c r="G504" t="n">
        <v>1.2</v>
      </c>
      <c r="H504" t="n">
        <v>0</v>
      </c>
      <c r="I504" t="n">
        <v>0</v>
      </c>
      <c r="J504" t="n">
        <v>0</v>
      </c>
      <c r="K504" t="n">
        <v>0</v>
      </c>
      <c r="L504" t="n">
        <v>0</v>
      </c>
      <c r="M504" t="n">
        <v>0</v>
      </c>
      <c r="N504" t="n">
        <v>0</v>
      </c>
      <c r="O504" t="n">
        <v>0</v>
      </c>
      <c r="P504" t="n">
        <v>0</v>
      </c>
      <c r="Q504" t="n">
        <v>0</v>
      </c>
      <c r="R504" s="2" t="inlineStr"/>
    </row>
    <row r="505" ht="15" customHeight="1">
      <c r="A505" t="inlineStr">
        <is>
          <t>A 61691-2023</t>
        </is>
      </c>
      <c r="B505" s="1" t="n">
        <v>45265.64142361111</v>
      </c>
      <c r="C505" s="1" t="n">
        <v>46182</v>
      </c>
      <c r="D505" t="inlineStr">
        <is>
          <t>ÖREBRO LÄN</t>
        </is>
      </c>
      <c r="E505" t="inlineStr">
        <is>
          <t>LINDESBERG</t>
        </is>
      </c>
      <c r="G505" t="n">
        <v>2.6</v>
      </c>
      <c r="H505" t="n">
        <v>0</v>
      </c>
      <c r="I505" t="n">
        <v>0</v>
      </c>
      <c r="J505" t="n">
        <v>0</v>
      </c>
      <c r="K505" t="n">
        <v>0</v>
      </c>
      <c r="L505" t="n">
        <v>0</v>
      </c>
      <c r="M505" t="n">
        <v>0</v>
      </c>
      <c r="N505" t="n">
        <v>0</v>
      </c>
      <c r="O505" t="n">
        <v>0</v>
      </c>
      <c r="P505" t="n">
        <v>0</v>
      </c>
      <c r="Q505" t="n">
        <v>0</v>
      </c>
      <c r="R505" s="2" t="inlineStr"/>
    </row>
    <row r="506" ht="15" customHeight="1">
      <c r="A506" t="inlineStr">
        <is>
          <t>A 6616-2026</t>
        </is>
      </c>
      <c r="B506" s="1" t="n">
        <v>46056.49075231481</v>
      </c>
      <c r="C506" s="1" t="n">
        <v>46182</v>
      </c>
      <c r="D506" t="inlineStr">
        <is>
          <t>ÖREBRO LÄN</t>
        </is>
      </c>
      <c r="E506" t="inlineStr">
        <is>
          <t>LINDESBERG</t>
        </is>
      </c>
      <c r="G506" t="n">
        <v>9</v>
      </c>
      <c r="H506" t="n">
        <v>0</v>
      </c>
      <c r="I506" t="n">
        <v>0</v>
      </c>
      <c r="J506" t="n">
        <v>0</v>
      </c>
      <c r="K506" t="n">
        <v>0</v>
      </c>
      <c r="L506" t="n">
        <v>0</v>
      </c>
      <c r="M506" t="n">
        <v>0</v>
      </c>
      <c r="N506" t="n">
        <v>0</v>
      </c>
      <c r="O506" t="n">
        <v>0</v>
      </c>
      <c r="P506" t="n">
        <v>0</v>
      </c>
      <c r="Q506" t="n">
        <v>0</v>
      </c>
      <c r="R506" s="2" t="inlineStr"/>
    </row>
    <row r="507" ht="15" customHeight="1">
      <c r="A507" t="inlineStr">
        <is>
          <t>A 43081-2021</t>
        </is>
      </c>
      <c r="B507" s="1" t="n">
        <v>44431</v>
      </c>
      <c r="C507" s="1" t="n">
        <v>46182</v>
      </c>
      <c r="D507" t="inlineStr">
        <is>
          <t>ÖREBRO LÄN</t>
        </is>
      </c>
      <c r="E507" t="inlineStr">
        <is>
          <t>LINDESBERG</t>
        </is>
      </c>
      <c r="G507" t="n">
        <v>0.5</v>
      </c>
      <c r="H507" t="n">
        <v>0</v>
      </c>
      <c r="I507" t="n">
        <v>0</v>
      </c>
      <c r="J507" t="n">
        <v>0</v>
      </c>
      <c r="K507" t="n">
        <v>0</v>
      </c>
      <c r="L507" t="n">
        <v>0</v>
      </c>
      <c r="M507" t="n">
        <v>0</v>
      </c>
      <c r="N507" t="n">
        <v>0</v>
      </c>
      <c r="O507" t="n">
        <v>0</v>
      </c>
      <c r="P507" t="n">
        <v>0</v>
      </c>
      <c r="Q507" t="n">
        <v>0</v>
      </c>
      <c r="R507" s="2" t="inlineStr"/>
    </row>
    <row r="508" ht="15" customHeight="1">
      <c r="A508" t="inlineStr">
        <is>
          <t>A 44675-2021</t>
        </is>
      </c>
      <c r="B508" s="1" t="n">
        <v>44438</v>
      </c>
      <c r="C508" s="1" t="n">
        <v>46182</v>
      </c>
      <c r="D508" t="inlineStr">
        <is>
          <t>ÖREBRO LÄN</t>
        </is>
      </c>
      <c r="E508" t="inlineStr">
        <is>
          <t>LINDESBERG</t>
        </is>
      </c>
      <c r="F508" t="inlineStr">
        <is>
          <t>Sveaskog</t>
        </is>
      </c>
      <c r="G508" t="n">
        <v>2.1</v>
      </c>
      <c r="H508" t="n">
        <v>0</v>
      </c>
      <c r="I508" t="n">
        <v>0</v>
      </c>
      <c r="J508" t="n">
        <v>0</v>
      </c>
      <c r="K508" t="n">
        <v>0</v>
      </c>
      <c r="L508" t="n">
        <v>0</v>
      </c>
      <c r="M508" t="n">
        <v>0</v>
      </c>
      <c r="N508" t="n">
        <v>0</v>
      </c>
      <c r="O508" t="n">
        <v>0</v>
      </c>
      <c r="P508" t="n">
        <v>0</v>
      </c>
      <c r="Q508" t="n">
        <v>0</v>
      </c>
      <c r="R508" s="2" t="inlineStr"/>
    </row>
    <row r="509" ht="15" customHeight="1">
      <c r="A509" t="inlineStr">
        <is>
          <t>A 32002-2023</t>
        </is>
      </c>
      <c r="B509" s="1" t="n">
        <v>45119.46452546296</v>
      </c>
      <c r="C509" s="1" t="n">
        <v>46182</v>
      </c>
      <c r="D509" t="inlineStr">
        <is>
          <t>ÖREBRO LÄN</t>
        </is>
      </c>
      <c r="E509" t="inlineStr">
        <is>
          <t>LINDESBERG</t>
        </is>
      </c>
      <c r="F509" t="inlineStr">
        <is>
          <t>Kyrkan</t>
        </is>
      </c>
      <c r="G509" t="n">
        <v>0.6</v>
      </c>
      <c r="H509" t="n">
        <v>0</v>
      </c>
      <c r="I509" t="n">
        <v>0</v>
      </c>
      <c r="J509" t="n">
        <v>0</v>
      </c>
      <c r="K509" t="n">
        <v>0</v>
      </c>
      <c r="L509" t="n">
        <v>0</v>
      </c>
      <c r="M509" t="n">
        <v>0</v>
      </c>
      <c r="N509" t="n">
        <v>0</v>
      </c>
      <c r="O509" t="n">
        <v>0</v>
      </c>
      <c r="P509" t="n">
        <v>0</v>
      </c>
      <c r="Q509" t="n">
        <v>0</v>
      </c>
      <c r="R509" s="2" t="inlineStr"/>
    </row>
    <row r="510" ht="15" customHeight="1">
      <c r="A510" t="inlineStr">
        <is>
          <t>A 55255-2025</t>
        </is>
      </c>
      <c r="B510" s="1" t="n">
        <v>45968.63695601852</v>
      </c>
      <c r="C510" s="1" t="n">
        <v>46182</v>
      </c>
      <c r="D510" t="inlineStr">
        <is>
          <t>ÖREBRO LÄN</t>
        </is>
      </c>
      <c r="E510" t="inlineStr">
        <is>
          <t>LINDESBERG</t>
        </is>
      </c>
      <c r="F510" t="inlineStr">
        <is>
          <t>Kyrkan</t>
        </is>
      </c>
      <c r="G510" t="n">
        <v>1</v>
      </c>
      <c r="H510" t="n">
        <v>0</v>
      </c>
      <c r="I510" t="n">
        <v>0</v>
      </c>
      <c r="J510" t="n">
        <v>0</v>
      </c>
      <c r="K510" t="n">
        <v>0</v>
      </c>
      <c r="L510" t="n">
        <v>0</v>
      </c>
      <c r="M510" t="n">
        <v>0</v>
      </c>
      <c r="N510" t="n">
        <v>0</v>
      </c>
      <c r="O510" t="n">
        <v>0</v>
      </c>
      <c r="P510" t="n">
        <v>0</v>
      </c>
      <c r="Q510" t="n">
        <v>0</v>
      </c>
      <c r="R510" s="2" t="inlineStr"/>
    </row>
    <row r="511" ht="15" customHeight="1">
      <c r="A511" t="inlineStr">
        <is>
          <t>A 6989-2026</t>
        </is>
      </c>
      <c r="B511" s="1" t="n">
        <v>46057.60342592592</v>
      </c>
      <c r="C511" s="1" t="n">
        <v>46182</v>
      </c>
      <c r="D511" t="inlineStr">
        <is>
          <t>ÖREBRO LÄN</t>
        </is>
      </c>
      <c r="E511" t="inlineStr">
        <is>
          <t>LINDESBERG</t>
        </is>
      </c>
      <c r="G511" t="n">
        <v>2</v>
      </c>
      <c r="H511" t="n">
        <v>0</v>
      </c>
      <c r="I511" t="n">
        <v>0</v>
      </c>
      <c r="J511" t="n">
        <v>0</v>
      </c>
      <c r="K511" t="n">
        <v>0</v>
      </c>
      <c r="L511" t="n">
        <v>0</v>
      </c>
      <c r="M511" t="n">
        <v>0</v>
      </c>
      <c r="N511" t="n">
        <v>0</v>
      </c>
      <c r="O511" t="n">
        <v>0</v>
      </c>
      <c r="P511" t="n">
        <v>0</v>
      </c>
      <c r="Q511" t="n">
        <v>0</v>
      </c>
      <c r="R511" s="2" t="inlineStr"/>
    </row>
    <row r="512" ht="15" customHeight="1">
      <c r="A512" t="inlineStr">
        <is>
          <t>A 6524-2026</t>
        </is>
      </c>
      <c r="B512" s="1" t="n">
        <v>46056.40425925926</v>
      </c>
      <c r="C512" s="1" t="n">
        <v>46182</v>
      </c>
      <c r="D512" t="inlineStr">
        <is>
          <t>ÖREBRO LÄN</t>
        </is>
      </c>
      <c r="E512" t="inlineStr">
        <is>
          <t>LINDESBERG</t>
        </is>
      </c>
      <c r="G512" t="n">
        <v>0.6</v>
      </c>
      <c r="H512" t="n">
        <v>0</v>
      </c>
      <c r="I512" t="n">
        <v>0</v>
      </c>
      <c r="J512" t="n">
        <v>0</v>
      </c>
      <c r="K512" t="n">
        <v>0</v>
      </c>
      <c r="L512" t="n">
        <v>0</v>
      </c>
      <c r="M512" t="n">
        <v>0</v>
      </c>
      <c r="N512" t="n">
        <v>0</v>
      </c>
      <c r="O512" t="n">
        <v>0</v>
      </c>
      <c r="P512" t="n">
        <v>0</v>
      </c>
      <c r="Q512" t="n">
        <v>0</v>
      </c>
      <c r="R512" s="2" t="inlineStr"/>
    </row>
    <row r="513" ht="15" customHeight="1">
      <c r="A513" t="inlineStr">
        <is>
          <t>A 7661-2024</t>
        </is>
      </c>
      <c r="B513" s="1" t="n">
        <v>45348</v>
      </c>
      <c r="C513" s="1" t="n">
        <v>46182</v>
      </c>
      <c r="D513" t="inlineStr">
        <is>
          <t>ÖREBRO LÄN</t>
        </is>
      </c>
      <c r="E513" t="inlineStr">
        <is>
          <t>LINDESBERG</t>
        </is>
      </c>
      <c r="G513" t="n">
        <v>4.1</v>
      </c>
      <c r="H513" t="n">
        <v>0</v>
      </c>
      <c r="I513" t="n">
        <v>0</v>
      </c>
      <c r="J513" t="n">
        <v>0</v>
      </c>
      <c r="K513" t="n">
        <v>0</v>
      </c>
      <c r="L513" t="n">
        <v>0</v>
      </c>
      <c r="M513" t="n">
        <v>0</v>
      </c>
      <c r="N513" t="n">
        <v>0</v>
      </c>
      <c r="O513" t="n">
        <v>0</v>
      </c>
      <c r="P513" t="n">
        <v>0</v>
      </c>
      <c r="Q513" t="n">
        <v>0</v>
      </c>
      <c r="R513" s="2" t="inlineStr"/>
    </row>
    <row r="514" ht="15" customHeight="1">
      <c r="A514" t="inlineStr">
        <is>
          <t>A 59633-2023</t>
        </is>
      </c>
      <c r="B514" s="1" t="n">
        <v>45254</v>
      </c>
      <c r="C514" s="1" t="n">
        <v>46182</v>
      </c>
      <c r="D514" t="inlineStr">
        <is>
          <t>ÖREBRO LÄN</t>
        </is>
      </c>
      <c r="E514" t="inlineStr">
        <is>
          <t>LINDESBERG</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13416-2025</t>
        </is>
      </c>
      <c r="B515" s="1" t="n">
        <v>45736.308125</v>
      </c>
      <c r="C515" s="1" t="n">
        <v>46182</v>
      </c>
      <c r="D515" t="inlineStr">
        <is>
          <t>ÖREBRO LÄN</t>
        </is>
      </c>
      <c r="E515" t="inlineStr">
        <is>
          <t>LINDESBERG</t>
        </is>
      </c>
      <c r="G515" t="n">
        <v>2.2</v>
      </c>
      <c r="H515" t="n">
        <v>0</v>
      </c>
      <c r="I515" t="n">
        <v>0</v>
      </c>
      <c r="J515" t="n">
        <v>0</v>
      </c>
      <c r="K515" t="n">
        <v>0</v>
      </c>
      <c r="L515" t="n">
        <v>0</v>
      </c>
      <c r="M515" t="n">
        <v>0</v>
      </c>
      <c r="N515" t="n">
        <v>0</v>
      </c>
      <c r="O515" t="n">
        <v>0</v>
      </c>
      <c r="P515" t="n">
        <v>0</v>
      </c>
      <c r="Q515" t="n">
        <v>0</v>
      </c>
      <c r="R515" s="2" t="inlineStr"/>
    </row>
    <row r="516" ht="15" customHeight="1">
      <c r="A516" t="inlineStr">
        <is>
          <t>A 12278-2025</t>
        </is>
      </c>
      <c r="B516" s="1" t="n">
        <v>45729.65171296296</v>
      </c>
      <c r="C516" s="1" t="n">
        <v>46182</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34237-2023</t>
        </is>
      </c>
      <c r="B517" s="1" t="n">
        <v>45138</v>
      </c>
      <c r="C517" s="1" t="n">
        <v>46182</v>
      </c>
      <c r="D517" t="inlineStr">
        <is>
          <t>ÖREBRO LÄN</t>
        </is>
      </c>
      <c r="E517" t="inlineStr">
        <is>
          <t>LINDESBERG</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55490-2025</t>
        </is>
      </c>
      <c r="B518" s="1" t="n">
        <v>45971.57659722222</v>
      </c>
      <c r="C518" s="1" t="n">
        <v>46182</v>
      </c>
      <c r="D518" t="inlineStr">
        <is>
          <t>ÖREBRO LÄN</t>
        </is>
      </c>
      <c r="E518" t="inlineStr">
        <is>
          <t>LINDESBERG</t>
        </is>
      </c>
      <c r="G518" t="n">
        <v>1.1</v>
      </c>
      <c r="H518" t="n">
        <v>0</v>
      </c>
      <c r="I518" t="n">
        <v>0</v>
      </c>
      <c r="J518" t="n">
        <v>0</v>
      </c>
      <c r="K518" t="n">
        <v>0</v>
      </c>
      <c r="L518" t="n">
        <v>0</v>
      </c>
      <c r="M518" t="n">
        <v>0</v>
      </c>
      <c r="N518" t="n">
        <v>0</v>
      </c>
      <c r="O518" t="n">
        <v>0</v>
      </c>
      <c r="P518" t="n">
        <v>0</v>
      </c>
      <c r="Q518" t="n">
        <v>0</v>
      </c>
      <c r="R518" s="2" t="inlineStr"/>
    </row>
    <row r="519" ht="15" customHeight="1">
      <c r="A519" t="inlineStr">
        <is>
          <t>A 7202-2026</t>
        </is>
      </c>
      <c r="B519" s="1" t="n">
        <v>46058.52864583334</v>
      </c>
      <c r="C519" s="1" t="n">
        <v>46182</v>
      </c>
      <c r="D519" t="inlineStr">
        <is>
          <t>ÖREBRO LÄN</t>
        </is>
      </c>
      <c r="E519" t="inlineStr">
        <is>
          <t>LINDESBERG</t>
        </is>
      </c>
      <c r="G519" t="n">
        <v>2.8</v>
      </c>
      <c r="H519" t="n">
        <v>0</v>
      </c>
      <c r="I519" t="n">
        <v>0</v>
      </c>
      <c r="J519" t="n">
        <v>0</v>
      </c>
      <c r="K519" t="n">
        <v>0</v>
      </c>
      <c r="L519" t="n">
        <v>0</v>
      </c>
      <c r="M519" t="n">
        <v>0</v>
      </c>
      <c r="N519" t="n">
        <v>0</v>
      </c>
      <c r="O519" t="n">
        <v>0</v>
      </c>
      <c r="P519" t="n">
        <v>0</v>
      </c>
      <c r="Q519" t="n">
        <v>0</v>
      </c>
      <c r="R519" s="2" t="inlineStr"/>
    </row>
    <row r="520" ht="15" customHeight="1">
      <c r="A520" t="inlineStr">
        <is>
          <t>A 29942-2024</t>
        </is>
      </c>
      <c r="B520" s="1" t="n">
        <v>45488.42258101852</v>
      </c>
      <c r="C520" s="1" t="n">
        <v>46182</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27051-2023</t>
        </is>
      </c>
      <c r="B521" s="1" t="n">
        <v>45095</v>
      </c>
      <c r="C521" s="1" t="n">
        <v>46182</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7069-2026</t>
        </is>
      </c>
      <c r="B522" s="1" t="n">
        <v>46058.30956018518</v>
      </c>
      <c r="C522" s="1" t="n">
        <v>46182</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43801-2024</t>
        </is>
      </c>
      <c r="B523" s="1" t="n">
        <v>45571.71736111111</v>
      </c>
      <c r="C523" s="1" t="n">
        <v>46182</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45072-2024</t>
        </is>
      </c>
      <c r="B524" s="1" t="n">
        <v>45575.56686342593</v>
      </c>
      <c r="C524" s="1" t="n">
        <v>46182</v>
      </c>
      <c r="D524" t="inlineStr">
        <is>
          <t>ÖREBRO LÄN</t>
        </is>
      </c>
      <c r="E524" t="inlineStr">
        <is>
          <t>LINDESBERG</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45075-2024</t>
        </is>
      </c>
      <c r="B525" s="1" t="n">
        <v>45575.56820601852</v>
      </c>
      <c r="C525" s="1" t="n">
        <v>46182</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3294-2024</t>
        </is>
      </c>
      <c r="B526" s="1" t="n">
        <v>45316</v>
      </c>
      <c r="C526" s="1" t="n">
        <v>46182</v>
      </c>
      <c r="D526" t="inlineStr">
        <is>
          <t>ÖREBRO LÄN</t>
        </is>
      </c>
      <c r="E526" t="inlineStr">
        <is>
          <t>LINDESBERG</t>
        </is>
      </c>
      <c r="G526" t="n">
        <v>3</v>
      </c>
      <c r="H526" t="n">
        <v>0</v>
      </c>
      <c r="I526" t="n">
        <v>0</v>
      </c>
      <c r="J526" t="n">
        <v>0</v>
      </c>
      <c r="K526" t="n">
        <v>0</v>
      </c>
      <c r="L526" t="n">
        <v>0</v>
      </c>
      <c r="M526" t="n">
        <v>0</v>
      </c>
      <c r="N526" t="n">
        <v>0</v>
      </c>
      <c r="O526" t="n">
        <v>0</v>
      </c>
      <c r="P526" t="n">
        <v>0</v>
      </c>
      <c r="Q526" t="n">
        <v>0</v>
      </c>
      <c r="R526" s="2" t="inlineStr"/>
    </row>
    <row r="527" ht="15" customHeight="1">
      <c r="A527" t="inlineStr">
        <is>
          <t>A 14185-2024</t>
        </is>
      </c>
      <c r="B527" s="1" t="n">
        <v>45393.3562962963</v>
      </c>
      <c r="C527" s="1" t="n">
        <v>46182</v>
      </c>
      <c r="D527" t="inlineStr">
        <is>
          <t>ÖREBRO LÄN</t>
        </is>
      </c>
      <c r="E527" t="inlineStr">
        <is>
          <t>LINDESBERG</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14190-2024</t>
        </is>
      </c>
      <c r="B528" s="1" t="n">
        <v>45393.36060185185</v>
      </c>
      <c r="C528" s="1" t="n">
        <v>46182</v>
      </c>
      <c r="D528" t="inlineStr">
        <is>
          <t>ÖREBRO LÄN</t>
        </is>
      </c>
      <c r="E528" t="inlineStr">
        <is>
          <t>LINDESBERG</t>
        </is>
      </c>
      <c r="F528" t="inlineStr">
        <is>
          <t>Sveaskog</t>
        </is>
      </c>
      <c r="G528" t="n">
        <v>2.5</v>
      </c>
      <c r="H528" t="n">
        <v>0</v>
      </c>
      <c r="I528" t="n">
        <v>0</v>
      </c>
      <c r="J528" t="n">
        <v>0</v>
      </c>
      <c r="K528" t="n">
        <v>0</v>
      </c>
      <c r="L528" t="n">
        <v>0</v>
      </c>
      <c r="M528" t="n">
        <v>0</v>
      </c>
      <c r="N528" t="n">
        <v>0</v>
      </c>
      <c r="O528" t="n">
        <v>0</v>
      </c>
      <c r="P528" t="n">
        <v>0</v>
      </c>
      <c r="Q528" t="n">
        <v>0</v>
      </c>
      <c r="R528" s="2" t="inlineStr"/>
    </row>
    <row r="529" ht="15" customHeight="1">
      <c r="A529" t="inlineStr">
        <is>
          <t>A 61405-2022</t>
        </is>
      </c>
      <c r="B529" s="1" t="n">
        <v>44916</v>
      </c>
      <c r="C529" s="1" t="n">
        <v>46182</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56306-2025</t>
        </is>
      </c>
      <c r="B530" s="1" t="n">
        <v>45974.61217592593</v>
      </c>
      <c r="C530" s="1" t="n">
        <v>46182</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56308-2025</t>
        </is>
      </c>
      <c r="B531" s="1" t="n">
        <v>45974.61344907407</v>
      </c>
      <c r="C531" s="1" t="n">
        <v>46182</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56232-2025</t>
        </is>
      </c>
      <c r="B532" s="1" t="n">
        <v>45974.53239583333</v>
      </c>
      <c r="C532" s="1" t="n">
        <v>46182</v>
      </c>
      <c r="D532" t="inlineStr">
        <is>
          <t>ÖREBRO LÄN</t>
        </is>
      </c>
      <c r="E532" t="inlineStr">
        <is>
          <t>LINDESBERG</t>
        </is>
      </c>
      <c r="G532" t="n">
        <v>3.2</v>
      </c>
      <c r="H532" t="n">
        <v>0</v>
      </c>
      <c r="I532" t="n">
        <v>0</v>
      </c>
      <c r="J532" t="n">
        <v>0</v>
      </c>
      <c r="K532" t="n">
        <v>0</v>
      </c>
      <c r="L532" t="n">
        <v>0</v>
      </c>
      <c r="M532" t="n">
        <v>0</v>
      </c>
      <c r="N532" t="n">
        <v>0</v>
      </c>
      <c r="O532" t="n">
        <v>0</v>
      </c>
      <c r="P532" t="n">
        <v>0</v>
      </c>
      <c r="Q532" t="n">
        <v>0</v>
      </c>
      <c r="R532" s="2" t="inlineStr"/>
    </row>
    <row r="533" ht="15" customHeight="1">
      <c r="A533" t="inlineStr">
        <is>
          <t>A 40563-2023</t>
        </is>
      </c>
      <c r="B533" s="1" t="n">
        <v>45170.45921296296</v>
      </c>
      <c r="C533" s="1" t="n">
        <v>46182</v>
      </c>
      <c r="D533" t="inlineStr">
        <is>
          <t>ÖREBRO LÄN</t>
        </is>
      </c>
      <c r="E533" t="inlineStr">
        <is>
          <t>LINDESBERG</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56226-2025</t>
        </is>
      </c>
      <c r="B534" s="1" t="n">
        <v>45974.51283564815</v>
      </c>
      <c r="C534" s="1" t="n">
        <v>46182</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51656-2023</t>
        </is>
      </c>
      <c r="B535" s="1" t="n">
        <v>45222</v>
      </c>
      <c r="C535" s="1" t="n">
        <v>46182</v>
      </c>
      <c r="D535" t="inlineStr">
        <is>
          <t>ÖREBRO LÄN</t>
        </is>
      </c>
      <c r="E535" t="inlineStr">
        <is>
          <t>LINDESBERG</t>
        </is>
      </c>
      <c r="G535" t="n">
        <v>1.2</v>
      </c>
      <c r="H535" t="n">
        <v>0</v>
      </c>
      <c r="I535" t="n">
        <v>0</v>
      </c>
      <c r="J535" t="n">
        <v>0</v>
      </c>
      <c r="K535" t="n">
        <v>0</v>
      </c>
      <c r="L535" t="n">
        <v>0</v>
      </c>
      <c r="M535" t="n">
        <v>0</v>
      </c>
      <c r="N535" t="n">
        <v>0</v>
      </c>
      <c r="O535" t="n">
        <v>0</v>
      </c>
      <c r="P535" t="n">
        <v>0</v>
      </c>
      <c r="Q535" t="n">
        <v>0</v>
      </c>
      <c r="R535" s="2" t="inlineStr"/>
    </row>
    <row r="536" ht="15" customHeight="1">
      <c r="A536" t="inlineStr">
        <is>
          <t>A 38613-2024</t>
        </is>
      </c>
      <c r="B536" s="1" t="n">
        <v>45546.68743055555</v>
      </c>
      <c r="C536" s="1" t="n">
        <v>46182</v>
      </c>
      <c r="D536" t="inlineStr">
        <is>
          <t>ÖREBRO LÄN</t>
        </is>
      </c>
      <c r="E536" t="inlineStr">
        <is>
          <t>LINDESBERG</t>
        </is>
      </c>
      <c r="F536" t="inlineStr">
        <is>
          <t>Kyrkan</t>
        </is>
      </c>
      <c r="G536" t="n">
        <v>1.6</v>
      </c>
      <c r="H536" t="n">
        <v>0</v>
      </c>
      <c r="I536" t="n">
        <v>0</v>
      </c>
      <c r="J536" t="n">
        <v>0</v>
      </c>
      <c r="K536" t="n">
        <v>0</v>
      </c>
      <c r="L536" t="n">
        <v>0</v>
      </c>
      <c r="M536" t="n">
        <v>0</v>
      </c>
      <c r="N536" t="n">
        <v>0</v>
      </c>
      <c r="O536" t="n">
        <v>0</v>
      </c>
      <c r="P536" t="n">
        <v>0</v>
      </c>
      <c r="Q536" t="n">
        <v>0</v>
      </c>
      <c r="R536" s="2" t="inlineStr"/>
    </row>
    <row r="537" ht="15" customHeight="1">
      <c r="A537" t="inlineStr">
        <is>
          <t>A 3732-2023</t>
        </is>
      </c>
      <c r="B537" s="1" t="n">
        <v>44949</v>
      </c>
      <c r="C537" s="1" t="n">
        <v>46182</v>
      </c>
      <c r="D537" t="inlineStr">
        <is>
          <t>ÖREBRO LÄN</t>
        </is>
      </c>
      <c r="E537" t="inlineStr">
        <is>
          <t>LINDESBERG</t>
        </is>
      </c>
      <c r="G537" t="n">
        <v>3.3</v>
      </c>
      <c r="H537" t="n">
        <v>0</v>
      </c>
      <c r="I537" t="n">
        <v>0</v>
      </c>
      <c r="J537" t="n">
        <v>0</v>
      </c>
      <c r="K537" t="n">
        <v>0</v>
      </c>
      <c r="L537" t="n">
        <v>0</v>
      </c>
      <c r="M537" t="n">
        <v>0</v>
      </c>
      <c r="N537" t="n">
        <v>0</v>
      </c>
      <c r="O537" t="n">
        <v>0</v>
      </c>
      <c r="P537" t="n">
        <v>0</v>
      </c>
      <c r="Q537" t="n">
        <v>0</v>
      </c>
      <c r="R537" s="2" t="inlineStr"/>
    </row>
    <row r="538" ht="15" customHeight="1">
      <c r="A538" t="inlineStr">
        <is>
          <t>A 49358-2023</t>
        </is>
      </c>
      <c r="B538" s="1" t="n">
        <v>45211</v>
      </c>
      <c r="C538" s="1" t="n">
        <v>46182</v>
      </c>
      <c r="D538" t="inlineStr">
        <is>
          <t>ÖREBRO LÄN</t>
        </is>
      </c>
      <c r="E538" t="inlineStr">
        <is>
          <t>LINDESBERG</t>
        </is>
      </c>
      <c r="F538" t="inlineStr">
        <is>
          <t>Sveaskog</t>
        </is>
      </c>
      <c r="G538" t="n">
        <v>4.7</v>
      </c>
      <c r="H538" t="n">
        <v>0</v>
      </c>
      <c r="I538" t="n">
        <v>0</v>
      </c>
      <c r="J538" t="n">
        <v>0</v>
      </c>
      <c r="K538" t="n">
        <v>0</v>
      </c>
      <c r="L538" t="n">
        <v>0</v>
      </c>
      <c r="M538" t="n">
        <v>0</v>
      </c>
      <c r="N538" t="n">
        <v>0</v>
      </c>
      <c r="O538" t="n">
        <v>0</v>
      </c>
      <c r="P538" t="n">
        <v>0</v>
      </c>
      <c r="Q538" t="n">
        <v>0</v>
      </c>
      <c r="R538" s="2" t="inlineStr"/>
    </row>
    <row r="539" ht="15" customHeight="1">
      <c r="A539" t="inlineStr">
        <is>
          <t>A 57069-2022</t>
        </is>
      </c>
      <c r="B539" s="1" t="n">
        <v>44895</v>
      </c>
      <c r="C539" s="1" t="n">
        <v>46182</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4067-2024</t>
        </is>
      </c>
      <c r="B540" s="1" t="n">
        <v>45323</v>
      </c>
      <c r="C540" s="1" t="n">
        <v>46182</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72331-2021</t>
        </is>
      </c>
      <c r="B541" s="1" t="n">
        <v>44544</v>
      </c>
      <c r="C541" s="1" t="n">
        <v>46182</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57299-2025</t>
        </is>
      </c>
      <c r="B542" s="1" t="n">
        <v>45979.81347222222</v>
      </c>
      <c r="C542" s="1" t="n">
        <v>46182</v>
      </c>
      <c r="D542" t="inlineStr">
        <is>
          <t>ÖREBRO LÄN</t>
        </is>
      </c>
      <c r="E542" t="inlineStr">
        <is>
          <t>LINDESBERG</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57317-2025</t>
        </is>
      </c>
      <c r="B543" s="1" t="n">
        <v>45980.01226851852</v>
      </c>
      <c r="C543" s="1" t="n">
        <v>46182</v>
      </c>
      <c r="D543" t="inlineStr">
        <is>
          <t>ÖREBRO LÄN</t>
        </is>
      </c>
      <c r="E543" t="inlineStr">
        <is>
          <t>LINDESBERG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57300-2025</t>
        </is>
      </c>
      <c r="B544" s="1" t="n">
        <v>45979.81403935186</v>
      </c>
      <c r="C544" s="1" t="n">
        <v>46182</v>
      </c>
      <c r="D544" t="inlineStr">
        <is>
          <t>ÖREBRO LÄN</t>
        </is>
      </c>
      <c r="E544" t="inlineStr">
        <is>
          <t>LINDESBERG</t>
        </is>
      </c>
      <c r="F544" t="inlineStr">
        <is>
          <t>Sveaskog</t>
        </is>
      </c>
      <c r="G544" t="n">
        <v>4.9</v>
      </c>
      <c r="H544" t="n">
        <v>0</v>
      </c>
      <c r="I544" t="n">
        <v>0</v>
      </c>
      <c r="J544" t="n">
        <v>0</v>
      </c>
      <c r="K544" t="n">
        <v>0</v>
      </c>
      <c r="L544" t="n">
        <v>0</v>
      </c>
      <c r="M544" t="n">
        <v>0</v>
      </c>
      <c r="N544" t="n">
        <v>0</v>
      </c>
      <c r="O544" t="n">
        <v>0</v>
      </c>
      <c r="P544" t="n">
        <v>0</v>
      </c>
      <c r="Q544" t="n">
        <v>0</v>
      </c>
      <c r="R544" s="2" t="inlineStr"/>
    </row>
    <row r="545" ht="15" customHeight="1">
      <c r="A545" t="inlineStr">
        <is>
          <t>A 57359-2025</t>
        </is>
      </c>
      <c r="B545" s="1" t="n">
        <v>45980.36866898148</v>
      </c>
      <c r="C545" s="1" t="n">
        <v>46182</v>
      </c>
      <c r="D545" t="inlineStr">
        <is>
          <t>ÖREBRO LÄN</t>
        </is>
      </c>
      <c r="E545" t="inlineStr">
        <is>
          <t>LINDESBERG</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57361-2025</t>
        </is>
      </c>
      <c r="B546" s="1" t="n">
        <v>45980.36988425926</v>
      </c>
      <c r="C546" s="1" t="n">
        <v>46182</v>
      </c>
      <c r="D546" t="inlineStr">
        <is>
          <t>ÖREBRO LÄN</t>
        </is>
      </c>
      <c r="E546" t="inlineStr">
        <is>
          <t>LINDESBERG</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10823-2023</t>
        </is>
      </c>
      <c r="B547" s="1" t="n">
        <v>44990</v>
      </c>
      <c r="C547" s="1" t="n">
        <v>46182</v>
      </c>
      <c r="D547" t="inlineStr">
        <is>
          <t>ÖREBRO LÄN</t>
        </is>
      </c>
      <c r="E547" t="inlineStr">
        <is>
          <t>LINDESBERG</t>
        </is>
      </c>
      <c r="G547" t="n">
        <v>1.8</v>
      </c>
      <c r="H547" t="n">
        <v>0</v>
      </c>
      <c r="I547" t="n">
        <v>0</v>
      </c>
      <c r="J547" t="n">
        <v>0</v>
      </c>
      <c r="K547" t="n">
        <v>0</v>
      </c>
      <c r="L547" t="n">
        <v>0</v>
      </c>
      <c r="M547" t="n">
        <v>0</v>
      </c>
      <c r="N547" t="n">
        <v>0</v>
      </c>
      <c r="O547" t="n">
        <v>0</v>
      </c>
      <c r="P547" t="n">
        <v>0</v>
      </c>
      <c r="Q547" t="n">
        <v>0</v>
      </c>
      <c r="R547" s="2" t="inlineStr"/>
    </row>
    <row r="548" ht="15" customHeight="1">
      <c r="A548" t="inlineStr">
        <is>
          <t>A 8902-2024</t>
        </is>
      </c>
      <c r="B548" s="1" t="n">
        <v>45357.34521990741</v>
      </c>
      <c r="C548" s="1" t="n">
        <v>46182</v>
      </c>
      <c r="D548" t="inlineStr">
        <is>
          <t>ÖREBRO LÄN</t>
        </is>
      </c>
      <c r="E548" t="inlineStr">
        <is>
          <t>LINDESBERG</t>
        </is>
      </c>
      <c r="F548" t="inlineStr">
        <is>
          <t>Kommuner</t>
        </is>
      </c>
      <c r="G548" t="n">
        <v>0.5</v>
      </c>
      <c r="H548" t="n">
        <v>0</v>
      </c>
      <c r="I548" t="n">
        <v>0</v>
      </c>
      <c r="J548" t="n">
        <v>0</v>
      </c>
      <c r="K548" t="n">
        <v>0</v>
      </c>
      <c r="L548" t="n">
        <v>0</v>
      </c>
      <c r="M548" t="n">
        <v>0</v>
      </c>
      <c r="N548" t="n">
        <v>0</v>
      </c>
      <c r="O548" t="n">
        <v>0</v>
      </c>
      <c r="P548" t="n">
        <v>0</v>
      </c>
      <c r="Q548" t="n">
        <v>0</v>
      </c>
      <c r="R548" s="2" t="inlineStr"/>
    </row>
    <row r="549" ht="15" customHeight="1">
      <c r="A549" t="inlineStr">
        <is>
          <t>A 9432-2026</t>
        </is>
      </c>
      <c r="B549" s="1" t="n">
        <v>46071.45568287037</v>
      </c>
      <c r="C549" s="1" t="n">
        <v>46182</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57313-2025</t>
        </is>
      </c>
      <c r="B550" s="1" t="n">
        <v>45979.97458333334</v>
      </c>
      <c r="C550" s="1" t="n">
        <v>46182</v>
      </c>
      <c r="D550" t="inlineStr">
        <is>
          <t>ÖREBRO LÄN</t>
        </is>
      </c>
      <c r="E550" t="inlineStr">
        <is>
          <t>LINDESBERG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57314-2025</t>
        </is>
      </c>
      <c r="B551" s="1" t="n">
        <v>45980.00710648148</v>
      </c>
      <c r="C551" s="1" t="n">
        <v>46182</v>
      </c>
      <c r="D551" t="inlineStr">
        <is>
          <t>ÖREBRO LÄN</t>
        </is>
      </c>
      <c r="E551" t="inlineStr">
        <is>
          <t>LINDESBERG</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57315-2025</t>
        </is>
      </c>
      <c r="B552" s="1" t="n">
        <v>45980.00753472222</v>
      </c>
      <c r="C552" s="1" t="n">
        <v>46182</v>
      </c>
      <c r="D552" t="inlineStr">
        <is>
          <t>ÖREBRO LÄN</t>
        </is>
      </c>
      <c r="E552" t="inlineStr">
        <is>
          <t>LINDESBERG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57316-2025</t>
        </is>
      </c>
      <c r="B553" s="1" t="n">
        <v>45980.0115625</v>
      </c>
      <c r="C553" s="1" t="n">
        <v>46182</v>
      </c>
      <c r="D553" t="inlineStr">
        <is>
          <t>ÖREBRO LÄN</t>
        </is>
      </c>
      <c r="E553" t="inlineStr">
        <is>
          <t>LINDESBERG</t>
        </is>
      </c>
      <c r="F553" t="inlineStr">
        <is>
          <t>Sveaskog</t>
        </is>
      </c>
      <c r="G553" t="n">
        <v>6.5</v>
      </c>
      <c r="H553" t="n">
        <v>0</v>
      </c>
      <c r="I553" t="n">
        <v>0</v>
      </c>
      <c r="J553" t="n">
        <v>0</v>
      </c>
      <c r="K553" t="n">
        <v>0</v>
      </c>
      <c r="L553" t="n">
        <v>0</v>
      </c>
      <c r="M553" t="n">
        <v>0</v>
      </c>
      <c r="N553" t="n">
        <v>0</v>
      </c>
      <c r="O553" t="n">
        <v>0</v>
      </c>
      <c r="P553" t="n">
        <v>0</v>
      </c>
      <c r="Q553" t="n">
        <v>0</v>
      </c>
      <c r="R553" s="2" t="inlineStr"/>
    </row>
    <row r="554" ht="15" customHeight="1">
      <c r="A554" t="inlineStr">
        <is>
          <t>A 57320-2025</t>
        </is>
      </c>
      <c r="B554" s="1" t="n">
        <v>45980.01553240741</v>
      </c>
      <c r="C554" s="1" t="n">
        <v>46182</v>
      </c>
      <c r="D554" t="inlineStr">
        <is>
          <t>ÖREBRO LÄN</t>
        </is>
      </c>
      <c r="E554" t="inlineStr">
        <is>
          <t>LINDESBERG</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57363-2025</t>
        </is>
      </c>
      <c r="B555" s="1" t="n">
        <v>45980.3716087963</v>
      </c>
      <c r="C555" s="1" t="n">
        <v>46182</v>
      </c>
      <c r="D555" t="inlineStr">
        <is>
          <t>ÖREBRO LÄN</t>
        </is>
      </c>
      <c r="E555" t="inlineStr">
        <is>
          <t>LINDESBERG</t>
        </is>
      </c>
      <c r="F555" t="inlineStr">
        <is>
          <t>Sveaskog</t>
        </is>
      </c>
      <c r="G555" t="n">
        <v>2</v>
      </c>
      <c r="H555" t="n">
        <v>0</v>
      </c>
      <c r="I555" t="n">
        <v>0</v>
      </c>
      <c r="J555" t="n">
        <v>0</v>
      </c>
      <c r="K555" t="n">
        <v>0</v>
      </c>
      <c r="L555" t="n">
        <v>0</v>
      </c>
      <c r="M555" t="n">
        <v>0</v>
      </c>
      <c r="N555" t="n">
        <v>0</v>
      </c>
      <c r="O555" t="n">
        <v>0</v>
      </c>
      <c r="P555" t="n">
        <v>0</v>
      </c>
      <c r="Q555" t="n">
        <v>0</v>
      </c>
      <c r="R555" s="2" t="inlineStr"/>
    </row>
    <row r="556" ht="15" customHeight="1">
      <c r="A556" t="inlineStr">
        <is>
          <t>A 40305-2024</t>
        </is>
      </c>
      <c r="B556" s="1" t="n">
        <v>45554.71863425926</v>
      </c>
      <c r="C556" s="1" t="n">
        <v>46182</v>
      </c>
      <c r="D556" t="inlineStr">
        <is>
          <t>ÖREBRO LÄN</t>
        </is>
      </c>
      <c r="E556" t="inlineStr">
        <is>
          <t>LINDESBERG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9577-2026</t>
        </is>
      </c>
      <c r="B557" s="1" t="n">
        <v>46071.67334490741</v>
      </c>
      <c r="C557" s="1" t="n">
        <v>46182</v>
      </c>
      <c r="D557" t="inlineStr">
        <is>
          <t>ÖREBRO LÄN</t>
        </is>
      </c>
      <c r="E557" t="inlineStr">
        <is>
          <t>LINDESBERG</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19436-2025</t>
        </is>
      </c>
      <c r="B558" s="1" t="n">
        <v>45769.98449074074</v>
      </c>
      <c r="C558" s="1" t="n">
        <v>46182</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22829-2023</t>
        </is>
      </c>
      <c r="B559" s="1" t="n">
        <v>45072.42776620371</v>
      </c>
      <c r="C559" s="1" t="n">
        <v>46182</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54663-2021</t>
        </is>
      </c>
      <c r="B560" s="1" t="n">
        <v>44473.6343287037</v>
      </c>
      <c r="C560" s="1" t="n">
        <v>46182</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57795-2021</t>
        </is>
      </c>
      <c r="B561" s="1" t="n">
        <v>44484</v>
      </c>
      <c r="C561" s="1" t="n">
        <v>46182</v>
      </c>
      <c r="D561" t="inlineStr">
        <is>
          <t>ÖREBRO LÄN</t>
        </is>
      </c>
      <c r="E561" t="inlineStr">
        <is>
          <t>LINDESBERG</t>
        </is>
      </c>
      <c r="G561" t="n">
        <v>39.4</v>
      </c>
      <c r="H561" t="n">
        <v>0</v>
      </c>
      <c r="I561" t="n">
        <v>0</v>
      </c>
      <c r="J561" t="n">
        <v>0</v>
      </c>
      <c r="K561" t="n">
        <v>0</v>
      </c>
      <c r="L561" t="n">
        <v>0</v>
      </c>
      <c r="M561" t="n">
        <v>0</v>
      </c>
      <c r="N561" t="n">
        <v>0</v>
      </c>
      <c r="O561" t="n">
        <v>0</v>
      </c>
      <c r="P561" t="n">
        <v>0</v>
      </c>
      <c r="Q561" t="n">
        <v>0</v>
      </c>
      <c r="R561" s="2" t="inlineStr"/>
    </row>
    <row r="562" ht="15" customHeight="1">
      <c r="A562" t="inlineStr">
        <is>
          <t>A 28463-2024</t>
        </is>
      </c>
      <c r="B562" s="1" t="n">
        <v>45477.70315972222</v>
      </c>
      <c r="C562" s="1" t="n">
        <v>46182</v>
      </c>
      <c r="D562" t="inlineStr">
        <is>
          <t>ÖREBRO LÄN</t>
        </is>
      </c>
      <c r="E562" t="inlineStr">
        <is>
          <t>LINDESBERG</t>
        </is>
      </c>
      <c r="G562" t="n">
        <v>6.3</v>
      </c>
      <c r="H562" t="n">
        <v>0</v>
      </c>
      <c r="I562" t="n">
        <v>0</v>
      </c>
      <c r="J562" t="n">
        <v>0</v>
      </c>
      <c r="K562" t="n">
        <v>0</v>
      </c>
      <c r="L562" t="n">
        <v>0</v>
      </c>
      <c r="M562" t="n">
        <v>0</v>
      </c>
      <c r="N562" t="n">
        <v>0</v>
      </c>
      <c r="O562" t="n">
        <v>0</v>
      </c>
      <c r="P562" t="n">
        <v>0</v>
      </c>
      <c r="Q562" t="n">
        <v>0</v>
      </c>
      <c r="R562" s="2" t="inlineStr"/>
    </row>
    <row r="563" ht="15" customHeight="1">
      <c r="A563" t="inlineStr">
        <is>
          <t>A 27031-2024</t>
        </is>
      </c>
      <c r="B563" s="1" t="n">
        <v>45471.42659722222</v>
      </c>
      <c r="C563" s="1" t="n">
        <v>46182</v>
      </c>
      <c r="D563" t="inlineStr">
        <is>
          <t>ÖREBRO LÄN</t>
        </is>
      </c>
      <c r="E563" t="inlineStr">
        <is>
          <t>LINDESBERG</t>
        </is>
      </c>
      <c r="G563" t="n">
        <v>1.1</v>
      </c>
      <c r="H563" t="n">
        <v>0</v>
      </c>
      <c r="I563" t="n">
        <v>0</v>
      </c>
      <c r="J563" t="n">
        <v>0</v>
      </c>
      <c r="K563" t="n">
        <v>0</v>
      </c>
      <c r="L563" t="n">
        <v>0</v>
      </c>
      <c r="M563" t="n">
        <v>0</v>
      </c>
      <c r="N563" t="n">
        <v>0</v>
      </c>
      <c r="O563" t="n">
        <v>0</v>
      </c>
      <c r="P563" t="n">
        <v>0</v>
      </c>
      <c r="Q563" t="n">
        <v>0</v>
      </c>
      <c r="R563" s="2" t="inlineStr"/>
    </row>
    <row r="564" ht="15" customHeight="1">
      <c r="A564" t="inlineStr">
        <is>
          <t>A 15822-2024</t>
        </is>
      </c>
      <c r="B564" s="1" t="n">
        <v>45404.68190972223</v>
      </c>
      <c r="C564" s="1" t="n">
        <v>46182</v>
      </c>
      <c r="D564" t="inlineStr">
        <is>
          <t>ÖREBRO LÄN</t>
        </is>
      </c>
      <c r="E564" t="inlineStr">
        <is>
          <t>LINDESBERG</t>
        </is>
      </c>
      <c r="F564" t="inlineStr">
        <is>
          <t>Sveaskog</t>
        </is>
      </c>
      <c r="G564" t="n">
        <v>6.7</v>
      </c>
      <c r="H564" t="n">
        <v>0</v>
      </c>
      <c r="I564" t="n">
        <v>0</v>
      </c>
      <c r="J564" t="n">
        <v>0</v>
      </c>
      <c r="K564" t="n">
        <v>0</v>
      </c>
      <c r="L564" t="n">
        <v>0</v>
      </c>
      <c r="M564" t="n">
        <v>0</v>
      </c>
      <c r="N564" t="n">
        <v>0</v>
      </c>
      <c r="O564" t="n">
        <v>0</v>
      </c>
      <c r="P564" t="n">
        <v>0</v>
      </c>
      <c r="Q564" t="n">
        <v>0</v>
      </c>
      <c r="R564" s="2" t="inlineStr"/>
    </row>
    <row r="565" ht="15" customHeight="1">
      <c r="A565" t="inlineStr">
        <is>
          <t>A 59052-2023</t>
        </is>
      </c>
      <c r="B565" s="1" t="n">
        <v>45252.78021990741</v>
      </c>
      <c r="C565" s="1" t="n">
        <v>46182</v>
      </c>
      <c r="D565" t="inlineStr">
        <is>
          <t>ÖREBRO LÄN</t>
        </is>
      </c>
      <c r="E565" t="inlineStr">
        <is>
          <t>LINDESBERG</t>
        </is>
      </c>
      <c r="G565" t="n">
        <v>4.2</v>
      </c>
      <c r="H565" t="n">
        <v>0</v>
      </c>
      <c r="I565" t="n">
        <v>0</v>
      </c>
      <c r="J565" t="n">
        <v>0</v>
      </c>
      <c r="K565" t="n">
        <v>0</v>
      </c>
      <c r="L565" t="n">
        <v>0</v>
      </c>
      <c r="M565" t="n">
        <v>0</v>
      </c>
      <c r="N565" t="n">
        <v>0</v>
      </c>
      <c r="O565" t="n">
        <v>0</v>
      </c>
      <c r="P565" t="n">
        <v>0</v>
      </c>
      <c r="Q565" t="n">
        <v>0</v>
      </c>
      <c r="R565" s="2" t="inlineStr"/>
    </row>
    <row r="566" ht="15" customHeight="1">
      <c r="A566" t="inlineStr">
        <is>
          <t>A 2107-2022</t>
        </is>
      </c>
      <c r="B566" s="1" t="n">
        <v>44577.83484953704</v>
      </c>
      <c r="C566" s="1" t="n">
        <v>46182</v>
      </c>
      <c r="D566" t="inlineStr">
        <is>
          <t>ÖREBRO LÄN</t>
        </is>
      </c>
      <c r="E566" t="inlineStr">
        <is>
          <t>LINDESBERG</t>
        </is>
      </c>
      <c r="G566" t="n">
        <v>2.9</v>
      </c>
      <c r="H566" t="n">
        <v>0</v>
      </c>
      <c r="I566" t="n">
        <v>0</v>
      </c>
      <c r="J566" t="n">
        <v>0</v>
      </c>
      <c r="K566" t="n">
        <v>0</v>
      </c>
      <c r="L566" t="n">
        <v>0</v>
      </c>
      <c r="M566" t="n">
        <v>0</v>
      </c>
      <c r="N566" t="n">
        <v>0</v>
      </c>
      <c r="O566" t="n">
        <v>0</v>
      </c>
      <c r="P566" t="n">
        <v>0</v>
      </c>
      <c r="Q566" t="n">
        <v>0</v>
      </c>
      <c r="R566" s="2" t="inlineStr"/>
    </row>
    <row r="567" ht="15" customHeight="1">
      <c r="A567" t="inlineStr">
        <is>
          <t>A 23607-2023</t>
        </is>
      </c>
      <c r="B567" s="1" t="n">
        <v>45077</v>
      </c>
      <c r="C567" s="1" t="n">
        <v>46182</v>
      </c>
      <c r="D567" t="inlineStr">
        <is>
          <t>ÖREBRO LÄN</t>
        </is>
      </c>
      <c r="E567" t="inlineStr">
        <is>
          <t>LINDESBERG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27130-2024</t>
        </is>
      </c>
      <c r="B568" s="1" t="n">
        <v>45471.52072916667</v>
      </c>
      <c r="C568" s="1" t="n">
        <v>46182</v>
      </c>
      <c r="D568" t="inlineStr">
        <is>
          <t>ÖREBRO LÄN</t>
        </is>
      </c>
      <c r="E568" t="inlineStr">
        <is>
          <t>LINDESBERG</t>
        </is>
      </c>
      <c r="G568" t="n">
        <v>2</v>
      </c>
      <c r="H568" t="n">
        <v>0</v>
      </c>
      <c r="I568" t="n">
        <v>0</v>
      </c>
      <c r="J568" t="n">
        <v>0</v>
      </c>
      <c r="K568" t="n">
        <v>0</v>
      </c>
      <c r="L568" t="n">
        <v>0</v>
      </c>
      <c r="M568" t="n">
        <v>0</v>
      </c>
      <c r="N568" t="n">
        <v>0</v>
      </c>
      <c r="O568" t="n">
        <v>0</v>
      </c>
      <c r="P568" t="n">
        <v>0</v>
      </c>
      <c r="Q568" t="n">
        <v>0</v>
      </c>
      <c r="R568" s="2" t="inlineStr"/>
    </row>
    <row r="569" ht="15" customHeight="1">
      <c r="A569" t="inlineStr">
        <is>
          <t>A 6161-2025</t>
        </is>
      </c>
      <c r="B569" s="1" t="n">
        <v>45698</v>
      </c>
      <c r="C569" s="1" t="n">
        <v>46182</v>
      </c>
      <c r="D569" t="inlineStr">
        <is>
          <t>ÖREBRO LÄN</t>
        </is>
      </c>
      <c r="E569" t="inlineStr">
        <is>
          <t>LINDESBERG</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6165-2025</t>
        </is>
      </c>
      <c r="B570" s="1" t="n">
        <v>45698</v>
      </c>
      <c r="C570" s="1" t="n">
        <v>46182</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44664-2023</t>
        </is>
      </c>
      <c r="B571" s="1" t="n">
        <v>45189</v>
      </c>
      <c r="C571" s="1" t="n">
        <v>46182</v>
      </c>
      <c r="D571" t="inlineStr">
        <is>
          <t>ÖREBRO LÄN</t>
        </is>
      </c>
      <c r="E571" t="inlineStr">
        <is>
          <t>LINDESBERG</t>
        </is>
      </c>
      <c r="G571" t="n">
        <v>2.1</v>
      </c>
      <c r="H571" t="n">
        <v>0</v>
      </c>
      <c r="I571" t="n">
        <v>0</v>
      </c>
      <c r="J571" t="n">
        <v>0</v>
      </c>
      <c r="K571" t="n">
        <v>0</v>
      </c>
      <c r="L571" t="n">
        <v>0</v>
      </c>
      <c r="M571" t="n">
        <v>0</v>
      </c>
      <c r="N571" t="n">
        <v>0</v>
      </c>
      <c r="O571" t="n">
        <v>0</v>
      </c>
      <c r="P571" t="n">
        <v>0</v>
      </c>
      <c r="Q571" t="n">
        <v>0</v>
      </c>
      <c r="R571" s="2" t="inlineStr"/>
    </row>
    <row r="572" ht="15" customHeight="1">
      <c r="A572" t="inlineStr">
        <is>
          <t>A 11366-2024</t>
        </is>
      </c>
      <c r="B572" s="1" t="n">
        <v>45372.40246527778</v>
      </c>
      <c r="C572" s="1" t="n">
        <v>46182</v>
      </c>
      <c r="D572" t="inlineStr">
        <is>
          <t>ÖREBRO LÄN</t>
        </is>
      </c>
      <c r="E572" t="inlineStr">
        <is>
          <t>LINDESBERG</t>
        </is>
      </c>
      <c r="G572" t="n">
        <v>4.4</v>
      </c>
      <c r="H572" t="n">
        <v>0</v>
      </c>
      <c r="I572" t="n">
        <v>0</v>
      </c>
      <c r="J572" t="n">
        <v>0</v>
      </c>
      <c r="K572" t="n">
        <v>0</v>
      </c>
      <c r="L572" t="n">
        <v>0</v>
      </c>
      <c r="M572" t="n">
        <v>0</v>
      </c>
      <c r="N572" t="n">
        <v>0</v>
      </c>
      <c r="O572" t="n">
        <v>0</v>
      </c>
      <c r="P572" t="n">
        <v>0</v>
      </c>
      <c r="Q572" t="n">
        <v>0</v>
      </c>
      <c r="R572" s="2" t="inlineStr"/>
    </row>
    <row r="573" ht="15" customHeight="1">
      <c r="A573" t="inlineStr">
        <is>
          <t>A 46219-2022</t>
        </is>
      </c>
      <c r="B573" s="1" t="n">
        <v>44846</v>
      </c>
      <c r="C573" s="1" t="n">
        <v>46182</v>
      </c>
      <c r="D573" t="inlineStr">
        <is>
          <t>ÖREBRO LÄN</t>
        </is>
      </c>
      <c r="E573" t="inlineStr">
        <is>
          <t>LINDESBERG</t>
        </is>
      </c>
      <c r="G573" t="n">
        <v>6</v>
      </c>
      <c r="H573" t="n">
        <v>0</v>
      </c>
      <c r="I573" t="n">
        <v>0</v>
      </c>
      <c r="J573" t="n">
        <v>0</v>
      </c>
      <c r="K573" t="n">
        <v>0</v>
      </c>
      <c r="L573" t="n">
        <v>0</v>
      </c>
      <c r="M573" t="n">
        <v>0</v>
      </c>
      <c r="N573" t="n">
        <v>0</v>
      </c>
      <c r="O573" t="n">
        <v>0</v>
      </c>
      <c r="P573" t="n">
        <v>0</v>
      </c>
      <c r="Q573" t="n">
        <v>0</v>
      </c>
      <c r="R573" s="2" t="inlineStr"/>
    </row>
    <row r="574" ht="15" customHeight="1">
      <c r="A574" t="inlineStr">
        <is>
          <t>A 24270-2023</t>
        </is>
      </c>
      <c r="B574" s="1" t="n">
        <v>45079</v>
      </c>
      <c r="C574" s="1" t="n">
        <v>46182</v>
      </c>
      <c r="D574" t="inlineStr">
        <is>
          <t>ÖREBRO LÄN</t>
        </is>
      </c>
      <c r="E574" t="inlineStr">
        <is>
          <t>LINDESBERG</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24271-2023</t>
        </is>
      </c>
      <c r="B575" s="1" t="n">
        <v>45079</v>
      </c>
      <c r="C575" s="1" t="n">
        <v>46182</v>
      </c>
      <c r="D575" t="inlineStr">
        <is>
          <t>ÖREBRO LÄN</t>
        </is>
      </c>
      <c r="E575" t="inlineStr">
        <is>
          <t>LINDESBERG</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25046-2024</t>
        </is>
      </c>
      <c r="B576" s="1" t="n">
        <v>45462</v>
      </c>
      <c r="C576" s="1" t="n">
        <v>46182</v>
      </c>
      <c r="D576" t="inlineStr">
        <is>
          <t>ÖREBRO LÄN</t>
        </is>
      </c>
      <c r="E576" t="inlineStr">
        <is>
          <t>LINDESBERG</t>
        </is>
      </c>
      <c r="G576" t="n">
        <v>4.1</v>
      </c>
      <c r="H576" t="n">
        <v>0</v>
      </c>
      <c r="I576" t="n">
        <v>0</v>
      </c>
      <c r="J576" t="n">
        <v>0</v>
      </c>
      <c r="K576" t="n">
        <v>0</v>
      </c>
      <c r="L576" t="n">
        <v>0</v>
      </c>
      <c r="M576" t="n">
        <v>0</v>
      </c>
      <c r="N576" t="n">
        <v>0</v>
      </c>
      <c r="O576" t="n">
        <v>0</v>
      </c>
      <c r="P576" t="n">
        <v>0</v>
      </c>
      <c r="Q576" t="n">
        <v>0</v>
      </c>
      <c r="R576" s="2" t="inlineStr"/>
    </row>
    <row r="577" ht="15" customHeight="1">
      <c r="A577" t="inlineStr">
        <is>
          <t>A 5358-2022</t>
        </is>
      </c>
      <c r="B577" s="1" t="n">
        <v>44594.84091435185</v>
      </c>
      <c r="C577" s="1" t="n">
        <v>46182</v>
      </c>
      <c r="D577" t="inlineStr">
        <is>
          <t>ÖREBRO LÄN</t>
        </is>
      </c>
      <c r="E577" t="inlineStr">
        <is>
          <t>LINDESBERG</t>
        </is>
      </c>
      <c r="G577" t="n">
        <v>2.8</v>
      </c>
      <c r="H577" t="n">
        <v>0</v>
      </c>
      <c r="I577" t="n">
        <v>0</v>
      </c>
      <c r="J577" t="n">
        <v>0</v>
      </c>
      <c r="K577" t="n">
        <v>0</v>
      </c>
      <c r="L577" t="n">
        <v>0</v>
      </c>
      <c r="M577" t="n">
        <v>0</v>
      </c>
      <c r="N577" t="n">
        <v>0</v>
      </c>
      <c r="O577" t="n">
        <v>0</v>
      </c>
      <c r="P577" t="n">
        <v>0</v>
      </c>
      <c r="Q577" t="n">
        <v>0</v>
      </c>
      <c r="R577" s="2" t="inlineStr"/>
    </row>
    <row r="578" ht="15" customHeight="1">
      <c r="A578" t="inlineStr">
        <is>
          <t>A 60943-2024</t>
        </is>
      </c>
      <c r="B578" s="1" t="n">
        <v>45645.3737962963</v>
      </c>
      <c r="C578" s="1" t="n">
        <v>46182</v>
      </c>
      <c r="D578" t="inlineStr">
        <is>
          <t>ÖREBRO LÄN</t>
        </is>
      </c>
      <c r="E578" t="inlineStr">
        <is>
          <t>LINDESBERG</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45038-2024</t>
        </is>
      </c>
      <c r="B579" s="1" t="n">
        <v>45575.53331018519</v>
      </c>
      <c r="C579" s="1" t="n">
        <v>46182</v>
      </c>
      <c r="D579" t="inlineStr">
        <is>
          <t>ÖREBRO LÄN</t>
        </is>
      </c>
      <c r="E579" t="inlineStr">
        <is>
          <t>LINDESBERG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41948-2023</t>
        </is>
      </c>
      <c r="B580" s="1" t="n">
        <v>45177.33091435185</v>
      </c>
      <c r="C580" s="1" t="n">
        <v>46182</v>
      </c>
      <c r="D580" t="inlineStr">
        <is>
          <t>ÖREBRO LÄN</t>
        </is>
      </c>
      <c r="E580" t="inlineStr">
        <is>
          <t>LINDESBERG</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60400-2025</t>
        </is>
      </c>
      <c r="B581" s="1" t="n">
        <v>45995</v>
      </c>
      <c r="C581" s="1" t="n">
        <v>46182</v>
      </c>
      <c r="D581" t="inlineStr">
        <is>
          <t>ÖREBRO LÄN</t>
        </is>
      </c>
      <c r="E581" t="inlineStr">
        <is>
          <t>LINDESBERG</t>
        </is>
      </c>
      <c r="G581" t="n">
        <v>11.2</v>
      </c>
      <c r="H581" t="n">
        <v>0</v>
      </c>
      <c r="I581" t="n">
        <v>0</v>
      </c>
      <c r="J581" t="n">
        <v>0</v>
      </c>
      <c r="K581" t="n">
        <v>0</v>
      </c>
      <c r="L581" t="n">
        <v>0</v>
      </c>
      <c r="M581" t="n">
        <v>0</v>
      </c>
      <c r="N581" t="n">
        <v>0</v>
      </c>
      <c r="O581" t="n">
        <v>0</v>
      </c>
      <c r="P581" t="n">
        <v>0</v>
      </c>
      <c r="Q581" t="n">
        <v>0</v>
      </c>
      <c r="R581" s="2" t="inlineStr"/>
    </row>
    <row r="582" ht="15" customHeight="1">
      <c r="A582" t="inlineStr">
        <is>
          <t>A 61597-2023</t>
        </is>
      </c>
      <c r="B582" s="1" t="n">
        <v>45265.49225694445</v>
      </c>
      <c r="C582" s="1" t="n">
        <v>46182</v>
      </c>
      <c r="D582" t="inlineStr">
        <is>
          <t>ÖREBRO LÄN</t>
        </is>
      </c>
      <c r="E582" t="inlineStr">
        <is>
          <t>LINDESBERG</t>
        </is>
      </c>
      <c r="G582" t="n">
        <v>10.3</v>
      </c>
      <c r="H582" t="n">
        <v>0</v>
      </c>
      <c r="I582" t="n">
        <v>0</v>
      </c>
      <c r="J582" t="n">
        <v>0</v>
      </c>
      <c r="K582" t="n">
        <v>0</v>
      </c>
      <c r="L582" t="n">
        <v>0</v>
      </c>
      <c r="M582" t="n">
        <v>0</v>
      </c>
      <c r="N582" t="n">
        <v>0</v>
      </c>
      <c r="O582" t="n">
        <v>0</v>
      </c>
      <c r="P582" t="n">
        <v>0</v>
      </c>
      <c r="Q582" t="n">
        <v>0</v>
      </c>
      <c r="R582" s="2" t="inlineStr"/>
    </row>
    <row r="583" ht="15" customHeight="1">
      <c r="A583" t="inlineStr">
        <is>
          <t>A 60450-2025</t>
        </is>
      </c>
      <c r="B583" s="1" t="n">
        <v>45995</v>
      </c>
      <c r="C583" s="1" t="n">
        <v>46182</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21468-2024</t>
        </is>
      </c>
      <c r="B584" s="1" t="n">
        <v>45441.48670138889</v>
      </c>
      <c r="C584" s="1" t="n">
        <v>46182</v>
      </c>
      <c r="D584" t="inlineStr">
        <is>
          <t>ÖREBRO LÄN</t>
        </is>
      </c>
      <c r="E584" t="inlineStr">
        <is>
          <t>LINDESBERG</t>
        </is>
      </c>
      <c r="G584" t="n">
        <v>1</v>
      </c>
      <c r="H584" t="n">
        <v>0</v>
      </c>
      <c r="I584" t="n">
        <v>0</v>
      </c>
      <c r="J584" t="n">
        <v>0</v>
      </c>
      <c r="K584" t="n">
        <v>0</v>
      </c>
      <c r="L584" t="n">
        <v>0</v>
      </c>
      <c r="M584" t="n">
        <v>0</v>
      </c>
      <c r="N584" t="n">
        <v>0</v>
      </c>
      <c r="O584" t="n">
        <v>0</v>
      </c>
      <c r="P584" t="n">
        <v>0</v>
      </c>
      <c r="Q584" t="n">
        <v>0</v>
      </c>
      <c r="R584" s="2" t="inlineStr"/>
    </row>
    <row r="585" ht="15" customHeight="1">
      <c r="A585" t="inlineStr">
        <is>
          <t>A 41582-2021</t>
        </is>
      </c>
      <c r="B585" s="1" t="n">
        <v>44425.40297453704</v>
      </c>
      <c r="C585" s="1" t="n">
        <v>46182</v>
      </c>
      <c r="D585" t="inlineStr">
        <is>
          <t>ÖREBRO LÄN</t>
        </is>
      </c>
      <c r="E585" t="inlineStr">
        <is>
          <t>LINDESBERG</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40038-2024</t>
        </is>
      </c>
      <c r="B586" s="1" t="n">
        <v>45553</v>
      </c>
      <c r="C586" s="1" t="n">
        <v>46182</v>
      </c>
      <c r="D586" t="inlineStr">
        <is>
          <t>ÖREBRO LÄN</t>
        </is>
      </c>
      <c r="E586" t="inlineStr">
        <is>
          <t>LINDESBERG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12276-2025</t>
        </is>
      </c>
      <c r="B587" s="1" t="n">
        <v>45729.65061342593</v>
      </c>
      <c r="C587" s="1" t="n">
        <v>46182</v>
      </c>
      <c r="D587" t="inlineStr">
        <is>
          <t>ÖREBRO LÄN</t>
        </is>
      </c>
      <c r="E587" t="inlineStr">
        <is>
          <t>LINDESBERG</t>
        </is>
      </c>
      <c r="G587" t="n">
        <v>7.6</v>
      </c>
      <c r="H587" t="n">
        <v>0</v>
      </c>
      <c r="I587" t="n">
        <v>0</v>
      </c>
      <c r="J587" t="n">
        <v>0</v>
      </c>
      <c r="K587" t="n">
        <v>0</v>
      </c>
      <c r="L587" t="n">
        <v>0</v>
      </c>
      <c r="M587" t="n">
        <v>0</v>
      </c>
      <c r="N587" t="n">
        <v>0</v>
      </c>
      <c r="O587" t="n">
        <v>0</v>
      </c>
      <c r="P587" t="n">
        <v>0</v>
      </c>
      <c r="Q587" t="n">
        <v>0</v>
      </c>
      <c r="R587" s="2" t="inlineStr"/>
    </row>
    <row r="588" ht="15" customHeight="1">
      <c r="A588" t="inlineStr">
        <is>
          <t>A 48265-2021</t>
        </is>
      </c>
      <c r="B588" s="1" t="n">
        <v>44449</v>
      </c>
      <c r="C588" s="1" t="n">
        <v>46182</v>
      </c>
      <c r="D588" t="inlineStr">
        <is>
          <t>ÖREBRO LÄN</t>
        </is>
      </c>
      <c r="E588" t="inlineStr">
        <is>
          <t>LINDESBERG</t>
        </is>
      </c>
      <c r="G588" t="n">
        <v>23.7</v>
      </c>
      <c r="H588" t="n">
        <v>0</v>
      </c>
      <c r="I588" t="n">
        <v>0</v>
      </c>
      <c r="J588" t="n">
        <v>0</v>
      </c>
      <c r="K588" t="n">
        <v>0</v>
      </c>
      <c r="L588" t="n">
        <v>0</v>
      </c>
      <c r="M588" t="n">
        <v>0</v>
      </c>
      <c r="N588" t="n">
        <v>0</v>
      </c>
      <c r="O588" t="n">
        <v>0</v>
      </c>
      <c r="P588" t="n">
        <v>0</v>
      </c>
      <c r="Q588" t="n">
        <v>0</v>
      </c>
      <c r="R588" s="2" t="inlineStr"/>
    </row>
    <row r="589" ht="15" customHeight="1">
      <c r="A589" t="inlineStr">
        <is>
          <t>A 67016-2021</t>
        </is>
      </c>
      <c r="B589" s="1" t="n">
        <v>44522</v>
      </c>
      <c r="C589" s="1" t="n">
        <v>46182</v>
      </c>
      <c r="D589" t="inlineStr">
        <is>
          <t>ÖREBRO LÄN</t>
        </is>
      </c>
      <c r="E589" t="inlineStr">
        <is>
          <t>LINDESBERG</t>
        </is>
      </c>
      <c r="G589" t="n">
        <v>8</v>
      </c>
      <c r="H589" t="n">
        <v>0</v>
      </c>
      <c r="I589" t="n">
        <v>0</v>
      </c>
      <c r="J589" t="n">
        <v>0</v>
      </c>
      <c r="K589" t="n">
        <v>0</v>
      </c>
      <c r="L589" t="n">
        <v>0</v>
      </c>
      <c r="M589" t="n">
        <v>0</v>
      </c>
      <c r="N589" t="n">
        <v>0</v>
      </c>
      <c r="O589" t="n">
        <v>0</v>
      </c>
      <c r="P589" t="n">
        <v>0</v>
      </c>
      <c r="Q589" t="n">
        <v>0</v>
      </c>
      <c r="R589" s="2" t="inlineStr"/>
    </row>
    <row r="590" ht="15" customHeight="1">
      <c r="A590" t="inlineStr">
        <is>
          <t>A 7026-2024</t>
        </is>
      </c>
      <c r="B590" s="1" t="n">
        <v>45343.58587962963</v>
      </c>
      <c r="C590" s="1" t="n">
        <v>46182</v>
      </c>
      <c r="D590" t="inlineStr">
        <is>
          <t>ÖREBRO LÄN</t>
        </is>
      </c>
      <c r="E590" t="inlineStr">
        <is>
          <t>LINDESBERG</t>
        </is>
      </c>
      <c r="G590" t="n">
        <v>2.4</v>
      </c>
      <c r="H590" t="n">
        <v>0</v>
      </c>
      <c r="I590" t="n">
        <v>0</v>
      </c>
      <c r="J590" t="n">
        <v>0</v>
      </c>
      <c r="K590" t="n">
        <v>0</v>
      </c>
      <c r="L590" t="n">
        <v>0</v>
      </c>
      <c r="M590" t="n">
        <v>0</v>
      </c>
      <c r="N590" t="n">
        <v>0</v>
      </c>
      <c r="O590" t="n">
        <v>0</v>
      </c>
      <c r="P590" t="n">
        <v>0</v>
      </c>
      <c r="Q590" t="n">
        <v>0</v>
      </c>
      <c r="R590" s="2" t="inlineStr"/>
    </row>
    <row r="591" ht="15" customHeight="1">
      <c r="A591" t="inlineStr">
        <is>
          <t>A 14028-2023</t>
        </is>
      </c>
      <c r="B591" s="1" t="n">
        <v>45008</v>
      </c>
      <c r="C591" s="1" t="n">
        <v>46182</v>
      </c>
      <c r="D591" t="inlineStr">
        <is>
          <t>ÖREBRO LÄN</t>
        </is>
      </c>
      <c r="E591" t="inlineStr">
        <is>
          <t>LINDESBERG</t>
        </is>
      </c>
      <c r="F591" t="inlineStr">
        <is>
          <t>Kyrkan</t>
        </is>
      </c>
      <c r="G591" t="n">
        <v>1.1</v>
      </c>
      <c r="H591" t="n">
        <v>0</v>
      </c>
      <c r="I591" t="n">
        <v>0</v>
      </c>
      <c r="J591" t="n">
        <v>0</v>
      </c>
      <c r="K591" t="n">
        <v>0</v>
      </c>
      <c r="L591" t="n">
        <v>0</v>
      </c>
      <c r="M591" t="n">
        <v>0</v>
      </c>
      <c r="N591" t="n">
        <v>0</v>
      </c>
      <c r="O591" t="n">
        <v>0</v>
      </c>
      <c r="P591" t="n">
        <v>0</v>
      </c>
      <c r="Q591" t="n">
        <v>0</v>
      </c>
      <c r="R591" s="2" t="inlineStr"/>
    </row>
    <row r="592" ht="15" customHeight="1">
      <c r="A592" t="inlineStr">
        <is>
          <t>A 4013-2025</t>
        </is>
      </c>
      <c r="B592" s="1" t="n">
        <v>45684.5790162037</v>
      </c>
      <c r="C592" s="1" t="n">
        <v>46182</v>
      </c>
      <c r="D592" t="inlineStr">
        <is>
          <t>ÖREBRO LÄN</t>
        </is>
      </c>
      <c r="E592" t="inlineStr">
        <is>
          <t>LINDESBERG</t>
        </is>
      </c>
      <c r="G592" t="n">
        <v>0.9</v>
      </c>
      <c r="H592" t="n">
        <v>0</v>
      </c>
      <c r="I592" t="n">
        <v>0</v>
      </c>
      <c r="J592" t="n">
        <v>0</v>
      </c>
      <c r="K592" t="n">
        <v>0</v>
      </c>
      <c r="L592" t="n">
        <v>0</v>
      </c>
      <c r="M592" t="n">
        <v>0</v>
      </c>
      <c r="N592" t="n">
        <v>0</v>
      </c>
      <c r="O592" t="n">
        <v>0</v>
      </c>
      <c r="P592" t="n">
        <v>0</v>
      </c>
      <c r="Q592" t="n">
        <v>0</v>
      </c>
      <c r="R592" s="2" t="inlineStr"/>
    </row>
    <row r="593" ht="15" customHeight="1">
      <c r="A593" t="inlineStr">
        <is>
          <t>A 31024-2023</t>
        </is>
      </c>
      <c r="B593" s="1" t="n">
        <v>45113</v>
      </c>
      <c r="C593" s="1" t="n">
        <v>46182</v>
      </c>
      <c r="D593" t="inlineStr">
        <is>
          <t>ÖREBRO LÄN</t>
        </is>
      </c>
      <c r="E593" t="inlineStr">
        <is>
          <t>LINDESBERG</t>
        </is>
      </c>
      <c r="G593" t="n">
        <v>5.1</v>
      </c>
      <c r="H593" t="n">
        <v>0</v>
      </c>
      <c r="I593" t="n">
        <v>0</v>
      </c>
      <c r="J593" t="n">
        <v>0</v>
      </c>
      <c r="K593" t="n">
        <v>0</v>
      </c>
      <c r="L593" t="n">
        <v>0</v>
      </c>
      <c r="M593" t="n">
        <v>0</v>
      </c>
      <c r="N593" t="n">
        <v>0</v>
      </c>
      <c r="O593" t="n">
        <v>0</v>
      </c>
      <c r="P593" t="n">
        <v>0</v>
      </c>
      <c r="Q593" t="n">
        <v>0</v>
      </c>
      <c r="R593" s="2" t="inlineStr"/>
    </row>
    <row r="594" ht="15" customHeight="1">
      <c r="A594" t="inlineStr">
        <is>
          <t>A 33978-2023</t>
        </is>
      </c>
      <c r="B594" s="1" t="n">
        <v>45134.68158564815</v>
      </c>
      <c r="C594" s="1" t="n">
        <v>46182</v>
      </c>
      <c r="D594" t="inlineStr">
        <is>
          <t>ÖREBRO LÄN</t>
        </is>
      </c>
      <c r="E594" t="inlineStr">
        <is>
          <t>LINDESBERG</t>
        </is>
      </c>
      <c r="G594" t="n">
        <v>4.1</v>
      </c>
      <c r="H594" t="n">
        <v>0</v>
      </c>
      <c r="I594" t="n">
        <v>0</v>
      </c>
      <c r="J594" t="n">
        <v>0</v>
      </c>
      <c r="K594" t="n">
        <v>0</v>
      </c>
      <c r="L594" t="n">
        <v>0</v>
      </c>
      <c r="M594" t="n">
        <v>0</v>
      </c>
      <c r="N594" t="n">
        <v>0</v>
      </c>
      <c r="O594" t="n">
        <v>0</v>
      </c>
      <c r="P594" t="n">
        <v>0</v>
      </c>
      <c r="Q594" t="n">
        <v>0</v>
      </c>
      <c r="R594" s="2" t="inlineStr"/>
    </row>
    <row r="595" ht="15" customHeight="1">
      <c r="A595" t="inlineStr">
        <is>
          <t>A 55272-2023</t>
        </is>
      </c>
      <c r="B595" s="1" t="n">
        <v>45237.67819444444</v>
      </c>
      <c r="C595" s="1" t="n">
        <v>46182</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12307-2025</t>
        </is>
      </c>
      <c r="B596" s="1" t="n">
        <v>45729.76231481481</v>
      </c>
      <c r="C596" s="1" t="n">
        <v>46182</v>
      </c>
      <c r="D596" t="inlineStr">
        <is>
          <t>ÖREBRO LÄN</t>
        </is>
      </c>
      <c r="E596" t="inlineStr">
        <is>
          <t>LINDESBERG</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61761-2025</t>
        </is>
      </c>
      <c r="B597" s="1" t="n">
        <v>46002.62465277778</v>
      </c>
      <c r="C597" s="1" t="n">
        <v>46182</v>
      </c>
      <c r="D597" t="inlineStr">
        <is>
          <t>ÖREBRO LÄN</t>
        </is>
      </c>
      <c r="E597" t="inlineStr">
        <is>
          <t>LINDESBERG</t>
        </is>
      </c>
      <c r="G597" t="n">
        <v>3.8</v>
      </c>
      <c r="H597" t="n">
        <v>0</v>
      </c>
      <c r="I597" t="n">
        <v>0</v>
      </c>
      <c r="J597" t="n">
        <v>0</v>
      </c>
      <c r="K597" t="n">
        <v>0</v>
      </c>
      <c r="L597" t="n">
        <v>0</v>
      </c>
      <c r="M597" t="n">
        <v>0</v>
      </c>
      <c r="N597" t="n">
        <v>0</v>
      </c>
      <c r="O597" t="n">
        <v>0</v>
      </c>
      <c r="P597" t="n">
        <v>0</v>
      </c>
      <c r="Q597" t="n">
        <v>0</v>
      </c>
      <c r="R597" s="2" t="inlineStr"/>
    </row>
    <row r="598" ht="15" customHeight="1">
      <c r="A598" t="inlineStr">
        <is>
          <t>A 61745-2025</t>
        </is>
      </c>
      <c r="B598" s="1" t="n">
        <v>46002.60324074074</v>
      </c>
      <c r="C598" s="1" t="n">
        <v>46182</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61758-2025</t>
        </is>
      </c>
      <c r="B599" s="1" t="n">
        <v>46002.61762731482</v>
      </c>
      <c r="C599" s="1" t="n">
        <v>46182</v>
      </c>
      <c r="D599" t="inlineStr">
        <is>
          <t>ÖREBRO LÄN</t>
        </is>
      </c>
      <c r="E599" t="inlineStr">
        <is>
          <t>LINDESBERG</t>
        </is>
      </c>
      <c r="G599" t="n">
        <v>1.8</v>
      </c>
      <c r="H599" t="n">
        <v>0</v>
      </c>
      <c r="I599" t="n">
        <v>0</v>
      </c>
      <c r="J599" t="n">
        <v>0</v>
      </c>
      <c r="K599" t="n">
        <v>0</v>
      </c>
      <c r="L599" t="n">
        <v>0</v>
      </c>
      <c r="M599" t="n">
        <v>0</v>
      </c>
      <c r="N599" t="n">
        <v>0</v>
      </c>
      <c r="O599" t="n">
        <v>0</v>
      </c>
      <c r="P599" t="n">
        <v>0</v>
      </c>
      <c r="Q599" t="n">
        <v>0</v>
      </c>
      <c r="R599" s="2" t="inlineStr"/>
    </row>
    <row r="600" ht="15" customHeight="1">
      <c r="A600" t="inlineStr">
        <is>
          <t>A 58050-2025</t>
        </is>
      </c>
      <c r="B600" s="1" t="n">
        <v>45982</v>
      </c>
      <c r="C600" s="1" t="n">
        <v>46182</v>
      </c>
      <c r="D600" t="inlineStr">
        <is>
          <t>ÖREBRO LÄN</t>
        </is>
      </c>
      <c r="E600" t="inlineStr">
        <is>
          <t>LINDESBERG</t>
        </is>
      </c>
      <c r="G600" t="n">
        <v>0.6</v>
      </c>
      <c r="H600" t="n">
        <v>0</v>
      </c>
      <c r="I600" t="n">
        <v>0</v>
      </c>
      <c r="J600" t="n">
        <v>0</v>
      </c>
      <c r="K600" t="n">
        <v>0</v>
      </c>
      <c r="L600" t="n">
        <v>0</v>
      </c>
      <c r="M600" t="n">
        <v>0</v>
      </c>
      <c r="N600" t="n">
        <v>0</v>
      </c>
      <c r="O600" t="n">
        <v>0</v>
      </c>
      <c r="P600" t="n">
        <v>0</v>
      </c>
      <c r="Q600" t="n">
        <v>0</v>
      </c>
      <c r="R600" s="2" t="inlineStr"/>
    </row>
    <row r="601" ht="15" customHeight="1">
      <c r="A601" t="inlineStr">
        <is>
          <t>A 58056-2025</t>
        </is>
      </c>
      <c r="B601" s="1" t="n">
        <v>45982</v>
      </c>
      <c r="C601" s="1" t="n">
        <v>46182</v>
      </c>
      <c r="D601" t="inlineStr">
        <is>
          <t>ÖREBRO LÄN</t>
        </is>
      </c>
      <c r="E601" t="inlineStr">
        <is>
          <t>LINDESBERG</t>
        </is>
      </c>
      <c r="G601" t="n">
        <v>0.9</v>
      </c>
      <c r="H601" t="n">
        <v>0</v>
      </c>
      <c r="I601" t="n">
        <v>0</v>
      </c>
      <c r="J601" t="n">
        <v>0</v>
      </c>
      <c r="K601" t="n">
        <v>0</v>
      </c>
      <c r="L601" t="n">
        <v>0</v>
      </c>
      <c r="M601" t="n">
        <v>0</v>
      </c>
      <c r="N601" t="n">
        <v>0</v>
      </c>
      <c r="O601" t="n">
        <v>0</v>
      </c>
      <c r="P601" t="n">
        <v>0</v>
      </c>
      <c r="Q601" t="n">
        <v>0</v>
      </c>
      <c r="R601" s="2" t="inlineStr"/>
    </row>
    <row r="602" ht="15" customHeight="1">
      <c r="A602" t="inlineStr">
        <is>
          <t>A 8834-2023</t>
        </is>
      </c>
      <c r="B602" s="1" t="n">
        <v>44978</v>
      </c>
      <c r="C602" s="1" t="n">
        <v>46182</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51071-2022</t>
        </is>
      </c>
      <c r="B603" s="1" t="n">
        <v>44868.36924768519</v>
      </c>
      <c r="C603" s="1" t="n">
        <v>46182</v>
      </c>
      <c r="D603" t="inlineStr">
        <is>
          <t>ÖREBRO LÄN</t>
        </is>
      </c>
      <c r="E603" t="inlineStr">
        <is>
          <t>LINDESBERG</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27052-2023</t>
        </is>
      </c>
      <c r="B604" s="1" t="n">
        <v>45095</v>
      </c>
      <c r="C604" s="1" t="n">
        <v>46182</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12053-2024</t>
        </is>
      </c>
      <c r="B605" s="1" t="n">
        <v>45377.48265046296</v>
      </c>
      <c r="C605" s="1" t="n">
        <v>46182</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60926-2024</t>
        </is>
      </c>
      <c r="B606" s="1" t="n">
        <v>45645</v>
      </c>
      <c r="C606" s="1" t="n">
        <v>46182</v>
      </c>
      <c r="D606" t="inlineStr">
        <is>
          <t>ÖREBRO LÄN</t>
        </is>
      </c>
      <c r="E606" t="inlineStr">
        <is>
          <t>LINDESBERG</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35229-2024</t>
        </is>
      </c>
      <c r="B607" s="1" t="n">
        <v>45530</v>
      </c>
      <c r="C607" s="1" t="n">
        <v>46182</v>
      </c>
      <c r="D607" t="inlineStr">
        <is>
          <t>ÖREBRO LÄN</t>
        </is>
      </c>
      <c r="E607" t="inlineStr">
        <is>
          <t>LINDESBERG</t>
        </is>
      </c>
      <c r="G607" t="n">
        <v>0.8</v>
      </c>
      <c r="H607" t="n">
        <v>0</v>
      </c>
      <c r="I607" t="n">
        <v>0</v>
      </c>
      <c r="J607" t="n">
        <v>0</v>
      </c>
      <c r="K607" t="n">
        <v>0</v>
      </c>
      <c r="L607" t="n">
        <v>0</v>
      </c>
      <c r="M607" t="n">
        <v>0</v>
      </c>
      <c r="N607" t="n">
        <v>0</v>
      </c>
      <c r="O607" t="n">
        <v>0</v>
      </c>
      <c r="P607" t="n">
        <v>0</v>
      </c>
      <c r="Q607" t="n">
        <v>0</v>
      </c>
      <c r="R607" s="2" t="inlineStr"/>
    </row>
    <row r="608" ht="15" customHeight="1">
      <c r="A608" t="inlineStr">
        <is>
          <t>A 626-2025</t>
        </is>
      </c>
      <c r="B608" s="1" t="n">
        <v>45664</v>
      </c>
      <c r="C608" s="1" t="n">
        <v>46182</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10822-2023</t>
        </is>
      </c>
      <c r="B609" s="1" t="n">
        <v>44990</v>
      </c>
      <c r="C609" s="1" t="n">
        <v>46182</v>
      </c>
      <c r="D609" t="inlineStr">
        <is>
          <t>ÖREBRO LÄN</t>
        </is>
      </c>
      <c r="E609" t="inlineStr">
        <is>
          <t>LINDESBERG</t>
        </is>
      </c>
      <c r="G609" t="n">
        <v>1.3</v>
      </c>
      <c r="H609" t="n">
        <v>0</v>
      </c>
      <c r="I609" t="n">
        <v>0</v>
      </c>
      <c r="J609" t="n">
        <v>0</v>
      </c>
      <c r="K609" t="n">
        <v>0</v>
      </c>
      <c r="L609" t="n">
        <v>0</v>
      </c>
      <c r="M609" t="n">
        <v>0</v>
      </c>
      <c r="N609" t="n">
        <v>0</v>
      </c>
      <c r="O609" t="n">
        <v>0</v>
      </c>
      <c r="P609" t="n">
        <v>0</v>
      </c>
      <c r="Q609" t="n">
        <v>0</v>
      </c>
      <c r="R609" s="2" t="inlineStr"/>
    </row>
    <row r="610" ht="15" customHeight="1">
      <c r="A610" t="inlineStr">
        <is>
          <t>A 20387-2026</t>
        </is>
      </c>
      <c r="B610" s="1" t="n">
        <v>46139.71047453704</v>
      </c>
      <c r="C610" s="1" t="n">
        <v>46182</v>
      </c>
      <c r="D610" t="inlineStr">
        <is>
          <t>ÖREBRO LÄN</t>
        </is>
      </c>
      <c r="E610" t="inlineStr">
        <is>
          <t>LINDESBERG</t>
        </is>
      </c>
      <c r="G610" t="n">
        <v>1.2</v>
      </c>
      <c r="H610" t="n">
        <v>0</v>
      </c>
      <c r="I610" t="n">
        <v>0</v>
      </c>
      <c r="J610" t="n">
        <v>0</v>
      </c>
      <c r="K610" t="n">
        <v>0</v>
      </c>
      <c r="L610" t="n">
        <v>0</v>
      </c>
      <c r="M610" t="n">
        <v>0</v>
      </c>
      <c r="N610" t="n">
        <v>0</v>
      </c>
      <c r="O610" t="n">
        <v>0</v>
      </c>
      <c r="P610" t="n">
        <v>0</v>
      </c>
      <c r="Q610" t="n">
        <v>0</v>
      </c>
      <c r="R610" s="2" t="inlineStr"/>
    </row>
    <row r="611" ht="15" customHeight="1">
      <c r="A611" t="inlineStr">
        <is>
          <t>A 3233-2023</t>
        </is>
      </c>
      <c r="B611" s="1" t="n">
        <v>44946</v>
      </c>
      <c r="C611" s="1" t="n">
        <v>46182</v>
      </c>
      <c r="D611" t="inlineStr">
        <is>
          <t>ÖREBRO LÄN</t>
        </is>
      </c>
      <c r="E611" t="inlineStr">
        <is>
          <t>LINDESBERG</t>
        </is>
      </c>
      <c r="G611" t="n">
        <v>3</v>
      </c>
      <c r="H611" t="n">
        <v>0</v>
      </c>
      <c r="I611" t="n">
        <v>0</v>
      </c>
      <c r="J611" t="n">
        <v>0</v>
      </c>
      <c r="K611" t="n">
        <v>0</v>
      </c>
      <c r="L611" t="n">
        <v>0</v>
      </c>
      <c r="M611" t="n">
        <v>0</v>
      </c>
      <c r="N611" t="n">
        <v>0</v>
      </c>
      <c r="O611" t="n">
        <v>0</v>
      </c>
      <c r="P611" t="n">
        <v>0</v>
      </c>
      <c r="Q611" t="n">
        <v>0</v>
      </c>
      <c r="R611" s="2" t="inlineStr"/>
    </row>
    <row r="612" ht="15" customHeight="1">
      <c r="A612" t="inlineStr">
        <is>
          <t>A 63686-2023</t>
        </is>
      </c>
      <c r="B612" s="1" t="n">
        <v>45274</v>
      </c>
      <c r="C612" s="1" t="n">
        <v>46182</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15325-2024</t>
        </is>
      </c>
      <c r="B613" s="1" t="n">
        <v>45400.6709837963</v>
      </c>
      <c r="C613" s="1" t="n">
        <v>46182</v>
      </c>
      <c r="D613" t="inlineStr">
        <is>
          <t>ÖREBRO LÄN</t>
        </is>
      </c>
      <c r="E613" t="inlineStr">
        <is>
          <t>LINDESBERG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40970-2023</t>
        </is>
      </c>
      <c r="B614" s="1" t="n">
        <v>45173</v>
      </c>
      <c r="C614" s="1" t="n">
        <v>46182</v>
      </c>
      <c r="D614" t="inlineStr">
        <is>
          <t>ÖREBRO LÄN</t>
        </is>
      </c>
      <c r="E614" t="inlineStr">
        <is>
          <t>LINDESBERG</t>
        </is>
      </c>
      <c r="G614" t="n">
        <v>2.1</v>
      </c>
      <c r="H614" t="n">
        <v>0</v>
      </c>
      <c r="I614" t="n">
        <v>0</v>
      </c>
      <c r="J614" t="n">
        <v>0</v>
      </c>
      <c r="K614" t="n">
        <v>0</v>
      </c>
      <c r="L614" t="n">
        <v>0</v>
      </c>
      <c r="M614" t="n">
        <v>0</v>
      </c>
      <c r="N614" t="n">
        <v>0</v>
      </c>
      <c r="O614" t="n">
        <v>0</v>
      </c>
      <c r="P614" t="n">
        <v>0</v>
      </c>
      <c r="Q614" t="n">
        <v>0</v>
      </c>
      <c r="R614" s="2" t="inlineStr"/>
    </row>
    <row r="615" ht="15" customHeight="1">
      <c r="A615" t="inlineStr">
        <is>
          <t>A 64365-2023</t>
        </is>
      </c>
      <c r="B615" s="1" t="n">
        <v>45280</v>
      </c>
      <c r="C615" s="1" t="n">
        <v>46182</v>
      </c>
      <c r="D615" t="inlineStr">
        <is>
          <t>ÖREBRO LÄN</t>
        </is>
      </c>
      <c r="E615" t="inlineStr">
        <is>
          <t>LINDESBERG</t>
        </is>
      </c>
      <c r="F615" t="inlineStr">
        <is>
          <t>Kyrkan</t>
        </is>
      </c>
      <c r="G615" t="n">
        <v>1.4</v>
      </c>
      <c r="H615" t="n">
        <v>0</v>
      </c>
      <c r="I615" t="n">
        <v>0</v>
      </c>
      <c r="J615" t="n">
        <v>0</v>
      </c>
      <c r="K615" t="n">
        <v>0</v>
      </c>
      <c r="L615" t="n">
        <v>0</v>
      </c>
      <c r="M615" t="n">
        <v>0</v>
      </c>
      <c r="N615" t="n">
        <v>0</v>
      </c>
      <c r="O615" t="n">
        <v>0</v>
      </c>
      <c r="P615" t="n">
        <v>0</v>
      </c>
      <c r="Q615" t="n">
        <v>0</v>
      </c>
      <c r="R615" s="2" t="inlineStr"/>
    </row>
    <row r="616" ht="15" customHeight="1">
      <c r="A616" t="inlineStr">
        <is>
          <t>A 63083-2025</t>
        </is>
      </c>
      <c r="B616" s="1" t="n">
        <v>46009.67175925926</v>
      </c>
      <c r="C616" s="1" t="n">
        <v>46182</v>
      </c>
      <c r="D616" t="inlineStr">
        <is>
          <t>ÖREBRO LÄN</t>
        </is>
      </c>
      <c r="E616" t="inlineStr">
        <is>
          <t>LINDESBERG</t>
        </is>
      </c>
      <c r="G616" t="n">
        <v>0.7</v>
      </c>
      <c r="H616" t="n">
        <v>0</v>
      </c>
      <c r="I616" t="n">
        <v>0</v>
      </c>
      <c r="J616" t="n">
        <v>0</v>
      </c>
      <c r="K616" t="n">
        <v>0</v>
      </c>
      <c r="L616" t="n">
        <v>0</v>
      </c>
      <c r="M616" t="n">
        <v>0</v>
      </c>
      <c r="N616" t="n">
        <v>0</v>
      </c>
      <c r="O616" t="n">
        <v>0</v>
      </c>
      <c r="P616" t="n">
        <v>0</v>
      </c>
      <c r="Q616" t="n">
        <v>0</v>
      </c>
      <c r="R616" s="2" t="inlineStr"/>
    </row>
    <row r="617" ht="15" customHeight="1">
      <c r="A617" t="inlineStr">
        <is>
          <t>A 58662-2022</t>
        </is>
      </c>
      <c r="B617" s="1" t="n">
        <v>44902</v>
      </c>
      <c r="C617" s="1" t="n">
        <v>46182</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63526-2025</t>
        </is>
      </c>
      <c r="B618" s="1" t="n">
        <v>46013</v>
      </c>
      <c r="C618" s="1" t="n">
        <v>46182</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20970-2026</t>
        </is>
      </c>
      <c r="B619" s="1" t="n">
        <v>46142.56342592592</v>
      </c>
      <c r="C619" s="1" t="n">
        <v>46182</v>
      </c>
      <c r="D619" t="inlineStr">
        <is>
          <t>ÖREBRO LÄN</t>
        </is>
      </c>
      <c r="E619" t="inlineStr">
        <is>
          <t>LINDESBERG</t>
        </is>
      </c>
      <c r="F619" t="inlineStr">
        <is>
          <t>Naturvårdsverket</t>
        </is>
      </c>
      <c r="G619" t="n">
        <v>5</v>
      </c>
      <c r="H619" t="n">
        <v>0</v>
      </c>
      <c r="I619" t="n">
        <v>0</v>
      </c>
      <c r="J619" t="n">
        <v>0</v>
      </c>
      <c r="K619" t="n">
        <v>0</v>
      </c>
      <c r="L619" t="n">
        <v>0</v>
      </c>
      <c r="M619" t="n">
        <v>0</v>
      </c>
      <c r="N619" t="n">
        <v>0</v>
      </c>
      <c r="O619" t="n">
        <v>0</v>
      </c>
      <c r="P619" t="n">
        <v>0</v>
      </c>
      <c r="Q619" t="n">
        <v>0</v>
      </c>
      <c r="R619" s="2" t="inlineStr"/>
    </row>
    <row r="620" ht="15" customHeight="1">
      <c r="A620" t="inlineStr">
        <is>
          <t>A 14034-2026</t>
        </is>
      </c>
      <c r="B620" s="1" t="n">
        <v>46098.79559027778</v>
      </c>
      <c r="C620" s="1" t="n">
        <v>46182</v>
      </c>
      <c r="D620" t="inlineStr">
        <is>
          <t>ÖREBRO LÄN</t>
        </is>
      </c>
      <c r="E620" t="inlineStr">
        <is>
          <t>LINDESBERG</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56217-2022</t>
        </is>
      </c>
      <c r="B621" s="1" t="n">
        <v>44890.46174768519</v>
      </c>
      <c r="C621" s="1" t="n">
        <v>46182</v>
      </c>
      <c r="D621" t="inlineStr">
        <is>
          <t>ÖREBRO LÄN</t>
        </is>
      </c>
      <c r="E621" t="inlineStr">
        <is>
          <t>LINDESBERG</t>
        </is>
      </c>
      <c r="G621" t="n">
        <v>6.9</v>
      </c>
      <c r="H621" t="n">
        <v>0</v>
      </c>
      <c r="I621" t="n">
        <v>0</v>
      </c>
      <c r="J621" t="n">
        <v>0</v>
      </c>
      <c r="K621" t="n">
        <v>0</v>
      </c>
      <c r="L621" t="n">
        <v>0</v>
      </c>
      <c r="M621" t="n">
        <v>0</v>
      </c>
      <c r="N621" t="n">
        <v>0</v>
      </c>
      <c r="O621" t="n">
        <v>0</v>
      </c>
      <c r="P621" t="n">
        <v>0</v>
      </c>
      <c r="Q621" t="n">
        <v>0</v>
      </c>
      <c r="R621" s="2" t="inlineStr"/>
    </row>
    <row r="622" ht="15" customHeight="1">
      <c r="A622" t="inlineStr">
        <is>
          <t>A 5550-2024</t>
        </is>
      </c>
      <c r="B622" s="1" t="n">
        <v>45334</v>
      </c>
      <c r="C622" s="1" t="n">
        <v>46182</v>
      </c>
      <c r="D622" t="inlineStr">
        <is>
          <t>ÖREBRO LÄN</t>
        </is>
      </c>
      <c r="E622" t="inlineStr">
        <is>
          <t>LINDESBERG</t>
        </is>
      </c>
      <c r="G622" t="n">
        <v>0.6</v>
      </c>
      <c r="H622" t="n">
        <v>0</v>
      </c>
      <c r="I622" t="n">
        <v>0</v>
      </c>
      <c r="J622" t="n">
        <v>0</v>
      </c>
      <c r="K622" t="n">
        <v>0</v>
      </c>
      <c r="L622" t="n">
        <v>0</v>
      </c>
      <c r="M622" t="n">
        <v>0</v>
      </c>
      <c r="N622" t="n">
        <v>0</v>
      </c>
      <c r="O622" t="n">
        <v>0</v>
      </c>
      <c r="P622" t="n">
        <v>0</v>
      </c>
      <c r="Q622" t="n">
        <v>0</v>
      </c>
      <c r="R622" s="2" t="inlineStr"/>
    </row>
    <row r="623" ht="15" customHeight="1">
      <c r="A623" t="inlineStr">
        <is>
          <t>A 32829-2024</t>
        </is>
      </c>
      <c r="B623" s="1" t="n">
        <v>45516.59447916667</v>
      </c>
      <c r="C623" s="1" t="n">
        <v>46182</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20971-2026</t>
        </is>
      </c>
      <c r="B624" s="1" t="n">
        <v>46142.56399305556</v>
      </c>
      <c r="C624" s="1" t="n">
        <v>46182</v>
      </c>
      <c r="D624" t="inlineStr">
        <is>
          <t>ÖREBRO LÄN</t>
        </is>
      </c>
      <c r="E624" t="inlineStr">
        <is>
          <t>LINDESBERG</t>
        </is>
      </c>
      <c r="F624" t="inlineStr">
        <is>
          <t>Naturvårdsverket</t>
        </is>
      </c>
      <c r="G624" t="n">
        <v>4.5</v>
      </c>
      <c r="H624" t="n">
        <v>0</v>
      </c>
      <c r="I624" t="n">
        <v>0</v>
      </c>
      <c r="J624" t="n">
        <v>0</v>
      </c>
      <c r="K624" t="n">
        <v>0</v>
      </c>
      <c r="L624" t="n">
        <v>0</v>
      </c>
      <c r="M624" t="n">
        <v>0</v>
      </c>
      <c r="N624" t="n">
        <v>0</v>
      </c>
      <c r="O624" t="n">
        <v>0</v>
      </c>
      <c r="P624" t="n">
        <v>0</v>
      </c>
      <c r="Q624" t="n">
        <v>0</v>
      </c>
      <c r="R624" s="2" t="inlineStr"/>
    </row>
    <row r="625" ht="15" customHeight="1">
      <c r="A625" t="inlineStr">
        <is>
          <t>A 28031-2023</t>
        </is>
      </c>
      <c r="B625" s="1" t="n">
        <v>45099.27354166667</v>
      </c>
      <c r="C625" s="1" t="n">
        <v>46182</v>
      </c>
      <c r="D625" t="inlineStr">
        <is>
          <t>ÖREBRO LÄN</t>
        </is>
      </c>
      <c r="E625" t="inlineStr">
        <is>
          <t>LINDESBERG</t>
        </is>
      </c>
      <c r="F625" t="inlineStr">
        <is>
          <t>Kyrkan</t>
        </is>
      </c>
      <c r="G625" t="n">
        <v>1.2</v>
      </c>
      <c r="H625" t="n">
        <v>0</v>
      </c>
      <c r="I625" t="n">
        <v>0</v>
      </c>
      <c r="J625" t="n">
        <v>0</v>
      </c>
      <c r="K625" t="n">
        <v>0</v>
      </c>
      <c r="L625" t="n">
        <v>0</v>
      </c>
      <c r="M625" t="n">
        <v>0</v>
      </c>
      <c r="N625" t="n">
        <v>0</v>
      </c>
      <c r="O625" t="n">
        <v>0</v>
      </c>
      <c r="P625" t="n">
        <v>0</v>
      </c>
      <c r="Q625" t="n">
        <v>0</v>
      </c>
      <c r="R625" s="2" t="inlineStr"/>
    </row>
    <row r="626" ht="15" customHeight="1">
      <c r="A626" t="inlineStr">
        <is>
          <t>A 4310-2025</t>
        </is>
      </c>
      <c r="B626" s="1" t="n">
        <v>45685</v>
      </c>
      <c r="C626" s="1" t="n">
        <v>46182</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29350-2022</t>
        </is>
      </c>
      <c r="B627" s="1" t="n">
        <v>44753</v>
      </c>
      <c r="C627" s="1" t="n">
        <v>46182</v>
      </c>
      <c r="D627" t="inlineStr">
        <is>
          <t>ÖREBRO LÄN</t>
        </is>
      </c>
      <c r="E627" t="inlineStr">
        <is>
          <t>LINDESBERG</t>
        </is>
      </c>
      <c r="G627" t="n">
        <v>7.7</v>
      </c>
      <c r="H627" t="n">
        <v>0</v>
      </c>
      <c r="I627" t="n">
        <v>0</v>
      </c>
      <c r="J627" t="n">
        <v>0</v>
      </c>
      <c r="K627" t="n">
        <v>0</v>
      </c>
      <c r="L627" t="n">
        <v>0</v>
      </c>
      <c r="M627" t="n">
        <v>0</v>
      </c>
      <c r="N627" t="n">
        <v>0</v>
      </c>
      <c r="O627" t="n">
        <v>0</v>
      </c>
      <c r="P627" t="n">
        <v>0</v>
      </c>
      <c r="Q627" t="n">
        <v>0</v>
      </c>
      <c r="R627" s="2" t="inlineStr"/>
    </row>
    <row r="628" ht="15" customHeight="1">
      <c r="A628" t="inlineStr">
        <is>
          <t>A 47110-2024</t>
        </is>
      </c>
      <c r="B628" s="1" t="n">
        <v>45586.55451388889</v>
      </c>
      <c r="C628" s="1" t="n">
        <v>46182</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15050-2026</t>
        </is>
      </c>
      <c r="B629" s="1" t="n">
        <v>46104.67331018519</v>
      </c>
      <c r="C629" s="1" t="n">
        <v>46182</v>
      </c>
      <c r="D629" t="inlineStr">
        <is>
          <t>ÖREBRO LÄN</t>
        </is>
      </c>
      <c r="E629" t="inlineStr">
        <is>
          <t>LINDESBERG</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14680-2026</t>
        </is>
      </c>
      <c r="B630" s="1" t="n">
        <v>46101.48212962963</v>
      </c>
      <c r="C630" s="1" t="n">
        <v>46182</v>
      </c>
      <c r="D630" t="inlineStr">
        <is>
          <t>ÖREBRO LÄN</t>
        </is>
      </c>
      <c r="E630" t="inlineStr">
        <is>
          <t>LINDESBERG</t>
        </is>
      </c>
      <c r="G630" t="n">
        <v>1</v>
      </c>
      <c r="H630" t="n">
        <v>0</v>
      </c>
      <c r="I630" t="n">
        <v>0</v>
      </c>
      <c r="J630" t="n">
        <v>0</v>
      </c>
      <c r="K630" t="n">
        <v>0</v>
      </c>
      <c r="L630" t="n">
        <v>0</v>
      </c>
      <c r="M630" t="n">
        <v>0</v>
      </c>
      <c r="N630" t="n">
        <v>0</v>
      </c>
      <c r="O630" t="n">
        <v>0</v>
      </c>
      <c r="P630" t="n">
        <v>0</v>
      </c>
      <c r="Q630" t="n">
        <v>0</v>
      </c>
      <c r="R630" s="2" t="inlineStr"/>
    </row>
    <row r="631" ht="15" customHeight="1">
      <c r="A631" t="inlineStr">
        <is>
          <t>A 21084-2026</t>
        </is>
      </c>
      <c r="B631" s="1" t="n">
        <v>46146.43534722222</v>
      </c>
      <c r="C631" s="1" t="n">
        <v>46182</v>
      </c>
      <c r="D631" t="inlineStr">
        <is>
          <t>ÖREBRO LÄN</t>
        </is>
      </c>
      <c r="E631" t="inlineStr">
        <is>
          <t>LINDESBERG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27440-2023</t>
        </is>
      </c>
      <c r="B632" s="1" t="n">
        <v>45097.39893518519</v>
      </c>
      <c r="C632" s="1" t="n">
        <v>46182</v>
      </c>
      <c r="D632" t="inlineStr">
        <is>
          <t>ÖREBRO LÄN</t>
        </is>
      </c>
      <c r="E632" t="inlineStr">
        <is>
          <t>LINDESBERG</t>
        </is>
      </c>
      <c r="G632" t="n">
        <v>6.6</v>
      </c>
      <c r="H632" t="n">
        <v>0</v>
      </c>
      <c r="I632" t="n">
        <v>0</v>
      </c>
      <c r="J632" t="n">
        <v>0</v>
      </c>
      <c r="K632" t="n">
        <v>0</v>
      </c>
      <c r="L632" t="n">
        <v>0</v>
      </c>
      <c r="M632" t="n">
        <v>0</v>
      </c>
      <c r="N632" t="n">
        <v>0</v>
      </c>
      <c r="O632" t="n">
        <v>0</v>
      </c>
      <c r="P632" t="n">
        <v>0</v>
      </c>
      <c r="Q632" t="n">
        <v>0</v>
      </c>
      <c r="R632" s="2" t="inlineStr"/>
    </row>
    <row r="633" ht="15" customHeight="1">
      <c r="A633" t="inlineStr">
        <is>
          <t>A 58710-2023</t>
        </is>
      </c>
      <c r="B633" s="1" t="n">
        <v>45251.696875</v>
      </c>
      <c r="C633" s="1" t="n">
        <v>46182</v>
      </c>
      <c r="D633" t="inlineStr">
        <is>
          <t>ÖREBRO LÄN</t>
        </is>
      </c>
      <c r="E633" t="inlineStr">
        <is>
          <t>LINDESBERG</t>
        </is>
      </c>
      <c r="G633" t="n">
        <v>6.3</v>
      </c>
      <c r="H633" t="n">
        <v>0</v>
      </c>
      <c r="I633" t="n">
        <v>0</v>
      </c>
      <c r="J633" t="n">
        <v>0</v>
      </c>
      <c r="K633" t="n">
        <v>0</v>
      </c>
      <c r="L633" t="n">
        <v>0</v>
      </c>
      <c r="M633" t="n">
        <v>0</v>
      </c>
      <c r="N633" t="n">
        <v>0</v>
      </c>
      <c r="O633" t="n">
        <v>0</v>
      </c>
      <c r="P633" t="n">
        <v>0</v>
      </c>
      <c r="Q633" t="n">
        <v>0</v>
      </c>
      <c r="R633" s="2" t="inlineStr"/>
    </row>
    <row r="634" ht="15" customHeight="1">
      <c r="A634" t="inlineStr">
        <is>
          <t>A 60449-2024</t>
        </is>
      </c>
      <c r="B634" s="1" t="n">
        <v>45643</v>
      </c>
      <c r="C634" s="1" t="n">
        <v>46182</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39137-2024</t>
        </is>
      </c>
      <c r="B635" s="1" t="n">
        <v>45548</v>
      </c>
      <c r="C635" s="1" t="n">
        <v>46182</v>
      </c>
      <c r="D635" t="inlineStr">
        <is>
          <t>ÖREBRO LÄN</t>
        </is>
      </c>
      <c r="E635" t="inlineStr">
        <is>
          <t>LINDESBERG</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39152-2024</t>
        </is>
      </c>
      <c r="B636" s="1" t="n">
        <v>45548</v>
      </c>
      <c r="C636" s="1" t="n">
        <v>46182</v>
      </c>
      <c r="D636" t="inlineStr">
        <is>
          <t>ÖREBRO LÄN</t>
        </is>
      </c>
      <c r="E636" t="inlineStr">
        <is>
          <t>LINDESBERG</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21245-2024</t>
        </is>
      </c>
      <c r="B637" s="1" t="n">
        <v>45440</v>
      </c>
      <c r="C637" s="1" t="n">
        <v>46182</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43529-2024</t>
        </is>
      </c>
      <c r="B638" s="1" t="n">
        <v>45569.35209490741</v>
      </c>
      <c r="C638" s="1" t="n">
        <v>46182</v>
      </c>
      <c r="D638" t="inlineStr">
        <is>
          <t>ÖREBRO LÄN</t>
        </is>
      </c>
      <c r="E638" t="inlineStr">
        <is>
          <t>LINDESBERG</t>
        </is>
      </c>
      <c r="G638" t="n">
        <v>2.8</v>
      </c>
      <c r="H638" t="n">
        <v>0</v>
      </c>
      <c r="I638" t="n">
        <v>0</v>
      </c>
      <c r="J638" t="n">
        <v>0</v>
      </c>
      <c r="K638" t="n">
        <v>0</v>
      </c>
      <c r="L638" t="n">
        <v>0</v>
      </c>
      <c r="M638" t="n">
        <v>0</v>
      </c>
      <c r="N638" t="n">
        <v>0</v>
      </c>
      <c r="O638" t="n">
        <v>0</v>
      </c>
      <c r="P638" t="n">
        <v>0</v>
      </c>
      <c r="Q638" t="n">
        <v>0</v>
      </c>
      <c r="R638" s="2" t="inlineStr"/>
    </row>
    <row r="639" ht="15" customHeight="1">
      <c r="A639" t="inlineStr">
        <is>
          <t>A 4603-2024</t>
        </is>
      </c>
      <c r="B639" s="1" t="n">
        <v>45328</v>
      </c>
      <c r="C639" s="1" t="n">
        <v>46182</v>
      </c>
      <c r="D639" t="inlineStr">
        <is>
          <t>ÖREBRO LÄN</t>
        </is>
      </c>
      <c r="E639" t="inlineStr">
        <is>
          <t>LINDESBERG</t>
        </is>
      </c>
      <c r="F639" t="inlineStr">
        <is>
          <t>BillerudKorsnäs AB</t>
        </is>
      </c>
      <c r="G639" t="n">
        <v>4.3</v>
      </c>
      <c r="H639" t="n">
        <v>0</v>
      </c>
      <c r="I639" t="n">
        <v>0</v>
      </c>
      <c r="J639" t="n">
        <v>0</v>
      </c>
      <c r="K639" t="n">
        <v>0</v>
      </c>
      <c r="L639" t="n">
        <v>0</v>
      </c>
      <c r="M639" t="n">
        <v>0</v>
      </c>
      <c r="N639" t="n">
        <v>0</v>
      </c>
      <c r="O639" t="n">
        <v>0</v>
      </c>
      <c r="P639" t="n">
        <v>0</v>
      </c>
      <c r="Q639" t="n">
        <v>0</v>
      </c>
      <c r="R639" s="2" t="inlineStr"/>
    </row>
    <row r="640" ht="15" customHeight="1">
      <c r="A640" t="inlineStr">
        <is>
          <t>A 61601-2024</t>
        </is>
      </c>
      <c r="B640" s="1" t="n">
        <v>45646.63839120371</v>
      </c>
      <c r="C640" s="1" t="n">
        <v>46182</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6604-2024</t>
        </is>
      </c>
      <c r="B641" s="1" t="n">
        <v>45341.56577546296</v>
      </c>
      <c r="C641" s="1" t="n">
        <v>46182</v>
      </c>
      <c r="D641" t="inlineStr">
        <is>
          <t>ÖREBRO LÄN</t>
        </is>
      </c>
      <c r="E641" t="inlineStr">
        <is>
          <t>LINDESBERG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42410-2024</t>
        </is>
      </c>
      <c r="B642" s="1" t="n">
        <v>45565</v>
      </c>
      <c r="C642" s="1" t="n">
        <v>46182</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9140-2025</t>
        </is>
      </c>
      <c r="B643" s="1" t="n">
        <v>45714.31533564815</v>
      </c>
      <c r="C643" s="1" t="n">
        <v>46182</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16092-2026</t>
        </is>
      </c>
      <c r="B644" s="1" t="n">
        <v>46108</v>
      </c>
      <c r="C644" s="1" t="n">
        <v>46182</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21796-2026</t>
        </is>
      </c>
      <c r="B645" s="1" t="n">
        <v>46150.42483796296</v>
      </c>
      <c r="C645" s="1" t="n">
        <v>46182</v>
      </c>
      <c r="D645" t="inlineStr">
        <is>
          <t>ÖREBRO LÄN</t>
        </is>
      </c>
      <c r="E645" t="inlineStr">
        <is>
          <t>LINDESBERG</t>
        </is>
      </c>
      <c r="F645" t="inlineStr">
        <is>
          <t>Naturvårdsverket</t>
        </is>
      </c>
      <c r="G645" t="n">
        <v>5.1</v>
      </c>
      <c r="H645" t="n">
        <v>0</v>
      </c>
      <c r="I645" t="n">
        <v>0</v>
      </c>
      <c r="J645" t="n">
        <v>0</v>
      </c>
      <c r="K645" t="n">
        <v>0</v>
      </c>
      <c r="L645" t="n">
        <v>0</v>
      </c>
      <c r="M645" t="n">
        <v>0</v>
      </c>
      <c r="N645" t="n">
        <v>0</v>
      </c>
      <c r="O645" t="n">
        <v>0</v>
      </c>
      <c r="P645" t="n">
        <v>0</v>
      </c>
      <c r="Q645" t="n">
        <v>0</v>
      </c>
      <c r="R645" s="2" t="inlineStr"/>
    </row>
    <row r="646" ht="15" customHeight="1">
      <c r="A646" t="inlineStr">
        <is>
          <t>A 8139-2023</t>
        </is>
      </c>
      <c r="B646" s="1" t="n">
        <v>44970</v>
      </c>
      <c r="C646" s="1" t="n">
        <v>46182</v>
      </c>
      <c r="D646" t="inlineStr">
        <is>
          <t>ÖREBRO LÄN</t>
        </is>
      </c>
      <c r="E646" t="inlineStr">
        <is>
          <t>LINDESBERG</t>
        </is>
      </c>
      <c r="G646" t="n">
        <v>3.6</v>
      </c>
      <c r="H646" t="n">
        <v>0</v>
      </c>
      <c r="I646" t="n">
        <v>0</v>
      </c>
      <c r="J646" t="n">
        <v>0</v>
      </c>
      <c r="K646" t="n">
        <v>0</v>
      </c>
      <c r="L646" t="n">
        <v>0</v>
      </c>
      <c r="M646" t="n">
        <v>0</v>
      </c>
      <c r="N646" t="n">
        <v>0</v>
      </c>
      <c r="O646" t="n">
        <v>0</v>
      </c>
      <c r="P646" t="n">
        <v>0</v>
      </c>
      <c r="Q646" t="n">
        <v>0</v>
      </c>
      <c r="R646" s="2" t="inlineStr"/>
    </row>
    <row r="647" ht="15" customHeight="1">
      <c r="A647" t="inlineStr">
        <is>
          <t>A 16090-2026</t>
        </is>
      </c>
      <c r="B647" s="1" t="n">
        <v>46108</v>
      </c>
      <c r="C647" s="1" t="n">
        <v>46182</v>
      </c>
      <c r="D647" t="inlineStr">
        <is>
          <t>ÖREBRO LÄN</t>
        </is>
      </c>
      <c r="E647" t="inlineStr">
        <is>
          <t>LINDESBERG</t>
        </is>
      </c>
      <c r="G647" t="n">
        <v>4</v>
      </c>
      <c r="H647" t="n">
        <v>0</v>
      </c>
      <c r="I647" t="n">
        <v>0</v>
      </c>
      <c r="J647" t="n">
        <v>0</v>
      </c>
      <c r="K647" t="n">
        <v>0</v>
      </c>
      <c r="L647" t="n">
        <v>0</v>
      </c>
      <c r="M647" t="n">
        <v>0</v>
      </c>
      <c r="N647" t="n">
        <v>0</v>
      </c>
      <c r="O647" t="n">
        <v>0</v>
      </c>
      <c r="P647" t="n">
        <v>0</v>
      </c>
      <c r="Q647" t="n">
        <v>0</v>
      </c>
      <c r="R647" s="2" t="inlineStr"/>
    </row>
    <row r="648" ht="15" customHeight="1">
      <c r="A648" t="inlineStr">
        <is>
          <t>A 16094-2026</t>
        </is>
      </c>
      <c r="B648" s="1" t="n">
        <v>46108</v>
      </c>
      <c r="C648" s="1" t="n">
        <v>46182</v>
      </c>
      <c r="D648" t="inlineStr">
        <is>
          <t>ÖREBRO LÄN</t>
        </is>
      </c>
      <c r="E648" t="inlineStr">
        <is>
          <t>LINDESBERG</t>
        </is>
      </c>
      <c r="G648" t="n">
        <v>3.9</v>
      </c>
      <c r="H648" t="n">
        <v>0</v>
      </c>
      <c r="I648" t="n">
        <v>0</v>
      </c>
      <c r="J648" t="n">
        <v>0</v>
      </c>
      <c r="K648" t="n">
        <v>0</v>
      </c>
      <c r="L648" t="n">
        <v>0</v>
      </c>
      <c r="M648" t="n">
        <v>0</v>
      </c>
      <c r="N648" t="n">
        <v>0</v>
      </c>
      <c r="O648" t="n">
        <v>0</v>
      </c>
      <c r="P648" t="n">
        <v>0</v>
      </c>
      <c r="Q648" t="n">
        <v>0</v>
      </c>
      <c r="R648" s="2" t="inlineStr"/>
    </row>
    <row r="649" ht="15" customHeight="1">
      <c r="A649" t="inlineStr">
        <is>
          <t>A 53168-2023</t>
        </is>
      </c>
      <c r="B649" s="1" t="n">
        <v>45229</v>
      </c>
      <c r="C649" s="1" t="n">
        <v>46182</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36748-2024</t>
        </is>
      </c>
      <c r="B650" s="1" t="n">
        <v>45538.34460648148</v>
      </c>
      <c r="C650" s="1" t="n">
        <v>46182</v>
      </c>
      <c r="D650" t="inlineStr">
        <is>
          <t>ÖREBRO LÄN</t>
        </is>
      </c>
      <c r="E650" t="inlineStr">
        <is>
          <t>LINDESBERG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21871-2026</t>
        </is>
      </c>
      <c r="B651" s="1" t="n">
        <v>46150.58001157407</v>
      </c>
      <c r="C651" s="1" t="n">
        <v>46182</v>
      </c>
      <c r="D651" t="inlineStr">
        <is>
          <t>ÖREBRO LÄN</t>
        </is>
      </c>
      <c r="E651" t="inlineStr">
        <is>
          <t>LINDESBERG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64427-2021</t>
        </is>
      </c>
      <c r="B652" s="1" t="n">
        <v>44511</v>
      </c>
      <c r="C652" s="1" t="n">
        <v>46182</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53352-2023</t>
        </is>
      </c>
      <c r="B653" s="1" t="n">
        <v>45229.66262731481</v>
      </c>
      <c r="C653" s="1" t="n">
        <v>46182</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54864-2024</t>
        </is>
      </c>
      <c r="B654" s="1" t="n">
        <v>45618.59456018519</v>
      </c>
      <c r="C654" s="1" t="n">
        <v>46182</v>
      </c>
      <c r="D654" t="inlineStr">
        <is>
          <t>ÖREBRO LÄN</t>
        </is>
      </c>
      <c r="E654" t="inlineStr">
        <is>
          <t>LINDESBERG</t>
        </is>
      </c>
      <c r="F654" t="inlineStr">
        <is>
          <t>Sveaskog</t>
        </is>
      </c>
      <c r="G654" t="n">
        <v>4.4</v>
      </c>
      <c r="H654" t="n">
        <v>0</v>
      </c>
      <c r="I654" t="n">
        <v>0</v>
      </c>
      <c r="J654" t="n">
        <v>0</v>
      </c>
      <c r="K654" t="n">
        <v>0</v>
      </c>
      <c r="L654" t="n">
        <v>0</v>
      </c>
      <c r="M654" t="n">
        <v>0</v>
      </c>
      <c r="N654" t="n">
        <v>0</v>
      </c>
      <c r="O654" t="n">
        <v>0</v>
      </c>
      <c r="P654" t="n">
        <v>0</v>
      </c>
      <c r="Q654" t="n">
        <v>0</v>
      </c>
      <c r="R654" s="2" t="inlineStr"/>
    </row>
    <row r="655" ht="15" customHeight="1">
      <c r="A655" t="inlineStr">
        <is>
          <t>A 32009-2023</t>
        </is>
      </c>
      <c r="B655" s="1" t="n">
        <v>45119</v>
      </c>
      <c r="C655" s="1" t="n">
        <v>46182</v>
      </c>
      <c r="D655" t="inlineStr">
        <is>
          <t>ÖREBRO LÄN</t>
        </is>
      </c>
      <c r="E655" t="inlineStr">
        <is>
          <t>LINDESBERG</t>
        </is>
      </c>
      <c r="F655" t="inlineStr">
        <is>
          <t>Kyrkan</t>
        </is>
      </c>
      <c r="G655" t="n">
        <v>0.8</v>
      </c>
      <c r="H655" t="n">
        <v>0</v>
      </c>
      <c r="I655" t="n">
        <v>0</v>
      </c>
      <c r="J655" t="n">
        <v>0</v>
      </c>
      <c r="K655" t="n">
        <v>0</v>
      </c>
      <c r="L655" t="n">
        <v>0</v>
      </c>
      <c r="M655" t="n">
        <v>0</v>
      </c>
      <c r="N655" t="n">
        <v>0</v>
      </c>
      <c r="O655" t="n">
        <v>0</v>
      </c>
      <c r="P655" t="n">
        <v>0</v>
      </c>
      <c r="Q655" t="n">
        <v>0</v>
      </c>
      <c r="R655" s="2" t="inlineStr"/>
    </row>
    <row r="656" ht="15" customHeight="1">
      <c r="A656" t="inlineStr">
        <is>
          <t>A 6727-2022</t>
        </is>
      </c>
      <c r="B656" s="1" t="n">
        <v>44602.45490740741</v>
      </c>
      <c r="C656" s="1" t="n">
        <v>46182</v>
      </c>
      <c r="D656" t="inlineStr">
        <is>
          <t>ÖREBRO LÄN</t>
        </is>
      </c>
      <c r="E656" t="inlineStr">
        <is>
          <t>LINDESBERG</t>
        </is>
      </c>
      <c r="G656" t="n">
        <v>0.8</v>
      </c>
      <c r="H656" t="n">
        <v>0</v>
      </c>
      <c r="I656" t="n">
        <v>0</v>
      </c>
      <c r="J656" t="n">
        <v>0</v>
      </c>
      <c r="K656" t="n">
        <v>0</v>
      </c>
      <c r="L656" t="n">
        <v>0</v>
      </c>
      <c r="M656" t="n">
        <v>0</v>
      </c>
      <c r="N656" t="n">
        <v>0</v>
      </c>
      <c r="O656" t="n">
        <v>0</v>
      </c>
      <c r="P656" t="n">
        <v>0</v>
      </c>
      <c r="Q656" t="n">
        <v>0</v>
      </c>
      <c r="R656" s="2" t="inlineStr"/>
    </row>
    <row r="657" ht="15" customHeight="1">
      <c r="A657" t="inlineStr">
        <is>
          <t>A 3148-2023</t>
        </is>
      </c>
      <c r="B657" s="1" t="n">
        <v>44946.54424768518</v>
      </c>
      <c r="C657" s="1" t="n">
        <v>46182</v>
      </c>
      <c r="D657" t="inlineStr">
        <is>
          <t>ÖREBRO LÄN</t>
        </is>
      </c>
      <c r="E657" t="inlineStr">
        <is>
          <t>LINDESBERG</t>
        </is>
      </c>
      <c r="G657" t="n">
        <v>5.5</v>
      </c>
      <c r="H657" t="n">
        <v>0</v>
      </c>
      <c r="I657" t="n">
        <v>0</v>
      </c>
      <c r="J657" t="n">
        <v>0</v>
      </c>
      <c r="K657" t="n">
        <v>0</v>
      </c>
      <c r="L657" t="n">
        <v>0</v>
      </c>
      <c r="M657" t="n">
        <v>0</v>
      </c>
      <c r="N657" t="n">
        <v>0</v>
      </c>
      <c r="O657" t="n">
        <v>0</v>
      </c>
      <c r="P657" t="n">
        <v>0</v>
      </c>
      <c r="Q657" t="n">
        <v>0</v>
      </c>
      <c r="R657" s="2" t="inlineStr"/>
    </row>
    <row r="658" ht="15" customHeight="1">
      <c r="A658" t="inlineStr">
        <is>
          <t>A 17010-2026</t>
        </is>
      </c>
      <c r="B658" s="1" t="n">
        <v>46114</v>
      </c>
      <c r="C658" s="1" t="n">
        <v>46182</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25012-2023</t>
        </is>
      </c>
      <c r="B659" s="1" t="n">
        <v>45085</v>
      </c>
      <c r="C659" s="1" t="n">
        <v>46182</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16812-2026</t>
        </is>
      </c>
      <c r="B660" s="1" t="n">
        <v>46113.49563657407</v>
      </c>
      <c r="C660" s="1" t="n">
        <v>46182</v>
      </c>
      <c r="D660" t="inlineStr">
        <is>
          <t>ÖREBRO LÄN</t>
        </is>
      </c>
      <c r="E660" t="inlineStr">
        <is>
          <t>LINDESBERG</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37432-2022</t>
        </is>
      </c>
      <c r="B661" s="1" t="n">
        <v>44809</v>
      </c>
      <c r="C661" s="1" t="n">
        <v>46182</v>
      </c>
      <c r="D661" t="inlineStr">
        <is>
          <t>ÖREBRO LÄN</t>
        </is>
      </c>
      <c r="E661" t="inlineStr">
        <is>
          <t>LINDESBERG</t>
        </is>
      </c>
      <c r="G661" t="n">
        <v>3.6</v>
      </c>
      <c r="H661" t="n">
        <v>0</v>
      </c>
      <c r="I661" t="n">
        <v>0</v>
      </c>
      <c r="J661" t="n">
        <v>0</v>
      </c>
      <c r="K661" t="n">
        <v>0</v>
      </c>
      <c r="L661" t="n">
        <v>0</v>
      </c>
      <c r="M661" t="n">
        <v>0</v>
      </c>
      <c r="N661" t="n">
        <v>0</v>
      </c>
      <c r="O661" t="n">
        <v>0</v>
      </c>
      <c r="P661" t="n">
        <v>0</v>
      </c>
      <c r="Q661" t="n">
        <v>0</v>
      </c>
      <c r="R661" s="2" t="inlineStr"/>
    </row>
    <row r="662" ht="15" customHeight="1">
      <c r="A662" t="inlineStr">
        <is>
          <t>A 13969-2025</t>
        </is>
      </c>
      <c r="B662" s="1" t="n">
        <v>45738.43714120371</v>
      </c>
      <c r="C662" s="1" t="n">
        <v>46182</v>
      </c>
      <c r="D662" t="inlineStr">
        <is>
          <t>ÖREBRO LÄN</t>
        </is>
      </c>
      <c r="E662" t="inlineStr">
        <is>
          <t>LINDESBERG</t>
        </is>
      </c>
      <c r="G662" t="n">
        <v>1.5</v>
      </c>
      <c r="H662" t="n">
        <v>0</v>
      </c>
      <c r="I662" t="n">
        <v>0</v>
      </c>
      <c r="J662" t="n">
        <v>0</v>
      </c>
      <c r="K662" t="n">
        <v>0</v>
      </c>
      <c r="L662" t="n">
        <v>0</v>
      </c>
      <c r="M662" t="n">
        <v>0</v>
      </c>
      <c r="N662" t="n">
        <v>0</v>
      </c>
      <c r="O662" t="n">
        <v>0</v>
      </c>
      <c r="P662" t="n">
        <v>0</v>
      </c>
      <c r="Q662" t="n">
        <v>0</v>
      </c>
      <c r="R662" s="2" t="inlineStr"/>
    </row>
    <row r="663" ht="15" customHeight="1">
      <c r="A663" t="inlineStr">
        <is>
          <t>A 17013-2026</t>
        </is>
      </c>
      <c r="B663" s="1" t="n">
        <v>46114</v>
      </c>
      <c r="C663" s="1" t="n">
        <v>46182</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3026-2026</t>
        </is>
      </c>
      <c r="B664" s="1" t="n">
        <v>46038</v>
      </c>
      <c r="C664" s="1" t="n">
        <v>46182</v>
      </c>
      <c r="D664" t="inlineStr">
        <is>
          <t>ÖREBRO LÄN</t>
        </is>
      </c>
      <c r="E664" t="inlineStr">
        <is>
          <t>LINDESBERG</t>
        </is>
      </c>
      <c r="G664" t="n">
        <v>10.3</v>
      </c>
      <c r="H664" t="n">
        <v>0</v>
      </c>
      <c r="I664" t="n">
        <v>0</v>
      </c>
      <c r="J664" t="n">
        <v>0</v>
      </c>
      <c r="K664" t="n">
        <v>0</v>
      </c>
      <c r="L664" t="n">
        <v>0</v>
      </c>
      <c r="M664" t="n">
        <v>0</v>
      </c>
      <c r="N664" t="n">
        <v>0</v>
      </c>
      <c r="O664" t="n">
        <v>0</v>
      </c>
      <c r="P664" t="n">
        <v>0</v>
      </c>
      <c r="Q664" t="n">
        <v>0</v>
      </c>
      <c r="R664" s="2" t="inlineStr"/>
    </row>
    <row r="665" ht="15" customHeight="1">
      <c r="A665" t="inlineStr">
        <is>
          <t>A 61202-2023</t>
        </is>
      </c>
      <c r="B665" s="1" t="n">
        <v>45264.38084490741</v>
      </c>
      <c r="C665" s="1" t="n">
        <v>46182</v>
      </c>
      <c r="D665" t="inlineStr">
        <is>
          <t>ÖREBRO LÄN</t>
        </is>
      </c>
      <c r="E665" t="inlineStr">
        <is>
          <t>LINDESBERG</t>
        </is>
      </c>
      <c r="G665" t="n">
        <v>0.9</v>
      </c>
      <c r="H665" t="n">
        <v>0</v>
      </c>
      <c r="I665" t="n">
        <v>0</v>
      </c>
      <c r="J665" t="n">
        <v>0</v>
      </c>
      <c r="K665" t="n">
        <v>0</v>
      </c>
      <c r="L665" t="n">
        <v>0</v>
      </c>
      <c r="M665" t="n">
        <v>0</v>
      </c>
      <c r="N665" t="n">
        <v>0</v>
      </c>
      <c r="O665" t="n">
        <v>0</v>
      </c>
      <c r="P665" t="n">
        <v>0</v>
      </c>
      <c r="Q665" t="n">
        <v>0</v>
      </c>
      <c r="R665" s="2" t="inlineStr"/>
    </row>
    <row r="666" ht="15" customHeight="1">
      <c r="A666" t="inlineStr">
        <is>
          <t>A 53366-2023</t>
        </is>
      </c>
      <c r="B666" s="1" t="n">
        <v>45229</v>
      </c>
      <c r="C666" s="1" t="n">
        <v>46182</v>
      </c>
      <c r="D666" t="inlineStr">
        <is>
          <t>ÖREBRO LÄN</t>
        </is>
      </c>
      <c r="E666" t="inlineStr">
        <is>
          <t>LINDESBERG</t>
        </is>
      </c>
      <c r="G666" t="n">
        <v>1.9</v>
      </c>
      <c r="H666" t="n">
        <v>0</v>
      </c>
      <c r="I666" t="n">
        <v>0</v>
      </c>
      <c r="J666" t="n">
        <v>0</v>
      </c>
      <c r="K666" t="n">
        <v>0</v>
      </c>
      <c r="L666" t="n">
        <v>0</v>
      </c>
      <c r="M666" t="n">
        <v>0</v>
      </c>
      <c r="N666" t="n">
        <v>0</v>
      </c>
      <c r="O666" t="n">
        <v>0</v>
      </c>
      <c r="P666" t="n">
        <v>0</v>
      </c>
      <c r="Q666" t="n">
        <v>0</v>
      </c>
      <c r="R666" s="2" t="inlineStr"/>
    </row>
    <row r="667" ht="15" customHeight="1">
      <c r="A667" t="inlineStr">
        <is>
          <t>A 22745-2026</t>
        </is>
      </c>
      <c r="B667" s="1" t="n">
        <v>46157.4291087963</v>
      </c>
      <c r="C667" s="1" t="n">
        <v>46182</v>
      </c>
      <c r="D667" t="inlineStr">
        <is>
          <t>ÖREBRO LÄN</t>
        </is>
      </c>
      <c r="E667" t="inlineStr">
        <is>
          <t>LINDESBERG</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22752-2026</t>
        </is>
      </c>
      <c r="B668" s="1" t="n">
        <v>46157.44695601852</v>
      </c>
      <c r="C668" s="1" t="n">
        <v>46182</v>
      </c>
      <c r="D668" t="inlineStr">
        <is>
          <t>ÖREBRO LÄN</t>
        </is>
      </c>
      <c r="E668" t="inlineStr">
        <is>
          <t>LINDESBERG</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42430-2024</t>
        </is>
      </c>
      <c r="B669" s="1" t="n">
        <v>45565.40700231482</v>
      </c>
      <c r="C669" s="1" t="n">
        <v>46182</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22748-2026</t>
        </is>
      </c>
      <c r="B670" s="1" t="n">
        <v>46157.43287037037</v>
      </c>
      <c r="C670" s="1" t="n">
        <v>46182</v>
      </c>
      <c r="D670" t="inlineStr">
        <is>
          <t>ÖREBRO LÄN</t>
        </is>
      </c>
      <c r="E670" t="inlineStr">
        <is>
          <t>LINDESBERG</t>
        </is>
      </c>
      <c r="G670" t="n">
        <v>3.1</v>
      </c>
      <c r="H670" t="n">
        <v>0</v>
      </c>
      <c r="I670" t="n">
        <v>0</v>
      </c>
      <c r="J670" t="n">
        <v>0</v>
      </c>
      <c r="K670" t="n">
        <v>0</v>
      </c>
      <c r="L670" t="n">
        <v>0</v>
      </c>
      <c r="M670" t="n">
        <v>0</v>
      </c>
      <c r="N670" t="n">
        <v>0</v>
      </c>
      <c r="O670" t="n">
        <v>0</v>
      </c>
      <c r="P670" t="n">
        <v>0</v>
      </c>
      <c r="Q670" t="n">
        <v>0</v>
      </c>
      <c r="R670" s="2" t="inlineStr"/>
    </row>
    <row r="671" ht="15" customHeight="1">
      <c r="A671" t="inlineStr">
        <is>
          <t>A 22747-2026</t>
        </is>
      </c>
      <c r="B671" s="1" t="n">
        <v>46157.43127314815</v>
      </c>
      <c r="C671" s="1" t="n">
        <v>46182</v>
      </c>
      <c r="D671" t="inlineStr">
        <is>
          <t>ÖREBRO LÄN</t>
        </is>
      </c>
      <c r="E671" t="inlineStr">
        <is>
          <t>LINDESBERG</t>
        </is>
      </c>
      <c r="G671" t="n">
        <v>4.4</v>
      </c>
      <c r="H671" t="n">
        <v>0</v>
      </c>
      <c r="I671" t="n">
        <v>0</v>
      </c>
      <c r="J671" t="n">
        <v>0</v>
      </c>
      <c r="K671" t="n">
        <v>0</v>
      </c>
      <c r="L671" t="n">
        <v>0</v>
      </c>
      <c r="M671" t="n">
        <v>0</v>
      </c>
      <c r="N671" t="n">
        <v>0</v>
      </c>
      <c r="O671" t="n">
        <v>0</v>
      </c>
      <c r="P671" t="n">
        <v>0</v>
      </c>
      <c r="Q671" t="n">
        <v>0</v>
      </c>
      <c r="R671" s="2" t="inlineStr"/>
    </row>
    <row r="672" ht="15" customHeight="1">
      <c r="A672" t="inlineStr">
        <is>
          <t>A 17158-2026</t>
        </is>
      </c>
      <c r="B672" s="1" t="n">
        <v>46115.55826388889</v>
      </c>
      <c r="C672" s="1" t="n">
        <v>46182</v>
      </c>
      <c r="D672" t="inlineStr">
        <is>
          <t>ÖREBRO LÄN</t>
        </is>
      </c>
      <c r="E672" t="inlineStr">
        <is>
          <t>LINDESBERG</t>
        </is>
      </c>
      <c r="G672" t="n">
        <v>7.8</v>
      </c>
      <c r="H672" t="n">
        <v>0</v>
      </c>
      <c r="I672" t="n">
        <v>0</v>
      </c>
      <c r="J672" t="n">
        <v>0</v>
      </c>
      <c r="K672" t="n">
        <v>0</v>
      </c>
      <c r="L672" t="n">
        <v>0</v>
      </c>
      <c r="M672" t="n">
        <v>0</v>
      </c>
      <c r="N672" t="n">
        <v>0</v>
      </c>
      <c r="O672" t="n">
        <v>0</v>
      </c>
      <c r="P672" t="n">
        <v>0</v>
      </c>
      <c r="Q672" t="n">
        <v>0</v>
      </c>
      <c r="R672" s="2" t="inlineStr"/>
    </row>
    <row r="673" ht="15" customHeight="1">
      <c r="A673" t="inlineStr">
        <is>
          <t>A 22861-2026</t>
        </is>
      </c>
      <c r="B673" s="1" t="n">
        <v>46160.4221412037</v>
      </c>
      <c r="C673" s="1" t="n">
        <v>46182</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22862-2026</t>
        </is>
      </c>
      <c r="B674" s="1" t="n">
        <v>46160.42400462963</v>
      </c>
      <c r="C674" s="1" t="n">
        <v>46182</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17154-2026</t>
        </is>
      </c>
      <c r="B675" s="1" t="n">
        <v>46115.49298611111</v>
      </c>
      <c r="C675" s="1" t="n">
        <v>46182</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17157-2026</t>
        </is>
      </c>
      <c r="B676" s="1" t="n">
        <v>46115.52068287037</v>
      </c>
      <c r="C676" s="1" t="n">
        <v>46182</v>
      </c>
      <c r="D676" t="inlineStr">
        <is>
          <t>ÖREBRO LÄN</t>
        </is>
      </c>
      <c r="E676" t="inlineStr">
        <is>
          <t>LINDESBERG</t>
        </is>
      </c>
      <c r="G676" t="n">
        <v>1.2</v>
      </c>
      <c r="H676" t="n">
        <v>0</v>
      </c>
      <c r="I676" t="n">
        <v>0</v>
      </c>
      <c r="J676" t="n">
        <v>0</v>
      </c>
      <c r="K676" t="n">
        <v>0</v>
      </c>
      <c r="L676" t="n">
        <v>0</v>
      </c>
      <c r="M676" t="n">
        <v>0</v>
      </c>
      <c r="N676" t="n">
        <v>0</v>
      </c>
      <c r="O676" t="n">
        <v>0</v>
      </c>
      <c r="P676" t="n">
        <v>0</v>
      </c>
      <c r="Q676" t="n">
        <v>0</v>
      </c>
      <c r="R676" s="2" t="inlineStr"/>
    </row>
    <row r="677" ht="15" customHeight="1">
      <c r="A677" t="inlineStr">
        <is>
          <t>A 17159-2026</t>
        </is>
      </c>
      <c r="B677" s="1" t="n">
        <v>46115.57298611111</v>
      </c>
      <c r="C677" s="1" t="n">
        <v>46182</v>
      </c>
      <c r="D677" t="inlineStr">
        <is>
          <t>ÖREBRO LÄN</t>
        </is>
      </c>
      <c r="E677" t="inlineStr">
        <is>
          <t>LINDESBERG</t>
        </is>
      </c>
      <c r="G677" t="n">
        <v>1.5</v>
      </c>
      <c r="H677" t="n">
        <v>0</v>
      </c>
      <c r="I677" t="n">
        <v>0</v>
      </c>
      <c r="J677" t="n">
        <v>0</v>
      </c>
      <c r="K677" t="n">
        <v>0</v>
      </c>
      <c r="L677" t="n">
        <v>0</v>
      </c>
      <c r="M677" t="n">
        <v>0</v>
      </c>
      <c r="N677" t="n">
        <v>0</v>
      </c>
      <c r="O677" t="n">
        <v>0</v>
      </c>
      <c r="P677" t="n">
        <v>0</v>
      </c>
      <c r="Q677" t="n">
        <v>0</v>
      </c>
      <c r="R677" s="2" t="inlineStr"/>
    </row>
    <row r="678" ht="15" customHeight="1">
      <c r="A678" t="inlineStr">
        <is>
          <t>A 17155-2026</t>
        </is>
      </c>
      <c r="B678" s="1" t="n">
        <v>46115.50295138889</v>
      </c>
      <c r="C678" s="1" t="n">
        <v>46182</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17156-2026</t>
        </is>
      </c>
      <c r="B679" s="1" t="n">
        <v>46115.51194444444</v>
      </c>
      <c r="C679" s="1" t="n">
        <v>46182</v>
      </c>
      <c r="D679" t="inlineStr">
        <is>
          <t>ÖREBRO LÄN</t>
        </is>
      </c>
      <c r="E679" t="inlineStr">
        <is>
          <t>LINDESBERG</t>
        </is>
      </c>
      <c r="G679" t="n">
        <v>2.2</v>
      </c>
      <c r="H679" t="n">
        <v>0</v>
      </c>
      <c r="I679" t="n">
        <v>0</v>
      </c>
      <c r="J679" t="n">
        <v>0</v>
      </c>
      <c r="K679" t="n">
        <v>0</v>
      </c>
      <c r="L679" t="n">
        <v>0</v>
      </c>
      <c r="M679" t="n">
        <v>0</v>
      </c>
      <c r="N679" t="n">
        <v>0</v>
      </c>
      <c r="O679" t="n">
        <v>0</v>
      </c>
      <c r="P679" t="n">
        <v>0</v>
      </c>
      <c r="Q679" t="n">
        <v>0</v>
      </c>
      <c r="R679" s="2" t="inlineStr"/>
    </row>
    <row r="680" ht="15" customHeight="1">
      <c r="A680" t="inlineStr">
        <is>
          <t>A 17161-2026</t>
        </is>
      </c>
      <c r="B680" s="1" t="n">
        <v>46115.59534722222</v>
      </c>
      <c r="C680" s="1" t="n">
        <v>46182</v>
      </c>
      <c r="D680" t="inlineStr">
        <is>
          <t>ÖREBRO LÄN</t>
        </is>
      </c>
      <c r="E680" t="inlineStr">
        <is>
          <t>LINDESBERG</t>
        </is>
      </c>
      <c r="G680" t="n">
        <v>3.3</v>
      </c>
      <c r="H680" t="n">
        <v>0</v>
      </c>
      <c r="I680" t="n">
        <v>0</v>
      </c>
      <c r="J680" t="n">
        <v>0</v>
      </c>
      <c r="K680" t="n">
        <v>0</v>
      </c>
      <c r="L680" t="n">
        <v>0</v>
      </c>
      <c r="M680" t="n">
        <v>0</v>
      </c>
      <c r="N680" t="n">
        <v>0</v>
      </c>
      <c r="O680" t="n">
        <v>0</v>
      </c>
      <c r="P680" t="n">
        <v>0</v>
      </c>
      <c r="Q680" t="n">
        <v>0</v>
      </c>
      <c r="R680" s="2" t="inlineStr"/>
    </row>
    <row r="681" ht="15" customHeight="1">
      <c r="A681" t="inlineStr">
        <is>
          <t>A 17162-2026</t>
        </is>
      </c>
      <c r="B681" s="1" t="n">
        <v>46115.60453703703</v>
      </c>
      <c r="C681" s="1" t="n">
        <v>46182</v>
      </c>
      <c r="D681" t="inlineStr">
        <is>
          <t>ÖREBRO LÄN</t>
        </is>
      </c>
      <c r="E681" t="inlineStr">
        <is>
          <t>LINDESBERG</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7120-2025</t>
        </is>
      </c>
      <c r="B682" s="1" t="n">
        <v>45702</v>
      </c>
      <c r="C682" s="1" t="n">
        <v>46182</v>
      </c>
      <c r="D682" t="inlineStr">
        <is>
          <t>ÖREBRO LÄN</t>
        </is>
      </c>
      <c r="E682" t="inlineStr">
        <is>
          <t>LINDESBERG</t>
        </is>
      </c>
      <c r="G682" t="n">
        <v>0.5</v>
      </c>
      <c r="H682" t="n">
        <v>0</v>
      </c>
      <c r="I682" t="n">
        <v>0</v>
      </c>
      <c r="J682" t="n">
        <v>0</v>
      </c>
      <c r="K682" t="n">
        <v>0</v>
      </c>
      <c r="L682" t="n">
        <v>0</v>
      </c>
      <c r="M682" t="n">
        <v>0</v>
      </c>
      <c r="N682" t="n">
        <v>0</v>
      </c>
      <c r="O682" t="n">
        <v>0</v>
      </c>
      <c r="P682" t="n">
        <v>0</v>
      </c>
      <c r="Q682" t="n">
        <v>0</v>
      </c>
      <c r="R682" s="2" t="inlineStr"/>
    </row>
    <row r="683" ht="15" customHeight="1">
      <c r="A683" t="inlineStr">
        <is>
          <t>A 195-2022</t>
        </is>
      </c>
      <c r="B683" s="1" t="n">
        <v>44564</v>
      </c>
      <c r="C683" s="1" t="n">
        <v>46182</v>
      </c>
      <c r="D683" t="inlineStr">
        <is>
          <t>ÖREBRO LÄN</t>
        </is>
      </c>
      <c r="E683" t="inlineStr">
        <is>
          <t>LINDESBERG</t>
        </is>
      </c>
      <c r="G683" t="n">
        <v>4.7</v>
      </c>
      <c r="H683" t="n">
        <v>0</v>
      </c>
      <c r="I683" t="n">
        <v>0</v>
      </c>
      <c r="J683" t="n">
        <v>0</v>
      </c>
      <c r="K683" t="n">
        <v>0</v>
      </c>
      <c r="L683" t="n">
        <v>0</v>
      </c>
      <c r="M683" t="n">
        <v>0</v>
      </c>
      <c r="N683" t="n">
        <v>0</v>
      </c>
      <c r="O683" t="n">
        <v>0</v>
      </c>
      <c r="P683" t="n">
        <v>0</v>
      </c>
      <c r="Q683" t="n">
        <v>0</v>
      </c>
      <c r="R683" s="2" t="inlineStr"/>
    </row>
    <row r="684" ht="15" customHeight="1">
      <c r="A684" t="inlineStr">
        <is>
          <t>A 51379-2023</t>
        </is>
      </c>
      <c r="B684" s="1" t="n">
        <v>45219</v>
      </c>
      <c r="C684" s="1" t="n">
        <v>46182</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23187-2026</t>
        </is>
      </c>
      <c r="B685" s="1" t="n">
        <v>46161.69637731482</v>
      </c>
      <c r="C685" s="1" t="n">
        <v>46182</v>
      </c>
      <c r="D685" t="inlineStr">
        <is>
          <t>ÖREBRO LÄN</t>
        </is>
      </c>
      <c r="E685" t="inlineStr">
        <is>
          <t>LINDESBERG</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16054-2022</t>
        </is>
      </c>
      <c r="B686" s="1" t="n">
        <v>44665</v>
      </c>
      <c r="C686" s="1" t="n">
        <v>46182</v>
      </c>
      <c r="D686" t="inlineStr">
        <is>
          <t>ÖREBRO LÄN</t>
        </is>
      </c>
      <c r="E686" t="inlineStr">
        <is>
          <t>LINDESBERG</t>
        </is>
      </c>
      <c r="G686" t="n">
        <v>6.9</v>
      </c>
      <c r="H686" t="n">
        <v>0</v>
      </c>
      <c r="I686" t="n">
        <v>0</v>
      </c>
      <c r="J686" t="n">
        <v>0</v>
      </c>
      <c r="K686" t="n">
        <v>0</v>
      </c>
      <c r="L686" t="n">
        <v>0</v>
      </c>
      <c r="M686" t="n">
        <v>0</v>
      </c>
      <c r="N686" t="n">
        <v>0</v>
      </c>
      <c r="O686" t="n">
        <v>0</v>
      </c>
      <c r="P686" t="n">
        <v>0</v>
      </c>
      <c r="Q686" t="n">
        <v>0</v>
      </c>
      <c r="R686" s="2" t="inlineStr"/>
    </row>
    <row r="687" ht="15" customHeight="1">
      <c r="A687" t="inlineStr">
        <is>
          <t>A 1354-2024</t>
        </is>
      </c>
      <c r="B687" s="1" t="n">
        <v>45303</v>
      </c>
      <c r="C687" s="1" t="n">
        <v>46182</v>
      </c>
      <c r="D687" t="inlineStr">
        <is>
          <t>ÖREBRO LÄN</t>
        </is>
      </c>
      <c r="E687" t="inlineStr">
        <is>
          <t>LINDESBERG</t>
        </is>
      </c>
      <c r="G687" t="n">
        <v>2.1</v>
      </c>
      <c r="H687" t="n">
        <v>0</v>
      </c>
      <c r="I687" t="n">
        <v>0</v>
      </c>
      <c r="J687" t="n">
        <v>0</v>
      </c>
      <c r="K687" t="n">
        <v>0</v>
      </c>
      <c r="L687" t="n">
        <v>0</v>
      </c>
      <c r="M687" t="n">
        <v>0</v>
      </c>
      <c r="N687" t="n">
        <v>0</v>
      </c>
      <c r="O687" t="n">
        <v>0</v>
      </c>
      <c r="P687" t="n">
        <v>0</v>
      </c>
      <c r="Q687" t="n">
        <v>0</v>
      </c>
      <c r="R687" s="2" t="inlineStr"/>
    </row>
    <row r="688" ht="15" customHeight="1">
      <c r="A688" t="inlineStr">
        <is>
          <t>A 49544-2023</t>
        </is>
      </c>
      <c r="B688" s="1" t="n">
        <v>45211</v>
      </c>
      <c r="C688" s="1" t="n">
        <v>46182</v>
      </c>
      <c r="D688" t="inlineStr">
        <is>
          <t>ÖREBRO LÄN</t>
        </is>
      </c>
      <c r="E688" t="inlineStr">
        <is>
          <t>LINDESBERG</t>
        </is>
      </c>
      <c r="G688" t="n">
        <v>0.5</v>
      </c>
      <c r="H688" t="n">
        <v>0</v>
      </c>
      <c r="I688" t="n">
        <v>0</v>
      </c>
      <c r="J688" t="n">
        <v>0</v>
      </c>
      <c r="K688" t="n">
        <v>0</v>
      </c>
      <c r="L688" t="n">
        <v>0</v>
      </c>
      <c r="M688" t="n">
        <v>0</v>
      </c>
      <c r="N688" t="n">
        <v>0</v>
      </c>
      <c r="O688" t="n">
        <v>0</v>
      </c>
      <c r="P688" t="n">
        <v>0</v>
      </c>
      <c r="Q688" t="n">
        <v>0</v>
      </c>
      <c r="R688" s="2" t="inlineStr"/>
    </row>
    <row r="689" ht="15" customHeight="1">
      <c r="A689" t="inlineStr">
        <is>
          <t>A 27001-2024</t>
        </is>
      </c>
      <c r="B689" s="1" t="n">
        <v>45471.38995370371</v>
      </c>
      <c r="C689" s="1" t="n">
        <v>46182</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23174-2026</t>
        </is>
      </c>
      <c r="B690" s="1" t="n">
        <v>46161.67359953704</v>
      </c>
      <c r="C690" s="1" t="n">
        <v>46182</v>
      </c>
      <c r="D690" t="inlineStr">
        <is>
          <t>ÖREBRO LÄN</t>
        </is>
      </c>
      <c r="E690" t="inlineStr">
        <is>
          <t>LINDESBERG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23393-2026</t>
        </is>
      </c>
      <c r="B691" s="1" t="n">
        <v>46162.67203703704</v>
      </c>
      <c r="C691" s="1" t="n">
        <v>46182</v>
      </c>
      <c r="D691" t="inlineStr">
        <is>
          <t>ÖREBRO LÄN</t>
        </is>
      </c>
      <c r="E691" t="inlineStr">
        <is>
          <t>LINDESBERG</t>
        </is>
      </c>
      <c r="F691" t="inlineStr">
        <is>
          <t>Naturvårdsverket</t>
        </is>
      </c>
      <c r="G691" t="n">
        <v>1.9</v>
      </c>
      <c r="H691" t="n">
        <v>0</v>
      </c>
      <c r="I691" t="n">
        <v>0</v>
      </c>
      <c r="J691" t="n">
        <v>0</v>
      </c>
      <c r="K691" t="n">
        <v>0</v>
      </c>
      <c r="L691" t="n">
        <v>0</v>
      </c>
      <c r="M691" t="n">
        <v>0</v>
      </c>
      <c r="N691" t="n">
        <v>0</v>
      </c>
      <c r="O691" t="n">
        <v>0</v>
      </c>
      <c r="P691" t="n">
        <v>0</v>
      </c>
      <c r="Q691" t="n">
        <v>0</v>
      </c>
      <c r="R691" s="2" t="inlineStr"/>
    </row>
    <row r="692" ht="15" customHeight="1">
      <c r="A692" t="inlineStr">
        <is>
          <t>A 23260-2024</t>
        </is>
      </c>
      <c r="B692" s="1" t="n">
        <v>45453.36664351852</v>
      </c>
      <c r="C692" s="1" t="n">
        <v>46182</v>
      </c>
      <c r="D692" t="inlineStr">
        <is>
          <t>ÖREBRO LÄN</t>
        </is>
      </c>
      <c r="E692" t="inlineStr">
        <is>
          <t>LINDESBERG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46607-2021</t>
        </is>
      </c>
      <c r="B693" s="1" t="n">
        <v>44445.55690972223</v>
      </c>
      <c r="C693" s="1" t="n">
        <v>46182</v>
      </c>
      <c r="D693" t="inlineStr">
        <is>
          <t>ÖREBRO LÄN</t>
        </is>
      </c>
      <c r="E693" t="inlineStr">
        <is>
          <t>LINDESBERG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44734.64337962963</v>
      </c>
      <c r="C694" s="1" t="n">
        <v>46182</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20930-2025</t>
        </is>
      </c>
      <c r="B695" s="1" t="n">
        <v>45777.42628472222</v>
      </c>
      <c r="C695" s="1" t="n">
        <v>46182</v>
      </c>
      <c r="D695" t="inlineStr">
        <is>
          <t>ÖREBRO LÄN</t>
        </is>
      </c>
      <c r="E695" t="inlineStr">
        <is>
          <t>LINDESBERG</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23181-2026</t>
        </is>
      </c>
      <c r="B696" s="1" t="n">
        <v>46161.68100694445</v>
      </c>
      <c r="C696" s="1" t="n">
        <v>46182</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23184-2026</t>
        </is>
      </c>
      <c r="B697" s="1" t="n">
        <v>46161.68303240741</v>
      </c>
      <c r="C697" s="1" t="n">
        <v>46182</v>
      </c>
      <c r="D697" t="inlineStr">
        <is>
          <t>ÖREBRO LÄN</t>
        </is>
      </c>
      <c r="E697" t="inlineStr">
        <is>
          <t>LINDESBERG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59395-2022</t>
        </is>
      </c>
      <c r="B698" s="1" t="n">
        <v>44906.73321759259</v>
      </c>
      <c r="C698" s="1" t="n">
        <v>46182</v>
      </c>
      <c r="D698" t="inlineStr">
        <is>
          <t>ÖREBRO LÄN</t>
        </is>
      </c>
      <c r="E698" t="inlineStr">
        <is>
          <t>LINDESBERG</t>
        </is>
      </c>
      <c r="G698" t="n">
        <v>4.3</v>
      </c>
      <c r="H698" t="n">
        <v>0</v>
      </c>
      <c r="I698" t="n">
        <v>0</v>
      </c>
      <c r="J698" t="n">
        <v>0</v>
      </c>
      <c r="K698" t="n">
        <v>0</v>
      </c>
      <c r="L698" t="n">
        <v>0</v>
      </c>
      <c r="M698" t="n">
        <v>0</v>
      </c>
      <c r="N698" t="n">
        <v>0</v>
      </c>
      <c r="O698" t="n">
        <v>0</v>
      </c>
      <c r="P698" t="n">
        <v>0</v>
      </c>
      <c r="Q698" t="n">
        <v>0</v>
      </c>
      <c r="R698" s="2" t="inlineStr"/>
    </row>
    <row r="699" ht="15" customHeight="1">
      <c r="A699" t="inlineStr">
        <is>
          <t>A 12795-2025</t>
        </is>
      </c>
      <c r="B699" s="1" t="n">
        <v>45733.60959490741</v>
      </c>
      <c r="C699" s="1" t="n">
        <v>46182</v>
      </c>
      <c r="D699" t="inlineStr">
        <is>
          <t>ÖREBRO LÄN</t>
        </is>
      </c>
      <c r="E699" t="inlineStr">
        <is>
          <t>LINDESBERG</t>
        </is>
      </c>
      <c r="G699" t="n">
        <v>10.8</v>
      </c>
      <c r="H699" t="n">
        <v>0</v>
      </c>
      <c r="I699" t="n">
        <v>0</v>
      </c>
      <c r="J699" t="n">
        <v>0</v>
      </c>
      <c r="K699" t="n">
        <v>0</v>
      </c>
      <c r="L699" t="n">
        <v>0</v>
      </c>
      <c r="M699" t="n">
        <v>0</v>
      </c>
      <c r="N699" t="n">
        <v>0</v>
      </c>
      <c r="O699" t="n">
        <v>0</v>
      </c>
      <c r="P699" t="n">
        <v>0</v>
      </c>
      <c r="Q699" t="n">
        <v>0</v>
      </c>
      <c r="R699" s="2" t="inlineStr"/>
    </row>
    <row r="700" ht="15" customHeight="1">
      <c r="A700" t="inlineStr">
        <is>
          <t>A 19043-2023</t>
        </is>
      </c>
      <c r="B700" s="1" t="n">
        <v>45047.7181712963</v>
      </c>
      <c r="C700" s="1" t="n">
        <v>46182</v>
      </c>
      <c r="D700" t="inlineStr">
        <is>
          <t>ÖREBRO LÄN</t>
        </is>
      </c>
      <c r="E700" t="inlineStr">
        <is>
          <t>LINDESBERG</t>
        </is>
      </c>
      <c r="G700" t="n">
        <v>2.6</v>
      </c>
      <c r="H700" t="n">
        <v>0</v>
      </c>
      <c r="I700" t="n">
        <v>0</v>
      </c>
      <c r="J700" t="n">
        <v>0</v>
      </c>
      <c r="K700" t="n">
        <v>0</v>
      </c>
      <c r="L700" t="n">
        <v>0</v>
      </c>
      <c r="M700" t="n">
        <v>0</v>
      </c>
      <c r="N700" t="n">
        <v>0</v>
      </c>
      <c r="O700" t="n">
        <v>0</v>
      </c>
      <c r="P700" t="n">
        <v>0</v>
      </c>
      <c r="Q700" t="n">
        <v>0</v>
      </c>
      <c r="R700" s="2" t="inlineStr"/>
    </row>
    <row r="701" ht="15" customHeight="1">
      <c r="A701" t="inlineStr">
        <is>
          <t>A 20944-2025</t>
        </is>
      </c>
      <c r="B701" s="1" t="n">
        <v>45777</v>
      </c>
      <c r="C701" s="1" t="n">
        <v>46182</v>
      </c>
      <c r="D701" t="inlineStr">
        <is>
          <t>ÖREBRO LÄN</t>
        </is>
      </c>
      <c r="E701" t="inlineStr">
        <is>
          <t>LINDESBERG</t>
        </is>
      </c>
      <c r="F701" t="inlineStr">
        <is>
          <t>Sveaskog</t>
        </is>
      </c>
      <c r="G701" t="n">
        <v>2.6</v>
      </c>
      <c r="H701" t="n">
        <v>0</v>
      </c>
      <c r="I701" t="n">
        <v>0</v>
      </c>
      <c r="J701" t="n">
        <v>0</v>
      </c>
      <c r="K701" t="n">
        <v>0</v>
      </c>
      <c r="L701" t="n">
        <v>0</v>
      </c>
      <c r="M701" t="n">
        <v>0</v>
      </c>
      <c r="N701" t="n">
        <v>0</v>
      </c>
      <c r="O701" t="n">
        <v>0</v>
      </c>
      <c r="P701" t="n">
        <v>0</v>
      </c>
      <c r="Q701" t="n">
        <v>0</v>
      </c>
      <c r="R701" s="2" t="inlineStr"/>
    </row>
    <row r="702" ht="15" customHeight="1">
      <c r="A702" t="inlineStr">
        <is>
          <t>A 20950-2025</t>
        </is>
      </c>
      <c r="B702" s="1" t="n">
        <v>45777.43878472222</v>
      </c>
      <c r="C702" s="1" t="n">
        <v>46182</v>
      </c>
      <c r="D702" t="inlineStr">
        <is>
          <t>ÖREBRO LÄN</t>
        </is>
      </c>
      <c r="E702" t="inlineStr">
        <is>
          <t>LINDESBERG</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41343-2021</t>
        </is>
      </c>
      <c r="B703" s="1" t="n">
        <v>44424.61709490741</v>
      </c>
      <c r="C703" s="1" t="n">
        <v>46182</v>
      </c>
      <c r="D703" t="inlineStr">
        <is>
          <t>ÖREBRO LÄN</t>
        </is>
      </c>
      <c r="E703" t="inlineStr">
        <is>
          <t>LINDESBERG</t>
        </is>
      </c>
      <c r="G703" t="n">
        <v>8.9</v>
      </c>
      <c r="H703" t="n">
        <v>0</v>
      </c>
      <c r="I703" t="n">
        <v>0</v>
      </c>
      <c r="J703" t="n">
        <v>0</v>
      </c>
      <c r="K703" t="n">
        <v>0</v>
      </c>
      <c r="L703" t="n">
        <v>0</v>
      </c>
      <c r="M703" t="n">
        <v>0</v>
      </c>
      <c r="N703" t="n">
        <v>0</v>
      </c>
      <c r="O703" t="n">
        <v>0</v>
      </c>
      <c r="P703" t="n">
        <v>0</v>
      </c>
      <c r="Q703" t="n">
        <v>0</v>
      </c>
      <c r="R703" s="2" t="inlineStr"/>
    </row>
    <row r="704" ht="15" customHeight="1">
      <c r="A704" t="inlineStr">
        <is>
          <t>A 20804-2025</t>
        </is>
      </c>
      <c r="B704" s="1" t="n">
        <v>45776.65518518518</v>
      </c>
      <c r="C704" s="1" t="n">
        <v>46182</v>
      </c>
      <c r="D704" t="inlineStr">
        <is>
          <t>ÖREBRO LÄN</t>
        </is>
      </c>
      <c r="E704" t="inlineStr">
        <is>
          <t>LINDESBERG</t>
        </is>
      </c>
      <c r="G704" t="n">
        <v>3.2</v>
      </c>
      <c r="H704" t="n">
        <v>0</v>
      </c>
      <c r="I704" t="n">
        <v>0</v>
      </c>
      <c r="J704" t="n">
        <v>0</v>
      </c>
      <c r="K704" t="n">
        <v>0</v>
      </c>
      <c r="L704" t="n">
        <v>0</v>
      </c>
      <c r="M704" t="n">
        <v>0</v>
      </c>
      <c r="N704" t="n">
        <v>0</v>
      </c>
      <c r="O704" t="n">
        <v>0</v>
      </c>
      <c r="P704" t="n">
        <v>0</v>
      </c>
      <c r="Q704" t="n">
        <v>0</v>
      </c>
      <c r="R704" s="2" t="inlineStr"/>
    </row>
    <row r="705" ht="15" customHeight="1">
      <c r="A705" t="inlineStr">
        <is>
          <t>A 43416-2024</t>
        </is>
      </c>
      <c r="B705" s="1" t="n">
        <v>45568.62625</v>
      </c>
      <c r="C705" s="1" t="n">
        <v>46182</v>
      </c>
      <c r="D705" t="inlineStr">
        <is>
          <t>ÖREBRO LÄN</t>
        </is>
      </c>
      <c r="E705" t="inlineStr">
        <is>
          <t>LINDESBERG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10654-2023</t>
        </is>
      </c>
      <c r="B706" s="1" t="n">
        <v>44984</v>
      </c>
      <c r="C706" s="1" t="n">
        <v>46182</v>
      </c>
      <c r="D706" t="inlineStr">
        <is>
          <t>ÖREBRO LÄN</t>
        </is>
      </c>
      <c r="E706" t="inlineStr">
        <is>
          <t>LINDESBERG</t>
        </is>
      </c>
      <c r="G706" t="n">
        <v>1.2</v>
      </c>
      <c r="H706" t="n">
        <v>0</v>
      </c>
      <c r="I706" t="n">
        <v>0</v>
      </c>
      <c r="J706" t="n">
        <v>0</v>
      </c>
      <c r="K706" t="n">
        <v>0</v>
      </c>
      <c r="L706" t="n">
        <v>0</v>
      </c>
      <c r="M706" t="n">
        <v>0</v>
      </c>
      <c r="N706" t="n">
        <v>0</v>
      </c>
      <c r="O706" t="n">
        <v>0</v>
      </c>
      <c r="P706" t="n">
        <v>0</v>
      </c>
      <c r="Q706" t="n">
        <v>0</v>
      </c>
      <c r="R706" s="2" t="inlineStr"/>
    </row>
    <row r="707" ht="15" customHeight="1">
      <c r="A707" t="inlineStr">
        <is>
          <t>A 63125-2023</t>
        </is>
      </c>
      <c r="B707" s="1" t="n">
        <v>45273</v>
      </c>
      <c r="C707" s="1" t="n">
        <v>46182</v>
      </c>
      <c r="D707" t="inlineStr">
        <is>
          <t>ÖREBRO LÄN</t>
        </is>
      </c>
      <c r="E707" t="inlineStr">
        <is>
          <t>LINDESBERG</t>
        </is>
      </c>
      <c r="G707" t="n">
        <v>1.7</v>
      </c>
      <c r="H707" t="n">
        <v>0</v>
      </c>
      <c r="I707" t="n">
        <v>0</v>
      </c>
      <c r="J707" t="n">
        <v>0</v>
      </c>
      <c r="K707" t="n">
        <v>0</v>
      </c>
      <c r="L707" t="n">
        <v>0</v>
      </c>
      <c r="M707" t="n">
        <v>0</v>
      </c>
      <c r="N707" t="n">
        <v>0</v>
      </c>
      <c r="O707" t="n">
        <v>0</v>
      </c>
      <c r="P707" t="n">
        <v>0</v>
      </c>
      <c r="Q707" t="n">
        <v>0</v>
      </c>
      <c r="R707" s="2" t="inlineStr"/>
    </row>
    <row r="708" ht="15" customHeight="1">
      <c r="A708" t="inlineStr">
        <is>
          <t>A 21812-2025</t>
        </is>
      </c>
      <c r="B708" s="1" t="n">
        <v>45783.71833333333</v>
      </c>
      <c r="C708" s="1" t="n">
        <v>46182</v>
      </c>
      <c r="D708" t="inlineStr">
        <is>
          <t>ÖREBRO LÄN</t>
        </is>
      </c>
      <c r="E708" t="inlineStr">
        <is>
          <t>LINDESBERG</t>
        </is>
      </c>
      <c r="G708" t="n">
        <v>0.9</v>
      </c>
      <c r="H708" t="n">
        <v>0</v>
      </c>
      <c r="I708" t="n">
        <v>0</v>
      </c>
      <c r="J708" t="n">
        <v>0</v>
      </c>
      <c r="K708" t="n">
        <v>0</v>
      </c>
      <c r="L708" t="n">
        <v>0</v>
      </c>
      <c r="M708" t="n">
        <v>0</v>
      </c>
      <c r="N708" t="n">
        <v>0</v>
      </c>
      <c r="O708" t="n">
        <v>0</v>
      </c>
      <c r="P708" t="n">
        <v>0</v>
      </c>
      <c r="Q708" t="n">
        <v>0</v>
      </c>
      <c r="R708" s="2" t="inlineStr"/>
    </row>
    <row r="709" ht="15" customHeight="1">
      <c r="A709" t="inlineStr">
        <is>
          <t>A 23190-2026</t>
        </is>
      </c>
      <c r="B709" s="1" t="n">
        <v>46161.6995949074</v>
      </c>
      <c r="C709" s="1" t="n">
        <v>46182</v>
      </c>
      <c r="D709" t="inlineStr">
        <is>
          <t>ÖREBRO LÄN</t>
        </is>
      </c>
      <c r="E709" t="inlineStr">
        <is>
          <t>LINDESBERG</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23191-2026</t>
        </is>
      </c>
      <c r="B710" s="1" t="n">
        <v>46161.70207175926</v>
      </c>
      <c r="C710" s="1" t="n">
        <v>46182</v>
      </c>
      <c r="D710" t="inlineStr">
        <is>
          <t>ÖREBRO LÄN</t>
        </is>
      </c>
      <c r="E710" t="inlineStr">
        <is>
          <t>LINDESBERG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43195-2024</t>
        </is>
      </c>
      <c r="B711" s="1" t="n">
        <v>45567.68003472222</v>
      </c>
      <c r="C711" s="1" t="n">
        <v>46182</v>
      </c>
      <c r="D711" t="inlineStr">
        <is>
          <t>ÖREBRO LÄN</t>
        </is>
      </c>
      <c r="E711" t="inlineStr">
        <is>
          <t>LINDESBERG</t>
        </is>
      </c>
      <c r="G711" t="n">
        <v>27.8</v>
      </c>
      <c r="H711" t="n">
        <v>0</v>
      </c>
      <c r="I711" t="n">
        <v>0</v>
      </c>
      <c r="J711" t="n">
        <v>0</v>
      </c>
      <c r="K711" t="n">
        <v>0</v>
      </c>
      <c r="L711" t="n">
        <v>0</v>
      </c>
      <c r="M711" t="n">
        <v>0</v>
      </c>
      <c r="N711" t="n">
        <v>0</v>
      </c>
      <c r="O711" t="n">
        <v>0</v>
      </c>
      <c r="P711" t="n">
        <v>0</v>
      </c>
      <c r="Q711" t="n">
        <v>0</v>
      </c>
      <c r="R711" s="2" t="inlineStr"/>
    </row>
    <row r="712" ht="15" customHeight="1">
      <c r="A712" t="inlineStr">
        <is>
          <t>A 23338-2026</t>
        </is>
      </c>
      <c r="B712" s="1" t="n">
        <v>46162.56407407407</v>
      </c>
      <c r="C712" s="1" t="n">
        <v>46182</v>
      </c>
      <c r="D712" t="inlineStr">
        <is>
          <t>ÖREBRO LÄN</t>
        </is>
      </c>
      <c r="E712" t="inlineStr">
        <is>
          <t>LINDESBERG</t>
        </is>
      </c>
      <c r="F712" t="inlineStr">
        <is>
          <t>Naturvårdsverket</t>
        </is>
      </c>
      <c r="G712" t="n">
        <v>2.2</v>
      </c>
      <c r="H712" t="n">
        <v>0</v>
      </c>
      <c r="I712" t="n">
        <v>0</v>
      </c>
      <c r="J712" t="n">
        <v>0</v>
      </c>
      <c r="K712" t="n">
        <v>0</v>
      </c>
      <c r="L712" t="n">
        <v>0</v>
      </c>
      <c r="M712" t="n">
        <v>0</v>
      </c>
      <c r="N712" t="n">
        <v>0</v>
      </c>
      <c r="O712" t="n">
        <v>0</v>
      </c>
      <c r="P712" t="n">
        <v>0</v>
      </c>
      <c r="Q712" t="n">
        <v>0</v>
      </c>
      <c r="R712" s="2" t="inlineStr"/>
    </row>
    <row r="713" ht="15" customHeight="1">
      <c r="A713" t="inlineStr">
        <is>
          <t>A 23173-2026</t>
        </is>
      </c>
      <c r="B713" s="1" t="n">
        <v>46161.67074074074</v>
      </c>
      <c r="C713" s="1" t="n">
        <v>46182</v>
      </c>
      <c r="D713" t="inlineStr">
        <is>
          <t>ÖREBRO LÄN</t>
        </is>
      </c>
      <c r="E713" t="inlineStr">
        <is>
          <t>LINDESBERG</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31861-2024</t>
        </is>
      </c>
      <c r="B714" s="1" t="n">
        <v>45509.73383101852</v>
      </c>
      <c r="C714" s="1" t="n">
        <v>46182</v>
      </c>
      <c r="D714" t="inlineStr">
        <is>
          <t>ÖREBRO LÄN</t>
        </is>
      </c>
      <c r="E714" t="inlineStr">
        <is>
          <t>LINDESBERG</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23180-2026</t>
        </is>
      </c>
      <c r="B715" s="1" t="n">
        <v>46161.67895833333</v>
      </c>
      <c r="C715" s="1" t="n">
        <v>46182</v>
      </c>
      <c r="D715" t="inlineStr">
        <is>
          <t>ÖREBRO LÄN</t>
        </is>
      </c>
      <c r="E715" t="inlineStr">
        <is>
          <t>LINDESBERG</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14454-2024</t>
        </is>
      </c>
      <c r="B716" s="1" t="n">
        <v>45394.51289351852</v>
      </c>
      <c r="C716" s="1" t="n">
        <v>46182</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24583-2024</t>
        </is>
      </c>
      <c r="B717" s="1" t="n">
        <v>45460.46358796296</v>
      </c>
      <c r="C717" s="1" t="n">
        <v>46182</v>
      </c>
      <c r="D717" t="inlineStr">
        <is>
          <t>ÖREBRO LÄN</t>
        </is>
      </c>
      <c r="E717" t="inlineStr">
        <is>
          <t>LINDESBERG</t>
        </is>
      </c>
      <c r="G717" t="n">
        <v>13.7</v>
      </c>
      <c r="H717" t="n">
        <v>0</v>
      </c>
      <c r="I717" t="n">
        <v>0</v>
      </c>
      <c r="J717" t="n">
        <v>0</v>
      </c>
      <c r="K717" t="n">
        <v>0</v>
      </c>
      <c r="L717" t="n">
        <v>0</v>
      </c>
      <c r="M717" t="n">
        <v>0</v>
      </c>
      <c r="N717" t="n">
        <v>0</v>
      </c>
      <c r="O717" t="n">
        <v>0</v>
      </c>
      <c r="P717" t="n">
        <v>0</v>
      </c>
      <c r="Q717" t="n">
        <v>0</v>
      </c>
      <c r="R717" s="2" t="inlineStr"/>
    </row>
    <row r="718" ht="15" customHeight="1">
      <c r="A718" t="inlineStr">
        <is>
          <t>A 23175-2026</t>
        </is>
      </c>
      <c r="B718" s="1" t="n">
        <v>46161.6755787037</v>
      </c>
      <c r="C718" s="1" t="n">
        <v>46182</v>
      </c>
      <c r="D718" t="inlineStr">
        <is>
          <t>ÖREBRO LÄN</t>
        </is>
      </c>
      <c r="E718" t="inlineStr">
        <is>
          <t>LINDESBERG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23177-2026</t>
        </is>
      </c>
      <c r="B719" s="1" t="n">
        <v>46161.67731481481</v>
      </c>
      <c r="C719" s="1" t="n">
        <v>46182</v>
      </c>
      <c r="D719" t="inlineStr">
        <is>
          <t>ÖREBRO LÄN</t>
        </is>
      </c>
      <c r="E719" t="inlineStr">
        <is>
          <t>LINDESBERG</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23188-2026</t>
        </is>
      </c>
      <c r="B720" s="1" t="n">
        <v>46161.69788194444</v>
      </c>
      <c r="C720" s="1" t="n">
        <v>46182</v>
      </c>
      <c r="D720" t="inlineStr">
        <is>
          <t>ÖREBRO LÄN</t>
        </is>
      </c>
      <c r="E720" t="inlineStr">
        <is>
          <t>LINDESBERG</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43532-2024</t>
        </is>
      </c>
      <c r="B721" s="1" t="n">
        <v>45569.3533912037</v>
      </c>
      <c r="C721" s="1" t="n">
        <v>46182</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59282-2023</t>
        </is>
      </c>
      <c r="B722" s="1" t="n">
        <v>45253</v>
      </c>
      <c r="C722" s="1" t="n">
        <v>46182</v>
      </c>
      <c r="D722" t="inlineStr">
        <is>
          <t>ÖREBRO LÄN</t>
        </is>
      </c>
      <c r="E722" t="inlineStr">
        <is>
          <t>LINDESBERG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47601-2023</t>
        </is>
      </c>
      <c r="B723" s="1" t="n">
        <v>45203.45681712963</v>
      </c>
      <c r="C723" s="1" t="n">
        <v>46182</v>
      </c>
      <c r="D723" t="inlineStr">
        <is>
          <t>ÖREBRO LÄN</t>
        </is>
      </c>
      <c r="E723" t="inlineStr">
        <is>
          <t>LINDESBERG</t>
        </is>
      </c>
      <c r="G723" t="n">
        <v>37.6</v>
      </c>
      <c r="H723" t="n">
        <v>0</v>
      </c>
      <c r="I723" t="n">
        <v>0</v>
      </c>
      <c r="J723" t="n">
        <v>0</v>
      </c>
      <c r="K723" t="n">
        <v>0</v>
      </c>
      <c r="L723" t="n">
        <v>0</v>
      </c>
      <c r="M723" t="n">
        <v>0</v>
      </c>
      <c r="N723" t="n">
        <v>0</v>
      </c>
      <c r="O723" t="n">
        <v>0</v>
      </c>
      <c r="P723" t="n">
        <v>0</v>
      </c>
      <c r="Q723" t="n">
        <v>0</v>
      </c>
      <c r="R723" s="2" t="inlineStr"/>
    </row>
    <row r="724" ht="15" customHeight="1">
      <c r="A724" t="inlineStr">
        <is>
          <t>A 22078-2025</t>
        </is>
      </c>
      <c r="B724" s="1" t="n">
        <v>45785.4253125</v>
      </c>
      <c r="C724" s="1" t="n">
        <v>46182</v>
      </c>
      <c r="D724" t="inlineStr">
        <is>
          <t>ÖREBRO LÄN</t>
        </is>
      </c>
      <c r="E724" t="inlineStr">
        <is>
          <t>LINDESBERG</t>
        </is>
      </c>
      <c r="G724" t="n">
        <v>2.4</v>
      </c>
      <c r="H724" t="n">
        <v>0</v>
      </c>
      <c r="I724" t="n">
        <v>0</v>
      </c>
      <c r="J724" t="n">
        <v>0</v>
      </c>
      <c r="K724" t="n">
        <v>0</v>
      </c>
      <c r="L724" t="n">
        <v>0</v>
      </c>
      <c r="M724" t="n">
        <v>0</v>
      </c>
      <c r="N724" t="n">
        <v>0</v>
      </c>
      <c r="O724" t="n">
        <v>0</v>
      </c>
      <c r="P724" t="n">
        <v>0</v>
      </c>
      <c r="Q724" t="n">
        <v>0</v>
      </c>
      <c r="R724" s="2" t="inlineStr"/>
    </row>
    <row r="725" ht="15" customHeight="1">
      <c r="A725" t="inlineStr">
        <is>
          <t>A 53355-2023</t>
        </is>
      </c>
      <c r="B725" s="1" t="n">
        <v>45229.66430555555</v>
      </c>
      <c r="C725" s="1" t="n">
        <v>46182</v>
      </c>
      <c r="D725" t="inlineStr">
        <is>
          <t>ÖREBRO LÄN</t>
        </is>
      </c>
      <c r="E725" t="inlineStr">
        <is>
          <t>LINDESBERG</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62308-2023</t>
        </is>
      </c>
      <c r="B726" s="1" t="n">
        <v>45267.69052083333</v>
      </c>
      <c r="C726" s="1" t="n">
        <v>46182</v>
      </c>
      <c r="D726" t="inlineStr">
        <is>
          <t>ÖREBRO LÄN</t>
        </is>
      </c>
      <c r="E726" t="inlineStr">
        <is>
          <t>LINDESBERG</t>
        </is>
      </c>
      <c r="F726" t="inlineStr">
        <is>
          <t>Naturvårdsverket</t>
        </is>
      </c>
      <c r="G726" t="n">
        <v>3.1</v>
      </c>
      <c r="H726" t="n">
        <v>0</v>
      </c>
      <c r="I726" t="n">
        <v>0</v>
      </c>
      <c r="J726" t="n">
        <v>0</v>
      </c>
      <c r="K726" t="n">
        <v>0</v>
      </c>
      <c r="L726" t="n">
        <v>0</v>
      </c>
      <c r="M726" t="n">
        <v>0</v>
      </c>
      <c r="N726" t="n">
        <v>0</v>
      </c>
      <c r="O726" t="n">
        <v>0</v>
      </c>
      <c r="P726" t="n">
        <v>0</v>
      </c>
      <c r="Q726" t="n">
        <v>0</v>
      </c>
      <c r="R726" s="2" t="inlineStr"/>
    </row>
    <row r="727" ht="15" customHeight="1">
      <c r="A727" t="inlineStr">
        <is>
          <t>A 54860-2024</t>
        </is>
      </c>
      <c r="B727" s="1" t="n">
        <v>45618.59219907408</v>
      </c>
      <c r="C727" s="1" t="n">
        <v>46182</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36680-2024</t>
        </is>
      </c>
      <c r="B728" s="1" t="n">
        <v>45537.65305555556</v>
      </c>
      <c r="C728" s="1" t="n">
        <v>46182</v>
      </c>
      <c r="D728" t="inlineStr">
        <is>
          <t>ÖREBRO LÄN</t>
        </is>
      </c>
      <c r="E728" t="inlineStr">
        <is>
          <t>LINDESBERG</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17663-2026</t>
        </is>
      </c>
      <c r="B729" s="1" t="n">
        <v>46121.57420138889</v>
      </c>
      <c r="C729" s="1" t="n">
        <v>46182</v>
      </c>
      <c r="D729" t="inlineStr">
        <is>
          <t>ÖREBRO LÄN</t>
        </is>
      </c>
      <c r="E729" t="inlineStr">
        <is>
          <t>LINDESBERG</t>
        </is>
      </c>
      <c r="G729" t="n">
        <v>3.2</v>
      </c>
      <c r="H729" t="n">
        <v>0</v>
      </c>
      <c r="I729" t="n">
        <v>0</v>
      </c>
      <c r="J729" t="n">
        <v>0</v>
      </c>
      <c r="K729" t="n">
        <v>0</v>
      </c>
      <c r="L729" t="n">
        <v>0</v>
      </c>
      <c r="M729" t="n">
        <v>0</v>
      </c>
      <c r="N729" t="n">
        <v>0</v>
      </c>
      <c r="O729" t="n">
        <v>0</v>
      </c>
      <c r="P729" t="n">
        <v>0</v>
      </c>
      <c r="Q729" t="n">
        <v>0</v>
      </c>
      <c r="R729" s="2" t="inlineStr"/>
    </row>
    <row r="730" ht="15" customHeight="1">
      <c r="A730" t="inlineStr">
        <is>
          <t>A 36686-2024</t>
        </is>
      </c>
      <c r="B730" s="1" t="n">
        <v>45537.665</v>
      </c>
      <c r="C730" s="1" t="n">
        <v>46182</v>
      </c>
      <c r="D730" t="inlineStr">
        <is>
          <t>ÖREBRO LÄN</t>
        </is>
      </c>
      <c r="E730" t="inlineStr">
        <is>
          <t>LINDESBERG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28776-2023</t>
        </is>
      </c>
      <c r="B731" s="1" t="n">
        <v>45104.34107638889</v>
      </c>
      <c r="C731" s="1" t="n">
        <v>46182</v>
      </c>
      <c r="D731" t="inlineStr">
        <is>
          <t>ÖREBRO LÄN</t>
        </is>
      </c>
      <c r="E731" t="inlineStr">
        <is>
          <t>LINDESBERG</t>
        </is>
      </c>
      <c r="F731" t="inlineStr">
        <is>
          <t>Sveaskog</t>
        </is>
      </c>
      <c r="G731" t="n">
        <v>4.1</v>
      </c>
      <c r="H731" t="n">
        <v>0</v>
      </c>
      <c r="I731" t="n">
        <v>0</v>
      </c>
      <c r="J731" t="n">
        <v>0</v>
      </c>
      <c r="K731" t="n">
        <v>0</v>
      </c>
      <c r="L731" t="n">
        <v>0</v>
      </c>
      <c r="M731" t="n">
        <v>0</v>
      </c>
      <c r="N731" t="n">
        <v>0</v>
      </c>
      <c r="O731" t="n">
        <v>0</v>
      </c>
      <c r="P731" t="n">
        <v>0</v>
      </c>
      <c r="Q731" t="n">
        <v>0</v>
      </c>
      <c r="R731" s="2" t="inlineStr"/>
    </row>
    <row r="732" ht="15" customHeight="1">
      <c r="A732" t="inlineStr">
        <is>
          <t>A 23910-2026</t>
        </is>
      </c>
      <c r="B732" s="1" t="n">
        <v>46167.49278935185</v>
      </c>
      <c r="C732" s="1" t="n">
        <v>46182</v>
      </c>
      <c r="D732" t="inlineStr">
        <is>
          <t>ÖREBRO LÄN</t>
        </is>
      </c>
      <c r="E732" t="inlineStr">
        <is>
          <t>LINDESBERG</t>
        </is>
      </c>
      <c r="F732" t="inlineStr">
        <is>
          <t>Naturvårdsverket</t>
        </is>
      </c>
      <c r="G732" t="n">
        <v>2.7</v>
      </c>
      <c r="H732" t="n">
        <v>0</v>
      </c>
      <c r="I732" t="n">
        <v>0</v>
      </c>
      <c r="J732" t="n">
        <v>0</v>
      </c>
      <c r="K732" t="n">
        <v>0</v>
      </c>
      <c r="L732" t="n">
        <v>0</v>
      </c>
      <c r="M732" t="n">
        <v>0</v>
      </c>
      <c r="N732" t="n">
        <v>0</v>
      </c>
      <c r="O732" t="n">
        <v>0</v>
      </c>
      <c r="P732" t="n">
        <v>0</v>
      </c>
      <c r="Q732" t="n">
        <v>0</v>
      </c>
      <c r="R732" s="2" t="inlineStr"/>
    </row>
    <row r="733" ht="15" customHeight="1">
      <c r="A733" t="inlineStr">
        <is>
          <t>A 8612-2024</t>
        </is>
      </c>
      <c r="B733" s="1" t="n">
        <v>45355.70009259259</v>
      </c>
      <c r="C733" s="1" t="n">
        <v>46182</v>
      </c>
      <c r="D733" t="inlineStr">
        <is>
          <t>ÖREBRO LÄN</t>
        </is>
      </c>
      <c r="E733" t="inlineStr">
        <is>
          <t>LINDESBERG</t>
        </is>
      </c>
      <c r="G733" t="n">
        <v>4.5</v>
      </c>
      <c r="H733" t="n">
        <v>0</v>
      </c>
      <c r="I733" t="n">
        <v>0</v>
      </c>
      <c r="J733" t="n">
        <v>0</v>
      </c>
      <c r="K733" t="n">
        <v>0</v>
      </c>
      <c r="L733" t="n">
        <v>0</v>
      </c>
      <c r="M733" t="n">
        <v>0</v>
      </c>
      <c r="N733" t="n">
        <v>0</v>
      </c>
      <c r="O733" t="n">
        <v>0</v>
      </c>
      <c r="P733" t="n">
        <v>0</v>
      </c>
      <c r="Q733" t="n">
        <v>0</v>
      </c>
      <c r="R733" s="2" t="inlineStr"/>
    </row>
    <row r="734" ht="15" customHeight="1">
      <c r="A734" t="inlineStr">
        <is>
          <t>A 18220-2026</t>
        </is>
      </c>
      <c r="B734" s="1" t="n">
        <v>46126.30818287037</v>
      </c>
      <c r="C734" s="1" t="n">
        <v>46182</v>
      </c>
      <c r="D734" t="inlineStr">
        <is>
          <t>ÖREBRO LÄN</t>
        </is>
      </c>
      <c r="E734" t="inlineStr">
        <is>
          <t>LINDESBERG</t>
        </is>
      </c>
      <c r="G734" t="n">
        <v>5.7</v>
      </c>
      <c r="H734" t="n">
        <v>0</v>
      </c>
      <c r="I734" t="n">
        <v>0</v>
      </c>
      <c r="J734" t="n">
        <v>0</v>
      </c>
      <c r="K734" t="n">
        <v>0</v>
      </c>
      <c r="L734" t="n">
        <v>0</v>
      </c>
      <c r="M734" t="n">
        <v>0</v>
      </c>
      <c r="N734" t="n">
        <v>0</v>
      </c>
      <c r="O734" t="n">
        <v>0</v>
      </c>
      <c r="P734" t="n">
        <v>0</v>
      </c>
      <c r="Q734" t="n">
        <v>0</v>
      </c>
      <c r="R734" s="2" t="inlineStr"/>
    </row>
    <row r="735" ht="15" customHeight="1">
      <c r="A735" t="inlineStr">
        <is>
          <t>A 7126-2025</t>
        </is>
      </c>
      <c r="B735" s="1" t="n">
        <v>45702</v>
      </c>
      <c r="C735" s="1" t="n">
        <v>46182</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59641-2024</t>
        </is>
      </c>
      <c r="B736" s="1" t="n">
        <v>45639.30934027778</v>
      </c>
      <c r="C736" s="1" t="n">
        <v>46182</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42707-2023</t>
        </is>
      </c>
      <c r="B737" s="1" t="n">
        <v>45181</v>
      </c>
      <c r="C737" s="1" t="n">
        <v>46182</v>
      </c>
      <c r="D737" t="inlineStr">
        <is>
          <t>ÖREBRO LÄN</t>
        </is>
      </c>
      <c r="E737" t="inlineStr">
        <is>
          <t>LINDESBERG</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17779-2024</t>
        </is>
      </c>
      <c r="B738" s="1" t="n">
        <v>45418.66800925926</v>
      </c>
      <c r="C738" s="1" t="n">
        <v>46182</v>
      </c>
      <c r="D738" t="inlineStr">
        <is>
          <t>ÖREBRO LÄN</t>
        </is>
      </c>
      <c r="E738" t="inlineStr">
        <is>
          <t>LINDESBERG</t>
        </is>
      </c>
      <c r="G738" t="n">
        <v>3.7</v>
      </c>
      <c r="H738" t="n">
        <v>0</v>
      </c>
      <c r="I738" t="n">
        <v>0</v>
      </c>
      <c r="J738" t="n">
        <v>0</v>
      </c>
      <c r="K738" t="n">
        <v>0</v>
      </c>
      <c r="L738" t="n">
        <v>0</v>
      </c>
      <c r="M738" t="n">
        <v>0</v>
      </c>
      <c r="N738" t="n">
        <v>0</v>
      </c>
      <c r="O738" t="n">
        <v>0</v>
      </c>
      <c r="P738" t="n">
        <v>0</v>
      </c>
      <c r="Q738" t="n">
        <v>0</v>
      </c>
      <c r="R738" s="2" t="inlineStr"/>
    </row>
    <row r="739" ht="15" customHeight="1">
      <c r="A739" t="inlineStr">
        <is>
          <t>A 54793-2024</t>
        </is>
      </c>
      <c r="B739" s="1" t="n">
        <v>45618</v>
      </c>
      <c r="C739" s="1" t="n">
        <v>46182</v>
      </c>
      <c r="D739" t="inlineStr">
        <is>
          <t>ÖREBRO LÄN</t>
        </is>
      </c>
      <c r="E739" t="inlineStr">
        <is>
          <t>LINDESBERG</t>
        </is>
      </c>
      <c r="G739" t="n">
        <v>3</v>
      </c>
      <c r="H739" t="n">
        <v>0</v>
      </c>
      <c r="I739" t="n">
        <v>0</v>
      </c>
      <c r="J739" t="n">
        <v>0</v>
      </c>
      <c r="K739" t="n">
        <v>0</v>
      </c>
      <c r="L739" t="n">
        <v>0</v>
      </c>
      <c r="M739" t="n">
        <v>0</v>
      </c>
      <c r="N739" t="n">
        <v>0</v>
      </c>
      <c r="O739" t="n">
        <v>0</v>
      </c>
      <c r="P739" t="n">
        <v>0</v>
      </c>
      <c r="Q739" t="n">
        <v>0</v>
      </c>
      <c r="R739" s="2" t="inlineStr"/>
    </row>
    <row r="740" ht="15" customHeight="1">
      <c r="A740" t="inlineStr">
        <is>
          <t>A 9961-2023</t>
        </is>
      </c>
      <c r="B740" s="1" t="n">
        <v>44979</v>
      </c>
      <c r="C740" s="1" t="n">
        <v>46182</v>
      </c>
      <c r="D740" t="inlineStr">
        <is>
          <t>ÖREBRO LÄN</t>
        </is>
      </c>
      <c r="E740" t="inlineStr">
        <is>
          <t>LINDESBERG</t>
        </is>
      </c>
      <c r="G740" t="n">
        <v>4.8</v>
      </c>
      <c r="H740" t="n">
        <v>0</v>
      </c>
      <c r="I740" t="n">
        <v>0</v>
      </c>
      <c r="J740" t="n">
        <v>0</v>
      </c>
      <c r="K740" t="n">
        <v>0</v>
      </c>
      <c r="L740" t="n">
        <v>0</v>
      </c>
      <c r="M740" t="n">
        <v>0</v>
      </c>
      <c r="N740" t="n">
        <v>0</v>
      </c>
      <c r="O740" t="n">
        <v>0</v>
      </c>
      <c r="P740" t="n">
        <v>0</v>
      </c>
      <c r="Q740" t="n">
        <v>0</v>
      </c>
      <c r="R740" s="2" t="inlineStr"/>
    </row>
    <row r="741" ht="15" customHeight="1">
      <c r="A741" t="inlineStr">
        <is>
          <t>A 23912-2026</t>
        </is>
      </c>
      <c r="B741" s="1" t="n">
        <v>46167.49552083333</v>
      </c>
      <c r="C741" s="1" t="n">
        <v>46182</v>
      </c>
      <c r="D741" t="inlineStr">
        <is>
          <t>ÖREBRO LÄN</t>
        </is>
      </c>
      <c r="E741" t="inlineStr">
        <is>
          <t>LINDESBERG</t>
        </is>
      </c>
      <c r="F741" t="inlineStr">
        <is>
          <t>Naturvårdsverket</t>
        </is>
      </c>
      <c r="G741" t="n">
        <v>5.5</v>
      </c>
      <c r="H741" t="n">
        <v>0</v>
      </c>
      <c r="I741" t="n">
        <v>0</v>
      </c>
      <c r="J741" t="n">
        <v>0</v>
      </c>
      <c r="K741" t="n">
        <v>0</v>
      </c>
      <c r="L741" t="n">
        <v>0</v>
      </c>
      <c r="M741" t="n">
        <v>0</v>
      </c>
      <c r="N741" t="n">
        <v>0</v>
      </c>
      <c r="O741" t="n">
        <v>0</v>
      </c>
      <c r="P741" t="n">
        <v>0</v>
      </c>
      <c r="Q741" t="n">
        <v>0</v>
      </c>
      <c r="R741" s="2" t="inlineStr"/>
    </row>
    <row r="742" ht="15" customHeight="1">
      <c r="A742" t="inlineStr">
        <is>
          <t>A 23914-2026</t>
        </is>
      </c>
      <c r="B742" s="1" t="n">
        <v>46167.50077546296</v>
      </c>
      <c r="C742" s="1" t="n">
        <v>46182</v>
      </c>
      <c r="D742" t="inlineStr">
        <is>
          <t>ÖREBRO LÄN</t>
        </is>
      </c>
      <c r="E742" t="inlineStr">
        <is>
          <t>LINDESBERG</t>
        </is>
      </c>
      <c r="F742" t="inlineStr">
        <is>
          <t>Naturvårdsverket</t>
        </is>
      </c>
      <c r="G742" t="n">
        <v>3</v>
      </c>
      <c r="H742" t="n">
        <v>0</v>
      </c>
      <c r="I742" t="n">
        <v>0</v>
      </c>
      <c r="J742" t="n">
        <v>0</v>
      </c>
      <c r="K742" t="n">
        <v>0</v>
      </c>
      <c r="L742" t="n">
        <v>0</v>
      </c>
      <c r="M742" t="n">
        <v>0</v>
      </c>
      <c r="N742" t="n">
        <v>0</v>
      </c>
      <c r="O742" t="n">
        <v>0</v>
      </c>
      <c r="P742" t="n">
        <v>0</v>
      </c>
      <c r="Q742" t="n">
        <v>0</v>
      </c>
      <c r="R742" s="2" t="inlineStr"/>
    </row>
    <row r="743" ht="15" customHeight="1">
      <c r="A743" t="inlineStr">
        <is>
          <t>A 1400-2025</t>
        </is>
      </c>
      <c r="B743" s="1" t="n">
        <v>45667</v>
      </c>
      <c r="C743" s="1" t="n">
        <v>46182</v>
      </c>
      <c r="D743" t="inlineStr">
        <is>
          <t>ÖREBRO LÄN</t>
        </is>
      </c>
      <c r="E743" t="inlineStr">
        <is>
          <t>LINDESBERG</t>
        </is>
      </c>
      <c r="F743" t="inlineStr">
        <is>
          <t>Allmännings- och besparingsskogar</t>
        </is>
      </c>
      <c r="G743" t="n">
        <v>11.3</v>
      </c>
      <c r="H743" t="n">
        <v>0</v>
      </c>
      <c r="I743" t="n">
        <v>0</v>
      </c>
      <c r="J743" t="n">
        <v>0</v>
      </c>
      <c r="K743" t="n">
        <v>0</v>
      </c>
      <c r="L743" t="n">
        <v>0</v>
      </c>
      <c r="M743" t="n">
        <v>0</v>
      </c>
      <c r="N743" t="n">
        <v>0</v>
      </c>
      <c r="O743" t="n">
        <v>0</v>
      </c>
      <c r="P743" t="n">
        <v>0</v>
      </c>
      <c r="Q743" t="n">
        <v>0</v>
      </c>
      <c r="R743" s="2" t="inlineStr"/>
    </row>
    <row r="744" ht="15" customHeight="1">
      <c r="A744" t="inlineStr">
        <is>
          <t>A 21202-2024</t>
        </is>
      </c>
      <c r="B744" s="1" t="n">
        <v>45440.5433912037</v>
      </c>
      <c r="C744" s="1" t="n">
        <v>46182</v>
      </c>
      <c r="D744" t="inlineStr">
        <is>
          <t>ÖREBRO LÄN</t>
        </is>
      </c>
      <c r="E744" t="inlineStr">
        <is>
          <t>LINDESBERG</t>
        </is>
      </c>
      <c r="G744" t="n">
        <v>4</v>
      </c>
      <c r="H744" t="n">
        <v>0</v>
      </c>
      <c r="I744" t="n">
        <v>0</v>
      </c>
      <c r="J744" t="n">
        <v>0</v>
      </c>
      <c r="K744" t="n">
        <v>0</v>
      </c>
      <c r="L744" t="n">
        <v>0</v>
      </c>
      <c r="M744" t="n">
        <v>0</v>
      </c>
      <c r="N744" t="n">
        <v>0</v>
      </c>
      <c r="O744" t="n">
        <v>0</v>
      </c>
      <c r="P744" t="n">
        <v>0</v>
      </c>
      <c r="Q744" t="n">
        <v>0</v>
      </c>
      <c r="R744" s="2" t="inlineStr"/>
    </row>
    <row r="745" ht="15" customHeight="1">
      <c r="A745" t="inlineStr">
        <is>
          <t>A 18061-2026</t>
        </is>
      </c>
      <c r="B745" s="1" t="n">
        <v>46125.46030092592</v>
      </c>
      <c r="C745" s="1" t="n">
        <v>46182</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5047-2023</t>
        </is>
      </c>
      <c r="B746" s="1" t="n">
        <v>44958.58982638889</v>
      </c>
      <c r="C746" s="1" t="n">
        <v>46182</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18636-2026</t>
        </is>
      </c>
      <c r="B747" s="1" t="n">
        <v>46128.31521990741</v>
      </c>
      <c r="C747" s="1" t="n">
        <v>46182</v>
      </c>
      <c r="D747" t="inlineStr">
        <is>
          <t>ÖREBRO LÄN</t>
        </is>
      </c>
      <c r="E747" t="inlineStr">
        <is>
          <t>LINDESBERG</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18590-2023</t>
        </is>
      </c>
      <c r="B748" s="1" t="n">
        <v>45043.40300925926</v>
      </c>
      <c r="C748" s="1" t="n">
        <v>46182</v>
      </c>
      <c r="D748" t="inlineStr">
        <is>
          <t>ÖREBRO LÄN</t>
        </is>
      </c>
      <c r="E748" t="inlineStr">
        <is>
          <t>LINDESBERG</t>
        </is>
      </c>
      <c r="G748" t="n">
        <v>2.4</v>
      </c>
      <c r="H748" t="n">
        <v>0</v>
      </c>
      <c r="I748" t="n">
        <v>0</v>
      </c>
      <c r="J748" t="n">
        <v>0</v>
      </c>
      <c r="K748" t="n">
        <v>0</v>
      </c>
      <c r="L748" t="n">
        <v>0</v>
      </c>
      <c r="M748" t="n">
        <v>0</v>
      </c>
      <c r="N748" t="n">
        <v>0</v>
      </c>
      <c r="O748" t="n">
        <v>0</v>
      </c>
      <c r="P748" t="n">
        <v>0</v>
      </c>
      <c r="Q748" t="n">
        <v>0</v>
      </c>
      <c r="R748" s="2" t="inlineStr"/>
    </row>
    <row r="749" ht="15" customHeight="1">
      <c r="A749" t="inlineStr">
        <is>
          <t>A 18640-2026</t>
        </is>
      </c>
      <c r="B749" s="1" t="n">
        <v>46128.32461805556</v>
      </c>
      <c r="C749" s="1" t="n">
        <v>46182</v>
      </c>
      <c r="D749" t="inlineStr">
        <is>
          <t>ÖREBRO LÄN</t>
        </is>
      </c>
      <c r="E749" t="inlineStr">
        <is>
          <t>LINDESBERG</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23844-2025</t>
        </is>
      </c>
      <c r="B750" s="1" t="n">
        <v>45793.62422453704</v>
      </c>
      <c r="C750" s="1" t="n">
        <v>46182</v>
      </c>
      <c r="D750" t="inlineStr">
        <is>
          <t>ÖREBRO LÄN</t>
        </is>
      </c>
      <c r="E750" t="inlineStr">
        <is>
          <t>LINDESBERG</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24186-2024</t>
        </is>
      </c>
      <c r="B751" s="1" t="n">
        <v>45456.90869212963</v>
      </c>
      <c r="C751" s="1" t="n">
        <v>46182</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5784-2025</t>
        </is>
      </c>
      <c r="B752" s="1" t="n">
        <v>45694</v>
      </c>
      <c r="C752" s="1" t="n">
        <v>46182</v>
      </c>
      <c r="D752" t="inlineStr">
        <is>
          <t>ÖREBRO LÄN</t>
        </is>
      </c>
      <c r="E752" t="inlineStr">
        <is>
          <t>LINDESBERG</t>
        </is>
      </c>
      <c r="F752" t="inlineStr">
        <is>
          <t>Allmännings- och besparingsskogar</t>
        </is>
      </c>
      <c r="G752" t="n">
        <v>1.6</v>
      </c>
      <c r="H752" t="n">
        <v>0</v>
      </c>
      <c r="I752" t="n">
        <v>0</v>
      </c>
      <c r="J752" t="n">
        <v>0</v>
      </c>
      <c r="K752" t="n">
        <v>0</v>
      </c>
      <c r="L752" t="n">
        <v>0</v>
      </c>
      <c r="M752" t="n">
        <v>0</v>
      </c>
      <c r="N752" t="n">
        <v>0</v>
      </c>
      <c r="O752" t="n">
        <v>0</v>
      </c>
      <c r="P752" t="n">
        <v>0</v>
      </c>
      <c r="Q752" t="n">
        <v>0</v>
      </c>
      <c r="R752" s="2" t="inlineStr"/>
    </row>
    <row r="753" ht="15" customHeight="1">
      <c r="A753" t="inlineStr">
        <is>
          <t>A 18634-2026</t>
        </is>
      </c>
      <c r="B753" s="1" t="n">
        <v>46128.31271990741</v>
      </c>
      <c r="C753" s="1" t="n">
        <v>46182</v>
      </c>
      <c r="D753" t="inlineStr">
        <is>
          <t>ÖREBRO LÄN</t>
        </is>
      </c>
      <c r="E753" t="inlineStr">
        <is>
          <t>LINDESBERG</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23932-2025</t>
        </is>
      </c>
      <c r="B754" s="1" t="n">
        <v>45795.70912037037</v>
      </c>
      <c r="C754" s="1" t="n">
        <v>46182</v>
      </c>
      <c r="D754" t="inlineStr">
        <is>
          <t>ÖREBRO LÄN</t>
        </is>
      </c>
      <c r="E754" t="inlineStr">
        <is>
          <t>LINDESBERG</t>
        </is>
      </c>
      <c r="G754" t="n">
        <v>2</v>
      </c>
      <c r="H754" t="n">
        <v>0</v>
      </c>
      <c r="I754" t="n">
        <v>0</v>
      </c>
      <c r="J754" t="n">
        <v>0</v>
      </c>
      <c r="K754" t="n">
        <v>0</v>
      </c>
      <c r="L754" t="n">
        <v>0</v>
      </c>
      <c r="M754" t="n">
        <v>0</v>
      </c>
      <c r="N754" t="n">
        <v>0</v>
      </c>
      <c r="O754" t="n">
        <v>0</v>
      </c>
      <c r="P754" t="n">
        <v>0</v>
      </c>
      <c r="Q754" t="n">
        <v>0</v>
      </c>
      <c r="R754" s="2" t="inlineStr"/>
    </row>
    <row r="755" ht="15" customHeight="1">
      <c r="A755" t="inlineStr">
        <is>
          <t>A 37125-2023</t>
        </is>
      </c>
      <c r="B755" s="1" t="n">
        <v>45155.5653125</v>
      </c>
      <c r="C755" s="1" t="n">
        <v>46182</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16448-2025</t>
        </is>
      </c>
      <c r="B756" s="1" t="n">
        <v>45751.5056712963</v>
      </c>
      <c r="C756" s="1" t="n">
        <v>46182</v>
      </c>
      <c r="D756" t="inlineStr">
        <is>
          <t>ÖREBRO LÄN</t>
        </is>
      </c>
      <c r="E756" t="inlineStr">
        <is>
          <t>LINDESBERG</t>
        </is>
      </c>
      <c r="G756" t="n">
        <v>20.1</v>
      </c>
      <c r="H756" t="n">
        <v>0</v>
      </c>
      <c r="I756" t="n">
        <v>0</v>
      </c>
      <c r="J756" t="n">
        <v>0</v>
      </c>
      <c r="K756" t="n">
        <v>0</v>
      </c>
      <c r="L756" t="n">
        <v>0</v>
      </c>
      <c r="M756" t="n">
        <v>0</v>
      </c>
      <c r="N756" t="n">
        <v>0</v>
      </c>
      <c r="O756" t="n">
        <v>0</v>
      </c>
      <c r="P756" t="n">
        <v>0</v>
      </c>
      <c r="Q756" t="n">
        <v>0</v>
      </c>
      <c r="R756" s="2" t="inlineStr"/>
    </row>
    <row r="757" ht="15" customHeight="1">
      <c r="A757" t="inlineStr">
        <is>
          <t>A 57944-2023</t>
        </is>
      </c>
      <c r="B757" s="1" t="n">
        <v>45244</v>
      </c>
      <c r="C757" s="1" t="n">
        <v>46182</v>
      </c>
      <c r="D757" t="inlineStr">
        <is>
          <t>ÖREBRO LÄN</t>
        </is>
      </c>
      <c r="E757" t="inlineStr">
        <is>
          <t>LINDESBERG</t>
        </is>
      </c>
      <c r="G757" t="n">
        <v>2.4</v>
      </c>
      <c r="H757" t="n">
        <v>0</v>
      </c>
      <c r="I757" t="n">
        <v>0</v>
      </c>
      <c r="J757" t="n">
        <v>0</v>
      </c>
      <c r="K757" t="n">
        <v>0</v>
      </c>
      <c r="L757" t="n">
        <v>0</v>
      </c>
      <c r="M757" t="n">
        <v>0</v>
      </c>
      <c r="N757" t="n">
        <v>0</v>
      </c>
      <c r="O757" t="n">
        <v>0</v>
      </c>
      <c r="P757" t="n">
        <v>0</v>
      </c>
      <c r="Q757" t="n">
        <v>0</v>
      </c>
      <c r="R757" s="2" t="inlineStr"/>
    </row>
    <row r="758" ht="15" customHeight="1">
      <c r="A758" t="inlineStr">
        <is>
          <t>A 54432-2023</t>
        </is>
      </c>
      <c r="B758" s="1" t="n">
        <v>45233.42121527778</v>
      </c>
      <c r="C758" s="1" t="n">
        <v>46182</v>
      </c>
      <c r="D758" t="inlineStr">
        <is>
          <t>ÖREBRO LÄN</t>
        </is>
      </c>
      <c r="E758" t="inlineStr">
        <is>
          <t>LINDESBERG</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24017-2025</t>
        </is>
      </c>
      <c r="B759" s="1" t="n">
        <v>45796.44885416667</v>
      </c>
      <c r="C759" s="1" t="n">
        <v>46182</v>
      </c>
      <c r="D759" t="inlineStr">
        <is>
          <t>ÖREBRO LÄN</t>
        </is>
      </c>
      <c r="E759" t="inlineStr">
        <is>
          <t>LINDESBERG</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24107-2025</t>
        </is>
      </c>
      <c r="B760" s="1" t="n">
        <v>45796</v>
      </c>
      <c r="C760" s="1" t="n">
        <v>46182</v>
      </c>
      <c r="D760" t="inlineStr">
        <is>
          <t>ÖREBRO LÄN</t>
        </is>
      </c>
      <c r="E760" t="inlineStr">
        <is>
          <t>LINDESBERG</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24565-2026</t>
        </is>
      </c>
      <c r="B761" s="1" t="n">
        <v>46170.61527777778</v>
      </c>
      <c r="C761" s="1" t="n">
        <v>46182</v>
      </c>
      <c r="D761" t="inlineStr">
        <is>
          <t>ÖREBRO LÄN</t>
        </is>
      </c>
      <c r="E761" t="inlineStr">
        <is>
          <t>LINDESBERG</t>
        </is>
      </c>
      <c r="F761" t="inlineStr">
        <is>
          <t>Kommuner</t>
        </is>
      </c>
      <c r="G761" t="n">
        <v>2.6</v>
      </c>
      <c r="H761" t="n">
        <v>0</v>
      </c>
      <c r="I761" t="n">
        <v>0</v>
      </c>
      <c r="J761" t="n">
        <v>0</v>
      </c>
      <c r="K761" t="n">
        <v>0</v>
      </c>
      <c r="L761" t="n">
        <v>0</v>
      </c>
      <c r="M761" t="n">
        <v>0</v>
      </c>
      <c r="N761" t="n">
        <v>0</v>
      </c>
      <c r="O761" t="n">
        <v>0</v>
      </c>
      <c r="P761" t="n">
        <v>0</v>
      </c>
      <c r="Q761" t="n">
        <v>0</v>
      </c>
      <c r="R761" s="2" t="inlineStr"/>
    </row>
    <row r="762" ht="15" customHeight="1">
      <c r="A762" t="inlineStr">
        <is>
          <t>A 18637-2026</t>
        </is>
      </c>
      <c r="B762" s="1" t="n">
        <v>46128.31604166667</v>
      </c>
      <c r="C762" s="1" t="n">
        <v>46182</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9436-2023</t>
        </is>
      </c>
      <c r="B763" s="1" t="n">
        <v>44981</v>
      </c>
      <c r="C763" s="1" t="n">
        <v>46182</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24601-2026</t>
        </is>
      </c>
      <c r="B764" s="1" t="n">
        <v>46170.86826388889</v>
      </c>
      <c r="C764" s="1" t="n">
        <v>46182</v>
      </c>
      <c r="D764" t="inlineStr">
        <is>
          <t>ÖREBRO LÄN</t>
        </is>
      </c>
      <c r="E764" t="inlineStr">
        <is>
          <t>LINDESBERG</t>
        </is>
      </c>
      <c r="G764" t="n">
        <v>2.7</v>
      </c>
      <c r="H764" t="n">
        <v>0</v>
      </c>
      <c r="I764" t="n">
        <v>0</v>
      </c>
      <c r="J764" t="n">
        <v>0</v>
      </c>
      <c r="K764" t="n">
        <v>0</v>
      </c>
      <c r="L764" t="n">
        <v>0</v>
      </c>
      <c r="M764" t="n">
        <v>0</v>
      </c>
      <c r="N764" t="n">
        <v>0</v>
      </c>
      <c r="O764" t="n">
        <v>0</v>
      </c>
      <c r="P764" t="n">
        <v>0</v>
      </c>
      <c r="Q764" t="n">
        <v>0</v>
      </c>
      <c r="R764" s="2" t="inlineStr"/>
    </row>
    <row r="765" ht="15" customHeight="1">
      <c r="A765" t="inlineStr">
        <is>
          <t>A 24011-2025</t>
        </is>
      </c>
      <c r="B765" s="1" t="n">
        <v>45796</v>
      </c>
      <c r="C765" s="1" t="n">
        <v>46182</v>
      </c>
      <c r="D765" t="inlineStr">
        <is>
          <t>ÖREBRO LÄN</t>
        </is>
      </c>
      <c r="E765" t="inlineStr">
        <is>
          <t>LINDESBERG</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24020-2025</t>
        </is>
      </c>
      <c r="B766" s="1" t="n">
        <v>45796.45054398148</v>
      </c>
      <c r="C766" s="1" t="n">
        <v>46182</v>
      </c>
      <c r="D766" t="inlineStr">
        <is>
          <t>ÖREBRO LÄN</t>
        </is>
      </c>
      <c r="E766" t="inlineStr">
        <is>
          <t>LINDESBERG</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24043-2024</t>
        </is>
      </c>
      <c r="B767" s="1" t="n">
        <v>45456.48927083334</v>
      </c>
      <c r="C767" s="1" t="n">
        <v>46182</v>
      </c>
      <c r="D767" t="inlineStr">
        <is>
          <t>ÖREBRO LÄN</t>
        </is>
      </c>
      <c r="E767" t="inlineStr">
        <is>
          <t>LINDESBERG</t>
        </is>
      </c>
      <c r="G767" t="n">
        <v>6.2</v>
      </c>
      <c r="H767" t="n">
        <v>0</v>
      </c>
      <c r="I767" t="n">
        <v>0</v>
      </c>
      <c r="J767" t="n">
        <v>0</v>
      </c>
      <c r="K767" t="n">
        <v>0</v>
      </c>
      <c r="L767" t="n">
        <v>0</v>
      </c>
      <c r="M767" t="n">
        <v>0</v>
      </c>
      <c r="N767" t="n">
        <v>0</v>
      </c>
      <c r="O767" t="n">
        <v>0</v>
      </c>
      <c r="P767" t="n">
        <v>0</v>
      </c>
      <c r="Q767" t="n">
        <v>0</v>
      </c>
      <c r="R767" s="2" t="inlineStr"/>
    </row>
    <row r="768" ht="15" customHeight="1">
      <c r="A768" t="inlineStr">
        <is>
          <t>A 24600-2026</t>
        </is>
      </c>
      <c r="B768" s="1" t="n">
        <v>46170.85934027778</v>
      </c>
      <c r="C768" s="1" t="n">
        <v>46182</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24638-2026</t>
        </is>
      </c>
      <c r="B769" s="1" t="n">
        <v>46171.40025462963</v>
      </c>
      <c r="C769" s="1" t="n">
        <v>46182</v>
      </c>
      <c r="D769" t="inlineStr">
        <is>
          <t>ÖREBRO LÄN</t>
        </is>
      </c>
      <c r="E769" t="inlineStr">
        <is>
          <t>LINDESBERG</t>
        </is>
      </c>
      <c r="G769" t="n">
        <v>2.8</v>
      </c>
      <c r="H769" t="n">
        <v>0</v>
      </c>
      <c r="I769" t="n">
        <v>0</v>
      </c>
      <c r="J769" t="n">
        <v>0</v>
      </c>
      <c r="K769" t="n">
        <v>0</v>
      </c>
      <c r="L769" t="n">
        <v>0</v>
      </c>
      <c r="M769" t="n">
        <v>0</v>
      </c>
      <c r="N769" t="n">
        <v>0</v>
      </c>
      <c r="O769" t="n">
        <v>0</v>
      </c>
      <c r="P769" t="n">
        <v>0</v>
      </c>
      <c r="Q769" t="n">
        <v>0</v>
      </c>
      <c r="R769" s="2" t="inlineStr"/>
    </row>
    <row r="770" ht="15" customHeight="1">
      <c r="A770" t="inlineStr">
        <is>
          <t>A 36747-2024</t>
        </is>
      </c>
      <c r="B770" s="1" t="n">
        <v>45538.34193287037</v>
      </c>
      <c r="C770" s="1" t="n">
        <v>46182</v>
      </c>
      <c r="D770" t="inlineStr">
        <is>
          <t>ÖREBRO LÄN</t>
        </is>
      </c>
      <c r="E770" t="inlineStr">
        <is>
          <t>LINDESBERG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13305-2023</t>
        </is>
      </c>
      <c r="B771" s="1" t="n">
        <v>45005.35967592592</v>
      </c>
      <c r="C771" s="1" t="n">
        <v>46182</v>
      </c>
      <c r="D771" t="inlineStr">
        <is>
          <t>ÖREBRO LÄN</t>
        </is>
      </c>
      <c r="E771" t="inlineStr">
        <is>
          <t>LINDESBERG</t>
        </is>
      </c>
      <c r="G771" t="n">
        <v>5.5</v>
      </c>
      <c r="H771" t="n">
        <v>0</v>
      </c>
      <c r="I771" t="n">
        <v>0</v>
      </c>
      <c r="J771" t="n">
        <v>0</v>
      </c>
      <c r="K771" t="n">
        <v>0</v>
      </c>
      <c r="L771" t="n">
        <v>0</v>
      </c>
      <c r="M771" t="n">
        <v>0</v>
      </c>
      <c r="N771" t="n">
        <v>0</v>
      </c>
      <c r="O771" t="n">
        <v>0</v>
      </c>
      <c r="P771" t="n">
        <v>0</v>
      </c>
      <c r="Q771" t="n">
        <v>0</v>
      </c>
      <c r="R771" s="2" t="inlineStr"/>
    </row>
    <row r="772" ht="15" customHeight="1">
      <c r="A772" t="inlineStr">
        <is>
          <t>A 13368-2023</t>
        </is>
      </c>
      <c r="B772" s="1" t="n">
        <v>45005.47820601852</v>
      </c>
      <c r="C772" s="1" t="n">
        <v>46182</v>
      </c>
      <c r="D772" t="inlineStr">
        <is>
          <t>ÖREBRO LÄN</t>
        </is>
      </c>
      <c r="E772" t="inlineStr">
        <is>
          <t>LINDESBERG</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56912-2024</t>
        </is>
      </c>
      <c r="B773" s="1" t="n">
        <v>45628.59233796296</v>
      </c>
      <c r="C773" s="1" t="n">
        <v>46182</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15750-2024</t>
        </is>
      </c>
      <c r="B774" s="1" t="n">
        <v>45404.55601851852</v>
      </c>
      <c r="C774" s="1" t="n">
        <v>46182</v>
      </c>
      <c r="D774" t="inlineStr">
        <is>
          <t>ÖREBRO LÄN</t>
        </is>
      </c>
      <c r="E774" t="inlineStr">
        <is>
          <t>LINDESBERG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25117-2026</t>
        </is>
      </c>
      <c r="B775" s="1" t="n">
        <v>46175.369375</v>
      </c>
      <c r="C775" s="1" t="n">
        <v>46182</v>
      </c>
      <c r="D775" t="inlineStr">
        <is>
          <t>ÖREBRO LÄN</t>
        </is>
      </c>
      <c r="E775" t="inlineStr">
        <is>
          <t>LINDESBERG</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24975-2026</t>
        </is>
      </c>
      <c r="B776" s="1" t="n">
        <v>46174.58402777778</v>
      </c>
      <c r="C776" s="1" t="n">
        <v>46182</v>
      </c>
      <c r="D776" t="inlineStr">
        <is>
          <t>ÖREBRO LÄN</t>
        </is>
      </c>
      <c r="E776" t="inlineStr">
        <is>
          <t>LINDESBERG</t>
        </is>
      </c>
      <c r="G776" t="n">
        <v>1.3</v>
      </c>
      <c r="H776" t="n">
        <v>0</v>
      </c>
      <c r="I776" t="n">
        <v>0</v>
      </c>
      <c r="J776" t="n">
        <v>0</v>
      </c>
      <c r="K776" t="n">
        <v>0</v>
      </c>
      <c r="L776" t="n">
        <v>0</v>
      </c>
      <c r="M776" t="n">
        <v>0</v>
      </c>
      <c r="N776" t="n">
        <v>0</v>
      </c>
      <c r="O776" t="n">
        <v>0</v>
      </c>
      <c r="P776" t="n">
        <v>0</v>
      </c>
      <c r="Q776" t="n">
        <v>0</v>
      </c>
      <c r="R776" s="2" t="inlineStr"/>
    </row>
    <row r="777" ht="15" customHeight="1">
      <c r="A777" t="inlineStr">
        <is>
          <t>A 19260-2026</t>
        </is>
      </c>
      <c r="B777" s="1" t="n">
        <v>46132.70711805556</v>
      </c>
      <c r="C777" s="1" t="n">
        <v>46182</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19292-2026</t>
        </is>
      </c>
      <c r="B778" s="1" t="n">
        <v>46133.32493055556</v>
      </c>
      <c r="C778" s="1" t="n">
        <v>46182</v>
      </c>
      <c r="D778" t="inlineStr">
        <is>
          <t>ÖREBRO LÄN</t>
        </is>
      </c>
      <c r="E778" t="inlineStr">
        <is>
          <t>LINDESBERG</t>
        </is>
      </c>
      <c r="G778" t="n">
        <v>0.4</v>
      </c>
      <c r="H778" t="n">
        <v>0</v>
      </c>
      <c r="I778" t="n">
        <v>0</v>
      </c>
      <c r="J778" t="n">
        <v>0</v>
      </c>
      <c r="K778" t="n">
        <v>0</v>
      </c>
      <c r="L778" t="n">
        <v>0</v>
      </c>
      <c r="M778" t="n">
        <v>0</v>
      </c>
      <c r="N778" t="n">
        <v>0</v>
      </c>
      <c r="O778" t="n">
        <v>0</v>
      </c>
      <c r="P778" t="n">
        <v>0</v>
      </c>
      <c r="Q778" t="n">
        <v>0</v>
      </c>
      <c r="R778" s="2" t="inlineStr"/>
    </row>
    <row r="779" ht="15" customHeight="1">
      <c r="A779" t="inlineStr">
        <is>
          <t>A 25116-2026</t>
        </is>
      </c>
      <c r="B779" s="1" t="n">
        <v>46175.36806712963</v>
      </c>
      <c r="C779" s="1" t="n">
        <v>46182</v>
      </c>
      <c r="D779" t="inlineStr">
        <is>
          <t>ÖREBRO LÄN</t>
        </is>
      </c>
      <c r="E779" t="inlineStr">
        <is>
          <t>LINDESBERG</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25023-2026</t>
        </is>
      </c>
      <c r="B780" s="1" t="n">
        <v>46174.63037037037</v>
      </c>
      <c r="C780" s="1" t="n">
        <v>46182</v>
      </c>
      <c r="D780" t="inlineStr">
        <is>
          <t>ÖREBRO LÄN</t>
        </is>
      </c>
      <c r="E780" t="inlineStr">
        <is>
          <t>LINDESBERG</t>
        </is>
      </c>
      <c r="F780" t="inlineStr">
        <is>
          <t>Kommuner</t>
        </is>
      </c>
      <c r="G780" t="n">
        <v>2.3</v>
      </c>
      <c r="H780" t="n">
        <v>0</v>
      </c>
      <c r="I780" t="n">
        <v>0</v>
      </c>
      <c r="J780" t="n">
        <v>0</v>
      </c>
      <c r="K780" t="n">
        <v>0</v>
      </c>
      <c r="L780" t="n">
        <v>0</v>
      </c>
      <c r="M780" t="n">
        <v>0</v>
      </c>
      <c r="N780" t="n">
        <v>0</v>
      </c>
      <c r="O780" t="n">
        <v>0</v>
      </c>
      <c r="P780" t="n">
        <v>0</v>
      </c>
      <c r="Q780" t="n">
        <v>0</v>
      </c>
      <c r="R780" s="2" t="inlineStr"/>
    </row>
    <row r="781" ht="15" customHeight="1">
      <c r="A781" t="inlineStr">
        <is>
          <t>A 24958-2026</t>
        </is>
      </c>
      <c r="B781" s="1" t="n">
        <v>46174.57133101852</v>
      </c>
      <c r="C781" s="1" t="n">
        <v>46182</v>
      </c>
      <c r="D781" t="inlineStr">
        <is>
          <t>ÖREBRO LÄN</t>
        </is>
      </c>
      <c r="E781" t="inlineStr">
        <is>
          <t>LINDESBERG</t>
        </is>
      </c>
      <c r="G781" t="n">
        <v>4.1</v>
      </c>
      <c r="H781" t="n">
        <v>0</v>
      </c>
      <c r="I781" t="n">
        <v>0</v>
      </c>
      <c r="J781" t="n">
        <v>0</v>
      </c>
      <c r="K781" t="n">
        <v>0</v>
      </c>
      <c r="L781" t="n">
        <v>0</v>
      </c>
      <c r="M781" t="n">
        <v>0</v>
      </c>
      <c r="N781" t="n">
        <v>0</v>
      </c>
      <c r="O781" t="n">
        <v>0</v>
      </c>
      <c r="P781" t="n">
        <v>0</v>
      </c>
      <c r="Q781" t="n">
        <v>0</v>
      </c>
      <c r="R781" s="2" t="inlineStr"/>
    </row>
    <row r="782" ht="15" customHeight="1">
      <c r="A782" t="inlineStr">
        <is>
          <t>A 24970-2026</t>
        </is>
      </c>
      <c r="B782" s="1" t="n">
        <v>46174.5781712963</v>
      </c>
      <c r="C782" s="1" t="n">
        <v>46182</v>
      </c>
      <c r="D782" t="inlineStr">
        <is>
          <t>ÖREBRO LÄN</t>
        </is>
      </c>
      <c r="E782" t="inlineStr">
        <is>
          <t>LINDESBERG</t>
        </is>
      </c>
      <c r="G782" t="n">
        <v>3.3</v>
      </c>
      <c r="H782" t="n">
        <v>0</v>
      </c>
      <c r="I782" t="n">
        <v>0</v>
      </c>
      <c r="J782" t="n">
        <v>0</v>
      </c>
      <c r="K782" t="n">
        <v>0</v>
      </c>
      <c r="L782" t="n">
        <v>0</v>
      </c>
      <c r="M782" t="n">
        <v>0</v>
      </c>
      <c r="N782" t="n">
        <v>0</v>
      </c>
      <c r="O782" t="n">
        <v>0</v>
      </c>
      <c r="P782" t="n">
        <v>0</v>
      </c>
      <c r="Q782" t="n">
        <v>0</v>
      </c>
      <c r="R782" s="2" t="inlineStr"/>
    </row>
    <row r="783" ht="15" customHeight="1">
      <c r="A783" t="inlineStr">
        <is>
          <t>A 24977-2026</t>
        </is>
      </c>
      <c r="B783" s="1" t="n">
        <v>46174.59148148148</v>
      </c>
      <c r="C783" s="1" t="n">
        <v>46182</v>
      </c>
      <c r="D783" t="inlineStr">
        <is>
          <t>ÖREBRO LÄN</t>
        </is>
      </c>
      <c r="E783" t="inlineStr">
        <is>
          <t>LINDESBERG</t>
        </is>
      </c>
      <c r="G783" t="n">
        <v>11.3</v>
      </c>
      <c r="H783" t="n">
        <v>0</v>
      </c>
      <c r="I783" t="n">
        <v>0</v>
      </c>
      <c r="J783" t="n">
        <v>0</v>
      </c>
      <c r="K783" t="n">
        <v>0</v>
      </c>
      <c r="L783" t="n">
        <v>0</v>
      </c>
      <c r="M783" t="n">
        <v>0</v>
      </c>
      <c r="N783" t="n">
        <v>0</v>
      </c>
      <c r="O783" t="n">
        <v>0</v>
      </c>
      <c r="P783" t="n">
        <v>0</v>
      </c>
      <c r="Q783" t="n">
        <v>0</v>
      </c>
      <c r="R783" s="2" t="inlineStr"/>
    </row>
    <row r="784" ht="15" customHeight="1">
      <c r="A784" t="inlineStr">
        <is>
          <t>A 48231-2024</t>
        </is>
      </c>
      <c r="B784" s="1" t="n">
        <v>45590.37590277778</v>
      </c>
      <c r="C784" s="1" t="n">
        <v>46182</v>
      </c>
      <c r="D784" t="inlineStr">
        <is>
          <t>ÖREBRO LÄN</t>
        </is>
      </c>
      <c r="E784" t="inlineStr">
        <is>
          <t>LINDESBERG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25842-2025</t>
        </is>
      </c>
      <c r="B785" s="1" t="n">
        <v>45804.45474537037</v>
      </c>
      <c r="C785" s="1" t="n">
        <v>46182</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23245-2025</t>
        </is>
      </c>
      <c r="B786" s="1" t="n">
        <v>45791.50862268519</v>
      </c>
      <c r="C786" s="1" t="n">
        <v>46182</v>
      </c>
      <c r="D786" t="inlineStr">
        <is>
          <t>ÖREBRO LÄN</t>
        </is>
      </c>
      <c r="E786" t="inlineStr">
        <is>
          <t>LINDESBERG</t>
        </is>
      </c>
      <c r="G786" t="n">
        <v>6.8</v>
      </c>
      <c r="H786" t="n">
        <v>0</v>
      </c>
      <c r="I786" t="n">
        <v>0</v>
      </c>
      <c r="J786" t="n">
        <v>0</v>
      </c>
      <c r="K786" t="n">
        <v>0</v>
      </c>
      <c r="L786" t="n">
        <v>0</v>
      </c>
      <c r="M786" t="n">
        <v>0</v>
      </c>
      <c r="N786" t="n">
        <v>0</v>
      </c>
      <c r="O786" t="n">
        <v>0</v>
      </c>
      <c r="P786" t="n">
        <v>0</v>
      </c>
      <c r="Q786" t="n">
        <v>0</v>
      </c>
      <c r="R786" s="2" t="inlineStr"/>
    </row>
    <row r="787" ht="15" customHeight="1">
      <c r="A787" t="inlineStr">
        <is>
          <t>A 52730-2025</t>
        </is>
      </c>
      <c r="B787" s="1" t="n">
        <v>45957.36386574074</v>
      </c>
      <c r="C787" s="1" t="n">
        <v>46182</v>
      </c>
      <c r="D787" t="inlineStr">
        <is>
          <t>ÖREBRO LÄN</t>
        </is>
      </c>
      <c r="E787" t="inlineStr">
        <is>
          <t>LINDESBERG</t>
        </is>
      </c>
      <c r="F787" t="inlineStr">
        <is>
          <t>Sveaskog</t>
        </is>
      </c>
      <c r="G787" t="n">
        <v>5</v>
      </c>
      <c r="H787" t="n">
        <v>0</v>
      </c>
      <c r="I787" t="n">
        <v>0</v>
      </c>
      <c r="J787" t="n">
        <v>0</v>
      </c>
      <c r="K787" t="n">
        <v>0</v>
      </c>
      <c r="L787" t="n">
        <v>0</v>
      </c>
      <c r="M787" t="n">
        <v>0</v>
      </c>
      <c r="N787" t="n">
        <v>0</v>
      </c>
      <c r="O787" t="n">
        <v>0</v>
      </c>
      <c r="P787" t="n">
        <v>0</v>
      </c>
      <c r="Q787" t="n">
        <v>0</v>
      </c>
      <c r="R787" s="2" t="inlineStr"/>
    </row>
    <row r="788" ht="15" customHeight="1">
      <c r="A788" t="inlineStr">
        <is>
          <t>A 32504-2025</t>
        </is>
      </c>
      <c r="B788" s="1" t="n">
        <v>45838.46456018519</v>
      </c>
      <c r="C788" s="1" t="n">
        <v>46182</v>
      </c>
      <c r="D788" t="inlineStr">
        <is>
          <t>ÖREBRO LÄN</t>
        </is>
      </c>
      <c r="E788" t="inlineStr">
        <is>
          <t>LINDESBERG</t>
        </is>
      </c>
      <c r="F788" t="inlineStr">
        <is>
          <t>Sveaskog</t>
        </is>
      </c>
      <c r="G788" t="n">
        <v>16.9</v>
      </c>
      <c r="H788" t="n">
        <v>0</v>
      </c>
      <c r="I788" t="n">
        <v>0</v>
      </c>
      <c r="J788" t="n">
        <v>0</v>
      </c>
      <c r="K788" t="n">
        <v>0</v>
      </c>
      <c r="L788" t="n">
        <v>0</v>
      </c>
      <c r="M788" t="n">
        <v>0</v>
      </c>
      <c r="N788" t="n">
        <v>0</v>
      </c>
      <c r="O788" t="n">
        <v>0</v>
      </c>
      <c r="P788" t="n">
        <v>0</v>
      </c>
      <c r="Q788" t="n">
        <v>0</v>
      </c>
      <c r="R788" s="2" t="inlineStr"/>
    </row>
    <row r="789" ht="15" customHeight="1">
      <c r="A789" t="inlineStr">
        <is>
          <t>A 48061-2025</t>
        </is>
      </c>
      <c r="B789" s="1" t="n">
        <v>45932.68006944445</v>
      </c>
      <c r="C789" s="1" t="n">
        <v>46182</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26778-2023</t>
        </is>
      </c>
      <c r="B790" s="1" t="n">
        <v>45093.48221064815</v>
      </c>
      <c r="C790" s="1" t="n">
        <v>46182</v>
      </c>
      <c r="D790" t="inlineStr">
        <is>
          <t>ÖREBRO LÄN</t>
        </is>
      </c>
      <c r="E790" t="inlineStr">
        <is>
          <t>LINDESBERG</t>
        </is>
      </c>
      <c r="G790" t="n">
        <v>7.5</v>
      </c>
      <c r="H790" t="n">
        <v>0</v>
      </c>
      <c r="I790" t="n">
        <v>0</v>
      </c>
      <c r="J790" t="n">
        <v>0</v>
      </c>
      <c r="K790" t="n">
        <v>0</v>
      </c>
      <c r="L790" t="n">
        <v>0</v>
      </c>
      <c r="M790" t="n">
        <v>0</v>
      </c>
      <c r="N790" t="n">
        <v>0</v>
      </c>
      <c r="O790" t="n">
        <v>0</v>
      </c>
      <c r="P790" t="n">
        <v>0</v>
      </c>
      <c r="Q790" t="n">
        <v>0</v>
      </c>
      <c r="R790" s="2" t="inlineStr"/>
    </row>
    <row r="791" ht="15" customHeight="1">
      <c r="A791" t="inlineStr">
        <is>
          <t>A 40755-2022</t>
        </is>
      </c>
      <c r="B791" s="1" t="n">
        <v>44820</v>
      </c>
      <c r="C791" s="1" t="n">
        <v>46182</v>
      </c>
      <c r="D791" t="inlineStr">
        <is>
          <t>ÖREBRO LÄN</t>
        </is>
      </c>
      <c r="E791" t="inlineStr">
        <is>
          <t>LINDESBERG</t>
        </is>
      </c>
      <c r="G791" t="n">
        <v>3.8</v>
      </c>
      <c r="H791" t="n">
        <v>0</v>
      </c>
      <c r="I791" t="n">
        <v>0</v>
      </c>
      <c r="J791" t="n">
        <v>0</v>
      </c>
      <c r="K791" t="n">
        <v>0</v>
      </c>
      <c r="L791" t="n">
        <v>0</v>
      </c>
      <c r="M791" t="n">
        <v>0</v>
      </c>
      <c r="N791" t="n">
        <v>0</v>
      </c>
      <c r="O791" t="n">
        <v>0</v>
      </c>
      <c r="P791" t="n">
        <v>0</v>
      </c>
      <c r="Q791" t="n">
        <v>0</v>
      </c>
      <c r="R791" s="2" t="inlineStr"/>
    </row>
    <row r="792" ht="15" customHeight="1">
      <c r="A792" t="inlineStr">
        <is>
          <t>A 29500-2023</t>
        </is>
      </c>
      <c r="B792" s="1" t="n">
        <v>45106</v>
      </c>
      <c r="C792" s="1" t="n">
        <v>46182</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34434-2023</t>
        </is>
      </c>
      <c r="B793" s="1" t="n">
        <v>45139.63480324074</v>
      </c>
      <c r="C793" s="1" t="n">
        <v>46182</v>
      </c>
      <c r="D793" t="inlineStr">
        <is>
          <t>ÖREBRO LÄN</t>
        </is>
      </c>
      <c r="E793" t="inlineStr">
        <is>
          <t>LINDESBERG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36754-2024</t>
        </is>
      </c>
      <c r="B794" s="1" t="n">
        <v>45538.34796296297</v>
      </c>
      <c r="C794" s="1" t="n">
        <v>46182</v>
      </c>
      <c r="D794" t="inlineStr">
        <is>
          <t>ÖREBRO LÄN</t>
        </is>
      </c>
      <c r="E794" t="inlineStr">
        <is>
          <t>LINDESBERG</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44067-2025</t>
        </is>
      </c>
      <c r="B795" s="1" t="n">
        <v>45915.54439814815</v>
      </c>
      <c r="C795" s="1" t="n">
        <v>46182</v>
      </c>
      <c r="D795" t="inlineStr">
        <is>
          <t>ÖREBRO LÄN</t>
        </is>
      </c>
      <c r="E795" t="inlineStr">
        <is>
          <t>LINDESBERG</t>
        </is>
      </c>
      <c r="G795" t="n">
        <v>2.8</v>
      </c>
      <c r="H795" t="n">
        <v>0</v>
      </c>
      <c r="I795" t="n">
        <v>0</v>
      </c>
      <c r="J795" t="n">
        <v>0</v>
      </c>
      <c r="K795" t="n">
        <v>0</v>
      </c>
      <c r="L795" t="n">
        <v>0</v>
      </c>
      <c r="M795" t="n">
        <v>0</v>
      </c>
      <c r="N795" t="n">
        <v>0</v>
      </c>
      <c r="O795" t="n">
        <v>0</v>
      </c>
      <c r="P795" t="n">
        <v>0</v>
      </c>
      <c r="Q795" t="n">
        <v>0</v>
      </c>
      <c r="R795" s="2" t="inlineStr"/>
    </row>
    <row r="796" ht="15" customHeight="1">
      <c r="A796" t="inlineStr">
        <is>
          <t>A 31221-2025</t>
        </is>
      </c>
      <c r="B796" s="1" t="n">
        <v>45832.76491898148</v>
      </c>
      <c r="C796" s="1" t="n">
        <v>46182</v>
      </c>
      <c r="D796" t="inlineStr">
        <is>
          <t>ÖREBRO LÄN</t>
        </is>
      </c>
      <c r="E796" t="inlineStr">
        <is>
          <t>LINDESBERG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53510-2024</t>
        </is>
      </c>
      <c r="B797" s="1" t="n">
        <v>45614.5968287037</v>
      </c>
      <c r="C797" s="1" t="n">
        <v>46182</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37492-2025</t>
        </is>
      </c>
      <c r="B798" s="1" t="n">
        <v>45877.64230324074</v>
      </c>
      <c r="C798" s="1" t="n">
        <v>46182</v>
      </c>
      <c r="D798" t="inlineStr">
        <is>
          <t>ÖREBRO LÄN</t>
        </is>
      </c>
      <c r="E798" t="inlineStr">
        <is>
          <t>LINDESBERG</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31000-2025</t>
        </is>
      </c>
      <c r="B799" s="1" t="n">
        <v>45832.49325231482</v>
      </c>
      <c r="C799" s="1" t="n">
        <v>46182</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34093-2022</t>
        </is>
      </c>
      <c r="B800" s="1" t="n">
        <v>44791</v>
      </c>
      <c r="C800" s="1" t="n">
        <v>46182</v>
      </c>
      <c r="D800" t="inlineStr">
        <is>
          <t>ÖREBRO LÄN</t>
        </is>
      </c>
      <c r="E800" t="inlineStr">
        <is>
          <t>LINDESBERG</t>
        </is>
      </c>
      <c r="G800" t="n">
        <v>3.3</v>
      </c>
      <c r="H800" t="n">
        <v>0</v>
      </c>
      <c r="I800" t="n">
        <v>0</v>
      </c>
      <c r="J800" t="n">
        <v>0</v>
      </c>
      <c r="K800" t="n">
        <v>0</v>
      </c>
      <c r="L800" t="n">
        <v>0</v>
      </c>
      <c r="M800" t="n">
        <v>0</v>
      </c>
      <c r="N800" t="n">
        <v>0</v>
      </c>
      <c r="O800" t="n">
        <v>0</v>
      </c>
      <c r="P800" t="n">
        <v>0</v>
      </c>
      <c r="Q800" t="n">
        <v>0</v>
      </c>
      <c r="R800" s="2" t="inlineStr"/>
    </row>
    <row r="801" ht="15" customHeight="1">
      <c r="A801" t="inlineStr">
        <is>
          <t>A 7211-2024</t>
        </is>
      </c>
      <c r="B801" s="1" t="n">
        <v>45344.623125</v>
      </c>
      <c r="C801" s="1" t="n">
        <v>46182</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52098-2025</t>
        </is>
      </c>
      <c r="B802" s="1" t="n">
        <v>45952.68001157408</v>
      </c>
      <c r="C802" s="1" t="n">
        <v>46182</v>
      </c>
      <c r="D802" t="inlineStr">
        <is>
          <t>ÖREBRO LÄN</t>
        </is>
      </c>
      <c r="E802" t="inlineStr">
        <is>
          <t>LINDESBERG</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60492-2024</t>
        </is>
      </c>
      <c r="B803" s="1" t="n">
        <v>45642</v>
      </c>
      <c r="C803" s="1" t="n">
        <v>46182</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48975-2025</t>
        </is>
      </c>
      <c r="B804" s="1" t="n">
        <v>45937.56798611111</v>
      </c>
      <c r="C804" s="1" t="n">
        <v>46182</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41353-2024</t>
        </is>
      </c>
      <c r="B805" s="1" t="n">
        <v>45559</v>
      </c>
      <c r="C805" s="1" t="n">
        <v>46182</v>
      </c>
      <c r="D805" t="inlineStr">
        <is>
          <t>ÖREBRO LÄN</t>
        </is>
      </c>
      <c r="E805" t="inlineStr">
        <is>
          <t>LINDESBERG</t>
        </is>
      </c>
      <c r="F805" t="inlineStr">
        <is>
          <t>Sveaskog</t>
        </is>
      </c>
      <c r="G805" t="n">
        <v>1</v>
      </c>
      <c r="H805" t="n">
        <v>0</v>
      </c>
      <c r="I805" t="n">
        <v>0</v>
      </c>
      <c r="J805" t="n">
        <v>0</v>
      </c>
      <c r="K805" t="n">
        <v>0</v>
      </c>
      <c r="L805" t="n">
        <v>0</v>
      </c>
      <c r="M805" t="n">
        <v>0</v>
      </c>
      <c r="N805" t="n">
        <v>0</v>
      </c>
      <c r="O805" t="n">
        <v>0</v>
      </c>
      <c r="P805" t="n">
        <v>0</v>
      </c>
      <c r="Q805" t="n">
        <v>0</v>
      </c>
      <c r="R805" s="2" t="inlineStr"/>
    </row>
    <row r="806">
      <c r="A806" t="inlineStr">
        <is>
          <t>A 31215-2025</t>
        </is>
      </c>
      <c r="B806" s="1" t="n">
        <v>45832.74418981482</v>
      </c>
      <c r="C806" s="1" t="n">
        <v>46182</v>
      </c>
      <c r="D806" t="inlineStr">
        <is>
          <t>ÖREBRO LÄN</t>
        </is>
      </c>
      <c r="E806" t="inlineStr">
        <is>
          <t>LINDESBERG</t>
        </is>
      </c>
      <c r="F806" t="inlineStr">
        <is>
          <t>Sveaskog</t>
        </is>
      </c>
      <c r="G806" t="n">
        <v>4</v>
      </c>
      <c r="H806" t="n">
        <v>0</v>
      </c>
      <c r="I806" t="n">
        <v>0</v>
      </c>
      <c r="J806" t="n">
        <v>0</v>
      </c>
      <c r="K806" t="n">
        <v>0</v>
      </c>
      <c r="L806" t="n">
        <v>0</v>
      </c>
      <c r="M806" t="n">
        <v>0</v>
      </c>
      <c r="N806" t="n">
        <v>0</v>
      </c>
      <c r="O806" t="n">
        <v>0</v>
      </c>
      <c r="P806" t="n">
        <v>0</v>
      </c>
      <c r="Q806" t="n">
        <v>0</v>
      </c>
      <c r="R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2026-06-09T09:30:12Z</dcterms:created>
  <dcterms:modified xmlns:dcterms="http://purl.org/dc/terms/" xmlns:xsi="http://www.w3.org/2001/XMLSchema-instance" xsi:type="dcterms:W3CDTF">2026-06-09T09:30:13Z</dcterms:modified>
</cp:coreProperties>
</file>