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46111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46111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46111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46111</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46111</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46111</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46111</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46111</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46111</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8178-2026</t>
        </is>
      </c>
      <c r="B18" s="1" t="n">
        <v>46064.41263888889</v>
      </c>
      <c r="C18" s="1" t="n">
        <v>46111</v>
      </c>
      <c r="D18" t="inlineStr">
        <is>
          <t>ÖREBRO LÄN</t>
        </is>
      </c>
      <c r="E18" t="inlineStr">
        <is>
          <t>LINDESBERG</t>
        </is>
      </c>
      <c r="G18" t="n">
        <v>2.4</v>
      </c>
      <c r="H18" t="n">
        <v>2</v>
      </c>
      <c r="I18" t="n">
        <v>1</v>
      </c>
      <c r="J18" t="n">
        <v>1</v>
      </c>
      <c r="K18" t="n">
        <v>0</v>
      </c>
      <c r="L18" t="n">
        <v>1</v>
      </c>
      <c r="M18" t="n">
        <v>0</v>
      </c>
      <c r="N18" t="n">
        <v>0</v>
      </c>
      <c r="O18" t="n">
        <v>2</v>
      </c>
      <c r="P18" t="n">
        <v>1</v>
      </c>
      <c r="Q18" t="n">
        <v>4</v>
      </c>
      <c r="R18" s="2" t="inlineStr">
        <is>
          <t>Asknätfjäril
Gul taggsvamp
Thomsons trägnagare
Blåsippa</t>
        </is>
      </c>
      <c r="S18">
        <f>HYPERLINK("https://klasma.github.io/Logging_1885/artfynd/A 8178-2026 artfynd.xlsx", "A 8178-2026")</f>
        <v/>
      </c>
      <c r="T18">
        <f>HYPERLINK("https://klasma.github.io/Logging_1885/kartor/A 8178-2026 karta.png", "A 8178-2026")</f>
        <v/>
      </c>
      <c r="V18">
        <f>HYPERLINK("https://klasma.github.io/Logging_1885/klagomål/A 8178-2026 FSC-klagomål.docx", "A 8178-2026")</f>
        <v/>
      </c>
      <c r="W18">
        <f>HYPERLINK("https://klasma.github.io/Logging_1885/klagomålsmail/A 8178-2026 FSC-klagomål mail.docx", "A 8178-2026")</f>
        <v/>
      </c>
      <c r="X18">
        <f>HYPERLINK("https://klasma.github.io/Logging_1885/tillsyn/A 8178-2026 tillsynsbegäran.docx", "A 8178-2026")</f>
        <v/>
      </c>
      <c r="Y18">
        <f>HYPERLINK("https://klasma.github.io/Logging_1885/tillsynsmail/A 8178-2026 tillsynsbegäran mail.docx", "A 8178-2026")</f>
        <v/>
      </c>
    </row>
    <row r="19" ht="15" customHeight="1">
      <c r="A19" t="inlineStr">
        <is>
          <t>A 34293-2023</t>
        </is>
      </c>
      <c r="B19" s="1" t="n">
        <v>45138</v>
      </c>
      <c r="C19" s="1" t="n">
        <v>46111</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46111</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46111</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46111</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46111</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46111</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46111</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46111</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46111</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46111</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46111</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46111</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57319-2025</t>
        </is>
      </c>
      <c r="B32" s="1" t="n">
        <v>45980.01497685185</v>
      </c>
      <c r="C32" s="1" t="n">
        <v>46111</v>
      </c>
      <c r="D32" t="inlineStr">
        <is>
          <t>ÖREBRO LÄN</t>
        </is>
      </c>
      <c r="E32" t="inlineStr">
        <is>
          <t>LINDESBERG</t>
        </is>
      </c>
      <c r="F32" t="inlineStr">
        <is>
          <t>Sveaskog</t>
        </is>
      </c>
      <c r="G32" t="n">
        <v>15.3</v>
      </c>
      <c r="H32" t="n">
        <v>1</v>
      </c>
      <c r="I32" t="n">
        <v>2</v>
      </c>
      <c r="J32" t="n">
        <v>0</v>
      </c>
      <c r="K32" t="n">
        <v>0</v>
      </c>
      <c r="L32" t="n">
        <v>0</v>
      </c>
      <c r="M32" t="n">
        <v>0</v>
      </c>
      <c r="N32" t="n">
        <v>0</v>
      </c>
      <c r="O32" t="n">
        <v>0</v>
      </c>
      <c r="P32" t="n">
        <v>0</v>
      </c>
      <c r="Q32" t="n">
        <v>2</v>
      </c>
      <c r="R32" s="2" t="inlineStr">
        <is>
          <t>Dropptaggsvamp
Plattlummer</t>
        </is>
      </c>
      <c r="S32">
        <f>HYPERLINK("https://klasma.github.io/Logging_1885/artfynd/A 57319-2025 artfynd.xlsx", "A 57319-2025")</f>
        <v/>
      </c>
      <c r="T32">
        <f>HYPERLINK("https://klasma.github.io/Logging_1885/kartor/A 57319-2025 karta.png", "A 57319-2025")</f>
        <v/>
      </c>
      <c r="V32">
        <f>HYPERLINK("https://klasma.github.io/Logging_1885/klagomål/A 57319-2025 FSC-klagomål.docx", "A 57319-2025")</f>
        <v/>
      </c>
      <c r="W32">
        <f>HYPERLINK("https://klasma.github.io/Logging_1885/klagomålsmail/A 57319-2025 FSC-klagomål mail.docx", "A 57319-2025")</f>
        <v/>
      </c>
      <c r="X32">
        <f>HYPERLINK("https://klasma.github.io/Logging_1885/tillsyn/A 57319-2025 tillsynsbegäran.docx", "A 57319-2025")</f>
        <v/>
      </c>
      <c r="Y32">
        <f>HYPERLINK("https://klasma.github.io/Logging_1885/tillsynsmail/A 57319-2025 tillsynsbegäran mail.docx", "A 57319-2025")</f>
        <v/>
      </c>
    </row>
    <row r="33" ht="15" customHeight="1">
      <c r="A33" t="inlineStr">
        <is>
          <t>A 38380-2024</t>
        </is>
      </c>
      <c r="B33" s="1" t="n">
        <v>45546.28121527778</v>
      </c>
      <c r="C33" s="1" t="n">
        <v>46111</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46111</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46111</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46111</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46111</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46111</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46111</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53686-2024</t>
        </is>
      </c>
      <c r="B40" s="1" t="n">
        <v>45615</v>
      </c>
      <c r="C40" s="1" t="n">
        <v>46111</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15687-2023</t>
        </is>
      </c>
      <c r="B41" s="1" t="n">
        <v>45021</v>
      </c>
      <c r="C41" s="1" t="n">
        <v>46111</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46111</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32713-2021</t>
        </is>
      </c>
      <c r="B43" s="1" t="n">
        <v>44375</v>
      </c>
      <c r="C43" s="1" t="n">
        <v>46111</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46111</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46111</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46111</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46111</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6192-2025</t>
        </is>
      </c>
      <c r="B48" s="1" t="n">
        <v>45698.46697916667</v>
      </c>
      <c r="C48" s="1" t="n">
        <v>46111</v>
      </c>
      <c r="D48" t="inlineStr">
        <is>
          <t>ÖREBRO LÄN</t>
        </is>
      </c>
      <c r="E48" t="inlineStr">
        <is>
          <t>LINDESBERG</t>
        </is>
      </c>
      <c r="F48" t="inlineStr">
        <is>
          <t>BillerudKorsnäs AB</t>
        </is>
      </c>
      <c r="G48" t="n">
        <v>1.8</v>
      </c>
      <c r="H48" t="n">
        <v>1</v>
      </c>
      <c r="I48" t="n">
        <v>0</v>
      </c>
      <c r="J48" t="n">
        <v>0</v>
      </c>
      <c r="K48" t="n">
        <v>0</v>
      </c>
      <c r="L48" t="n">
        <v>0</v>
      </c>
      <c r="M48" t="n">
        <v>0</v>
      </c>
      <c r="N48" t="n">
        <v>0</v>
      </c>
      <c r="O48" t="n">
        <v>0</v>
      </c>
      <c r="P48" t="n">
        <v>0</v>
      </c>
      <c r="Q48" t="n">
        <v>1</v>
      </c>
      <c r="R48" s="2" t="inlineStr">
        <is>
          <t>Blåsippa</t>
        </is>
      </c>
      <c r="S48">
        <f>HYPERLINK("https://klasma.github.io/Logging_1885/artfynd/A 6192-2025 artfynd.xlsx", "A 6192-2025")</f>
        <v/>
      </c>
      <c r="T48">
        <f>HYPERLINK("https://klasma.github.io/Logging_1885/kartor/A 6192-2025 karta.png", "A 6192-2025")</f>
        <v/>
      </c>
      <c r="V48">
        <f>HYPERLINK("https://klasma.github.io/Logging_1885/klagomål/A 6192-2025 FSC-klagomål.docx", "A 6192-2025")</f>
        <v/>
      </c>
      <c r="W48">
        <f>HYPERLINK("https://klasma.github.io/Logging_1885/klagomålsmail/A 6192-2025 FSC-klagomål mail.docx", "A 6192-2025")</f>
        <v/>
      </c>
      <c r="X48">
        <f>HYPERLINK("https://klasma.github.io/Logging_1885/tillsyn/A 6192-2025 tillsynsbegäran.docx", "A 6192-2025")</f>
        <v/>
      </c>
      <c r="Y48">
        <f>HYPERLINK("https://klasma.github.io/Logging_1885/tillsynsmail/A 6192-2025 tillsynsbegäran mail.docx", "A 6192-2025")</f>
        <v/>
      </c>
    </row>
    <row r="49" ht="15" customHeight="1">
      <c r="A49" t="inlineStr">
        <is>
          <t>A 58206-2023</t>
        </is>
      </c>
      <c r="B49" s="1" t="n">
        <v>45250</v>
      </c>
      <c r="C49" s="1" t="n">
        <v>46111</v>
      </c>
      <c r="D49" t="inlineStr">
        <is>
          <t>ÖREBRO LÄN</t>
        </is>
      </c>
      <c r="E49" t="inlineStr">
        <is>
          <t>LINDESBERG</t>
        </is>
      </c>
      <c r="F49" t="inlineStr">
        <is>
          <t>Sveaskog</t>
        </is>
      </c>
      <c r="G49" t="n">
        <v>1.4</v>
      </c>
      <c r="H49" t="n">
        <v>1</v>
      </c>
      <c r="I49" t="n">
        <v>0</v>
      </c>
      <c r="J49" t="n">
        <v>0</v>
      </c>
      <c r="K49" t="n">
        <v>0</v>
      </c>
      <c r="L49" t="n">
        <v>0</v>
      </c>
      <c r="M49" t="n">
        <v>0</v>
      </c>
      <c r="N49" t="n">
        <v>0</v>
      </c>
      <c r="O49" t="n">
        <v>0</v>
      </c>
      <c r="P49" t="n">
        <v>0</v>
      </c>
      <c r="Q49" t="n">
        <v>1</v>
      </c>
      <c r="R49" s="2" t="inlineStr">
        <is>
          <t>Fläcknycklar</t>
        </is>
      </c>
      <c r="S49">
        <f>HYPERLINK("https://klasma.github.io/Logging_1885/artfynd/A 58206-2023 artfynd.xlsx", "A 58206-2023")</f>
        <v/>
      </c>
      <c r="T49">
        <f>HYPERLINK("https://klasma.github.io/Logging_1885/kartor/A 58206-2023 karta.png", "A 58206-2023")</f>
        <v/>
      </c>
      <c r="V49">
        <f>HYPERLINK("https://klasma.github.io/Logging_1885/klagomål/A 58206-2023 FSC-klagomål.docx", "A 58206-2023")</f>
        <v/>
      </c>
      <c r="W49">
        <f>HYPERLINK("https://klasma.github.io/Logging_1885/klagomålsmail/A 58206-2023 FSC-klagomål mail.docx", "A 58206-2023")</f>
        <v/>
      </c>
      <c r="X49">
        <f>HYPERLINK("https://klasma.github.io/Logging_1885/tillsyn/A 58206-2023 tillsynsbegäran.docx", "A 58206-2023")</f>
        <v/>
      </c>
      <c r="Y49">
        <f>HYPERLINK("https://klasma.github.io/Logging_1885/tillsynsmail/A 58206-2023 tillsynsbegäran mail.docx", "A 58206-2023")</f>
        <v/>
      </c>
    </row>
    <row r="50" ht="15" customHeight="1">
      <c r="A50" t="inlineStr">
        <is>
          <t>A 57362-2025</t>
        </is>
      </c>
      <c r="B50" s="1" t="n">
        <v>45980.37108796297</v>
      </c>
      <c r="C50" s="1" t="n">
        <v>46111</v>
      </c>
      <c r="D50" t="inlineStr">
        <is>
          <t>ÖREBRO LÄN</t>
        </is>
      </c>
      <c r="E50" t="inlineStr">
        <is>
          <t>LINDESBERG</t>
        </is>
      </c>
      <c r="F50" t="inlineStr">
        <is>
          <t>Sveaskog</t>
        </is>
      </c>
      <c r="G50" t="n">
        <v>1.2</v>
      </c>
      <c r="H50" t="n">
        <v>0</v>
      </c>
      <c r="I50" t="n">
        <v>1</v>
      </c>
      <c r="J50" t="n">
        <v>0</v>
      </c>
      <c r="K50" t="n">
        <v>0</v>
      </c>
      <c r="L50" t="n">
        <v>0</v>
      </c>
      <c r="M50" t="n">
        <v>0</v>
      </c>
      <c r="N50" t="n">
        <v>0</v>
      </c>
      <c r="O50" t="n">
        <v>0</v>
      </c>
      <c r="P50" t="n">
        <v>0</v>
      </c>
      <c r="Q50" t="n">
        <v>1</v>
      </c>
      <c r="R50" s="2" t="inlineStr">
        <is>
          <t>Svart trolldruva</t>
        </is>
      </c>
      <c r="S50">
        <f>HYPERLINK("https://klasma.github.io/Logging_1885/artfynd/A 57362-2025 artfynd.xlsx", "A 57362-2025")</f>
        <v/>
      </c>
      <c r="T50">
        <f>HYPERLINK("https://klasma.github.io/Logging_1885/kartor/A 57362-2025 karta.png", "A 57362-2025")</f>
        <v/>
      </c>
      <c r="V50">
        <f>HYPERLINK("https://klasma.github.io/Logging_1885/klagomål/A 57362-2025 FSC-klagomål.docx", "A 57362-2025")</f>
        <v/>
      </c>
      <c r="W50">
        <f>HYPERLINK("https://klasma.github.io/Logging_1885/klagomålsmail/A 57362-2025 FSC-klagomål mail.docx", "A 57362-2025")</f>
        <v/>
      </c>
      <c r="X50">
        <f>HYPERLINK("https://klasma.github.io/Logging_1885/tillsyn/A 57362-2025 tillsynsbegäran.docx", "A 57362-2025")</f>
        <v/>
      </c>
      <c r="Y50">
        <f>HYPERLINK("https://klasma.github.io/Logging_1885/tillsynsmail/A 57362-2025 tillsynsbegäran mail.docx", "A 57362-2025")</f>
        <v/>
      </c>
    </row>
    <row r="51" ht="15" customHeight="1">
      <c r="A51" t="inlineStr">
        <is>
          <t>A 57355-2025</t>
        </is>
      </c>
      <c r="B51" s="1" t="n">
        <v>45980.3659375</v>
      </c>
      <c r="C51" s="1" t="n">
        <v>46111</v>
      </c>
      <c r="D51" t="inlineStr">
        <is>
          <t>ÖREBRO LÄN</t>
        </is>
      </c>
      <c r="E51" t="inlineStr">
        <is>
          <t>LINDESBERG</t>
        </is>
      </c>
      <c r="F51" t="inlineStr">
        <is>
          <t>Sveaskog</t>
        </is>
      </c>
      <c r="G51" t="n">
        <v>2.7</v>
      </c>
      <c r="H51" t="n">
        <v>0</v>
      </c>
      <c r="I51" t="n">
        <v>0</v>
      </c>
      <c r="J51" t="n">
        <v>1</v>
      </c>
      <c r="K51" t="n">
        <v>0</v>
      </c>
      <c r="L51" t="n">
        <v>0</v>
      </c>
      <c r="M51" t="n">
        <v>0</v>
      </c>
      <c r="N51" t="n">
        <v>0</v>
      </c>
      <c r="O51" t="n">
        <v>1</v>
      </c>
      <c r="P51" t="n">
        <v>0</v>
      </c>
      <c r="Q51" t="n">
        <v>1</v>
      </c>
      <c r="R51" s="2" t="inlineStr">
        <is>
          <t>Orange taggsvamp</t>
        </is>
      </c>
      <c r="S51">
        <f>HYPERLINK("https://klasma.github.io/Logging_1885/artfynd/A 57355-2025 artfynd.xlsx", "A 57355-2025")</f>
        <v/>
      </c>
      <c r="T51">
        <f>HYPERLINK("https://klasma.github.io/Logging_1885/kartor/A 57355-2025 karta.png", "A 57355-2025")</f>
        <v/>
      </c>
      <c r="V51">
        <f>HYPERLINK("https://klasma.github.io/Logging_1885/klagomål/A 57355-2025 FSC-klagomål.docx", "A 57355-2025")</f>
        <v/>
      </c>
      <c r="W51">
        <f>HYPERLINK("https://klasma.github.io/Logging_1885/klagomålsmail/A 57355-2025 FSC-klagomål mail.docx", "A 57355-2025")</f>
        <v/>
      </c>
      <c r="X51">
        <f>HYPERLINK("https://klasma.github.io/Logging_1885/tillsyn/A 57355-2025 tillsynsbegäran.docx", "A 57355-2025")</f>
        <v/>
      </c>
      <c r="Y51">
        <f>HYPERLINK("https://klasma.github.io/Logging_1885/tillsynsmail/A 57355-2025 tillsynsbegäran mail.docx", "A 57355-2025")</f>
        <v/>
      </c>
    </row>
    <row r="52" ht="15" customHeight="1">
      <c r="A52" t="inlineStr">
        <is>
          <t>A 30347-2025</t>
        </is>
      </c>
      <c r="B52" s="1" t="n">
        <v>45827.53077546296</v>
      </c>
      <c r="C52" s="1" t="n">
        <v>46111</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33286-2024</t>
        </is>
      </c>
      <c r="B53" s="1" t="n">
        <v>45518</v>
      </c>
      <c r="C53" s="1" t="n">
        <v>46111</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45467-2025</t>
        </is>
      </c>
      <c r="B54" s="1" t="n">
        <v>45922.49990740741</v>
      </c>
      <c r="C54" s="1" t="n">
        <v>46111</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46111</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48956-2025</t>
        </is>
      </c>
      <c r="B56" s="1" t="n">
        <v>45937.54982638889</v>
      </c>
      <c r="C56" s="1" t="n">
        <v>46111</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2829-2026</t>
        </is>
      </c>
      <c r="B57" s="1" t="n">
        <v>46038.45296296296</v>
      </c>
      <c r="C57" s="1" t="n">
        <v>46111</v>
      </c>
      <c r="D57" t="inlineStr">
        <is>
          <t>ÖREBRO LÄN</t>
        </is>
      </c>
      <c r="E57" t="inlineStr">
        <is>
          <t>LINDESBERG</t>
        </is>
      </c>
      <c r="G57" t="n">
        <v>6.3</v>
      </c>
      <c r="H57" t="n">
        <v>0</v>
      </c>
      <c r="I57" t="n">
        <v>1</v>
      </c>
      <c r="J57" t="n">
        <v>0</v>
      </c>
      <c r="K57" t="n">
        <v>0</v>
      </c>
      <c r="L57" t="n">
        <v>0</v>
      </c>
      <c r="M57" t="n">
        <v>0</v>
      </c>
      <c r="N57" t="n">
        <v>0</v>
      </c>
      <c r="O57" t="n">
        <v>0</v>
      </c>
      <c r="P57" t="n">
        <v>0</v>
      </c>
      <c r="Q57" t="n">
        <v>1</v>
      </c>
      <c r="R57" s="2" t="inlineStr">
        <is>
          <t>Vedticka</t>
        </is>
      </c>
      <c r="S57">
        <f>HYPERLINK("https://klasma.github.io/Logging_1885/artfynd/A 2829-2026 artfynd.xlsx", "A 2829-2026")</f>
        <v/>
      </c>
      <c r="T57">
        <f>HYPERLINK("https://klasma.github.io/Logging_1885/kartor/A 2829-2026 karta.png", "A 2829-2026")</f>
        <v/>
      </c>
      <c r="U57">
        <f>HYPERLINK("https://klasma.github.io/Logging_1885/knärot/A 2829-2026 karta knärot.png", "A 2829-2026")</f>
        <v/>
      </c>
      <c r="V57">
        <f>HYPERLINK("https://klasma.github.io/Logging_1885/klagomål/A 2829-2026 FSC-klagomål.docx", "A 2829-2026")</f>
        <v/>
      </c>
      <c r="W57">
        <f>HYPERLINK("https://klasma.github.io/Logging_1885/klagomålsmail/A 2829-2026 FSC-klagomål mail.docx", "A 2829-2026")</f>
        <v/>
      </c>
      <c r="X57">
        <f>HYPERLINK("https://klasma.github.io/Logging_1885/tillsyn/A 2829-2026 tillsynsbegäran.docx", "A 2829-2026")</f>
        <v/>
      </c>
      <c r="Y57">
        <f>HYPERLINK("https://klasma.github.io/Logging_1885/tillsynsmail/A 2829-2026 tillsynsbegäran mail.docx", "A 2829-2026")</f>
        <v/>
      </c>
    </row>
    <row r="58" ht="15" customHeight="1">
      <c r="A58" t="inlineStr">
        <is>
          <t>A 50766-2025</t>
        </is>
      </c>
      <c r="B58" s="1" t="n">
        <v>45946.44423611111</v>
      </c>
      <c r="C58" s="1" t="n">
        <v>46111</v>
      </c>
      <c r="D58" t="inlineStr">
        <is>
          <t>ÖREBRO LÄN</t>
        </is>
      </c>
      <c r="E58" t="inlineStr">
        <is>
          <t>LINDESBERG</t>
        </is>
      </c>
      <c r="F58" t="inlineStr">
        <is>
          <t>Sveaskog</t>
        </is>
      </c>
      <c r="G58" t="n">
        <v>2.4</v>
      </c>
      <c r="H58" t="n">
        <v>0</v>
      </c>
      <c r="I58" t="n">
        <v>0</v>
      </c>
      <c r="J58" t="n">
        <v>0</v>
      </c>
      <c r="K58" t="n">
        <v>1</v>
      </c>
      <c r="L58" t="n">
        <v>0</v>
      </c>
      <c r="M58" t="n">
        <v>0</v>
      </c>
      <c r="N58" t="n">
        <v>0</v>
      </c>
      <c r="O58" t="n">
        <v>1</v>
      </c>
      <c r="P58" t="n">
        <v>1</v>
      </c>
      <c r="Q58" t="n">
        <v>1</v>
      </c>
      <c r="R58" s="2" t="inlineStr">
        <is>
          <t>Rotfingersvamp</t>
        </is>
      </c>
      <c r="S58">
        <f>HYPERLINK("https://klasma.github.io/Logging_1885/artfynd/A 50766-2025 artfynd.xlsx", "A 50766-2025")</f>
        <v/>
      </c>
      <c r="T58">
        <f>HYPERLINK("https://klasma.github.io/Logging_1885/kartor/A 50766-2025 karta.png", "A 50766-2025")</f>
        <v/>
      </c>
      <c r="V58">
        <f>HYPERLINK("https://klasma.github.io/Logging_1885/klagomål/A 50766-2025 FSC-klagomål.docx", "A 50766-2025")</f>
        <v/>
      </c>
      <c r="W58">
        <f>HYPERLINK("https://klasma.github.io/Logging_1885/klagomålsmail/A 50766-2025 FSC-klagomål mail.docx", "A 50766-2025")</f>
        <v/>
      </c>
      <c r="X58">
        <f>HYPERLINK("https://klasma.github.io/Logging_1885/tillsyn/A 50766-2025 tillsynsbegäran.docx", "A 50766-2025")</f>
        <v/>
      </c>
      <c r="Y58">
        <f>HYPERLINK("https://klasma.github.io/Logging_1885/tillsynsmail/A 50766-2025 tillsynsbegäran mail.docx", "A 50766-2025")</f>
        <v/>
      </c>
    </row>
    <row r="59" ht="15" customHeight="1">
      <c r="A59" t="inlineStr">
        <is>
          <t>A 50777-2025</t>
        </is>
      </c>
      <c r="B59" s="1" t="n">
        <v>45946.45171296296</v>
      </c>
      <c r="C59" s="1" t="n">
        <v>46111</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50768-2025</t>
        </is>
      </c>
      <c r="B60" s="1" t="n">
        <v>45946.44790509259</v>
      </c>
      <c r="C60" s="1" t="n">
        <v>46111</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31052-2025</t>
        </is>
      </c>
      <c r="B61" s="1" t="n">
        <v>45832.56153935185</v>
      </c>
      <c r="C61" s="1" t="n">
        <v>46111</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52105-2025</t>
        </is>
      </c>
      <c r="B62" s="1" t="n">
        <v>45952.68596064814</v>
      </c>
      <c r="C62" s="1" t="n">
        <v>46111</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46111</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46111</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36669-2024</t>
        </is>
      </c>
      <c r="B65" s="1" t="n">
        <v>45537.64484953704</v>
      </c>
      <c r="C65" s="1" t="n">
        <v>46111</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8172-2026</t>
        </is>
      </c>
      <c r="B66" s="1" t="n">
        <v>46064</v>
      </c>
      <c r="C66" s="1" t="n">
        <v>46111</v>
      </c>
      <c r="D66" t="inlineStr">
        <is>
          <t>ÖREBRO LÄN</t>
        </is>
      </c>
      <c r="E66" t="inlineStr">
        <is>
          <t>LINDESBERG</t>
        </is>
      </c>
      <c r="G66" t="n">
        <v>2.9</v>
      </c>
      <c r="H66" t="n">
        <v>0</v>
      </c>
      <c r="I66" t="n">
        <v>0</v>
      </c>
      <c r="J66" t="n">
        <v>0</v>
      </c>
      <c r="K66" t="n">
        <v>0</v>
      </c>
      <c r="L66" t="n">
        <v>1</v>
      </c>
      <c r="M66" t="n">
        <v>0</v>
      </c>
      <c r="N66" t="n">
        <v>0</v>
      </c>
      <c r="O66" t="n">
        <v>1</v>
      </c>
      <c r="P66" t="n">
        <v>1</v>
      </c>
      <c r="Q66" t="n">
        <v>1</v>
      </c>
      <c r="R66" s="2" t="inlineStr">
        <is>
          <t>Bågtuss</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8175-2026</t>
        </is>
      </c>
      <c r="B67" s="1" t="n">
        <v>46064</v>
      </c>
      <c r="C67" s="1" t="n">
        <v>46111</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Svart trolldruva</t>
        </is>
      </c>
      <c r="S67">
        <f>HYPERLINK("https://klasma.github.io/Logging_1885/artfynd/A 8175-2026 artfynd.xlsx", "A 8175-2026")</f>
        <v/>
      </c>
      <c r="T67">
        <f>HYPERLINK("https://klasma.github.io/Logging_1885/kartor/A 8175-2026 karta.png", "A 8175-2026")</f>
        <v/>
      </c>
      <c r="V67">
        <f>HYPERLINK("https://klasma.github.io/Logging_1885/klagomål/A 8175-2026 FSC-klagomål.docx", "A 8175-2026")</f>
        <v/>
      </c>
      <c r="W67">
        <f>HYPERLINK("https://klasma.github.io/Logging_1885/klagomålsmail/A 8175-2026 FSC-klagomål mail.docx", "A 8175-2026")</f>
        <v/>
      </c>
      <c r="X67">
        <f>HYPERLINK("https://klasma.github.io/Logging_1885/tillsyn/A 8175-2026 tillsynsbegäran.docx", "A 8175-2026")</f>
        <v/>
      </c>
      <c r="Y67">
        <f>HYPERLINK("https://klasma.github.io/Logging_1885/tillsynsmail/A 8175-2026 tillsynsbegäran mail.docx", "A 8175-2026")</f>
        <v/>
      </c>
    </row>
    <row r="68" ht="15" customHeight="1">
      <c r="A68" t="inlineStr">
        <is>
          <t>A 8186-2026</t>
        </is>
      </c>
      <c r="B68" s="1" t="n">
        <v>46064.42189814815</v>
      </c>
      <c r="C68" s="1" t="n">
        <v>46111</v>
      </c>
      <c r="D68" t="inlineStr">
        <is>
          <t>ÖREBRO LÄN</t>
        </is>
      </c>
      <c r="E68" t="inlineStr">
        <is>
          <t>LINDESBERG</t>
        </is>
      </c>
      <c r="G68" t="n">
        <v>2.4</v>
      </c>
      <c r="H68" t="n">
        <v>1</v>
      </c>
      <c r="I68" t="n">
        <v>0</v>
      </c>
      <c r="J68" t="n">
        <v>0</v>
      </c>
      <c r="K68" t="n">
        <v>0</v>
      </c>
      <c r="L68" t="n">
        <v>1</v>
      </c>
      <c r="M68" t="n">
        <v>0</v>
      </c>
      <c r="N68" t="n">
        <v>0</v>
      </c>
      <c r="O68" t="n">
        <v>1</v>
      </c>
      <c r="P68" t="n">
        <v>1</v>
      </c>
      <c r="Q68" t="n">
        <v>1</v>
      </c>
      <c r="R68" s="2" t="inlineStr">
        <is>
          <t>Asknätfjäril</t>
        </is>
      </c>
      <c r="S68">
        <f>HYPERLINK("https://klasma.github.io/Logging_1885/artfynd/A 8186-2026 artfynd.xlsx", "A 8186-2026")</f>
        <v/>
      </c>
      <c r="T68">
        <f>HYPERLINK("https://klasma.github.io/Logging_1885/kartor/A 8186-2026 karta.png", "A 8186-2026")</f>
        <v/>
      </c>
      <c r="V68">
        <f>HYPERLINK("https://klasma.github.io/Logging_1885/klagomål/A 8186-2026 FSC-klagomål.docx", "A 8186-2026")</f>
        <v/>
      </c>
      <c r="W68">
        <f>HYPERLINK("https://klasma.github.io/Logging_1885/klagomålsmail/A 8186-2026 FSC-klagomål mail.docx", "A 8186-2026")</f>
        <v/>
      </c>
      <c r="X68">
        <f>HYPERLINK("https://klasma.github.io/Logging_1885/tillsyn/A 8186-2026 tillsynsbegäran.docx", "A 8186-2026")</f>
        <v/>
      </c>
      <c r="Y68">
        <f>HYPERLINK("https://klasma.github.io/Logging_1885/tillsynsmail/A 8186-2026 tillsynsbegäran mail.docx", "A 8186-2026")</f>
        <v/>
      </c>
    </row>
    <row r="69" ht="15" customHeight="1">
      <c r="A69" t="inlineStr">
        <is>
          <t>A 37834-2025</t>
        </is>
      </c>
      <c r="B69" s="1" t="n">
        <v>45881.42446759259</v>
      </c>
      <c r="C69" s="1" t="n">
        <v>46111</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28787-2023</t>
        </is>
      </c>
      <c r="B70" s="1" t="n">
        <v>45104.3483912037</v>
      </c>
      <c r="C70" s="1" t="n">
        <v>46111</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46111</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46111</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46111</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46111</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45051-2024</t>
        </is>
      </c>
      <c r="B75" s="1" t="n">
        <v>45575.54934027778</v>
      </c>
      <c r="C75" s="1" t="n">
        <v>46111</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46111</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46111</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46111</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46111</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46111</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46111</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46111</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46111</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46111</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46111</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46111</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46111</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46111</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46111</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46111</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46111</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46111</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46111</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46111</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46111</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46111</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46111</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46111</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46111</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46111</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46111</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46111</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46111</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46111</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46111</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46111</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46111</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46111</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46111</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46111</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46111</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46111</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46111</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46111</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46111</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46111</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46111</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46111</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46111</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46111</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46111</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46111</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46111</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46111</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46111</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46111</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46111</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46111</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46111</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46111</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46111</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46111</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46111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46111</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46111</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46111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46111</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46111</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46111</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46111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46111</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46111</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46111</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46111</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46111</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46111</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46111</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46111</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46111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46111</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46111</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46111</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46111</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46111</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46111</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46111</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46111</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46111</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46111</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46111</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46111</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46111</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46111</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46111</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46111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46111</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46111</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46111</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46111</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46111</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46111</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46111</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46111</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46111</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46111</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46111</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46111</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46111</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46111</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46111</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46111</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46111</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46111</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46111</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46111</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46111</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46111</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46111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46111</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46111</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46111</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46111</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46111</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46111</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46111</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46111</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46111</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46111</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46111</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46111</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46111</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46111</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46111</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46111</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46111</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46111</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46111</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46111</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46111</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46111</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46111</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45481-2023</t>
        </is>
      </c>
      <c r="B212" s="1" t="n">
        <v>45194</v>
      </c>
      <c r="C212" s="1" t="n">
        <v>46111</v>
      </c>
      <c r="D212" t="inlineStr">
        <is>
          <t>ÖREBRO LÄN</t>
        </is>
      </c>
      <c r="E212" t="inlineStr">
        <is>
          <t>LINDESBERG</t>
        </is>
      </c>
      <c r="G212" t="n">
        <v>2.1</v>
      </c>
      <c r="H212" t="n">
        <v>0</v>
      </c>
      <c r="I212" t="n">
        <v>0</v>
      </c>
      <c r="J212" t="n">
        <v>0</v>
      </c>
      <c r="K212" t="n">
        <v>0</v>
      </c>
      <c r="L212" t="n">
        <v>0</v>
      </c>
      <c r="M212" t="n">
        <v>0</v>
      </c>
      <c r="N212" t="n">
        <v>0</v>
      </c>
      <c r="O212" t="n">
        <v>0</v>
      </c>
      <c r="P212" t="n">
        <v>0</v>
      </c>
      <c r="Q212" t="n">
        <v>0</v>
      </c>
      <c r="R212" s="2" t="inlineStr"/>
    </row>
    <row r="213" ht="15" customHeight="1">
      <c r="A213" t="inlineStr">
        <is>
          <t>A 33707-2021</t>
        </is>
      </c>
      <c r="B213" s="1" t="n">
        <v>44378.46403935185</v>
      </c>
      <c r="C213" s="1" t="n">
        <v>46111</v>
      </c>
      <c r="D213" t="inlineStr">
        <is>
          <t>ÖREBRO LÄN</t>
        </is>
      </c>
      <c r="E213" t="inlineStr">
        <is>
          <t>LINDESBERG</t>
        </is>
      </c>
      <c r="G213" t="n">
        <v>2</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46111</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63686-2023</t>
        </is>
      </c>
      <c r="B215" s="1" t="n">
        <v>45274</v>
      </c>
      <c r="C215" s="1" t="n">
        <v>46111</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8612-2024</t>
        </is>
      </c>
      <c r="B216" s="1" t="n">
        <v>45355.70009259259</v>
      </c>
      <c r="C216" s="1" t="n">
        <v>46111</v>
      </c>
      <c r="D216" t="inlineStr">
        <is>
          <t>ÖREBRO LÄN</t>
        </is>
      </c>
      <c r="E216" t="inlineStr">
        <is>
          <t>LINDESBERG</t>
        </is>
      </c>
      <c r="G216" t="n">
        <v>4.5</v>
      </c>
      <c r="H216" t="n">
        <v>0</v>
      </c>
      <c r="I216" t="n">
        <v>0</v>
      </c>
      <c r="J216" t="n">
        <v>0</v>
      </c>
      <c r="K216" t="n">
        <v>0</v>
      </c>
      <c r="L216" t="n">
        <v>0</v>
      </c>
      <c r="M216" t="n">
        <v>0</v>
      </c>
      <c r="N216" t="n">
        <v>0</v>
      </c>
      <c r="O216" t="n">
        <v>0</v>
      </c>
      <c r="P216" t="n">
        <v>0</v>
      </c>
      <c r="Q216" t="n">
        <v>0</v>
      </c>
      <c r="R216" s="2" t="inlineStr"/>
    </row>
    <row r="217" ht="15" customHeight="1">
      <c r="A217" t="inlineStr">
        <is>
          <t>A 6470-2024</t>
        </is>
      </c>
      <c r="B217" s="1" t="n">
        <v>45338</v>
      </c>
      <c r="C217" s="1" t="n">
        <v>46111</v>
      </c>
      <c r="D217" t="inlineStr">
        <is>
          <t>ÖREBRO LÄN</t>
        </is>
      </c>
      <c r="E217" t="inlineStr">
        <is>
          <t>LINDESBERG</t>
        </is>
      </c>
      <c r="G217" t="n">
        <v>1.2</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46111</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46111</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17823-2021</t>
        </is>
      </c>
      <c r="B220" s="1" t="n">
        <v>44300</v>
      </c>
      <c r="C220" s="1" t="n">
        <v>46111</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46111</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46111</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46111</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46111</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17995-2021</t>
        </is>
      </c>
      <c r="B225" s="1" t="n">
        <v>44301</v>
      </c>
      <c r="C225" s="1" t="n">
        <v>46111</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19914-2024</t>
        </is>
      </c>
      <c r="B226" s="1" t="n">
        <v>45433.58099537037</v>
      </c>
      <c r="C226" s="1" t="n">
        <v>46111</v>
      </c>
      <c r="D226" t="inlineStr">
        <is>
          <t>ÖREBRO LÄN</t>
        </is>
      </c>
      <c r="E226" t="inlineStr">
        <is>
          <t>LINDESBERG</t>
        </is>
      </c>
      <c r="G226" t="n">
        <v>1.1</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46111</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46111</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46111</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46111</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46111</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56217-2022</t>
        </is>
      </c>
      <c r="B232" s="1" t="n">
        <v>44890.46174768519</v>
      </c>
      <c r="C232" s="1" t="n">
        <v>46111</v>
      </c>
      <c r="D232" t="inlineStr">
        <is>
          <t>ÖREBRO LÄN</t>
        </is>
      </c>
      <c r="E232" t="inlineStr">
        <is>
          <t>LINDESBERG</t>
        </is>
      </c>
      <c r="G232" t="n">
        <v>6.9</v>
      </c>
      <c r="H232" t="n">
        <v>0</v>
      </c>
      <c r="I232" t="n">
        <v>0</v>
      </c>
      <c r="J232" t="n">
        <v>0</v>
      </c>
      <c r="K232" t="n">
        <v>0</v>
      </c>
      <c r="L232" t="n">
        <v>0</v>
      </c>
      <c r="M232" t="n">
        <v>0</v>
      </c>
      <c r="N232" t="n">
        <v>0</v>
      </c>
      <c r="O232" t="n">
        <v>0</v>
      </c>
      <c r="P232" t="n">
        <v>0</v>
      </c>
      <c r="Q232" t="n">
        <v>0</v>
      </c>
      <c r="R232" s="2" t="inlineStr"/>
    </row>
    <row r="233" ht="15" customHeight="1">
      <c r="A233" t="inlineStr">
        <is>
          <t>A 22438-2025</t>
        </is>
      </c>
      <c r="B233" s="1" t="n">
        <v>45786</v>
      </c>
      <c r="C233" s="1" t="n">
        <v>46111</v>
      </c>
      <c r="D233" t="inlineStr">
        <is>
          <t>ÖREBRO LÄN</t>
        </is>
      </c>
      <c r="E233" t="inlineStr">
        <is>
          <t>LINDESBERG</t>
        </is>
      </c>
      <c r="F233" t="inlineStr">
        <is>
          <t>Sveaskog</t>
        </is>
      </c>
      <c r="G233" t="n">
        <v>6.1</v>
      </c>
      <c r="H233" t="n">
        <v>0</v>
      </c>
      <c r="I233" t="n">
        <v>0</v>
      </c>
      <c r="J233" t="n">
        <v>0</v>
      </c>
      <c r="K233" t="n">
        <v>0</v>
      </c>
      <c r="L233" t="n">
        <v>0</v>
      </c>
      <c r="M233" t="n">
        <v>0</v>
      </c>
      <c r="N233" t="n">
        <v>0</v>
      </c>
      <c r="O233" t="n">
        <v>0</v>
      </c>
      <c r="P233" t="n">
        <v>0</v>
      </c>
      <c r="Q233" t="n">
        <v>0</v>
      </c>
      <c r="R233" s="2" t="inlineStr"/>
    </row>
    <row r="234" ht="15" customHeight="1">
      <c r="A234" t="inlineStr">
        <is>
          <t>A 40305-2024</t>
        </is>
      </c>
      <c r="B234" s="1" t="n">
        <v>45554.71863425926</v>
      </c>
      <c r="C234" s="1" t="n">
        <v>46111</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45569.3533912037</v>
      </c>
      <c r="C235" s="1" t="n">
        <v>46111</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27134-2024</t>
        </is>
      </c>
      <c r="B236" s="1" t="n">
        <v>45471.52878472222</v>
      </c>
      <c r="C236" s="1" t="n">
        <v>46111</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59282-2023</t>
        </is>
      </c>
      <c r="B237" s="1" t="n">
        <v>45253</v>
      </c>
      <c r="C237" s="1" t="n">
        <v>46111</v>
      </c>
      <c r="D237" t="inlineStr">
        <is>
          <t>ÖREBRO LÄN</t>
        </is>
      </c>
      <c r="E237" t="inlineStr">
        <is>
          <t>LINDESBERG</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47601-2023</t>
        </is>
      </c>
      <c r="B238" s="1" t="n">
        <v>45203.45681712963</v>
      </c>
      <c r="C238" s="1" t="n">
        <v>46111</v>
      </c>
      <c r="D238" t="inlineStr">
        <is>
          <t>ÖREBRO LÄN</t>
        </is>
      </c>
      <c r="E238" t="inlineStr">
        <is>
          <t>LINDESBERG</t>
        </is>
      </c>
      <c r="G238" t="n">
        <v>37.6</v>
      </c>
      <c r="H238" t="n">
        <v>0</v>
      </c>
      <c r="I238" t="n">
        <v>0</v>
      </c>
      <c r="J238" t="n">
        <v>0</v>
      </c>
      <c r="K238" t="n">
        <v>0</v>
      </c>
      <c r="L238" t="n">
        <v>0</v>
      </c>
      <c r="M238" t="n">
        <v>0</v>
      </c>
      <c r="N238" t="n">
        <v>0</v>
      </c>
      <c r="O238" t="n">
        <v>0</v>
      </c>
      <c r="P238" t="n">
        <v>0</v>
      </c>
      <c r="Q238" t="n">
        <v>0</v>
      </c>
      <c r="R238" s="2" t="inlineStr"/>
    </row>
    <row r="239" ht="15" customHeight="1">
      <c r="A239" t="inlineStr">
        <is>
          <t>A 62308-2023</t>
        </is>
      </c>
      <c r="B239" s="1" t="n">
        <v>45267.69052083333</v>
      </c>
      <c r="C239" s="1" t="n">
        <v>46111</v>
      </c>
      <c r="D239" t="inlineStr">
        <is>
          <t>ÖREBRO LÄN</t>
        </is>
      </c>
      <c r="E239" t="inlineStr">
        <is>
          <t>LINDESBERG</t>
        </is>
      </c>
      <c r="F239" t="inlineStr">
        <is>
          <t>Naturvårdsverket</t>
        </is>
      </c>
      <c r="G239" t="n">
        <v>3.1</v>
      </c>
      <c r="H239" t="n">
        <v>0</v>
      </c>
      <c r="I239" t="n">
        <v>0</v>
      </c>
      <c r="J239" t="n">
        <v>0</v>
      </c>
      <c r="K239" t="n">
        <v>0</v>
      </c>
      <c r="L239" t="n">
        <v>0</v>
      </c>
      <c r="M239" t="n">
        <v>0</v>
      </c>
      <c r="N239" t="n">
        <v>0</v>
      </c>
      <c r="O239" t="n">
        <v>0</v>
      </c>
      <c r="P239" t="n">
        <v>0</v>
      </c>
      <c r="Q239" t="n">
        <v>0</v>
      </c>
      <c r="R239" s="2" t="inlineStr"/>
    </row>
    <row r="240" ht="15" customHeight="1">
      <c r="A240" t="inlineStr">
        <is>
          <t>A 33280-2024</t>
        </is>
      </c>
      <c r="B240" s="1" t="n">
        <v>45518.71048611111</v>
      </c>
      <c r="C240" s="1" t="n">
        <v>46111</v>
      </c>
      <c r="D240" t="inlineStr">
        <is>
          <t>ÖREBRO LÄN</t>
        </is>
      </c>
      <c r="E240" t="inlineStr">
        <is>
          <t>LINDESBERG</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21012-2023</t>
        </is>
      </c>
      <c r="B241" s="1" t="n">
        <v>45061.52474537037</v>
      </c>
      <c r="C241" s="1" t="n">
        <v>46111</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22078-2025</t>
        </is>
      </c>
      <c r="B242" s="1" t="n">
        <v>45785.4253125</v>
      </c>
      <c r="C242" s="1" t="n">
        <v>46111</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24944-2024</t>
        </is>
      </c>
      <c r="B243" s="1" t="n">
        <v>45461.62924768519</v>
      </c>
      <c r="C243" s="1" t="n">
        <v>46111</v>
      </c>
      <c r="D243" t="inlineStr">
        <is>
          <t>ÖREBRO LÄN</t>
        </is>
      </c>
      <c r="E243" t="inlineStr">
        <is>
          <t>LINDESBERG</t>
        </is>
      </c>
      <c r="F243" t="inlineStr">
        <is>
          <t>Kyrkan</t>
        </is>
      </c>
      <c r="G243" t="n">
        <v>13.7</v>
      </c>
      <c r="H243" t="n">
        <v>0</v>
      </c>
      <c r="I243" t="n">
        <v>0</v>
      </c>
      <c r="J243" t="n">
        <v>0</v>
      </c>
      <c r="K243" t="n">
        <v>0</v>
      </c>
      <c r="L243" t="n">
        <v>0</v>
      </c>
      <c r="M243" t="n">
        <v>0</v>
      </c>
      <c r="N243" t="n">
        <v>0</v>
      </c>
      <c r="O243" t="n">
        <v>0</v>
      </c>
      <c r="P243" t="n">
        <v>0</v>
      </c>
      <c r="Q243" t="n">
        <v>0</v>
      </c>
      <c r="R243" s="2" t="inlineStr"/>
    </row>
    <row r="244" ht="15" customHeight="1">
      <c r="A244" t="inlineStr">
        <is>
          <t>A 57361-2025</t>
        </is>
      </c>
      <c r="B244" s="1" t="n">
        <v>45980.36988425926</v>
      </c>
      <c r="C244" s="1" t="n">
        <v>46111</v>
      </c>
      <c r="D244" t="inlineStr">
        <is>
          <t>ÖREBRO LÄN</t>
        </is>
      </c>
      <c r="E244" t="inlineStr">
        <is>
          <t>LINDESBERG</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57299-2025</t>
        </is>
      </c>
      <c r="B245" s="1" t="n">
        <v>45979.81347222222</v>
      </c>
      <c r="C245" s="1" t="n">
        <v>46111</v>
      </c>
      <c r="D245" t="inlineStr">
        <is>
          <t>ÖREBRO LÄN</t>
        </is>
      </c>
      <c r="E245" t="inlineStr">
        <is>
          <t>LINDESBERG</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46111</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53054-2022</t>
        </is>
      </c>
      <c r="B247" s="1" t="n">
        <v>44876.35706018518</v>
      </c>
      <c r="C247" s="1" t="n">
        <v>46111</v>
      </c>
      <c r="D247" t="inlineStr">
        <is>
          <t>ÖREBRO LÄN</t>
        </is>
      </c>
      <c r="E247" t="inlineStr">
        <is>
          <t>LINDESBERG</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57359-2025</t>
        </is>
      </c>
      <c r="B248" s="1" t="n">
        <v>45980.36866898148</v>
      </c>
      <c r="C248" s="1" t="n">
        <v>46111</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36686-2024</t>
        </is>
      </c>
      <c r="B249" s="1" t="n">
        <v>45537.665</v>
      </c>
      <c r="C249" s="1" t="n">
        <v>46111</v>
      </c>
      <c r="D249" t="inlineStr">
        <is>
          <t>ÖREBRO LÄN</t>
        </is>
      </c>
      <c r="E249" t="inlineStr">
        <is>
          <t>LINDESBERG</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53355-2023</t>
        </is>
      </c>
      <c r="B250" s="1" t="n">
        <v>45229.66430555555</v>
      </c>
      <c r="C250" s="1" t="n">
        <v>46111</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57300-2025</t>
        </is>
      </c>
      <c r="B251" s="1" t="n">
        <v>45979.81403935186</v>
      </c>
      <c r="C251" s="1" t="n">
        <v>46111</v>
      </c>
      <c r="D251" t="inlineStr">
        <is>
          <t>ÖREBRO LÄN</t>
        </is>
      </c>
      <c r="E251" t="inlineStr">
        <is>
          <t>LINDESBERG</t>
        </is>
      </c>
      <c r="F251" t="inlineStr">
        <is>
          <t>Sveaskog</t>
        </is>
      </c>
      <c r="G251" t="n">
        <v>4.9</v>
      </c>
      <c r="H251" t="n">
        <v>0</v>
      </c>
      <c r="I251" t="n">
        <v>0</v>
      </c>
      <c r="J251" t="n">
        <v>0</v>
      </c>
      <c r="K251" t="n">
        <v>0</v>
      </c>
      <c r="L251" t="n">
        <v>0</v>
      </c>
      <c r="M251" t="n">
        <v>0</v>
      </c>
      <c r="N251" t="n">
        <v>0</v>
      </c>
      <c r="O251" t="n">
        <v>0</v>
      </c>
      <c r="P251" t="n">
        <v>0</v>
      </c>
      <c r="Q251" t="n">
        <v>0</v>
      </c>
      <c r="R251" s="2" t="inlineStr"/>
    </row>
    <row r="252" ht="15" customHeight="1">
      <c r="A252" t="inlineStr">
        <is>
          <t>A 57358-2025</t>
        </is>
      </c>
      <c r="B252" s="1" t="n">
        <v>45980.36679398148</v>
      </c>
      <c r="C252" s="1" t="n">
        <v>46111</v>
      </c>
      <c r="D252" t="inlineStr">
        <is>
          <t>ÖREBRO LÄN</t>
        </is>
      </c>
      <c r="E252" t="inlineStr">
        <is>
          <t>LINDESBERG</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46111</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57313-2025</t>
        </is>
      </c>
      <c r="B254" s="1" t="n">
        <v>45979.97458333334</v>
      </c>
      <c r="C254" s="1" t="n">
        <v>46111</v>
      </c>
      <c r="D254" t="inlineStr">
        <is>
          <t>ÖREBRO LÄN</t>
        </is>
      </c>
      <c r="E254" t="inlineStr">
        <is>
          <t>LINDESBERG</t>
        </is>
      </c>
      <c r="F254" t="inlineStr">
        <is>
          <t>Sveaskog</t>
        </is>
      </c>
      <c r="G254" t="n">
        <v>9.1</v>
      </c>
      <c r="H254" t="n">
        <v>0</v>
      </c>
      <c r="I254" t="n">
        <v>0</v>
      </c>
      <c r="J254" t="n">
        <v>0</v>
      </c>
      <c r="K254" t="n">
        <v>0</v>
      </c>
      <c r="L254" t="n">
        <v>0</v>
      </c>
      <c r="M254" t="n">
        <v>0</v>
      </c>
      <c r="N254" t="n">
        <v>0</v>
      </c>
      <c r="O254" t="n">
        <v>0</v>
      </c>
      <c r="P254" t="n">
        <v>0</v>
      </c>
      <c r="Q254" t="n">
        <v>0</v>
      </c>
      <c r="R254" s="2" t="inlineStr"/>
    </row>
    <row r="255" ht="15" customHeight="1">
      <c r="A255" t="inlineStr">
        <is>
          <t>A 57314-2025</t>
        </is>
      </c>
      <c r="B255" s="1" t="n">
        <v>45980.00710648148</v>
      </c>
      <c r="C255" s="1" t="n">
        <v>46111</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57315-2025</t>
        </is>
      </c>
      <c r="B256" s="1" t="n">
        <v>45980.00753472222</v>
      </c>
      <c r="C256" s="1" t="n">
        <v>46111</v>
      </c>
      <c r="D256" t="inlineStr">
        <is>
          <t>ÖREBRO LÄN</t>
        </is>
      </c>
      <c r="E256" t="inlineStr">
        <is>
          <t>LINDESBERG</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57316-2025</t>
        </is>
      </c>
      <c r="B257" s="1" t="n">
        <v>45980.0115625</v>
      </c>
      <c r="C257" s="1" t="n">
        <v>46111</v>
      </c>
      <c r="D257" t="inlineStr">
        <is>
          <t>ÖREBRO LÄN</t>
        </is>
      </c>
      <c r="E257" t="inlineStr">
        <is>
          <t>LINDESBERG</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54793-2024</t>
        </is>
      </c>
      <c r="B258" s="1" t="n">
        <v>45618</v>
      </c>
      <c r="C258" s="1" t="n">
        <v>46111</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57320-2025</t>
        </is>
      </c>
      <c r="B259" s="1" t="n">
        <v>45980.01553240741</v>
      </c>
      <c r="C259" s="1" t="n">
        <v>46111</v>
      </c>
      <c r="D259" t="inlineStr">
        <is>
          <t>ÖREBRO LÄN</t>
        </is>
      </c>
      <c r="E259" t="inlineStr">
        <is>
          <t>LINDESBERG</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57363-2025</t>
        </is>
      </c>
      <c r="B260" s="1" t="n">
        <v>45980.3716087963</v>
      </c>
      <c r="C260" s="1" t="n">
        <v>46111</v>
      </c>
      <c r="D260" t="inlineStr">
        <is>
          <t>ÖREBRO LÄN</t>
        </is>
      </c>
      <c r="E260" t="inlineStr">
        <is>
          <t>LINDESBERG</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57317-2025</t>
        </is>
      </c>
      <c r="B261" s="1" t="n">
        <v>45980.01226851852</v>
      </c>
      <c r="C261" s="1" t="n">
        <v>46111</v>
      </c>
      <c r="D261" t="inlineStr">
        <is>
          <t>ÖREBRO LÄN</t>
        </is>
      </c>
      <c r="E261" t="inlineStr">
        <is>
          <t>LINDESBERG</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57356-2025</t>
        </is>
      </c>
      <c r="B262" s="1" t="n">
        <v>45980.36633101852</v>
      </c>
      <c r="C262" s="1" t="n">
        <v>46111</v>
      </c>
      <c r="D262" t="inlineStr">
        <is>
          <t>ÖREBRO LÄN</t>
        </is>
      </c>
      <c r="E262" t="inlineStr">
        <is>
          <t>LINDESBERG</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50619-2022</t>
        </is>
      </c>
      <c r="B263" s="1" t="n">
        <v>44866.79668981482</v>
      </c>
      <c r="C263" s="1" t="n">
        <v>46111</v>
      </c>
      <c r="D263" t="inlineStr">
        <is>
          <t>ÖREBRO LÄN</t>
        </is>
      </c>
      <c r="E263" t="inlineStr">
        <is>
          <t>LINDESBERG</t>
        </is>
      </c>
      <c r="G263" t="n">
        <v>1.4</v>
      </c>
      <c r="H263" t="n">
        <v>0</v>
      </c>
      <c r="I263" t="n">
        <v>0</v>
      </c>
      <c r="J263" t="n">
        <v>0</v>
      </c>
      <c r="K263" t="n">
        <v>0</v>
      </c>
      <c r="L263" t="n">
        <v>0</v>
      </c>
      <c r="M263" t="n">
        <v>0</v>
      </c>
      <c r="N263" t="n">
        <v>0</v>
      </c>
      <c r="O263" t="n">
        <v>0</v>
      </c>
      <c r="P263" t="n">
        <v>0</v>
      </c>
      <c r="Q263" t="n">
        <v>0</v>
      </c>
      <c r="R263" s="2" t="inlineStr"/>
    </row>
    <row r="264" ht="15" customHeight="1">
      <c r="A264" t="inlineStr">
        <is>
          <t>A 58166-2025</t>
        </is>
      </c>
      <c r="B264" s="1" t="n">
        <v>45982.71017361111</v>
      </c>
      <c r="C264" s="1" t="n">
        <v>46111</v>
      </c>
      <c r="D264" t="inlineStr">
        <is>
          <t>ÖREBRO LÄN</t>
        </is>
      </c>
      <c r="E264" t="inlineStr">
        <is>
          <t>LINDESBERG</t>
        </is>
      </c>
      <c r="G264" t="n">
        <v>2.5</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46111</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46603-2021</t>
        </is>
      </c>
      <c r="B266" s="1" t="n">
        <v>44445</v>
      </c>
      <c r="C266" s="1" t="n">
        <v>46111</v>
      </c>
      <c r="D266" t="inlineStr">
        <is>
          <t>ÖREBRO LÄN</t>
        </is>
      </c>
      <c r="E266" t="inlineStr">
        <is>
          <t>LINDESBERG</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22543-2025</t>
        </is>
      </c>
      <c r="B267" s="1" t="n">
        <v>45788.42467592593</v>
      </c>
      <c r="C267" s="1" t="n">
        <v>46111</v>
      </c>
      <c r="D267" t="inlineStr">
        <is>
          <t>ÖREBRO LÄN</t>
        </is>
      </c>
      <c r="E267" t="inlineStr">
        <is>
          <t>LINDESBERG</t>
        </is>
      </c>
      <c r="G267" t="n">
        <v>6.7</v>
      </c>
      <c r="H267" t="n">
        <v>0</v>
      </c>
      <c r="I267" t="n">
        <v>0</v>
      </c>
      <c r="J267" t="n">
        <v>0</v>
      </c>
      <c r="K267" t="n">
        <v>0</v>
      </c>
      <c r="L267" t="n">
        <v>0</v>
      </c>
      <c r="M267" t="n">
        <v>0</v>
      </c>
      <c r="N267" t="n">
        <v>0</v>
      </c>
      <c r="O267" t="n">
        <v>0</v>
      </c>
      <c r="P267" t="n">
        <v>0</v>
      </c>
      <c r="Q267" t="n">
        <v>0</v>
      </c>
      <c r="R267" s="2" t="inlineStr"/>
    </row>
    <row r="268" ht="15" customHeight="1">
      <c r="A268" t="inlineStr">
        <is>
          <t>A 41343-2021</t>
        </is>
      </c>
      <c r="B268" s="1" t="n">
        <v>44424.61709490741</v>
      </c>
      <c r="C268" s="1" t="n">
        <v>46111</v>
      </c>
      <c r="D268" t="inlineStr">
        <is>
          <t>ÖREBRO LÄN</t>
        </is>
      </c>
      <c r="E268" t="inlineStr">
        <is>
          <t>LINDESBERG</t>
        </is>
      </c>
      <c r="G268" t="n">
        <v>8.9</v>
      </c>
      <c r="H268" t="n">
        <v>0</v>
      </c>
      <c r="I268" t="n">
        <v>0</v>
      </c>
      <c r="J268" t="n">
        <v>0</v>
      </c>
      <c r="K268" t="n">
        <v>0</v>
      </c>
      <c r="L268" t="n">
        <v>0</v>
      </c>
      <c r="M268" t="n">
        <v>0</v>
      </c>
      <c r="N268" t="n">
        <v>0</v>
      </c>
      <c r="O268" t="n">
        <v>0</v>
      </c>
      <c r="P268" t="n">
        <v>0</v>
      </c>
      <c r="Q268" t="n">
        <v>0</v>
      </c>
      <c r="R268" s="2" t="inlineStr"/>
    </row>
    <row r="269" ht="15" customHeight="1">
      <c r="A269" t="inlineStr">
        <is>
          <t>A 23641-2024</t>
        </is>
      </c>
      <c r="B269" s="1" t="n">
        <v>45454.49679398148</v>
      </c>
      <c r="C269" s="1" t="n">
        <v>46111</v>
      </c>
      <c r="D269" t="inlineStr">
        <is>
          <t>ÖREBRO LÄN</t>
        </is>
      </c>
      <c r="E269" t="inlineStr">
        <is>
          <t>LINDESBERG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58662-2022</t>
        </is>
      </c>
      <c r="B270" s="1" t="n">
        <v>44902</v>
      </c>
      <c r="C270" s="1" t="n">
        <v>46111</v>
      </c>
      <c r="D270" t="inlineStr">
        <is>
          <t>ÖREBRO LÄN</t>
        </is>
      </c>
      <c r="E270" t="inlineStr">
        <is>
          <t>LINDESBERG</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46111</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28032-2023</t>
        </is>
      </c>
      <c r="B272" s="1" t="n">
        <v>45099</v>
      </c>
      <c r="C272" s="1" t="n">
        <v>46111</v>
      </c>
      <c r="D272" t="inlineStr">
        <is>
          <t>ÖREBRO LÄN</t>
        </is>
      </c>
      <c r="E272" t="inlineStr">
        <is>
          <t>LINDESBERG</t>
        </is>
      </c>
      <c r="F272" t="inlineStr">
        <is>
          <t>Kyrkan</t>
        </is>
      </c>
      <c r="G272" t="n">
        <v>0.7</v>
      </c>
      <c r="H272" t="n">
        <v>0</v>
      </c>
      <c r="I272" t="n">
        <v>0</v>
      </c>
      <c r="J272" t="n">
        <v>0</v>
      </c>
      <c r="K272" t="n">
        <v>0</v>
      </c>
      <c r="L272" t="n">
        <v>0</v>
      </c>
      <c r="M272" t="n">
        <v>0</v>
      </c>
      <c r="N272" t="n">
        <v>0</v>
      </c>
      <c r="O272" t="n">
        <v>0</v>
      </c>
      <c r="P272" t="n">
        <v>0</v>
      </c>
      <c r="Q272" t="n">
        <v>0</v>
      </c>
      <c r="R272" s="2" t="inlineStr"/>
    </row>
    <row r="273" ht="15" customHeight="1">
      <c r="A273" t="inlineStr">
        <is>
          <t>A 4067-2024</t>
        </is>
      </c>
      <c r="B273" s="1" t="n">
        <v>45323</v>
      </c>
      <c r="C273" s="1" t="n">
        <v>46111</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58963-2025</t>
        </is>
      </c>
      <c r="B274" s="1" t="n">
        <v>45987.60012731481</v>
      </c>
      <c r="C274" s="1" t="n">
        <v>46111</v>
      </c>
      <c r="D274" t="inlineStr">
        <is>
          <t>ÖREBRO LÄN</t>
        </is>
      </c>
      <c r="E274" t="inlineStr">
        <is>
          <t>LINDESBERG</t>
        </is>
      </c>
      <c r="G274" t="n">
        <v>0.8</v>
      </c>
      <c r="H274" t="n">
        <v>0</v>
      </c>
      <c r="I274" t="n">
        <v>0</v>
      </c>
      <c r="J274" t="n">
        <v>0</v>
      </c>
      <c r="K274" t="n">
        <v>0</v>
      </c>
      <c r="L274" t="n">
        <v>0</v>
      </c>
      <c r="M274" t="n">
        <v>0</v>
      </c>
      <c r="N274" t="n">
        <v>0</v>
      </c>
      <c r="O274" t="n">
        <v>0</v>
      </c>
      <c r="P274" t="n">
        <v>0</v>
      </c>
      <c r="Q274" t="n">
        <v>0</v>
      </c>
      <c r="R274" s="2" t="inlineStr"/>
    </row>
    <row r="275" ht="15" customHeight="1">
      <c r="A275" t="inlineStr">
        <is>
          <t>A 30767-2023</t>
        </is>
      </c>
      <c r="B275" s="1" t="n">
        <v>45112.67952546296</v>
      </c>
      <c r="C275" s="1" t="n">
        <v>46111</v>
      </c>
      <c r="D275" t="inlineStr">
        <is>
          <t>ÖREBRO LÄN</t>
        </is>
      </c>
      <c r="E275" t="inlineStr">
        <is>
          <t>LINDESBERG</t>
        </is>
      </c>
      <c r="G275" t="n">
        <v>3.9</v>
      </c>
      <c r="H275" t="n">
        <v>0</v>
      </c>
      <c r="I275" t="n">
        <v>0</v>
      </c>
      <c r="J275" t="n">
        <v>0</v>
      </c>
      <c r="K275" t="n">
        <v>0</v>
      </c>
      <c r="L275" t="n">
        <v>0</v>
      </c>
      <c r="M275" t="n">
        <v>0</v>
      </c>
      <c r="N275" t="n">
        <v>0</v>
      </c>
      <c r="O275" t="n">
        <v>0</v>
      </c>
      <c r="P275" t="n">
        <v>0</v>
      </c>
      <c r="Q275" t="n">
        <v>0</v>
      </c>
      <c r="R275" s="2" t="inlineStr"/>
    </row>
    <row r="276" ht="15" customHeight="1">
      <c r="A276" t="inlineStr">
        <is>
          <t>A 63508-2023</t>
        </is>
      </c>
      <c r="B276" s="1" t="n">
        <v>45274</v>
      </c>
      <c r="C276" s="1" t="n">
        <v>46111</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36280-2023</t>
        </is>
      </c>
      <c r="B277" s="1" t="n">
        <v>45152.34586805556</v>
      </c>
      <c r="C277" s="1" t="n">
        <v>46111</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33284-2024</t>
        </is>
      </c>
      <c r="B278" s="1" t="n">
        <v>45518.71721064814</v>
      </c>
      <c r="C278" s="1" t="n">
        <v>46111</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33978-2023</t>
        </is>
      </c>
      <c r="B279" s="1" t="n">
        <v>45134.68158564815</v>
      </c>
      <c r="C279" s="1" t="n">
        <v>46111</v>
      </c>
      <c r="D279" t="inlineStr">
        <is>
          <t>ÖREBRO LÄN</t>
        </is>
      </c>
      <c r="E279" t="inlineStr">
        <is>
          <t>LINDESBERG</t>
        </is>
      </c>
      <c r="G279" t="n">
        <v>4.1</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45889.67290509259</v>
      </c>
      <c r="C280" s="1" t="n">
        <v>46111</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39429-2025</t>
        </is>
      </c>
      <c r="B281" s="1" t="n">
        <v>45889.67577546297</v>
      </c>
      <c r="C281" s="1" t="n">
        <v>46111</v>
      </c>
      <c r="D281" t="inlineStr">
        <is>
          <t>ÖREBRO LÄN</t>
        </is>
      </c>
      <c r="E281" t="inlineStr">
        <is>
          <t>LINDESBERG</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46111</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38762-2021</t>
        </is>
      </c>
      <c r="B283" s="1" t="n">
        <v>44410.61837962963</v>
      </c>
      <c r="C283" s="1" t="n">
        <v>46111</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23245-2025</t>
        </is>
      </c>
      <c r="B284" s="1" t="n">
        <v>45791.50862268519</v>
      </c>
      <c r="C284" s="1" t="n">
        <v>46111</v>
      </c>
      <c r="D284" t="inlineStr">
        <is>
          <t>ÖREBRO LÄN</t>
        </is>
      </c>
      <c r="E284" t="inlineStr">
        <is>
          <t>LINDESBERG</t>
        </is>
      </c>
      <c r="G284" t="n">
        <v>6.8</v>
      </c>
      <c r="H284" t="n">
        <v>0</v>
      </c>
      <c r="I284" t="n">
        <v>0</v>
      </c>
      <c r="J284" t="n">
        <v>0</v>
      </c>
      <c r="K284" t="n">
        <v>0</v>
      </c>
      <c r="L284" t="n">
        <v>0</v>
      </c>
      <c r="M284" t="n">
        <v>0</v>
      </c>
      <c r="N284" t="n">
        <v>0</v>
      </c>
      <c r="O284" t="n">
        <v>0</v>
      </c>
      <c r="P284" t="n">
        <v>0</v>
      </c>
      <c r="Q284" t="n">
        <v>0</v>
      </c>
      <c r="R284" s="2" t="inlineStr"/>
    </row>
    <row r="285" ht="15" customHeight="1">
      <c r="A285" t="inlineStr">
        <is>
          <t>A 36015-2021</t>
        </is>
      </c>
      <c r="B285" s="1" t="n">
        <v>44389</v>
      </c>
      <c r="C285" s="1" t="n">
        <v>46111</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54705-2022</t>
        </is>
      </c>
      <c r="B286" s="1" t="n">
        <v>44883</v>
      </c>
      <c r="C286" s="1" t="n">
        <v>46111</v>
      </c>
      <c r="D286" t="inlineStr">
        <is>
          <t>ÖREBRO LÄN</t>
        </is>
      </c>
      <c r="E286" t="inlineStr">
        <is>
          <t>LINDESBERG</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36748-2024</t>
        </is>
      </c>
      <c r="B287" s="1" t="n">
        <v>45538.34460648148</v>
      </c>
      <c r="C287" s="1" t="n">
        <v>46111</v>
      </c>
      <c r="D287" t="inlineStr">
        <is>
          <t>ÖREBRO LÄN</t>
        </is>
      </c>
      <c r="E287" t="inlineStr">
        <is>
          <t>LINDESBERG</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21390-2024</t>
        </is>
      </c>
      <c r="B288" s="1" t="n">
        <v>45441.30899305556</v>
      </c>
      <c r="C288" s="1" t="n">
        <v>46111</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21392-2024</t>
        </is>
      </c>
      <c r="B289" s="1" t="n">
        <v>45441.30998842593</v>
      </c>
      <c r="C289" s="1" t="n">
        <v>46111</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46111</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40357-2025</t>
        </is>
      </c>
      <c r="B291" s="1" t="n">
        <v>45895.48927083334</v>
      </c>
      <c r="C291" s="1" t="n">
        <v>46111</v>
      </c>
      <c r="D291" t="inlineStr">
        <is>
          <t>ÖREBRO LÄN</t>
        </is>
      </c>
      <c r="E291" t="inlineStr">
        <is>
          <t>LINDESBERG</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13305-2023</t>
        </is>
      </c>
      <c r="B292" s="1" t="n">
        <v>45005.35967592592</v>
      </c>
      <c r="C292" s="1" t="n">
        <v>46111</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13368-2023</t>
        </is>
      </c>
      <c r="B293" s="1" t="n">
        <v>45005.47820601852</v>
      </c>
      <c r="C293" s="1" t="n">
        <v>46111</v>
      </c>
      <c r="D293" t="inlineStr">
        <is>
          <t>ÖREBRO LÄN</t>
        </is>
      </c>
      <c r="E293" t="inlineStr">
        <is>
          <t>LINDESBERG</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42707-2023</t>
        </is>
      </c>
      <c r="B294" s="1" t="n">
        <v>45181</v>
      </c>
      <c r="C294" s="1" t="n">
        <v>46111</v>
      </c>
      <c r="D294" t="inlineStr">
        <is>
          <t>ÖREBRO LÄN</t>
        </is>
      </c>
      <c r="E294" t="inlineStr">
        <is>
          <t>LINDESBERG</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59641-2024</t>
        </is>
      </c>
      <c r="B295" s="1" t="n">
        <v>45639.30934027778</v>
      </c>
      <c r="C295" s="1" t="n">
        <v>46111</v>
      </c>
      <c r="D295" t="inlineStr">
        <is>
          <t>ÖREBRO LÄN</t>
        </is>
      </c>
      <c r="E295" t="inlineStr">
        <is>
          <t>LINDESBERG</t>
        </is>
      </c>
      <c r="G295" t="n">
        <v>2.1</v>
      </c>
      <c r="H295" t="n">
        <v>0</v>
      </c>
      <c r="I295" t="n">
        <v>0</v>
      </c>
      <c r="J295" t="n">
        <v>0</v>
      </c>
      <c r="K295" t="n">
        <v>0</v>
      </c>
      <c r="L295" t="n">
        <v>0</v>
      </c>
      <c r="M295" t="n">
        <v>0</v>
      </c>
      <c r="N295" t="n">
        <v>0</v>
      </c>
      <c r="O295" t="n">
        <v>0</v>
      </c>
      <c r="P295" t="n">
        <v>0</v>
      </c>
      <c r="Q295" t="n">
        <v>0</v>
      </c>
      <c r="R295" s="2" t="inlineStr"/>
    </row>
    <row r="296" ht="15" customHeight="1">
      <c r="A296" t="inlineStr">
        <is>
          <t>A 17779-2024</t>
        </is>
      </c>
      <c r="B296" s="1" t="n">
        <v>45418.66800925926</v>
      </c>
      <c r="C296" s="1" t="n">
        <v>46111</v>
      </c>
      <c r="D296" t="inlineStr">
        <is>
          <t>ÖREBRO LÄN</t>
        </is>
      </c>
      <c r="E296" t="inlineStr">
        <is>
          <t>LINDESBERG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21202-2024</t>
        </is>
      </c>
      <c r="B297" s="1" t="n">
        <v>45440.5433912037</v>
      </c>
      <c r="C297" s="1" t="n">
        <v>46111</v>
      </c>
      <c r="D297" t="inlineStr">
        <is>
          <t>ÖREBRO LÄN</t>
        </is>
      </c>
      <c r="E297" t="inlineStr">
        <is>
          <t>LINDESBERG</t>
        </is>
      </c>
      <c r="G297" t="n">
        <v>4</v>
      </c>
      <c r="H297" t="n">
        <v>0</v>
      </c>
      <c r="I297" t="n">
        <v>0</v>
      </c>
      <c r="J297" t="n">
        <v>0</v>
      </c>
      <c r="K297" t="n">
        <v>0</v>
      </c>
      <c r="L297" t="n">
        <v>0</v>
      </c>
      <c r="M297" t="n">
        <v>0</v>
      </c>
      <c r="N297" t="n">
        <v>0</v>
      </c>
      <c r="O297" t="n">
        <v>0</v>
      </c>
      <c r="P297" t="n">
        <v>0</v>
      </c>
      <c r="Q297" t="n">
        <v>0</v>
      </c>
      <c r="R297" s="2" t="inlineStr"/>
    </row>
    <row r="298" ht="15" customHeight="1">
      <c r="A298" t="inlineStr">
        <is>
          <t>A 1400-2025</t>
        </is>
      </c>
      <c r="B298" s="1" t="n">
        <v>45667</v>
      </c>
      <c r="C298" s="1" t="n">
        <v>46111</v>
      </c>
      <c r="D298" t="inlineStr">
        <is>
          <t>ÖREBRO LÄN</t>
        </is>
      </c>
      <c r="E298" t="inlineStr">
        <is>
          <t>LINDESBERG</t>
        </is>
      </c>
      <c r="F298" t="inlineStr">
        <is>
          <t>Allmännings- och besparingsskogar</t>
        </is>
      </c>
      <c r="G298" t="n">
        <v>11.3</v>
      </c>
      <c r="H298" t="n">
        <v>0</v>
      </c>
      <c r="I298" t="n">
        <v>0</v>
      </c>
      <c r="J298" t="n">
        <v>0</v>
      </c>
      <c r="K298" t="n">
        <v>0</v>
      </c>
      <c r="L298" t="n">
        <v>0</v>
      </c>
      <c r="M298" t="n">
        <v>0</v>
      </c>
      <c r="N298" t="n">
        <v>0</v>
      </c>
      <c r="O298" t="n">
        <v>0</v>
      </c>
      <c r="P298" t="n">
        <v>0</v>
      </c>
      <c r="Q298" t="n">
        <v>0</v>
      </c>
      <c r="R298" s="2" t="inlineStr"/>
    </row>
    <row r="299" ht="15" customHeight="1">
      <c r="A299" t="inlineStr">
        <is>
          <t>A 23835-2025</t>
        </is>
      </c>
      <c r="B299" s="1" t="n">
        <v>45793.61047453704</v>
      </c>
      <c r="C299" s="1" t="n">
        <v>46111</v>
      </c>
      <c r="D299" t="inlineStr">
        <is>
          <t>ÖREBRO LÄN</t>
        </is>
      </c>
      <c r="E299" t="inlineStr">
        <is>
          <t>LINDESBERG</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24017-2025</t>
        </is>
      </c>
      <c r="B300" s="1" t="n">
        <v>45796.44885416667</v>
      </c>
      <c r="C300" s="1" t="n">
        <v>46111</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46111</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46111</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23932-2025</t>
        </is>
      </c>
      <c r="B303" s="1" t="n">
        <v>45795.70912037037</v>
      </c>
      <c r="C303" s="1" t="n">
        <v>46111</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24011-2025</t>
        </is>
      </c>
      <c r="B304" s="1" t="n">
        <v>45796</v>
      </c>
      <c r="C304" s="1" t="n">
        <v>46111</v>
      </c>
      <c r="D304" t="inlineStr">
        <is>
          <t>ÖREBRO LÄN</t>
        </is>
      </c>
      <c r="E304" t="inlineStr">
        <is>
          <t>LINDESBERG</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24020-2025</t>
        </is>
      </c>
      <c r="B305" s="1" t="n">
        <v>45796.45054398148</v>
      </c>
      <c r="C305" s="1" t="n">
        <v>46111</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23897-2025</t>
        </is>
      </c>
      <c r="B306" s="1" t="n">
        <v>45794.33498842592</v>
      </c>
      <c r="C306" s="1" t="n">
        <v>46111</v>
      </c>
      <c r="D306" t="inlineStr">
        <is>
          <t>ÖREBRO LÄN</t>
        </is>
      </c>
      <c r="E306" t="inlineStr">
        <is>
          <t>LINDESBERG</t>
        </is>
      </c>
      <c r="G306" t="n">
        <v>5.6</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46111</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23933-2025</t>
        </is>
      </c>
      <c r="B308" s="1" t="n">
        <v>45795.71300925926</v>
      </c>
      <c r="C308" s="1" t="n">
        <v>46111</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40351-2025</t>
        </is>
      </c>
      <c r="B309" s="1" t="n">
        <v>45895.48394675926</v>
      </c>
      <c r="C309" s="1" t="n">
        <v>46111</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8834-2023</t>
        </is>
      </c>
      <c r="B310" s="1" t="n">
        <v>44978</v>
      </c>
      <c r="C310" s="1" t="n">
        <v>46111</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46111</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47110-2024</t>
        </is>
      </c>
      <c r="B312" s="1" t="n">
        <v>45586.55451388889</v>
      </c>
      <c r="C312" s="1" t="n">
        <v>46111</v>
      </c>
      <c r="D312" t="inlineStr">
        <is>
          <t>ÖREBRO LÄN</t>
        </is>
      </c>
      <c r="E312" t="inlineStr">
        <is>
          <t>LINDESBERG</t>
        </is>
      </c>
      <c r="G312" t="n">
        <v>0.6</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46111</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60400-2025</t>
        </is>
      </c>
      <c r="B314" s="1" t="n">
        <v>45995</v>
      </c>
      <c r="C314" s="1" t="n">
        <v>46111</v>
      </c>
      <c r="D314" t="inlineStr">
        <is>
          <t>ÖREBRO LÄN</t>
        </is>
      </c>
      <c r="E314" t="inlineStr">
        <is>
          <t>LINDESBERG</t>
        </is>
      </c>
      <c r="G314" t="n">
        <v>11.2</v>
      </c>
      <c r="H314" t="n">
        <v>0</v>
      </c>
      <c r="I314" t="n">
        <v>0</v>
      </c>
      <c r="J314" t="n">
        <v>0</v>
      </c>
      <c r="K314" t="n">
        <v>0</v>
      </c>
      <c r="L314" t="n">
        <v>0</v>
      </c>
      <c r="M314" t="n">
        <v>0</v>
      </c>
      <c r="N314" t="n">
        <v>0</v>
      </c>
      <c r="O314" t="n">
        <v>0</v>
      </c>
      <c r="P314" t="n">
        <v>0</v>
      </c>
      <c r="Q314" t="n">
        <v>0</v>
      </c>
      <c r="R314" s="2" t="inlineStr"/>
    </row>
    <row r="315" ht="15" customHeight="1">
      <c r="A315" t="inlineStr">
        <is>
          <t>A 60450-2025</t>
        </is>
      </c>
      <c r="B315" s="1" t="n">
        <v>45995</v>
      </c>
      <c r="C315" s="1" t="n">
        <v>46111</v>
      </c>
      <c r="D315" t="inlineStr">
        <is>
          <t>ÖREBRO LÄN</t>
        </is>
      </c>
      <c r="E315" t="inlineStr">
        <is>
          <t>LINDESBERG</t>
        </is>
      </c>
      <c r="G315" t="n">
        <v>4.1</v>
      </c>
      <c r="H315" t="n">
        <v>0</v>
      </c>
      <c r="I315" t="n">
        <v>0</v>
      </c>
      <c r="J315" t="n">
        <v>0</v>
      </c>
      <c r="K315" t="n">
        <v>0</v>
      </c>
      <c r="L315" t="n">
        <v>0</v>
      </c>
      <c r="M315" t="n">
        <v>0</v>
      </c>
      <c r="N315" t="n">
        <v>0</v>
      </c>
      <c r="O315" t="n">
        <v>0</v>
      </c>
      <c r="P315" t="n">
        <v>0</v>
      </c>
      <c r="Q315" t="n">
        <v>0</v>
      </c>
      <c r="R315" s="2" t="inlineStr"/>
    </row>
    <row r="316" ht="15" customHeight="1">
      <c r="A316" t="inlineStr">
        <is>
          <t>A 23934-2025</t>
        </is>
      </c>
      <c r="B316" s="1" t="n">
        <v>45795.71547453704</v>
      </c>
      <c r="C316" s="1" t="n">
        <v>46111</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57944-2023</t>
        </is>
      </c>
      <c r="B317" s="1" t="n">
        <v>45244</v>
      </c>
      <c r="C317" s="1" t="n">
        <v>46111</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24043-2024</t>
        </is>
      </c>
      <c r="B318" s="1" t="n">
        <v>45456.48927083334</v>
      </c>
      <c r="C318" s="1" t="n">
        <v>46111</v>
      </c>
      <c r="D318" t="inlineStr">
        <is>
          <t>ÖREBRO LÄN</t>
        </is>
      </c>
      <c r="E318" t="inlineStr">
        <is>
          <t>LINDESBERG</t>
        </is>
      </c>
      <c r="G318" t="n">
        <v>6.2</v>
      </c>
      <c r="H318" t="n">
        <v>0</v>
      </c>
      <c r="I318" t="n">
        <v>0</v>
      </c>
      <c r="J318" t="n">
        <v>0</v>
      </c>
      <c r="K318" t="n">
        <v>0</v>
      </c>
      <c r="L318" t="n">
        <v>0</v>
      </c>
      <c r="M318" t="n">
        <v>0</v>
      </c>
      <c r="N318" t="n">
        <v>0</v>
      </c>
      <c r="O318" t="n">
        <v>0</v>
      </c>
      <c r="P318" t="n">
        <v>0</v>
      </c>
      <c r="Q318" t="n">
        <v>0</v>
      </c>
      <c r="R318" s="2" t="inlineStr"/>
    </row>
    <row r="319" ht="15" customHeight="1">
      <c r="A319" t="inlineStr">
        <is>
          <t>A 23844-2025</t>
        </is>
      </c>
      <c r="B319" s="1" t="n">
        <v>45793.62422453704</v>
      </c>
      <c r="C319" s="1" t="n">
        <v>46111</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12250-2025</t>
        </is>
      </c>
      <c r="B320" s="1" t="n">
        <v>45729.60775462963</v>
      </c>
      <c r="C320" s="1" t="n">
        <v>46111</v>
      </c>
      <c r="D320" t="inlineStr">
        <is>
          <t>ÖREBRO LÄN</t>
        </is>
      </c>
      <c r="E320" t="inlineStr">
        <is>
          <t>LINDESBERG</t>
        </is>
      </c>
      <c r="G320" t="n">
        <v>3.4</v>
      </c>
      <c r="H320" t="n">
        <v>0</v>
      </c>
      <c r="I320" t="n">
        <v>0</v>
      </c>
      <c r="J320" t="n">
        <v>0</v>
      </c>
      <c r="K320" t="n">
        <v>0</v>
      </c>
      <c r="L320" t="n">
        <v>0</v>
      </c>
      <c r="M320" t="n">
        <v>0</v>
      </c>
      <c r="N320" t="n">
        <v>0</v>
      </c>
      <c r="O320" t="n">
        <v>0</v>
      </c>
      <c r="P320" t="n">
        <v>0</v>
      </c>
      <c r="Q320" t="n">
        <v>0</v>
      </c>
      <c r="R320" s="2" t="inlineStr"/>
    </row>
    <row r="321" ht="15" customHeight="1">
      <c r="A321" t="inlineStr">
        <is>
          <t>A 48231-2024</t>
        </is>
      </c>
      <c r="B321" s="1" t="n">
        <v>45590.37590277778</v>
      </c>
      <c r="C321" s="1" t="n">
        <v>46111</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37125-2023</t>
        </is>
      </c>
      <c r="B322" s="1" t="n">
        <v>45155.5653125</v>
      </c>
      <c r="C322" s="1" t="n">
        <v>46111</v>
      </c>
      <c r="D322" t="inlineStr">
        <is>
          <t>ÖREBRO LÄN</t>
        </is>
      </c>
      <c r="E322" t="inlineStr">
        <is>
          <t>LINDESBERG</t>
        </is>
      </c>
      <c r="G322" t="n">
        <v>2</v>
      </c>
      <c r="H322" t="n">
        <v>0</v>
      </c>
      <c r="I322" t="n">
        <v>0</v>
      </c>
      <c r="J322" t="n">
        <v>0</v>
      </c>
      <c r="K322" t="n">
        <v>0</v>
      </c>
      <c r="L322" t="n">
        <v>0</v>
      </c>
      <c r="M322" t="n">
        <v>0</v>
      </c>
      <c r="N322" t="n">
        <v>0</v>
      </c>
      <c r="O322" t="n">
        <v>0</v>
      </c>
      <c r="P322" t="n">
        <v>0</v>
      </c>
      <c r="Q322" t="n">
        <v>0</v>
      </c>
      <c r="R322" s="2" t="inlineStr"/>
    </row>
    <row r="323" ht="15" customHeight="1">
      <c r="A323" t="inlineStr">
        <is>
          <t>A 24186-2024</t>
        </is>
      </c>
      <c r="B323" s="1" t="n">
        <v>45456.90869212963</v>
      </c>
      <c r="C323" s="1" t="n">
        <v>46111</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21468-2024</t>
        </is>
      </c>
      <c r="B324" s="1" t="n">
        <v>45441.48670138889</v>
      </c>
      <c r="C324" s="1" t="n">
        <v>46111</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54855-2024</t>
        </is>
      </c>
      <c r="B325" s="1" t="n">
        <v>45618.58622685185</v>
      </c>
      <c r="C325" s="1" t="n">
        <v>46111</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6727-2022</t>
        </is>
      </c>
      <c r="B326" s="1" t="n">
        <v>44602.45490740741</v>
      </c>
      <c r="C326" s="1" t="n">
        <v>46111</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6723-2022</t>
        </is>
      </c>
      <c r="B327" s="1" t="n">
        <v>44602.45162037037</v>
      </c>
      <c r="C327" s="1" t="n">
        <v>46111</v>
      </c>
      <c r="D327" t="inlineStr">
        <is>
          <t>ÖREBRO LÄN</t>
        </is>
      </c>
      <c r="E327" t="inlineStr">
        <is>
          <t>LINDESBERG</t>
        </is>
      </c>
      <c r="G327" t="n">
        <v>4.2</v>
      </c>
      <c r="H327" t="n">
        <v>0</v>
      </c>
      <c r="I327" t="n">
        <v>0</v>
      </c>
      <c r="J327" t="n">
        <v>0</v>
      </c>
      <c r="K327" t="n">
        <v>0</v>
      </c>
      <c r="L327" t="n">
        <v>0</v>
      </c>
      <c r="M327" t="n">
        <v>0</v>
      </c>
      <c r="N327" t="n">
        <v>0</v>
      </c>
      <c r="O327" t="n">
        <v>0</v>
      </c>
      <c r="P327" t="n">
        <v>0</v>
      </c>
      <c r="Q327" t="n">
        <v>0</v>
      </c>
      <c r="R327" s="2" t="inlineStr"/>
    </row>
    <row r="328" ht="15" customHeight="1">
      <c r="A328" t="inlineStr">
        <is>
          <t>A 60806-2025</t>
        </is>
      </c>
      <c r="B328" s="1" t="n">
        <v>45999.43730324074</v>
      </c>
      <c r="C328" s="1" t="n">
        <v>46111</v>
      </c>
      <c r="D328" t="inlineStr">
        <is>
          <t>ÖREBRO LÄN</t>
        </is>
      </c>
      <c r="E328" t="inlineStr">
        <is>
          <t>LINDESBERG</t>
        </is>
      </c>
      <c r="G328" t="n">
        <v>7.9</v>
      </c>
      <c r="H328" t="n">
        <v>0</v>
      </c>
      <c r="I328" t="n">
        <v>0</v>
      </c>
      <c r="J328" t="n">
        <v>0</v>
      </c>
      <c r="K328" t="n">
        <v>0</v>
      </c>
      <c r="L328" t="n">
        <v>0</v>
      </c>
      <c r="M328" t="n">
        <v>0</v>
      </c>
      <c r="N328" t="n">
        <v>0</v>
      </c>
      <c r="O328" t="n">
        <v>0</v>
      </c>
      <c r="P328" t="n">
        <v>0</v>
      </c>
      <c r="Q328" t="n">
        <v>0</v>
      </c>
      <c r="R328" s="2" t="inlineStr"/>
    </row>
    <row r="329" ht="15" customHeight="1">
      <c r="A329" t="inlineStr">
        <is>
          <t>A 11581-2024</t>
        </is>
      </c>
      <c r="B329" s="1" t="n">
        <v>45373.34383101852</v>
      </c>
      <c r="C329" s="1" t="n">
        <v>46111</v>
      </c>
      <c r="D329" t="inlineStr">
        <is>
          <t>ÖREBRO LÄN</t>
        </is>
      </c>
      <c r="E329" t="inlineStr">
        <is>
          <t>LINDESBERG</t>
        </is>
      </c>
      <c r="F329" t="inlineStr">
        <is>
          <t>BillerudKorsnäs AB</t>
        </is>
      </c>
      <c r="G329" t="n">
        <v>3.9</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46111</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46111</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4997-2024</t>
        </is>
      </c>
      <c r="B332" s="1" t="n">
        <v>45329</v>
      </c>
      <c r="C332" s="1" t="n">
        <v>46111</v>
      </c>
      <c r="D332" t="inlineStr">
        <is>
          <t>ÖREBRO LÄN</t>
        </is>
      </c>
      <c r="E332" t="inlineStr">
        <is>
          <t>LINDESBERG</t>
        </is>
      </c>
      <c r="F332" t="inlineStr">
        <is>
          <t>BillerudKorsnäs AB</t>
        </is>
      </c>
      <c r="G332" t="n">
        <v>3</v>
      </c>
      <c r="H332" t="n">
        <v>0</v>
      </c>
      <c r="I332" t="n">
        <v>0</v>
      </c>
      <c r="J332" t="n">
        <v>0</v>
      </c>
      <c r="K332" t="n">
        <v>0</v>
      </c>
      <c r="L332" t="n">
        <v>0</v>
      </c>
      <c r="M332" t="n">
        <v>0</v>
      </c>
      <c r="N332" t="n">
        <v>0</v>
      </c>
      <c r="O332" t="n">
        <v>0</v>
      </c>
      <c r="P332" t="n">
        <v>0</v>
      </c>
      <c r="Q332" t="n">
        <v>0</v>
      </c>
      <c r="R332" s="2" t="inlineStr"/>
    </row>
    <row r="333" ht="15" customHeight="1">
      <c r="A333" t="inlineStr">
        <is>
          <t>A 36893-2024</t>
        </is>
      </c>
      <c r="B333" s="1" t="n">
        <v>45538</v>
      </c>
      <c r="C333" s="1" t="n">
        <v>46111</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46111</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61761-2025</t>
        </is>
      </c>
      <c r="B335" s="1" t="n">
        <v>46002.62465277778</v>
      </c>
      <c r="C335" s="1" t="n">
        <v>46111</v>
      </c>
      <c r="D335" t="inlineStr">
        <is>
          <t>ÖREBRO LÄN</t>
        </is>
      </c>
      <c r="E335" t="inlineStr">
        <is>
          <t>LINDESBERG</t>
        </is>
      </c>
      <c r="G335" t="n">
        <v>3.8</v>
      </c>
      <c r="H335" t="n">
        <v>0</v>
      </c>
      <c r="I335" t="n">
        <v>0</v>
      </c>
      <c r="J335" t="n">
        <v>0</v>
      </c>
      <c r="K335" t="n">
        <v>0</v>
      </c>
      <c r="L335" t="n">
        <v>0</v>
      </c>
      <c r="M335" t="n">
        <v>0</v>
      </c>
      <c r="N335" t="n">
        <v>0</v>
      </c>
      <c r="O335" t="n">
        <v>0</v>
      </c>
      <c r="P335" t="n">
        <v>0</v>
      </c>
      <c r="Q335" t="n">
        <v>0</v>
      </c>
      <c r="R335" s="2" t="inlineStr"/>
    </row>
    <row r="336" ht="15" customHeight="1">
      <c r="A336" t="inlineStr">
        <is>
          <t>A 41340-2025</t>
        </is>
      </c>
      <c r="B336" s="1" t="n">
        <v>45899.38057870371</v>
      </c>
      <c r="C336" s="1" t="n">
        <v>46111</v>
      </c>
      <c r="D336" t="inlineStr">
        <is>
          <t>ÖREBRO LÄN</t>
        </is>
      </c>
      <c r="E336" t="inlineStr">
        <is>
          <t>LINDESBERG</t>
        </is>
      </c>
      <c r="G336" t="n">
        <v>16.5</v>
      </c>
      <c r="H336" t="n">
        <v>0</v>
      </c>
      <c r="I336" t="n">
        <v>0</v>
      </c>
      <c r="J336" t="n">
        <v>0</v>
      </c>
      <c r="K336" t="n">
        <v>0</v>
      </c>
      <c r="L336" t="n">
        <v>0</v>
      </c>
      <c r="M336" t="n">
        <v>0</v>
      </c>
      <c r="N336" t="n">
        <v>0</v>
      </c>
      <c r="O336" t="n">
        <v>0</v>
      </c>
      <c r="P336" t="n">
        <v>0</v>
      </c>
      <c r="Q336" t="n">
        <v>0</v>
      </c>
      <c r="R336" s="2" t="inlineStr"/>
    </row>
    <row r="337" ht="15" customHeight="1">
      <c r="A337" t="inlineStr">
        <is>
          <t>A 13968-2025</t>
        </is>
      </c>
      <c r="B337" s="1" t="n">
        <v>45738.42981481482</v>
      </c>
      <c r="C337" s="1" t="n">
        <v>46111</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61745-2025</t>
        </is>
      </c>
      <c r="B338" s="1" t="n">
        <v>46002.60324074074</v>
      </c>
      <c r="C338" s="1" t="n">
        <v>46111</v>
      </c>
      <c r="D338" t="inlineStr">
        <is>
          <t>ÖREBRO LÄN</t>
        </is>
      </c>
      <c r="E338" t="inlineStr">
        <is>
          <t>LINDESBERG</t>
        </is>
      </c>
      <c r="G338" t="n">
        <v>1.8</v>
      </c>
      <c r="H338" t="n">
        <v>0</v>
      </c>
      <c r="I338" t="n">
        <v>0</v>
      </c>
      <c r="J338" t="n">
        <v>0</v>
      </c>
      <c r="K338" t="n">
        <v>0</v>
      </c>
      <c r="L338" t="n">
        <v>0</v>
      </c>
      <c r="M338" t="n">
        <v>0</v>
      </c>
      <c r="N338" t="n">
        <v>0</v>
      </c>
      <c r="O338" t="n">
        <v>0</v>
      </c>
      <c r="P338" t="n">
        <v>0</v>
      </c>
      <c r="Q338" t="n">
        <v>0</v>
      </c>
      <c r="R338" s="2" t="inlineStr"/>
    </row>
    <row r="339" ht="15" customHeight="1">
      <c r="A339" t="inlineStr">
        <is>
          <t>A 25643-2025</t>
        </is>
      </c>
      <c r="B339" s="1" t="n">
        <v>45803</v>
      </c>
      <c r="C339" s="1" t="n">
        <v>46111</v>
      </c>
      <c r="D339" t="inlineStr">
        <is>
          <t>ÖREBRO LÄN</t>
        </is>
      </c>
      <c r="E339" t="inlineStr">
        <is>
          <t>LINDESBERG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25843-2025</t>
        </is>
      </c>
      <c r="B340" s="1" t="n">
        <v>45804.45584490741</v>
      </c>
      <c r="C340" s="1" t="n">
        <v>46111</v>
      </c>
      <c r="D340" t="inlineStr">
        <is>
          <t>ÖREBRO LÄN</t>
        </is>
      </c>
      <c r="E340" t="inlineStr">
        <is>
          <t>LINDESBERG</t>
        </is>
      </c>
      <c r="G340" t="n">
        <v>4.6</v>
      </c>
      <c r="H340" t="n">
        <v>0</v>
      </c>
      <c r="I340" t="n">
        <v>0</v>
      </c>
      <c r="J340" t="n">
        <v>0</v>
      </c>
      <c r="K340" t="n">
        <v>0</v>
      </c>
      <c r="L340" t="n">
        <v>0</v>
      </c>
      <c r="M340" t="n">
        <v>0</v>
      </c>
      <c r="N340" t="n">
        <v>0</v>
      </c>
      <c r="O340" t="n">
        <v>0</v>
      </c>
      <c r="P340" t="n">
        <v>0</v>
      </c>
      <c r="Q340" t="n">
        <v>0</v>
      </c>
      <c r="R340" s="2" t="inlineStr"/>
    </row>
    <row r="341" ht="15" customHeight="1">
      <c r="A341" t="inlineStr">
        <is>
          <t>A 10564-2023</t>
        </is>
      </c>
      <c r="B341" s="1" t="n">
        <v>44988</v>
      </c>
      <c r="C341" s="1" t="n">
        <v>46111</v>
      </c>
      <c r="D341" t="inlineStr">
        <is>
          <t>ÖREBRO LÄN</t>
        </is>
      </c>
      <c r="E341" t="inlineStr">
        <is>
          <t>LINDESBERG</t>
        </is>
      </c>
      <c r="F341" t="inlineStr">
        <is>
          <t>Kyrkan</t>
        </is>
      </c>
      <c r="G341" t="n">
        <v>1.6</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46111</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61758-2025</t>
        </is>
      </c>
      <c r="B343" s="1" t="n">
        <v>46002.61762731482</v>
      </c>
      <c r="C343" s="1" t="n">
        <v>46111</v>
      </c>
      <c r="D343" t="inlineStr">
        <is>
          <t>ÖREBRO LÄN</t>
        </is>
      </c>
      <c r="E343" t="inlineStr">
        <is>
          <t>LINDESBERG</t>
        </is>
      </c>
      <c r="G343" t="n">
        <v>1.8</v>
      </c>
      <c r="H343" t="n">
        <v>0</v>
      </c>
      <c r="I343" t="n">
        <v>0</v>
      </c>
      <c r="J343" t="n">
        <v>0</v>
      </c>
      <c r="K343" t="n">
        <v>0</v>
      </c>
      <c r="L343" t="n">
        <v>0</v>
      </c>
      <c r="M343" t="n">
        <v>0</v>
      </c>
      <c r="N343" t="n">
        <v>0</v>
      </c>
      <c r="O343" t="n">
        <v>0</v>
      </c>
      <c r="P343" t="n">
        <v>0</v>
      </c>
      <c r="Q343" t="n">
        <v>0</v>
      </c>
      <c r="R343" s="2" t="inlineStr"/>
    </row>
    <row r="344" ht="15" customHeight="1">
      <c r="A344" t="inlineStr">
        <is>
          <t>A 14185-2024</t>
        </is>
      </c>
      <c r="B344" s="1" t="n">
        <v>45393.3562962963</v>
      </c>
      <c r="C344" s="1" t="n">
        <v>46111</v>
      </c>
      <c r="D344" t="inlineStr">
        <is>
          <t>ÖREBRO LÄN</t>
        </is>
      </c>
      <c r="E344" t="inlineStr">
        <is>
          <t>LINDESBERG</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11218-2025</t>
        </is>
      </c>
      <c r="B345" s="1" t="n">
        <v>45726.33763888889</v>
      </c>
      <c r="C345" s="1" t="n">
        <v>46111</v>
      </c>
      <c r="D345" t="inlineStr">
        <is>
          <t>ÖREBRO LÄN</t>
        </is>
      </c>
      <c r="E345" t="inlineStr">
        <is>
          <t>LINDESBERG</t>
        </is>
      </c>
      <c r="G345" t="n">
        <v>0.4</v>
      </c>
      <c r="H345" t="n">
        <v>0</v>
      </c>
      <c r="I345" t="n">
        <v>0</v>
      </c>
      <c r="J345" t="n">
        <v>0</v>
      </c>
      <c r="K345" t="n">
        <v>0</v>
      </c>
      <c r="L345" t="n">
        <v>0</v>
      </c>
      <c r="M345" t="n">
        <v>0</v>
      </c>
      <c r="N345" t="n">
        <v>0</v>
      </c>
      <c r="O345" t="n">
        <v>0</v>
      </c>
      <c r="P345" t="n">
        <v>0</v>
      </c>
      <c r="Q345" t="n">
        <v>0</v>
      </c>
      <c r="R345" s="2" t="inlineStr"/>
    </row>
    <row r="346" ht="15" customHeight="1">
      <c r="A346" t="inlineStr">
        <is>
          <t>A 11220-2025</t>
        </is>
      </c>
      <c r="B346" s="1" t="n">
        <v>45726.34090277777</v>
      </c>
      <c r="C346" s="1" t="n">
        <v>46111</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43801-2024</t>
        </is>
      </c>
      <c r="B347" s="1" t="n">
        <v>45571.71736111111</v>
      </c>
      <c r="C347" s="1" t="n">
        <v>46111</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61222-2022</t>
        </is>
      </c>
      <c r="B348" s="1" t="n">
        <v>44909</v>
      </c>
      <c r="C348" s="1" t="n">
        <v>46111</v>
      </c>
      <c r="D348" t="inlineStr">
        <is>
          <t>ÖREBRO LÄN</t>
        </is>
      </c>
      <c r="E348" t="inlineStr">
        <is>
          <t>LINDESBERG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72331-2021</t>
        </is>
      </c>
      <c r="B349" s="1" t="n">
        <v>44544</v>
      </c>
      <c r="C349" s="1" t="n">
        <v>46111</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46111</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36754-2024</t>
        </is>
      </c>
      <c r="B351" s="1" t="n">
        <v>45538.34796296297</v>
      </c>
      <c r="C351" s="1" t="n">
        <v>46111</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62246-2025</t>
        </is>
      </c>
      <c r="B352" s="1" t="n">
        <v>46006.60633101852</v>
      </c>
      <c r="C352" s="1" t="n">
        <v>46111</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50964-2023</t>
        </is>
      </c>
      <c r="B353" s="1" t="n">
        <v>45218.488125</v>
      </c>
      <c r="C353" s="1" t="n">
        <v>46111</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42630-2025</t>
        </is>
      </c>
      <c r="B354" s="1" t="n">
        <v>45905.89143518519</v>
      </c>
      <c r="C354" s="1" t="n">
        <v>46111</v>
      </c>
      <c r="D354" t="inlineStr">
        <is>
          <t>ÖREBRO LÄN</t>
        </is>
      </c>
      <c r="E354" t="inlineStr">
        <is>
          <t>LINDESBERG</t>
        </is>
      </c>
      <c r="F354" t="inlineStr">
        <is>
          <t>Sveaskog</t>
        </is>
      </c>
      <c r="G354" t="n">
        <v>9.9</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46111</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42631-2025</t>
        </is>
      </c>
      <c r="B356" s="1" t="n">
        <v>45905.89236111111</v>
      </c>
      <c r="C356" s="1" t="n">
        <v>46111</v>
      </c>
      <c r="D356" t="inlineStr">
        <is>
          <t>ÖREBRO LÄN</t>
        </is>
      </c>
      <c r="E356" t="inlineStr">
        <is>
          <t>LINDESBERG</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46111</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26016-2025</t>
        </is>
      </c>
      <c r="B358" s="1" t="n">
        <v>45804.67795138889</v>
      </c>
      <c r="C358" s="1" t="n">
        <v>46111</v>
      </c>
      <c r="D358" t="inlineStr">
        <is>
          <t>ÖREBRO LÄN</t>
        </is>
      </c>
      <c r="E358" t="inlineStr">
        <is>
          <t>LINDESBERG</t>
        </is>
      </c>
      <c r="G358" t="n">
        <v>10</v>
      </c>
      <c r="H358" t="n">
        <v>0</v>
      </c>
      <c r="I358" t="n">
        <v>0</v>
      </c>
      <c r="J358" t="n">
        <v>0</v>
      </c>
      <c r="K358" t="n">
        <v>0</v>
      </c>
      <c r="L358" t="n">
        <v>0</v>
      </c>
      <c r="M358" t="n">
        <v>0</v>
      </c>
      <c r="N358" t="n">
        <v>0</v>
      </c>
      <c r="O358" t="n">
        <v>0</v>
      </c>
      <c r="P358" t="n">
        <v>0</v>
      </c>
      <c r="Q358" t="n">
        <v>0</v>
      </c>
      <c r="R358" s="2" t="inlineStr"/>
    </row>
    <row r="359" ht="15" customHeight="1">
      <c r="A359" t="inlineStr">
        <is>
          <t>A 64365-2023</t>
        </is>
      </c>
      <c r="B359" s="1" t="n">
        <v>45280</v>
      </c>
      <c r="C359" s="1" t="n">
        <v>46111</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37738-2024</t>
        </is>
      </c>
      <c r="B360" s="1" t="n">
        <v>45541.66916666667</v>
      </c>
      <c r="C360" s="1" t="n">
        <v>46111</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46111</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59766-2022</t>
        </is>
      </c>
      <c r="B362" s="1" t="n">
        <v>44908.49152777778</v>
      </c>
      <c r="C362" s="1" t="n">
        <v>46111</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58050-2025</t>
        </is>
      </c>
      <c r="B363" s="1" t="n">
        <v>45982</v>
      </c>
      <c r="C363" s="1" t="n">
        <v>46111</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62383-2025</t>
        </is>
      </c>
      <c r="B364" s="1" t="n">
        <v>46007.3708449074</v>
      </c>
      <c r="C364" s="1" t="n">
        <v>46111</v>
      </c>
      <c r="D364" t="inlineStr">
        <is>
          <t>ÖREBRO LÄN</t>
        </is>
      </c>
      <c r="E364" t="inlineStr">
        <is>
          <t>LINDESBERG</t>
        </is>
      </c>
      <c r="G364" t="n">
        <v>3.5</v>
      </c>
      <c r="H364" t="n">
        <v>0</v>
      </c>
      <c r="I364" t="n">
        <v>0</v>
      </c>
      <c r="J364" t="n">
        <v>0</v>
      </c>
      <c r="K364" t="n">
        <v>0</v>
      </c>
      <c r="L364" t="n">
        <v>0</v>
      </c>
      <c r="M364" t="n">
        <v>0</v>
      </c>
      <c r="N364" t="n">
        <v>0</v>
      </c>
      <c r="O364" t="n">
        <v>0</v>
      </c>
      <c r="P364" t="n">
        <v>0</v>
      </c>
      <c r="Q364" t="n">
        <v>0</v>
      </c>
      <c r="R364" s="2" t="inlineStr"/>
    </row>
    <row r="365" ht="15" customHeight="1">
      <c r="A365" t="inlineStr">
        <is>
          <t>A 33282-2024</t>
        </is>
      </c>
      <c r="B365" s="1" t="n">
        <v>45518.71482638889</v>
      </c>
      <c r="C365" s="1" t="n">
        <v>46111</v>
      </c>
      <c r="D365" t="inlineStr">
        <is>
          <t>ÖREBRO LÄN</t>
        </is>
      </c>
      <c r="E365" t="inlineStr">
        <is>
          <t>LINDESBERG</t>
        </is>
      </c>
      <c r="G365" t="n">
        <v>7.5</v>
      </c>
      <c r="H365" t="n">
        <v>0</v>
      </c>
      <c r="I365" t="n">
        <v>0</v>
      </c>
      <c r="J365" t="n">
        <v>0</v>
      </c>
      <c r="K365" t="n">
        <v>0</v>
      </c>
      <c r="L365" t="n">
        <v>0</v>
      </c>
      <c r="M365" t="n">
        <v>0</v>
      </c>
      <c r="N365" t="n">
        <v>0</v>
      </c>
      <c r="O365" t="n">
        <v>0</v>
      </c>
      <c r="P365" t="n">
        <v>0</v>
      </c>
      <c r="Q365" t="n">
        <v>0</v>
      </c>
      <c r="R365" s="2" t="inlineStr"/>
    </row>
    <row r="366" ht="15" customHeight="1">
      <c r="A366" t="inlineStr">
        <is>
          <t>A 62603-2025</t>
        </is>
      </c>
      <c r="B366" s="1" t="n">
        <v>46008.25765046296</v>
      </c>
      <c r="C366" s="1" t="n">
        <v>46111</v>
      </c>
      <c r="D366" t="inlineStr">
        <is>
          <t>ÖREBRO LÄN</t>
        </is>
      </c>
      <c r="E366" t="inlineStr">
        <is>
          <t>LINDESBERG</t>
        </is>
      </c>
      <c r="G366" t="n">
        <v>2.3</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46111</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46111</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37843-2025</t>
        </is>
      </c>
      <c r="B369" s="1" t="n">
        <v>45881.43759259259</v>
      </c>
      <c r="C369" s="1" t="n">
        <v>46111</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54862-2024</t>
        </is>
      </c>
      <c r="B370" s="1" t="n">
        <v>45618</v>
      </c>
      <c r="C370" s="1" t="n">
        <v>46111</v>
      </c>
      <c r="D370" t="inlineStr">
        <is>
          <t>ÖREBRO LÄN</t>
        </is>
      </c>
      <c r="E370" t="inlineStr">
        <is>
          <t>LINDESBERG</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58056-2025</t>
        </is>
      </c>
      <c r="B371" s="1" t="n">
        <v>45982</v>
      </c>
      <c r="C371" s="1" t="n">
        <v>46111</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62604-2025</t>
        </is>
      </c>
      <c r="B372" s="1" t="n">
        <v>46008.26085648148</v>
      </c>
      <c r="C372" s="1" t="n">
        <v>46111</v>
      </c>
      <c r="D372" t="inlineStr">
        <is>
          <t>ÖREBRO LÄN</t>
        </is>
      </c>
      <c r="E372" t="inlineStr">
        <is>
          <t>LINDESBERG</t>
        </is>
      </c>
      <c r="G372" t="n">
        <v>0.6</v>
      </c>
      <c r="H372" t="n">
        <v>0</v>
      </c>
      <c r="I372" t="n">
        <v>0</v>
      </c>
      <c r="J372" t="n">
        <v>0</v>
      </c>
      <c r="K372" t="n">
        <v>0</v>
      </c>
      <c r="L372" t="n">
        <v>0</v>
      </c>
      <c r="M372" t="n">
        <v>0</v>
      </c>
      <c r="N372" t="n">
        <v>0</v>
      </c>
      <c r="O372" t="n">
        <v>0</v>
      </c>
      <c r="P372" t="n">
        <v>0</v>
      </c>
      <c r="Q372" t="n">
        <v>0</v>
      </c>
      <c r="R372" s="2" t="inlineStr"/>
    </row>
    <row r="373" ht="15" customHeight="1">
      <c r="A373" t="inlineStr">
        <is>
          <t>A 1742-2022</t>
        </is>
      </c>
      <c r="B373" s="1" t="n">
        <v>44574.50425925926</v>
      </c>
      <c r="C373" s="1" t="n">
        <v>46111</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63078-2025</t>
        </is>
      </c>
      <c r="B374" s="1" t="n">
        <v>46009</v>
      </c>
      <c r="C374" s="1" t="n">
        <v>46111</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14522-2025</t>
        </is>
      </c>
      <c r="B375" s="1" t="n">
        <v>45741.64491898148</v>
      </c>
      <c r="C375" s="1" t="n">
        <v>46111</v>
      </c>
      <c r="D375" t="inlineStr">
        <is>
          <t>ÖREBRO LÄN</t>
        </is>
      </c>
      <c r="E375" t="inlineStr">
        <is>
          <t>LINDESBERG</t>
        </is>
      </c>
      <c r="G375" t="n">
        <v>4.5</v>
      </c>
      <c r="H375" t="n">
        <v>0</v>
      </c>
      <c r="I375" t="n">
        <v>0</v>
      </c>
      <c r="J375" t="n">
        <v>0</v>
      </c>
      <c r="K375" t="n">
        <v>0</v>
      </c>
      <c r="L375" t="n">
        <v>0</v>
      </c>
      <c r="M375" t="n">
        <v>0</v>
      </c>
      <c r="N375" t="n">
        <v>0</v>
      </c>
      <c r="O375" t="n">
        <v>0</v>
      </c>
      <c r="P375" t="n">
        <v>0</v>
      </c>
      <c r="Q375" t="n">
        <v>0</v>
      </c>
      <c r="R375" s="2" t="inlineStr"/>
    </row>
    <row r="376" ht="15" customHeight="1">
      <c r="A376" t="inlineStr">
        <is>
          <t>A 73860-2021</t>
        </is>
      </c>
      <c r="B376" s="1" t="n">
        <v>44553.35407407407</v>
      </c>
      <c r="C376" s="1" t="n">
        <v>46111</v>
      </c>
      <c r="D376" t="inlineStr">
        <is>
          <t>ÖREBRO LÄN</t>
        </is>
      </c>
      <c r="E376" t="inlineStr">
        <is>
          <t>LINDESBERG</t>
        </is>
      </c>
      <c r="G376" t="n">
        <v>12.7</v>
      </c>
      <c r="H376" t="n">
        <v>0</v>
      </c>
      <c r="I376" t="n">
        <v>0</v>
      </c>
      <c r="J376" t="n">
        <v>0</v>
      </c>
      <c r="K376" t="n">
        <v>0</v>
      </c>
      <c r="L376" t="n">
        <v>0</v>
      </c>
      <c r="M376" t="n">
        <v>0</v>
      </c>
      <c r="N376" t="n">
        <v>0</v>
      </c>
      <c r="O376" t="n">
        <v>0</v>
      </c>
      <c r="P376" t="n">
        <v>0</v>
      </c>
      <c r="Q376" t="n">
        <v>0</v>
      </c>
      <c r="R376" s="2" t="inlineStr"/>
    </row>
    <row r="377" ht="15" customHeight="1">
      <c r="A377" t="inlineStr">
        <is>
          <t>A 63083-2025</t>
        </is>
      </c>
      <c r="B377" s="1" t="n">
        <v>46009.67175925926</v>
      </c>
      <c r="C377" s="1" t="n">
        <v>46111</v>
      </c>
      <c r="D377" t="inlineStr">
        <is>
          <t>ÖREBRO LÄN</t>
        </is>
      </c>
      <c r="E377" t="inlineStr">
        <is>
          <t>LINDESBERG</t>
        </is>
      </c>
      <c r="G377" t="n">
        <v>0.7</v>
      </c>
      <c r="H377" t="n">
        <v>0</v>
      </c>
      <c r="I377" t="n">
        <v>0</v>
      </c>
      <c r="J377" t="n">
        <v>0</v>
      </c>
      <c r="K377" t="n">
        <v>0</v>
      </c>
      <c r="L377" t="n">
        <v>0</v>
      </c>
      <c r="M377" t="n">
        <v>0</v>
      </c>
      <c r="N377" t="n">
        <v>0</v>
      </c>
      <c r="O377" t="n">
        <v>0</v>
      </c>
      <c r="P377" t="n">
        <v>0</v>
      </c>
      <c r="Q377" t="n">
        <v>0</v>
      </c>
      <c r="R377" s="2" t="inlineStr"/>
    </row>
    <row r="378" ht="15" customHeight="1">
      <c r="A378" t="inlineStr">
        <is>
          <t>A 5358-2022</t>
        </is>
      </c>
      <c r="B378" s="1" t="n">
        <v>44594.84091435185</v>
      </c>
      <c r="C378" s="1" t="n">
        <v>46111</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46111</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13884-2023</t>
        </is>
      </c>
      <c r="B380" s="1" t="n">
        <v>45007</v>
      </c>
      <c r="C380" s="1" t="n">
        <v>46111</v>
      </c>
      <c r="D380" t="inlineStr">
        <is>
          <t>ÖREBRO LÄN</t>
        </is>
      </c>
      <c r="E380" t="inlineStr">
        <is>
          <t>LINDESBERG</t>
        </is>
      </c>
      <c r="F380" t="inlineStr">
        <is>
          <t>Kommuner</t>
        </is>
      </c>
      <c r="G380" t="n">
        <v>7.7</v>
      </c>
      <c r="H380" t="n">
        <v>0</v>
      </c>
      <c r="I380" t="n">
        <v>0</v>
      </c>
      <c r="J380" t="n">
        <v>0</v>
      </c>
      <c r="K380" t="n">
        <v>0</v>
      </c>
      <c r="L380" t="n">
        <v>0</v>
      </c>
      <c r="M380" t="n">
        <v>0</v>
      </c>
      <c r="N380" t="n">
        <v>0</v>
      </c>
      <c r="O380" t="n">
        <v>0</v>
      </c>
      <c r="P380" t="n">
        <v>0</v>
      </c>
      <c r="Q380" t="n">
        <v>0</v>
      </c>
      <c r="R380" s="2" t="inlineStr"/>
    </row>
    <row r="381" ht="15" customHeight="1">
      <c r="A381" t="inlineStr">
        <is>
          <t>A 61736-2025</t>
        </is>
      </c>
      <c r="B381" s="1" t="n">
        <v>46002</v>
      </c>
      <c r="C381" s="1" t="n">
        <v>46111</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43847-2025</t>
        </is>
      </c>
      <c r="B382" s="1" t="n">
        <v>45912.63751157407</v>
      </c>
      <c r="C382" s="1" t="n">
        <v>46111</v>
      </c>
      <c r="D382" t="inlineStr">
        <is>
          <t>ÖREBRO LÄN</t>
        </is>
      </c>
      <c r="E382" t="inlineStr">
        <is>
          <t>LINDESBERG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15324-2024</t>
        </is>
      </c>
      <c r="B383" s="1" t="n">
        <v>45400.66995370371</v>
      </c>
      <c r="C383" s="1" t="n">
        <v>46111</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61739-2025</t>
        </is>
      </c>
      <c r="B384" s="1" t="n">
        <v>46002</v>
      </c>
      <c r="C384" s="1" t="n">
        <v>46111</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43836-2025</t>
        </is>
      </c>
      <c r="B385" s="1" t="n">
        <v>45912.63359953704</v>
      </c>
      <c r="C385" s="1" t="n">
        <v>46111</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63526-2025</t>
        </is>
      </c>
      <c r="B386" s="1" t="n">
        <v>46013</v>
      </c>
      <c r="C386" s="1" t="n">
        <v>46111</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46111</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4539-2025</t>
        </is>
      </c>
      <c r="B388" s="1" t="n">
        <v>45687</v>
      </c>
      <c r="C388" s="1" t="n">
        <v>46111</v>
      </c>
      <c r="D388" t="inlineStr">
        <is>
          <t>ÖREBRO LÄN</t>
        </is>
      </c>
      <c r="E388" t="inlineStr">
        <is>
          <t>LINDESBERG</t>
        </is>
      </c>
      <c r="G388" t="n">
        <v>2.2</v>
      </c>
      <c r="H388" t="n">
        <v>0</v>
      </c>
      <c r="I388" t="n">
        <v>0</v>
      </c>
      <c r="J388" t="n">
        <v>0</v>
      </c>
      <c r="K388" t="n">
        <v>0</v>
      </c>
      <c r="L388" t="n">
        <v>0</v>
      </c>
      <c r="M388" t="n">
        <v>0</v>
      </c>
      <c r="N388" t="n">
        <v>0</v>
      </c>
      <c r="O388" t="n">
        <v>0</v>
      </c>
      <c r="P388" t="n">
        <v>0</v>
      </c>
      <c r="Q388" t="n">
        <v>0</v>
      </c>
      <c r="R388" s="2" t="inlineStr"/>
    </row>
    <row r="389" ht="15" customHeight="1">
      <c r="A389" t="inlineStr">
        <is>
          <t>A 44077-2025</t>
        </is>
      </c>
      <c r="B389" s="1" t="n">
        <v>45915.54983796296</v>
      </c>
      <c r="C389" s="1" t="n">
        <v>46111</v>
      </c>
      <c r="D389" t="inlineStr">
        <is>
          <t>ÖREBRO LÄN</t>
        </is>
      </c>
      <c r="E389" t="inlineStr">
        <is>
          <t>LINDESBERG</t>
        </is>
      </c>
      <c r="G389" t="n">
        <v>4.2</v>
      </c>
      <c r="H389" t="n">
        <v>0</v>
      </c>
      <c r="I389" t="n">
        <v>0</v>
      </c>
      <c r="J389" t="n">
        <v>0</v>
      </c>
      <c r="K389" t="n">
        <v>0</v>
      </c>
      <c r="L389" t="n">
        <v>0</v>
      </c>
      <c r="M389" t="n">
        <v>0</v>
      </c>
      <c r="N389" t="n">
        <v>0</v>
      </c>
      <c r="O389" t="n">
        <v>0</v>
      </c>
      <c r="P389" t="n">
        <v>0</v>
      </c>
      <c r="Q389" t="n">
        <v>0</v>
      </c>
      <c r="R389" s="2" t="inlineStr"/>
    </row>
    <row r="390" ht="15" customHeight="1">
      <c r="A390" t="inlineStr">
        <is>
          <t>A 44804-2024</t>
        </is>
      </c>
      <c r="B390" s="1" t="n">
        <v>45574.65189814815</v>
      </c>
      <c r="C390" s="1" t="n">
        <v>46111</v>
      </c>
      <c r="D390" t="inlineStr">
        <is>
          <t>ÖREBRO LÄN</t>
        </is>
      </c>
      <c r="E390" t="inlineStr">
        <is>
          <t>LINDESBERG</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44067-2025</t>
        </is>
      </c>
      <c r="B391" s="1" t="n">
        <v>45915.54439814815</v>
      </c>
      <c r="C391" s="1" t="n">
        <v>46111</v>
      </c>
      <c r="D391" t="inlineStr">
        <is>
          <t>ÖREBRO LÄN</t>
        </is>
      </c>
      <c r="E391" t="inlineStr">
        <is>
          <t>LINDESBERG</t>
        </is>
      </c>
      <c r="G391" t="n">
        <v>2.8</v>
      </c>
      <c r="H391" t="n">
        <v>0</v>
      </c>
      <c r="I391" t="n">
        <v>0</v>
      </c>
      <c r="J391" t="n">
        <v>0</v>
      </c>
      <c r="K391" t="n">
        <v>0</v>
      </c>
      <c r="L391" t="n">
        <v>0</v>
      </c>
      <c r="M391" t="n">
        <v>0</v>
      </c>
      <c r="N391" t="n">
        <v>0</v>
      </c>
      <c r="O391" t="n">
        <v>0</v>
      </c>
      <c r="P391" t="n">
        <v>0</v>
      </c>
      <c r="Q391" t="n">
        <v>0</v>
      </c>
      <c r="R391" s="2" t="inlineStr"/>
    </row>
    <row r="392" ht="15" customHeight="1">
      <c r="A392" t="inlineStr">
        <is>
          <t>A 47066-2023</t>
        </is>
      </c>
      <c r="B392" s="1" t="n">
        <v>45201</v>
      </c>
      <c r="C392" s="1" t="n">
        <v>46111</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42410-2024</t>
        </is>
      </c>
      <c r="B393" s="1" t="n">
        <v>45565</v>
      </c>
      <c r="C393" s="1" t="n">
        <v>46111</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55631-2022</t>
        </is>
      </c>
      <c r="B394" s="1" t="n">
        <v>44888.4577662037</v>
      </c>
      <c r="C394" s="1" t="n">
        <v>46111</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42282-2024</t>
        </is>
      </c>
      <c r="B395" s="1" t="n">
        <v>45562.61158564815</v>
      </c>
      <c r="C395" s="1" t="n">
        <v>46111</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42430-2024</t>
        </is>
      </c>
      <c r="B396" s="1" t="n">
        <v>45565.40700231482</v>
      </c>
      <c r="C396" s="1" t="n">
        <v>46111</v>
      </c>
      <c r="D396" t="inlineStr">
        <is>
          <t>ÖREBRO LÄN</t>
        </is>
      </c>
      <c r="E396" t="inlineStr">
        <is>
          <t>LINDESBERG</t>
        </is>
      </c>
      <c r="G396" t="n">
        <v>4</v>
      </c>
      <c r="H396" t="n">
        <v>0</v>
      </c>
      <c r="I396" t="n">
        <v>0</v>
      </c>
      <c r="J396" t="n">
        <v>0</v>
      </c>
      <c r="K396" t="n">
        <v>0</v>
      </c>
      <c r="L396" t="n">
        <v>0</v>
      </c>
      <c r="M396" t="n">
        <v>0</v>
      </c>
      <c r="N396" t="n">
        <v>0</v>
      </c>
      <c r="O396" t="n">
        <v>0</v>
      </c>
      <c r="P396" t="n">
        <v>0</v>
      </c>
      <c r="Q396" t="n">
        <v>0</v>
      </c>
      <c r="R396" s="2" t="inlineStr"/>
    </row>
    <row r="397" ht="15" customHeight="1">
      <c r="A397" t="inlineStr">
        <is>
          <t>A 15822-2024</t>
        </is>
      </c>
      <c r="B397" s="1" t="n">
        <v>45404.68190972223</v>
      </c>
      <c r="C397" s="1" t="n">
        <v>46111</v>
      </c>
      <c r="D397" t="inlineStr">
        <is>
          <t>ÖREBRO LÄN</t>
        </is>
      </c>
      <c r="E397" t="inlineStr">
        <is>
          <t>LINDESBERG</t>
        </is>
      </c>
      <c r="F397" t="inlineStr">
        <is>
          <t>Sveaskog</t>
        </is>
      </c>
      <c r="G397" t="n">
        <v>6.7</v>
      </c>
      <c r="H397" t="n">
        <v>0</v>
      </c>
      <c r="I397" t="n">
        <v>0</v>
      </c>
      <c r="J397" t="n">
        <v>0</v>
      </c>
      <c r="K397" t="n">
        <v>0</v>
      </c>
      <c r="L397" t="n">
        <v>0</v>
      </c>
      <c r="M397" t="n">
        <v>0</v>
      </c>
      <c r="N397" t="n">
        <v>0</v>
      </c>
      <c r="O397" t="n">
        <v>0</v>
      </c>
      <c r="P397" t="n">
        <v>0</v>
      </c>
      <c r="Q397" t="n">
        <v>0</v>
      </c>
      <c r="R397" s="2" t="inlineStr"/>
    </row>
    <row r="398" ht="15" customHeight="1">
      <c r="A398" t="inlineStr">
        <is>
          <t>A 40038-2024</t>
        </is>
      </c>
      <c r="B398" s="1" t="n">
        <v>45553</v>
      </c>
      <c r="C398" s="1" t="n">
        <v>46111</v>
      </c>
      <c r="D398" t="inlineStr">
        <is>
          <t>ÖREBRO LÄN</t>
        </is>
      </c>
      <c r="E398" t="inlineStr">
        <is>
          <t>LINDESBERG</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8213-2023</t>
        </is>
      </c>
      <c r="B399" s="1" t="n">
        <v>44974.55693287037</v>
      </c>
      <c r="C399" s="1" t="n">
        <v>46111</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44545-2025</t>
        </is>
      </c>
      <c r="B400" s="1" t="n">
        <v>45917.31780092593</v>
      </c>
      <c r="C400" s="1" t="n">
        <v>46111</v>
      </c>
      <c r="D400" t="inlineStr">
        <is>
          <t>ÖREBRO LÄN</t>
        </is>
      </c>
      <c r="E400" t="inlineStr">
        <is>
          <t>LINDESBERG</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3732-2023</t>
        </is>
      </c>
      <c r="B401" s="1" t="n">
        <v>44949</v>
      </c>
      <c r="C401" s="1" t="n">
        <v>46111</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47155-2024</t>
        </is>
      </c>
      <c r="B402" s="1" t="n">
        <v>45586</v>
      </c>
      <c r="C402" s="1" t="n">
        <v>46111</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2569-2023</t>
        </is>
      </c>
      <c r="B403" s="1" t="n">
        <v>44943.73792824074</v>
      </c>
      <c r="C403" s="1" t="n">
        <v>46111</v>
      </c>
      <c r="D403" t="inlineStr">
        <is>
          <t>ÖREBRO LÄN</t>
        </is>
      </c>
      <c r="E403" t="inlineStr">
        <is>
          <t>LINDESBERG</t>
        </is>
      </c>
      <c r="G403" t="n">
        <v>2.3</v>
      </c>
      <c r="H403" t="n">
        <v>0</v>
      </c>
      <c r="I403" t="n">
        <v>0</v>
      </c>
      <c r="J403" t="n">
        <v>0</v>
      </c>
      <c r="K403" t="n">
        <v>0</v>
      </c>
      <c r="L403" t="n">
        <v>0</v>
      </c>
      <c r="M403" t="n">
        <v>0</v>
      </c>
      <c r="N403" t="n">
        <v>0</v>
      </c>
      <c r="O403" t="n">
        <v>0</v>
      </c>
      <c r="P403" t="n">
        <v>0</v>
      </c>
      <c r="Q403" t="n">
        <v>0</v>
      </c>
      <c r="R403" s="2" t="inlineStr"/>
    </row>
    <row r="404" ht="15" customHeight="1">
      <c r="A404" t="inlineStr">
        <is>
          <t>A 9966-2023</t>
        </is>
      </c>
      <c r="B404" s="1" t="n">
        <v>44979</v>
      </c>
      <c r="C404" s="1" t="n">
        <v>46111</v>
      </c>
      <c r="D404" t="inlineStr">
        <is>
          <t>ÖREBRO LÄN</t>
        </is>
      </c>
      <c r="E404" t="inlineStr">
        <is>
          <t>LINDESBERG</t>
        </is>
      </c>
      <c r="G404" t="n">
        <v>4.1</v>
      </c>
      <c r="H404" t="n">
        <v>0</v>
      </c>
      <c r="I404" t="n">
        <v>0</v>
      </c>
      <c r="J404" t="n">
        <v>0</v>
      </c>
      <c r="K404" t="n">
        <v>0</v>
      </c>
      <c r="L404" t="n">
        <v>0</v>
      </c>
      <c r="M404" t="n">
        <v>0</v>
      </c>
      <c r="N404" t="n">
        <v>0</v>
      </c>
      <c r="O404" t="n">
        <v>0</v>
      </c>
      <c r="P404" t="n">
        <v>0</v>
      </c>
      <c r="Q404" t="n">
        <v>0</v>
      </c>
      <c r="R404" s="2" t="inlineStr"/>
    </row>
    <row r="405" ht="15" customHeight="1">
      <c r="A405" t="inlineStr">
        <is>
          <t>A 47069-2023</t>
        </is>
      </c>
      <c r="B405" s="1" t="n">
        <v>45201</v>
      </c>
      <c r="C405" s="1" t="n">
        <v>46111</v>
      </c>
      <c r="D405" t="inlineStr">
        <is>
          <t>ÖREBRO LÄN</t>
        </is>
      </c>
      <c r="E405" t="inlineStr">
        <is>
          <t>LINDESBERG</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47074-2023</t>
        </is>
      </c>
      <c r="B406" s="1" t="n">
        <v>45201.60283564815</v>
      </c>
      <c r="C406" s="1" t="n">
        <v>46111</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53352-2023</t>
        </is>
      </c>
      <c r="B407" s="1" t="n">
        <v>45229.66262731481</v>
      </c>
      <c r="C407" s="1" t="n">
        <v>46111</v>
      </c>
      <c r="D407" t="inlineStr">
        <is>
          <t>ÖREBRO LÄN</t>
        </is>
      </c>
      <c r="E407" t="inlineStr">
        <is>
          <t>LINDESBERG</t>
        </is>
      </c>
      <c r="F407" t="inlineStr">
        <is>
          <t>Sveaskog</t>
        </is>
      </c>
      <c r="G407" t="n">
        <v>0.3</v>
      </c>
      <c r="H407" t="n">
        <v>0</v>
      </c>
      <c r="I407" t="n">
        <v>0</v>
      </c>
      <c r="J407" t="n">
        <v>0</v>
      </c>
      <c r="K407" t="n">
        <v>0</v>
      </c>
      <c r="L407" t="n">
        <v>0</v>
      </c>
      <c r="M407" t="n">
        <v>0</v>
      </c>
      <c r="N407" t="n">
        <v>0</v>
      </c>
      <c r="O407" t="n">
        <v>0</v>
      </c>
      <c r="P407" t="n">
        <v>0</v>
      </c>
      <c r="Q407" t="n">
        <v>0</v>
      </c>
      <c r="R407" s="2" t="inlineStr"/>
    </row>
    <row r="408" ht="15" customHeight="1">
      <c r="A408" t="inlineStr">
        <is>
          <t>A 15213-2025</t>
        </is>
      </c>
      <c r="B408" s="1" t="n">
        <v>45744.57851851852</v>
      </c>
      <c r="C408" s="1" t="n">
        <v>46111</v>
      </c>
      <c r="D408" t="inlineStr">
        <is>
          <t>ÖREBRO LÄN</t>
        </is>
      </c>
      <c r="E408" t="inlineStr">
        <is>
          <t>LINDESBERG</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46678-2023</t>
        </is>
      </c>
      <c r="B409" s="1" t="n">
        <v>45194</v>
      </c>
      <c r="C409" s="1" t="n">
        <v>46111</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26967-2022</t>
        </is>
      </c>
      <c r="B410" s="1" t="n">
        <v>44740.66997685185</v>
      </c>
      <c r="C410" s="1" t="n">
        <v>46111</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9432-2026</t>
        </is>
      </c>
      <c r="B411" s="1" t="n">
        <v>46071.45568287037</v>
      </c>
      <c r="C411" s="1" t="n">
        <v>46111</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46757-2025</t>
        </is>
      </c>
      <c r="B412" s="1" t="n">
        <v>45926.62039351852</v>
      </c>
      <c r="C412" s="1" t="n">
        <v>46111</v>
      </c>
      <c r="D412" t="inlineStr">
        <is>
          <t>ÖREBRO LÄN</t>
        </is>
      </c>
      <c r="E412" t="inlineStr">
        <is>
          <t>LINDESBERG</t>
        </is>
      </c>
      <c r="G412" t="n">
        <v>7.9</v>
      </c>
      <c r="H412" t="n">
        <v>0</v>
      </c>
      <c r="I412" t="n">
        <v>0</v>
      </c>
      <c r="J412" t="n">
        <v>0</v>
      </c>
      <c r="K412" t="n">
        <v>0</v>
      </c>
      <c r="L412" t="n">
        <v>0</v>
      </c>
      <c r="M412" t="n">
        <v>0</v>
      </c>
      <c r="N412" t="n">
        <v>0</v>
      </c>
      <c r="O412" t="n">
        <v>0</v>
      </c>
      <c r="P412" t="n">
        <v>0</v>
      </c>
      <c r="Q412" t="n">
        <v>0</v>
      </c>
      <c r="R412" s="2" t="inlineStr"/>
    </row>
    <row r="413" ht="15" customHeight="1">
      <c r="A413" t="inlineStr">
        <is>
          <t>A 45978-2021</t>
        </is>
      </c>
      <c r="B413" s="1" t="n">
        <v>44441.70047453704</v>
      </c>
      <c r="C413" s="1" t="n">
        <v>46111</v>
      </c>
      <c r="D413" t="inlineStr">
        <is>
          <t>ÖREBRO LÄN</t>
        </is>
      </c>
      <c r="E413" t="inlineStr">
        <is>
          <t>LINDESBERG</t>
        </is>
      </c>
      <c r="G413" t="n">
        <v>4.4</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46111</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14454-2024</t>
        </is>
      </c>
      <c r="B415" s="1" t="n">
        <v>45394.51289351852</v>
      </c>
      <c r="C415" s="1" t="n">
        <v>46111</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40303-2024</t>
        </is>
      </c>
      <c r="B416" s="1" t="n">
        <v>45554.7158912037</v>
      </c>
      <c r="C416" s="1" t="n">
        <v>46111</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46484-2024</t>
        </is>
      </c>
      <c r="B417" s="1" t="n">
        <v>45582.57542824074</v>
      </c>
      <c r="C417" s="1" t="n">
        <v>46111</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19436-2025</t>
        </is>
      </c>
      <c r="B418" s="1" t="n">
        <v>45769.98449074074</v>
      </c>
      <c r="C418" s="1" t="n">
        <v>46111</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9577-2026</t>
        </is>
      </c>
      <c r="B419" s="1" t="n">
        <v>46071.67334490741</v>
      </c>
      <c r="C419" s="1" t="n">
        <v>46111</v>
      </c>
      <c r="D419" t="inlineStr">
        <is>
          <t>ÖREBRO LÄN</t>
        </is>
      </c>
      <c r="E419" t="inlineStr">
        <is>
          <t>LINDESBERG</t>
        </is>
      </c>
      <c r="F419" t="inlineStr">
        <is>
          <t>Kommuner</t>
        </is>
      </c>
      <c r="G419" t="n">
        <v>1</v>
      </c>
      <c r="H419" t="n">
        <v>0</v>
      </c>
      <c r="I419" t="n">
        <v>0</v>
      </c>
      <c r="J419" t="n">
        <v>0</v>
      </c>
      <c r="K419" t="n">
        <v>0</v>
      </c>
      <c r="L419" t="n">
        <v>0</v>
      </c>
      <c r="M419" t="n">
        <v>0</v>
      </c>
      <c r="N419" t="n">
        <v>0</v>
      </c>
      <c r="O419" t="n">
        <v>0</v>
      </c>
      <c r="P419" t="n">
        <v>0</v>
      </c>
      <c r="Q419" t="n">
        <v>0</v>
      </c>
      <c r="R419" s="2" t="inlineStr"/>
    </row>
    <row r="420" ht="15" customHeight="1">
      <c r="A420" t="inlineStr">
        <is>
          <t>A 46404-2025</t>
        </is>
      </c>
      <c r="B420" s="1" t="n">
        <v>45925.56173611111</v>
      </c>
      <c r="C420" s="1" t="n">
        <v>46111</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13350-2024</t>
        </is>
      </c>
      <c r="B421" s="1" t="n">
        <v>45387.24732638889</v>
      </c>
      <c r="C421" s="1" t="n">
        <v>46111</v>
      </c>
      <c r="D421" t="inlineStr">
        <is>
          <t>ÖREBRO LÄN</t>
        </is>
      </c>
      <c r="E421" t="inlineStr">
        <is>
          <t>LINDESBERG</t>
        </is>
      </c>
      <c r="G421" t="n">
        <v>4.1</v>
      </c>
      <c r="H421" t="n">
        <v>0</v>
      </c>
      <c r="I421" t="n">
        <v>0</v>
      </c>
      <c r="J421" t="n">
        <v>0</v>
      </c>
      <c r="K421" t="n">
        <v>0</v>
      </c>
      <c r="L421" t="n">
        <v>0</v>
      </c>
      <c r="M421" t="n">
        <v>0</v>
      </c>
      <c r="N421" t="n">
        <v>0</v>
      </c>
      <c r="O421" t="n">
        <v>0</v>
      </c>
      <c r="P421" t="n">
        <v>0</v>
      </c>
      <c r="Q421" t="n">
        <v>0</v>
      </c>
      <c r="R421" s="2" t="inlineStr"/>
    </row>
    <row r="422" ht="15" customHeight="1">
      <c r="A422" t="inlineStr">
        <is>
          <t>A 13351-2024</t>
        </is>
      </c>
      <c r="B422" s="1" t="n">
        <v>45387.2521875</v>
      </c>
      <c r="C422" s="1" t="n">
        <v>46111</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610-2026</t>
        </is>
      </c>
      <c r="B423" s="1" t="n">
        <v>46029</v>
      </c>
      <c r="C423" s="1" t="n">
        <v>46111</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911-2026</t>
        </is>
      </c>
      <c r="B424" s="1" t="n">
        <v>46030.47725694445</v>
      </c>
      <c r="C424" s="1" t="n">
        <v>46111</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12053-2024</t>
        </is>
      </c>
      <c r="B425" s="1" t="n">
        <v>45377.48265046296</v>
      </c>
      <c r="C425" s="1" t="n">
        <v>46111</v>
      </c>
      <c r="D425" t="inlineStr">
        <is>
          <t>ÖREBRO LÄN</t>
        </is>
      </c>
      <c r="E425" t="inlineStr">
        <is>
          <t>LINDESBERG</t>
        </is>
      </c>
      <c r="G425" t="n">
        <v>1.7</v>
      </c>
      <c r="H425" t="n">
        <v>0</v>
      </c>
      <c r="I425" t="n">
        <v>0</v>
      </c>
      <c r="J425" t="n">
        <v>0</v>
      </c>
      <c r="K425" t="n">
        <v>0</v>
      </c>
      <c r="L425" t="n">
        <v>0</v>
      </c>
      <c r="M425" t="n">
        <v>0</v>
      </c>
      <c r="N425" t="n">
        <v>0</v>
      </c>
      <c r="O425" t="n">
        <v>0</v>
      </c>
      <c r="P425" t="n">
        <v>0</v>
      </c>
      <c r="Q425" t="n">
        <v>0</v>
      </c>
      <c r="R425" s="2" t="inlineStr"/>
    </row>
    <row r="426" ht="15" customHeight="1">
      <c r="A426" t="inlineStr">
        <is>
          <t>A 878-2026</t>
        </is>
      </c>
      <c r="B426" s="1" t="n">
        <v>46030.44277777777</v>
      </c>
      <c r="C426" s="1" t="n">
        <v>46111</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39137-2024</t>
        </is>
      </c>
      <c r="B427" s="1" t="n">
        <v>45548</v>
      </c>
      <c r="C427" s="1" t="n">
        <v>46111</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39152-2024</t>
        </is>
      </c>
      <c r="B428" s="1" t="n">
        <v>45548</v>
      </c>
      <c r="C428" s="1" t="n">
        <v>46111</v>
      </c>
      <c r="D428" t="inlineStr">
        <is>
          <t>ÖREBRO LÄN</t>
        </is>
      </c>
      <c r="E428" t="inlineStr">
        <is>
          <t>LINDESBERG</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43529-2024</t>
        </is>
      </c>
      <c r="B429" s="1" t="n">
        <v>45569.35209490741</v>
      </c>
      <c r="C429" s="1" t="n">
        <v>46111</v>
      </c>
      <c r="D429" t="inlineStr">
        <is>
          <t>ÖREBRO LÄN</t>
        </is>
      </c>
      <c r="E429" t="inlineStr">
        <is>
          <t>LINDESBERG</t>
        </is>
      </c>
      <c r="G429" t="n">
        <v>2.8</v>
      </c>
      <c r="H429" t="n">
        <v>0</v>
      </c>
      <c r="I429" t="n">
        <v>0</v>
      </c>
      <c r="J429" t="n">
        <v>0</v>
      </c>
      <c r="K429" t="n">
        <v>0</v>
      </c>
      <c r="L429" t="n">
        <v>0</v>
      </c>
      <c r="M429" t="n">
        <v>0</v>
      </c>
      <c r="N429" t="n">
        <v>0</v>
      </c>
      <c r="O429" t="n">
        <v>0</v>
      </c>
      <c r="P429" t="n">
        <v>0</v>
      </c>
      <c r="Q429" t="n">
        <v>0</v>
      </c>
      <c r="R429" s="2" t="inlineStr"/>
    </row>
    <row r="430" ht="15" customHeight="1">
      <c r="A430" t="inlineStr">
        <is>
          <t>A 46607-2021</t>
        </is>
      </c>
      <c r="B430" s="1" t="n">
        <v>44445.55690972223</v>
      </c>
      <c r="C430" s="1" t="n">
        <v>46111</v>
      </c>
      <c r="D430" t="inlineStr">
        <is>
          <t>ÖREBRO LÄN</t>
        </is>
      </c>
      <c r="E430" t="inlineStr">
        <is>
          <t>LINDESBERG</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48061-2025</t>
        </is>
      </c>
      <c r="B431" s="1" t="n">
        <v>45932.68006944445</v>
      </c>
      <c r="C431" s="1" t="n">
        <v>46111</v>
      </c>
      <c r="D431" t="inlineStr">
        <is>
          <t>ÖREBRO LÄN</t>
        </is>
      </c>
      <c r="E431" t="inlineStr">
        <is>
          <t>LINDESBERG</t>
        </is>
      </c>
      <c r="G431" t="n">
        <v>1.5</v>
      </c>
      <c r="H431" t="n">
        <v>0</v>
      </c>
      <c r="I431" t="n">
        <v>0</v>
      </c>
      <c r="J431" t="n">
        <v>0</v>
      </c>
      <c r="K431" t="n">
        <v>0</v>
      </c>
      <c r="L431" t="n">
        <v>0</v>
      </c>
      <c r="M431" t="n">
        <v>0</v>
      </c>
      <c r="N431" t="n">
        <v>0</v>
      </c>
      <c r="O431" t="n">
        <v>0</v>
      </c>
      <c r="P431" t="n">
        <v>0</v>
      </c>
      <c r="Q431" t="n">
        <v>0</v>
      </c>
      <c r="R431" s="2" t="inlineStr"/>
    </row>
    <row r="432" ht="15" customHeight="1">
      <c r="A432" t="inlineStr">
        <is>
          <t>A 47678-2025</t>
        </is>
      </c>
      <c r="B432" s="1" t="n">
        <v>45931.57967592592</v>
      </c>
      <c r="C432" s="1" t="n">
        <v>46111</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46111</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46111</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46111</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48489-2025</t>
        </is>
      </c>
      <c r="B436" s="1" t="n">
        <v>45936.36637731481</v>
      </c>
      <c r="C436" s="1" t="n">
        <v>46111</v>
      </c>
      <c r="D436" t="inlineStr">
        <is>
          <t>ÖREBRO LÄN</t>
        </is>
      </c>
      <c r="E436" t="inlineStr">
        <is>
          <t>LINDESBERG</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58710-2023</t>
        </is>
      </c>
      <c r="B437" s="1" t="n">
        <v>45251.696875</v>
      </c>
      <c r="C437" s="1" t="n">
        <v>46111</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5772-2023</t>
        </is>
      </c>
      <c r="B438" s="1" t="n">
        <v>44963.37709490741</v>
      </c>
      <c r="C438" s="1" t="n">
        <v>46111</v>
      </c>
      <c r="D438" t="inlineStr">
        <is>
          <t>ÖREBRO LÄN</t>
        </is>
      </c>
      <c r="E438" t="inlineStr">
        <is>
          <t>LINDESBERG</t>
        </is>
      </c>
      <c r="G438" t="n">
        <v>3</v>
      </c>
      <c r="H438" t="n">
        <v>0</v>
      </c>
      <c r="I438" t="n">
        <v>0</v>
      </c>
      <c r="J438" t="n">
        <v>0</v>
      </c>
      <c r="K438" t="n">
        <v>0</v>
      </c>
      <c r="L438" t="n">
        <v>0</v>
      </c>
      <c r="M438" t="n">
        <v>0</v>
      </c>
      <c r="N438" t="n">
        <v>0</v>
      </c>
      <c r="O438" t="n">
        <v>0</v>
      </c>
      <c r="P438" t="n">
        <v>0</v>
      </c>
      <c r="Q438" t="n">
        <v>0</v>
      </c>
      <c r="R438" s="2" t="inlineStr"/>
    </row>
    <row r="439" ht="15" customHeight="1">
      <c r="A439" t="inlineStr">
        <is>
          <t>A 48750-2025</t>
        </is>
      </c>
      <c r="B439" s="1" t="n">
        <v>45936.68452546297</v>
      </c>
      <c r="C439" s="1" t="n">
        <v>46111</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27309-2025</t>
        </is>
      </c>
      <c r="B440" s="1" t="n">
        <v>45812.57452546297</v>
      </c>
      <c r="C440" s="1" t="n">
        <v>46111</v>
      </c>
      <c r="D440" t="inlineStr">
        <is>
          <t>ÖREBRO LÄN</t>
        </is>
      </c>
      <c r="E440" t="inlineStr">
        <is>
          <t>LINDESBERG</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27311-2025</t>
        </is>
      </c>
      <c r="B441" s="1" t="n">
        <v>45812.57604166667</v>
      </c>
      <c r="C441" s="1" t="n">
        <v>46111</v>
      </c>
      <c r="D441" t="inlineStr">
        <is>
          <t>ÖREBRO LÄN</t>
        </is>
      </c>
      <c r="E441" t="inlineStr">
        <is>
          <t>LINDESBERG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48495-2025</t>
        </is>
      </c>
      <c r="B442" s="1" t="n">
        <v>45936.37237268518</v>
      </c>
      <c r="C442" s="1" t="n">
        <v>46111</v>
      </c>
      <c r="D442" t="inlineStr">
        <is>
          <t>ÖREBRO LÄN</t>
        </is>
      </c>
      <c r="E442" t="inlineStr">
        <is>
          <t>LINDESBERG</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27300-2025</t>
        </is>
      </c>
      <c r="B443" s="1" t="n">
        <v>45812.57143518519</v>
      </c>
      <c r="C443" s="1" t="n">
        <v>46111</v>
      </c>
      <c r="D443" t="inlineStr">
        <is>
          <t>ÖREBRO LÄN</t>
        </is>
      </c>
      <c r="E443" t="inlineStr">
        <is>
          <t>LINDESBERG</t>
        </is>
      </c>
      <c r="F443" t="inlineStr">
        <is>
          <t>Sveaskog</t>
        </is>
      </c>
      <c r="G443" t="n">
        <v>19.7</v>
      </c>
      <c r="H443" t="n">
        <v>0</v>
      </c>
      <c r="I443" t="n">
        <v>0</v>
      </c>
      <c r="J443" t="n">
        <v>0</v>
      </c>
      <c r="K443" t="n">
        <v>0</v>
      </c>
      <c r="L443" t="n">
        <v>0</v>
      </c>
      <c r="M443" t="n">
        <v>0</v>
      </c>
      <c r="N443" t="n">
        <v>0</v>
      </c>
      <c r="O443" t="n">
        <v>0</v>
      </c>
      <c r="P443" t="n">
        <v>0</v>
      </c>
      <c r="Q443" t="n">
        <v>0</v>
      </c>
      <c r="R443" s="2" t="inlineStr"/>
    </row>
    <row r="444" ht="15" customHeight="1">
      <c r="A444" t="inlineStr">
        <is>
          <t>A 27296-2025</t>
        </is>
      </c>
      <c r="B444" s="1" t="n">
        <v>45812.56952546296</v>
      </c>
      <c r="C444" s="1" t="n">
        <v>46111</v>
      </c>
      <c r="D444" t="inlineStr">
        <is>
          <t>ÖREBRO LÄN</t>
        </is>
      </c>
      <c r="E444" t="inlineStr">
        <is>
          <t>LINDESBERG</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48618-2025</t>
        </is>
      </c>
      <c r="B445" s="1" t="n">
        <v>45936.49026620371</v>
      </c>
      <c r="C445" s="1" t="n">
        <v>46111</v>
      </c>
      <c r="D445" t="inlineStr">
        <is>
          <t>ÖREBRO LÄN</t>
        </is>
      </c>
      <c r="E445" t="inlineStr">
        <is>
          <t>LINDESBERG</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20210-2024</t>
        </is>
      </c>
      <c r="B446" s="1" t="n">
        <v>45434.65854166666</v>
      </c>
      <c r="C446" s="1" t="n">
        <v>46111</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48497-2025</t>
        </is>
      </c>
      <c r="B447" s="1" t="n">
        <v>45936.37523148148</v>
      </c>
      <c r="C447" s="1" t="n">
        <v>46111</v>
      </c>
      <c r="D447" t="inlineStr">
        <is>
          <t>ÖREBRO LÄN</t>
        </is>
      </c>
      <c r="E447" t="inlineStr">
        <is>
          <t>LINDESBERG</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1160-2026</t>
        </is>
      </c>
      <c r="B448" s="1" t="n">
        <v>46031</v>
      </c>
      <c r="C448" s="1" t="n">
        <v>46111</v>
      </c>
      <c r="D448" t="inlineStr">
        <is>
          <t>ÖREBRO LÄN</t>
        </is>
      </c>
      <c r="E448" t="inlineStr">
        <is>
          <t>LINDESBERG</t>
        </is>
      </c>
      <c r="G448" t="n">
        <v>12.2</v>
      </c>
      <c r="H448" t="n">
        <v>0</v>
      </c>
      <c r="I448" t="n">
        <v>0</v>
      </c>
      <c r="J448" t="n">
        <v>0</v>
      </c>
      <c r="K448" t="n">
        <v>0</v>
      </c>
      <c r="L448" t="n">
        <v>0</v>
      </c>
      <c r="M448" t="n">
        <v>0</v>
      </c>
      <c r="N448" t="n">
        <v>0</v>
      </c>
      <c r="O448" t="n">
        <v>0</v>
      </c>
      <c r="P448" t="n">
        <v>0</v>
      </c>
      <c r="Q448" t="n">
        <v>0</v>
      </c>
      <c r="R448" s="2" t="inlineStr"/>
    </row>
    <row r="449" ht="15" customHeight="1">
      <c r="A449" t="inlineStr">
        <is>
          <t>A 1749-2026</t>
        </is>
      </c>
      <c r="B449" s="1" t="n">
        <v>46034.65601851852</v>
      </c>
      <c r="C449" s="1" t="n">
        <v>46111</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26340-2022</t>
        </is>
      </c>
      <c r="B450" s="1" t="n">
        <v>44735.62539351852</v>
      </c>
      <c r="C450" s="1" t="n">
        <v>46111</v>
      </c>
      <c r="D450" t="inlineStr">
        <is>
          <t>ÖREBRO LÄN</t>
        </is>
      </c>
      <c r="E450" t="inlineStr">
        <is>
          <t>LINDESBERG</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48620-2025</t>
        </is>
      </c>
      <c r="B451" s="1" t="n">
        <v>45936.49210648148</v>
      </c>
      <c r="C451" s="1" t="n">
        <v>46111</v>
      </c>
      <c r="D451" t="inlineStr">
        <is>
          <t>ÖREBRO LÄN</t>
        </is>
      </c>
      <c r="E451" t="inlineStr">
        <is>
          <t>LINDESBERG</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23536-2023</t>
        </is>
      </c>
      <c r="B452" s="1" t="n">
        <v>45077</v>
      </c>
      <c r="C452" s="1" t="n">
        <v>46111</v>
      </c>
      <c r="D452" t="inlineStr">
        <is>
          <t>ÖREBRO LÄN</t>
        </is>
      </c>
      <c r="E452" t="inlineStr">
        <is>
          <t>LINDESBERG</t>
        </is>
      </c>
      <c r="F452" t="inlineStr">
        <is>
          <t>Kyrkan</t>
        </is>
      </c>
      <c r="G452" t="n">
        <v>0.5</v>
      </c>
      <c r="H452" t="n">
        <v>0</v>
      </c>
      <c r="I452" t="n">
        <v>0</v>
      </c>
      <c r="J452" t="n">
        <v>0</v>
      </c>
      <c r="K452" t="n">
        <v>0</v>
      </c>
      <c r="L452" t="n">
        <v>0</v>
      </c>
      <c r="M452" t="n">
        <v>0</v>
      </c>
      <c r="N452" t="n">
        <v>0</v>
      </c>
      <c r="O452" t="n">
        <v>0</v>
      </c>
      <c r="P452" t="n">
        <v>0</v>
      </c>
      <c r="Q452" t="n">
        <v>0</v>
      </c>
      <c r="R452" s="2" t="inlineStr"/>
    </row>
    <row r="453" ht="15" customHeight="1">
      <c r="A453" t="inlineStr">
        <is>
          <t>A 61969-2023</t>
        </is>
      </c>
      <c r="B453" s="1" t="n">
        <v>45266.58394675926</v>
      </c>
      <c r="C453" s="1" t="n">
        <v>46111</v>
      </c>
      <c r="D453" t="inlineStr">
        <is>
          <t>ÖREBRO LÄN</t>
        </is>
      </c>
      <c r="E453" t="inlineStr">
        <is>
          <t>LINDESBERG</t>
        </is>
      </c>
      <c r="G453" t="n">
        <v>10.5</v>
      </c>
      <c r="H453" t="n">
        <v>0</v>
      </c>
      <c r="I453" t="n">
        <v>0</v>
      </c>
      <c r="J453" t="n">
        <v>0</v>
      </c>
      <c r="K453" t="n">
        <v>0</v>
      </c>
      <c r="L453" t="n">
        <v>0</v>
      </c>
      <c r="M453" t="n">
        <v>0</v>
      </c>
      <c r="N453" t="n">
        <v>0</v>
      </c>
      <c r="O453" t="n">
        <v>0</v>
      </c>
      <c r="P453" t="n">
        <v>0</v>
      </c>
      <c r="Q453" t="n">
        <v>0</v>
      </c>
      <c r="R453" s="2" t="inlineStr"/>
    </row>
    <row r="454" ht="15" customHeight="1">
      <c r="A454" t="inlineStr">
        <is>
          <t>A 48953-2025</t>
        </is>
      </c>
      <c r="B454" s="1" t="n">
        <v>45937.54697916667</v>
      </c>
      <c r="C454" s="1" t="n">
        <v>46111</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48971-2025</t>
        </is>
      </c>
      <c r="B455" s="1" t="n">
        <v>45937.56420138889</v>
      </c>
      <c r="C455" s="1" t="n">
        <v>46111</v>
      </c>
      <c r="D455" t="inlineStr">
        <is>
          <t>ÖREBRO LÄN</t>
        </is>
      </c>
      <c r="E455" t="inlineStr">
        <is>
          <t>LINDESBERG</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48975-2025</t>
        </is>
      </c>
      <c r="B456" s="1" t="n">
        <v>45937.56798611111</v>
      </c>
      <c r="C456" s="1" t="n">
        <v>46111</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48993-2025</t>
        </is>
      </c>
      <c r="B457" s="1" t="n">
        <v>45937.58590277778</v>
      </c>
      <c r="C457" s="1" t="n">
        <v>46111</v>
      </c>
      <c r="D457" t="inlineStr">
        <is>
          <t>ÖREBRO LÄN</t>
        </is>
      </c>
      <c r="E457" t="inlineStr">
        <is>
          <t>LINDESBERG</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6962-2023</t>
        </is>
      </c>
      <c r="B458" s="1" t="n">
        <v>44967.60165509259</v>
      </c>
      <c r="C458" s="1" t="n">
        <v>46111</v>
      </c>
      <c r="D458" t="inlineStr">
        <is>
          <t>ÖREBRO LÄN</t>
        </is>
      </c>
      <c r="E458" t="inlineStr">
        <is>
          <t>LINDESBERG</t>
        </is>
      </c>
      <c r="G458" t="n">
        <v>11.4</v>
      </c>
      <c r="H458" t="n">
        <v>0</v>
      </c>
      <c r="I458" t="n">
        <v>0</v>
      </c>
      <c r="J458" t="n">
        <v>0</v>
      </c>
      <c r="K458" t="n">
        <v>0</v>
      </c>
      <c r="L458" t="n">
        <v>0</v>
      </c>
      <c r="M458" t="n">
        <v>0</v>
      </c>
      <c r="N458" t="n">
        <v>0</v>
      </c>
      <c r="O458" t="n">
        <v>0</v>
      </c>
      <c r="P458" t="n">
        <v>0</v>
      </c>
      <c r="Q458" t="n">
        <v>0</v>
      </c>
      <c r="R458" s="2" t="inlineStr"/>
    </row>
    <row r="459" ht="15" customHeight="1">
      <c r="A459" t="inlineStr">
        <is>
          <t>A 49183-2025</t>
        </is>
      </c>
      <c r="B459" s="1" t="n">
        <v>45938.39741898148</v>
      </c>
      <c r="C459" s="1" t="n">
        <v>46111</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49100-2025</t>
        </is>
      </c>
      <c r="B460" s="1" t="n">
        <v>45937.71556712963</v>
      </c>
      <c r="C460" s="1" t="n">
        <v>46111</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46111</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46111</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46111</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49707-2025</t>
        </is>
      </c>
      <c r="B464" s="1" t="n">
        <v>45939.67951388889</v>
      </c>
      <c r="C464" s="1" t="n">
        <v>46111</v>
      </c>
      <c r="D464" t="inlineStr">
        <is>
          <t>ÖREBRO LÄN</t>
        </is>
      </c>
      <c r="E464" t="inlineStr">
        <is>
          <t>LINDESBERG</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7180-2023</t>
        </is>
      </c>
      <c r="B465" s="1" t="n">
        <v>44970.51849537037</v>
      </c>
      <c r="C465" s="1" t="n">
        <v>46111</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28040-2025</t>
        </is>
      </c>
      <c r="B466" s="1" t="n">
        <v>45817.6455324074</v>
      </c>
      <c r="C466" s="1" t="n">
        <v>46111</v>
      </c>
      <c r="D466" t="inlineStr">
        <is>
          <t>ÖREBRO LÄN</t>
        </is>
      </c>
      <c r="E466" t="inlineStr">
        <is>
          <t>LINDESBERG</t>
        </is>
      </c>
      <c r="G466" t="n">
        <v>1.4</v>
      </c>
      <c r="H466" t="n">
        <v>0</v>
      </c>
      <c r="I466" t="n">
        <v>0</v>
      </c>
      <c r="J466" t="n">
        <v>0</v>
      </c>
      <c r="K466" t="n">
        <v>0</v>
      </c>
      <c r="L466" t="n">
        <v>0</v>
      </c>
      <c r="M466" t="n">
        <v>0</v>
      </c>
      <c r="N466" t="n">
        <v>0</v>
      </c>
      <c r="O466" t="n">
        <v>0</v>
      </c>
      <c r="P466" t="n">
        <v>0</v>
      </c>
      <c r="Q466" t="n">
        <v>0</v>
      </c>
      <c r="R466" s="2" t="inlineStr"/>
    </row>
    <row r="467" ht="15" customHeight="1">
      <c r="A467" t="inlineStr">
        <is>
          <t>A 7661-2024</t>
        </is>
      </c>
      <c r="B467" s="1" t="n">
        <v>45348</v>
      </c>
      <c r="C467" s="1" t="n">
        <v>46111</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28877-2025</t>
        </is>
      </c>
      <c r="B468" s="1" t="n">
        <v>45820.61684027778</v>
      </c>
      <c r="C468" s="1" t="n">
        <v>46111</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28991-2025</t>
        </is>
      </c>
      <c r="B469" s="1" t="n">
        <v>45821.37199074074</v>
      </c>
      <c r="C469" s="1" t="n">
        <v>46111</v>
      </c>
      <c r="D469" t="inlineStr">
        <is>
          <t>ÖREBRO LÄN</t>
        </is>
      </c>
      <c r="E469" t="inlineStr">
        <is>
          <t>LINDESBERG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29037-2025</t>
        </is>
      </c>
      <c r="B470" s="1" t="n">
        <v>45821.44521990741</v>
      </c>
      <c r="C470" s="1" t="n">
        <v>46111</v>
      </c>
      <c r="D470" t="inlineStr">
        <is>
          <t>ÖREBRO LÄN</t>
        </is>
      </c>
      <c r="E470" t="inlineStr">
        <is>
          <t>LINDESBERG</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2556-2026</t>
        </is>
      </c>
      <c r="B471" s="1" t="n">
        <v>46035</v>
      </c>
      <c r="C471" s="1" t="n">
        <v>46111</v>
      </c>
      <c r="D471" t="inlineStr">
        <is>
          <t>ÖREBRO LÄN</t>
        </is>
      </c>
      <c r="E471" t="inlineStr">
        <is>
          <t>LINDESBERG</t>
        </is>
      </c>
      <c r="G471" t="n">
        <v>3.4</v>
      </c>
      <c r="H471" t="n">
        <v>0</v>
      </c>
      <c r="I471" t="n">
        <v>0</v>
      </c>
      <c r="J471" t="n">
        <v>0</v>
      </c>
      <c r="K471" t="n">
        <v>0</v>
      </c>
      <c r="L471" t="n">
        <v>0</v>
      </c>
      <c r="M471" t="n">
        <v>0</v>
      </c>
      <c r="N471" t="n">
        <v>0</v>
      </c>
      <c r="O471" t="n">
        <v>0</v>
      </c>
      <c r="P471" t="n">
        <v>0</v>
      </c>
      <c r="Q471" t="n">
        <v>0</v>
      </c>
      <c r="R471" s="2" t="inlineStr"/>
    </row>
    <row r="472" ht="15" customHeight="1">
      <c r="A472" t="inlineStr">
        <is>
          <t>A 29051-2025</t>
        </is>
      </c>
      <c r="B472" s="1" t="n">
        <v>45821.46486111111</v>
      </c>
      <c r="C472" s="1" t="n">
        <v>46111</v>
      </c>
      <c r="D472" t="inlineStr">
        <is>
          <t>ÖREBRO LÄN</t>
        </is>
      </c>
      <c r="E472" t="inlineStr">
        <is>
          <t>LINDESBERG</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29049-2025</t>
        </is>
      </c>
      <c r="B473" s="1" t="n">
        <v>45821.46135416667</v>
      </c>
      <c r="C473" s="1" t="n">
        <v>46111</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49946-2025</t>
        </is>
      </c>
      <c r="B474" s="1" t="n">
        <v>45940.69862268519</v>
      </c>
      <c r="C474" s="1" t="n">
        <v>46111</v>
      </c>
      <c r="D474" t="inlineStr">
        <is>
          <t>ÖREBRO LÄN</t>
        </is>
      </c>
      <c r="E474" t="inlineStr">
        <is>
          <t>LINDESBERG</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30000-2025</t>
        </is>
      </c>
      <c r="B475" s="1" t="n">
        <v>45826.52024305556</v>
      </c>
      <c r="C475" s="1" t="n">
        <v>46111</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49944-2025</t>
        </is>
      </c>
      <c r="B476" s="1" t="n">
        <v>45940.69643518519</v>
      </c>
      <c r="C476" s="1" t="n">
        <v>46111</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49947-2025</t>
        </is>
      </c>
      <c r="B477" s="1" t="n">
        <v>45940.70018518518</v>
      </c>
      <c r="C477" s="1" t="n">
        <v>46111</v>
      </c>
      <c r="D477" t="inlineStr">
        <is>
          <t>ÖREBRO LÄN</t>
        </is>
      </c>
      <c r="E477" t="inlineStr">
        <is>
          <t>LINDESBERG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28031-2023</t>
        </is>
      </c>
      <c r="B478" s="1" t="n">
        <v>45099.27354166667</v>
      </c>
      <c r="C478" s="1" t="n">
        <v>46111</v>
      </c>
      <c r="D478" t="inlineStr">
        <is>
          <t>ÖREBRO LÄN</t>
        </is>
      </c>
      <c r="E478" t="inlineStr">
        <is>
          <t>LINDESBERG</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46039-2024</t>
        </is>
      </c>
      <c r="B479" s="1" t="n">
        <v>45580.73525462963</v>
      </c>
      <c r="C479" s="1" t="n">
        <v>46111</v>
      </c>
      <c r="D479" t="inlineStr">
        <is>
          <t>ÖREBRO LÄN</t>
        </is>
      </c>
      <c r="E479" t="inlineStr">
        <is>
          <t>LINDESBERG</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49943-2025</t>
        </is>
      </c>
      <c r="B480" s="1" t="n">
        <v>45940.69521990741</v>
      </c>
      <c r="C480" s="1" t="n">
        <v>46111</v>
      </c>
      <c r="D480" t="inlineStr">
        <is>
          <t>ÖREBRO LÄN</t>
        </is>
      </c>
      <c r="E480" t="inlineStr">
        <is>
          <t>LINDESBERG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2958-2026</t>
        </is>
      </c>
      <c r="B481" s="1" t="n">
        <v>46038.61067129629</v>
      </c>
      <c r="C481" s="1" t="n">
        <v>46111</v>
      </c>
      <c r="D481" t="inlineStr">
        <is>
          <t>ÖREBRO LÄN</t>
        </is>
      </c>
      <c r="E481" t="inlineStr">
        <is>
          <t>LINDESBERG</t>
        </is>
      </c>
      <c r="G481" t="n">
        <v>5.8</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46111</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46111</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46111</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58741-2024</t>
        </is>
      </c>
      <c r="B485" s="1" t="n">
        <v>45635.69581018519</v>
      </c>
      <c r="C485" s="1" t="n">
        <v>46111</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46111</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2704-2026</t>
        </is>
      </c>
      <c r="B487" s="1" t="n">
        <v>46037.69133101852</v>
      </c>
      <c r="C487" s="1" t="n">
        <v>46111</v>
      </c>
      <c r="D487" t="inlineStr">
        <is>
          <t>ÖREBRO LÄN</t>
        </is>
      </c>
      <c r="E487" t="inlineStr">
        <is>
          <t>LINDESBERG</t>
        </is>
      </c>
      <c r="G487" t="n">
        <v>1.9</v>
      </c>
      <c r="H487" t="n">
        <v>0</v>
      </c>
      <c r="I487" t="n">
        <v>0</v>
      </c>
      <c r="J487" t="n">
        <v>0</v>
      </c>
      <c r="K487" t="n">
        <v>0</v>
      </c>
      <c r="L487" t="n">
        <v>0</v>
      </c>
      <c r="M487" t="n">
        <v>0</v>
      </c>
      <c r="N487" t="n">
        <v>0</v>
      </c>
      <c r="O487" t="n">
        <v>0</v>
      </c>
      <c r="P487" t="n">
        <v>0</v>
      </c>
      <c r="Q487" t="n">
        <v>0</v>
      </c>
      <c r="R487" s="2" t="inlineStr"/>
    </row>
    <row r="488" ht="15" customHeight="1">
      <c r="A488" t="inlineStr">
        <is>
          <t>A 2859-2026</t>
        </is>
      </c>
      <c r="B488" s="1" t="n">
        <v>46038.49269675926</v>
      </c>
      <c r="C488" s="1" t="n">
        <v>46111</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3994-2023</t>
        </is>
      </c>
      <c r="B489" s="1" t="n">
        <v>44950</v>
      </c>
      <c r="C489" s="1" t="n">
        <v>46111</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49094-2024</t>
        </is>
      </c>
      <c r="B490" s="1" t="n">
        <v>45594.63747685185</v>
      </c>
      <c r="C490" s="1" t="n">
        <v>46111</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46111</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2929-2026</t>
        </is>
      </c>
      <c r="B492" s="1" t="n">
        <v>46038.58241898148</v>
      </c>
      <c r="C492" s="1" t="n">
        <v>46111</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2902-2026</t>
        </is>
      </c>
      <c r="B493" s="1" t="n">
        <v>46038.55849537037</v>
      </c>
      <c r="C493" s="1" t="n">
        <v>46111</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30341-2025</t>
        </is>
      </c>
      <c r="B494" s="1" t="n">
        <v>45827.51862268519</v>
      </c>
      <c r="C494" s="1" t="n">
        <v>46111</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2949-2026</t>
        </is>
      </c>
      <c r="B495" s="1" t="n">
        <v>46038.59640046296</v>
      </c>
      <c r="C495" s="1" t="n">
        <v>46111</v>
      </c>
      <c r="D495" t="inlineStr">
        <is>
          <t>ÖREBRO LÄN</t>
        </is>
      </c>
      <c r="E495" t="inlineStr">
        <is>
          <t>LINDESBERG</t>
        </is>
      </c>
      <c r="G495" t="n">
        <v>4</v>
      </c>
      <c r="H495" t="n">
        <v>0</v>
      </c>
      <c r="I495" t="n">
        <v>0</v>
      </c>
      <c r="J495" t="n">
        <v>0</v>
      </c>
      <c r="K495" t="n">
        <v>0</v>
      </c>
      <c r="L495" t="n">
        <v>0</v>
      </c>
      <c r="M495" t="n">
        <v>0</v>
      </c>
      <c r="N495" t="n">
        <v>0</v>
      </c>
      <c r="O495" t="n">
        <v>0</v>
      </c>
      <c r="P495" t="n">
        <v>0</v>
      </c>
      <c r="Q495" t="n">
        <v>0</v>
      </c>
      <c r="R495" s="2" t="inlineStr"/>
    </row>
    <row r="496" ht="15" customHeight="1">
      <c r="A496" t="inlineStr">
        <is>
          <t>A 50933-2025</t>
        </is>
      </c>
      <c r="B496" s="1" t="n">
        <v>45946.68859953704</v>
      </c>
      <c r="C496" s="1" t="n">
        <v>46111</v>
      </c>
      <c r="D496" t="inlineStr">
        <is>
          <t>ÖREBRO LÄN</t>
        </is>
      </c>
      <c r="E496" t="inlineStr">
        <is>
          <t>LINDESBERG</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56907-2024</t>
        </is>
      </c>
      <c r="B497" s="1" t="n">
        <v>45628.58975694444</v>
      </c>
      <c r="C497" s="1" t="n">
        <v>46111</v>
      </c>
      <c r="D497" t="inlineStr">
        <is>
          <t>ÖREBRO LÄN</t>
        </is>
      </c>
      <c r="E497" t="inlineStr">
        <is>
          <t>LINDESBERG</t>
        </is>
      </c>
      <c r="G497" t="n">
        <v>1.1</v>
      </c>
      <c r="H497" t="n">
        <v>0</v>
      </c>
      <c r="I497" t="n">
        <v>0</v>
      </c>
      <c r="J497" t="n">
        <v>0</v>
      </c>
      <c r="K497" t="n">
        <v>0</v>
      </c>
      <c r="L497" t="n">
        <v>0</v>
      </c>
      <c r="M497" t="n">
        <v>0</v>
      </c>
      <c r="N497" t="n">
        <v>0</v>
      </c>
      <c r="O497" t="n">
        <v>0</v>
      </c>
      <c r="P497" t="n">
        <v>0</v>
      </c>
      <c r="Q497" t="n">
        <v>0</v>
      </c>
      <c r="R497" s="2" t="inlineStr"/>
    </row>
    <row r="498" ht="15" customHeight="1">
      <c r="A498" t="inlineStr">
        <is>
          <t>A 7201-2024</t>
        </is>
      </c>
      <c r="B498" s="1" t="n">
        <v>45344.6027662037</v>
      </c>
      <c r="C498" s="1" t="n">
        <v>46111</v>
      </c>
      <c r="D498" t="inlineStr">
        <is>
          <t>ÖREBRO LÄN</t>
        </is>
      </c>
      <c r="E498" t="inlineStr">
        <is>
          <t>LINDESBERG</t>
        </is>
      </c>
      <c r="G498" t="n">
        <v>4.7</v>
      </c>
      <c r="H498" t="n">
        <v>0</v>
      </c>
      <c r="I498" t="n">
        <v>0</v>
      </c>
      <c r="J498" t="n">
        <v>0</v>
      </c>
      <c r="K498" t="n">
        <v>0</v>
      </c>
      <c r="L498" t="n">
        <v>0</v>
      </c>
      <c r="M498" t="n">
        <v>0</v>
      </c>
      <c r="N498" t="n">
        <v>0</v>
      </c>
      <c r="O498" t="n">
        <v>0</v>
      </c>
      <c r="P498" t="n">
        <v>0</v>
      </c>
      <c r="Q498" t="n">
        <v>0</v>
      </c>
      <c r="R498" s="2" t="inlineStr"/>
    </row>
    <row r="499" ht="15" customHeight="1">
      <c r="A499" t="inlineStr">
        <is>
          <t>A 2969-2026</t>
        </is>
      </c>
      <c r="B499" s="1" t="n">
        <v>46038.61912037037</v>
      </c>
      <c r="C499" s="1" t="n">
        <v>46111</v>
      </c>
      <c r="D499" t="inlineStr">
        <is>
          <t>ÖREBRO LÄN</t>
        </is>
      </c>
      <c r="E499" t="inlineStr">
        <is>
          <t>LINDESBERG</t>
        </is>
      </c>
      <c r="G499" t="n">
        <v>2.6</v>
      </c>
      <c r="H499" t="n">
        <v>0</v>
      </c>
      <c r="I499" t="n">
        <v>0</v>
      </c>
      <c r="J499" t="n">
        <v>0</v>
      </c>
      <c r="K499" t="n">
        <v>0</v>
      </c>
      <c r="L499" t="n">
        <v>0</v>
      </c>
      <c r="M499" t="n">
        <v>0</v>
      </c>
      <c r="N499" t="n">
        <v>0</v>
      </c>
      <c r="O499" t="n">
        <v>0</v>
      </c>
      <c r="P499" t="n">
        <v>0</v>
      </c>
      <c r="Q499" t="n">
        <v>0</v>
      </c>
      <c r="R499" s="2" t="inlineStr"/>
    </row>
    <row r="500" ht="15" customHeight="1">
      <c r="A500" t="inlineStr">
        <is>
          <t>A 14190-2024</t>
        </is>
      </c>
      <c r="B500" s="1" t="n">
        <v>45393.36060185185</v>
      </c>
      <c r="C500" s="1" t="n">
        <v>46111</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51030-2025</t>
        </is>
      </c>
      <c r="B501" s="1" t="n">
        <v>45947.40105324074</v>
      </c>
      <c r="C501" s="1" t="n">
        <v>46111</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3227-2026</t>
        </is>
      </c>
      <c r="B502" s="1" t="n">
        <v>46041.54181712963</v>
      </c>
      <c r="C502" s="1" t="n">
        <v>46111</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30340-2025</t>
        </is>
      </c>
      <c r="B503" s="1" t="n">
        <v>45827.51753472222</v>
      </c>
      <c r="C503" s="1" t="n">
        <v>46111</v>
      </c>
      <c r="D503" t="inlineStr">
        <is>
          <t>ÖREBRO LÄN</t>
        </is>
      </c>
      <c r="E503" t="inlineStr">
        <is>
          <t>LINDESBERG</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30342-2025</t>
        </is>
      </c>
      <c r="B504" s="1" t="n">
        <v>45827.51956018519</v>
      </c>
      <c r="C504" s="1" t="n">
        <v>46111</v>
      </c>
      <c r="D504" t="inlineStr">
        <is>
          <t>ÖREBRO LÄN</t>
        </is>
      </c>
      <c r="E504" t="inlineStr">
        <is>
          <t>LINDESBERG</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30381-2025</t>
        </is>
      </c>
      <c r="B505" s="1" t="n">
        <v>45827.56939814815</v>
      </c>
      <c r="C505" s="1" t="n">
        <v>46111</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17087-2023</t>
        </is>
      </c>
      <c r="B506" s="1" t="n">
        <v>45034.5174537037</v>
      </c>
      <c r="C506" s="1" t="n">
        <v>46111</v>
      </c>
      <c r="D506" t="inlineStr">
        <is>
          <t>ÖREBRO LÄN</t>
        </is>
      </c>
      <c r="E506" t="inlineStr">
        <is>
          <t>LINDESBERG</t>
        </is>
      </c>
      <c r="G506" t="n">
        <v>2.7</v>
      </c>
      <c r="H506" t="n">
        <v>0</v>
      </c>
      <c r="I506" t="n">
        <v>0</v>
      </c>
      <c r="J506" t="n">
        <v>0</v>
      </c>
      <c r="K506" t="n">
        <v>0</v>
      </c>
      <c r="L506" t="n">
        <v>0</v>
      </c>
      <c r="M506" t="n">
        <v>0</v>
      </c>
      <c r="N506" t="n">
        <v>0</v>
      </c>
      <c r="O506" t="n">
        <v>0</v>
      </c>
      <c r="P506" t="n">
        <v>0</v>
      </c>
      <c r="Q506" t="n">
        <v>0</v>
      </c>
      <c r="R506" s="2" t="inlineStr"/>
    </row>
    <row r="507" ht="15" customHeight="1">
      <c r="A507" t="inlineStr">
        <is>
          <t>A 30339-2025</t>
        </is>
      </c>
      <c r="B507" s="1" t="n">
        <v>45827.51628472222</v>
      </c>
      <c r="C507" s="1" t="n">
        <v>46111</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51186-2025</t>
        </is>
      </c>
      <c r="B508" s="1" t="n">
        <v>45947.62353009259</v>
      </c>
      <c r="C508" s="1" t="n">
        <v>46111</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31215-2025</t>
        </is>
      </c>
      <c r="B509" s="1" t="n">
        <v>45832.74418981482</v>
      </c>
      <c r="C509" s="1" t="n">
        <v>46111</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53189-2023</t>
        </is>
      </c>
      <c r="B510" s="1" t="n">
        <v>45194</v>
      </c>
      <c r="C510" s="1" t="n">
        <v>46111</v>
      </c>
      <c r="D510" t="inlineStr">
        <is>
          <t>ÖREBRO LÄN</t>
        </is>
      </c>
      <c r="E510" t="inlineStr">
        <is>
          <t>LINDESBERG</t>
        </is>
      </c>
      <c r="G510" t="n">
        <v>2</v>
      </c>
      <c r="H510" t="n">
        <v>0</v>
      </c>
      <c r="I510" t="n">
        <v>0</v>
      </c>
      <c r="J510" t="n">
        <v>0</v>
      </c>
      <c r="K510" t="n">
        <v>0</v>
      </c>
      <c r="L510" t="n">
        <v>0</v>
      </c>
      <c r="M510" t="n">
        <v>0</v>
      </c>
      <c r="N510" t="n">
        <v>0</v>
      </c>
      <c r="O510" t="n">
        <v>0</v>
      </c>
      <c r="P510" t="n">
        <v>0</v>
      </c>
      <c r="Q510" t="n">
        <v>0</v>
      </c>
      <c r="R510" s="2" t="inlineStr"/>
    </row>
    <row r="511" ht="15" customHeight="1">
      <c r="A511" t="inlineStr">
        <is>
          <t>A 51172-2025</t>
        </is>
      </c>
      <c r="B511" s="1" t="n">
        <v>45947.60508101852</v>
      </c>
      <c r="C511" s="1" t="n">
        <v>46111</v>
      </c>
      <c r="D511" t="inlineStr">
        <is>
          <t>ÖREBRO LÄN</t>
        </is>
      </c>
      <c r="E511" t="inlineStr">
        <is>
          <t>LINDESBERG</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34029-2024</t>
        </is>
      </c>
      <c r="B512" s="1" t="n">
        <v>45523</v>
      </c>
      <c r="C512" s="1" t="n">
        <v>46111</v>
      </c>
      <c r="D512" t="inlineStr">
        <is>
          <t>ÖREBRO LÄN</t>
        </is>
      </c>
      <c r="E512" t="inlineStr">
        <is>
          <t>LINDESBERG</t>
        </is>
      </c>
      <c r="G512" t="n">
        <v>1.9</v>
      </c>
      <c r="H512" t="n">
        <v>0</v>
      </c>
      <c r="I512" t="n">
        <v>0</v>
      </c>
      <c r="J512" t="n">
        <v>0</v>
      </c>
      <c r="K512" t="n">
        <v>0</v>
      </c>
      <c r="L512" t="n">
        <v>0</v>
      </c>
      <c r="M512" t="n">
        <v>0</v>
      </c>
      <c r="N512" t="n">
        <v>0</v>
      </c>
      <c r="O512" t="n">
        <v>0</v>
      </c>
      <c r="P512" t="n">
        <v>0</v>
      </c>
      <c r="Q512" t="n">
        <v>0</v>
      </c>
      <c r="R512" s="2" t="inlineStr"/>
    </row>
    <row r="513" ht="15" customHeight="1">
      <c r="A513" t="inlineStr">
        <is>
          <t>A 31014-2025</t>
        </is>
      </c>
      <c r="B513" s="1" t="n">
        <v>45832.51028935185</v>
      </c>
      <c r="C513" s="1" t="n">
        <v>46111</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46111</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46111</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46111</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3315-2026</t>
        </is>
      </c>
      <c r="B517" s="1" t="n">
        <v>46041.68443287037</v>
      </c>
      <c r="C517" s="1" t="n">
        <v>46111</v>
      </c>
      <c r="D517" t="inlineStr">
        <is>
          <t>ÖREBRO LÄN</t>
        </is>
      </c>
      <c r="E517" t="inlineStr">
        <is>
          <t>LINDESBERG</t>
        </is>
      </c>
      <c r="G517" t="n">
        <v>7.6</v>
      </c>
      <c r="H517" t="n">
        <v>0</v>
      </c>
      <c r="I517" t="n">
        <v>0</v>
      </c>
      <c r="J517" t="n">
        <v>0</v>
      </c>
      <c r="K517" t="n">
        <v>0</v>
      </c>
      <c r="L517" t="n">
        <v>0</v>
      </c>
      <c r="M517" t="n">
        <v>0</v>
      </c>
      <c r="N517" t="n">
        <v>0</v>
      </c>
      <c r="O517" t="n">
        <v>0</v>
      </c>
      <c r="P517" t="n">
        <v>0</v>
      </c>
      <c r="Q517" t="n">
        <v>0</v>
      </c>
      <c r="R517" s="2" t="inlineStr"/>
    </row>
    <row r="518" ht="15" customHeight="1">
      <c r="A518" t="inlineStr">
        <is>
          <t>A 31003-2025</t>
        </is>
      </c>
      <c r="B518" s="1" t="n">
        <v>45832.49579861111</v>
      </c>
      <c r="C518" s="1" t="n">
        <v>46111</v>
      </c>
      <c r="D518" t="inlineStr">
        <is>
          <t>ÖREBRO LÄN</t>
        </is>
      </c>
      <c r="E518" t="inlineStr">
        <is>
          <t>LINDESBERG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31085-2025</t>
        </is>
      </c>
      <c r="B519" s="1" t="n">
        <v>45832.5902662037</v>
      </c>
      <c r="C519" s="1" t="n">
        <v>46111</v>
      </c>
      <c r="D519" t="inlineStr">
        <is>
          <t>ÖREBRO LÄN</t>
        </is>
      </c>
      <c r="E519" t="inlineStr">
        <is>
          <t>LINDESBERG</t>
        </is>
      </c>
      <c r="F519" t="inlineStr">
        <is>
          <t>Sveaskog</t>
        </is>
      </c>
      <c r="G519" t="n">
        <v>0.3</v>
      </c>
      <c r="H519" t="n">
        <v>0</v>
      </c>
      <c r="I519" t="n">
        <v>0</v>
      </c>
      <c r="J519" t="n">
        <v>0</v>
      </c>
      <c r="K519" t="n">
        <v>0</v>
      </c>
      <c r="L519" t="n">
        <v>0</v>
      </c>
      <c r="M519" t="n">
        <v>0</v>
      </c>
      <c r="N519" t="n">
        <v>0</v>
      </c>
      <c r="O519" t="n">
        <v>0</v>
      </c>
      <c r="P519" t="n">
        <v>0</v>
      </c>
      <c r="Q519" t="n">
        <v>0</v>
      </c>
      <c r="R519" s="2" t="inlineStr"/>
    </row>
    <row r="520" ht="15" customHeight="1">
      <c r="A520" t="inlineStr">
        <is>
          <t>A 60926-2024</t>
        </is>
      </c>
      <c r="B520" s="1" t="n">
        <v>45645</v>
      </c>
      <c r="C520" s="1" t="n">
        <v>46111</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52102-2025</t>
        </is>
      </c>
      <c r="B521" s="1" t="n">
        <v>45952.68358796297</v>
      </c>
      <c r="C521" s="1" t="n">
        <v>46111</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52117-2025</t>
        </is>
      </c>
      <c r="B522" s="1" t="n">
        <v>45952.70765046297</v>
      </c>
      <c r="C522" s="1" t="n">
        <v>46111</v>
      </c>
      <c r="D522" t="inlineStr">
        <is>
          <t>ÖREBRO LÄN</t>
        </is>
      </c>
      <c r="E522" t="inlineStr">
        <is>
          <t>LINDESBERG</t>
        </is>
      </c>
      <c r="G522" t="n">
        <v>4.6</v>
      </c>
      <c r="H522" t="n">
        <v>0</v>
      </c>
      <c r="I522" t="n">
        <v>0</v>
      </c>
      <c r="J522" t="n">
        <v>0</v>
      </c>
      <c r="K522" t="n">
        <v>0</v>
      </c>
      <c r="L522" t="n">
        <v>0</v>
      </c>
      <c r="M522" t="n">
        <v>0</v>
      </c>
      <c r="N522" t="n">
        <v>0</v>
      </c>
      <c r="O522" t="n">
        <v>0</v>
      </c>
      <c r="P522" t="n">
        <v>0</v>
      </c>
      <c r="Q522" t="n">
        <v>0</v>
      </c>
      <c r="R522" s="2" t="inlineStr"/>
    </row>
    <row r="523" ht="15" customHeight="1">
      <c r="A523" t="inlineStr">
        <is>
          <t>A 3026-2026</t>
        </is>
      </c>
      <c r="B523" s="1" t="n">
        <v>46038</v>
      </c>
      <c r="C523" s="1" t="n">
        <v>46111</v>
      </c>
      <c r="D523" t="inlineStr">
        <is>
          <t>ÖREBRO LÄN</t>
        </is>
      </c>
      <c r="E523" t="inlineStr">
        <is>
          <t>LINDESBERG</t>
        </is>
      </c>
      <c r="G523" t="n">
        <v>10.3</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46111</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52098-2025</t>
        </is>
      </c>
      <c r="B525" s="1" t="n">
        <v>45952.68001157408</v>
      </c>
      <c r="C525" s="1" t="n">
        <v>46111</v>
      </c>
      <c r="D525" t="inlineStr">
        <is>
          <t>ÖREBRO LÄN</t>
        </is>
      </c>
      <c r="E525" t="inlineStr">
        <is>
          <t>LINDESBERG</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52103-2025</t>
        </is>
      </c>
      <c r="B526" s="1" t="n">
        <v>45952.68439814815</v>
      </c>
      <c r="C526" s="1" t="n">
        <v>46111</v>
      </c>
      <c r="D526" t="inlineStr">
        <is>
          <t>ÖREBRO LÄN</t>
        </is>
      </c>
      <c r="E526" t="inlineStr">
        <is>
          <t>LINDESBERG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52101-2025</t>
        </is>
      </c>
      <c r="B527" s="1" t="n">
        <v>45952.68271990741</v>
      </c>
      <c r="C527" s="1" t="n">
        <v>46111</v>
      </c>
      <c r="D527" t="inlineStr">
        <is>
          <t>ÖREBRO LÄN</t>
        </is>
      </c>
      <c r="E527" t="inlineStr">
        <is>
          <t>LINDESBERG</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45952.68524305556</v>
      </c>
      <c r="C528" s="1" t="n">
        <v>46111</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14231-2023</t>
        </is>
      </c>
      <c r="B529" s="1" t="n">
        <v>45009.64217592592</v>
      </c>
      <c r="C529" s="1" t="n">
        <v>46111</v>
      </c>
      <c r="D529" t="inlineStr">
        <is>
          <t>ÖREBRO LÄN</t>
        </is>
      </c>
      <c r="E529" t="inlineStr">
        <is>
          <t>LINDESBERG</t>
        </is>
      </c>
      <c r="G529" t="n">
        <v>4.3</v>
      </c>
      <c r="H529" t="n">
        <v>0</v>
      </c>
      <c r="I529" t="n">
        <v>0</v>
      </c>
      <c r="J529" t="n">
        <v>0</v>
      </c>
      <c r="K529" t="n">
        <v>0</v>
      </c>
      <c r="L529" t="n">
        <v>0</v>
      </c>
      <c r="M529" t="n">
        <v>0</v>
      </c>
      <c r="N529" t="n">
        <v>0</v>
      </c>
      <c r="O529" t="n">
        <v>0</v>
      </c>
      <c r="P529" t="n">
        <v>0</v>
      </c>
      <c r="Q529" t="n">
        <v>0</v>
      </c>
      <c r="R529" s="2" t="inlineStr"/>
    </row>
    <row r="530" ht="15" customHeight="1">
      <c r="A530" t="inlineStr">
        <is>
          <t>A 62608-2021</t>
        </is>
      </c>
      <c r="B530" s="1" t="n">
        <v>44503</v>
      </c>
      <c r="C530" s="1" t="n">
        <v>46111</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35140-2023</t>
        </is>
      </c>
      <c r="B531" s="1" t="n">
        <v>45145</v>
      </c>
      <c r="C531" s="1" t="n">
        <v>46111</v>
      </c>
      <c r="D531" t="inlineStr">
        <is>
          <t>ÖREBRO LÄN</t>
        </is>
      </c>
      <c r="E531" t="inlineStr">
        <is>
          <t>LINDESBERG</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3660-2026</t>
        </is>
      </c>
      <c r="B532" s="1" t="n">
        <v>46043.38744212963</v>
      </c>
      <c r="C532" s="1" t="n">
        <v>46111</v>
      </c>
      <c r="D532" t="inlineStr">
        <is>
          <t>ÖREBRO LÄN</t>
        </is>
      </c>
      <c r="E532" t="inlineStr">
        <is>
          <t>LINDESBERG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37616-2023</t>
        </is>
      </c>
      <c r="B533" s="1" t="n">
        <v>45159.44525462963</v>
      </c>
      <c r="C533" s="1" t="n">
        <v>46111</v>
      </c>
      <c r="D533" t="inlineStr">
        <is>
          <t>ÖREBRO LÄN</t>
        </is>
      </c>
      <c r="E533" t="inlineStr">
        <is>
          <t>LINDESBERG</t>
        </is>
      </c>
      <c r="G533" t="n">
        <v>5.3</v>
      </c>
      <c r="H533" t="n">
        <v>0</v>
      </c>
      <c r="I533" t="n">
        <v>0</v>
      </c>
      <c r="J533" t="n">
        <v>0</v>
      </c>
      <c r="K533" t="n">
        <v>0</v>
      </c>
      <c r="L533" t="n">
        <v>0</v>
      </c>
      <c r="M533" t="n">
        <v>0</v>
      </c>
      <c r="N533" t="n">
        <v>0</v>
      </c>
      <c r="O533" t="n">
        <v>0</v>
      </c>
      <c r="P533" t="n">
        <v>0</v>
      </c>
      <c r="Q533" t="n">
        <v>0</v>
      </c>
      <c r="R533" s="2" t="inlineStr"/>
    </row>
    <row r="534" ht="15" customHeight="1">
      <c r="A534" t="inlineStr">
        <is>
          <t>A 52401-2025</t>
        </is>
      </c>
      <c r="B534" s="1" t="n">
        <v>45954.35075231481</v>
      </c>
      <c r="C534" s="1" t="n">
        <v>46111</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31221-2025</t>
        </is>
      </c>
      <c r="B535" s="1" t="n">
        <v>45832.76491898148</v>
      </c>
      <c r="C535" s="1" t="n">
        <v>46111</v>
      </c>
      <c r="D535" t="inlineStr">
        <is>
          <t>ÖREBRO LÄN</t>
        </is>
      </c>
      <c r="E535" t="inlineStr">
        <is>
          <t>LINDESBERG</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29938-2024</t>
        </is>
      </c>
      <c r="B536" s="1" t="n">
        <v>45488.41480324074</v>
      </c>
      <c r="C536" s="1" t="n">
        <v>46111</v>
      </c>
      <c r="D536" t="inlineStr">
        <is>
          <t>ÖREBRO LÄN</t>
        </is>
      </c>
      <c r="E536" t="inlineStr">
        <is>
          <t>LINDESBERG</t>
        </is>
      </c>
      <c r="G536" t="n">
        <v>4</v>
      </c>
      <c r="H536" t="n">
        <v>0</v>
      </c>
      <c r="I536" t="n">
        <v>0</v>
      </c>
      <c r="J536" t="n">
        <v>0</v>
      </c>
      <c r="K536" t="n">
        <v>0</v>
      </c>
      <c r="L536" t="n">
        <v>0</v>
      </c>
      <c r="M536" t="n">
        <v>0</v>
      </c>
      <c r="N536" t="n">
        <v>0</v>
      </c>
      <c r="O536" t="n">
        <v>0</v>
      </c>
      <c r="P536" t="n">
        <v>0</v>
      </c>
      <c r="Q536" t="n">
        <v>0</v>
      </c>
      <c r="R536" s="2" t="inlineStr"/>
    </row>
    <row r="537" ht="15" customHeight="1">
      <c r="A537" t="inlineStr">
        <is>
          <t>A 24030-2023</t>
        </is>
      </c>
      <c r="B537" s="1" t="n">
        <v>45078.82620370371</v>
      </c>
      <c r="C537" s="1" t="n">
        <v>46111</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31220-2025</t>
        </is>
      </c>
      <c r="B538" s="1" t="n">
        <v>45832.76100694444</v>
      </c>
      <c r="C538" s="1" t="n">
        <v>46111</v>
      </c>
      <c r="D538" t="inlineStr">
        <is>
          <t>ÖREBRO LÄN</t>
        </is>
      </c>
      <c r="E538" t="inlineStr">
        <is>
          <t>LINDESBERG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52298-2025</t>
        </is>
      </c>
      <c r="B539" s="1" t="n">
        <v>45953.61387731481</v>
      </c>
      <c r="C539" s="1" t="n">
        <v>46111</v>
      </c>
      <c r="D539" t="inlineStr">
        <is>
          <t>ÖREBRO LÄN</t>
        </is>
      </c>
      <c r="E539" t="inlineStr">
        <is>
          <t>LINDESBERG</t>
        </is>
      </c>
      <c r="G539" t="n">
        <v>18.2</v>
      </c>
      <c r="H539" t="n">
        <v>0</v>
      </c>
      <c r="I539" t="n">
        <v>0</v>
      </c>
      <c r="J539" t="n">
        <v>0</v>
      </c>
      <c r="K539" t="n">
        <v>0</v>
      </c>
      <c r="L539" t="n">
        <v>0</v>
      </c>
      <c r="M539" t="n">
        <v>0</v>
      </c>
      <c r="N539" t="n">
        <v>0</v>
      </c>
      <c r="O539" t="n">
        <v>0</v>
      </c>
      <c r="P539" t="n">
        <v>0</v>
      </c>
      <c r="Q539" t="n">
        <v>0</v>
      </c>
      <c r="R539" s="2" t="inlineStr"/>
    </row>
    <row r="540" ht="15" customHeight="1">
      <c r="A540" t="inlineStr">
        <is>
          <t>A 3659-2026</t>
        </is>
      </c>
      <c r="B540" s="1" t="n">
        <v>46043</v>
      </c>
      <c r="C540" s="1" t="n">
        <v>46111</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52730-2025</t>
        </is>
      </c>
      <c r="B541" s="1" t="n">
        <v>45957.36386574074</v>
      </c>
      <c r="C541" s="1" t="n">
        <v>46111</v>
      </c>
      <c r="D541" t="inlineStr">
        <is>
          <t>ÖREBRO LÄN</t>
        </is>
      </c>
      <c r="E541" t="inlineStr">
        <is>
          <t>LINDESBERG</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3951-2026</t>
        </is>
      </c>
      <c r="B542" s="1" t="n">
        <v>46044</v>
      </c>
      <c r="C542" s="1" t="n">
        <v>46111</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32504-2025</t>
        </is>
      </c>
      <c r="B543" s="1" t="n">
        <v>45838.46456018519</v>
      </c>
      <c r="C543" s="1" t="n">
        <v>46111</v>
      </c>
      <c r="D543" t="inlineStr">
        <is>
          <t>ÖREBRO LÄN</t>
        </is>
      </c>
      <c r="E543" t="inlineStr">
        <is>
          <t>LINDESBERG</t>
        </is>
      </c>
      <c r="F543" t="inlineStr">
        <is>
          <t>Sveaskog</t>
        </is>
      </c>
      <c r="G543" t="n">
        <v>16.9</v>
      </c>
      <c r="H543" t="n">
        <v>0</v>
      </c>
      <c r="I543" t="n">
        <v>0</v>
      </c>
      <c r="J543" t="n">
        <v>0</v>
      </c>
      <c r="K543" t="n">
        <v>0</v>
      </c>
      <c r="L543" t="n">
        <v>0</v>
      </c>
      <c r="M543" t="n">
        <v>0</v>
      </c>
      <c r="N543" t="n">
        <v>0</v>
      </c>
      <c r="O543" t="n">
        <v>0</v>
      </c>
      <c r="P543" t="n">
        <v>0</v>
      </c>
      <c r="Q543" t="n">
        <v>0</v>
      </c>
      <c r="R543" s="2" t="inlineStr"/>
    </row>
    <row r="544" ht="15" customHeight="1">
      <c r="A544" t="inlineStr">
        <is>
          <t>A 36747-2024</t>
        </is>
      </c>
      <c r="B544" s="1" t="n">
        <v>45538.34193287037</v>
      </c>
      <c r="C544" s="1" t="n">
        <v>46111</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32284-2025</t>
        </is>
      </c>
      <c r="B545" s="1" t="n">
        <v>45835.68443287037</v>
      </c>
      <c r="C545" s="1" t="n">
        <v>46111</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32502-2025</t>
        </is>
      </c>
      <c r="B546" s="1" t="n">
        <v>45838.46408564815</v>
      </c>
      <c r="C546" s="1" t="n">
        <v>46111</v>
      </c>
      <c r="D546" t="inlineStr">
        <is>
          <t>ÖREBRO LÄN</t>
        </is>
      </c>
      <c r="E546" t="inlineStr">
        <is>
          <t>LINDESBERG</t>
        </is>
      </c>
      <c r="F546" t="inlineStr">
        <is>
          <t>Sveaskog</t>
        </is>
      </c>
      <c r="G546" t="n">
        <v>17.7</v>
      </c>
      <c r="H546" t="n">
        <v>0</v>
      </c>
      <c r="I546" t="n">
        <v>0</v>
      </c>
      <c r="J546" t="n">
        <v>0</v>
      </c>
      <c r="K546" t="n">
        <v>0</v>
      </c>
      <c r="L546" t="n">
        <v>0</v>
      </c>
      <c r="M546" t="n">
        <v>0</v>
      </c>
      <c r="N546" t="n">
        <v>0</v>
      </c>
      <c r="O546" t="n">
        <v>0</v>
      </c>
      <c r="P546" t="n">
        <v>0</v>
      </c>
      <c r="Q546" t="n">
        <v>0</v>
      </c>
      <c r="R546" s="2" t="inlineStr"/>
    </row>
    <row r="547" ht="15" customHeight="1">
      <c r="A547" t="inlineStr">
        <is>
          <t>A 53187-2025</t>
        </is>
      </c>
      <c r="B547" s="1" t="n">
        <v>45958.55577546296</v>
      </c>
      <c r="C547" s="1" t="n">
        <v>46111</v>
      </c>
      <c r="D547" t="inlineStr">
        <is>
          <t>ÖREBRO LÄN</t>
        </is>
      </c>
      <c r="E547" t="inlineStr">
        <is>
          <t>LINDESBERG</t>
        </is>
      </c>
      <c r="F547" t="inlineStr">
        <is>
          <t>Kommuner</t>
        </is>
      </c>
      <c r="G547" t="n">
        <v>2.7</v>
      </c>
      <c r="H547" t="n">
        <v>0</v>
      </c>
      <c r="I547" t="n">
        <v>0</v>
      </c>
      <c r="J547" t="n">
        <v>0</v>
      </c>
      <c r="K547" t="n">
        <v>0</v>
      </c>
      <c r="L547" t="n">
        <v>0</v>
      </c>
      <c r="M547" t="n">
        <v>0</v>
      </c>
      <c r="N547" t="n">
        <v>0</v>
      </c>
      <c r="O547" t="n">
        <v>0</v>
      </c>
      <c r="P547" t="n">
        <v>0</v>
      </c>
      <c r="Q547" t="n">
        <v>0</v>
      </c>
      <c r="R547" s="2" t="inlineStr"/>
    </row>
    <row r="548" ht="15" customHeight="1">
      <c r="A548" t="inlineStr">
        <is>
          <t>A 32097-2024</t>
        </is>
      </c>
      <c r="B548" s="1" t="n">
        <v>45511.39445601852</v>
      </c>
      <c r="C548" s="1" t="n">
        <v>46111</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32099-2024</t>
        </is>
      </c>
      <c r="B549" s="1" t="n">
        <v>45511.40297453704</v>
      </c>
      <c r="C549" s="1" t="n">
        <v>46111</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61360-2024</t>
        </is>
      </c>
      <c r="B550" s="1" t="n">
        <v>45646</v>
      </c>
      <c r="C550" s="1" t="n">
        <v>46111</v>
      </c>
      <c r="D550" t="inlineStr">
        <is>
          <t>ÖREBRO LÄN</t>
        </is>
      </c>
      <c r="E550" t="inlineStr">
        <is>
          <t>LINDESBERG</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3803-2023</t>
        </is>
      </c>
      <c r="B551" s="1" t="n">
        <v>44951.5830324074</v>
      </c>
      <c r="C551" s="1" t="n">
        <v>46111</v>
      </c>
      <c r="D551" t="inlineStr">
        <is>
          <t>ÖREBRO LÄN</t>
        </is>
      </c>
      <c r="E551" t="inlineStr">
        <is>
          <t>LINDESBERG</t>
        </is>
      </c>
      <c r="G551" t="n">
        <v>0.9</v>
      </c>
      <c r="H551" t="n">
        <v>0</v>
      </c>
      <c r="I551" t="n">
        <v>0</v>
      </c>
      <c r="J551" t="n">
        <v>0</v>
      </c>
      <c r="K551" t="n">
        <v>0</v>
      </c>
      <c r="L551" t="n">
        <v>0</v>
      </c>
      <c r="M551" t="n">
        <v>0</v>
      </c>
      <c r="N551" t="n">
        <v>0</v>
      </c>
      <c r="O551" t="n">
        <v>0</v>
      </c>
      <c r="P551" t="n">
        <v>0</v>
      </c>
      <c r="Q551" t="n">
        <v>0</v>
      </c>
      <c r="R551" s="2" t="inlineStr"/>
    </row>
    <row r="552" ht="15" customHeight="1">
      <c r="A552" t="inlineStr">
        <is>
          <t>A 60200-2024</t>
        </is>
      </c>
      <c r="B552" s="1" t="n">
        <v>45642.66184027777</v>
      </c>
      <c r="C552" s="1" t="n">
        <v>46111</v>
      </c>
      <c r="D552" t="inlineStr">
        <is>
          <t>ÖREBRO LÄN</t>
        </is>
      </c>
      <c r="E552" t="inlineStr">
        <is>
          <t>LINDESBERG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52402-2025</t>
        </is>
      </c>
      <c r="B553" s="1" t="n">
        <v>45954.35387731482</v>
      </c>
      <c r="C553" s="1" t="n">
        <v>46111</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25229-2021</t>
        </is>
      </c>
      <c r="B554" s="1" t="n">
        <v>44342.39703703704</v>
      </c>
      <c r="C554" s="1" t="n">
        <v>46111</v>
      </c>
      <c r="D554" t="inlineStr">
        <is>
          <t>ÖREBRO LÄN</t>
        </is>
      </c>
      <c r="E554" t="inlineStr">
        <is>
          <t>LINDESBERG</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33046-2025</t>
        </is>
      </c>
      <c r="B555" s="1" t="n">
        <v>45840</v>
      </c>
      <c r="C555" s="1" t="n">
        <v>46111</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32727-2024</t>
        </is>
      </c>
      <c r="B556" s="1" t="n">
        <v>45516.4221412037</v>
      </c>
      <c r="C556" s="1" t="n">
        <v>46111</v>
      </c>
      <c r="D556" t="inlineStr">
        <is>
          <t>ÖREBRO LÄN</t>
        </is>
      </c>
      <c r="E556" t="inlineStr">
        <is>
          <t>LINDESBERG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34093-2022</t>
        </is>
      </c>
      <c r="B557" s="1" t="n">
        <v>44791</v>
      </c>
      <c r="C557" s="1" t="n">
        <v>46111</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53723-2025</t>
        </is>
      </c>
      <c r="B558" s="1" t="n">
        <v>45960.62986111111</v>
      </c>
      <c r="C558" s="1" t="n">
        <v>46111</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53288-2025</t>
        </is>
      </c>
      <c r="B559" s="1" t="n">
        <v>45958.79287037037</v>
      </c>
      <c r="C559" s="1" t="n">
        <v>46111</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53721-2025</t>
        </is>
      </c>
      <c r="B560" s="1" t="n">
        <v>45960</v>
      </c>
      <c r="C560" s="1" t="n">
        <v>46111</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58697-2024</t>
        </is>
      </c>
      <c r="B561" s="1" t="n">
        <v>45635.63706018519</v>
      </c>
      <c r="C561" s="1" t="n">
        <v>46111</v>
      </c>
      <c r="D561" t="inlineStr">
        <is>
          <t>ÖREBRO LÄN</t>
        </is>
      </c>
      <c r="E561" t="inlineStr">
        <is>
          <t>LINDESBERG</t>
        </is>
      </c>
      <c r="G561" t="n">
        <v>25.1</v>
      </c>
      <c r="H561" t="n">
        <v>0</v>
      </c>
      <c r="I561" t="n">
        <v>0</v>
      </c>
      <c r="J561" t="n">
        <v>0</v>
      </c>
      <c r="K561" t="n">
        <v>0</v>
      </c>
      <c r="L561" t="n">
        <v>0</v>
      </c>
      <c r="M561" t="n">
        <v>0</v>
      </c>
      <c r="N561" t="n">
        <v>0</v>
      </c>
      <c r="O561" t="n">
        <v>0</v>
      </c>
      <c r="P561" t="n">
        <v>0</v>
      </c>
      <c r="Q561" t="n">
        <v>0</v>
      </c>
      <c r="R561" s="2" t="inlineStr"/>
    </row>
    <row r="562" ht="15" customHeight="1">
      <c r="A562" t="inlineStr">
        <is>
          <t>A 54070-2025</t>
        </is>
      </c>
      <c r="B562" s="1" t="n">
        <v>45964.34680555556</v>
      </c>
      <c r="C562" s="1" t="n">
        <v>46111</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54250-2025</t>
        </is>
      </c>
      <c r="B563" s="1" t="n">
        <v>45964.64709490741</v>
      </c>
      <c r="C563" s="1" t="n">
        <v>46111</v>
      </c>
      <c r="D563" t="inlineStr">
        <is>
          <t>ÖREBRO LÄN</t>
        </is>
      </c>
      <c r="E563" t="inlineStr">
        <is>
          <t>LINDESBERG</t>
        </is>
      </c>
      <c r="F563" t="inlineStr">
        <is>
          <t>Sveaskog</t>
        </is>
      </c>
      <c r="G563" t="n">
        <v>4.5</v>
      </c>
      <c r="H563" t="n">
        <v>0</v>
      </c>
      <c r="I563" t="n">
        <v>0</v>
      </c>
      <c r="J563" t="n">
        <v>0</v>
      </c>
      <c r="K563" t="n">
        <v>0</v>
      </c>
      <c r="L563" t="n">
        <v>0</v>
      </c>
      <c r="M563" t="n">
        <v>0</v>
      </c>
      <c r="N563" t="n">
        <v>0</v>
      </c>
      <c r="O563" t="n">
        <v>0</v>
      </c>
      <c r="P563" t="n">
        <v>0</v>
      </c>
      <c r="Q563" t="n">
        <v>0</v>
      </c>
      <c r="R563" s="2" t="inlineStr"/>
    </row>
    <row r="564" ht="15" customHeight="1">
      <c r="A564" t="inlineStr">
        <is>
          <t>A 54251-2025</t>
        </is>
      </c>
      <c r="B564" s="1" t="n">
        <v>45964.64778935185</v>
      </c>
      <c r="C564" s="1" t="n">
        <v>46111</v>
      </c>
      <c r="D564" t="inlineStr">
        <is>
          <t>ÖREBRO LÄN</t>
        </is>
      </c>
      <c r="E564" t="inlineStr">
        <is>
          <t>LINDESBERG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54240-2025</t>
        </is>
      </c>
      <c r="B565" s="1" t="n">
        <v>45964.62796296296</v>
      </c>
      <c r="C565" s="1" t="n">
        <v>46111</v>
      </c>
      <c r="D565" t="inlineStr">
        <is>
          <t>ÖREBRO LÄN</t>
        </is>
      </c>
      <c r="E565" t="inlineStr">
        <is>
          <t>LINDESBERG</t>
        </is>
      </c>
      <c r="G565" t="n">
        <v>3.9</v>
      </c>
      <c r="H565" t="n">
        <v>0</v>
      </c>
      <c r="I565" t="n">
        <v>0</v>
      </c>
      <c r="J565" t="n">
        <v>0</v>
      </c>
      <c r="K565" t="n">
        <v>0</v>
      </c>
      <c r="L565" t="n">
        <v>0</v>
      </c>
      <c r="M565" t="n">
        <v>0</v>
      </c>
      <c r="N565" t="n">
        <v>0</v>
      </c>
      <c r="O565" t="n">
        <v>0</v>
      </c>
      <c r="P565" t="n">
        <v>0</v>
      </c>
      <c r="Q565" t="n">
        <v>0</v>
      </c>
      <c r="R565" s="2" t="inlineStr"/>
    </row>
    <row r="566" ht="15" customHeight="1">
      <c r="A566" t="inlineStr">
        <is>
          <t>A 54072-2025</t>
        </is>
      </c>
      <c r="B566" s="1" t="n">
        <v>45964.3550925926</v>
      </c>
      <c r="C566" s="1" t="n">
        <v>46111</v>
      </c>
      <c r="D566" t="inlineStr">
        <is>
          <t>ÖREBRO LÄN</t>
        </is>
      </c>
      <c r="E566" t="inlineStr">
        <is>
          <t>LINDESBERG</t>
        </is>
      </c>
      <c r="G566" t="n">
        <v>1.3</v>
      </c>
      <c r="H566" t="n">
        <v>0</v>
      </c>
      <c r="I566" t="n">
        <v>0</v>
      </c>
      <c r="J566" t="n">
        <v>0</v>
      </c>
      <c r="K566" t="n">
        <v>0</v>
      </c>
      <c r="L566" t="n">
        <v>0</v>
      </c>
      <c r="M566" t="n">
        <v>0</v>
      </c>
      <c r="N566" t="n">
        <v>0</v>
      </c>
      <c r="O566" t="n">
        <v>0</v>
      </c>
      <c r="P566" t="n">
        <v>0</v>
      </c>
      <c r="Q566" t="n">
        <v>0</v>
      </c>
      <c r="R566" s="2" t="inlineStr"/>
    </row>
    <row r="567" ht="15" customHeight="1">
      <c r="A567" t="inlineStr">
        <is>
          <t>A 17115-2025</t>
        </is>
      </c>
      <c r="B567" s="1" t="n">
        <v>45755.68247685185</v>
      </c>
      <c r="C567" s="1" t="n">
        <v>46111</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46111</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16054-2022</t>
        </is>
      </c>
      <c r="B569" s="1" t="n">
        <v>44665</v>
      </c>
      <c r="C569" s="1" t="n">
        <v>46111</v>
      </c>
      <c r="D569" t="inlineStr">
        <is>
          <t>ÖREBRO LÄN</t>
        </is>
      </c>
      <c r="E569" t="inlineStr">
        <is>
          <t>LINDESBERG</t>
        </is>
      </c>
      <c r="G569" t="n">
        <v>6.9</v>
      </c>
      <c r="H569" t="n">
        <v>0</v>
      </c>
      <c r="I569" t="n">
        <v>0</v>
      </c>
      <c r="J569" t="n">
        <v>0</v>
      </c>
      <c r="K569" t="n">
        <v>0</v>
      </c>
      <c r="L569" t="n">
        <v>0</v>
      </c>
      <c r="M569" t="n">
        <v>0</v>
      </c>
      <c r="N569" t="n">
        <v>0</v>
      </c>
      <c r="O569" t="n">
        <v>0</v>
      </c>
      <c r="P569" t="n">
        <v>0</v>
      </c>
      <c r="Q569" t="n">
        <v>0</v>
      </c>
      <c r="R569" s="2" t="inlineStr"/>
    </row>
    <row r="570" ht="15" customHeight="1">
      <c r="A570" t="inlineStr">
        <is>
          <t>A 36136-2023</t>
        </is>
      </c>
      <c r="B570" s="1" t="n">
        <v>45149</v>
      </c>
      <c r="C570" s="1" t="n">
        <v>46111</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5235-2026</t>
        </is>
      </c>
      <c r="B571" s="1" t="n">
        <v>46049.84017361111</v>
      </c>
      <c r="C571" s="1" t="n">
        <v>46111</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46111</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46111</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40450-2023</t>
        </is>
      </c>
      <c r="B574" s="1" t="n">
        <v>45170</v>
      </c>
      <c r="C574" s="1" t="n">
        <v>46111</v>
      </c>
      <c r="D574" t="inlineStr">
        <is>
          <t>ÖREBRO LÄN</t>
        </is>
      </c>
      <c r="E574" t="inlineStr">
        <is>
          <t>LINDESBERG</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22824-2023</t>
        </is>
      </c>
      <c r="B575" s="1" t="n">
        <v>45072</v>
      </c>
      <c r="C575" s="1" t="n">
        <v>46111</v>
      </c>
      <c r="D575" t="inlineStr">
        <is>
          <t>ÖREBRO LÄN</t>
        </is>
      </c>
      <c r="E575" t="inlineStr">
        <is>
          <t>LINDESBERG</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46111</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34237-2023</t>
        </is>
      </c>
      <c r="B577" s="1" t="n">
        <v>45138</v>
      </c>
      <c r="C577" s="1" t="n">
        <v>46111</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32994-2023</t>
        </is>
      </c>
      <c r="B578" s="1" t="n">
        <v>45113</v>
      </c>
      <c r="C578" s="1" t="n">
        <v>46111</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55255-2025</t>
        </is>
      </c>
      <c r="B579" s="1" t="n">
        <v>45968.63695601852</v>
      </c>
      <c r="C579" s="1" t="n">
        <v>46111</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36170-2021</t>
        </is>
      </c>
      <c r="B580" s="1" t="n">
        <v>44389</v>
      </c>
      <c r="C580" s="1" t="n">
        <v>46111</v>
      </c>
      <c r="D580" t="inlineStr">
        <is>
          <t>ÖREBRO LÄN</t>
        </is>
      </c>
      <c r="E580" t="inlineStr">
        <is>
          <t>LINDESBERG</t>
        </is>
      </c>
      <c r="G580" t="n">
        <v>0.4</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46111</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5715-2026</t>
        </is>
      </c>
      <c r="B582" s="1" t="n">
        <v>46051.53563657407</v>
      </c>
      <c r="C582" s="1" t="n">
        <v>46111</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10822-2023</t>
        </is>
      </c>
      <c r="B583" s="1" t="n">
        <v>44990</v>
      </c>
      <c r="C583" s="1" t="n">
        <v>46111</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55477-2025</t>
        </is>
      </c>
      <c r="B584" s="1" t="n">
        <v>45971.56197916667</v>
      </c>
      <c r="C584" s="1" t="n">
        <v>46111</v>
      </c>
      <c r="D584" t="inlineStr">
        <is>
          <t>ÖREBRO LÄN</t>
        </is>
      </c>
      <c r="E584" t="inlineStr">
        <is>
          <t>LINDESBERG</t>
        </is>
      </c>
      <c r="G584" t="n">
        <v>1.2</v>
      </c>
      <c r="H584" t="n">
        <v>0</v>
      </c>
      <c r="I584" t="n">
        <v>0</v>
      </c>
      <c r="J584" t="n">
        <v>0</v>
      </c>
      <c r="K584" t="n">
        <v>0</v>
      </c>
      <c r="L584" t="n">
        <v>0</v>
      </c>
      <c r="M584" t="n">
        <v>0</v>
      </c>
      <c r="N584" t="n">
        <v>0</v>
      </c>
      <c r="O584" t="n">
        <v>0</v>
      </c>
      <c r="P584" t="n">
        <v>0</v>
      </c>
      <c r="Q584" t="n">
        <v>0</v>
      </c>
      <c r="R584" s="2" t="inlineStr"/>
    </row>
    <row r="585" ht="15" customHeight="1">
      <c r="A585" t="inlineStr">
        <is>
          <t>A 55490-2025</t>
        </is>
      </c>
      <c r="B585" s="1" t="n">
        <v>45971.57659722222</v>
      </c>
      <c r="C585" s="1" t="n">
        <v>46111</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46111</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56232-2025</t>
        </is>
      </c>
      <c r="B587" s="1" t="n">
        <v>45974.53239583333</v>
      </c>
      <c r="C587" s="1" t="n">
        <v>46111</v>
      </c>
      <c r="D587" t="inlineStr">
        <is>
          <t>ÖREBRO LÄN</t>
        </is>
      </c>
      <c r="E587" t="inlineStr">
        <is>
          <t>LINDESBERG</t>
        </is>
      </c>
      <c r="G587" t="n">
        <v>3.2</v>
      </c>
      <c r="H587" t="n">
        <v>0</v>
      </c>
      <c r="I587" t="n">
        <v>0</v>
      </c>
      <c r="J587" t="n">
        <v>0</v>
      </c>
      <c r="K587" t="n">
        <v>0</v>
      </c>
      <c r="L587" t="n">
        <v>0</v>
      </c>
      <c r="M587" t="n">
        <v>0</v>
      </c>
      <c r="N587" t="n">
        <v>0</v>
      </c>
      <c r="O587" t="n">
        <v>0</v>
      </c>
      <c r="P587" t="n">
        <v>0</v>
      </c>
      <c r="Q587" t="n">
        <v>0</v>
      </c>
      <c r="R587" s="2" t="inlineStr"/>
    </row>
    <row r="588" ht="15" customHeight="1">
      <c r="A588" t="inlineStr">
        <is>
          <t>A 5928-2026</t>
        </is>
      </c>
      <c r="B588" s="1" t="n">
        <v>46052.46519675926</v>
      </c>
      <c r="C588" s="1" t="n">
        <v>46111</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5717-2026</t>
        </is>
      </c>
      <c r="B589" s="1" t="n">
        <v>46051.53689814815</v>
      </c>
      <c r="C589" s="1" t="n">
        <v>46111</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9198-2025</t>
        </is>
      </c>
      <c r="B590" s="1" t="n">
        <v>45714</v>
      </c>
      <c r="C590" s="1" t="n">
        <v>46111</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56308-2025</t>
        </is>
      </c>
      <c r="B591" s="1" t="n">
        <v>45974.61344907407</v>
      </c>
      <c r="C591" s="1" t="n">
        <v>46111</v>
      </c>
      <c r="D591" t="inlineStr">
        <is>
          <t>ÖREBRO LÄN</t>
        </is>
      </c>
      <c r="E591" t="inlineStr">
        <is>
          <t>LINDESBERG</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56226-2025</t>
        </is>
      </c>
      <c r="B592" s="1" t="n">
        <v>45974.51283564815</v>
      </c>
      <c r="C592" s="1" t="n">
        <v>46111</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16618-2023</t>
        </is>
      </c>
      <c r="B593" s="1" t="n">
        <v>45030</v>
      </c>
      <c r="C593" s="1" t="n">
        <v>46111</v>
      </c>
      <c r="D593" t="inlineStr">
        <is>
          <t>ÖREBRO LÄN</t>
        </is>
      </c>
      <c r="E593" t="inlineStr">
        <is>
          <t>LINDESBERG</t>
        </is>
      </c>
      <c r="F593" t="inlineStr">
        <is>
          <t>Kommuner</t>
        </is>
      </c>
      <c r="G593" t="n">
        <v>4.6</v>
      </c>
      <c r="H593" t="n">
        <v>0</v>
      </c>
      <c r="I593" t="n">
        <v>0</v>
      </c>
      <c r="J593" t="n">
        <v>0</v>
      </c>
      <c r="K593" t="n">
        <v>0</v>
      </c>
      <c r="L593" t="n">
        <v>0</v>
      </c>
      <c r="M593" t="n">
        <v>0</v>
      </c>
      <c r="N593" t="n">
        <v>0</v>
      </c>
      <c r="O593" t="n">
        <v>0</v>
      </c>
      <c r="P593" t="n">
        <v>0</v>
      </c>
      <c r="Q593" t="n">
        <v>0</v>
      </c>
      <c r="R593" s="2" t="inlineStr"/>
    </row>
    <row r="594" ht="15" customHeight="1">
      <c r="A594" t="inlineStr">
        <is>
          <t>A 56306-2025</t>
        </is>
      </c>
      <c r="B594" s="1" t="n">
        <v>45974.61217592593</v>
      </c>
      <c r="C594" s="1" t="n">
        <v>46111</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4298-2025</t>
        </is>
      </c>
      <c r="B595" s="1" t="n">
        <v>45685</v>
      </c>
      <c r="C595" s="1" t="n">
        <v>46111</v>
      </c>
      <c r="D595" t="inlineStr">
        <is>
          <t>ÖREBRO LÄN</t>
        </is>
      </c>
      <c r="E595" t="inlineStr">
        <is>
          <t>LINDESBERG</t>
        </is>
      </c>
      <c r="G595" t="n">
        <v>13.5</v>
      </c>
      <c r="H595" t="n">
        <v>0</v>
      </c>
      <c r="I595" t="n">
        <v>0</v>
      </c>
      <c r="J595" t="n">
        <v>0</v>
      </c>
      <c r="K595" t="n">
        <v>0</v>
      </c>
      <c r="L595" t="n">
        <v>0</v>
      </c>
      <c r="M595" t="n">
        <v>0</v>
      </c>
      <c r="N595" t="n">
        <v>0</v>
      </c>
      <c r="O595" t="n">
        <v>0</v>
      </c>
      <c r="P595" t="n">
        <v>0</v>
      </c>
      <c r="Q595" t="n">
        <v>0</v>
      </c>
      <c r="R595" s="2" t="inlineStr"/>
    </row>
    <row r="596" ht="15" customHeight="1">
      <c r="A596" t="inlineStr">
        <is>
          <t>A 4999-2025</t>
        </is>
      </c>
      <c r="B596" s="1" t="n">
        <v>45691.36253472222</v>
      </c>
      <c r="C596" s="1" t="n">
        <v>46111</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56982-2025</t>
        </is>
      </c>
      <c r="B597" s="1" t="n">
        <v>45978.71075231482</v>
      </c>
      <c r="C597" s="1" t="n">
        <v>46111</v>
      </c>
      <c r="D597" t="inlineStr">
        <is>
          <t>ÖREBRO LÄN</t>
        </is>
      </c>
      <c r="E597" t="inlineStr">
        <is>
          <t>LINDESBERG</t>
        </is>
      </c>
      <c r="G597" t="n">
        <v>4.3</v>
      </c>
      <c r="H597" t="n">
        <v>0</v>
      </c>
      <c r="I597" t="n">
        <v>0</v>
      </c>
      <c r="J597" t="n">
        <v>0</v>
      </c>
      <c r="K597" t="n">
        <v>0</v>
      </c>
      <c r="L597" t="n">
        <v>0</v>
      </c>
      <c r="M597" t="n">
        <v>0</v>
      </c>
      <c r="N597" t="n">
        <v>0</v>
      </c>
      <c r="O597" t="n">
        <v>0</v>
      </c>
      <c r="P597" t="n">
        <v>0</v>
      </c>
      <c r="Q597" t="n">
        <v>0</v>
      </c>
      <c r="R597" s="2" t="inlineStr"/>
    </row>
    <row r="598" ht="15" customHeight="1">
      <c r="A598" t="inlineStr">
        <is>
          <t>A 33574-2024</t>
        </is>
      </c>
      <c r="B598" s="1" t="n">
        <v>45520.32887731482</v>
      </c>
      <c r="C598" s="1" t="n">
        <v>46111</v>
      </c>
      <c r="D598" t="inlineStr">
        <is>
          <t>ÖREBRO LÄN</t>
        </is>
      </c>
      <c r="E598" t="inlineStr">
        <is>
          <t>LINDESBERG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46111</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15892-2025</t>
        </is>
      </c>
      <c r="B600" s="1" t="n">
        <v>45749</v>
      </c>
      <c r="C600" s="1" t="n">
        <v>46111</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34003-2025</t>
        </is>
      </c>
      <c r="B601" s="1" t="n">
        <v>45844.57527777777</v>
      </c>
      <c r="C601" s="1" t="n">
        <v>46111</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34097-2025</t>
        </is>
      </c>
      <c r="B602" s="1" t="n">
        <v>45845.4855787037</v>
      </c>
      <c r="C602" s="1" t="n">
        <v>46111</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34104-2025</t>
        </is>
      </c>
      <c r="B603" s="1" t="n">
        <v>45845.49216435185</v>
      </c>
      <c r="C603" s="1" t="n">
        <v>46111</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34004-2025</t>
        </is>
      </c>
      <c r="B604" s="1" t="n">
        <v>45844.5775</v>
      </c>
      <c r="C604" s="1" t="n">
        <v>46111</v>
      </c>
      <c r="D604" t="inlineStr">
        <is>
          <t>ÖREBRO LÄN</t>
        </is>
      </c>
      <c r="E604" t="inlineStr">
        <is>
          <t>LINDESBERG</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46111</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34267-2025</t>
        </is>
      </c>
      <c r="B606" s="1" t="n">
        <v>45845.76005787037</v>
      </c>
      <c r="C606" s="1" t="n">
        <v>46111</v>
      </c>
      <c r="D606" t="inlineStr">
        <is>
          <t>ÖREBRO LÄN</t>
        </is>
      </c>
      <c r="E606" t="inlineStr">
        <is>
          <t>LINDESBERG</t>
        </is>
      </c>
      <c r="G606" t="n">
        <v>4.6</v>
      </c>
      <c r="H606" t="n">
        <v>0</v>
      </c>
      <c r="I606" t="n">
        <v>0</v>
      </c>
      <c r="J606" t="n">
        <v>0</v>
      </c>
      <c r="K606" t="n">
        <v>0</v>
      </c>
      <c r="L606" t="n">
        <v>0</v>
      </c>
      <c r="M606" t="n">
        <v>0</v>
      </c>
      <c r="N606" t="n">
        <v>0</v>
      </c>
      <c r="O606" t="n">
        <v>0</v>
      </c>
      <c r="P606" t="n">
        <v>0</v>
      </c>
      <c r="Q606" t="n">
        <v>0</v>
      </c>
      <c r="R606" s="2" t="inlineStr"/>
    </row>
    <row r="607" ht="15" customHeight="1">
      <c r="A607" t="inlineStr">
        <is>
          <t>A 14034-2026</t>
        </is>
      </c>
      <c r="B607" s="1" t="n">
        <v>46098.79559027778</v>
      </c>
      <c r="C607" s="1" t="n">
        <v>46111</v>
      </c>
      <c r="D607" t="inlineStr">
        <is>
          <t>ÖREBRO LÄN</t>
        </is>
      </c>
      <c r="E607" t="inlineStr">
        <is>
          <t>LINDESBERG</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34002-2025</t>
        </is>
      </c>
      <c r="B608" s="1" t="n">
        <v>45844.57328703703</v>
      </c>
      <c r="C608" s="1" t="n">
        <v>46111</v>
      </c>
      <c r="D608" t="inlineStr">
        <is>
          <t>ÖREBRO LÄN</t>
        </is>
      </c>
      <c r="E608" t="inlineStr">
        <is>
          <t>LINDESBERG</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6520-2026</t>
        </is>
      </c>
      <c r="B609" s="1" t="n">
        <v>46056.40149305556</v>
      </c>
      <c r="C609" s="1" t="n">
        <v>46111</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6524-2026</t>
        </is>
      </c>
      <c r="B610" s="1" t="n">
        <v>46056.40425925926</v>
      </c>
      <c r="C610" s="1" t="n">
        <v>46111</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28082-2021</t>
        </is>
      </c>
      <c r="B611" s="1" t="n">
        <v>44355</v>
      </c>
      <c r="C611" s="1" t="n">
        <v>46111</v>
      </c>
      <c r="D611" t="inlineStr">
        <is>
          <t>ÖREBRO LÄN</t>
        </is>
      </c>
      <c r="E611" t="inlineStr">
        <is>
          <t>LINDESBERG</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57911-2022</t>
        </is>
      </c>
      <c r="B612" s="1" t="n">
        <v>44900.36149305556</v>
      </c>
      <c r="C612" s="1" t="n">
        <v>46111</v>
      </c>
      <c r="D612" t="inlineStr">
        <is>
          <t>ÖREBRO LÄN</t>
        </is>
      </c>
      <c r="E612" t="inlineStr">
        <is>
          <t>LINDESBERG</t>
        </is>
      </c>
      <c r="G612" t="n">
        <v>4.9</v>
      </c>
      <c r="H612" t="n">
        <v>0</v>
      </c>
      <c r="I612" t="n">
        <v>0</v>
      </c>
      <c r="J612" t="n">
        <v>0</v>
      </c>
      <c r="K612" t="n">
        <v>0</v>
      </c>
      <c r="L612" t="n">
        <v>0</v>
      </c>
      <c r="M612" t="n">
        <v>0</v>
      </c>
      <c r="N612" t="n">
        <v>0</v>
      </c>
      <c r="O612" t="n">
        <v>0</v>
      </c>
      <c r="P612" t="n">
        <v>0</v>
      </c>
      <c r="Q612" t="n">
        <v>0</v>
      </c>
      <c r="R612" s="2" t="inlineStr"/>
    </row>
    <row r="613" ht="15" customHeight="1">
      <c r="A613" t="inlineStr">
        <is>
          <t>A 6616-2026</t>
        </is>
      </c>
      <c r="B613" s="1" t="n">
        <v>46056.49075231481</v>
      </c>
      <c r="C613" s="1" t="n">
        <v>46111</v>
      </c>
      <c r="D613" t="inlineStr">
        <is>
          <t>ÖREBRO LÄN</t>
        </is>
      </c>
      <c r="E613" t="inlineStr">
        <is>
          <t>LINDESBERG</t>
        </is>
      </c>
      <c r="G613" t="n">
        <v>9</v>
      </c>
      <c r="H613" t="n">
        <v>0</v>
      </c>
      <c r="I613" t="n">
        <v>0</v>
      </c>
      <c r="J613" t="n">
        <v>0</v>
      </c>
      <c r="K613" t="n">
        <v>0</v>
      </c>
      <c r="L613" t="n">
        <v>0</v>
      </c>
      <c r="M613" t="n">
        <v>0</v>
      </c>
      <c r="N613" t="n">
        <v>0</v>
      </c>
      <c r="O613" t="n">
        <v>0</v>
      </c>
      <c r="P613" t="n">
        <v>0</v>
      </c>
      <c r="Q613" t="n">
        <v>0</v>
      </c>
      <c r="R613" s="2" t="inlineStr"/>
    </row>
    <row r="614" ht="15" customHeight="1">
      <c r="A614" t="inlineStr">
        <is>
          <t>A 64427-2021</t>
        </is>
      </c>
      <c r="B614" s="1" t="n">
        <v>44511</v>
      </c>
      <c r="C614" s="1" t="n">
        <v>46111</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5677-2025</t>
        </is>
      </c>
      <c r="B615" s="1" t="n">
        <v>45694</v>
      </c>
      <c r="C615" s="1" t="n">
        <v>46111</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24916-2022</t>
        </is>
      </c>
      <c r="B616" s="1" t="n">
        <v>44728</v>
      </c>
      <c r="C616" s="1" t="n">
        <v>46111</v>
      </c>
      <c r="D616" t="inlineStr">
        <is>
          <t>ÖREBRO LÄN</t>
        </is>
      </c>
      <c r="E616" t="inlineStr">
        <is>
          <t>LINDESBERG</t>
        </is>
      </c>
      <c r="G616" t="n">
        <v>8.1</v>
      </c>
      <c r="H616" t="n">
        <v>0</v>
      </c>
      <c r="I616" t="n">
        <v>0</v>
      </c>
      <c r="J616" t="n">
        <v>0</v>
      </c>
      <c r="K616" t="n">
        <v>0</v>
      </c>
      <c r="L616" t="n">
        <v>0</v>
      </c>
      <c r="M616" t="n">
        <v>0</v>
      </c>
      <c r="N616" t="n">
        <v>0</v>
      </c>
      <c r="O616" t="n">
        <v>0</v>
      </c>
      <c r="P616" t="n">
        <v>0</v>
      </c>
      <c r="Q616" t="n">
        <v>0</v>
      </c>
      <c r="R616" s="2" t="inlineStr"/>
    </row>
    <row r="617" ht="15" customHeight="1">
      <c r="A617" t="inlineStr">
        <is>
          <t>A 1681-2025</t>
        </is>
      </c>
      <c r="B617" s="1" t="n">
        <v>45670.69458333333</v>
      </c>
      <c r="C617" s="1" t="n">
        <v>46111</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7069-2026</t>
        </is>
      </c>
      <c r="B618" s="1" t="n">
        <v>46058.30956018518</v>
      </c>
      <c r="C618" s="1" t="n">
        <v>46111</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7098-2026</t>
        </is>
      </c>
      <c r="B619" s="1" t="n">
        <v>46058.35196759259</v>
      </c>
      <c r="C619" s="1" t="n">
        <v>46111</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36670-2024</t>
        </is>
      </c>
      <c r="B620" s="1" t="n">
        <v>45537.64621527777</v>
      </c>
      <c r="C620" s="1" t="n">
        <v>46111</v>
      </c>
      <c r="D620" t="inlineStr">
        <is>
          <t>ÖREBRO LÄN</t>
        </is>
      </c>
      <c r="E620" t="inlineStr">
        <is>
          <t>LINDESBERG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3756-2026</t>
        </is>
      </c>
      <c r="B621" s="1" t="n">
        <v>46043</v>
      </c>
      <c r="C621" s="1" t="n">
        <v>46111</v>
      </c>
      <c r="D621" t="inlineStr">
        <is>
          <t>ÖREBRO LÄN</t>
        </is>
      </c>
      <c r="E621" t="inlineStr">
        <is>
          <t>LINDESBERG</t>
        </is>
      </c>
      <c r="G621" t="n">
        <v>6.3</v>
      </c>
      <c r="H621" t="n">
        <v>0</v>
      </c>
      <c r="I621" t="n">
        <v>0</v>
      </c>
      <c r="J621" t="n">
        <v>0</v>
      </c>
      <c r="K621" t="n">
        <v>0</v>
      </c>
      <c r="L621" t="n">
        <v>0</v>
      </c>
      <c r="M621" t="n">
        <v>0</v>
      </c>
      <c r="N621" t="n">
        <v>0</v>
      </c>
      <c r="O621" t="n">
        <v>0</v>
      </c>
      <c r="P621" t="n">
        <v>0</v>
      </c>
      <c r="Q621" t="n">
        <v>0</v>
      </c>
      <c r="R621" s="2" t="inlineStr"/>
    </row>
    <row r="622" ht="15" customHeight="1">
      <c r="A622" t="inlineStr">
        <is>
          <t>A 35292-2025</t>
        </is>
      </c>
      <c r="B622" s="1" t="n">
        <v>45854</v>
      </c>
      <c r="C622" s="1" t="n">
        <v>46111</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19077-2025</t>
        </is>
      </c>
      <c r="B623" s="1" t="n">
        <v>45766.33309027777</v>
      </c>
      <c r="C623" s="1" t="n">
        <v>46111</v>
      </c>
      <c r="D623" t="inlineStr">
        <is>
          <t>ÖREBRO LÄN</t>
        </is>
      </c>
      <c r="E623" t="inlineStr">
        <is>
          <t>LINDESBERG</t>
        </is>
      </c>
      <c r="G623" t="n">
        <v>0</v>
      </c>
      <c r="H623" t="n">
        <v>0</v>
      </c>
      <c r="I623" t="n">
        <v>0</v>
      </c>
      <c r="J623" t="n">
        <v>0</v>
      </c>
      <c r="K623" t="n">
        <v>0</v>
      </c>
      <c r="L623" t="n">
        <v>0</v>
      </c>
      <c r="M623" t="n">
        <v>0</v>
      </c>
      <c r="N623" t="n">
        <v>0</v>
      </c>
      <c r="O623" t="n">
        <v>0</v>
      </c>
      <c r="P623" t="n">
        <v>0</v>
      </c>
      <c r="Q623" t="n">
        <v>0</v>
      </c>
      <c r="R623" s="2" t="inlineStr"/>
    </row>
    <row r="624" ht="15" customHeight="1">
      <c r="A624" t="inlineStr">
        <is>
          <t>A 7202-2026</t>
        </is>
      </c>
      <c r="B624" s="1" t="n">
        <v>46058.52864583334</v>
      </c>
      <c r="C624" s="1" t="n">
        <v>46111</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49544-2023</t>
        </is>
      </c>
      <c r="B625" s="1" t="n">
        <v>45211</v>
      </c>
      <c r="C625" s="1" t="n">
        <v>46111</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35366-2025</t>
        </is>
      </c>
      <c r="B626" s="1" t="n">
        <v>45854</v>
      </c>
      <c r="C626" s="1" t="n">
        <v>46111</v>
      </c>
      <c r="D626" t="inlineStr">
        <is>
          <t>ÖREBRO LÄN</t>
        </is>
      </c>
      <c r="E626" t="inlineStr">
        <is>
          <t>LINDESBERG</t>
        </is>
      </c>
      <c r="G626" t="n">
        <v>5.5</v>
      </c>
      <c r="H626" t="n">
        <v>0</v>
      </c>
      <c r="I626" t="n">
        <v>0</v>
      </c>
      <c r="J626" t="n">
        <v>0</v>
      </c>
      <c r="K626" t="n">
        <v>0</v>
      </c>
      <c r="L626" t="n">
        <v>0</v>
      </c>
      <c r="M626" t="n">
        <v>0</v>
      </c>
      <c r="N626" t="n">
        <v>0</v>
      </c>
      <c r="O626" t="n">
        <v>0</v>
      </c>
      <c r="P626" t="n">
        <v>0</v>
      </c>
      <c r="Q626" t="n">
        <v>0</v>
      </c>
      <c r="R626" s="2" t="inlineStr"/>
    </row>
    <row r="627" ht="15" customHeight="1">
      <c r="A627" t="inlineStr">
        <is>
          <t>A 35702-2025</t>
        </is>
      </c>
      <c r="B627" s="1" t="n">
        <v>45860.36222222223</v>
      </c>
      <c r="C627" s="1" t="n">
        <v>46111</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35710-2025</t>
        </is>
      </c>
      <c r="B628" s="1" t="n">
        <v>45860.3857175926</v>
      </c>
      <c r="C628" s="1" t="n">
        <v>46111</v>
      </c>
      <c r="D628" t="inlineStr">
        <is>
          <t>ÖREBRO LÄN</t>
        </is>
      </c>
      <c r="E628" t="inlineStr">
        <is>
          <t>LINDESBERG</t>
        </is>
      </c>
      <c r="G628" t="n">
        <v>3.2</v>
      </c>
      <c r="H628" t="n">
        <v>0</v>
      </c>
      <c r="I628" t="n">
        <v>0</v>
      </c>
      <c r="J628" t="n">
        <v>0</v>
      </c>
      <c r="K628" t="n">
        <v>0</v>
      </c>
      <c r="L628" t="n">
        <v>0</v>
      </c>
      <c r="M628" t="n">
        <v>0</v>
      </c>
      <c r="N628" t="n">
        <v>0</v>
      </c>
      <c r="O628" t="n">
        <v>0</v>
      </c>
      <c r="P628" t="n">
        <v>0</v>
      </c>
      <c r="Q628" t="n">
        <v>0</v>
      </c>
      <c r="R628" s="2" t="inlineStr"/>
    </row>
    <row r="629" ht="15" customHeight="1">
      <c r="A629" t="inlineStr">
        <is>
          <t>A 15094-2025</t>
        </is>
      </c>
      <c r="B629" s="1" t="n">
        <v>45744.32981481482</v>
      </c>
      <c r="C629" s="1" t="n">
        <v>46111</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6989-2026</t>
        </is>
      </c>
      <c r="B630" s="1" t="n">
        <v>46057.60342592592</v>
      </c>
      <c r="C630" s="1" t="n">
        <v>46111</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7121-2026</t>
        </is>
      </c>
      <c r="B631" s="1" t="n">
        <v>46058.38300925926</v>
      </c>
      <c r="C631" s="1" t="n">
        <v>46111</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13969-2025</t>
        </is>
      </c>
      <c r="B632" s="1" t="n">
        <v>45738.43714120371</v>
      </c>
      <c r="C632" s="1" t="n">
        <v>46111</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47304-2024</t>
        </is>
      </c>
      <c r="B633" s="1" t="n">
        <v>45587</v>
      </c>
      <c r="C633" s="1" t="n">
        <v>46111</v>
      </c>
      <c r="D633" t="inlineStr">
        <is>
          <t>ÖREBRO LÄN</t>
        </is>
      </c>
      <c r="E633" t="inlineStr">
        <is>
          <t>LINDESBERG</t>
        </is>
      </c>
      <c r="G633" t="n">
        <v>1</v>
      </c>
      <c r="H633" t="n">
        <v>0</v>
      </c>
      <c r="I633" t="n">
        <v>0</v>
      </c>
      <c r="J633" t="n">
        <v>0</v>
      </c>
      <c r="K633" t="n">
        <v>0</v>
      </c>
      <c r="L633" t="n">
        <v>0</v>
      </c>
      <c r="M633" t="n">
        <v>0</v>
      </c>
      <c r="N633" t="n">
        <v>0</v>
      </c>
      <c r="O633" t="n">
        <v>0</v>
      </c>
      <c r="P633" t="n">
        <v>0</v>
      </c>
      <c r="Q633" t="n">
        <v>0</v>
      </c>
      <c r="R633" s="2" t="inlineStr"/>
    </row>
    <row r="634" ht="15" customHeight="1">
      <c r="A634" t="inlineStr">
        <is>
          <t>A 24352-2023</t>
        </is>
      </c>
      <c r="B634" s="1" t="n">
        <v>45082.31421296296</v>
      </c>
      <c r="C634" s="1" t="n">
        <v>46111</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484-2022</t>
        </is>
      </c>
      <c r="B635" s="1" t="n">
        <v>44566</v>
      </c>
      <c r="C635" s="1" t="n">
        <v>46111</v>
      </c>
      <c r="D635" t="inlineStr">
        <is>
          <t>ÖREBRO LÄN</t>
        </is>
      </c>
      <c r="E635" t="inlineStr">
        <is>
          <t>LINDESBERG</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36024-2021</t>
        </is>
      </c>
      <c r="B636" s="1" t="n">
        <v>44389</v>
      </c>
      <c r="C636" s="1" t="n">
        <v>46111</v>
      </c>
      <c r="D636" t="inlineStr">
        <is>
          <t>ÖREBRO LÄN</t>
        </is>
      </c>
      <c r="E636" t="inlineStr">
        <is>
          <t>LINDESBERG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10823-2023</t>
        </is>
      </c>
      <c r="B637" s="1" t="n">
        <v>44990</v>
      </c>
      <c r="C637" s="1" t="n">
        <v>46111</v>
      </c>
      <c r="D637" t="inlineStr">
        <is>
          <t>ÖREBRO LÄN</t>
        </is>
      </c>
      <c r="E637" t="inlineStr">
        <is>
          <t>LINDESBERG</t>
        </is>
      </c>
      <c r="G637" t="n">
        <v>1.8</v>
      </c>
      <c r="H637" t="n">
        <v>0</v>
      </c>
      <c r="I637" t="n">
        <v>0</v>
      </c>
      <c r="J637" t="n">
        <v>0</v>
      </c>
      <c r="K637" t="n">
        <v>0</v>
      </c>
      <c r="L637" t="n">
        <v>0</v>
      </c>
      <c r="M637" t="n">
        <v>0</v>
      </c>
      <c r="N637" t="n">
        <v>0</v>
      </c>
      <c r="O637" t="n">
        <v>0</v>
      </c>
      <c r="P637" t="n">
        <v>0</v>
      </c>
      <c r="Q637" t="n">
        <v>0</v>
      </c>
      <c r="R637" s="2" t="inlineStr"/>
    </row>
    <row r="638" ht="15" customHeight="1">
      <c r="A638" t="inlineStr">
        <is>
          <t>A 45173-2024</t>
        </is>
      </c>
      <c r="B638" s="1" t="n">
        <v>45575.65721064815</v>
      </c>
      <c r="C638" s="1" t="n">
        <v>46111</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15050-2026</t>
        </is>
      </c>
      <c r="B639" s="1" t="n">
        <v>46104.67331018519</v>
      </c>
      <c r="C639" s="1" t="n">
        <v>46111</v>
      </c>
      <c r="D639" t="inlineStr">
        <is>
          <t>ÖREBRO LÄN</t>
        </is>
      </c>
      <c r="E639" t="inlineStr">
        <is>
          <t>LINDESBERG</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30514-2025</t>
        </is>
      </c>
      <c r="B640" s="1" t="n">
        <v>45831</v>
      </c>
      <c r="C640" s="1" t="n">
        <v>46111</v>
      </c>
      <c r="D640" t="inlineStr">
        <is>
          <t>ÖREBRO LÄN</t>
        </is>
      </c>
      <c r="E640" t="inlineStr">
        <is>
          <t>LINDESBERG</t>
        </is>
      </c>
      <c r="G640" t="n">
        <v>1.6</v>
      </c>
      <c r="H640" t="n">
        <v>0</v>
      </c>
      <c r="I640" t="n">
        <v>0</v>
      </c>
      <c r="J640" t="n">
        <v>0</v>
      </c>
      <c r="K640" t="n">
        <v>0</v>
      </c>
      <c r="L640" t="n">
        <v>0</v>
      </c>
      <c r="M640" t="n">
        <v>0</v>
      </c>
      <c r="N640" t="n">
        <v>0</v>
      </c>
      <c r="O640" t="n">
        <v>0</v>
      </c>
      <c r="P640" t="n">
        <v>0</v>
      </c>
      <c r="Q640" t="n">
        <v>0</v>
      </c>
      <c r="R640" s="2" t="inlineStr"/>
    </row>
    <row r="641" ht="15" customHeight="1">
      <c r="A641" t="inlineStr">
        <is>
          <t>A 36253-2024</t>
        </is>
      </c>
      <c r="B641" s="1" t="n">
        <v>45534.54032407407</v>
      </c>
      <c r="C641" s="1" t="n">
        <v>46111</v>
      </c>
      <c r="D641" t="inlineStr">
        <is>
          <t>ÖREBRO LÄN</t>
        </is>
      </c>
      <c r="E641" t="inlineStr">
        <is>
          <t>LINDESBERG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30512-2025</t>
        </is>
      </c>
      <c r="B642" s="1" t="n">
        <v>45831</v>
      </c>
      <c r="C642" s="1" t="n">
        <v>46111</v>
      </c>
      <c r="D642" t="inlineStr">
        <is>
          <t>ÖREBRO LÄN</t>
        </is>
      </c>
      <c r="E642" t="inlineStr">
        <is>
          <t>LINDESBERG</t>
        </is>
      </c>
      <c r="G642" t="n">
        <v>4.5</v>
      </c>
      <c r="H642" t="n">
        <v>0</v>
      </c>
      <c r="I642" t="n">
        <v>0</v>
      </c>
      <c r="J642" t="n">
        <v>0</v>
      </c>
      <c r="K642" t="n">
        <v>0</v>
      </c>
      <c r="L642" t="n">
        <v>0</v>
      </c>
      <c r="M642" t="n">
        <v>0</v>
      </c>
      <c r="N642" t="n">
        <v>0</v>
      </c>
      <c r="O642" t="n">
        <v>0</v>
      </c>
      <c r="P642" t="n">
        <v>0</v>
      </c>
      <c r="Q642" t="n">
        <v>0</v>
      </c>
      <c r="R642" s="2" t="inlineStr"/>
    </row>
    <row r="643" ht="15" customHeight="1">
      <c r="A643" t="inlineStr">
        <is>
          <t>A 58603-2023</t>
        </is>
      </c>
      <c r="B643" s="1" t="n">
        <v>45251</v>
      </c>
      <c r="C643" s="1" t="n">
        <v>46111</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13417-2025</t>
        </is>
      </c>
      <c r="B644" s="1" t="n">
        <v>45736.30940972222</v>
      </c>
      <c r="C644" s="1" t="n">
        <v>46111</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14680-2026</t>
        </is>
      </c>
      <c r="B645" s="1" t="n">
        <v>46101.48212962963</v>
      </c>
      <c r="C645" s="1" t="n">
        <v>46111</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43066-2021</t>
        </is>
      </c>
      <c r="B646" s="1" t="n">
        <v>44431</v>
      </c>
      <c r="C646" s="1" t="n">
        <v>46111</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23603-2023</t>
        </is>
      </c>
      <c r="B647" s="1" t="n">
        <v>45077</v>
      </c>
      <c r="C647" s="1" t="n">
        <v>46111</v>
      </c>
      <c r="D647" t="inlineStr">
        <is>
          <t>ÖREBRO LÄN</t>
        </is>
      </c>
      <c r="E647" t="inlineStr">
        <is>
          <t>LINDESBERG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23607-2023</t>
        </is>
      </c>
      <c r="B648" s="1" t="n">
        <v>45077</v>
      </c>
      <c r="C648" s="1" t="n">
        <v>46111</v>
      </c>
      <c r="D648" t="inlineStr">
        <is>
          <t>ÖREBRO LÄN</t>
        </is>
      </c>
      <c r="E648" t="inlineStr">
        <is>
          <t>LINDESBERG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23612-2023</t>
        </is>
      </c>
      <c r="B649" s="1" t="n">
        <v>45077</v>
      </c>
      <c r="C649" s="1" t="n">
        <v>46111</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36572-2025</t>
        </is>
      </c>
      <c r="B650" s="1" t="n">
        <v>45870</v>
      </c>
      <c r="C650" s="1" t="n">
        <v>46111</v>
      </c>
      <c r="D650" t="inlineStr">
        <is>
          <t>ÖREBRO LÄN</t>
        </is>
      </c>
      <c r="E650" t="inlineStr">
        <is>
          <t>LINDESBERG</t>
        </is>
      </c>
      <c r="G650" t="n">
        <v>11.9</v>
      </c>
      <c r="H650" t="n">
        <v>0</v>
      </c>
      <c r="I650" t="n">
        <v>0</v>
      </c>
      <c r="J650" t="n">
        <v>0</v>
      </c>
      <c r="K650" t="n">
        <v>0</v>
      </c>
      <c r="L650" t="n">
        <v>0</v>
      </c>
      <c r="M650" t="n">
        <v>0</v>
      </c>
      <c r="N650" t="n">
        <v>0</v>
      </c>
      <c r="O650" t="n">
        <v>0</v>
      </c>
      <c r="P650" t="n">
        <v>0</v>
      </c>
      <c r="Q650" t="n">
        <v>0</v>
      </c>
      <c r="R650" s="2" t="inlineStr"/>
    </row>
    <row r="651" ht="15" customHeight="1">
      <c r="A651" t="inlineStr">
        <is>
          <t>A 36577-2025</t>
        </is>
      </c>
      <c r="B651" s="1" t="n">
        <v>45870</v>
      </c>
      <c r="C651" s="1" t="n">
        <v>46111</v>
      </c>
      <c r="D651" t="inlineStr">
        <is>
          <t>ÖREBRO LÄN</t>
        </is>
      </c>
      <c r="E651" t="inlineStr">
        <is>
          <t>LINDESBERG</t>
        </is>
      </c>
      <c r="G651" t="n">
        <v>3.7</v>
      </c>
      <c r="H651" t="n">
        <v>0</v>
      </c>
      <c r="I651" t="n">
        <v>0</v>
      </c>
      <c r="J651" t="n">
        <v>0</v>
      </c>
      <c r="K651" t="n">
        <v>0</v>
      </c>
      <c r="L651" t="n">
        <v>0</v>
      </c>
      <c r="M651" t="n">
        <v>0</v>
      </c>
      <c r="N651" t="n">
        <v>0</v>
      </c>
      <c r="O651" t="n">
        <v>0</v>
      </c>
      <c r="P651" t="n">
        <v>0</v>
      </c>
      <c r="Q651" t="n">
        <v>0</v>
      </c>
      <c r="R651" s="2" t="inlineStr"/>
    </row>
    <row r="652" ht="15" customHeight="1">
      <c r="A652" t="inlineStr">
        <is>
          <t>A 36574-2025</t>
        </is>
      </c>
      <c r="B652" s="1" t="n">
        <v>45870</v>
      </c>
      <c r="C652" s="1" t="n">
        <v>46111</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23102-2023</t>
        </is>
      </c>
      <c r="B653" s="1" t="n">
        <v>45075.44152777778</v>
      </c>
      <c r="C653" s="1" t="n">
        <v>46111</v>
      </c>
      <c r="D653" t="inlineStr">
        <is>
          <t>ÖREBRO LÄN</t>
        </is>
      </c>
      <c r="E653" t="inlineStr">
        <is>
          <t>LINDESBERG</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46111</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15212-2025</t>
        </is>
      </c>
      <c r="B655" s="1" t="n">
        <v>45744.57673611111</v>
      </c>
      <c r="C655" s="1" t="n">
        <v>46111</v>
      </c>
      <c r="D655" t="inlineStr">
        <is>
          <t>ÖREBRO LÄN</t>
        </is>
      </c>
      <c r="E655" t="inlineStr">
        <is>
          <t>LINDESBERG</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3148-2023</t>
        </is>
      </c>
      <c r="B656" s="1" t="n">
        <v>44946.54424768518</v>
      </c>
      <c r="C656" s="1" t="n">
        <v>46111</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15126-2026</t>
        </is>
      </c>
      <c r="B657" s="1" t="n">
        <v>46105.37195601852</v>
      </c>
      <c r="C657" s="1" t="n">
        <v>46111</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50225-2021</t>
        </is>
      </c>
      <c r="B658" s="1" t="n">
        <v>44457</v>
      </c>
      <c r="C658" s="1" t="n">
        <v>46111</v>
      </c>
      <c r="D658" t="inlineStr">
        <is>
          <t>ÖREBRO LÄN</t>
        </is>
      </c>
      <c r="E658" t="inlineStr">
        <is>
          <t>LINDESBERG</t>
        </is>
      </c>
      <c r="G658" t="n">
        <v>2.5</v>
      </c>
      <c r="H658" t="n">
        <v>0</v>
      </c>
      <c r="I658" t="n">
        <v>0</v>
      </c>
      <c r="J658" t="n">
        <v>0</v>
      </c>
      <c r="K658" t="n">
        <v>0</v>
      </c>
      <c r="L658" t="n">
        <v>0</v>
      </c>
      <c r="M658" t="n">
        <v>0</v>
      </c>
      <c r="N658" t="n">
        <v>0</v>
      </c>
      <c r="O658" t="n">
        <v>0</v>
      </c>
      <c r="P658" t="n">
        <v>0</v>
      </c>
      <c r="Q658" t="n">
        <v>0</v>
      </c>
      <c r="R658" s="2" t="inlineStr"/>
    </row>
    <row r="659" ht="15" customHeight="1">
      <c r="A659" t="inlineStr">
        <is>
          <t>A 8189-2026</t>
        </is>
      </c>
      <c r="B659" s="1" t="n">
        <v>46064.42460648148</v>
      </c>
      <c r="C659" s="1" t="n">
        <v>46111</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61202-2023</t>
        </is>
      </c>
      <c r="B660" s="1" t="n">
        <v>45264.38084490741</v>
      </c>
      <c r="C660" s="1" t="n">
        <v>46111</v>
      </c>
      <c r="D660" t="inlineStr">
        <is>
          <t>ÖREBRO LÄN</t>
        </is>
      </c>
      <c r="E660" t="inlineStr">
        <is>
          <t>LINDESBERG</t>
        </is>
      </c>
      <c r="G660" t="n">
        <v>0.9</v>
      </c>
      <c r="H660" t="n">
        <v>0</v>
      </c>
      <c r="I660" t="n">
        <v>0</v>
      </c>
      <c r="J660" t="n">
        <v>0</v>
      </c>
      <c r="K660" t="n">
        <v>0</v>
      </c>
      <c r="L660" t="n">
        <v>0</v>
      </c>
      <c r="M660" t="n">
        <v>0</v>
      </c>
      <c r="N660" t="n">
        <v>0</v>
      </c>
      <c r="O660" t="n">
        <v>0</v>
      </c>
      <c r="P660" t="n">
        <v>0</v>
      </c>
      <c r="Q660" t="n">
        <v>0</v>
      </c>
      <c r="R660" s="2" t="inlineStr"/>
    </row>
    <row r="661" ht="15" customHeight="1">
      <c r="A661" t="inlineStr">
        <is>
          <t>A 14187-2024</t>
        </is>
      </c>
      <c r="B661" s="1" t="n">
        <v>45393.35787037037</v>
      </c>
      <c r="C661" s="1" t="n">
        <v>46111</v>
      </c>
      <c r="D661" t="inlineStr">
        <is>
          <t>ÖREBRO LÄN</t>
        </is>
      </c>
      <c r="E661" t="inlineStr">
        <is>
          <t>LINDESBERG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195-2022</t>
        </is>
      </c>
      <c r="B662" s="1" t="n">
        <v>44564</v>
      </c>
      <c r="C662" s="1" t="n">
        <v>46111</v>
      </c>
      <c r="D662" t="inlineStr">
        <is>
          <t>ÖREBRO LÄN</t>
        </is>
      </c>
      <c r="E662" t="inlineStr">
        <is>
          <t>LINDESBERG</t>
        </is>
      </c>
      <c r="G662" t="n">
        <v>4.7</v>
      </c>
      <c r="H662" t="n">
        <v>0</v>
      </c>
      <c r="I662" t="n">
        <v>0</v>
      </c>
      <c r="J662" t="n">
        <v>0</v>
      </c>
      <c r="K662" t="n">
        <v>0</v>
      </c>
      <c r="L662" t="n">
        <v>0</v>
      </c>
      <c r="M662" t="n">
        <v>0</v>
      </c>
      <c r="N662" t="n">
        <v>0</v>
      </c>
      <c r="O662" t="n">
        <v>0</v>
      </c>
      <c r="P662" t="n">
        <v>0</v>
      </c>
      <c r="Q662" t="n">
        <v>0</v>
      </c>
      <c r="R662" s="2" t="inlineStr"/>
    </row>
    <row r="663" ht="15" customHeight="1">
      <c r="A663" t="inlineStr">
        <is>
          <t>A 36859-2025</t>
        </is>
      </c>
      <c r="B663" s="1" t="n">
        <v>45874.40503472222</v>
      </c>
      <c r="C663" s="1" t="n">
        <v>46111</v>
      </c>
      <c r="D663" t="inlineStr">
        <is>
          <t>ÖREBRO LÄN</t>
        </is>
      </c>
      <c r="E663" t="inlineStr">
        <is>
          <t>LINDESBERG</t>
        </is>
      </c>
      <c r="F663" t="inlineStr">
        <is>
          <t>Övriga Aktiebolag</t>
        </is>
      </c>
      <c r="G663" t="n">
        <v>1.4</v>
      </c>
      <c r="H663" t="n">
        <v>0</v>
      </c>
      <c r="I663" t="n">
        <v>0</v>
      </c>
      <c r="J663" t="n">
        <v>0</v>
      </c>
      <c r="K663" t="n">
        <v>0</v>
      </c>
      <c r="L663" t="n">
        <v>0</v>
      </c>
      <c r="M663" t="n">
        <v>0</v>
      </c>
      <c r="N663" t="n">
        <v>0</v>
      </c>
      <c r="O663" t="n">
        <v>0</v>
      </c>
      <c r="P663" t="n">
        <v>0</v>
      </c>
      <c r="Q663" t="n">
        <v>0</v>
      </c>
      <c r="R663" s="2" t="inlineStr"/>
    </row>
    <row r="664" ht="15" customHeight="1">
      <c r="A664" t="inlineStr">
        <is>
          <t>A 29500-2023</t>
        </is>
      </c>
      <c r="B664" s="1" t="n">
        <v>45106</v>
      </c>
      <c r="C664" s="1" t="n">
        <v>46111</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39140-2024</t>
        </is>
      </c>
      <c r="B665" s="1" t="n">
        <v>45548</v>
      </c>
      <c r="C665" s="1" t="n">
        <v>46111</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265-2023</t>
        </is>
      </c>
      <c r="B666" s="1" t="n">
        <v>44928</v>
      </c>
      <c r="C666" s="1" t="n">
        <v>46111</v>
      </c>
      <c r="D666" t="inlineStr">
        <is>
          <t>ÖREBRO LÄN</t>
        </is>
      </c>
      <c r="E666" t="inlineStr">
        <is>
          <t>LINDESBERG</t>
        </is>
      </c>
      <c r="G666" t="n">
        <v>2.4</v>
      </c>
      <c r="H666" t="n">
        <v>0</v>
      </c>
      <c r="I666" t="n">
        <v>0</v>
      </c>
      <c r="J666" t="n">
        <v>0</v>
      </c>
      <c r="K666" t="n">
        <v>0</v>
      </c>
      <c r="L666" t="n">
        <v>0</v>
      </c>
      <c r="M666" t="n">
        <v>0</v>
      </c>
      <c r="N666" t="n">
        <v>0</v>
      </c>
      <c r="O666" t="n">
        <v>0</v>
      </c>
      <c r="P666" t="n">
        <v>0</v>
      </c>
      <c r="Q666" t="n">
        <v>0</v>
      </c>
      <c r="R666" s="2" t="inlineStr"/>
    </row>
    <row r="667" ht="15" customHeight="1">
      <c r="A667" t="inlineStr">
        <is>
          <t>A 41582-2021</t>
        </is>
      </c>
      <c r="B667" s="1" t="n">
        <v>44425.40297453704</v>
      </c>
      <c r="C667" s="1" t="n">
        <v>46111</v>
      </c>
      <c r="D667" t="inlineStr">
        <is>
          <t>ÖREBRO LÄN</t>
        </is>
      </c>
      <c r="E667" t="inlineStr">
        <is>
          <t>LINDESBERG</t>
        </is>
      </c>
      <c r="F667" t="inlineStr">
        <is>
          <t>Sveaskog</t>
        </is>
      </c>
      <c r="G667" t="n">
        <v>5.2</v>
      </c>
      <c r="H667" t="n">
        <v>0</v>
      </c>
      <c r="I667" t="n">
        <v>0</v>
      </c>
      <c r="J667" t="n">
        <v>0</v>
      </c>
      <c r="K667" t="n">
        <v>0</v>
      </c>
      <c r="L667" t="n">
        <v>0</v>
      </c>
      <c r="M667" t="n">
        <v>0</v>
      </c>
      <c r="N667" t="n">
        <v>0</v>
      </c>
      <c r="O667" t="n">
        <v>0</v>
      </c>
      <c r="P667" t="n">
        <v>0</v>
      </c>
      <c r="Q667" t="n">
        <v>0</v>
      </c>
      <c r="R667" s="2" t="inlineStr"/>
    </row>
    <row r="668" ht="15" customHeight="1">
      <c r="A668" t="inlineStr">
        <is>
          <t>A 19392-2025</t>
        </is>
      </c>
      <c r="B668" s="1" t="n">
        <v>45769.66260416667</v>
      </c>
      <c r="C668" s="1" t="n">
        <v>46111</v>
      </c>
      <c r="D668" t="inlineStr">
        <is>
          <t>ÖREBRO LÄN</t>
        </is>
      </c>
      <c r="E668" t="inlineStr">
        <is>
          <t>LINDESBERG</t>
        </is>
      </c>
      <c r="G668" t="n">
        <v>6.5</v>
      </c>
      <c r="H668" t="n">
        <v>0</v>
      </c>
      <c r="I668" t="n">
        <v>0</v>
      </c>
      <c r="J668" t="n">
        <v>0</v>
      </c>
      <c r="K668" t="n">
        <v>0</v>
      </c>
      <c r="L668" t="n">
        <v>0</v>
      </c>
      <c r="M668" t="n">
        <v>0</v>
      </c>
      <c r="N668" t="n">
        <v>0</v>
      </c>
      <c r="O668" t="n">
        <v>0</v>
      </c>
      <c r="P668" t="n">
        <v>0</v>
      </c>
      <c r="Q668" t="n">
        <v>0</v>
      </c>
      <c r="R668" s="2" t="inlineStr"/>
    </row>
    <row r="669" ht="15" customHeight="1">
      <c r="A669" t="inlineStr">
        <is>
          <t>A 59052-2023</t>
        </is>
      </c>
      <c r="B669" s="1" t="n">
        <v>45252.78021990741</v>
      </c>
      <c r="C669" s="1" t="n">
        <v>46111</v>
      </c>
      <c r="D669" t="inlineStr">
        <is>
          <t>ÖREBRO LÄN</t>
        </is>
      </c>
      <c r="E669" t="inlineStr">
        <is>
          <t>LINDESBERG</t>
        </is>
      </c>
      <c r="G669" t="n">
        <v>4.2</v>
      </c>
      <c r="H669" t="n">
        <v>0</v>
      </c>
      <c r="I669" t="n">
        <v>0</v>
      </c>
      <c r="J669" t="n">
        <v>0</v>
      </c>
      <c r="K669" t="n">
        <v>0</v>
      </c>
      <c r="L669" t="n">
        <v>0</v>
      </c>
      <c r="M669" t="n">
        <v>0</v>
      </c>
      <c r="N669" t="n">
        <v>0</v>
      </c>
      <c r="O669" t="n">
        <v>0</v>
      </c>
      <c r="P669" t="n">
        <v>0</v>
      </c>
      <c r="Q669" t="n">
        <v>0</v>
      </c>
      <c r="R669" s="2" t="inlineStr"/>
    </row>
    <row r="670" ht="15" customHeight="1">
      <c r="A670" t="inlineStr">
        <is>
          <t>A 6-2023</t>
        </is>
      </c>
      <c r="B670" s="1" t="n">
        <v>44927.72487268518</v>
      </c>
      <c r="C670" s="1" t="n">
        <v>46111</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54864-2024</t>
        </is>
      </c>
      <c r="B671" s="1" t="n">
        <v>45618.59456018519</v>
      </c>
      <c r="C671" s="1" t="n">
        <v>46111</v>
      </c>
      <c r="D671" t="inlineStr">
        <is>
          <t>ÖREBRO LÄN</t>
        </is>
      </c>
      <c r="E671" t="inlineStr">
        <is>
          <t>LINDESBERG</t>
        </is>
      </c>
      <c r="F671" t="inlineStr">
        <is>
          <t>Sveaskog</t>
        </is>
      </c>
      <c r="G671" t="n">
        <v>4.4</v>
      </c>
      <c r="H671" t="n">
        <v>0</v>
      </c>
      <c r="I671" t="n">
        <v>0</v>
      </c>
      <c r="J671" t="n">
        <v>0</v>
      </c>
      <c r="K671" t="n">
        <v>0</v>
      </c>
      <c r="L671" t="n">
        <v>0</v>
      </c>
      <c r="M671" t="n">
        <v>0</v>
      </c>
      <c r="N671" t="n">
        <v>0</v>
      </c>
      <c r="O671" t="n">
        <v>0</v>
      </c>
      <c r="P671" t="n">
        <v>0</v>
      </c>
      <c r="Q671" t="n">
        <v>0</v>
      </c>
      <c r="R671" s="2" t="inlineStr"/>
    </row>
    <row r="672" ht="15" customHeight="1">
      <c r="A672" t="inlineStr">
        <is>
          <t>A 16090-2026</t>
        </is>
      </c>
      <c r="B672" s="1" t="n">
        <v>46108</v>
      </c>
      <c r="C672" s="1" t="n">
        <v>46111</v>
      </c>
      <c r="D672" t="inlineStr">
        <is>
          <t>ÖREBRO LÄN</t>
        </is>
      </c>
      <c r="E672" t="inlineStr">
        <is>
          <t>LINDESBERG</t>
        </is>
      </c>
      <c r="G672" t="n">
        <v>4</v>
      </c>
      <c r="H672" t="n">
        <v>0</v>
      </c>
      <c r="I672" t="n">
        <v>0</v>
      </c>
      <c r="J672" t="n">
        <v>0</v>
      </c>
      <c r="K672" t="n">
        <v>0</v>
      </c>
      <c r="L672" t="n">
        <v>0</v>
      </c>
      <c r="M672" t="n">
        <v>0</v>
      </c>
      <c r="N672" t="n">
        <v>0</v>
      </c>
      <c r="O672" t="n">
        <v>0</v>
      </c>
      <c r="P672" t="n">
        <v>0</v>
      </c>
      <c r="Q672" t="n">
        <v>0</v>
      </c>
      <c r="R672" s="2" t="inlineStr"/>
    </row>
    <row r="673" ht="15" customHeight="1">
      <c r="A673" t="inlineStr">
        <is>
          <t>A 37301-2025</t>
        </is>
      </c>
      <c r="B673" s="1" t="n">
        <v>45876.59166666667</v>
      </c>
      <c r="C673" s="1" t="n">
        <v>46111</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16092-2026</t>
        </is>
      </c>
      <c r="B674" s="1" t="n">
        <v>46108</v>
      </c>
      <c r="C674" s="1" t="n">
        <v>46111</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16094-2026</t>
        </is>
      </c>
      <c r="B675" s="1" t="n">
        <v>46108</v>
      </c>
      <c r="C675" s="1" t="n">
        <v>46111</v>
      </c>
      <c r="D675" t="inlineStr">
        <is>
          <t>ÖREBRO LÄN</t>
        </is>
      </c>
      <c r="E675" t="inlineStr">
        <is>
          <t>LINDESBERG</t>
        </is>
      </c>
      <c r="G675" t="n">
        <v>3.9</v>
      </c>
      <c r="H675" t="n">
        <v>0</v>
      </c>
      <c r="I675" t="n">
        <v>0</v>
      </c>
      <c r="J675" t="n">
        <v>0</v>
      </c>
      <c r="K675" t="n">
        <v>0</v>
      </c>
      <c r="L675" t="n">
        <v>0</v>
      </c>
      <c r="M675" t="n">
        <v>0</v>
      </c>
      <c r="N675" t="n">
        <v>0</v>
      </c>
      <c r="O675" t="n">
        <v>0</v>
      </c>
      <c r="P675" t="n">
        <v>0</v>
      </c>
      <c r="Q675" t="n">
        <v>0</v>
      </c>
      <c r="R675" s="2" t="inlineStr"/>
    </row>
    <row r="676" ht="15" customHeight="1">
      <c r="A676" t="inlineStr">
        <is>
          <t>A 7211-2024</t>
        </is>
      </c>
      <c r="B676" s="1" t="n">
        <v>45344.623125</v>
      </c>
      <c r="C676" s="1" t="n">
        <v>46111</v>
      </c>
      <c r="D676" t="inlineStr">
        <is>
          <t>ÖREBRO LÄN</t>
        </is>
      </c>
      <c r="E676" t="inlineStr">
        <is>
          <t>LINDESBERG</t>
        </is>
      </c>
      <c r="G676" t="n">
        <v>1.4</v>
      </c>
      <c r="H676" t="n">
        <v>0</v>
      </c>
      <c r="I676" t="n">
        <v>0</v>
      </c>
      <c r="J676" t="n">
        <v>0</v>
      </c>
      <c r="K676" t="n">
        <v>0</v>
      </c>
      <c r="L676" t="n">
        <v>0</v>
      </c>
      <c r="M676" t="n">
        <v>0</v>
      </c>
      <c r="N676" t="n">
        <v>0</v>
      </c>
      <c r="O676" t="n">
        <v>0</v>
      </c>
      <c r="P676" t="n">
        <v>0</v>
      </c>
      <c r="Q676" t="n">
        <v>0</v>
      </c>
      <c r="R676" s="2" t="inlineStr"/>
    </row>
    <row r="677" ht="15" customHeight="1">
      <c r="A677" t="inlineStr">
        <is>
          <t>A 16103-2026</t>
        </is>
      </c>
      <c r="B677" s="1" t="n">
        <v>46108.59048611111</v>
      </c>
      <c r="C677" s="1" t="n">
        <v>46111</v>
      </c>
      <c r="D677" t="inlineStr">
        <is>
          <t>ÖREBRO LÄN</t>
        </is>
      </c>
      <c r="E677" t="inlineStr">
        <is>
          <t>LINDESBERG</t>
        </is>
      </c>
      <c r="G677" t="n">
        <v>5.5</v>
      </c>
      <c r="H677" t="n">
        <v>0</v>
      </c>
      <c r="I677" t="n">
        <v>0</v>
      </c>
      <c r="J677" t="n">
        <v>0</v>
      </c>
      <c r="K677" t="n">
        <v>0</v>
      </c>
      <c r="L677" t="n">
        <v>0</v>
      </c>
      <c r="M677" t="n">
        <v>0</v>
      </c>
      <c r="N677" t="n">
        <v>0</v>
      </c>
      <c r="O677" t="n">
        <v>0</v>
      </c>
      <c r="P677" t="n">
        <v>0</v>
      </c>
      <c r="Q677" t="n">
        <v>0</v>
      </c>
      <c r="R677" s="2" t="inlineStr"/>
    </row>
    <row r="678" ht="15" customHeight="1">
      <c r="A678" t="inlineStr">
        <is>
          <t>A 37500-2025</t>
        </is>
      </c>
      <c r="B678" s="1" t="n">
        <v>45877.64776620371</v>
      </c>
      <c r="C678" s="1" t="n">
        <v>46111</v>
      </c>
      <c r="D678" t="inlineStr">
        <is>
          <t>ÖREBRO LÄN</t>
        </is>
      </c>
      <c r="E678" t="inlineStr">
        <is>
          <t>LINDESBERG</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37503-2025</t>
        </is>
      </c>
      <c r="B679" s="1" t="n">
        <v>45877.65075231482</v>
      </c>
      <c r="C679" s="1" t="n">
        <v>46111</v>
      </c>
      <c r="D679" t="inlineStr">
        <is>
          <t>ÖREBRO LÄN</t>
        </is>
      </c>
      <c r="E679" t="inlineStr">
        <is>
          <t>LINDESBERG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37501-2025</t>
        </is>
      </c>
      <c r="B680" s="1" t="n">
        <v>45877.64847222222</v>
      </c>
      <c r="C680" s="1" t="n">
        <v>46111</v>
      </c>
      <c r="D680" t="inlineStr">
        <is>
          <t>ÖREBRO LÄN</t>
        </is>
      </c>
      <c r="E680" t="inlineStr">
        <is>
          <t>LINDESBERG</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37552-2025</t>
        </is>
      </c>
      <c r="B681" s="1" t="n">
        <v>45880.28673611111</v>
      </c>
      <c r="C681" s="1" t="n">
        <v>46111</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15899-2025</t>
        </is>
      </c>
      <c r="B682" s="1" t="n">
        <v>45749.42258101852</v>
      </c>
      <c r="C682" s="1" t="n">
        <v>46111</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50275-2024</t>
        </is>
      </c>
      <c r="B683" s="1" t="n">
        <v>45600.60071759259</v>
      </c>
      <c r="C683" s="1" t="n">
        <v>46111</v>
      </c>
      <c r="D683" t="inlineStr">
        <is>
          <t>ÖREBRO LÄN</t>
        </is>
      </c>
      <c r="E683" t="inlineStr">
        <is>
          <t>LINDESBERG</t>
        </is>
      </c>
      <c r="G683" t="n">
        <v>4.3</v>
      </c>
      <c r="H683" t="n">
        <v>0</v>
      </c>
      <c r="I683" t="n">
        <v>0</v>
      </c>
      <c r="J683" t="n">
        <v>0</v>
      </c>
      <c r="K683" t="n">
        <v>0</v>
      </c>
      <c r="L683" t="n">
        <v>0</v>
      </c>
      <c r="M683" t="n">
        <v>0</v>
      </c>
      <c r="N683" t="n">
        <v>0</v>
      </c>
      <c r="O683" t="n">
        <v>0</v>
      </c>
      <c r="P683" t="n">
        <v>0</v>
      </c>
      <c r="Q683" t="n">
        <v>0</v>
      </c>
      <c r="R683" s="2" t="inlineStr"/>
    </row>
    <row r="684" ht="15" customHeight="1">
      <c r="A684" t="inlineStr">
        <is>
          <t>A 7992-2025</t>
        </is>
      </c>
      <c r="B684" s="1" t="n">
        <v>45707</v>
      </c>
      <c r="C684" s="1" t="n">
        <v>46111</v>
      </c>
      <c r="D684" t="inlineStr">
        <is>
          <t>ÖREBRO LÄN</t>
        </is>
      </c>
      <c r="E684" t="inlineStr">
        <is>
          <t>LINDESBERG</t>
        </is>
      </c>
      <c r="G684" t="n">
        <v>4.8</v>
      </c>
      <c r="H684" t="n">
        <v>0</v>
      </c>
      <c r="I684" t="n">
        <v>0</v>
      </c>
      <c r="J684" t="n">
        <v>0</v>
      </c>
      <c r="K684" t="n">
        <v>0</v>
      </c>
      <c r="L684" t="n">
        <v>0</v>
      </c>
      <c r="M684" t="n">
        <v>0</v>
      </c>
      <c r="N684" t="n">
        <v>0</v>
      </c>
      <c r="O684" t="n">
        <v>0</v>
      </c>
      <c r="P684" t="n">
        <v>0</v>
      </c>
      <c r="Q684" t="n">
        <v>0</v>
      </c>
      <c r="R684" s="2" t="inlineStr"/>
    </row>
    <row r="685" ht="15" customHeight="1">
      <c r="A685" t="inlineStr">
        <is>
          <t>A 37491-2025</t>
        </is>
      </c>
      <c r="B685" s="1" t="n">
        <v>45877.64144675926</v>
      </c>
      <c r="C685" s="1" t="n">
        <v>46111</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37499-2025</t>
        </is>
      </c>
      <c r="B686" s="1" t="n">
        <v>45877.64605324074</v>
      </c>
      <c r="C686" s="1" t="n">
        <v>46111</v>
      </c>
      <c r="D686" t="inlineStr">
        <is>
          <t>ÖREBRO LÄN</t>
        </is>
      </c>
      <c r="E686" t="inlineStr">
        <is>
          <t>LINDESBERG</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46111</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46111</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37553-2025</t>
        </is>
      </c>
      <c r="B689" s="1" t="n">
        <v>45880.3172337963</v>
      </c>
      <c r="C689" s="1" t="n">
        <v>46111</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37497-2025</t>
        </is>
      </c>
      <c r="B690" s="1" t="n">
        <v>45877.64431712963</v>
      </c>
      <c r="C690" s="1" t="n">
        <v>46111</v>
      </c>
      <c r="D690" t="inlineStr">
        <is>
          <t>ÖREBRO LÄN</t>
        </is>
      </c>
      <c r="E690" t="inlineStr">
        <is>
          <t>LINDESBERG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3294-2024</t>
        </is>
      </c>
      <c r="B691" s="1" t="n">
        <v>45316</v>
      </c>
      <c r="C691" s="1" t="n">
        <v>46111</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37492-2025</t>
        </is>
      </c>
      <c r="B692" s="1" t="n">
        <v>45877.64230324074</v>
      </c>
      <c r="C692" s="1" t="n">
        <v>46111</v>
      </c>
      <c r="D692" t="inlineStr">
        <is>
          <t>ÖREBRO LÄN</t>
        </is>
      </c>
      <c r="E692" t="inlineStr">
        <is>
          <t>LINDESBERG</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37490-2025</t>
        </is>
      </c>
      <c r="B693" s="1" t="n">
        <v>45877.63989583333</v>
      </c>
      <c r="C693" s="1" t="n">
        <v>46111</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41947-2023</t>
        </is>
      </c>
      <c r="B694" s="1" t="n">
        <v>45177.31795138889</v>
      </c>
      <c r="C694" s="1" t="n">
        <v>46111</v>
      </c>
      <c r="D694" t="inlineStr">
        <is>
          <t>ÖREBRO LÄN</t>
        </is>
      </c>
      <c r="E694" t="inlineStr">
        <is>
          <t>LINDESBERG</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16447-2025</t>
        </is>
      </c>
      <c r="B695" s="1" t="n">
        <v>45751.50498842593</v>
      </c>
      <c r="C695" s="1" t="n">
        <v>46111</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29975-2023</t>
        </is>
      </c>
      <c r="B696" s="1" t="n">
        <v>45108.7553587963</v>
      </c>
      <c r="C696" s="1" t="n">
        <v>46111</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16448-2025</t>
        </is>
      </c>
      <c r="B697" s="1" t="n">
        <v>45751.5056712963</v>
      </c>
      <c r="C697" s="1" t="n">
        <v>46111</v>
      </c>
      <c r="D697" t="inlineStr">
        <is>
          <t>ÖREBRO LÄN</t>
        </is>
      </c>
      <c r="E697" t="inlineStr">
        <is>
          <t>LINDESBERG</t>
        </is>
      </c>
      <c r="G697" t="n">
        <v>20.1</v>
      </c>
      <c r="H697" t="n">
        <v>0</v>
      </c>
      <c r="I697" t="n">
        <v>0</v>
      </c>
      <c r="J697" t="n">
        <v>0</v>
      </c>
      <c r="K697" t="n">
        <v>0</v>
      </c>
      <c r="L697" t="n">
        <v>0</v>
      </c>
      <c r="M697" t="n">
        <v>0</v>
      </c>
      <c r="N697" t="n">
        <v>0</v>
      </c>
      <c r="O697" t="n">
        <v>0</v>
      </c>
      <c r="P697" t="n">
        <v>0</v>
      </c>
      <c r="Q697" t="n">
        <v>0</v>
      </c>
      <c r="R697" s="2" t="inlineStr"/>
    </row>
    <row r="698" ht="15" customHeight="1">
      <c r="A698" t="inlineStr">
        <is>
          <t>A 7126-2025</t>
        </is>
      </c>
      <c r="B698" s="1" t="n">
        <v>45702</v>
      </c>
      <c r="C698" s="1" t="n">
        <v>46111</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37935-2025</t>
        </is>
      </c>
      <c r="B699" s="1" t="n">
        <v>45881.59550925926</v>
      </c>
      <c r="C699" s="1" t="n">
        <v>46111</v>
      </c>
      <c r="D699" t="inlineStr">
        <is>
          <t>ÖREBRO LÄN</t>
        </is>
      </c>
      <c r="E699" t="inlineStr">
        <is>
          <t>LINDESBERG</t>
        </is>
      </c>
      <c r="G699" t="n">
        <v>5.1</v>
      </c>
      <c r="H699" t="n">
        <v>0</v>
      </c>
      <c r="I699" t="n">
        <v>0</v>
      </c>
      <c r="J699" t="n">
        <v>0</v>
      </c>
      <c r="K699" t="n">
        <v>0</v>
      </c>
      <c r="L699" t="n">
        <v>0</v>
      </c>
      <c r="M699" t="n">
        <v>0</v>
      </c>
      <c r="N699" t="n">
        <v>0</v>
      </c>
      <c r="O699" t="n">
        <v>0</v>
      </c>
      <c r="P699" t="n">
        <v>0</v>
      </c>
      <c r="Q699" t="n">
        <v>0</v>
      </c>
      <c r="R699" s="2" t="inlineStr"/>
    </row>
    <row r="700" ht="15" customHeight="1">
      <c r="A700" t="inlineStr">
        <is>
          <t>A 37837-2025</t>
        </is>
      </c>
      <c r="B700" s="1" t="n">
        <v>45881.42791666667</v>
      </c>
      <c r="C700" s="1" t="n">
        <v>46111</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38509-2025</t>
        </is>
      </c>
      <c r="B701" s="1" t="n">
        <v>45884.38858796296</v>
      </c>
      <c r="C701" s="1" t="n">
        <v>46111</v>
      </c>
      <c r="D701" t="inlineStr">
        <is>
          <t>ÖREBRO LÄN</t>
        </is>
      </c>
      <c r="E701" t="inlineStr">
        <is>
          <t>LINDESBERG</t>
        </is>
      </c>
      <c r="G701" t="n">
        <v>14.9</v>
      </c>
      <c r="H701" t="n">
        <v>0</v>
      </c>
      <c r="I701" t="n">
        <v>0</v>
      </c>
      <c r="J701" t="n">
        <v>0</v>
      </c>
      <c r="K701" t="n">
        <v>0</v>
      </c>
      <c r="L701" t="n">
        <v>0</v>
      </c>
      <c r="M701" t="n">
        <v>0</v>
      </c>
      <c r="N701" t="n">
        <v>0</v>
      </c>
      <c r="O701" t="n">
        <v>0</v>
      </c>
      <c r="P701" t="n">
        <v>0</v>
      </c>
      <c r="Q701" t="n">
        <v>0</v>
      </c>
      <c r="R701" s="2" t="inlineStr"/>
    </row>
    <row r="702" ht="15" customHeight="1">
      <c r="A702" t="inlineStr">
        <is>
          <t>A 40085-2023</t>
        </is>
      </c>
      <c r="B702" s="1" t="n">
        <v>45168.92155092592</v>
      </c>
      <c r="C702" s="1" t="n">
        <v>46111</v>
      </c>
      <c r="D702" t="inlineStr">
        <is>
          <t>ÖREBRO LÄN</t>
        </is>
      </c>
      <c r="E702" t="inlineStr">
        <is>
          <t>LINDESBERG</t>
        </is>
      </c>
      <c r="G702" t="n">
        <v>6.1</v>
      </c>
      <c r="H702" t="n">
        <v>0</v>
      </c>
      <c r="I702" t="n">
        <v>0</v>
      </c>
      <c r="J702" t="n">
        <v>0</v>
      </c>
      <c r="K702" t="n">
        <v>0</v>
      </c>
      <c r="L702" t="n">
        <v>0</v>
      </c>
      <c r="M702" t="n">
        <v>0</v>
      </c>
      <c r="N702" t="n">
        <v>0</v>
      </c>
      <c r="O702" t="n">
        <v>0</v>
      </c>
      <c r="P702" t="n">
        <v>0</v>
      </c>
      <c r="Q702" t="n">
        <v>0</v>
      </c>
      <c r="R702" s="2" t="inlineStr"/>
    </row>
    <row r="703" ht="15" customHeight="1">
      <c r="A703" t="inlineStr">
        <is>
          <t>A 28470-2023</t>
        </is>
      </c>
      <c r="B703" s="1" t="n">
        <v>45103</v>
      </c>
      <c r="C703" s="1" t="n">
        <v>46111</v>
      </c>
      <c r="D703" t="inlineStr">
        <is>
          <t>ÖREBRO LÄN</t>
        </is>
      </c>
      <c r="E703" t="inlineStr">
        <is>
          <t>LINDESBERG</t>
        </is>
      </c>
      <c r="G703" t="n">
        <v>6.7</v>
      </c>
      <c r="H703" t="n">
        <v>0</v>
      </c>
      <c r="I703" t="n">
        <v>0</v>
      </c>
      <c r="J703" t="n">
        <v>0</v>
      </c>
      <c r="K703" t="n">
        <v>0</v>
      </c>
      <c r="L703" t="n">
        <v>0</v>
      </c>
      <c r="M703" t="n">
        <v>0</v>
      </c>
      <c r="N703" t="n">
        <v>0</v>
      </c>
      <c r="O703" t="n">
        <v>0</v>
      </c>
      <c r="P703" t="n">
        <v>0</v>
      </c>
      <c r="Q703" t="n">
        <v>0</v>
      </c>
      <c r="R703" s="2" t="inlineStr"/>
    </row>
    <row r="704" ht="15" customHeight="1">
      <c r="A704" t="inlineStr">
        <is>
          <t>A 32002-2023</t>
        </is>
      </c>
      <c r="B704" s="1" t="n">
        <v>45119.46452546296</v>
      </c>
      <c r="C704" s="1" t="n">
        <v>46111</v>
      </c>
      <c r="D704" t="inlineStr">
        <is>
          <t>ÖREBRO LÄN</t>
        </is>
      </c>
      <c r="E704" t="inlineStr">
        <is>
          <t>LINDESBERG</t>
        </is>
      </c>
      <c r="F704" t="inlineStr">
        <is>
          <t>Kyrkan</t>
        </is>
      </c>
      <c r="G704" t="n">
        <v>0.6</v>
      </c>
      <c r="H704" t="n">
        <v>0</v>
      </c>
      <c r="I704" t="n">
        <v>0</v>
      </c>
      <c r="J704" t="n">
        <v>0</v>
      </c>
      <c r="K704" t="n">
        <v>0</v>
      </c>
      <c r="L704" t="n">
        <v>0</v>
      </c>
      <c r="M704" t="n">
        <v>0</v>
      </c>
      <c r="N704" t="n">
        <v>0</v>
      </c>
      <c r="O704" t="n">
        <v>0</v>
      </c>
      <c r="P704" t="n">
        <v>0</v>
      </c>
      <c r="Q704" t="n">
        <v>0</v>
      </c>
      <c r="R704" s="2" t="inlineStr"/>
    </row>
    <row r="705" ht="15" customHeight="1">
      <c r="A705" t="inlineStr">
        <is>
          <t>A 29849-2023</t>
        </is>
      </c>
      <c r="B705" s="1" t="n">
        <v>45107</v>
      </c>
      <c r="C705" s="1" t="n">
        <v>46111</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5784-2025</t>
        </is>
      </c>
      <c r="B706" s="1" t="n">
        <v>45694</v>
      </c>
      <c r="C706" s="1" t="n">
        <v>46111</v>
      </c>
      <c r="D706" t="inlineStr">
        <is>
          <t>ÖREBRO LÄN</t>
        </is>
      </c>
      <c r="E706" t="inlineStr">
        <is>
          <t>LINDESBERG</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ht="15" customHeight="1">
      <c r="A707" t="inlineStr">
        <is>
          <t>A 69208-2021</t>
        </is>
      </c>
      <c r="B707" s="1" t="n">
        <v>44531.3575</v>
      </c>
      <c r="C707" s="1" t="n">
        <v>46111</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45038-2024</t>
        </is>
      </c>
      <c r="B708" s="1" t="n">
        <v>45575.53331018519</v>
      </c>
      <c r="C708" s="1" t="n">
        <v>46111</v>
      </c>
      <c r="D708" t="inlineStr">
        <is>
          <t>ÖREBRO LÄN</t>
        </is>
      </c>
      <c r="E708" t="inlineStr">
        <is>
          <t>LINDESBERG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45046-2024</t>
        </is>
      </c>
      <c r="B709" s="1" t="n">
        <v>45575.54489583334</v>
      </c>
      <c r="C709" s="1" t="n">
        <v>46111</v>
      </c>
      <c r="D709" t="inlineStr">
        <is>
          <t>ÖREBRO LÄN</t>
        </is>
      </c>
      <c r="E709" t="inlineStr">
        <is>
          <t>LINDESBERG</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38552-2023</t>
        </is>
      </c>
      <c r="B710" s="1" t="n">
        <v>45162.5978125</v>
      </c>
      <c r="C710" s="1" t="n">
        <v>46111</v>
      </c>
      <c r="D710" t="inlineStr">
        <is>
          <t>ÖREBRO LÄN</t>
        </is>
      </c>
      <c r="E710" t="inlineStr">
        <is>
          <t>LINDESBERG</t>
        </is>
      </c>
      <c r="G710" t="n">
        <v>10.4</v>
      </c>
      <c r="H710" t="n">
        <v>0</v>
      </c>
      <c r="I710" t="n">
        <v>0</v>
      </c>
      <c r="J710" t="n">
        <v>0</v>
      </c>
      <c r="K710" t="n">
        <v>0</v>
      </c>
      <c r="L710" t="n">
        <v>0</v>
      </c>
      <c r="M710" t="n">
        <v>0</v>
      </c>
      <c r="N710" t="n">
        <v>0</v>
      </c>
      <c r="O710" t="n">
        <v>0</v>
      </c>
      <c r="P710" t="n">
        <v>0</v>
      </c>
      <c r="Q710" t="n">
        <v>0</v>
      </c>
      <c r="R710" s="2" t="inlineStr"/>
    </row>
    <row r="711" ht="15" customHeight="1">
      <c r="A711" t="inlineStr">
        <is>
          <t>A 64084-2023</t>
        </is>
      </c>
      <c r="B711" s="1" t="n">
        <v>45279</v>
      </c>
      <c r="C711" s="1" t="n">
        <v>46111</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33424-2024</t>
        </is>
      </c>
      <c r="B712" s="1" t="n">
        <v>45519.51627314815</v>
      </c>
      <c r="C712" s="1" t="n">
        <v>46111</v>
      </c>
      <c r="D712" t="inlineStr">
        <is>
          <t>ÖREBRO LÄN</t>
        </is>
      </c>
      <c r="E712" t="inlineStr">
        <is>
          <t>LINDESBERG</t>
        </is>
      </c>
      <c r="F712" t="inlineStr">
        <is>
          <t>Sveaskog</t>
        </is>
      </c>
      <c r="G712" t="n">
        <v>0.1</v>
      </c>
      <c r="H712" t="n">
        <v>0</v>
      </c>
      <c r="I712" t="n">
        <v>0</v>
      </c>
      <c r="J712" t="n">
        <v>0</v>
      </c>
      <c r="K712" t="n">
        <v>0</v>
      </c>
      <c r="L712" t="n">
        <v>0</v>
      </c>
      <c r="M712" t="n">
        <v>0</v>
      </c>
      <c r="N712" t="n">
        <v>0</v>
      </c>
      <c r="O712" t="n">
        <v>0</v>
      </c>
      <c r="P712" t="n">
        <v>0</v>
      </c>
      <c r="Q712" t="n">
        <v>0</v>
      </c>
      <c r="R712" s="2" t="inlineStr"/>
    </row>
    <row r="713" ht="15" customHeight="1">
      <c r="A713" t="inlineStr">
        <is>
          <t>A 33427-2024</t>
        </is>
      </c>
      <c r="B713" s="1" t="n">
        <v>45519.52232638889</v>
      </c>
      <c r="C713" s="1" t="n">
        <v>46111</v>
      </c>
      <c r="D713" t="inlineStr">
        <is>
          <t>ÖREBRO LÄN</t>
        </is>
      </c>
      <c r="E713" t="inlineStr">
        <is>
          <t>LINDESBERG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36509-2024</t>
        </is>
      </c>
      <c r="B714" s="1" t="n">
        <v>45537.42240740741</v>
      </c>
      <c r="C714" s="1" t="n">
        <v>46111</v>
      </c>
      <c r="D714" t="inlineStr">
        <is>
          <t>ÖREBRO LÄN</t>
        </is>
      </c>
      <c r="E714" t="inlineStr">
        <is>
          <t>LINDESBERG</t>
        </is>
      </c>
      <c r="G714" t="n">
        <v>1.5</v>
      </c>
      <c r="H714" t="n">
        <v>0</v>
      </c>
      <c r="I714" t="n">
        <v>0</v>
      </c>
      <c r="J714" t="n">
        <v>0</v>
      </c>
      <c r="K714" t="n">
        <v>0</v>
      </c>
      <c r="L714" t="n">
        <v>0</v>
      </c>
      <c r="M714" t="n">
        <v>0</v>
      </c>
      <c r="N714" t="n">
        <v>0</v>
      </c>
      <c r="O714" t="n">
        <v>0</v>
      </c>
      <c r="P714" t="n">
        <v>0</v>
      </c>
      <c r="Q714" t="n">
        <v>0</v>
      </c>
      <c r="R714" s="2" t="inlineStr"/>
    </row>
    <row r="715" ht="15" customHeight="1">
      <c r="A715" t="inlineStr">
        <is>
          <t>A 29894-2023</t>
        </is>
      </c>
      <c r="B715" s="1" t="n">
        <v>45107</v>
      </c>
      <c r="C715" s="1" t="n">
        <v>46111</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11559-2024</t>
        </is>
      </c>
      <c r="B716" s="1" t="n">
        <v>45373.30434027778</v>
      </c>
      <c r="C716" s="1" t="n">
        <v>46111</v>
      </c>
      <c r="D716" t="inlineStr">
        <is>
          <t>ÖREBRO LÄN</t>
        </is>
      </c>
      <c r="E716" t="inlineStr">
        <is>
          <t>LINDESBERG</t>
        </is>
      </c>
      <c r="F716" t="inlineStr">
        <is>
          <t>BillerudKorsnäs AB</t>
        </is>
      </c>
      <c r="G716" t="n">
        <v>1.9</v>
      </c>
      <c r="H716" t="n">
        <v>0</v>
      </c>
      <c r="I716" t="n">
        <v>0</v>
      </c>
      <c r="J716" t="n">
        <v>0</v>
      </c>
      <c r="K716" t="n">
        <v>0</v>
      </c>
      <c r="L716" t="n">
        <v>0</v>
      </c>
      <c r="M716" t="n">
        <v>0</v>
      </c>
      <c r="N716" t="n">
        <v>0</v>
      </c>
      <c r="O716" t="n">
        <v>0</v>
      </c>
      <c r="P716" t="n">
        <v>0</v>
      </c>
      <c r="Q716" t="n">
        <v>0</v>
      </c>
      <c r="R716" s="2" t="inlineStr"/>
    </row>
    <row r="717" ht="15" customHeight="1">
      <c r="A717" t="inlineStr">
        <is>
          <t>A 13472-2023</t>
        </is>
      </c>
      <c r="B717" s="1" t="n">
        <v>45005</v>
      </c>
      <c r="C717" s="1" t="n">
        <v>46111</v>
      </c>
      <c r="D717" t="inlineStr">
        <is>
          <t>ÖREBRO LÄN</t>
        </is>
      </c>
      <c r="E717" t="inlineStr">
        <is>
          <t>LINDESBERG</t>
        </is>
      </c>
      <c r="G717" t="n">
        <v>2.5</v>
      </c>
      <c r="H717" t="n">
        <v>0</v>
      </c>
      <c r="I717" t="n">
        <v>0</v>
      </c>
      <c r="J717" t="n">
        <v>0</v>
      </c>
      <c r="K717" t="n">
        <v>0</v>
      </c>
      <c r="L717" t="n">
        <v>0</v>
      </c>
      <c r="M717" t="n">
        <v>0</v>
      </c>
      <c r="N717" t="n">
        <v>0</v>
      </c>
      <c r="O717" t="n">
        <v>0</v>
      </c>
      <c r="P717" t="n">
        <v>0</v>
      </c>
      <c r="Q717" t="n">
        <v>0</v>
      </c>
      <c r="R717" s="2" t="inlineStr"/>
    </row>
    <row r="718" ht="15" customHeight="1">
      <c r="A718" t="inlineStr">
        <is>
          <t>A 52284-2024</t>
        </is>
      </c>
      <c r="B718" s="1" t="n">
        <v>45608</v>
      </c>
      <c r="C718" s="1" t="n">
        <v>46111</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38613-2024</t>
        </is>
      </c>
      <c r="B719" s="1" t="n">
        <v>45546.68743055555</v>
      </c>
      <c r="C719" s="1" t="n">
        <v>46111</v>
      </c>
      <c r="D719" t="inlineStr">
        <is>
          <t>ÖREBRO LÄN</t>
        </is>
      </c>
      <c r="E719" t="inlineStr">
        <is>
          <t>LINDESBERG</t>
        </is>
      </c>
      <c r="F719" t="inlineStr">
        <is>
          <t>Kyrkan</t>
        </is>
      </c>
      <c r="G719" t="n">
        <v>1.6</v>
      </c>
      <c r="H719" t="n">
        <v>0</v>
      </c>
      <c r="I719" t="n">
        <v>0</v>
      </c>
      <c r="J719" t="n">
        <v>0</v>
      </c>
      <c r="K719" t="n">
        <v>0</v>
      </c>
      <c r="L719" t="n">
        <v>0</v>
      </c>
      <c r="M719" t="n">
        <v>0</v>
      </c>
      <c r="N719" t="n">
        <v>0</v>
      </c>
      <c r="O719" t="n">
        <v>0</v>
      </c>
      <c r="P719" t="n">
        <v>0</v>
      </c>
      <c r="Q719" t="n">
        <v>0</v>
      </c>
      <c r="R719" s="2" t="inlineStr"/>
    </row>
    <row r="720" ht="15" customHeight="1">
      <c r="A720" t="inlineStr">
        <is>
          <t>A 73500-2021</t>
        </is>
      </c>
      <c r="B720" s="1" t="n">
        <v>44551</v>
      </c>
      <c r="C720" s="1" t="n">
        <v>46111</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56507-2021</t>
        </is>
      </c>
      <c r="B721" s="1" t="n">
        <v>44480.58034722223</v>
      </c>
      <c r="C721" s="1" t="n">
        <v>46111</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65194-2023</t>
        </is>
      </c>
      <c r="B722" s="1" t="n">
        <v>45289</v>
      </c>
      <c r="C722" s="1" t="n">
        <v>46111</v>
      </c>
      <c r="D722" t="inlineStr">
        <is>
          <t>ÖREBRO LÄN</t>
        </is>
      </c>
      <c r="E722" t="inlineStr">
        <is>
          <t>LINDESBERG</t>
        </is>
      </c>
      <c r="G722" t="n">
        <v>1</v>
      </c>
      <c r="H722" t="n">
        <v>0</v>
      </c>
      <c r="I722" t="n">
        <v>0</v>
      </c>
      <c r="J722" t="n">
        <v>0</v>
      </c>
      <c r="K722" t="n">
        <v>0</v>
      </c>
      <c r="L722" t="n">
        <v>0</v>
      </c>
      <c r="M722" t="n">
        <v>0</v>
      </c>
      <c r="N722" t="n">
        <v>0</v>
      </c>
      <c r="O722" t="n">
        <v>0</v>
      </c>
      <c r="P722" t="n">
        <v>0</v>
      </c>
      <c r="Q722" t="n">
        <v>0</v>
      </c>
      <c r="R722" s="2" t="inlineStr"/>
    </row>
    <row r="723" ht="15" customHeight="1">
      <c r="A723" t="inlineStr">
        <is>
          <t>A 9436-2023</t>
        </is>
      </c>
      <c r="B723" s="1" t="n">
        <v>44981</v>
      </c>
      <c r="C723" s="1" t="n">
        <v>46111</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36121-2023</t>
        </is>
      </c>
      <c r="B724" s="1" t="n">
        <v>45148</v>
      </c>
      <c r="C724" s="1" t="n">
        <v>46111</v>
      </c>
      <c r="D724" t="inlineStr">
        <is>
          <t>ÖREBRO LÄN</t>
        </is>
      </c>
      <c r="E724" t="inlineStr">
        <is>
          <t>LINDESBERG</t>
        </is>
      </c>
      <c r="G724" t="n">
        <v>7.1</v>
      </c>
      <c r="H724" t="n">
        <v>0</v>
      </c>
      <c r="I724" t="n">
        <v>0</v>
      </c>
      <c r="J724" t="n">
        <v>0</v>
      </c>
      <c r="K724" t="n">
        <v>0</v>
      </c>
      <c r="L724" t="n">
        <v>0</v>
      </c>
      <c r="M724" t="n">
        <v>0</v>
      </c>
      <c r="N724" t="n">
        <v>0</v>
      </c>
      <c r="O724" t="n">
        <v>0</v>
      </c>
      <c r="P724" t="n">
        <v>0</v>
      </c>
      <c r="Q724" t="n">
        <v>0</v>
      </c>
      <c r="R724" s="2" t="inlineStr"/>
    </row>
    <row r="725" ht="15" customHeight="1">
      <c r="A725" t="inlineStr">
        <is>
          <t>A 34838-2023</t>
        </is>
      </c>
      <c r="B725" s="1" t="n">
        <v>45141.76530092592</v>
      </c>
      <c r="C725" s="1" t="n">
        <v>46111</v>
      </c>
      <c r="D725" t="inlineStr">
        <is>
          <t>ÖREBRO LÄN</t>
        </is>
      </c>
      <c r="E725" t="inlineStr">
        <is>
          <t>LINDESBERG</t>
        </is>
      </c>
      <c r="G725" t="n">
        <v>3</v>
      </c>
      <c r="H725" t="n">
        <v>0</v>
      </c>
      <c r="I725" t="n">
        <v>0</v>
      </c>
      <c r="J725" t="n">
        <v>0</v>
      </c>
      <c r="K725" t="n">
        <v>0</v>
      </c>
      <c r="L725" t="n">
        <v>0</v>
      </c>
      <c r="M725" t="n">
        <v>0</v>
      </c>
      <c r="N725" t="n">
        <v>0</v>
      </c>
      <c r="O725" t="n">
        <v>0</v>
      </c>
      <c r="P725" t="n">
        <v>0</v>
      </c>
      <c r="Q725" t="n">
        <v>0</v>
      </c>
      <c r="R725" s="2" t="inlineStr"/>
    </row>
    <row r="726" ht="15" customHeight="1">
      <c r="A726" t="inlineStr">
        <is>
          <t>A 31024-2023</t>
        </is>
      </c>
      <c r="B726" s="1" t="n">
        <v>45113</v>
      </c>
      <c r="C726" s="1" t="n">
        <v>46111</v>
      </c>
      <c r="D726" t="inlineStr">
        <is>
          <t>ÖREBRO LÄN</t>
        </is>
      </c>
      <c r="E726" t="inlineStr">
        <is>
          <t>LINDESBERG</t>
        </is>
      </c>
      <c r="G726" t="n">
        <v>5.1</v>
      </c>
      <c r="H726" t="n">
        <v>0</v>
      </c>
      <c r="I726" t="n">
        <v>0</v>
      </c>
      <c r="J726" t="n">
        <v>0</v>
      </c>
      <c r="K726" t="n">
        <v>0</v>
      </c>
      <c r="L726" t="n">
        <v>0</v>
      </c>
      <c r="M726" t="n">
        <v>0</v>
      </c>
      <c r="N726" t="n">
        <v>0</v>
      </c>
      <c r="O726" t="n">
        <v>0</v>
      </c>
      <c r="P726" t="n">
        <v>0</v>
      </c>
      <c r="Q726" t="n">
        <v>0</v>
      </c>
      <c r="R726" s="2" t="inlineStr"/>
    </row>
    <row r="727" ht="15" customHeight="1">
      <c r="A727" t="inlineStr">
        <is>
          <t>A 33281-2024</t>
        </is>
      </c>
      <c r="B727" s="1" t="n">
        <v>45518.71202546296</v>
      </c>
      <c r="C727" s="1" t="n">
        <v>46111</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33283-2024</t>
        </is>
      </c>
      <c r="B728" s="1" t="n">
        <v>45518.71591435185</v>
      </c>
      <c r="C728" s="1" t="n">
        <v>46111</v>
      </c>
      <c r="D728" t="inlineStr">
        <is>
          <t>ÖREBRO LÄN</t>
        </is>
      </c>
      <c r="E728" t="inlineStr">
        <is>
          <t>LINDESBERG</t>
        </is>
      </c>
      <c r="G728" t="n">
        <v>3.9</v>
      </c>
      <c r="H728" t="n">
        <v>0</v>
      </c>
      <c r="I728" t="n">
        <v>0</v>
      </c>
      <c r="J728" t="n">
        <v>0</v>
      </c>
      <c r="K728" t="n">
        <v>0</v>
      </c>
      <c r="L728" t="n">
        <v>0</v>
      </c>
      <c r="M728" t="n">
        <v>0</v>
      </c>
      <c r="N728" t="n">
        <v>0</v>
      </c>
      <c r="O728" t="n">
        <v>0</v>
      </c>
      <c r="P728" t="n">
        <v>0</v>
      </c>
      <c r="Q728" t="n">
        <v>0</v>
      </c>
      <c r="R728" s="2" t="inlineStr"/>
    </row>
    <row r="729" ht="15" customHeight="1">
      <c r="A729" t="inlineStr">
        <is>
          <t>A 61960-2024</t>
        </is>
      </c>
      <c r="B729" s="1" t="n">
        <v>45653.53664351852</v>
      </c>
      <c r="C729" s="1" t="n">
        <v>46111</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48756-2024</t>
        </is>
      </c>
      <c r="B730" s="1" t="n">
        <v>45593.59681712963</v>
      </c>
      <c r="C730" s="1" t="n">
        <v>46111</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60449-2024</t>
        </is>
      </c>
      <c r="B731" s="1" t="n">
        <v>45643</v>
      </c>
      <c r="C731" s="1" t="n">
        <v>46111</v>
      </c>
      <c r="D731" t="inlineStr">
        <is>
          <t>ÖREBRO LÄN</t>
        </is>
      </c>
      <c r="E731" t="inlineStr">
        <is>
          <t>LINDESBERG</t>
        </is>
      </c>
      <c r="G731" t="n">
        <v>1.2</v>
      </c>
      <c r="H731" t="n">
        <v>0</v>
      </c>
      <c r="I731" t="n">
        <v>0</v>
      </c>
      <c r="J731" t="n">
        <v>0</v>
      </c>
      <c r="K731" t="n">
        <v>0</v>
      </c>
      <c r="L731" t="n">
        <v>0</v>
      </c>
      <c r="M731" t="n">
        <v>0</v>
      </c>
      <c r="N731" t="n">
        <v>0</v>
      </c>
      <c r="O731" t="n">
        <v>0</v>
      </c>
      <c r="P731" t="n">
        <v>0</v>
      </c>
      <c r="Q731" t="n">
        <v>0</v>
      </c>
      <c r="R731" s="2" t="inlineStr"/>
    </row>
    <row r="732" ht="15" customHeight="1">
      <c r="A732" t="inlineStr">
        <is>
          <t>A 15060-2024</t>
        </is>
      </c>
      <c r="B732" s="1" t="n">
        <v>45399.56596064815</v>
      </c>
      <c r="C732" s="1" t="n">
        <v>46111</v>
      </c>
      <c r="D732" t="inlineStr">
        <is>
          <t>ÖREBRO LÄN</t>
        </is>
      </c>
      <c r="E732" t="inlineStr">
        <is>
          <t>LINDESBERG</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53510-2024</t>
        </is>
      </c>
      <c r="B733" s="1" t="n">
        <v>45614.5968287037</v>
      </c>
      <c r="C733" s="1" t="n">
        <v>46111</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34676-2023</t>
        </is>
      </c>
      <c r="B734" s="1" t="n">
        <v>45140</v>
      </c>
      <c r="C734" s="1" t="n">
        <v>46111</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61594-2024</t>
        </is>
      </c>
      <c r="B735" s="1" t="n">
        <v>45646.63482638889</v>
      </c>
      <c r="C735" s="1" t="n">
        <v>46111</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40563-2023</t>
        </is>
      </c>
      <c r="B736" s="1" t="n">
        <v>45170.45921296296</v>
      </c>
      <c r="C736" s="1" t="n">
        <v>46111</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7026-2024</t>
        </is>
      </c>
      <c r="B737" s="1" t="n">
        <v>45343.58587962963</v>
      </c>
      <c r="C737" s="1" t="n">
        <v>46111</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41353-2024</t>
        </is>
      </c>
      <c r="B738" s="1" t="n">
        <v>45559</v>
      </c>
      <c r="C738" s="1" t="n">
        <v>46111</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51379-2023</t>
        </is>
      </c>
      <c r="B739" s="1" t="n">
        <v>45219</v>
      </c>
      <c r="C739" s="1" t="n">
        <v>46111</v>
      </c>
      <c r="D739" t="inlineStr">
        <is>
          <t>ÖREBRO LÄN</t>
        </is>
      </c>
      <c r="E739" t="inlineStr">
        <is>
          <t>LINDESBERG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5080-2024</t>
        </is>
      </c>
      <c r="B740" s="1" t="n">
        <v>45330</v>
      </c>
      <c r="C740" s="1" t="n">
        <v>46111</v>
      </c>
      <c r="D740" t="inlineStr">
        <is>
          <t>ÖREBRO LÄN</t>
        </is>
      </c>
      <c r="E740" t="inlineStr">
        <is>
          <t>LINDESBERG</t>
        </is>
      </c>
      <c r="G740" t="n">
        <v>1.5</v>
      </c>
      <c r="H740" t="n">
        <v>0</v>
      </c>
      <c r="I740" t="n">
        <v>0</v>
      </c>
      <c r="J740" t="n">
        <v>0</v>
      </c>
      <c r="K740" t="n">
        <v>0</v>
      </c>
      <c r="L740" t="n">
        <v>0</v>
      </c>
      <c r="M740" t="n">
        <v>0</v>
      </c>
      <c r="N740" t="n">
        <v>0</v>
      </c>
      <c r="O740" t="n">
        <v>0</v>
      </c>
      <c r="P740" t="n">
        <v>0</v>
      </c>
      <c r="Q740" t="n">
        <v>0</v>
      </c>
      <c r="R740" s="2" t="inlineStr"/>
    </row>
    <row r="741" ht="15" customHeight="1">
      <c r="A741" t="inlineStr">
        <is>
          <t>A 12307-2025</t>
        </is>
      </c>
      <c r="B741" s="1" t="n">
        <v>45729.76231481481</v>
      </c>
      <c r="C741" s="1" t="n">
        <v>46111</v>
      </c>
      <c r="D741" t="inlineStr">
        <is>
          <t>ÖREBRO LÄN</t>
        </is>
      </c>
      <c r="E741" t="inlineStr">
        <is>
          <t>LINDESBERG</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45056-2024</t>
        </is>
      </c>
      <c r="B742" s="1" t="n">
        <v>45575.55273148148</v>
      </c>
      <c r="C742" s="1" t="n">
        <v>46111</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45058-2024</t>
        </is>
      </c>
      <c r="B743" s="1" t="n">
        <v>45575.5547337963</v>
      </c>
      <c r="C743" s="1" t="n">
        <v>46111</v>
      </c>
      <c r="D743" t="inlineStr">
        <is>
          <t>ÖREBRO LÄN</t>
        </is>
      </c>
      <c r="E743" t="inlineStr">
        <is>
          <t>LINDESBERG</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45063-2024</t>
        </is>
      </c>
      <c r="B744" s="1" t="n">
        <v>45575.55684027778</v>
      </c>
      <c r="C744" s="1" t="n">
        <v>46111</v>
      </c>
      <c r="D744" t="inlineStr">
        <is>
          <t>ÖREBRO LÄN</t>
        </is>
      </c>
      <c r="E744" t="inlineStr">
        <is>
          <t>LINDESBERG</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45072-2024</t>
        </is>
      </c>
      <c r="B745" s="1" t="n">
        <v>45575.56686342593</v>
      </c>
      <c r="C745" s="1" t="n">
        <v>46111</v>
      </c>
      <c r="D745" t="inlineStr">
        <is>
          <t>ÖREBRO LÄN</t>
        </is>
      </c>
      <c r="E745" t="inlineStr">
        <is>
          <t>LINDESBERG</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45075-2024</t>
        </is>
      </c>
      <c r="B746" s="1" t="n">
        <v>45575.56820601852</v>
      </c>
      <c r="C746" s="1" t="n">
        <v>46111</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41948-2023</t>
        </is>
      </c>
      <c r="B747" s="1" t="n">
        <v>45177.33091435185</v>
      </c>
      <c r="C747" s="1" t="n">
        <v>46111</v>
      </c>
      <c r="D747" t="inlineStr">
        <is>
          <t>ÖREBRO LÄN</t>
        </is>
      </c>
      <c r="E747" t="inlineStr">
        <is>
          <t>LINDESBERG</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67016-2021</t>
        </is>
      </c>
      <c r="B748" s="1" t="n">
        <v>44522</v>
      </c>
      <c r="C748" s="1" t="n">
        <v>46111</v>
      </c>
      <c r="D748" t="inlineStr">
        <is>
          <t>ÖREBRO LÄN</t>
        </is>
      </c>
      <c r="E748" t="inlineStr">
        <is>
          <t>LINDESBERG</t>
        </is>
      </c>
      <c r="G748" t="n">
        <v>8</v>
      </c>
      <c r="H748" t="n">
        <v>0</v>
      </c>
      <c r="I748" t="n">
        <v>0</v>
      </c>
      <c r="J748" t="n">
        <v>0</v>
      </c>
      <c r="K748" t="n">
        <v>0</v>
      </c>
      <c r="L748" t="n">
        <v>0</v>
      </c>
      <c r="M748" t="n">
        <v>0</v>
      </c>
      <c r="N748" t="n">
        <v>0</v>
      </c>
      <c r="O748" t="n">
        <v>0</v>
      </c>
      <c r="P748" t="n">
        <v>0</v>
      </c>
      <c r="Q748" t="n">
        <v>0</v>
      </c>
      <c r="R748" s="2" t="inlineStr"/>
    </row>
    <row r="749" ht="15" customHeight="1">
      <c r="A749" t="inlineStr">
        <is>
          <t>A 10111-2022</t>
        </is>
      </c>
      <c r="B749" s="1" t="n">
        <v>44621.85737268518</v>
      </c>
      <c r="C749" s="1" t="n">
        <v>46111</v>
      </c>
      <c r="D749" t="inlineStr">
        <is>
          <t>ÖREBRO LÄN</t>
        </is>
      </c>
      <c r="E749" t="inlineStr">
        <is>
          <t>LINDESBERG</t>
        </is>
      </c>
      <c r="G749" t="n">
        <v>2.4</v>
      </c>
      <c r="H749" t="n">
        <v>0</v>
      </c>
      <c r="I749" t="n">
        <v>0</v>
      </c>
      <c r="J749" t="n">
        <v>0</v>
      </c>
      <c r="K749" t="n">
        <v>0</v>
      </c>
      <c r="L749" t="n">
        <v>0</v>
      </c>
      <c r="M749" t="n">
        <v>0</v>
      </c>
      <c r="N749" t="n">
        <v>0</v>
      </c>
      <c r="O749" t="n">
        <v>0</v>
      </c>
      <c r="P749" t="n">
        <v>0</v>
      </c>
      <c r="Q749" t="n">
        <v>0</v>
      </c>
      <c r="R749" s="2" t="inlineStr"/>
    </row>
    <row r="750" ht="15" customHeight="1">
      <c r="A750" t="inlineStr">
        <is>
          <t>A 19960-2023</t>
        </is>
      </c>
      <c r="B750" s="1" t="n">
        <v>45054</v>
      </c>
      <c r="C750" s="1" t="n">
        <v>46111</v>
      </c>
      <c r="D750" t="inlineStr">
        <is>
          <t>ÖREBRO LÄN</t>
        </is>
      </c>
      <c r="E750" t="inlineStr">
        <is>
          <t>LINDESBERG</t>
        </is>
      </c>
      <c r="G750" t="n">
        <v>6.2</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46111</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33507-2023</t>
        </is>
      </c>
      <c r="B752" s="1" t="n">
        <v>45131</v>
      </c>
      <c r="C752" s="1" t="n">
        <v>46111</v>
      </c>
      <c r="D752" t="inlineStr">
        <is>
          <t>ÖREBRO LÄN</t>
        </is>
      </c>
      <c r="E752" t="inlineStr">
        <is>
          <t>LINDESBERG</t>
        </is>
      </c>
      <c r="G752" t="n">
        <v>3.2</v>
      </c>
      <c r="H752" t="n">
        <v>0</v>
      </c>
      <c r="I752" t="n">
        <v>0</v>
      </c>
      <c r="J752" t="n">
        <v>0</v>
      </c>
      <c r="K752" t="n">
        <v>0</v>
      </c>
      <c r="L752" t="n">
        <v>0</v>
      </c>
      <c r="M752" t="n">
        <v>0</v>
      </c>
      <c r="N752" t="n">
        <v>0</v>
      </c>
      <c r="O752" t="n">
        <v>0</v>
      </c>
      <c r="P752" t="n">
        <v>0</v>
      </c>
      <c r="Q752" t="n">
        <v>0</v>
      </c>
      <c r="R752" s="2" t="inlineStr"/>
    </row>
    <row r="753" ht="15" customHeight="1">
      <c r="A753" t="inlineStr">
        <is>
          <t>A 2406-2024</t>
        </is>
      </c>
      <c r="B753" s="1" t="n">
        <v>45310</v>
      </c>
      <c r="C753" s="1" t="n">
        <v>46111</v>
      </c>
      <c r="D753" t="inlineStr">
        <is>
          <t>ÖREBRO LÄN</t>
        </is>
      </c>
      <c r="E753" t="inlineStr">
        <is>
          <t>LINDESBERG</t>
        </is>
      </c>
      <c r="G753" t="n">
        <v>16.1</v>
      </c>
      <c r="H753" t="n">
        <v>0</v>
      </c>
      <c r="I753" t="n">
        <v>0</v>
      </c>
      <c r="J753" t="n">
        <v>0</v>
      </c>
      <c r="K753" t="n">
        <v>0</v>
      </c>
      <c r="L753" t="n">
        <v>0</v>
      </c>
      <c r="M753" t="n">
        <v>0</v>
      </c>
      <c r="N753" t="n">
        <v>0</v>
      </c>
      <c r="O753" t="n">
        <v>0</v>
      </c>
      <c r="P753" t="n">
        <v>0</v>
      </c>
      <c r="Q753" t="n">
        <v>0</v>
      </c>
      <c r="R753" s="2" t="inlineStr"/>
    </row>
    <row r="754" ht="15" customHeight="1">
      <c r="A754" t="inlineStr">
        <is>
          <t>A 17895-2022</t>
        </is>
      </c>
      <c r="B754" s="1" t="n">
        <v>44683</v>
      </c>
      <c r="C754" s="1" t="n">
        <v>46111</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1395-2025</t>
        </is>
      </c>
      <c r="B755" s="1" t="n">
        <v>45667</v>
      </c>
      <c r="C755" s="1" t="n">
        <v>46111</v>
      </c>
      <c r="D755" t="inlineStr">
        <is>
          <t>ÖREBRO LÄN</t>
        </is>
      </c>
      <c r="E755" t="inlineStr">
        <is>
          <t>LINDESBERG</t>
        </is>
      </c>
      <c r="G755" t="n">
        <v>4.6</v>
      </c>
      <c r="H755" t="n">
        <v>0</v>
      </c>
      <c r="I755" t="n">
        <v>0</v>
      </c>
      <c r="J755" t="n">
        <v>0</v>
      </c>
      <c r="K755" t="n">
        <v>0</v>
      </c>
      <c r="L755" t="n">
        <v>0</v>
      </c>
      <c r="M755" t="n">
        <v>0</v>
      </c>
      <c r="N755" t="n">
        <v>0</v>
      </c>
      <c r="O755" t="n">
        <v>0</v>
      </c>
      <c r="P755" t="n">
        <v>0</v>
      </c>
      <c r="Q755" t="n">
        <v>0</v>
      </c>
      <c r="R755" s="2" t="inlineStr"/>
    </row>
    <row r="756" ht="15" customHeight="1">
      <c r="A756" t="inlineStr">
        <is>
          <t>A 52928-2024</t>
        </is>
      </c>
      <c r="B756" s="1" t="n">
        <v>45610</v>
      </c>
      <c r="C756" s="1" t="n">
        <v>46111</v>
      </c>
      <c r="D756" t="inlineStr">
        <is>
          <t>ÖREBRO LÄN</t>
        </is>
      </c>
      <c r="E756" t="inlineStr">
        <is>
          <t>LINDESBERG</t>
        </is>
      </c>
      <c r="G756" t="n">
        <v>8.6</v>
      </c>
      <c r="H756" t="n">
        <v>0</v>
      </c>
      <c r="I756" t="n">
        <v>0</v>
      </c>
      <c r="J756" t="n">
        <v>0</v>
      </c>
      <c r="K756" t="n">
        <v>0</v>
      </c>
      <c r="L756" t="n">
        <v>0</v>
      </c>
      <c r="M756" t="n">
        <v>0</v>
      </c>
      <c r="N756" t="n">
        <v>0</v>
      </c>
      <c r="O756" t="n">
        <v>0</v>
      </c>
      <c r="P756" t="n">
        <v>0</v>
      </c>
      <c r="Q756" t="n">
        <v>0</v>
      </c>
      <c r="R756" s="2" t="inlineStr"/>
    </row>
    <row r="757" ht="15" customHeight="1">
      <c r="A757" t="inlineStr">
        <is>
          <t>A 33716-2021</t>
        </is>
      </c>
      <c r="B757" s="1" t="n">
        <v>44378.46857638889</v>
      </c>
      <c r="C757" s="1" t="n">
        <v>46111</v>
      </c>
      <c r="D757" t="inlineStr">
        <is>
          <t>ÖREBRO LÄN</t>
        </is>
      </c>
      <c r="E757" t="inlineStr">
        <is>
          <t>LINDESBERG</t>
        </is>
      </c>
      <c r="G757" t="n">
        <v>4.6</v>
      </c>
      <c r="H757" t="n">
        <v>0</v>
      </c>
      <c r="I757" t="n">
        <v>0</v>
      </c>
      <c r="J757" t="n">
        <v>0</v>
      </c>
      <c r="K757" t="n">
        <v>0</v>
      </c>
      <c r="L757" t="n">
        <v>0</v>
      </c>
      <c r="M757" t="n">
        <v>0</v>
      </c>
      <c r="N757" t="n">
        <v>0</v>
      </c>
      <c r="O757" t="n">
        <v>0</v>
      </c>
      <c r="P757" t="n">
        <v>0</v>
      </c>
      <c r="Q757" t="n">
        <v>0</v>
      </c>
      <c r="R757" s="2" t="inlineStr"/>
    </row>
    <row r="758" ht="15" customHeight="1">
      <c r="A758" t="inlineStr">
        <is>
          <t>A 40970-2023</t>
        </is>
      </c>
      <c r="B758" s="1" t="n">
        <v>45173</v>
      </c>
      <c r="C758" s="1" t="n">
        <v>46111</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13729-2025</t>
        </is>
      </c>
      <c r="B759" s="1" t="n">
        <v>45737.3846412037</v>
      </c>
      <c r="C759" s="1" t="n">
        <v>46111</v>
      </c>
      <c r="D759" t="inlineStr">
        <is>
          <t>ÖREBRO LÄN</t>
        </is>
      </c>
      <c r="E759" t="inlineStr">
        <is>
          <t>LINDESBERG</t>
        </is>
      </c>
      <c r="F759" t="inlineStr">
        <is>
          <t>Sveaskog</t>
        </is>
      </c>
      <c r="G759" t="n">
        <v>5.4</v>
      </c>
      <c r="H759" t="n">
        <v>0</v>
      </c>
      <c r="I759" t="n">
        <v>0</v>
      </c>
      <c r="J759" t="n">
        <v>0</v>
      </c>
      <c r="K759" t="n">
        <v>0</v>
      </c>
      <c r="L759" t="n">
        <v>0</v>
      </c>
      <c r="M759" t="n">
        <v>0</v>
      </c>
      <c r="N759" t="n">
        <v>0</v>
      </c>
      <c r="O759" t="n">
        <v>0</v>
      </c>
      <c r="P759" t="n">
        <v>0</v>
      </c>
      <c r="Q759" t="n">
        <v>0</v>
      </c>
      <c r="R759" s="2" t="inlineStr"/>
    </row>
    <row r="760" ht="15" customHeight="1">
      <c r="A760" t="inlineStr">
        <is>
          <t>A 60492-2024</t>
        </is>
      </c>
      <c r="B760" s="1" t="n">
        <v>45642</v>
      </c>
      <c r="C760" s="1" t="n">
        <v>46111</v>
      </c>
      <c r="D760" t="inlineStr">
        <is>
          <t>ÖREBRO LÄN</t>
        </is>
      </c>
      <c r="E760" t="inlineStr">
        <is>
          <t>LINDESBERG</t>
        </is>
      </c>
      <c r="G760" t="n">
        <v>2.6</v>
      </c>
      <c r="H760" t="n">
        <v>0</v>
      </c>
      <c r="I760" t="n">
        <v>0</v>
      </c>
      <c r="J760" t="n">
        <v>0</v>
      </c>
      <c r="K760" t="n">
        <v>0</v>
      </c>
      <c r="L760" t="n">
        <v>0</v>
      </c>
      <c r="M760" t="n">
        <v>0</v>
      </c>
      <c r="N760" t="n">
        <v>0</v>
      </c>
      <c r="O760" t="n">
        <v>0</v>
      </c>
      <c r="P760" t="n">
        <v>0</v>
      </c>
      <c r="Q760" t="n">
        <v>0</v>
      </c>
      <c r="R760" s="2" t="inlineStr"/>
    </row>
    <row r="761" ht="15" customHeight="1">
      <c r="A761" t="inlineStr">
        <is>
          <t>A 40117-2023</t>
        </is>
      </c>
      <c r="B761" s="1" t="n">
        <v>45168.94197916667</v>
      </c>
      <c r="C761" s="1" t="n">
        <v>46111</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11366-2024</t>
        </is>
      </c>
      <c r="B762" s="1" t="n">
        <v>45372.40246527778</v>
      </c>
      <c r="C762" s="1" t="n">
        <v>46111</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60943-2024</t>
        </is>
      </c>
      <c r="B763" s="1" t="n">
        <v>45645.3737962963</v>
      </c>
      <c r="C763" s="1" t="n">
        <v>46111</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56912-2024</t>
        </is>
      </c>
      <c r="B764" s="1" t="n">
        <v>45628.59233796296</v>
      </c>
      <c r="C764" s="1" t="n">
        <v>46111</v>
      </c>
      <c r="D764" t="inlineStr">
        <is>
          <t>ÖREBRO LÄN</t>
        </is>
      </c>
      <c r="E764" t="inlineStr">
        <is>
          <t>LINDESBERG</t>
        </is>
      </c>
      <c r="G764" t="n">
        <v>1</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46111</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44010-2023</t>
        </is>
      </c>
      <c r="B766" s="1" t="n">
        <v>45188</v>
      </c>
      <c r="C766" s="1" t="n">
        <v>46111</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2107-2022</t>
        </is>
      </c>
      <c r="B767" s="1" t="n">
        <v>44577.83484953704</v>
      </c>
      <c r="C767" s="1" t="n">
        <v>46111</v>
      </c>
      <c r="D767" t="inlineStr">
        <is>
          <t>ÖREBRO LÄN</t>
        </is>
      </c>
      <c r="E767" t="inlineStr">
        <is>
          <t>LINDESBERG</t>
        </is>
      </c>
      <c r="G767" t="n">
        <v>2.9</v>
      </c>
      <c r="H767" t="n">
        <v>0</v>
      </c>
      <c r="I767" t="n">
        <v>0</v>
      </c>
      <c r="J767" t="n">
        <v>0</v>
      </c>
      <c r="K767" t="n">
        <v>0</v>
      </c>
      <c r="L767" t="n">
        <v>0</v>
      </c>
      <c r="M767" t="n">
        <v>0</v>
      </c>
      <c r="N767" t="n">
        <v>0</v>
      </c>
      <c r="O767" t="n">
        <v>0</v>
      </c>
      <c r="P767" t="n">
        <v>0</v>
      </c>
      <c r="Q767" t="n">
        <v>0</v>
      </c>
      <c r="R767" s="2" t="inlineStr"/>
    </row>
    <row r="768" ht="15" customHeight="1">
      <c r="A768" t="inlineStr">
        <is>
          <t>A 16864-2022</t>
        </is>
      </c>
      <c r="B768" s="1" t="n">
        <v>44675</v>
      </c>
      <c r="C768" s="1" t="n">
        <v>46111</v>
      </c>
      <c r="D768" t="inlineStr">
        <is>
          <t>ÖREBRO LÄN</t>
        </is>
      </c>
      <c r="E768" t="inlineStr">
        <is>
          <t>LINDESBERG</t>
        </is>
      </c>
      <c r="F768" t="inlineStr">
        <is>
          <t>Kyrkan</t>
        </is>
      </c>
      <c r="G768" t="n">
        <v>1.7</v>
      </c>
      <c r="H768" t="n">
        <v>0</v>
      </c>
      <c r="I768" t="n">
        <v>0</v>
      </c>
      <c r="J768" t="n">
        <v>0</v>
      </c>
      <c r="K768" t="n">
        <v>0</v>
      </c>
      <c r="L768" t="n">
        <v>0</v>
      </c>
      <c r="M768" t="n">
        <v>0</v>
      </c>
      <c r="N768" t="n">
        <v>0</v>
      </c>
      <c r="O768" t="n">
        <v>0</v>
      </c>
      <c r="P768" t="n">
        <v>0</v>
      </c>
      <c r="Q768" t="n">
        <v>0</v>
      </c>
      <c r="R768" s="2" t="inlineStr"/>
    </row>
    <row r="769" ht="15" customHeight="1">
      <c r="A769" t="inlineStr">
        <is>
          <t>A 32928-2023</t>
        </is>
      </c>
      <c r="B769" s="1" t="n">
        <v>45125.41458333333</v>
      </c>
      <c r="C769" s="1" t="n">
        <v>46111</v>
      </c>
      <c r="D769" t="inlineStr">
        <is>
          <t>ÖREBRO LÄN</t>
        </is>
      </c>
      <c r="E769" t="inlineStr">
        <is>
          <t>LINDESBERG</t>
        </is>
      </c>
      <c r="G769" t="n">
        <v>4.8</v>
      </c>
      <c r="H769" t="n">
        <v>0</v>
      </c>
      <c r="I769" t="n">
        <v>0</v>
      </c>
      <c r="J769" t="n">
        <v>0</v>
      </c>
      <c r="K769" t="n">
        <v>0</v>
      </c>
      <c r="L769" t="n">
        <v>0</v>
      </c>
      <c r="M769" t="n">
        <v>0</v>
      </c>
      <c r="N769" t="n">
        <v>0</v>
      </c>
      <c r="O769" t="n">
        <v>0</v>
      </c>
      <c r="P769" t="n">
        <v>0</v>
      </c>
      <c r="Q769" t="n">
        <v>0</v>
      </c>
      <c r="R769" s="2" t="inlineStr"/>
    </row>
    <row r="770" ht="15" customHeight="1">
      <c r="A770" t="inlineStr">
        <is>
          <t>A 21016-2023</t>
        </is>
      </c>
      <c r="B770" s="1" t="n">
        <v>45061.53414351852</v>
      </c>
      <c r="C770" s="1" t="n">
        <v>46111</v>
      </c>
      <c r="D770" t="inlineStr">
        <is>
          <t>ÖREBRO LÄN</t>
        </is>
      </c>
      <c r="E770" t="inlineStr">
        <is>
          <t>LINDESBERG</t>
        </is>
      </c>
      <c r="G770" t="n">
        <v>8.1</v>
      </c>
      <c r="H770" t="n">
        <v>0</v>
      </c>
      <c r="I770" t="n">
        <v>0</v>
      </c>
      <c r="J770" t="n">
        <v>0</v>
      </c>
      <c r="K770" t="n">
        <v>0</v>
      </c>
      <c r="L770" t="n">
        <v>0</v>
      </c>
      <c r="M770" t="n">
        <v>0</v>
      </c>
      <c r="N770" t="n">
        <v>0</v>
      </c>
      <c r="O770" t="n">
        <v>0</v>
      </c>
      <c r="P770" t="n">
        <v>0</v>
      </c>
      <c r="Q770" t="n">
        <v>0</v>
      </c>
      <c r="R770" s="2" t="inlineStr"/>
    </row>
    <row r="771" ht="15" customHeight="1">
      <c r="A771" t="inlineStr">
        <is>
          <t>A 40306-2022</t>
        </is>
      </c>
      <c r="B771" s="1" t="n">
        <v>44822</v>
      </c>
      <c r="C771" s="1" t="n">
        <v>46111</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27440-2023</t>
        </is>
      </c>
      <c r="B772" s="1" t="n">
        <v>45097.39893518519</v>
      </c>
      <c r="C772" s="1" t="n">
        <v>46111</v>
      </c>
      <c r="D772" t="inlineStr">
        <is>
          <t>ÖREBRO LÄN</t>
        </is>
      </c>
      <c r="E772" t="inlineStr">
        <is>
          <t>LINDESBERG</t>
        </is>
      </c>
      <c r="G772" t="n">
        <v>6.6</v>
      </c>
      <c r="H772" t="n">
        <v>0</v>
      </c>
      <c r="I772" t="n">
        <v>0</v>
      </c>
      <c r="J772" t="n">
        <v>0</v>
      </c>
      <c r="K772" t="n">
        <v>0</v>
      </c>
      <c r="L772" t="n">
        <v>0</v>
      </c>
      <c r="M772" t="n">
        <v>0</v>
      </c>
      <c r="N772" t="n">
        <v>0</v>
      </c>
      <c r="O772" t="n">
        <v>0</v>
      </c>
      <c r="P772" t="n">
        <v>0</v>
      </c>
      <c r="Q772" t="n">
        <v>0</v>
      </c>
      <c r="R772" s="2" t="inlineStr"/>
    </row>
    <row r="773" ht="15" customHeight="1">
      <c r="A773" t="inlineStr">
        <is>
          <t>A 40905-2023</t>
        </is>
      </c>
      <c r="B773" s="1" t="n">
        <v>45173.39315972223</v>
      </c>
      <c r="C773" s="1" t="n">
        <v>46111</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41951-2023</t>
        </is>
      </c>
      <c r="B774" s="1" t="n">
        <v>45177.33991898148</v>
      </c>
      <c r="C774" s="1" t="n">
        <v>46111</v>
      </c>
      <c r="D774" t="inlineStr">
        <is>
          <t>ÖREBRO LÄN</t>
        </is>
      </c>
      <c r="E774" t="inlineStr">
        <is>
          <t>LINDESBERG</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4310-2025</t>
        </is>
      </c>
      <c r="B775" s="1" t="n">
        <v>45685</v>
      </c>
      <c r="C775" s="1" t="n">
        <v>46111</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40758-2021</t>
        </is>
      </c>
      <c r="B776" s="1" t="n">
        <v>44420</v>
      </c>
      <c r="C776" s="1" t="n">
        <v>46111</v>
      </c>
      <c r="D776" t="inlineStr">
        <is>
          <t>ÖREBRO LÄN</t>
        </is>
      </c>
      <c r="E776" t="inlineStr">
        <is>
          <t>LINDESBERG</t>
        </is>
      </c>
      <c r="G776" t="n">
        <v>5</v>
      </c>
      <c r="H776" t="n">
        <v>0</v>
      </c>
      <c r="I776" t="n">
        <v>0</v>
      </c>
      <c r="J776" t="n">
        <v>0</v>
      </c>
      <c r="K776" t="n">
        <v>0</v>
      </c>
      <c r="L776" t="n">
        <v>0</v>
      </c>
      <c r="M776" t="n">
        <v>0</v>
      </c>
      <c r="N776" t="n">
        <v>0</v>
      </c>
      <c r="O776" t="n">
        <v>0</v>
      </c>
      <c r="P776" t="n">
        <v>0</v>
      </c>
      <c r="Q776" t="n">
        <v>0</v>
      </c>
      <c r="R776" s="2" t="inlineStr"/>
    </row>
    <row r="777" ht="15" customHeight="1">
      <c r="A777" t="inlineStr">
        <is>
          <t>A 34025-2024</t>
        </is>
      </c>
      <c r="B777" s="1" t="n">
        <v>45523.58565972222</v>
      </c>
      <c r="C777" s="1" t="n">
        <v>46111</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7990-2025</t>
        </is>
      </c>
      <c r="B778" s="1" t="n">
        <v>45707</v>
      </c>
      <c r="C778" s="1" t="n">
        <v>46111</v>
      </c>
      <c r="D778" t="inlineStr">
        <is>
          <t>ÖREBRO LÄN</t>
        </is>
      </c>
      <c r="E778" t="inlineStr">
        <is>
          <t>LINDESBERG</t>
        </is>
      </c>
      <c r="G778" t="n">
        <v>4.4</v>
      </c>
      <c r="H778" t="n">
        <v>0</v>
      </c>
      <c r="I778" t="n">
        <v>0</v>
      </c>
      <c r="J778" t="n">
        <v>0</v>
      </c>
      <c r="K778" t="n">
        <v>0</v>
      </c>
      <c r="L778" t="n">
        <v>0</v>
      </c>
      <c r="M778" t="n">
        <v>0</v>
      </c>
      <c r="N778" t="n">
        <v>0</v>
      </c>
      <c r="O778" t="n">
        <v>0</v>
      </c>
      <c r="P778" t="n">
        <v>0</v>
      </c>
      <c r="Q778" t="n">
        <v>0</v>
      </c>
      <c r="R778" s="2" t="inlineStr"/>
    </row>
    <row r="779" ht="15" customHeight="1">
      <c r="A779" t="inlineStr">
        <is>
          <t>A 61691-2023</t>
        </is>
      </c>
      <c r="B779" s="1" t="n">
        <v>45265.64142361111</v>
      </c>
      <c r="C779" s="1" t="n">
        <v>46111</v>
      </c>
      <c r="D779" t="inlineStr">
        <is>
          <t>ÖREBRO LÄN</t>
        </is>
      </c>
      <c r="E779" t="inlineStr">
        <is>
          <t>LINDESBERG</t>
        </is>
      </c>
      <c r="G779" t="n">
        <v>2.6</v>
      </c>
      <c r="H779" t="n">
        <v>0</v>
      </c>
      <c r="I779" t="n">
        <v>0</v>
      </c>
      <c r="J779" t="n">
        <v>0</v>
      </c>
      <c r="K779" t="n">
        <v>0</v>
      </c>
      <c r="L779" t="n">
        <v>0</v>
      </c>
      <c r="M779" t="n">
        <v>0</v>
      </c>
      <c r="N779" t="n">
        <v>0</v>
      </c>
      <c r="O779" t="n">
        <v>0</v>
      </c>
      <c r="P779" t="n">
        <v>0</v>
      </c>
      <c r="Q779" t="n">
        <v>0</v>
      </c>
      <c r="R779" s="2" t="inlineStr"/>
    </row>
    <row r="780" ht="15" customHeight="1">
      <c r="A780" t="inlineStr">
        <is>
          <t>A 37507-2023</t>
        </is>
      </c>
      <c r="B780" s="1" t="n">
        <v>45158.41768518519</v>
      </c>
      <c r="C780" s="1" t="n">
        <v>46111</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46111</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46675-2023</t>
        </is>
      </c>
      <c r="B782" s="1" t="n">
        <v>45194</v>
      </c>
      <c r="C782" s="1" t="n">
        <v>46111</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34434-2023</t>
        </is>
      </c>
      <c r="B783" s="1" t="n">
        <v>45139.63480324074</v>
      </c>
      <c r="C783" s="1" t="n">
        <v>46111</v>
      </c>
      <c r="D783" t="inlineStr">
        <is>
          <t>ÖREBRO LÄN</t>
        </is>
      </c>
      <c r="E783" t="inlineStr">
        <is>
          <t>LINDESBERG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54432-2023</t>
        </is>
      </c>
      <c r="B784" s="1" t="n">
        <v>45233.42121527778</v>
      </c>
      <c r="C784" s="1" t="n">
        <v>46111</v>
      </c>
      <c r="D784" t="inlineStr">
        <is>
          <t>ÖREBRO LÄN</t>
        </is>
      </c>
      <c r="E784" t="inlineStr">
        <is>
          <t>LINDESBERG</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15933-2025</t>
        </is>
      </c>
      <c r="B785" s="1" t="n">
        <v>45749.47251157407</v>
      </c>
      <c r="C785" s="1" t="n">
        <v>46111</v>
      </c>
      <c r="D785" t="inlineStr">
        <is>
          <t>ÖREBRO LÄN</t>
        </is>
      </c>
      <c r="E785" t="inlineStr">
        <is>
          <t>LINDESBERG</t>
        </is>
      </c>
      <c r="G785" t="n">
        <v>6.1</v>
      </c>
      <c r="H785" t="n">
        <v>0</v>
      </c>
      <c r="I785" t="n">
        <v>0</v>
      </c>
      <c r="J785" t="n">
        <v>0</v>
      </c>
      <c r="K785" t="n">
        <v>0</v>
      </c>
      <c r="L785" t="n">
        <v>0</v>
      </c>
      <c r="M785" t="n">
        <v>0</v>
      </c>
      <c r="N785" t="n">
        <v>0</v>
      </c>
      <c r="O785" t="n">
        <v>0</v>
      </c>
      <c r="P785" t="n">
        <v>0</v>
      </c>
      <c r="Q785" t="n">
        <v>0</v>
      </c>
      <c r="R785" s="2" t="inlineStr"/>
    </row>
    <row r="786" ht="15" customHeight="1">
      <c r="A786" t="inlineStr">
        <is>
          <t>A 15936-2025</t>
        </is>
      </c>
      <c r="B786" s="1" t="n">
        <v>45749.4737962963</v>
      </c>
      <c r="C786" s="1" t="n">
        <v>46111</v>
      </c>
      <c r="D786" t="inlineStr">
        <is>
          <t>ÖREBRO LÄN</t>
        </is>
      </c>
      <c r="E786" t="inlineStr">
        <is>
          <t>LINDESBERG</t>
        </is>
      </c>
      <c r="G786" t="n">
        <v>22.3</v>
      </c>
      <c r="H786" t="n">
        <v>0</v>
      </c>
      <c r="I786" t="n">
        <v>0</v>
      </c>
      <c r="J786" t="n">
        <v>0</v>
      </c>
      <c r="K786" t="n">
        <v>0</v>
      </c>
      <c r="L786" t="n">
        <v>0</v>
      </c>
      <c r="M786" t="n">
        <v>0</v>
      </c>
      <c r="N786" t="n">
        <v>0</v>
      </c>
      <c r="O786" t="n">
        <v>0</v>
      </c>
      <c r="P786" t="n">
        <v>0</v>
      </c>
      <c r="Q786" t="n">
        <v>0</v>
      </c>
      <c r="R786" s="2" t="inlineStr"/>
    </row>
    <row r="787" ht="15" customHeight="1">
      <c r="A787" t="inlineStr">
        <is>
          <t>A 1490-2024</t>
        </is>
      </c>
      <c r="B787" s="1" t="n">
        <v>45305</v>
      </c>
      <c r="C787" s="1" t="n">
        <v>46111</v>
      </c>
      <c r="D787" t="inlineStr">
        <is>
          <t>ÖREBRO LÄN</t>
        </is>
      </c>
      <c r="E787" t="inlineStr">
        <is>
          <t>LINDESBERG</t>
        </is>
      </c>
      <c r="G787" t="n">
        <v>17.6</v>
      </c>
      <c r="H787" t="n">
        <v>0</v>
      </c>
      <c r="I787" t="n">
        <v>0</v>
      </c>
      <c r="J787" t="n">
        <v>0</v>
      </c>
      <c r="K787" t="n">
        <v>0</v>
      </c>
      <c r="L787" t="n">
        <v>0</v>
      </c>
      <c r="M787" t="n">
        <v>0</v>
      </c>
      <c r="N787" t="n">
        <v>0</v>
      </c>
      <c r="O787" t="n">
        <v>0</v>
      </c>
      <c r="P787" t="n">
        <v>0</v>
      </c>
      <c r="Q787" t="n">
        <v>0</v>
      </c>
      <c r="R787" s="2" t="inlineStr"/>
    </row>
    <row r="788" ht="15" customHeight="1">
      <c r="A788" t="inlineStr">
        <is>
          <t>A 53168-2023</t>
        </is>
      </c>
      <c r="B788" s="1" t="n">
        <v>45229</v>
      </c>
      <c r="C788" s="1" t="n">
        <v>46111</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46111</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4603-2024</t>
        </is>
      </c>
      <c r="B790" s="1" t="n">
        <v>45328</v>
      </c>
      <c r="C790" s="1" t="n">
        <v>46111</v>
      </c>
      <c r="D790" t="inlineStr">
        <is>
          <t>ÖREBRO LÄN</t>
        </is>
      </c>
      <c r="E790" t="inlineStr">
        <is>
          <t>LINDESBERG</t>
        </is>
      </c>
      <c r="F790" t="inlineStr">
        <is>
          <t>BillerudKorsnäs AB</t>
        </is>
      </c>
      <c r="G790" t="n">
        <v>4.3</v>
      </c>
      <c r="H790" t="n">
        <v>0</v>
      </c>
      <c r="I790" t="n">
        <v>0</v>
      </c>
      <c r="J790" t="n">
        <v>0</v>
      </c>
      <c r="K790" t="n">
        <v>0</v>
      </c>
      <c r="L790" t="n">
        <v>0</v>
      </c>
      <c r="M790" t="n">
        <v>0</v>
      </c>
      <c r="N790" t="n">
        <v>0</v>
      </c>
      <c r="O790" t="n">
        <v>0</v>
      </c>
      <c r="P790" t="n">
        <v>0</v>
      </c>
      <c r="Q790" t="n">
        <v>0</v>
      </c>
      <c r="R790" s="2" t="inlineStr"/>
    </row>
    <row r="791" ht="15" customHeight="1">
      <c r="A791" t="inlineStr">
        <is>
          <t>A 53062-2023</t>
        </is>
      </c>
      <c r="B791" s="1" t="n">
        <v>45227.31859953704</v>
      </c>
      <c r="C791" s="1" t="n">
        <v>46111</v>
      </c>
      <c r="D791" t="inlineStr">
        <is>
          <t>ÖREBRO LÄN</t>
        </is>
      </c>
      <c r="E791" t="inlineStr">
        <is>
          <t>LINDESBERG</t>
        </is>
      </c>
      <c r="G791" t="n">
        <v>3.1</v>
      </c>
      <c r="H791" t="n">
        <v>0</v>
      </c>
      <c r="I791" t="n">
        <v>0</v>
      </c>
      <c r="J791" t="n">
        <v>0</v>
      </c>
      <c r="K791" t="n">
        <v>0</v>
      </c>
      <c r="L791" t="n">
        <v>0</v>
      </c>
      <c r="M791" t="n">
        <v>0</v>
      </c>
      <c r="N791" t="n">
        <v>0</v>
      </c>
      <c r="O791" t="n">
        <v>0</v>
      </c>
      <c r="P791" t="n">
        <v>0</v>
      </c>
      <c r="Q791" t="n">
        <v>0</v>
      </c>
      <c r="R791" s="2" t="inlineStr"/>
    </row>
    <row r="792" ht="15" customHeight="1">
      <c r="A792" t="inlineStr">
        <is>
          <t>A 8902-2024</t>
        </is>
      </c>
      <c r="B792" s="1" t="n">
        <v>45357.34521990741</v>
      </c>
      <c r="C792" s="1" t="n">
        <v>46111</v>
      </c>
      <c r="D792" t="inlineStr">
        <is>
          <t>ÖREBRO LÄN</t>
        </is>
      </c>
      <c r="E792" t="inlineStr">
        <is>
          <t>LINDESBERG</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59631-2023</t>
        </is>
      </c>
      <c r="B793" s="1" t="n">
        <v>45254.68105324074</v>
      </c>
      <c r="C793" s="1" t="n">
        <v>46111</v>
      </c>
      <c r="D793" t="inlineStr">
        <is>
          <t>ÖREBRO LÄN</t>
        </is>
      </c>
      <c r="E793" t="inlineStr">
        <is>
          <t>LINDESBERG</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19110-2025</t>
        </is>
      </c>
      <c r="B794" s="1" t="n">
        <v>45768.49947916667</v>
      </c>
      <c r="C794" s="1" t="n">
        <v>46111</v>
      </c>
      <c r="D794" t="inlineStr">
        <is>
          <t>ÖREBRO LÄN</t>
        </is>
      </c>
      <c r="E794" t="inlineStr">
        <is>
          <t>LINDESBERG</t>
        </is>
      </c>
      <c r="G794" t="n">
        <v>2.6</v>
      </c>
      <c r="H794" t="n">
        <v>0</v>
      </c>
      <c r="I794" t="n">
        <v>0</v>
      </c>
      <c r="J794" t="n">
        <v>0</v>
      </c>
      <c r="K794" t="n">
        <v>0</v>
      </c>
      <c r="L794" t="n">
        <v>0</v>
      </c>
      <c r="M794" t="n">
        <v>0</v>
      </c>
      <c r="N794" t="n">
        <v>0</v>
      </c>
      <c r="O794" t="n">
        <v>0</v>
      </c>
      <c r="P794" t="n">
        <v>0</v>
      </c>
      <c r="Q794" t="n">
        <v>0</v>
      </c>
      <c r="R794" s="2" t="inlineStr"/>
    </row>
    <row r="795" ht="15" customHeight="1">
      <c r="A795" t="inlineStr">
        <is>
          <t>A 21245-2024</t>
        </is>
      </c>
      <c r="B795" s="1" t="n">
        <v>45440</v>
      </c>
      <c r="C795" s="1" t="n">
        <v>46111</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29350-2022</t>
        </is>
      </c>
      <c r="B796" s="1" t="n">
        <v>44753</v>
      </c>
      <c r="C796" s="1" t="n">
        <v>46111</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46111</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2414-2024</t>
        </is>
      </c>
      <c r="B798" s="1" t="n">
        <v>45310.87931712963</v>
      </c>
      <c r="C798" s="1" t="n">
        <v>46111</v>
      </c>
      <c r="D798" t="inlineStr">
        <is>
          <t>ÖREBRO LÄN</t>
        </is>
      </c>
      <c r="E798" t="inlineStr">
        <is>
          <t>LINDESBERG</t>
        </is>
      </c>
      <c r="G798" t="n">
        <v>7.2</v>
      </c>
      <c r="H798" t="n">
        <v>0</v>
      </c>
      <c r="I798" t="n">
        <v>0</v>
      </c>
      <c r="J798" t="n">
        <v>0</v>
      </c>
      <c r="K798" t="n">
        <v>0</v>
      </c>
      <c r="L798" t="n">
        <v>0</v>
      </c>
      <c r="M798" t="n">
        <v>0</v>
      </c>
      <c r="N798" t="n">
        <v>0</v>
      </c>
      <c r="O798" t="n">
        <v>0</v>
      </c>
      <c r="P798" t="n">
        <v>0</v>
      </c>
      <c r="Q798" t="n">
        <v>0</v>
      </c>
      <c r="R798" s="2" t="inlineStr"/>
    </row>
    <row r="799" ht="15" customHeight="1">
      <c r="A799" t="inlineStr">
        <is>
          <t>A 28463-2024</t>
        </is>
      </c>
      <c r="B799" s="1" t="n">
        <v>45477.70315972222</v>
      </c>
      <c r="C799" s="1" t="n">
        <v>46111</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63668-2023</t>
        </is>
      </c>
      <c r="B800" s="1" t="n">
        <v>45274</v>
      </c>
      <c r="C800" s="1" t="n">
        <v>46111</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8139-2023</t>
        </is>
      </c>
      <c r="B801" s="1" t="n">
        <v>44970</v>
      </c>
      <c r="C801" s="1" t="n">
        <v>46111</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12276-2025</t>
        </is>
      </c>
      <c r="B802" s="1" t="n">
        <v>45729.65061342593</v>
      </c>
      <c r="C802" s="1" t="n">
        <v>46111</v>
      </c>
      <c r="D802" t="inlineStr">
        <is>
          <t>ÖREBRO LÄN</t>
        </is>
      </c>
      <c r="E802" t="inlineStr">
        <is>
          <t>LINDESBERG</t>
        </is>
      </c>
      <c r="G802" t="n">
        <v>7.6</v>
      </c>
      <c r="H802" t="n">
        <v>0</v>
      </c>
      <c r="I802" t="n">
        <v>0</v>
      </c>
      <c r="J802" t="n">
        <v>0</v>
      </c>
      <c r="K802" t="n">
        <v>0</v>
      </c>
      <c r="L802" t="n">
        <v>0</v>
      </c>
      <c r="M802" t="n">
        <v>0</v>
      </c>
      <c r="N802" t="n">
        <v>0</v>
      </c>
      <c r="O802" t="n">
        <v>0</v>
      </c>
      <c r="P802" t="n">
        <v>0</v>
      </c>
      <c r="Q802" t="n">
        <v>0</v>
      </c>
      <c r="R802" s="2" t="inlineStr"/>
    </row>
    <row r="803" ht="15" customHeight="1">
      <c r="A803" t="inlineStr">
        <is>
          <t>A 36291-2022</t>
        </is>
      </c>
      <c r="B803" s="1" t="n">
        <v>44803.64361111111</v>
      </c>
      <c r="C803" s="1" t="n">
        <v>46111</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61597-2023</t>
        </is>
      </c>
      <c r="B804" s="1" t="n">
        <v>45265.49225694445</v>
      </c>
      <c r="C804" s="1" t="n">
        <v>46111</v>
      </c>
      <c r="D804" t="inlineStr">
        <is>
          <t>ÖREBRO LÄN</t>
        </is>
      </c>
      <c r="E804" t="inlineStr">
        <is>
          <t>LINDESBERG</t>
        </is>
      </c>
      <c r="G804" t="n">
        <v>10.3</v>
      </c>
      <c r="H804" t="n">
        <v>0</v>
      </c>
      <c r="I804" t="n">
        <v>0</v>
      </c>
      <c r="J804" t="n">
        <v>0</v>
      </c>
      <c r="K804" t="n">
        <v>0</v>
      </c>
      <c r="L804" t="n">
        <v>0</v>
      </c>
      <c r="M804" t="n">
        <v>0</v>
      </c>
      <c r="N804" t="n">
        <v>0</v>
      </c>
      <c r="O804" t="n">
        <v>0</v>
      </c>
      <c r="P804" t="n">
        <v>0</v>
      </c>
      <c r="Q804" t="n">
        <v>0</v>
      </c>
      <c r="R804" s="2" t="inlineStr"/>
    </row>
    <row r="805" ht="15" customHeight="1">
      <c r="A805" t="inlineStr">
        <is>
          <t>A 62968-2023</t>
        </is>
      </c>
      <c r="B805" s="1" t="n">
        <v>45272.57385416667</v>
      </c>
      <c r="C805" s="1" t="n">
        <v>46111</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24270-2023</t>
        </is>
      </c>
      <c r="B806" s="1" t="n">
        <v>45079</v>
      </c>
      <c r="C806" s="1" t="n">
        <v>46111</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24271-2023</t>
        </is>
      </c>
      <c r="B807" s="1" t="n">
        <v>45079</v>
      </c>
      <c r="C807" s="1" t="n">
        <v>46111</v>
      </c>
      <c r="D807" t="inlineStr">
        <is>
          <t>ÖREBRO LÄN</t>
        </is>
      </c>
      <c r="E807" t="inlineStr">
        <is>
          <t>LINDESBERG</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62866-2023</t>
        </is>
      </c>
      <c r="B808" s="1" t="n">
        <v>45272.36168981482</v>
      </c>
      <c r="C808" s="1" t="n">
        <v>46111</v>
      </c>
      <c r="D808" t="inlineStr">
        <is>
          <t>ÖREBRO LÄN</t>
        </is>
      </c>
      <c r="E808" t="inlineStr">
        <is>
          <t>LINDESBERG</t>
        </is>
      </c>
      <c r="G808" t="n">
        <v>14.5</v>
      </c>
      <c r="H808" t="n">
        <v>0</v>
      </c>
      <c r="I808" t="n">
        <v>0</v>
      </c>
      <c r="J808" t="n">
        <v>0</v>
      </c>
      <c r="K808" t="n">
        <v>0</v>
      </c>
      <c r="L808" t="n">
        <v>0</v>
      </c>
      <c r="M808" t="n">
        <v>0</v>
      </c>
      <c r="N808" t="n">
        <v>0</v>
      </c>
      <c r="O808" t="n">
        <v>0</v>
      </c>
      <c r="P808" t="n">
        <v>0</v>
      </c>
      <c r="Q808" t="n">
        <v>0</v>
      </c>
      <c r="R808" s="2" t="inlineStr"/>
    </row>
    <row r="809" ht="15" customHeight="1">
      <c r="A809" t="inlineStr">
        <is>
          <t>A 13416-2025</t>
        </is>
      </c>
      <c r="B809" s="1" t="n">
        <v>45736.308125</v>
      </c>
      <c r="C809" s="1" t="n">
        <v>46111</v>
      </c>
      <c r="D809" t="inlineStr">
        <is>
          <t>ÖREBRO LÄN</t>
        </is>
      </c>
      <c r="E809" t="inlineStr">
        <is>
          <t>LINDESBERG</t>
        </is>
      </c>
      <c r="G809" t="n">
        <v>2.2</v>
      </c>
      <c r="H809" t="n">
        <v>0</v>
      </c>
      <c r="I809" t="n">
        <v>0</v>
      </c>
      <c r="J809" t="n">
        <v>0</v>
      </c>
      <c r="K809" t="n">
        <v>0</v>
      </c>
      <c r="L809" t="n">
        <v>0</v>
      </c>
      <c r="M809" t="n">
        <v>0</v>
      </c>
      <c r="N809" t="n">
        <v>0</v>
      </c>
      <c r="O809" t="n">
        <v>0</v>
      </c>
      <c r="P809" t="n">
        <v>0</v>
      </c>
      <c r="Q809" t="n">
        <v>0</v>
      </c>
      <c r="R809" s="2" t="inlineStr"/>
    </row>
    <row r="810" ht="15" customHeight="1">
      <c r="A810" t="inlineStr">
        <is>
          <t>A 4013-2025</t>
        </is>
      </c>
      <c r="B810" s="1" t="n">
        <v>45684.5790162037</v>
      </c>
      <c r="C810" s="1" t="n">
        <v>46111</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44803-2024</t>
        </is>
      </c>
      <c r="B811" s="1" t="n">
        <v>45574.65087962963</v>
      </c>
      <c r="C811" s="1" t="n">
        <v>46111</v>
      </c>
      <c r="D811" t="inlineStr">
        <is>
          <t>ÖREBRO LÄN</t>
        </is>
      </c>
      <c r="E811" t="inlineStr">
        <is>
          <t>LINDESBERG</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27130-2024</t>
        </is>
      </c>
      <c r="B812" s="1" t="n">
        <v>45471.52072916667</v>
      </c>
      <c r="C812" s="1" t="n">
        <v>46111</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59804-2023</t>
        </is>
      </c>
      <c r="B813" s="1" t="n">
        <v>45257.48188657407</v>
      </c>
      <c r="C813" s="1" t="n">
        <v>46111</v>
      </c>
      <c r="D813" t="inlineStr">
        <is>
          <t>ÖREBRO LÄN</t>
        </is>
      </c>
      <c r="E813" t="inlineStr">
        <is>
          <t>LINDESBERG</t>
        </is>
      </c>
      <c r="G813" t="n">
        <v>1.2</v>
      </c>
      <c r="H813" t="n">
        <v>0</v>
      </c>
      <c r="I813" t="n">
        <v>0</v>
      </c>
      <c r="J813" t="n">
        <v>0</v>
      </c>
      <c r="K813" t="n">
        <v>0</v>
      </c>
      <c r="L813" t="n">
        <v>0</v>
      </c>
      <c r="M813" t="n">
        <v>0</v>
      </c>
      <c r="N813" t="n">
        <v>0</v>
      </c>
      <c r="O813" t="n">
        <v>0</v>
      </c>
      <c r="P813" t="n">
        <v>0</v>
      </c>
      <c r="Q813" t="n">
        <v>0</v>
      </c>
      <c r="R813" s="2" t="inlineStr"/>
    </row>
    <row r="814" ht="15" customHeight="1">
      <c r="A814" t="inlineStr">
        <is>
          <t>A 27434-2023</t>
        </is>
      </c>
      <c r="B814" s="1" t="n">
        <v>45097.38688657407</v>
      </c>
      <c r="C814" s="1" t="n">
        <v>46111</v>
      </c>
      <c r="D814" t="inlineStr">
        <is>
          <t>ÖREBRO LÄN</t>
        </is>
      </c>
      <c r="E814" t="inlineStr">
        <is>
          <t>LINDESBERG</t>
        </is>
      </c>
      <c r="G814" t="n">
        <v>10.7</v>
      </c>
      <c r="H814" t="n">
        <v>0</v>
      </c>
      <c r="I814" t="n">
        <v>0</v>
      </c>
      <c r="J814" t="n">
        <v>0</v>
      </c>
      <c r="K814" t="n">
        <v>0</v>
      </c>
      <c r="L814" t="n">
        <v>0</v>
      </c>
      <c r="M814" t="n">
        <v>0</v>
      </c>
      <c r="N814" t="n">
        <v>0</v>
      </c>
      <c r="O814" t="n">
        <v>0</v>
      </c>
      <c r="P814" t="n">
        <v>0</v>
      </c>
      <c r="Q814" t="n">
        <v>0</v>
      </c>
      <c r="R814" s="2" t="inlineStr"/>
    </row>
    <row r="815" ht="15" customHeight="1">
      <c r="A815" t="inlineStr">
        <is>
          <t>A 45060-2024</t>
        </is>
      </c>
      <c r="B815" s="1" t="n">
        <v>45575.55570601852</v>
      </c>
      <c r="C815" s="1" t="n">
        <v>46111</v>
      </c>
      <c r="D815" t="inlineStr">
        <is>
          <t>ÖREBRO LÄN</t>
        </is>
      </c>
      <c r="E815" t="inlineStr">
        <is>
          <t>LINDESBERG</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72706-2021</t>
        </is>
      </c>
      <c r="B816" s="1" t="n">
        <v>44546.67222222222</v>
      </c>
      <c r="C816" s="1" t="n">
        <v>46111</v>
      </c>
      <c r="D816" t="inlineStr">
        <is>
          <t>ÖREBRO LÄN</t>
        </is>
      </c>
      <c r="E816" t="inlineStr">
        <is>
          <t>LINDESBERG</t>
        </is>
      </c>
      <c r="G816" t="n">
        <v>1.7</v>
      </c>
      <c r="H816" t="n">
        <v>0</v>
      </c>
      <c r="I816" t="n">
        <v>0</v>
      </c>
      <c r="J816" t="n">
        <v>0</v>
      </c>
      <c r="K816" t="n">
        <v>0</v>
      </c>
      <c r="L816" t="n">
        <v>0</v>
      </c>
      <c r="M816" t="n">
        <v>0</v>
      </c>
      <c r="N816" t="n">
        <v>0</v>
      </c>
      <c r="O816" t="n">
        <v>0</v>
      </c>
      <c r="P816" t="n">
        <v>0</v>
      </c>
      <c r="Q816" t="n">
        <v>0</v>
      </c>
      <c r="R816" s="2" t="inlineStr"/>
    </row>
    <row r="817" ht="15" customHeight="1">
      <c r="A817" t="inlineStr">
        <is>
          <t>A 53366-2023</t>
        </is>
      </c>
      <c r="B817" s="1" t="n">
        <v>45229</v>
      </c>
      <c r="C817" s="1" t="n">
        <v>46111</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19219-2023</t>
        </is>
      </c>
      <c r="B818" s="1" t="n">
        <v>45048</v>
      </c>
      <c r="C818" s="1" t="n">
        <v>46111</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19043-2023</t>
        </is>
      </c>
      <c r="B819" s="1" t="n">
        <v>45047.7181712963</v>
      </c>
      <c r="C819" s="1" t="n">
        <v>46111</v>
      </c>
      <c r="D819" t="inlineStr">
        <is>
          <t>ÖREBRO LÄN</t>
        </is>
      </c>
      <c r="E819" t="inlineStr">
        <is>
          <t>LINDESBERG</t>
        </is>
      </c>
      <c r="G819" t="n">
        <v>2.6</v>
      </c>
      <c r="H819" t="n">
        <v>0</v>
      </c>
      <c r="I819" t="n">
        <v>0</v>
      </c>
      <c r="J819" t="n">
        <v>0</v>
      </c>
      <c r="K819" t="n">
        <v>0</v>
      </c>
      <c r="L819" t="n">
        <v>0</v>
      </c>
      <c r="M819" t="n">
        <v>0</v>
      </c>
      <c r="N819" t="n">
        <v>0</v>
      </c>
      <c r="O819" t="n">
        <v>0</v>
      </c>
      <c r="P819" t="n">
        <v>0</v>
      </c>
      <c r="Q819" t="n">
        <v>0</v>
      </c>
      <c r="R819" s="2" t="inlineStr"/>
    </row>
    <row r="820" ht="15" customHeight="1">
      <c r="A820" t="inlineStr">
        <is>
          <t>A 27031-2024</t>
        </is>
      </c>
      <c r="B820" s="1" t="n">
        <v>45471.42659722222</v>
      </c>
      <c r="C820" s="1" t="n">
        <v>46111</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38696-2024</t>
        </is>
      </c>
      <c r="B821" s="1" t="n">
        <v>45547.36590277778</v>
      </c>
      <c r="C821" s="1" t="n">
        <v>46111</v>
      </c>
      <c r="D821" t="inlineStr">
        <is>
          <t>ÖREBRO LÄN</t>
        </is>
      </c>
      <c r="E821" t="inlineStr">
        <is>
          <t>LINDESBERG</t>
        </is>
      </c>
      <c r="G821" t="n">
        <v>2</v>
      </c>
      <c r="H821" t="n">
        <v>0</v>
      </c>
      <c r="I821" t="n">
        <v>0</v>
      </c>
      <c r="J821" t="n">
        <v>0</v>
      </c>
      <c r="K821" t="n">
        <v>0</v>
      </c>
      <c r="L821" t="n">
        <v>0</v>
      </c>
      <c r="M821" t="n">
        <v>0</v>
      </c>
      <c r="N821" t="n">
        <v>0</v>
      </c>
      <c r="O821" t="n">
        <v>0</v>
      </c>
      <c r="P821" t="n">
        <v>0</v>
      </c>
      <c r="Q821" t="n">
        <v>0</v>
      </c>
      <c r="R821" s="2" t="inlineStr"/>
    </row>
    <row r="822" ht="15" customHeight="1">
      <c r="A822" t="inlineStr">
        <is>
          <t>A 54663-2021</t>
        </is>
      </c>
      <c r="B822" s="1" t="n">
        <v>44473.6343287037</v>
      </c>
      <c r="C822" s="1" t="n">
        <v>46111</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32262-2021</t>
        </is>
      </c>
      <c r="B823" s="1" t="n">
        <v>44371.47609953704</v>
      </c>
      <c r="C823" s="1" t="n">
        <v>46111</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48265-2021</t>
        </is>
      </c>
      <c r="B824" s="1" t="n">
        <v>44449</v>
      </c>
      <c r="C824" s="1" t="n">
        <v>46111</v>
      </c>
      <c r="D824" t="inlineStr">
        <is>
          <t>ÖREBRO LÄN</t>
        </is>
      </c>
      <c r="E824" t="inlineStr">
        <is>
          <t>LINDESBERG</t>
        </is>
      </c>
      <c r="G824" t="n">
        <v>23.7</v>
      </c>
      <c r="H824" t="n">
        <v>0</v>
      </c>
      <c r="I824" t="n">
        <v>0</v>
      </c>
      <c r="J824" t="n">
        <v>0</v>
      </c>
      <c r="K824" t="n">
        <v>0</v>
      </c>
      <c r="L824" t="n">
        <v>0</v>
      </c>
      <c r="M824" t="n">
        <v>0</v>
      </c>
      <c r="N824" t="n">
        <v>0</v>
      </c>
      <c r="O824" t="n">
        <v>0</v>
      </c>
      <c r="P824" t="n">
        <v>0</v>
      </c>
      <c r="Q824" t="n">
        <v>0</v>
      </c>
      <c r="R824" s="2" t="inlineStr"/>
    </row>
    <row r="825" ht="15" customHeight="1">
      <c r="A825" t="inlineStr">
        <is>
          <t>A 14028-2023</t>
        </is>
      </c>
      <c r="B825" s="1" t="n">
        <v>45008</v>
      </c>
      <c r="C825" s="1" t="n">
        <v>46111</v>
      </c>
      <c r="D825" t="inlineStr">
        <is>
          <t>ÖREBRO LÄN</t>
        </is>
      </c>
      <c r="E825" t="inlineStr">
        <is>
          <t>LINDESBERG</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57069-2022</t>
        </is>
      </c>
      <c r="B826" s="1" t="n">
        <v>44895</v>
      </c>
      <c r="C826" s="1" t="n">
        <v>46111</v>
      </c>
      <c r="D826" t="inlineStr">
        <is>
          <t>ÖREBRO LÄN</t>
        </is>
      </c>
      <c r="E826" t="inlineStr">
        <is>
          <t>LINDESBERG</t>
        </is>
      </c>
      <c r="G826" t="n">
        <v>2.3</v>
      </c>
      <c r="H826" t="n">
        <v>0</v>
      </c>
      <c r="I826" t="n">
        <v>0</v>
      </c>
      <c r="J826" t="n">
        <v>0</v>
      </c>
      <c r="K826" t="n">
        <v>0</v>
      </c>
      <c r="L826" t="n">
        <v>0</v>
      </c>
      <c r="M826" t="n">
        <v>0</v>
      </c>
      <c r="N826" t="n">
        <v>0</v>
      </c>
      <c r="O826" t="n">
        <v>0</v>
      </c>
      <c r="P826" t="n">
        <v>0</v>
      </c>
      <c r="Q826" t="n">
        <v>0</v>
      </c>
      <c r="R826" s="2" t="inlineStr"/>
    </row>
    <row r="827" ht="15" customHeight="1">
      <c r="A827" t="inlineStr">
        <is>
          <t>A 61405-2022</t>
        </is>
      </c>
      <c r="B827" s="1" t="n">
        <v>44916</v>
      </c>
      <c r="C827" s="1" t="n">
        <v>46111</v>
      </c>
      <c r="D827" t="inlineStr">
        <is>
          <t>ÖREBRO LÄN</t>
        </is>
      </c>
      <c r="E827" t="inlineStr">
        <is>
          <t>LINDESBERG</t>
        </is>
      </c>
      <c r="G827" t="n">
        <v>4.4</v>
      </c>
      <c r="H827" t="n">
        <v>0</v>
      </c>
      <c r="I827" t="n">
        <v>0</v>
      </c>
      <c r="J827" t="n">
        <v>0</v>
      </c>
      <c r="K827" t="n">
        <v>0</v>
      </c>
      <c r="L827" t="n">
        <v>0</v>
      </c>
      <c r="M827" t="n">
        <v>0</v>
      </c>
      <c r="N827" t="n">
        <v>0</v>
      </c>
      <c r="O827" t="n">
        <v>0</v>
      </c>
      <c r="P827" t="n">
        <v>0</v>
      </c>
      <c r="Q827" t="n">
        <v>0</v>
      </c>
      <c r="R827" s="2" t="inlineStr"/>
    </row>
    <row r="828" ht="15" customHeight="1">
      <c r="A828" t="inlineStr">
        <is>
          <t>A 9961-2023</t>
        </is>
      </c>
      <c r="B828" s="1" t="n">
        <v>44979</v>
      </c>
      <c r="C828" s="1" t="n">
        <v>46111</v>
      </c>
      <c r="D828" t="inlineStr">
        <is>
          <t>ÖREBRO LÄN</t>
        </is>
      </c>
      <c r="E828" t="inlineStr">
        <is>
          <t>LINDESBERG</t>
        </is>
      </c>
      <c r="G828" t="n">
        <v>4.8</v>
      </c>
      <c r="H828" t="n">
        <v>0</v>
      </c>
      <c r="I828" t="n">
        <v>0</v>
      </c>
      <c r="J828" t="n">
        <v>0</v>
      </c>
      <c r="K828" t="n">
        <v>0</v>
      </c>
      <c r="L828" t="n">
        <v>0</v>
      </c>
      <c r="M828" t="n">
        <v>0</v>
      </c>
      <c r="N828" t="n">
        <v>0</v>
      </c>
      <c r="O828" t="n">
        <v>0</v>
      </c>
      <c r="P828" t="n">
        <v>0</v>
      </c>
      <c r="Q828" t="n">
        <v>0</v>
      </c>
      <c r="R828" s="2" t="inlineStr"/>
    </row>
    <row r="829" ht="15" customHeight="1">
      <c r="A829" t="inlineStr">
        <is>
          <t>A 45041-2024</t>
        </is>
      </c>
      <c r="B829" s="1" t="n">
        <v>45575.53690972222</v>
      </c>
      <c r="C829" s="1" t="n">
        <v>46111</v>
      </c>
      <c r="D829" t="inlineStr">
        <is>
          <t>ÖREBRO LÄN</t>
        </is>
      </c>
      <c r="E829" t="inlineStr">
        <is>
          <t>LINDESBERG</t>
        </is>
      </c>
      <c r="F829" t="inlineStr">
        <is>
          <t>Sveaskog</t>
        </is>
      </c>
      <c r="G829" t="n">
        <v>0.3</v>
      </c>
      <c r="H829" t="n">
        <v>0</v>
      </c>
      <c r="I829" t="n">
        <v>0</v>
      </c>
      <c r="J829" t="n">
        <v>0</v>
      </c>
      <c r="K829" t="n">
        <v>0</v>
      </c>
      <c r="L829" t="n">
        <v>0</v>
      </c>
      <c r="M829" t="n">
        <v>0</v>
      </c>
      <c r="N829" t="n">
        <v>0</v>
      </c>
      <c r="O829" t="n">
        <v>0</v>
      </c>
      <c r="P829" t="n">
        <v>0</v>
      </c>
      <c r="Q829" t="n">
        <v>0</v>
      </c>
      <c r="R829" s="2" t="inlineStr"/>
    </row>
    <row r="830" ht="15" customHeight="1">
      <c r="A830" t="inlineStr">
        <is>
          <t>A 45068-2024</t>
        </is>
      </c>
      <c r="B830" s="1" t="n">
        <v>45575.56256944445</v>
      </c>
      <c r="C830" s="1" t="n">
        <v>46111</v>
      </c>
      <c r="D830" t="inlineStr">
        <is>
          <t>ÖREBRO LÄN</t>
        </is>
      </c>
      <c r="E830" t="inlineStr">
        <is>
          <t>LINDESBERG</t>
        </is>
      </c>
      <c r="F830" t="inlineStr">
        <is>
          <t>Sveaskog</t>
        </is>
      </c>
      <c r="G830" t="n">
        <v>16.5</v>
      </c>
      <c r="H830" t="n">
        <v>0</v>
      </c>
      <c r="I830" t="n">
        <v>0</v>
      </c>
      <c r="J830" t="n">
        <v>0</v>
      </c>
      <c r="K830" t="n">
        <v>0</v>
      </c>
      <c r="L830" t="n">
        <v>0</v>
      </c>
      <c r="M830" t="n">
        <v>0</v>
      </c>
      <c r="N830" t="n">
        <v>0</v>
      </c>
      <c r="O830" t="n">
        <v>0</v>
      </c>
      <c r="P830" t="n">
        <v>0</v>
      </c>
      <c r="Q830" t="n">
        <v>0</v>
      </c>
      <c r="R830" s="2" t="inlineStr"/>
    </row>
    <row r="831" ht="15" customHeight="1">
      <c r="A831" t="inlineStr">
        <is>
          <t>A 39419-2023</t>
        </is>
      </c>
      <c r="B831" s="1" t="n">
        <v>45166.68493055556</v>
      </c>
      <c r="C831" s="1" t="n">
        <v>46111</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15745-2024</t>
        </is>
      </c>
      <c r="B832" s="1" t="n">
        <v>45404.55239583334</v>
      </c>
      <c r="C832" s="1" t="n">
        <v>46111</v>
      </c>
      <c r="D832" t="inlineStr">
        <is>
          <t>ÖREBRO LÄN</t>
        </is>
      </c>
      <c r="E832" t="inlineStr">
        <is>
          <t>LINDESBERG</t>
        </is>
      </c>
      <c r="F832" t="inlineStr">
        <is>
          <t>Sveaskog</t>
        </is>
      </c>
      <c r="G832" t="n">
        <v>6.2</v>
      </c>
      <c r="H832" t="n">
        <v>0</v>
      </c>
      <c r="I832" t="n">
        <v>0</v>
      </c>
      <c r="J832" t="n">
        <v>0</v>
      </c>
      <c r="K832" t="n">
        <v>0</v>
      </c>
      <c r="L832" t="n">
        <v>0</v>
      </c>
      <c r="M832" t="n">
        <v>0</v>
      </c>
      <c r="N832" t="n">
        <v>0</v>
      </c>
      <c r="O832" t="n">
        <v>0</v>
      </c>
      <c r="P832" t="n">
        <v>0</v>
      </c>
      <c r="Q832" t="n">
        <v>0</v>
      </c>
      <c r="R832" s="2" t="inlineStr"/>
    </row>
    <row r="833" ht="15" customHeight="1">
      <c r="A833" t="inlineStr">
        <is>
          <t>A 15750-2024</t>
        </is>
      </c>
      <c r="B833" s="1" t="n">
        <v>45404.55601851852</v>
      </c>
      <c r="C833" s="1" t="n">
        <v>46111</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60115-2022</t>
        </is>
      </c>
      <c r="B834" s="1" t="n">
        <v>44902</v>
      </c>
      <c r="C834" s="1" t="n">
        <v>46111</v>
      </c>
      <c r="D834" t="inlineStr">
        <is>
          <t>ÖREBRO LÄN</t>
        </is>
      </c>
      <c r="E834" t="inlineStr">
        <is>
          <t>LINDESBERG</t>
        </is>
      </c>
      <c r="G834" t="n">
        <v>0.5</v>
      </c>
      <c r="H834" t="n">
        <v>0</v>
      </c>
      <c r="I834" t="n">
        <v>0</v>
      </c>
      <c r="J834" t="n">
        <v>0</v>
      </c>
      <c r="K834" t="n">
        <v>0</v>
      </c>
      <c r="L834" t="n">
        <v>0</v>
      </c>
      <c r="M834" t="n">
        <v>0</v>
      </c>
      <c r="N834" t="n">
        <v>0</v>
      </c>
      <c r="O834" t="n">
        <v>0</v>
      </c>
      <c r="P834" t="n">
        <v>0</v>
      </c>
      <c r="Q834" t="n">
        <v>0</v>
      </c>
      <c r="R834" s="2" t="inlineStr"/>
    </row>
    <row r="835" ht="15" customHeight="1">
      <c r="A835" t="inlineStr">
        <is>
          <t>A 29857-2023</t>
        </is>
      </c>
      <c r="B835" s="1" t="n">
        <v>45107</v>
      </c>
      <c r="C835" s="1" t="n">
        <v>46111</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44664-2023</t>
        </is>
      </c>
      <c r="B836" s="1" t="n">
        <v>45189</v>
      </c>
      <c r="C836" s="1" t="n">
        <v>46111</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18610-2021</t>
        </is>
      </c>
      <c r="B837" s="1" t="n">
        <v>44306.6371412037</v>
      </c>
      <c r="C837" s="1" t="n">
        <v>46111</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19026-2021</t>
        </is>
      </c>
      <c r="B838" s="1" t="n">
        <v>44308</v>
      </c>
      <c r="C838" s="1" t="n">
        <v>46111</v>
      </c>
      <c r="D838" t="inlineStr">
        <is>
          <t>ÖREBRO LÄN</t>
        </is>
      </c>
      <c r="E838" t="inlineStr">
        <is>
          <t>LINDESBERG</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47535-2022</t>
        </is>
      </c>
      <c r="B839" s="1" t="n">
        <v>44853.79818287037</v>
      </c>
      <c r="C839" s="1" t="n">
        <v>46111</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30830-2024</t>
        </is>
      </c>
      <c r="B840" s="1" t="n">
        <v>45497</v>
      </c>
      <c r="C840" s="1" t="n">
        <v>46111</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59395-2022</t>
        </is>
      </c>
      <c r="B841" s="1" t="n">
        <v>44906.73321759259</v>
      </c>
      <c r="C841" s="1" t="n">
        <v>46111</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55272-2023</t>
        </is>
      </c>
      <c r="B842" s="1" t="n">
        <v>45237.67819444444</v>
      </c>
      <c r="C842" s="1" t="n">
        <v>46111</v>
      </c>
      <c r="D842" t="inlineStr">
        <is>
          <t>ÖREBRO LÄN</t>
        </is>
      </c>
      <c r="E842" t="inlineStr">
        <is>
          <t>LINDESBERG</t>
        </is>
      </c>
      <c r="G842" t="n">
        <v>2.4</v>
      </c>
      <c r="H842" t="n">
        <v>0</v>
      </c>
      <c r="I842" t="n">
        <v>0</v>
      </c>
      <c r="J842" t="n">
        <v>0</v>
      </c>
      <c r="K842" t="n">
        <v>0</v>
      </c>
      <c r="L842" t="n">
        <v>0</v>
      </c>
      <c r="M842" t="n">
        <v>0</v>
      </c>
      <c r="N842" t="n">
        <v>0</v>
      </c>
      <c r="O842" t="n">
        <v>0</v>
      </c>
      <c r="P842" t="n">
        <v>0</v>
      </c>
      <c r="Q842" t="n">
        <v>0</v>
      </c>
      <c r="R842" s="2" t="inlineStr"/>
    </row>
    <row r="843" ht="15" customHeight="1">
      <c r="A843" t="inlineStr">
        <is>
          <t>A 53597-2024</t>
        </is>
      </c>
      <c r="B843" s="1" t="n">
        <v>45614.68083333333</v>
      </c>
      <c r="C843" s="1" t="n">
        <v>46111</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27576-2024</t>
        </is>
      </c>
      <c r="B844" s="1" t="n">
        <v>45474.65005787037</v>
      </c>
      <c r="C844" s="1" t="n">
        <v>46111</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21986-2023</t>
        </is>
      </c>
      <c r="B845" s="1" t="n">
        <v>45068</v>
      </c>
      <c r="C845" s="1" t="n">
        <v>46111</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52930-2024</t>
        </is>
      </c>
      <c r="B846" s="1" t="n">
        <v>45610.7466087963</v>
      </c>
      <c r="C846" s="1" t="n">
        <v>46111</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2103-2022</t>
        </is>
      </c>
      <c r="B847" s="1" t="n">
        <v>44577.81121527778</v>
      </c>
      <c r="C847" s="1" t="n">
        <v>46111</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54860-2024</t>
        </is>
      </c>
      <c r="B848" s="1" t="n">
        <v>45618.59219907408</v>
      </c>
      <c r="C848" s="1" t="n">
        <v>46111</v>
      </c>
      <c r="D848" t="inlineStr">
        <is>
          <t>ÖREBRO LÄN</t>
        </is>
      </c>
      <c r="E848" t="inlineStr">
        <is>
          <t>LINDESBERG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49358-2023</t>
        </is>
      </c>
      <c r="B849" s="1" t="n">
        <v>45211</v>
      </c>
      <c r="C849" s="1" t="n">
        <v>46111</v>
      </c>
      <c r="D849" t="inlineStr">
        <is>
          <t>ÖREBRO LÄN</t>
        </is>
      </c>
      <c r="E849" t="inlineStr">
        <is>
          <t>LINDESBERG</t>
        </is>
      </c>
      <c r="F849" t="inlineStr">
        <is>
          <t>Sveaskog</t>
        </is>
      </c>
      <c r="G849" t="n">
        <v>4.7</v>
      </c>
      <c r="H849" t="n">
        <v>0</v>
      </c>
      <c r="I849" t="n">
        <v>0</v>
      </c>
      <c r="J849" t="n">
        <v>0</v>
      </c>
      <c r="K849" t="n">
        <v>0</v>
      </c>
      <c r="L849" t="n">
        <v>0</v>
      </c>
      <c r="M849" t="n">
        <v>0</v>
      </c>
      <c r="N849" t="n">
        <v>0</v>
      </c>
      <c r="O849" t="n">
        <v>0</v>
      </c>
      <c r="P849" t="n">
        <v>0</v>
      </c>
      <c r="Q849" t="n">
        <v>0</v>
      </c>
      <c r="R849" s="2" t="inlineStr"/>
    </row>
    <row r="850" ht="15" customHeight="1">
      <c r="A850" t="inlineStr">
        <is>
          <t>A 23579-2022</t>
        </is>
      </c>
      <c r="B850" s="1" t="n">
        <v>44721.52627314815</v>
      </c>
      <c r="C850" s="1" t="n">
        <v>46111</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46111</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46647-2024</t>
        </is>
      </c>
      <c r="B852" s="1" t="n">
        <v>45583</v>
      </c>
      <c r="C852" s="1" t="n">
        <v>46111</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23260-2024</t>
        </is>
      </c>
      <c r="B853" s="1" t="n">
        <v>45453.36664351852</v>
      </c>
      <c r="C853" s="1" t="n">
        <v>46111</v>
      </c>
      <c r="D853" t="inlineStr">
        <is>
          <t>ÖREBRO LÄN</t>
        </is>
      </c>
      <c r="E853" t="inlineStr">
        <is>
          <t>LINDESBERG</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26067-2022</t>
        </is>
      </c>
      <c r="B854" s="1" t="n">
        <v>44734.64337962963</v>
      </c>
      <c r="C854" s="1" t="n">
        <v>46111</v>
      </c>
      <c r="D854" t="inlineStr">
        <is>
          <t>ÖREBRO LÄN</t>
        </is>
      </c>
      <c r="E854" t="inlineStr">
        <is>
          <t>LINDESBERG</t>
        </is>
      </c>
      <c r="G854" t="n">
        <v>3.1</v>
      </c>
      <c r="H854" t="n">
        <v>0</v>
      </c>
      <c r="I854" t="n">
        <v>0</v>
      </c>
      <c r="J854" t="n">
        <v>0</v>
      </c>
      <c r="K854" t="n">
        <v>0</v>
      </c>
      <c r="L854" t="n">
        <v>0</v>
      </c>
      <c r="M854" t="n">
        <v>0</v>
      </c>
      <c r="N854" t="n">
        <v>0</v>
      </c>
      <c r="O854" t="n">
        <v>0</v>
      </c>
      <c r="P854" t="n">
        <v>0</v>
      </c>
      <c r="Q854" t="n">
        <v>0</v>
      </c>
      <c r="R854" s="2" t="inlineStr"/>
    </row>
    <row r="855" ht="15" customHeight="1">
      <c r="A855" t="inlineStr">
        <is>
          <t>A 3233-2023</t>
        </is>
      </c>
      <c r="B855" s="1" t="n">
        <v>44946</v>
      </c>
      <c r="C855" s="1" t="n">
        <v>46111</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5047-2023</t>
        </is>
      </c>
      <c r="B856" s="1" t="n">
        <v>44958.58982638889</v>
      </c>
      <c r="C856" s="1" t="n">
        <v>46111</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8836-2023</t>
        </is>
      </c>
      <c r="B857" s="1" t="n">
        <v>44978</v>
      </c>
      <c r="C857" s="1" t="n">
        <v>46111</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38460-2024</t>
        </is>
      </c>
      <c r="B858" s="1" t="n">
        <v>45546.46497685185</v>
      </c>
      <c r="C858" s="1" t="n">
        <v>46111</v>
      </c>
      <c r="D858" t="inlineStr">
        <is>
          <t>ÖREBRO LÄN</t>
        </is>
      </c>
      <c r="E858" t="inlineStr">
        <is>
          <t>LINDESBERG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46219-2022</t>
        </is>
      </c>
      <c r="B859" s="1" t="n">
        <v>44846</v>
      </c>
      <c r="C859" s="1" t="n">
        <v>46111</v>
      </c>
      <c r="D859" t="inlineStr">
        <is>
          <t>ÖREBRO LÄN</t>
        </is>
      </c>
      <c r="E859" t="inlineStr">
        <is>
          <t>LINDESBERG</t>
        </is>
      </c>
      <c r="G859" t="n">
        <v>6</v>
      </c>
      <c r="H859" t="n">
        <v>0</v>
      </c>
      <c r="I859" t="n">
        <v>0</v>
      </c>
      <c r="J859" t="n">
        <v>0</v>
      </c>
      <c r="K859" t="n">
        <v>0</v>
      </c>
      <c r="L859" t="n">
        <v>0</v>
      </c>
      <c r="M859" t="n">
        <v>0</v>
      </c>
      <c r="N859" t="n">
        <v>0</v>
      </c>
      <c r="O859" t="n">
        <v>0</v>
      </c>
      <c r="P859" t="n">
        <v>0</v>
      </c>
      <c r="Q859" t="n">
        <v>0</v>
      </c>
      <c r="R859" s="2" t="inlineStr"/>
    </row>
    <row r="860" ht="15" customHeight="1">
      <c r="A860" t="inlineStr">
        <is>
          <t>A 11953-2024</t>
        </is>
      </c>
      <c r="B860" s="1" t="n">
        <v>45376.70292824074</v>
      </c>
      <c r="C860" s="1" t="n">
        <v>46111</v>
      </c>
      <c r="D860" t="inlineStr">
        <is>
          <t>ÖREBRO LÄN</t>
        </is>
      </c>
      <c r="E860" t="inlineStr">
        <is>
          <t>LINDESBERG</t>
        </is>
      </c>
      <c r="G860" t="n">
        <v>5.7</v>
      </c>
      <c r="H860" t="n">
        <v>0</v>
      </c>
      <c r="I860" t="n">
        <v>0</v>
      </c>
      <c r="J860" t="n">
        <v>0</v>
      </c>
      <c r="K860" t="n">
        <v>0</v>
      </c>
      <c r="L860" t="n">
        <v>0</v>
      </c>
      <c r="M860" t="n">
        <v>0</v>
      </c>
      <c r="N860" t="n">
        <v>0</v>
      </c>
      <c r="O860" t="n">
        <v>0</v>
      </c>
      <c r="P860" t="n">
        <v>0</v>
      </c>
      <c r="Q860" t="n">
        <v>0</v>
      </c>
      <c r="R860" s="2" t="inlineStr"/>
    </row>
    <row r="861" ht="15" customHeight="1">
      <c r="A861" t="inlineStr">
        <is>
          <t>A 4440-2024</t>
        </is>
      </c>
      <c r="B861" s="1" t="n">
        <v>45327</v>
      </c>
      <c r="C861" s="1" t="n">
        <v>46111</v>
      </c>
      <c r="D861" t="inlineStr">
        <is>
          <t>ÖREBRO LÄN</t>
        </is>
      </c>
      <c r="E861" t="inlineStr">
        <is>
          <t>LINDESBERG</t>
        </is>
      </c>
      <c r="F861" t="inlineStr">
        <is>
          <t>BillerudKorsnäs AB</t>
        </is>
      </c>
      <c r="G861" t="n">
        <v>2</v>
      </c>
      <c r="H861" t="n">
        <v>0</v>
      </c>
      <c r="I861" t="n">
        <v>0</v>
      </c>
      <c r="J861" t="n">
        <v>0</v>
      </c>
      <c r="K861" t="n">
        <v>0</v>
      </c>
      <c r="L861" t="n">
        <v>0</v>
      </c>
      <c r="M861" t="n">
        <v>0</v>
      </c>
      <c r="N861" t="n">
        <v>0</v>
      </c>
      <c r="O861" t="n">
        <v>0</v>
      </c>
      <c r="P861" t="n">
        <v>0</v>
      </c>
      <c r="Q861" t="n">
        <v>0</v>
      </c>
      <c r="R861" s="2" t="inlineStr"/>
    </row>
    <row r="862" ht="15" customHeight="1">
      <c r="A862" t="inlineStr">
        <is>
          <t>A 48244-2024</t>
        </is>
      </c>
      <c r="B862" s="1" t="n">
        <v>45590.39471064815</v>
      </c>
      <c r="C862" s="1" t="n">
        <v>46111</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46111</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46111</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23649-2023</t>
        </is>
      </c>
      <c r="B865" s="1" t="n">
        <v>45074</v>
      </c>
      <c r="C865" s="1" t="n">
        <v>46111</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43081-2021</t>
        </is>
      </c>
      <c r="B866" s="1" t="n">
        <v>44431</v>
      </c>
      <c r="C866" s="1" t="n">
        <v>46111</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51071-2022</t>
        </is>
      </c>
      <c r="B867" s="1" t="n">
        <v>44868.36924768519</v>
      </c>
      <c r="C867" s="1" t="n">
        <v>46111</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44449-2023</t>
        </is>
      </c>
      <c r="B868" s="1" t="n">
        <v>45189.38135416667</v>
      </c>
      <c r="C868" s="1" t="n">
        <v>46111</v>
      </c>
      <c r="D868" t="inlineStr">
        <is>
          <t>ÖREBRO LÄN</t>
        </is>
      </c>
      <c r="E868" t="inlineStr">
        <is>
          <t>LINDESBERG</t>
        </is>
      </c>
      <c r="G868" t="n">
        <v>13.7</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46111</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34436-2023</t>
        </is>
      </c>
      <c r="B870" s="1" t="n">
        <v>45139.64328703703</v>
      </c>
      <c r="C870" s="1" t="n">
        <v>46111</v>
      </c>
      <c r="D870" t="inlineStr">
        <is>
          <t>ÖREBRO LÄN</t>
        </is>
      </c>
      <c r="E870" t="inlineStr">
        <is>
          <t>LINDESBERG</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45078-2024</t>
        </is>
      </c>
      <c r="B871" s="1" t="n">
        <v>45575.57104166667</v>
      </c>
      <c r="C871" s="1" t="n">
        <v>46111</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27001-2024</t>
        </is>
      </c>
      <c r="B872" s="1" t="n">
        <v>45471.38995370371</v>
      </c>
      <c r="C872" s="1" t="n">
        <v>46111</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46111</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25012-2023</t>
        </is>
      </c>
      <c r="B874" s="1" t="n">
        <v>45085</v>
      </c>
      <c r="C874" s="1" t="n">
        <v>46111</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26778-2023</t>
        </is>
      </c>
      <c r="B875" s="1" t="n">
        <v>45093.48221064815</v>
      </c>
      <c r="C875" s="1" t="n">
        <v>46111</v>
      </c>
      <c r="D875" t="inlineStr">
        <is>
          <t>ÖREBRO LÄN</t>
        </is>
      </c>
      <c r="E875" t="inlineStr">
        <is>
          <t>LINDESBERG</t>
        </is>
      </c>
      <c r="G875" t="n">
        <v>7.5</v>
      </c>
      <c r="H875" t="n">
        <v>0</v>
      </c>
      <c r="I875" t="n">
        <v>0</v>
      </c>
      <c r="J875" t="n">
        <v>0</v>
      </c>
      <c r="K875" t="n">
        <v>0</v>
      </c>
      <c r="L875" t="n">
        <v>0</v>
      </c>
      <c r="M875" t="n">
        <v>0</v>
      </c>
      <c r="N875" t="n">
        <v>0</v>
      </c>
      <c r="O875" t="n">
        <v>0</v>
      </c>
      <c r="P875" t="n">
        <v>0</v>
      </c>
      <c r="Q875" t="n">
        <v>0</v>
      </c>
      <c r="R875" s="2" t="inlineStr"/>
    </row>
    <row r="876" ht="15" customHeight="1">
      <c r="A876" t="inlineStr">
        <is>
          <t>A 50170-2022</t>
        </is>
      </c>
      <c r="B876" s="1" t="n">
        <v>44865.600625</v>
      </c>
      <c r="C876" s="1" t="n">
        <v>46111</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1354-2024</t>
        </is>
      </c>
      <c r="B877" s="1" t="n">
        <v>45303</v>
      </c>
      <c r="C877" s="1" t="n">
        <v>46111</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33886-2024</t>
        </is>
      </c>
      <c r="B878" s="1" t="n">
        <v>45523.31621527778</v>
      </c>
      <c r="C878" s="1" t="n">
        <v>46111</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50285-2022</t>
        </is>
      </c>
      <c r="B879" s="1" t="n">
        <v>44865.87770833333</v>
      </c>
      <c r="C879" s="1" t="n">
        <v>46111</v>
      </c>
      <c r="D879" t="inlineStr">
        <is>
          <t>ÖREBRO LÄN</t>
        </is>
      </c>
      <c r="E879" t="inlineStr">
        <is>
          <t>LINDESBERG</t>
        </is>
      </c>
      <c r="G879" t="n">
        <v>2.5</v>
      </c>
      <c r="H879" t="n">
        <v>0</v>
      </c>
      <c r="I879" t="n">
        <v>0</v>
      </c>
      <c r="J879" t="n">
        <v>0</v>
      </c>
      <c r="K879" t="n">
        <v>0</v>
      </c>
      <c r="L879" t="n">
        <v>0</v>
      </c>
      <c r="M879" t="n">
        <v>0</v>
      </c>
      <c r="N879" t="n">
        <v>0</v>
      </c>
      <c r="O879" t="n">
        <v>0</v>
      </c>
      <c r="P879" t="n">
        <v>0</v>
      </c>
      <c r="Q879" t="n">
        <v>0</v>
      </c>
      <c r="R879" s="2" t="inlineStr"/>
    </row>
    <row r="880" ht="15" customHeight="1">
      <c r="A880" t="inlineStr">
        <is>
          <t>A 1405-2025</t>
        </is>
      </c>
      <c r="B880" s="1" t="n">
        <v>45667</v>
      </c>
      <c r="C880" s="1" t="n">
        <v>46111</v>
      </c>
      <c r="D880" t="inlineStr">
        <is>
          <t>ÖREBRO LÄN</t>
        </is>
      </c>
      <c r="E880" t="inlineStr">
        <is>
          <t>LINDESBERG</t>
        </is>
      </c>
      <c r="F880" t="inlineStr">
        <is>
          <t>Allmännings- och besparingsskogar</t>
        </is>
      </c>
      <c r="G880" t="n">
        <v>3.1</v>
      </c>
      <c r="H880" t="n">
        <v>0</v>
      </c>
      <c r="I880" t="n">
        <v>0</v>
      </c>
      <c r="J880" t="n">
        <v>0</v>
      </c>
      <c r="K880" t="n">
        <v>0</v>
      </c>
      <c r="L880" t="n">
        <v>0</v>
      </c>
      <c r="M880" t="n">
        <v>0</v>
      </c>
      <c r="N880" t="n">
        <v>0</v>
      </c>
      <c r="O880" t="n">
        <v>0</v>
      </c>
      <c r="P880" t="n">
        <v>0</v>
      </c>
      <c r="Q880" t="n">
        <v>0</v>
      </c>
      <c r="R880" s="2" t="inlineStr"/>
    </row>
    <row r="881" ht="15" customHeight="1">
      <c r="A881" t="inlineStr">
        <is>
          <t>A 40456-2023</t>
        </is>
      </c>
      <c r="B881" s="1" t="n">
        <v>45170</v>
      </c>
      <c r="C881" s="1" t="n">
        <v>46111</v>
      </c>
      <c r="D881" t="inlineStr">
        <is>
          <t>ÖREBRO LÄN</t>
        </is>
      </c>
      <c r="E881" t="inlineStr">
        <is>
          <t>LINDESBERG</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28562-2023</t>
        </is>
      </c>
      <c r="B882" s="1" t="n">
        <v>45103.53614583334</v>
      </c>
      <c r="C882" s="1" t="n">
        <v>46111</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17463-2023</t>
        </is>
      </c>
      <c r="B883" s="1" t="n">
        <v>45036</v>
      </c>
      <c r="C883" s="1" t="n">
        <v>46111</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6511-2025</t>
        </is>
      </c>
      <c r="B884" s="1" t="n">
        <v>45699.65424768518</v>
      </c>
      <c r="C884" s="1" t="n">
        <v>46111</v>
      </c>
      <c r="D884" t="inlineStr">
        <is>
          <t>ÖREBRO LÄN</t>
        </is>
      </c>
      <c r="E884" t="inlineStr">
        <is>
          <t>LINDESBERG</t>
        </is>
      </c>
      <c r="G884" t="n">
        <v>9.1</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45072.42776620371</v>
      </c>
      <c r="C885" s="1" t="n">
        <v>46111</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60105-2022</t>
        </is>
      </c>
      <c r="B886" s="1" t="n">
        <v>44902</v>
      </c>
      <c r="C886" s="1" t="n">
        <v>46111</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53046-2024</t>
        </is>
      </c>
      <c r="B887" s="1" t="n">
        <v>45611.44960648148</v>
      </c>
      <c r="C887" s="1" t="n">
        <v>46111</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18590-2023</t>
        </is>
      </c>
      <c r="B888" s="1" t="n">
        <v>45043.40300925926</v>
      </c>
      <c r="C888" s="1" t="n">
        <v>46111</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51539-2024</t>
        </is>
      </c>
      <c r="B889" s="1" t="n">
        <v>45604.58837962963</v>
      </c>
      <c r="C889" s="1" t="n">
        <v>46111</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15852-2025</t>
        </is>
      </c>
      <c r="B890" s="1" t="n">
        <v>45749</v>
      </c>
      <c r="C890" s="1" t="n">
        <v>46111</v>
      </c>
      <c r="D890" t="inlineStr">
        <is>
          <t>ÖREBRO LÄN</t>
        </is>
      </c>
      <c r="E890" t="inlineStr">
        <is>
          <t>LINDESBERG</t>
        </is>
      </c>
      <c r="G890" t="n">
        <v>8.9</v>
      </c>
      <c r="H890" t="n">
        <v>0</v>
      </c>
      <c r="I890" t="n">
        <v>0</v>
      </c>
      <c r="J890" t="n">
        <v>0</v>
      </c>
      <c r="K890" t="n">
        <v>0</v>
      </c>
      <c r="L890" t="n">
        <v>0</v>
      </c>
      <c r="M890" t="n">
        <v>0</v>
      </c>
      <c r="N890" t="n">
        <v>0</v>
      </c>
      <c r="O890" t="n">
        <v>0</v>
      </c>
      <c r="P890" t="n">
        <v>0</v>
      </c>
      <c r="Q890" t="n">
        <v>0</v>
      </c>
      <c r="R890" s="2" t="inlineStr"/>
    </row>
    <row r="891" ht="15" customHeight="1">
      <c r="A891" t="inlineStr">
        <is>
          <t>A 34539-2024</t>
        </is>
      </c>
      <c r="B891" s="1" t="n">
        <v>45525.7374537037</v>
      </c>
      <c r="C891" s="1" t="n">
        <v>46111</v>
      </c>
      <c r="D891" t="inlineStr">
        <is>
          <t>ÖREBRO LÄN</t>
        </is>
      </c>
      <c r="E891" t="inlineStr">
        <is>
          <t>LINDESBERG</t>
        </is>
      </c>
      <c r="G891" t="n">
        <v>5.4</v>
      </c>
      <c r="H891" t="n">
        <v>0</v>
      </c>
      <c r="I891" t="n">
        <v>0</v>
      </c>
      <c r="J891" t="n">
        <v>0</v>
      </c>
      <c r="K891" t="n">
        <v>0</v>
      </c>
      <c r="L891" t="n">
        <v>0</v>
      </c>
      <c r="M891" t="n">
        <v>0</v>
      </c>
      <c r="N891" t="n">
        <v>0</v>
      </c>
      <c r="O891" t="n">
        <v>0</v>
      </c>
      <c r="P891" t="n">
        <v>0</v>
      </c>
      <c r="Q891" t="n">
        <v>0</v>
      </c>
      <c r="R891" s="2" t="inlineStr"/>
    </row>
    <row r="892" ht="15" customHeight="1">
      <c r="A892" t="inlineStr">
        <is>
          <t>A 35739-2024</t>
        </is>
      </c>
      <c r="B892" s="1" t="n">
        <v>45532</v>
      </c>
      <c r="C892" s="1" t="n">
        <v>46111</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1383-2025</t>
        </is>
      </c>
      <c r="B893" s="1" t="n">
        <v>45667</v>
      </c>
      <c r="C893" s="1" t="n">
        <v>46111</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10057-2025</t>
        </is>
      </c>
      <c r="B894" s="1" t="n">
        <v>45719.52871527777</v>
      </c>
      <c r="C894" s="1" t="n">
        <v>46111</v>
      </c>
      <c r="D894" t="inlineStr">
        <is>
          <t>ÖREBRO LÄN</t>
        </is>
      </c>
      <c r="E894" t="inlineStr">
        <is>
          <t>LINDESBERG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43247-2023</t>
        </is>
      </c>
      <c r="B895" s="1" t="n">
        <v>45183.48666666666</v>
      </c>
      <c r="C895" s="1" t="n">
        <v>46111</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46111</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43046-2022</t>
        </is>
      </c>
      <c r="B897" s="1" t="n">
        <v>44833</v>
      </c>
      <c r="C897" s="1" t="n">
        <v>46111</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57795-2021</t>
        </is>
      </c>
      <c r="B898" s="1" t="n">
        <v>44484</v>
      </c>
      <c r="C898" s="1" t="n">
        <v>46111</v>
      </c>
      <c r="D898" t="inlineStr">
        <is>
          <t>ÖREBRO LÄN</t>
        </is>
      </c>
      <c r="E898" t="inlineStr">
        <is>
          <t>LINDESBERG</t>
        </is>
      </c>
      <c r="G898" t="n">
        <v>39.4</v>
      </c>
      <c r="H898" t="n">
        <v>0</v>
      </c>
      <c r="I898" t="n">
        <v>0</v>
      </c>
      <c r="J898" t="n">
        <v>0</v>
      </c>
      <c r="K898" t="n">
        <v>0</v>
      </c>
      <c r="L898" t="n">
        <v>0</v>
      </c>
      <c r="M898" t="n">
        <v>0</v>
      </c>
      <c r="N898" t="n">
        <v>0</v>
      </c>
      <c r="O898" t="n">
        <v>0</v>
      </c>
      <c r="P898" t="n">
        <v>0</v>
      </c>
      <c r="Q898" t="n">
        <v>0</v>
      </c>
      <c r="R898" s="2" t="inlineStr"/>
    </row>
    <row r="899" ht="15" customHeight="1">
      <c r="A899" t="inlineStr">
        <is>
          <t>A 43433-2024</t>
        </is>
      </c>
      <c r="B899" s="1" t="n">
        <v>45568.64523148148</v>
      </c>
      <c r="C899" s="1" t="n">
        <v>46111</v>
      </c>
      <c r="D899" t="inlineStr">
        <is>
          <t>ÖREBRO LÄN</t>
        </is>
      </c>
      <c r="E899" t="inlineStr">
        <is>
          <t>LINDESBERG</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6604-2024</t>
        </is>
      </c>
      <c r="B900" s="1" t="n">
        <v>45341.56577546296</v>
      </c>
      <c r="C900" s="1" t="n">
        <v>46111</v>
      </c>
      <c r="D900" t="inlineStr">
        <is>
          <t>ÖREBRO LÄN</t>
        </is>
      </c>
      <c r="E900" t="inlineStr">
        <is>
          <t>LINDESBERG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5550-2024</t>
        </is>
      </c>
      <c r="B901" s="1" t="n">
        <v>45334</v>
      </c>
      <c r="C901" s="1" t="n">
        <v>46111</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63125-2023</t>
        </is>
      </c>
      <c r="B902" s="1" t="n">
        <v>45273</v>
      </c>
      <c r="C902" s="1" t="n">
        <v>46111</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15752-2024</t>
        </is>
      </c>
      <c r="B903" s="1" t="n">
        <v>45404.55681712963</v>
      </c>
      <c r="C903" s="1" t="n">
        <v>46111</v>
      </c>
      <c r="D903" t="inlineStr">
        <is>
          <t>ÖREBRO LÄN</t>
        </is>
      </c>
      <c r="E903" t="inlineStr">
        <is>
          <t>LINDESBERG</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35229-2024</t>
        </is>
      </c>
      <c r="B904" s="1" t="n">
        <v>45530</v>
      </c>
      <c r="C904" s="1" t="n">
        <v>46111</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50986-2023</t>
        </is>
      </c>
      <c r="B905" s="1" t="n">
        <v>45218</v>
      </c>
      <c r="C905" s="1" t="n">
        <v>46111</v>
      </c>
      <c r="D905" t="inlineStr">
        <is>
          <t>ÖREBRO LÄN</t>
        </is>
      </c>
      <c r="E905" t="inlineStr">
        <is>
          <t>LINDESBERG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25046-2024</t>
        </is>
      </c>
      <c r="B906" s="1" t="n">
        <v>45462</v>
      </c>
      <c r="C906" s="1" t="n">
        <v>46111</v>
      </c>
      <c r="D906" t="inlineStr">
        <is>
          <t>ÖREBRO LÄN</t>
        </is>
      </c>
      <c r="E906" t="inlineStr">
        <is>
          <t>LINDESBERG</t>
        </is>
      </c>
      <c r="G906" t="n">
        <v>4.1</v>
      </c>
      <c r="H906" t="n">
        <v>0</v>
      </c>
      <c r="I906" t="n">
        <v>0</v>
      </c>
      <c r="J906" t="n">
        <v>0</v>
      </c>
      <c r="K906" t="n">
        <v>0</v>
      </c>
      <c r="L906" t="n">
        <v>0</v>
      </c>
      <c r="M906" t="n">
        <v>0</v>
      </c>
      <c r="N906" t="n">
        <v>0</v>
      </c>
      <c r="O906" t="n">
        <v>0</v>
      </c>
      <c r="P906" t="n">
        <v>0</v>
      </c>
      <c r="Q906" t="n">
        <v>0</v>
      </c>
      <c r="R906" s="2" t="inlineStr"/>
    </row>
    <row r="907" ht="15" customHeight="1">
      <c r="A907" t="inlineStr">
        <is>
          <t>A 44675-2021</t>
        </is>
      </c>
      <c r="B907" s="1" t="n">
        <v>44438</v>
      </c>
      <c r="C907" s="1" t="n">
        <v>46111</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46111</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43416-2024</t>
        </is>
      </c>
      <c r="B909" s="1" t="n">
        <v>45568.62625</v>
      </c>
      <c r="C909" s="1" t="n">
        <v>46111</v>
      </c>
      <c r="D909" t="inlineStr">
        <is>
          <t>ÖREBRO LÄN</t>
        </is>
      </c>
      <c r="E909" t="inlineStr">
        <is>
          <t>LINDESBERG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54859-2024</t>
        </is>
      </c>
      <c r="B910" s="1" t="n">
        <v>45618.58962962963</v>
      </c>
      <c r="C910" s="1" t="n">
        <v>46111</v>
      </c>
      <c r="D910" t="inlineStr">
        <is>
          <t>ÖREBRO LÄN</t>
        </is>
      </c>
      <c r="E910" t="inlineStr">
        <is>
          <t>LINDESBERG</t>
        </is>
      </c>
      <c r="F910" t="inlineStr">
        <is>
          <t>Sveaskog</t>
        </is>
      </c>
      <c r="G910" t="n">
        <v>5.3</v>
      </c>
      <c r="H910" t="n">
        <v>0</v>
      </c>
      <c r="I910" t="n">
        <v>0</v>
      </c>
      <c r="J910" t="n">
        <v>0</v>
      </c>
      <c r="K910" t="n">
        <v>0</v>
      </c>
      <c r="L910" t="n">
        <v>0</v>
      </c>
      <c r="M910" t="n">
        <v>0</v>
      </c>
      <c r="N910" t="n">
        <v>0</v>
      </c>
      <c r="O910" t="n">
        <v>0</v>
      </c>
      <c r="P910" t="n">
        <v>0</v>
      </c>
      <c r="Q910" t="n">
        <v>0</v>
      </c>
      <c r="R910" s="2" t="inlineStr"/>
    </row>
    <row r="911" ht="15" customHeight="1">
      <c r="A911" t="inlineStr">
        <is>
          <t>A 10654-2023</t>
        </is>
      </c>
      <c r="B911" s="1" t="n">
        <v>44984</v>
      </c>
      <c r="C911" s="1" t="n">
        <v>46111</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30534-2023</t>
        </is>
      </c>
      <c r="B912" s="1" t="n">
        <v>45111</v>
      </c>
      <c r="C912" s="1" t="n">
        <v>46111</v>
      </c>
      <c r="D912" t="inlineStr">
        <is>
          <t>ÖREBRO LÄN</t>
        </is>
      </c>
      <c r="E912" t="inlineStr">
        <is>
          <t>LINDESBERG</t>
        </is>
      </c>
      <c r="G912" t="n">
        <v>0.7</v>
      </c>
      <c r="H912" t="n">
        <v>0</v>
      </c>
      <c r="I912" t="n">
        <v>0</v>
      </c>
      <c r="J912" t="n">
        <v>0</v>
      </c>
      <c r="K912" t="n">
        <v>0</v>
      </c>
      <c r="L912" t="n">
        <v>0</v>
      </c>
      <c r="M912" t="n">
        <v>0</v>
      </c>
      <c r="N912" t="n">
        <v>0</v>
      </c>
      <c r="O912" t="n">
        <v>0</v>
      </c>
      <c r="P912" t="n">
        <v>0</v>
      </c>
      <c r="Q912" t="n">
        <v>0</v>
      </c>
      <c r="R912" s="2" t="inlineStr"/>
    </row>
    <row r="913" ht="15" customHeight="1">
      <c r="A913" t="inlineStr">
        <is>
          <t>A 27013-2024</t>
        </is>
      </c>
      <c r="B913" s="1" t="n">
        <v>45471.40384259259</v>
      </c>
      <c r="C913" s="1" t="n">
        <v>46111</v>
      </c>
      <c r="D913" t="inlineStr">
        <is>
          <t>ÖREBRO LÄN</t>
        </is>
      </c>
      <c r="E913" t="inlineStr">
        <is>
          <t>LINDESBERG</t>
        </is>
      </c>
      <c r="G913" t="n">
        <v>5.2</v>
      </c>
      <c r="H913" t="n">
        <v>0</v>
      </c>
      <c r="I913" t="n">
        <v>0</v>
      </c>
      <c r="J913" t="n">
        <v>0</v>
      </c>
      <c r="K913" t="n">
        <v>0</v>
      </c>
      <c r="L913" t="n">
        <v>0</v>
      </c>
      <c r="M913" t="n">
        <v>0</v>
      </c>
      <c r="N913" t="n">
        <v>0</v>
      </c>
      <c r="O913" t="n">
        <v>0</v>
      </c>
      <c r="P913" t="n">
        <v>0</v>
      </c>
      <c r="Q913" t="n">
        <v>0</v>
      </c>
      <c r="R913" s="2" t="inlineStr"/>
    </row>
    <row r="914" ht="15" customHeight="1">
      <c r="A914" t="inlineStr">
        <is>
          <t>A 9140-2025</t>
        </is>
      </c>
      <c r="B914" s="1" t="n">
        <v>45714.31533564815</v>
      </c>
      <c r="C914" s="1" t="n">
        <v>46111</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28469-2023</t>
        </is>
      </c>
      <c r="B915" s="1" t="n">
        <v>45103</v>
      </c>
      <c r="C915" s="1" t="n">
        <v>46111</v>
      </c>
      <c r="D915" t="inlineStr">
        <is>
          <t>ÖREBRO LÄN</t>
        </is>
      </c>
      <c r="E915" t="inlineStr">
        <is>
          <t>LINDESBERG</t>
        </is>
      </c>
      <c r="G915" t="n">
        <v>0.3</v>
      </c>
      <c r="H915" t="n">
        <v>0</v>
      </c>
      <c r="I915" t="n">
        <v>0</v>
      </c>
      <c r="J915" t="n">
        <v>0</v>
      </c>
      <c r="K915" t="n">
        <v>0</v>
      </c>
      <c r="L915" t="n">
        <v>0</v>
      </c>
      <c r="M915" t="n">
        <v>0</v>
      </c>
      <c r="N915" t="n">
        <v>0</v>
      </c>
      <c r="O915" t="n">
        <v>0</v>
      </c>
      <c r="P915" t="n">
        <v>0</v>
      </c>
      <c r="Q915" t="n">
        <v>0</v>
      </c>
      <c r="R915" s="2" t="inlineStr"/>
    </row>
    <row r="916" ht="15" customHeight="1">
      <c r="A916" t="inlineStr">
        <is>
          <t>A 12278-2025</t>
        </is>
      </c>
      <c r="B916" s="1" t="n">
        <v>45729.65171296296</v>
      </c>
      <c r="C916" s="1" t="n">
        <v>46111</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20954-2024</t>
        </is>
      </c>
      <c r="B917" s="1" t="n">
        <v>45439.56605324074</v>
      </c>
      <c r="C917" s="1" t="n">
        <v>46111</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7120-2025</t>
        </is>
      </c>
      <c r="B918" s="1" t="n">
        <v>45702</v>
      </c>
      <c r="C918" s="1" t="n">
        <v>46111</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36773-2024</t>
        </is>
      </c>
      <c r="B919" s="1" t="n">
        <v>45538</v>
      </c>
      <c r="C919" s="1" t="n">
        <v>46111</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53897-2024</t>
        </is>
      </c>
      <c r="B920" s="1" t="n">
        <v>45615.69570601852</v>
      </c>
      <c r="C920" s="1" t="n">
        <v>46111</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12692-2024</t>
        </is>
      </c>
      <c r="B921" s="1" t="n">
        <v>45384.43418981481</v>
      </c>
      <c r="C921" s="1" t="n">
        <v>46111</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15325-2024</t>
        </is>
      </c>
      <c r="B922" s="1" t="n">
        <v>45400.6709837963</v>
      </c>
      <c r="C922" s="1" t="n">
        <v>46111</v>
      </c>
      <c r="D922" t="inlineStr">
        <is>
          <t>ÖREBRO LÄN</t>
        </is>
      </c>
      <c r="E922" t="inlineStr">
        <is>
          <t>LINDESBERG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7119-2025</t>
        </is>
      </c>
      <c r="B923" s="1" t="n">
        <v>45702</v>
      </c>
      <c r="C923" s="1" t="n">
        <v>46111</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46111</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20923-2025</t>
        </is>
      </c>
      <c r="B925" s="1" t="n">
        <v>45777.41673611111</v>
      </c>
      <c r="C925" s="1" t="n">
        <v>46111</v>
      </c>
      <c r="D925" t="inlineStr">
        <is>
          <t>ÖREBRO LÄN</t>
        </is>
      </c>
      <c r="E925" t="inlineStr">
        <is>
          <t>LINDESBERG</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20950-2025</t>
        </is>
      </c>
      <c r="B926" s="1" t="n">
        <v>45777.43878472222</v>
      </c>
      <c r="C926" s="1" t="n">
        <v>46111</v>
      </c>
      <c r="D926" t="inlineStr">
        <is>
          <t>ÖREBRO LÄN</t>
        </is>
      </c>
      <c r="E926" t="inlineStr">
        <is>
          <t>LINDESBERG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12795-2025</t>
        </is>
      </c>
      <c r="B927" s="1" t="n">
        <v>45733.60959490741</v>
      </c>
      <c r="C927" s="1" t="n">
        <v>46111</v>
      </c>
      <c r="D927" t="inlineStr">
        <is>
          <t>ÖREBRO LÄN</t>
        </is>
      </c>
      <c r="E927" t="inlineStr">
        <is>
          <t>LINDESBERG</t>
        </is>
      </c>
      <c r="G927" t="n">
        <v>10.8</v>
      </c>
      <c r="H927" t="n">
        <v>0</v>
      </c>
      <c r="I927" t="n">
        <v>0</v>
      </c>
      <c r="J927" t="n">
        <v>0</v>
      </c>
      <c r="K927" t="n">
        <v>0</v>
      </c>
      <c r="L927" t="n">
        <v>0</v>
      </c>
      <c r="M927" t="n">
        <v>0</v>
      </c>
      <c r="N927" t="n">
        <v>0</v>
      </c>
      <c r="O927" t="n">
        <v>0</v>
      </c>
      <c r="P927" t="n">
        <v>0</v>
      </c>
      <c r="Q927" t="n">
        <v>0</v>
      </c>
      <c r="R927" s="2" t="inlineStr"/>
    </row>
    <row r="928" ht="15" customHeight="1">
      <c r="A928" t="inlineStr">
        <is>
          <t>A 20930-2025</t>
        </is>
      </c>
      <c r="B928" s="1" t="n">
        <v>45777.42628472222</v>
      </c>
      <c r="C928" s="1" t="n">
        <v>46111</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46111</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21812-2025</t>
        </is>
      </c>
      <c r="B930" s="1" t="n">
        <v>45783.71833333333</v>
      </c>
      <c r="C930" s="1" t="n">
        <v>46111</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31861-2024</t>
        </is>
      </c>
      <c r="B931" s="1" t="n">
        <v>45509.73383101852</v>
      </c>
      <c r="C931" s="1" t="n">
        <v>46111</v>
      </c>
      <c r="D931" t="inlineStr">
        <is>
          <t>ÖREBRO LÄN</t>
        </is>
      </c>
      <c r="E931" t="inlineStr">
        <is>
          <t>LINDESBERG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43195-2024</t>
        </is>
      </c>
      <c r="B932" s="1" t="n">
        <v>45567.68003472222</v>
      </c>
      <c r="C932" s="1" t="n">
        <v>46111</v>
      </c>
      <c r="D932" t="inlineStr">
        <is>
          <t>ÖREBRO LÄN</t>
        </is>
      </c>
      <c r="E932" t="inlineStr">
        <is>
          <t>LINDESBERG</t>
        </is>
      </c>
      <c r="G932" t="n">
        <v>27.8</v>
      </c>
      <c r="H932" t="n">
        <v>0</v>
      </c>
      <c r="I932" t="n">
        <v>0</v>
      </c>
      <c r="J932" t="n">
        <v>0</v>
      </c>
      <c r="K932" t="n">
        <v>0</v>
      </c>
      <c r="L932" t="n">
        <v>0</v>
      </c>
      <c r="M932" t="n">
        <v>0</v>
      </c>
      <c r="N932" t="n">
        <v>0</v>
      </c>
      <c r="O932" t="n">
        <v>0</v>
      </c>
      <c r="P932" t="n">
        <v>0</v>
      </c>
      <c r="Q932" t="n">
        <v>0</v>
      </c>
      <c r="R932" s="2" t="inlineStr"/>
    </row>
    <row r="933" ht="15" customHeight="1">
      <c r="A933" t="inlineStr">
        <is>
          <t>A 24583-2024</t>
        </is>
      </c>
      <c r="B933" s="1" t="n">
        <v>45460.46358796296</v>
      </c>
      <c r="C933" s="1" t="n">
        <v>46111</v>
      </c>
      <c r="D933" t="inlineStr">
        <is>
          <t>ÖREBRO LÄN</t>
        </is>
      </c>
      <c r="E933" t="inlineStr">
        <is>
          <t>LINDESBERG</t>
        </is>
      </c>
      <c r="G933" t="n">
        <v>13.7</v>
      </c>
      <c r="H933" t="n">
        <v>0</v>
      </c>
      <c r="I933" t="n">
        <v>0</v>
      </c>
      <c r="J933" t="n">
        <v>0</v>
      </c>
      <c r="K933" t="n">
        <v>0</v>
      </c>
      <c r="L933" t="n">
        <v>0</v>
      </c>
      <c r="M933" t="n">
        <v>0</v>
      </c>
      <c r="N933" t="n">
        <v>0</v>
      </c>
      <c r="O933" t="n">
        <v>0</v>
      </c>
      <c r="P933" t="n">
        <v>0</v>
      </c>
      <c r="Q933" t="n">
        <v>0</v>
      </c>
      <c r="R933" s="2" t="inlineStr"/>
    </row>
    <row r="934">
      <c r="A934" t="inlineStr">
        <is>
          <t>A 28776-2023</t>
        </is>
      </c>
      <c r="B934" s="1" t="n">
        <v>45104.34107638889</v>
      </c>
      <c r="C934" s="1" t="n">
        <v>46111</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2026-03-30T10:51:58Z</dcterms:created>
  <dcterms:modified xmlns:dcterms="http://purl.org/dc/terms/" xmlns:xsi="http://www.w3.org/2001/XMLSchema-instance" xsi:type="dcterms:W3CDTF">2026-03-30T10:51:59Z</dcterms:modified>
</cp:coreProperties>
</file>